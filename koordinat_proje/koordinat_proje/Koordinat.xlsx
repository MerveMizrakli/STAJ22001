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8_{65B05A70-720A-40C0-9F23-310ED68036A1}" xr6:coauthVersionLast="47" xr6:coauthVersionMax="47" xr10:uidLastSave="{00000000-0000-0000-0000-000000000000}"/>
  <bookViews>
    <workbookView xWindow="-120" yWindow="-120" windowWidth="29040" windowHeight="15720" xr2:uid="{00000000-000D-0000-FFFF-FFFF00000000}"/>
  </bookViews>
  <sheets>
    <sheet name="Sayfa1" sheetId="1" r:id="rId1"/>
  </sheets>
  <externalReferences>
    <externalReference r:id="rId2"/>
  </externalReferences>
  <definedNames>
    <definedName name="DışVeri_3" localSheetId="0" hidden="1">Sayfa1!$A$1:$X$4884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4884" i="1" l="1"/>
  <c r="Z4884" i="1"/>
  <c r="Y4884" i="1"/>
  <c r="AA4883" i="1"/>
  <c r="Z4883" i="1"/>
  <c r="Y4883" i="1"/>
  <c r="AA4882" i="1"/>
  <c r="Z4882" i="1"/>
  <c r="Y4882" i="1"/>
  <c r="AA4881" i="1"/>
  <c r="Z4881" i="1"/>
  <c r="Y4881" i="1"/>
  <c r="AA4880" i="1"/>
  <c r="Z4880" i="1"/>
  <c r="Y4880" i="1"/>
  <c r="AA4879" i="1"/>
  <c r="Z4879" i="1"/>
  <c r="Y4879" i="1"/>
  <c r="AA4878" i="1"/>
  <c r="Z4878" i="1"/>
  <c r="Y4878" i="1"/>
  <c r="AA4877" i="1"/>
  <c r="Z4877" i="1"/>
  <c r="Y4877" i="1"/>
  <c r="AA4876" i="1"/>
  <c r="Z4876" i="1"/>
  <c r="Y4876" i="1"/>
  <c r="AA4875" i="1"/>
  <c r="Z4875" i="1"/>
  <c r="Y4875" i="1"/>
  <c r="AA4874" i="1"/>
  <c r="Z4874" i="1"/>
  <c r="Y4874" i="1"/>
  <c r="AA4873" i="1"/>
  <c r="Z4873" i="1"/>
  <c r="Y4873" i="1"/>
  <c r="AA4872" i="1"/>
  <c r="Z4872" i="1"/>
  <c r="Y4872" i="1"/>
  <c r="AA4871" i="1"/>
  <c r="Z4871" i="1"/>
  <c r="Y4871" i="1"/>
  <c r="AA4870" i="1"/>
  <c r="Z4870" i="1"/>
  <c r="Y4870" i="1"/>
  <c r="AA4869" i="1"/>
  <c r="Z4869" i="1"/>
  <c r="Y4869" i="1"/>
  <c r="AA4868" i="1"/>
  <c r="Z4868" i="1"/>
  <c r="Y4868" i="1"/>
  <c r="AA4867" i="1"/>
  <c r="Z4867" i="1"/>
  <c r="Y4867" i="1"/>
  <c r="AA4866" i="1"/>
  <c r="Z4866" i="1"/>
  <c r="Y4866" i="1"/>
  <c r="AA4865" i="1"/>
  <c r="Z4865" i="1"/>
  <c r="Y4865" i="1"/>
  <c r="AA4864" i="1"/>
  <c r="Z4864" i="1"/>
  <c r="Y4864" i="1"/>
  <c r="AA4863" i="1"/>
  <c r="Z4863" i="1"/>
  <c r="Y4863" i="1"/>
  <c r="AA4862" i="1"/>
  <c r="Z4862" i="1"/>
  <c r="Y4862" i="1"/>
  <c r="AA4861" i="1"/>
  <c r="Z4861" i="1"/>
  <c r="Y4861" i="1"/>
  <c r="AA4860" i="1"/>
  <c r="Z4860" i="1"/>
  <c r="Y4860" i="1"/>
  <c r="AA4859" i="1"/>
  <c r="Z4859" i="1"/>
  <c r="Y4859" i="1"/>
  <c r="AA4858" i="1"/>
  <c r="Z4858" i="1"/>
  <c r="Y4858" i="1"/>
  <c r="AA4857" i="1"/>
  <c r="Z4857" i="1"/>
  <c r="Y4857" i="1"/>
  <c r="AA4856" i="1"/>
  <c r="Z4856" i="1"/>
  <c r="Y4856" i="1"/>
  <c r="AA4855" i="1"/>
  <c r="Z4855" i="1"/>
  <c r="Y4855" i="1"/>
  <c r="AA4854" i="1"/>
  <c r="Z4854" i="1"/>
  <c r="Y4854" i="1"/>
  <c r="AA4853" i="1"/>
  <c r="Z4853" i="1"/>
  <c r="Y4853" i="1"/>
  <c r="AA4852" i="1"/>
  <c r="Z4852" i="1"/>
  <c r="Y4852" i="1"/>
  <c r="AA4851" i="1"/>
  <c r="Z4851" i="1"/>
  <c r="Y4851" i="1"/>
  <c r="AA4850" i="1"/>
  <c r="Z4850" i="1"/>
  <c r="Y4850" i="1"/>
  <c r="AA4849" i="1"/>
  <c r="Z4849" i="1"/>
  <c r="Y4849" i="1"/>
  <c r="AA4848" i="1"/>
  <c r="Z4848" i="1"/>
  <c r="Y4848" i="1"/>
  <c r="AA4847" i="1"/>
  <c r="Z4847" i="1"/>
  <c r="Y4847" i="1"/>
  <c r="AA4846" i="1"/>
  <c r="Z4846" i="1"/>
  <c r="Y4846" i="1"/>
  <c r="AA4845" i="1"/>
  <c r="Z4845" i="1"/>
  <c r="Y4845" i="1"/>
  <c r="AA4844" i="1"/>
  <c r="Z4844" i="1"/>
  <c r="Y4844" i="1"/>
  <c r="AA4843" i="1"/>
  <c r="Z4843" i="1"/>
  <c r="Y4843" i="1"/>
  <c r="AA4842" i="1"/>
  <c r="Z4842" i="1"/>
  <c r="Y4842" i="1"/>
  <c r="AA4841" i="1"/>
  <c r="Z4841" i="1"/>
  <c r="Y4841" i="1"/>
  <c r="AA4840" i="1"/>
  <c r="Z4840" i="1"/>
  <c r="Y4840" i="1"/>
  <c r="AA4839" i="1"/>
  <c r="Z4839" i="1"/>
  <c r="Y4839" i="1"/>
  <c r="AA4838" i="1"/>
  <c r="Z4838" i="1"/>
  <c r="Y4838" i="1"/>
  <c r="AA4837" i="1"/>
  <c r="Z4837" i="1"/>
  <c r="Y4837" i="1"/>
  <c r="AA4836" i="1"/>
  <c r="Z4836" i="1"/>
  <c r="Y4836" i="1"/>
  <c r="AA4835" i="1"/>
  <c r="Z4835" i="1"/>
  <c r="Y4835" i="1"/>
  <c r="AA4834" i="1"/>
  <c r="Z4834" i="1"/>
  <c r="Y4834" i="1"/>
  <c r="AA4833" i="1"/>
  <c r="Z4833" i="1"/>
  <c r="Y4833" i="1"/>
  <c r="AA4832" i="1"/>
  <c r="Z4832" i="1"/>
  <c r="Y4832" i="1"/>
  <c r="AA4831" i="1"/>
  <c r="Z4831" i="1"/>
  <c r="Y4831" i="1"/>
  <c r="AA4830" i="1"/>
  <c r="Z4830" i="1"/>
  <c r="Y4830" i="1"/>
  <c r="AA4829" i="1"/>
  <c r="Z4829" i="1"/>
  <c r="Y4829" i="1"/>
  <c r="AA4828" i="1"/>
  <c r="Z4828" i="1"/>
  <c r="Y4828" i="1"/>
  <c r="AA4827" i="1"/>
  <c r="Z4827" i="1"/>
  <c r="Y4827" i="1"/>
  <c r="AA4826" i="1"/>
  <c r="Z4826" i="1"/>
  <c r="Y4826" i="1"/>
  <c r="AA4825" i="1"/>
  <c r="Z4825" i="1"/>
  <c r="Y4825" i="1"/>
  <c r="AA4824" i="1"/>
  <c r="Z4824" i="1"/>
  <c r="Y4824" i="1"/>
  <c r="AA4823" i="1"/>
  <c r="Z4823" i="1"/>
  <c r="Y4823" i="1"/>
  <c r="AA4822" i="1"/>
  <c r="Z4822" i="1"/>
  <c r="Y4822" i="1"/>
  <c r="AA4821" i="1"/>
  <c r="Z4821" i="1"/>
  <c r="Y4821" i="1"/>
  <c r="AA4820" i="1"/>
  <c r="Z4820" i="1"/>
  <c r="Y4820" i="1"/>
  <c r="AA4819" i="1"/>
  <c r="Z4819" i="1"/>
  <c r="Y4819" i="1"/>
  <c r="AA4818" i="1"/>
  <c r="Z4818" i="1"/>
  <c r="Y4818" i="1"/>
  <c r="AA4817" i="1"/>
  <c r="Z4817" i="1"/>
  <c r="Y4817" i="1"/>
  <c r="AA4816" i="1"/>
  <c r="Z4816" i="1"/>
  <c r="Y4816" i="1"/>
  <c r="AA4815" i="1"/>
  <c r="Z4815" i="1"/>
  <c r="Y4815" i="1"/>
  <c r="AA4814" i="1"/>
  <c r="Z4814" i="1"/>
  <c r="Y4814" i="1"/>
  <c r="AA4813" i="1"/>
  <c r="Z4813" i="1"/>
  <c r="Y4813" i="1"/>
  <c r="AA4812" i="1"/>
  <c r="Z4812" i="1"/>
  <c r="Y4812" i="1"/>
  <c r="AA4811" i="1"/>
  <c r="Z4811" i="1"/>
  <c r="Y4811" i="1"/>
  <c r="AA4810" i="1"/>
  <c r="Z4810" i="1"/>
  <c r="Y4810" i="1"/>
  <c r="AA4809" i="1"/>
  <c r="Z4809" i="1"/>
  <c r="Y4809" i="1"/>
  <c r="AA4808" i="1"/>
  <c r="Z4808" i="1"/>
  <c r="Y4808" i="1"/>
  <c r="AA4807" i="1"/>
  <c r="Z4807" i="1"/>
  <c r="Y4807" i="1"/>
  <c r="AA4806" i="1"/>
  <c r="Z4806" i="1"/>
  <c r="Y4806" i="1"/>
  <c r="AA4805" i="1"/>
  <c r="Z4805" i="1"/>
  <c r="Y4805" i="1"/>
  <c r="AA4804" i="1"/>
  <c r="Z4804" i="1"/>
  <c r="Y4804" i="1"/>
  <c r="AA4803" i="1"/>
  <c r="Z4803" i="1"/>
  <c r="Y4803" i="1"/>
  <c r="AA4802" i="1"/>
  <c r="Z4802" i="1"/>
  <c r="Y4802" i="1"/>
  <c r="AA4801" i="1"/>
  <c r="Z4801" i="1"/>
  <c r="Y4801" i="1"/>
  <c r="AA4800" i="1"/>
  <c r="Z4800" i="1"/>
  <c r="Y4800" i="1"/>
  <c r="AA4799" i="1"/>
  <c r="Z4799" i="1"/>
  <c r="Y4799" i="1"/>
  <c r="AA4798" i="1"/>
  <c r="Z4798" i="1"/>
  <c r="Y4798" i="1"/>
  <c r="AA4797" i="1"/>
  <c r="Z4797" i="1"/>
  <c r="Y4797" i="1"/>
  <c r="AA4796" i="1"/>
  <c r="Z4796" i="1"/>
  <c r="Y4796" i="1"/>
  <c r="AA4795" i="1"/>
  <c r="Z4795" i="1"/>
  <c r="Y4795" i="1"/>
  <c r="AA4794" i="1"/>
  <c r="Z4794" i="1"/>
  <c r="Y4794" i="1"/>
  <c r="AA4793" i="1"/>
  <c r="Z4793" i="1"/>
  <c r="Y4793" i="1"/>
  <c r="AA4792" i="1"/>
  <c r="Z4792" i="1"/>
  <c r="Y4792" i="1"/>
  <c r="AA4791" i="1"/>
  <c r="Z4791" i="1"/>
  <c r="Y4791" i="1"/>
  <c r="AA4790" i="1"/>
  <c r="Z4790" i="1"/>
  <c r="Y4790" i="1"/>
  <c r="AA4789" i="1"/>
  <c r="Z4789" i="1"/>
  <c r="Y4789" i="1"/>
  <c r="AA4788" i="1"/>
  <c r="Z4788" i="1"/>
  <c r="Y4788" i="1"/>
  <c r="AA4787" i="1"/>
  <c r="Z4787" i="1"/>
  <c r="Y4787" i="1"/>
  <c r="AA4786" i="1"/>
  <c r="Z4786" i="1"/>
  <c r="Y4786" i="1"/>
  <c r="AA4785" i="1"/>
  <c r="Z4785" i="1"/>
  <c r="Y4785" i="1"/>
  <c r="AA4784" i="1"/>
  <c r="Z4784" i="1"/>
  <c r="Y4784" i="1"/>
  <c r="AA4783" i="1"/>
  <c r="Z4783" i="1"/>
  <c r="Y4783" i="1"/>
  <c r="AA4782" i="1"/>
  <c r="Z4782" i="1"/>
  <c r="Y4782" i="1"/>
  <c r="AA4781" i="1"/>
  <c r="Z4781" i="1"/>
  <c r="Y4781" i="1"/>
  <c r="AA4780" i="1"/>
  <c r="Z4780" i="1"/>
  <c r="Y4780" i="1"/>
  <c r="AA4779" i="1"/>
  <c r="Z4779" i="1"/>
  <c r="Y4779" i="1"/>
  <c r="AA4778" i="1"/>
  <c r="Z4778" i="1"/>
  <c r="Y4778" i="1"/>
  <c r="AA4777" i="1"/>
  <c r="Z4777" i="1"/>
  <c r="Y4777" i="1"/>
  <c r="AA4776" i="1"/>
  <c r="Z4776" i="1"/>
  <c r="Y4776" i="1"/>
  <c r="AA4775" i="1"/>
  <c r="Z4775" i="1"/>
  <c r="Y4775" i="1"/>
  <c r="AA4774" i="1"/>
  <c r="Z4774" i="1"/>
  <c r="Y4774" i="1"/>
  <c r="AA4773" i="1"/>
  <c r="Z4773" i="1"/>
  <c r="Y4773" i="1"/>
  <c r="AA4772" i="1"/>
  <c r="Z4772" i="1"/>
  <c r="Y4772" i="1"/>
  <c r="AA4771" i="1"/>
  <c r="Z4771" i="1"/>
  <c r="Y4771" i="1"/>
  <c r="AA4770" i="1"/>
  <c r="Z4770" i="1"/>
  <c r="Y4770" i="1"/>
  <c r="AA4769" i="1"/>
  <c r="Z4769" i="1"/>
  <c r="Y4769" i="1"/>
  <c r="AA4768" i="1"/>
  <c r="Z4768" i="1"/>
  <c r="Y4768" i="1"/>
  <c r="AA4767" i="1"/>
  <c r="Z4767" i="1"/>
  <c r="Y4767" i="1"/>
  <c r="AA4766" i="1"/>
  <c r="Z4766" i="1"/>
  <c r="Y4766" i="1"/>
  <c r="AA4765" i="1"/>
  <c r="Z4765" i="1"/>
  <c r="Y4765" i="1"/>
  <c r="AA4764" i="1"/>
  <c r="Z4764" i="1"/>
  <c r="Y4764" i="1"/>
  <c r="AA4763" i="1"/>
  <c r="Z4763" i="1"/>
  <c r="Y4763" i="1"/>
  <c r="AA4762" i="1"/>
  <c r="Z4762" i="1"/>
  <c r="Y4762" i="1"/>
  <c r="AA4761" i="1"/>
  <c r="Z4761" i="1"/>
  <c r="Y4761" i="1"/>
  <c r="AA4760" i="1"/>
  <c r="Z4760" i="1"/>
  <c r="Y4760" i="1"/>
  <c r="AA4759" i="1"/>
  <c r="Z4759" i="1"/>
  <c r="Y4759" i="1"/>
  <c r="AA4758" i="1"/>
  <c r="Z4758" i="1"/>
  <c r="Y4758" i="1"/>
  <c r="AA4757" i="1"/>
  <c r="Z4757" i="1"/>
  <c r="Y4757" i="1"/>
  <c r="AA4756" i="1"/>
  <c r="Z4756" i="1"/>
  <c r="Y4756" i="1"/>
  <c r="AA4755" i="1"/>
  <c r="Z4755" i="1"/>
  <c r="Y4755" i="1"/>
  <c r="AA4754" i="1"/>
  <c r="Z4754" i="1"/>
  <c r="Y4754" i="1"/>
  <c r="AA4753" i="1"/>
  <c r="Z4753" i="1"/>
  <c r="Y4753" i="1"/>
  <c r="AA4752" i="1"/>
  <c r="Z4752" i="1"/>
  <c r="Y4752" i="1"/>
  <c r="AA4751" i="1"/>
  <c r="Z4751" i="1"/>
  <c r="Y4751" i="1"/>
  <c r="AA4750" i="1"/>
  <c r="Z4750" i="1"/>
  <c r="Y4750" i="1"/>
  <c r="AA4749" i="1"/>
  <c r="Z4749" i="1"/>
  <c r="Y4749" i="1"/>
  <c r="AA4748" i="1"/>
  <c r="Z4748" i="1"/>
  <c r="Y4748" i="1"/>
  <c r="AA4747" i="1"/>
  <c r="Z4747" i="1"/>
  <c r="Y4747" i="1"/>
  <c r="AA4746" i="1"/>
  <c r="Z4746" i="1"/>
  <c r="Y4746" i="1"/>
  <c r="AA4745" i="1"/>
  <c r="Z4745" i="1"/>
  <c r="Y4745" i="1"/>
  <c r="AA4744" i="1"/>
  <c r="Z4744" i="1"/>
  <c r="Y4744" i="1"/>
  <c r="AA4743" i="1"/>
  <c r="Z4743" i="1"/>
  <c r="Y4743" i="1"/>
  <c r="AA4742" i="1"/>
  <c r="Z4742" i="1"/>
  <c r="Y4742" i="1"/>
  <c r="AA4741" i="1"/>
  <c r="Z4741" i="1"/>
  <c r="Y4741" i="1"/>
  <c r="AA4740" i="1"/>
  <c r="Z4740" i="1"/>
  <c r="Y4740" i="1"/>
  <c r="AA4739" i="1"/>
  <c r="Z4739" i="1"/>
  <c r="Y4739" i="1"/>
  <c r="AA4738" i="1"/>
  <c r="Z4738" i="1"/>
  <c r="Y4738" i="1"/>
  <c r="AA4737" i="1"/>
  <c r="Z4737" i="1"/>
  <c r="Y4737" i="1"/>
  <c r="AA4736" i="1"/>
  <c r="Z4736" i="1"/>
  <c r="Y4736" i="1"/>
  <c r="AA4735" i="1"/>
  <c r="Z4735" i="1"/>
  <c r="Y4735" i="1"/>
  <c r="AA4734" i="1"/>
  <c r="Z4734" i="1"/>
  <c r="Y4734" i="1"/>
  <c r="AA4733" i="1"/>
  <c r="Z4733" i="1"/>
  <c r="Y4733" i="1"/>
  <c r="AA4732" i="1"/>
  <c r="Z4732" i="1"/>
  <c r="Y4732" i="1"/>
  <c r="AA4731" i="1"/>
  <c r="Z4731" i="1"/>
  <c r="Y4731" i="1"/>
  <c r="AA4730" i="1"/>
  <c r="Z4730" i="1"/>
  <c r="Y4730" i="1"/>
  <c r="AA4729" i="1"/>
  <c r="Z4729" i="1"/>
  <c r="Y4729" i="1"/>
  <c r="AA4728" i="1"/>
  <c r="Z4728" i="1"/>
  <c r="Y4728" i="1"/>
  <c r="AA4727" i="1"/>
  <c r="Z4727" i="1"/>
  <c r="Y4727" i="1"/>
  <c r="AA4726" i="1"/>
  <c r="Z4726" i="1"/>
  <c r="Y4726" i="1"/>
  <c r="AA4725" i="1"/>
  <c r="Z4725" i="1"/>
  <c r="Y4725" i="1"/>
  <c r="AA4724" i="1"/>
  <c r="Z4724" i="1"/>
  <c r="Y4724" i="1"/>
  <c r="AA4723" i="1"/>
  <c r="Z4723" i="1"/>
  <c r="Y4723" i="1"/>
  <c r="AA4722" i="1"/>
  <c r="Z4722" i="1"/>
  <c r="Y4722" i="1"/>
  <c r="AA4721" i="1"/>
  <c r="Z4721" i="1"/>
  <c r="Y4721" i="1"/>
  <c r="AA4720" i="1"/>
  <c r="Z4720" i="1"/>
  <c r="Y4720" i="1"/>
  <c r="AA4719" i="1"/>
  <c r="Z4719" i="1"/>
  <c r="Y4719" i="1"/>
  <c r="AA4718" i="1"/>
  <c r="Z4718" i="1"/>
  <c r="Y4718" i="1"/>
  <c r="AA4717" i="1"/>
  <c r="Z4717" i="1"/>
  <c r="Y4717" i="1"/>
  <c r="AA4716" i="1"/>
  <c r="Z4716" i="1"/>
  <c r="Y4716" i="1"/>
  <c r="AA4715" i="1"/>
  <c r="Z4715" i="1"/>
  <c r="Y4715" i="1"/>
  <c r="AA4714" i="1"/>
  <c r="Z4714" i="1"/>
  <c r="Y4714" i="1"/>
  <c r="AA4713" i="1"/>
  <c r="Z4713" i="1"/>
  <c r="Y4713" i="1"/>
  <c r="AA4712" i="1"/>
  <c r="Z4712" i="1"/>
  <c r="Y4712" i="1"/>
  <c r="AA4711" i="1"/>
  <c r="Z4711" i="1"/>
  <c r="Y4711" i="1"/>
  <c r="AA4710" i="1"/>
  <c r="Z4710" i="1"/>
  <c r="Y4710" i="1"/>
  <c r="AA4709" i="1"/>
  <c r="Z4709" i="1"/>
  <c r="Y4709" i="1"/>
  <c r="AA4708" i="1"/>
  <c r="Z4708" i="1"/>
  <c r="Y4708" i="1"/>
  <c r="AA4707" i="1"/>
  <c r="Z4707" i="1"/>
  <c r="Y4707" i="1"/>
  <c r="AA4706" i="1"/>
  <c r="Z4706" i="1"/>
  <c r="Y4706" i="1"/>
  <c r="AA4705" i="1"/>
  <c r="Z4705" i="1"/>
  <c r="Y4705" i="1"/>
  <c r="AA4704" i="1"/>
  <c r="Z4704" i="1"/>
  <c r="Y4704" i="1"/>
  <c r="AA4703" i="1"/>
  <c r="Z4703" i="1"/>
  <c r="Y4703" i="1"/>
  <c r="AA4702" i="1"/>
  <c r="Z4702" i="1"/>
  <c r="Y4702" i="1"/>
  <c r="AA4701" i="1"/>
  <c r="Z4701" i="1"/>
  <c r="Y4701" i="1"/>
  <c r="AA4700" i="1"/>
  <c r="Z4700" i="1"/>
  <c r="Y4700" i="1"/>
  <c r="AA4699" i="1"/>
  <c r="Z4699" i="1"/>
  <c r="Y4699" i="1"/>
  <c r="AA4698" i="1"/>
  <c r="Z4698" i="1"/>
  <c r="Y4698" i="1"/>
  <c r="AA4697" i="1"/>
  <c r="Z4697" i="1"/>
  <c r="Y4697" i="1"/>
  <c r="AA4696" i="1"/>
  <c r="Z4696" i="1"/>
  <c r="Y4696" i="1"/>
  <c r="AA4695" i="1"/>
  <c r="Z4695" i="1"/>
  <c r="Y4695" i="1"/>
  <c r="AA4694" i="1"/>
  <c r="Z4694" i="1"/>
  <c r="Y4694" i="1"/>
  <c r="AA4693" i="1"/>
  <c r="Z4693" i="1"/>
  <c r="Y4693" i="1"/>
  <c r="AA4692" i="1"/>
  <c r="Z4692" i="1"/>
  <c r="Y4692" i="1"/>
  <c r="AA4691" i="1"/>
  <c r="Z4691" i="1"/>
  <c r="Y4691" i="1"/>
  <c r="AA4690" i="1"/>
  <c r="Z4690" i="1"/>
  <c r="Y4690" i="1"/>
  <c r="AA4689" i="1"/>
  <c r="Z4689" i="1"/>
  <c r="Y4689" i="1"/>
  <c r="AA4688" i="1"/>
  <c r="Z4688" i="1"/>
  <c r="Y4688" i="1"/>
  <c r="AA4687" i="1"/>
  <c r="Z4687" i="1"/>
  <c r="Y4687" i="1"/>
  <c r="AA4686" i="1"/>
  <c r="Z4686" i="1"/>
  <c r="Y4686" i="1"/>
  <c r="AA4685" i="1"/>
  <c r="Z4685" i="1"/>
  <c r="Y4685" i="1"/>
  <c r="AA4684" i="1"/>
  <c r="Z4684" i="1"/>
  <c r="Y4684" i="1"/>
  <c r="AA4683" i="1"/>
  <c r="Z4683" i="1"/>
  <c r="Y4683" i="1"/>
  <c r="AA4682" i="1"/>
  <c r="Z4682" i="1"/>
  <c r="Y4682" i="1"/>
  <c r="AA4681" i="1"/>
  <c r="Z4681" i="1"/>
  <c r="Y4681" i="1"/>
  <c r="AA4680" i="1"/>
  <c r="Z4680" i="1"/>
  <c r="Y4680" i="1"/>
  <c r="AA4679" i="1"/>
  <c r="Z4679" i="1"/>
  <c r="Y4679" i="1"/>
  <c r="AA4678" i="1"/>
  <c r="Z4678" i="1"/>
  <c r="Y4678" i="1"/>
  <c r="AA4677" i="1"/>
  <c r="Z4677" i="1"/>
  <c r="Y4677" i="1"/>
  <c r="AA4676" i="1"/>
  <c r="Z4676" i="1"/>
  <c r="Y4676" i="1"/>
  <c r="AA4675" i="1"/>
  <c r="Z4675" i="1"/>
  <c r="Y4675" i="1"/>
  <c r="AA4674" i="1"/>
  <c r="Z4674" i="1"/>
  <c r="Y4674" i="1"/>
  <c r="AA4673" i="1"/>
  <c r="Z4673" i="1"/>
  <c r="Y4673" i="1"/>
  <c r="AA4672" i="1"/>
  <c r="Z4672" i="1"/>
  <c r="Y4672" i="1"/>
  <c r="AA4671" i="1"/>
  <c r="Z4671" i="1"/>
  <c r="Y4671" i="1"/>
  <c r="AA4670" i="1"/>
  <c r="Z4670" i="1"/>
  <c r="Y4670" i="1"/>
  <c r="AA4669" i="1"/>
  <c r="Z4669" i="1"/>
  <c r="Y4669" i="1"/>
  <c r="AA4668" i="1"/>
  <c r="Z4668" i="1"/>
  <c r="Y4668" i="1"/>
  <c r="AA4667" i="1"/>
  <c r="Z4667" i="1"/>
  <c r="Y4667" i="1"/>
  <c r="AA4666" i="1"/>
  <c r="Z4666" i="1"/>
  <c r="Y4666" i="1"/>
  <c r="AA4665" i="1"/>
  <c r="Z4665" i="1"/>
  <c r="Y4665" i="1"/>
  <c r="AA4664" i="1"/>
  <c r="Z4664" i="1"/>
  <c r="Y4664" i="1"/>
  <c r="AA4663" i="1"/>
  <c r="Z4663" i="1"/>
  <c r="Y4663" i="1"/>
  <c r="AA4662" i="1"/>
  <c r="Z4662" i="1"/>
  <c r="Y4662" i="1"/>
  <c r="AA4661" i="1"/>
  <c r="Z4661" i="1"/>
  <c r="Y4661" i="1"/>
  <c r="AA4660" i="1"/>
  <c r="Z4660" i="1"/>
  <c r="Y4660" i="1"/>
  <c r="AA4659" i="1"/>
  <c r="Z4659" i="1"/>
  <c r="Y4659" i="1"/>
  <c r="AA4658" i="1"/>
  <c r="Z4658" i="1"/>
  <c r="Y4658" i="1"/>
  <c r="AA4657" i="1"/>
  <c r="Z4657" i="1"/>
  <c r="Y4657" i="1"/>
  <c r="AA4656" i="1"/>
  <c r="Z4656" i="1"/>
  <c r="Y4656" i="1"/>
  <c r="AA4655" i="1"/>
  <c r="Z4655" i="1"/>
  <c r="Y4655" i="1"/>
  <c r="AA4654" i="1"/>
  <c r="Z4654" i="1"/>
  <c r="Y4654" i="1"/>
  <c r="AA4653" i="1"/>
  <c r="Z4653" i="1"/>
  <c r="Y4653" i="1"/>
  <c r="AA4652" i="1"/>
  <c r="Z4652" i="1"/>
  <c r="Y4652" i="1"/>
  <c r="AA4651" i="1"/>
  <c r="Z4651" i="1"/>
  <c r="Y4651" i="1"/>
  <c r="AA4650" i="1"/>
  <c r="Z4650" i="1"/>
  <c r="Y4650" i="1"/>
  <c r="AA4649" i="1"/>
  <c r="Z4649" i="1"/>
  <c r="Y4649" i="1"/>
  <c r="AA4648" i="1"/>
  <c r="Z4648" i="1"/>
  <c r="Y4648" i="1"/>
  <c r="AA4647" i="1"/>
  <c r="Z4647" i="1"/>
  <c r="Y4647" i="1"/>
  <c r="AA4646" i="1"/>
  <c r="Z4646" i="1"/>
  <c r="Y4646" i="1"/>
  <c r="AA4645" i="1"/>
  <c r="Z4645" i="1"/>
  <c r="Y4645" i="1"/>
  <c r="AA4644" i="1"/>
  <c r="Z4644" i="1"/>
  <c r="Y4644" i="1"/>
  <c r="AA4643" i="1"/>
  <c r="Z4643" i="1"/>
  <c r="Y4643" i="1"/>
  <c r="AA4642" i="1"/>
  <c r="Z4642" i="1"/>
  <c r="Y4642" i="1"/>
  <c r="AA4641" i="1"/>
  <c r="Z4641" i="1"/>
  <c r="Y4641" i="1"/>
  <c r="AA4640" i="1"/>
  <c r="Z4640" i="1"/>
  <c r="Y4640" i="1"/>
  <c r="AA4639" i="1"/>
  <c r="Z4639" i="1"/>
  <c r="Y4639" i="1"/>
  <c r="AA4638" i="1"/>
  <c r="Z4638" i="1"/>
  <c r="Y4638" i="1"/>
  <c r="AA4637" i="1"/>
  <c r="Z4637" i="1"/>
  <c r="Y4637" i="1"/>
  <c r="AA4636" i="1"/>
  <c r="Z4636" i="1"/>
  <c r="Y4636" i="1"/>
  <c r="AA4635" i="1"/>
  <c r="Z4635" i="1"/>
  <c r="Y4635" i="1"/>
  <c r="AA4634" i="1"/>
  <c r="Z4634" i="1"/>
  <c r="Y4634" i="1"/>
  <c r="AA4633" i="1"/>
  <c r="Z4633" i="1"/>
  <c r="Y4633" i="1"/>
  <c r="AA4632" i="1"/>
  <c r="Z4632" i="1"/>
  <c r="Y4632" i="1"/>
  <c r="AA4631" i="1"/>
  <c r="Z4631" i="1"/>
  <c r="Y4631" i="1"/>
  <c r="AA4630" i="1"/>
  <c r="Z4630" i="1"/>
  <c r="Y4630" i="1"/>
  <c r="AA4629" i="1"/>
  <c r="Z4629" i="1"/>
  <c r="Y4629" i="1"/>
  <c r="AA4628" i="1"/>
  <c r="Z4628" i="1"/>
  <c r="Y4628" i="1"/>
  <c r="AA4627" i="1"/>
  <c r="Z4627" i="1"/>
  <c r="Y4627" i="1"/>
  <c r="AA4626" i="1"/>
  <c r="Z4626" i="1"/>
  <c r="Y4626" i="1"/>
  <c r="AA4625" i="1"/>
  <c r="Z4625" i="1"/>
  <c r="Y4625" i="1"/>
  <c r="AA4624" i="1"/>
  <c r="Z4624" i="1"/>
  <c r="Y4624" i="1"/>
  <c r="AA4623" i="1"/>
  <c r="Z4623" i="1"/>
  <c r="Y4623" i="1"/>
  <c r="AA4622" i="1"/>
  <c r="Z4622" i="1"/>
  <c r="Y4622" i="1"/>
  <c r="AA4621" i="1"/>
  <c r="Z4621" i="1"/>
  <c r="Y4621" i="1"/>
  <c r="AA4620" i="1"/>
  <c r="Z4620" i="1"/>
  <c r="Y4620" i="1"/>
  <c r="AA4619" i="1"/>
  <c r="Z4619" i="1"/>
  <c r="Y4619" i="1"/>
  <c r="AA4618" i="1"/>
  <c r="Z4618" i="1"/>
  <c r="Y4618" i="1"/>
  <c r="AA4617" i="1"/>
  <c r="Z4617" i="1"/>
  <c r="Y4617" i="1"/>
  <c r="AA4616" i="1"/>
  <c r="Z4616" i="1"/>
  <c r="Y4616" i="1"/>
  <c r="AA4615" i="1"/>
  <c r="Z4615" i="1"/>
  <c r="Y4615" i="1"/>
  <c r="AA4614" i="1"/>
  <c r="Z4614" i="1"/>
  <c r="Y4614" i="1"/>
  <c r="AA4613" i="1"/>
  <c r="Z4613" i="1"/>
  <c r="Y4613" i="1"/>
  <c r="AA4612" i="1"/>
  <c r="Z4612" i="1"/>
  <c r="Y4612" i="1"/>
  <c r="AA4611" i="1"/>
  <c r="Z4611" i="1"/>
  <c r="Y4611" i="1"/>
  <c r="AA4610" i="1"/>
  <c r="Z4610" i="1"/>
  <c r="Y4610" i="1"/>
  <c r="AA4609" i="1"/>
  <c r="Z4609" i="1"/>
  <c r="Y4609" i="1"/>
  <c r="AA4608" i="1"/>
  <c r="Z4608" i="1"/>
  <c r="Y4608" i="1"/>
  <c r="AA4607" i="1"/>
  <c r="Z4607" i="1"/>
  <c r="Y4607" i="1"/>
  <c r="AA4606" i="1"/>
  <c r="Z4606" i="1"/>
  <c r="Y4606" i="1"/>
  <c r="AA4605" i="1"/>
  <c r="Z4605" i="1"/>
  <c r="Y4605" i="1"/>
  <c r="AA4604" i="1"/>
  <c r="Z4604" i="1"/>
  <c r="Y4604" i="1"/>
  <c r="AA4603" i="1"/>
  <c r="Z4603" i="1"/>
  <c r="Y4603" i="1"/>
  <c r="AA4602" i="1"/>
  <c r="Z4602" i="1"/>
  <c r="Y4602" i="1"/>
  <c r="AA4601" i="1"/>
  <c r="Z4601" i="1"/>
  <c r="Y4601" i="1"/>
  <c r="AA4600" i="1"/>
  <c r="Z4600" i="1"/>
  <c r="Y4600" i="1"/>
  <c r="AA4599" i="1"/>
  <c r="Z4599" i="1"/>
  <c r="Y4599" i="1"/>
  <c r="AA4598" i="1"/>
  <c r="Z4598" i="1"/>
  <c r="Y4598" i="1"/>
  <c r="AA4597" i="1"/>
  <c r="Z4597" i="1"/>
  <c r="Y4597" i="1"/>
  <c r="AA4596" i="1"/>
  <c r="Z4596" i="1"/>
  <c r="Y4596" i="1"/>
  <c r="AA4595" i="1"/>
  <c r="Z4595" i="1"/>
  <c r="Y4595" i="1"/>
  <c r="AA4594" i="1"/>
  <c r="Z4594" i="1"/>
  <c r="Y4594" i="1"/>
  <c r="AA4593" i="1"/>
  <c r="Z4593" i="1"/>
  <c r="Y4593" i="1"/>
  <c r="AA4592" i="1"/>
  <c r="Z4592" i="1"/>
  <c r="Y4592" i="1"/>
  <c r="AA4591" i="1"/>
  <c r="Z4591" i="1"/>
  <c r="Y4591" i="1"/>
  <c r="AA4590" i="1"/>
  <c r="Z4590" i="1"/>
  <c r="Y4590" i="1"/>
  <c r="AA4589" i="1"/>
  <c r="Z4589" i="1"/>
  <c r="Y4589" i="1"/>
  <c r="AA4588" i="1"/>
  <c r="Z4588" i="1"/>
  <c r="Y4588" i="1"/>
  <c r="AA4587" i="1"/>
  <c r="Z4587" i="1"/>
  <c r="Y4587" i="1"/>
  <c r="AA4586" i="1"/>
  <c r="Z4586" i="1"/>
  <c r="Y4586" i="1"/>
  <c r="AA4585" i="1"/>
  <c r="Z4585" i="1"/>
  <c r="Y4585" i="1"/>
  <c r="AA4584" i="1"/>
  <c r="Z4584" i="1"/>
  <c r="Y4584" i="1"/>
  <c r="AA4583" i="1"/>
  <c r="Z4583" i="1"/>
  <c r="Y4583" i="1"/>
  <c r="AA4582" i="1"/>
  <c r="Z4582" i="1"/>
  <c r="Y4582" i="1"/>
  <c r="AA4581" i="1"/>
  <c r="Z4581" i="1"/>
  <c r="Y4581" i="1"/>
  <c r="AA4580" i="1"/>
  <c r="Z4580" i="1"/>
  <c r="Y4580" i="1"/>
  <c r="AA4579" i="1"/>
  <c r="Z4579" i="1"/>
  <c r="Y4579" i="1"/>
  <c r="AA4578" i="1"/>
  <c r="Z4578" i="1"/>
  <c r="Y4578" i="1"/>
  <c r="AA4577" i="1"/>
  <c r="Z4577" i="1"/>
  <c r="Y4577" i="1"/>
  <c r="AA4576" i="1"/>
  <c r="Z4576" i="1"/>
  <c r="Y4576" i="1"/>
  <c r="AA4575" i="1"/>
  <c r="Z4575" i="1"/>
  <c r="Y4575" i="1"/>
  <c r="AA4574" i="1"/>
  <c r="Z4574" i="1"/>
  <c r="Y4574" i="1"/>
  <c r="AA4573" i="1"/>
  <c r="Z4573" i="1"/>
  <c r="Y4573" i="1"/>
  <c r="AA4572" i="1"/>
  <c r="Z4572" i="1"/>
  <c r="Y4572" i="1"/>
  <c r="AA4571" i="1"/>
  <c r="Z4571" i="1"/>
  <c r="Y4571" i="1"/>
  <c r="AA4570" i="1"/>
  <c r="Z4570" i="1"/>
  <c r="Y4570" i="1"/>
  <c r="AA4569" i="1"/>
  <c r="Z4569" i="1"/>
  <c r="Y4569" i="1"/>
  <c r="AA4568" i="1"/>
  <c r="Z4568" i="1"/>
  <c r="Y4568" i="1"/>
  <c r="AA4567" i="1"/>
  <c r="Z4567" i="1"/>
  <c r="Y4567" i="1"/>
  <c r="AA4566" i="1"/>
  <c r="Z4566" i="1"/>
  <c r="Y4566" i="1"/>
  <c r="AA4565" i="1"/>
  <c r="Z4565" i="1"/>
  <c r="Y4565" i="1"/>
  <c r="AA4564" i="1"/>
  <c r="Z4564" i="1"/>
  <c r="Y4564" i="1"/>
  <c r="AA4563" i="1"/>
  <c r="Z4563" i="1"/>
  <c r="Y4563" i="1"/>
  <c r="AA4562" i="1"/>
  <c r="Z4562" i="1"/>
  <c r="Y4562" i="1"/>
  <c r="AA4561" i="1"/>
  <c r="Z4561" i="1"/>
  <c r="Y4561" i="1"/>
  <c r="AA4560" i="1"/>
  <c r="Z4560" i="1"/>
  <c r="Y4560" i="1"/>
  <c r="AA4559" i="1"/>
  <c r="Z4559" i="1"/>
  <c r="Y4559" i="1"/>
  <c r="AA4558" i="1"/>
  <c r="Z4558" i="1"/>
  <c r="Y4558" i="1"/>
  <c r="AA4557" i="1"/>
  <c r="Z4557" i="1"/>
  <c r="Y4557" i="1"/>
  <c r="AA4556" i="1"/>
  <c r="Z4556" i="1"/>
  <c r="Y4556" i="1"/>
  <c r="AA4555" i="1"/>
  <c r="Z4555" i="1"/>
  <c r="Y4555" i="1"/>
  <c r="AA4554" i="1"/>
  <c r="Z4554" i="1"/>
  <c r="Y4554" i="1"/>
  <c r="AA4553" i="1"/>
  <c r="Z4553" i="1"/>
  <c r="Y4553" i="1"/>
  <c r="AA4552" i="1"/>
  <c r="Z4552" i="1"/>
  <c r="Y4552" i="1"/>
  <c r="AA4551" i="1"/>
  <c r="Z4551" i="1"/>
  <c r="Y4551" i="1"/>
  <c r="AA4550" i="1"/>
  <c r="Z4550" i="1"/>
  <c r="Y4550" i="1"/>
  <c r="AA4549" i="1"/>
  <c r="Z4549" i="1"/>
  <c r="Y4549" i="1"/>
  <c r="AA4548" i="1"/>
  <c r="Z4548" i="1"/>
  <c r="Y4548" i="1"/>
  <c r="AA4547" i="1"/>
  <c r="Z4547" i="1"/>
  <c r="Y4547" i="1"/>
  <c r="AA4546" i="1"/>
  <c r="Z4546" i="1"/>
  <c r="Y4546" i="1"/>
  <c r="AA4545" i="1"/>
  <c r="Z4545" i="1"/>
  <c r="Y4545" i="1"/>
  <c r="AA4544" i="1"/>
  <c r="Z4544" i="1"/>
  <c r="Y4544" i="1"/>
  <c r="AA4543" i="1"/>
  <c r="Z4543" i="1"/>
  <c r="Y4543" i="1"/>
  <c r="AA4542" i="1"/>
  <c r="Z4542" i="1"/>
  <c r="Y4542" i="1"/>
  <c r="AA4541" i="1"/>
  <c r="Z4541" i="1"/>
  <c r="Y4541" i="1"/>
  <c r="AA4540" i="1"/>
  <c r="Z4540" i="1"/>
  <c r="Y4540" i="1"/>
  <c r="AA4539" i="1"/>
  <c r="Z4539" i="1"/>
  <c r="Y4539" i="1"/>
  <c r="AA4538" i="1"/>
  <c r="Z4538" i="1"/>
  <c r="Y4538" i="1"/>
  <c r="AA4537" i="1"/>
  <c r="Z4537" i="1"/>
  <c r="Y4537" i="1"/>
  <c r="AA4536" i="1"/>
  <c r="Z4536" i="1"/>
  <c r="Y4536" i="1"/>
  <c r="AA4535" i="1"/>
  <c r="Z4535" i="1"/>
  <c r="Y4535" i="1"/>
  <c r="AA4534" i="1"/>
  <c r="Z4534" i="1"/>
  <c r="Y4534" i="1"/>
  <c r="AA4533" i="1"/>
  <c r="Z4533" i="1"/>
  <c r="Y4533" i="1"/>
  <c r="AA4532" i="1"/>
  <c r="Z4532" i="1"/>
  <c r="Y4532" i="1"/>
  <c r="AA4531" i="1"/>
  <c r="Z4531" i="1"/>
  <c r="Y4531" i="1"/>
  <c r="AA4530" i="1"/>
  <c r="Z4530" i="1"/>
  <c r="Y4530" i="1"/>
  <c r="AA4529" i="1"/>
  <c r="Z4529" i="1"/>
  <c r="Y4529" i="1"/>
  <c r="AA4528" i="1"/>
  <c r="Z4528" i="1"/>
  <c r="Y4528" i="1"/>
  <c r="AA4527" i="1"/>
  <c r="Z4527" i="1"/>
  <c r="Y4527" i="1"/>
  <c r="AA4526" i="1"/>
  <c r="Z4526" i="1"/>
  <c r="Y4526" i="1"/>
  <c r="AA4525" i="1"/>
  <c r="Z4525" i="1"/>
  <c r="Y4525" i="1"/>
  <c r="AA4524" i="1"/>
  <c r="Z4524" i="1"/>
  <c r="Y4524" i="1"/>
  <c r="AA4523" i="1"/>
  <c r="Z4523" i="1"/>
  <c r="Y4523" i="1"/>
  <c r="AA4522" i="1"/>
  <c r="Z4522" i="1"/>
  <c r="Y4522" i="1"/>
  <c r="AA4521" i="1"/>
  <c r="Z4521" i="1"/>
  <c r="Y4521" i="1"/>
  <c r="AA4520" i="1"/>
  <c r="Z4520" i="1"/>
  <c r="Y4520" i="1"/>
  <c r="AA4519" i="1"/>
  <c r="Z4519" i="1"/>
  <c r="Y4519" i="1"/>
  <c r="AA4518" i="1"/>
  <c r="Z4518" i="1"/>
  <c r="Y4518" i="1"/>
  <c r="AA4517" i="1"/>
  <c r="Z4517" i="1"/>
  <c r="Y4517" i="1"/>
  <c r="AA4516" i="1"/>
  <c r="Z4516" i="1"/>
  <c r="Y4516" i="1"/>
  <c r="AA4515" i="1"/>
  <c r="Z4515" i="1"/>
  <c r="Y4515" i="1"/>
  <c r="AA4514" i="1"/>
  <c r="Z4514" i="1"/>
  <c r="Y4514" i="1"/>
  <c r="AA4513" i="1"/>
  <c r="Z4513" i="1"/>
  <c r="Y4513" i="1"/>
  <c r="AA4512" i="1"/>
  <c r="Z4512" i="1"/>
  <c r="Y4512" i="1"/>
  <c r="AA4511" i="1"/>
  <c r="Z4511" i="1"/>
  <c r="Y4511" i="1"/>
  <c r="AA4510" i="1"/>
  <c r="Z4510" i="1"/>
  <c r="Y4510" i="1"/>
  <c r="AA4509" i="1"/>
  <c r="Z4509" i="1"/>
  <c r="Y4509" i="1"/>
  <c r="AA4508" i="1"/>
  <c r="Z4508" i="1"/>
  <c r="Y4508" i="1"/>
  <c r="AA4507" i="1"/>
  <c r="Z4507" i="1"/>
  <c r="Y4507" i="1"/>
  <c r="AA4506" i="1"/>
  <c r="Z4506" i="1"/>
  <c r="Y4506" i="1"/>
  <c r="AA4505" i="1"/>
  <c r="Z4505" i="1"/>
  <c r="Y4505" i="1"/>
  <c r="AA4504" i="1"/>
  <c r="Z4504" i="1"/>
  <c r="Y4504" i="1"/>
  <c r="AA4503" i="1"/>
  <c r="Z4503" i="1"/>
  <c r="Y4503" i="1"/>
  <c r="AA4502" i="1"/>
  <c r="Z4502" i="1"/>
  <c r="Y4502" i="1"/>
  <c r="AA4501" i="1"/>
  <c r="Z4501" i="1"/>
  <c r="Y4501" i="1"/>
  <c r="AA4500" i="1"/>
  <c r="Z4500" i="1"/>
  <c r="Y4500" i="1"/>
  <c r="AA4499" i="1"/>
  <c r="Z4499" i="1"/>
  <c r="Y4499" i="1"/>
  <c r="AA4498" i="1"/>
  <c r="Z4498" i="1"/>
  <c r="Y4498" i="1"/>
  <c r="AA4497" i="1"/>
  <c r="Z4497" i="1"/>
  <c r="Y4497" i="1"/>
  <c r="AA4496" i="1"/>
  <c r="Z4496" i="1"/>
  <c r="Y4496" i="1"/>
  <c r="AA4495" i="1"/>
  <c r="Z4495" i="1"/>
  <c r="Y4495" i="1"/>
  <c r="AA4494" i="1"/>
  <c r="Z4494" i="1"/>
  <c r="Y4494" i="1"/>
  <c r="AA4493" i="1"/>
  <c r="Z4493" i="1"/>
  <c r="Y4493" i="1"/>
  <c r="AA4492" i="1"/>
  <c r="Z4492" i="1"/>
  <c r="Y4492" i="1"/>
  <c r="AA4491" i="1"/>
  <c r="Z4491" i="1"/>
  <c r="Y4491" i="1"/>
  <c r="AA4490" i="1"/>
  <c r="Z4490" i="1"/>
  <c r="Y4490" i="1"/>
  <c r="AA4489" i="1"/>
  <c r="Z4489" i="1"/>
  <c r="Y4489" i="1"/>
  <c r="AA4488" i="1"/>
  <c r="Z4488" i="1"/>
  <c r="Y4488" i="1"/>
  <c r="AA4487" i="1"/>
  <c r="Z4487" i="1"/>
  <c r="Y4487" i="1"/>
  <c r="AA4486" i="1"/>
  <c r="Z4486" i="1"/>
  <c r="Y4486" i="1"/>
  <c r="AA4485" i="1"/>
  <c r="Z4485" i="1"/>
  <c r="Y4485" i="1"/>
  <c r="AA4484" i="1"/>
  <c r="Z4484" i="1"/>
  <c r="Y4484" i="1"/>
  <c r="AA4483" i="1"/>
  <c r="Z4483" i="1"/>
  <c r="Y4483" i="1"/>
  <c r="AA4482" i="1"/>
  <c r="Z4482" i="1"/>
  <c r="Y4482" i="1"/>
  <c r="AA4481" i="1"/>
  <c r="Z4481" i="1"/>
  <c r="Y4481" i="1"/>
  <c r="AA4480" i="1"/>
  <c r="Z4480" i="1"/>
  <c r="Y4480" i="1"/>
  <c r="AA4479" i="1"/>
  <c r="Z4479" i="1"/>
  <c r="Y4479" i="1"/>
  <c r="AA4478" i="1"/>
  <c r="Z4478" i="1"/>
  <c r="Y4478" i="1"/>
  <c r="AA4477" i="1"/>
  <c r="Z4477" i="1"/>
  <c r="Y4477" i="1"/>
  <c r="AA4476" i="1"/>
  <c r="Z4476" i="1"/>
  <c r="Y4476" i="1"/>
  <c r="AA4475" i="1"/>
  <c r="Z4475" i="1"/>
  <c r="Y4475" i="1"/>
  <c r="AA4474" i="1"/>
  <c r="Z4474" i="1"/>
  <c r="Y4474" i="1"/>
  <c r="AA4473" i="1"/>
  <c r="Z4473" i="1"/>
  <c r="Y4473" i="1"/>
  <c r="AA4472" i="1"/>
  <c r="Z4472" i="1"/>
  <c r="Y4472" i="1"/>
  <c r="AA4471" i="1"/>
  <c r="Z4471" i="1"/>
  <c r="Y4471" i="1"/>
  <c r="AA4470" i="1"/>
  <c r="Z4470" i="1"/>
  <c r="Y4470" i="1"/>
  <c r="AA4469" i="1"/>
  <c r="Z4469" i="1"/>
  <c r="Y4469" i="1"/>
  <c r="AA4468" i="1"/>
  <c r="Z4468" i="1"/>
  <c r="Y4468" i="1"/>
  <c r="AA4467" i="1"/>
  <c r="Z4467" i="1"/>
  <c r="Y4467" i="1"/>
  <c r="AA4466" i="1"/>
  <c r="Z4466" i="1"/>
  <c r="Y4466" i="1"/>
  <c r="AA4465" i="1"/>
  <c r="Z4465" i="1"/>
  <c r="Y4465" i="1"/>
  <c r="AA4464" i="1"/>
  <c r="Z4464" i="1"/>
  <c r="Y4464" i="1"/>
  <c r="AA4463" i="1"/>
  <c r="Z4463" i="1"/>
  <c r="Y4463" i="1"/>
  <c r="AA4462" i="1"/>
  <c r="Z4462" i="1"/>
  <c r="Y4462" i="1"/>
  <c r="AA4461" i="1"/>
  <c r="Z4461" i="1"/>
  <c r="Y4461" i="1"/>
  <c r="AA4460" i="1"/>
  <c r="Z4460" i="1"/>
  <c r="Y4460" i="1"/>
  <c r="AA4459" i="1"/>
  <c r="Z4459" i="1"/>
  <c r="Y4459" i="1"/>
  <c r="AA4458" i="1"/>
  <c r="Z4458" i="1"/>
  <c r="Y4458" i="1"/>
  <c r="AA4457" i="1"/>
  <c r="Z4457" i="1"/>
  <c r="Y4457" i="1"/>
  <c r="AA4456" i="1"/>
  <c r="Z4456" i="1"/>
  <c r="Y4456" i="1"/>
  <c r="AA4455" i="1"/>
  <c r="Z4455" i="1"/>
  <c r="Y4455" i="1"/>
  <c r="AA4454" i="1"/>
  <c r="Z4454" i="1"/>
  <c r="Y4454" i="1"/>
  <c r="AA4453" i="1"/>
  <c r="Z4453" i="1"/>
  <c r="Y4453" i="1"/>
  <c r="AA4452" i="1"/>
  <c r="Z4452" i="1"/>
  <c r="Y4452" i="1"/>
  <c r="AA4451" i="1"/>
  <c r="Z4451" i="1"/>
  <c r="Y4451" i="1"/>
  <c r="AA4450" i="1"/>
  <c r="Z4450" i="1"/>
  <c r="Y4450" i="1"/>
  <c r="AA4449" i="1"/>
  <c r="Z4449" i="1"/>
  <c r="Y4449" i="1"/>
  <c r="AA4448" i="1"/>
  <c r="Z4448" i="1"/>
  <c r="Y4448" i="1"/>
  <c r="AA4447" i="1"/>
  <c r="Z4447" i="1"/>
  <c r="Y4447" i="1"/>
  <c r="AA4446" i="1"/>
  <c r="Z4446" i="1"/>
  <c r="Y4446" i="1"/>
  <c r="AA4445" i="1"/>
  <c r="Z4445" i="1"/>
  <c r="Y4445" i="1"/>
  <c r="AA4444" i="1"/>
  <c r="Z4444" i="1"/>
  <c r="Y4444" i="1"/>
  <c r="AA4443" i="1"/>
  <c r="Z4443" i="1"/>
  <c r="Y4443" i="1"/>
  <c r="AA4442" i="1"/>
  <c r="Z4442" i="1"/>
  <c r="Y4442" i="1"/>
  <c r="AA4441" i="1"/>
  <c r="Z4441" i="1"/>
  <c r="Y4441" i="1"/>
  <c r="AA4440" i="1"/>
  <c r="Z4440" i="1"/>
  <c r="Y4440" i="1"/>
  <c r="AA4439" i="1"/>
  <c r="Z4439" i="1"/>
  <c r="Y4439" i="1"/>
  <c r="AA4438" i="1"/>
  <c r="Z4438" i="1"/>
  <c r="Y4438" i="1"/>
  <c r="AA4437" i="1"/>
  <c r="Z4437" i="1"/>
  <c r="Y4437" i="1"/>
  <c r="AA4436" i="1"/>
  <c r="Z4436" i="1"/>
  <c r="Y4436" i="1"/>
  <c r="AA4435" i="1"/>
  <c r="Z4435" i="1"/>
  <c r="Y4435" i="1"/>
  <c r="AA4434" i="1"/>
  <c r="Z4434" i="1"/>
  <c r="Y4434" i="1"/>
  <c r="AA4433" i="1"/>
  <c r="Z4433" i="1"/>
  <c r="Y4433" i="1"/>
  <c r="AA4432" i="1"/>
  <c r="Z4432" i="1"/>
  <c r="Y4432" i="1"/>
  <c r="AA4431" i="1"/>
  <c r="Z4431" i="1"/>
  <c r="Y4431" i="1"/>
  <c r="AA4430" i="1"/>
  <c r="Z4430" i="1"/>
  <c r="Y4430" i="1"/>
  <c r="AA4429" i="1"/>
  <c r="Z4429" i="1"/>
  <c r="Y4429" i="1"/>
  <c r="AA4428" i="1"/>
  <c r="Z4428" i="1"/>
  <c r="Y4428" i="1"/>
  <c r="AA4427" i="1"/>
  <c r="Z4427" i="1"/>
  <c r="Y4427" i="1"/>
  <c r="AA4426" i="1"/>
  <c r="Z4426" i="1"/>
  <c r="Y4426" i="1"/>
  <c r="AA4425" i="1"/>
  <c r="Z4425" i="1"/>
  <c r="Y4425" i="1"/>
  <c r="AA4424" i="1"/>
  <c r="Z4424" i="1"/>
  <c r="Y4424" i="1"/>
  <c r="AA4423" i="1"/>
  <c r="Z4423" i="1"/>
  <c r="Y4423" i="1"/>
  <c r="AA4422" i="1"/>
  <c r="Z4422" i="1"/>
  <c r="Y4422" i="1"/>
  <c r="AA4421" i="1"/>
  <c r="Z4421" i="1"/>
  <c r="Y4421" i="1"/>
  <c r="AA4420" i="1"/>
  <c r="Z4420" i="1"/>
  <c r="Y4420" i="1"/>
  <c r="AA4419" i="1"/>
  <c r="Z4419" i="1"/>
  <c r="Y4419" i="1"/>
  <c r="AA4418" i="1"/>
  <c r="Z4418" i="1"/>
  <c r="Y4418" i="1"/>
  <c r="AA4417" i="1"/>
  <c r="Z4417" i="1"/>
  <c r="Y4417" i="1"/>
  <c r="AA4416" i="1"/>
  <c r="Z4416" i="1"/>
  <c r="Y4416" i="1"/>
  <c r="AA4415" i="1"/>
  <c r="Z4415" i="1"/>
  <c r="Y4415" i="1"/>
  <c r="AA4414" i="1"/>
  <c r="Z4414" i="1"/>
  <c r="Y4414" i="1"/>
  <c r="AA4413" i="1"/>
  <c r="Z4413" i="1"/>
  <c r="Y4413" i="1"/>
  <c r="AA4412" i="1"/>
  <c r="Z4412" i="1"/>
  <c r="Y4412" i="1"/>
  <c r="AA4411" i="1"/>
  <c r="Z4411" i="1"/>
  <c r="Y4411" i="1"/>
  <c r="AA4410" i="1"/>
  <c r="Z4410" i="1"/>
  <c r="Y4410" i="1"/>
  <c r="AA4409" i="1"/>
  <c r="Z4409" i="1"/>
  <c r="Y4409" i="1"/>
  <c r="AA4408" i="1"/>
  <c r="Z4408" i="1"/>
  <c r="Y4408" i="1"/>
  <c r="AA4407" i="1"/>
  <c r="Z4407" i="1"/>
  <c r="Y4407" i="1"/>
  <c r="AA4406" i="1"/>
  <c r="Z4406" i="1"/>
  <c r="Y4406" i="1"/>
  <c r="AA4405" i="1"/>
  <c r="Z4405" i="1"/>
  <c r="Y4405" i="1"/>
  <c r="AA4404" i="1"/>
  <c r="Z4404" i="1"/>
  <c r="Y4404" i="1"/>
  <c r="AA4403" i="1"/>
  <c r="Z4403" i="1"/>
  <c r="Y4403" i="1"/>
  <c r="AA4402" i="1"/>
  <c r="Z4402" i="1"/>
  <c r="Y4402" i="1"/>
  <c r="AA4401" i="1"/>
  <c r="Z4401" i="1"/>
  <c r="Y4401" i="1"/>
  <c r="AA4400" i="1"/>
  <c r="Z4400" i="1"/>
  <c r="Y4400" i="1"/>
  <c r="AA4399" i="1"/>
  <c r="Z4399" i="1"/>
  <c r="Y4399" i="1"/>
  <c r="AA4398" i="1"/>
  <c r="Z4398" i="1"/>
  <c r="Y4398" i="1"/>
  <c r="AA4397" i="1"/>
  <c r="Z4397" i="1"/>
  <c r="Y4397" i="1"/>
  <c r="AA4396" i="1"/>
  <c r="Z4396" i="1"/>
  <c r="Y4396" i="1"/>
  <c r="AA4395" i="1"/>
  <c r="Z4395" i="1"/>
  <c r="Y4395" i="1"/>
  <c r="AA4394" i="1"/>
  <c r="Z4394" i="1"/>
  <c r="Y4394" i="1"/>
  <c r="AA4393" i="1"/>
  <c r="Z4393" i="1"/>
  <c r="Y4393" i="1"/>
  <c r="AA4392" i="1"/>
  <c r="Z4392" i="1"/>
  <c r="Y4392" i="1"/>
  <c r="AA4391" i="1"/>
  <c r="Z4391" i="1"/>
  <c r="Y4391" i="1"/>
  <c r="AA4390" i="1"/>
  <c r="Z4390" i="1"/>
  <c r="Y4390" i="1"/>
  <c r="AA4389" i="1"/>
  <c r="Z4389" i="1"/>
  <c r="Y4389" i="1"/>
  <c r="AA4388" i="1"/>
  <c r="Z4388" i="1"/>
  <c r="Y4388" i="1"/>
  <c r="AA4387" i="1"/>
  <c r="Z4387" i="1"/>
  <c r="Y4387" i="1"/>
  <c r="AA4386" i="1"/>
  <c r="Z4386" i="1"/>
  <c r="Y4386" i="1"/>
  <c r="AA4385" i="1"/>
  <c r="Z4385" i="1"/>
  <c r="Y4385" i="1"/>
  <c r="AA4384" i="1"/>
  <c r="Z4384" i="1"/>
  <c r="Y4384" i="1"/>
  <c r="AA4383" i="1"/>
  <c r="Z4383" i="1"/>
  <c r="Y4383" i="1"/>
  <c r="AA4382" i="1"/>
  <c r="Z4382" i="1"/>
  <c r="Y4382" i="1"/>
  <c r="AA4381" i="1"/>
  <c r="Z4381" i="1"/>
  <c r="Y4381" i="1"/>
  <c r="AA4380" i="1"/>
  <c r="Z4380" i="1"/>
  <c r="Y4380" i="1"/>
  <c r="AA4379" i="1"/>
  <c r="Z4379" i="1"/>
  <c r="Y4379" i="1"/>
  <c r="AA4378" i="1"/>
  <c r="Z4378" i="1"/>
  <c r="Y4378" i="1"/>
  <c r="AA4377" i="1"/>
  <c r="Z4377" i="1"/>
  <c r="Y4377" i="1"/>
  <c r="AA4376" i="1"/>
  <c r="Z4376" i="1"/>
  <c r="Y4376" i="1"/>
  <c r="AA4375" i="1"/>
  <c r="Z4375" i="1"/>
  <c r="Y4375" i="1"/>
  <c r="AA4374" i="1"/>
  <c r="Z4374" i="1"/>
  <c r="Y4374" i="1"/>
  <c r="AA4373" i="1"/>
  <c r="Z4373" i="1"/>
  <c r="Y4373" i="1"/>
  <c r="AA4372" i="1"/>
  <c r="Z4372" i="1"/>
  <c r="Y4372" i="1"/>
  <c r="AA4371" i="1"/>
  <c r="Z4371" i="1"/>
  <c r="Y4371" i="1"/>
  <c r="AA4370" i="1"/>
  <c r="Z4370" i="1"/>
  <c r="Y4370" i="1"/>
  <c r="AA4369" i="1"/>
  <c r="Z4369" i="1"/>
  <c r="Y4369" i="1"/>
  <c r="AA4368" i="1"/>
  <c r="Z4368" i="1"/>
  <c r="Y4368" i="1"/>
  <c r="AA4367" i="1"/>
  <c r="Z4367" i="1"/>
  <c r="Y4367" i="1"/>
  <c r="AA4366" i="1"/>
  <c r="Z4366" i="1"/>
  <c r="Y4366" i="1"/>
  <c r="AA4365" i="1"/>
  <c r="Z4365" i="1"/>
  <c r="Y4365" i="1"/>
  <c r="AA4364" i="1"/>
  <c r="Z4364" i="1"/>
  <c r="Y4364" i="1"/>
  <c r="AA4363" i="1"/>
  <c r="Z4363" i="1"/>
  <c r="Y4363" i="1"/>
  <c r="AA4362" i="1"/>
  <c r="Z4362" i="1"/>
  <c r="Y4362" i="1"/>
  <c r="AA4361" i="1"/>
  <c r="Z4361" i="1"/>
  <c r="Y4361" i="1"/>
  <c r="AA4360" i="1"/>
  <c r="Z4360" i="1"/>
  <c r="Y4360" i="1"/>
  <c r="AA4359" i="1"/>
  <c r="Z4359" i="1"/>
  <c r="Y4359" i="1"/>
  <c r="AA4358" i="1"/>
  <c r="Z4358" i="1"/>
  <c r="Y4358" i="1"/>
  <c r="AA4357" i="1"/>
  <c r="Z4357" i="1"/>
  <c r="Y4357" i="1"/>
  <c r="AA4356" i="1"/>
  <c r="Z4356" i="1"/>
  <c r="Y4356" i="1"/>
  <c r="AA4355" i="1"/>
  <c r="Z4355" i="1"/>
  <c r="Y4355" i="1"/>
  <c r="AA4354" i="1"/>
  <c r="Z4354" i="1"/>
  <c r="Y4354" i="1"/>
  <c r="AA4353" i="1"/>
  <c r="Z4353" i="1"/>
  <c r="Y4353" i="1"/>
  <c r="AA4352" i="1"/>
  <c r="Z4352" i="1"/>
  <c r="Y4352" i="1"/>
  <c r="AA4351" i="1"/>
  <c r="Z4351" i="1"/>
  <c r="Y4351" i="1"/>
  <c r="AA4350" i="1"/>
  <c r="Z4350" i="1"/>
  <c r="Y4350" i="1"/>
  <c r="AA4349" i="1"/>
  <c r="Z4349" i="1"/>
  <c r="Y4349" i="1"/>
  <c r="AA4348" i="1"/>
  <c r="Z4348" i="1"/>
  <c r="Y4348" i="1"/>
  <c r="AA4347" i="1"/>
  <c r="Z4347" i="1"/>
  <c r="Y4347" i="1"/>
  <c r="AA4346" i="1"/>
  <c r="Z4346" i="1"/>
  <c r="Y4346" i="1"/>
  <c r="AA4345" i="1"/>
  <c r="Z4345" i="1"/>
  <c r="Y4345" i="1"/>
  <c r="AA4344" i="1"/>
  <c r="Z4344" i="1"/>
  <c r="Y4344" i="1"/>
  <c r="AA4343" i="1"/>
  <c r="Z4343" i="1"/>
  <c r="Y4343" i="1"/>
  <c r="AA4342" i="1"/>
  <c r="Z4342" i="1"/>
  <c r="Y4342" i="1"/>
  <c r="AA4341" i="1"/>
  <c r="Z4341" i="1"/>
  <c r="Y4341" i="1"/>
  <c r="AA4340" i="1"/>
  <c r="Z4340" i="1"/>
  <c r="Y4340" i="1"/>
  <c r="AA4339" i="1"/>
  <c r="Z4339" i="1"/>
  <c r="Y4339" i="1"/>
  <c r="AA4338" i="1"/>
  <c r="Z4338" i="1"/>
  <c r="Y4338" i="1"/>
  <c r="AA4337" i="1"/>
  <c r="Z4337" i="1"/>
  <c r="Y4337" i="1"/>
  <c r="AA4336" i="1"/>
  <c r="Z4336" i="1"/>
  <c r="Y4336" i="1"/>
  <c r="AA4335" i="1"/>
  <c r="Z4335" i="1"/>
  <c r="Y4335" i="1"/>
  <c r="AA4334" i="1"/>
  <c r="Z4334" i="1"/>
  <c r="Y4334" i="1"/>
  <c r="AA4333" i="1"/>
  <c r="Z4333" i="1"/>
  <c r="Y4333" i="1"/>
  <c r="AA4332" i="1"/>
  <c r="Z4332" i="1"/>
  <c r="Y4332" i="1"/>
  <c r="AA4331" i="1"/>
  <c r="Z4331" i="1"/>
  <c r="Y4331" i="1"/>
  <c r="AA4330" i="1"/>
  <c r="Z4330" i="1"/>
  <c r="Y4330" i="1"/>
  <c r="AA4329" i="1"/>
  <c r="Z4329" i="1"/>
  <c r="Y4329" i="1"/>
  <c r="AA4328" i="1"/>
  <c r="Z4328" i="1"/>
  <c r="Y4328" i="1"/>
  <c r="AA4327" i="1"/>
  <c r="Z4327" i="1"/>
  <c r="Y4327" i="1"/>
  <c r="AA4326" i="1"/>
  <c r="Z4326" i="1"/>
  <c r="Y4326" i="1"/>
  <c r="AA4325" i="1"/>
  <c r="Z4325" i="1"/>
  <c r="Y4325" i="1"/>
  <c r="AA4324" i="1"/>
  <c r="Z4324" i="1"/>
  <c r="Y4324" i="1"/>
  <c r="AA4323" i="1"/>
  <c r="Z4323" i="1"/>
  <c r="Y4323" i="1"/>
  <c r="AA4322" i="1"/>
  <c r="Z4322" i="1"/>
  <c r="Y4322" i="1"/>
  <c r="AA4321" i="1"/>
  <c r="Z4321" i="1"/>
  <c r="Y4321" i="1"/>
  <c r="AA4320" i="1"/>
  <c r="Z4320" i="1"/>
  <c r="Y4320" i="1"/>
  <c r="AA4319" i="1"/>
  <c r="Z4319" i="1"/>
  <c r="Y4319" i="1"/>
  <c r="AA4318" i="1"/>
  <c r="Z4318" i="1"/>
  <c r="Y4318" i="1"/>
  <c r="AA4317" i="1"/>
  <c r="Z4317" i="1"/>
  <c r="Y4317" i="1"/>
  <c r="AA4316" i="1"/>
  <c r="Z4316" i="1"/>
  <c r="Y4316" i="1"/>
  <c r="AA4315" i="1"/>
  <c r="Z4315" i="1"/>
  <c r="Y4315" i="1"/>
  <c r="AA4314" i="1"/>
  <c r="Z4314" i="1"/>
  <c r="Y4314" i="1"/>
  <c r="AA4313" i="1"/>
  <c r="Z4313" i="1"/>
  <c r="Y4313" i="1"/>
  <c r="AA4312" i="1"/>
  <c r="Z4312" i="1"/>
  <c r="Y4312" i="1"/>
  <c r="AA4311" i="1"/>
  <c r="Z4311" i="1"/>
  <c r="Y4311" i="1"/>
  <c r="AA4310" i="1"/>
  <c r="Z4310" i="1"/>
  <c r="Y4310" i="1"/>
  <c r="AA4309" i="1"/>
  <c r="Z4309" i="1"/>
  <c r="Y4309" i="1"/>
  <c r="AA4308" i="1"/>
  <c r="Z4308" i="1"/>
  <c r="Y4308" i="1"/>
  <c r="AA4307" i="1"/>
  <c r="Z4307" i="1"/>
  <c r="Y4307" i="1"/>
  <c r="AA4306" i="1"/>
  <c r="Z4306" i="1"/>
  <c r="Y4306" i="1"/>
  <c r="AA4305" i="1"/>
  <c r="Z4305" i="1"/>
  <c r="Y4305" i="1"/>
  <c r="AA4304" i="1"/>
  <c r="Z4304" i="1"/>
  <c r="Y4304" i="1"/>
  <c r="AA4303" i="1"/>
  <c r="Z4303" i="1"/>
  <c r="Y4303" i="1"/>
  <c r="AA4302" i="1"/>
  <c r="Z4302" i="1"/>
  <c r="Y4302" i="1"/>
  <c r="AA4301" i="1"/>
  <c r="Z4301" i="1"/>
  <c r="Y4301" i="1"/>
  <c r="AA4300" i="1"/>
  <c r="Z4300" i="1"/>
  <c r="Y4300" i="1"/>
  <c r="AA4299" i="1"/>
  <c r="Z4299" i="1"/>
  <c r="Y4299" i="1"/>
  <c r="AA4298" i="1"/>
  <c r="Z4298" i="1"/>
  <c r="Y4298" i="1"/>
  <c r="AA4297" i="1"/>
  <c r="Z4297" i="1"/>
  <c r="Y4297" i="1"/>
  <c r="AA4296" i="1"/>
  <c r="Z4296" i="1"/>
  <c r="Y4296" i="1"/>
  <c r="AA4295" i="1"/>
  <c r="Z4295" i="1"/>
  <c r="Y4295" i="1"/>
  <c r="AA4294" i="1"/>
  <c r="Z4294" i="1"/>
  <c r="Y4294" i="1"/>
  <c r="AA4293" i="1"/>
  <c r="Z4293" i="1"/>
  <c r="Y4293" i="1"/>
  <c r="AA4292" i="1"/>
  <c r="Z4292" i="1"/>
  <c r="Y4292" i="1"/>
  <c r="AA4291" i="1"/>
  <c r="Z4291" i="1"/>
  <c r="Y4291" i="1"/>
  <c r="AA4290" i="1"/>
  <c r="Z4290" i="1"/>
  <c r="Y4290" i="1"/>
  <c r="AA4289" i="1"/>
  <c r="Z4289" i="1"/>
  <c r="Y4289" i="1"/>
  <c r="AA4288" i="1"/>
  <c r="Z4288" i="1"/>
  <c r="Y4288" i="1"/>
  <c r="AA4287" i="1"/>
  <c r="Z4287" i="1"/>
  <c r="Y4287" i="1"/>
  <c r="AA4286" i="1"/>
  <c r="Z4286" i="1"/>
  <c r="Y4286" i="1"/>
  <c r="AA4285" i="1"/>
  <c r="Z4285" i="1"/>
  <c r="Y4285" i="1"/>
  <c r="AA4284" i="1"/>
  <c r="Z4284" i="1"/>
  <c r="Y4284" i="1"/>
  <c r="AA4283" i="1"/>
  <c r="Z4283" i="1"/>
  <c r="Y4283" i="1"/>
  <c r="AA4282" i="1"/>
  <c r="Z4282" i="1"/>
  <c r="Y4282" i="1"/>
  <c r="AA4281" i="1"/>
  <c r="Z4281" i="1"/>
  <c r="Y4281" i="1"/>
  <c r="AA4280" i="1"/>
  <c r="Z4280" i="1"/>
  <c r="Y4280" i="1"/>
  <c r="AA4279" i="1"/>
  <c r="Z4279" i="1"/>
  <c r="Y4279" i="1"/>
  <c r="AA4278" i="1"/>
  <c r="Z4278" i="1"/>
  <c r="Y4278" i="1"/>
  <c r="AA4277" i="1"/>
  <c r="Z4277" i="1"/>
  <c r="Y4277" i="1"/>
  <c r="AA4276" i="1"/>
  <c r="Z4276" i="1"/>
  <c r="Y4276" i="1"/>
  <c r="AA4275" i="1"/>
  <c r="Z4275" i="1"/>
  <c r="Y4275" i="1"/>
  <c r="AA4274" i="1"/>
  <c r="Z4274" i="1"/>
  <c r="Y4274" i="1"/>
  <c r="AA4273" i="1"/>
  <c r="Z4273" i="1"/>
  <c r="Y4273" i="1"/>
  <c r="AA4272" i="1"/>
  <c r="Z4272" i="1"/>
  <c r="Y4272" i="1"/>
  <c r="AA4271" i="1"/>
  <c r="Z4271" i="1"/>
  <c r="Y4271" i="1"/>
  <c r="AA4270" i="1"/>
  <c r="Z4270" i="1"/>
  <c r="Y4270" i="1"/>
  <c r="AA4269" i="1"/>
  <c r="Z4269" i="1"/>
  <c r="Y4269" i="1"/>
  <c r="AA4268" i="1"/>
  <c r="Z4268" i="1"/>
  <c r="Y4268" i="1"/>
  <c r="AA4267" i="1"/>
  <c r="Z4267" i="1"/>
  <c r="Y4267" i="1"/>
  <c r="AA4266" i="1"/>
  <c r="Z4266" i="1"/>
  <c r="Y4266" i="1"/>
  <c r="AA4265" i="1"/>
  <c r="Z4265" i="1"/>
  <c r="Y4265" i="1"/>
  <c r="AA4264" i="1"/>
  <c r="Z4264" i="1"/>
  <c r="Y4264" i="1"/>
  <c r="AA4263" i="1"/>
  <c r="Z4263" i="1"/>
  <c r="Y4263" i="1"/>
  <c r="AA4262" i="1"/>
  <c r="Z4262" i="1"/>
  <c r="Y4262" i="1"/>
  <c r="AA4261" i="1"/>
  <c r="Z4261" i="1"/>
  <c r="Y4261" i="1"/>
  <c r="AA4260" i="1"/>
  <c r="Z4260" i="1"/>
  <c r="Y4260" i="1"/>
  <c r="AA4259" i="1"/>
  <c r="Z4259" i="1"/>
  <c r="Y4259" i="1"/>
  <c r="AA4258" i="1"/>
  <c r="Z4258" i="1"/>
  <c r="Y4258" i="1"/>
  <c r="AA4257" i="1"/>
  <c r="Z4257" i="1"/>
  <c r="Y4257" i="1"/>
  <c r="AA4256" i="1"/>
  <c r="Z4256" i="1"/>
  <c r="Y4256" i="1"/>
  <c r="AA4255" i="1"/>
  <c r="Z4255" i="1"/>
  <c r="Y4255" i="1"/>
  <c r="AA4254" i="1"/>
  <c r="Z4254" i="1"/>
  <c r="Y4254" i="1"/>
  <c r="AA4253" i="1"/>
  <c r="Z4253" i="1"/>
  <c r="Y4253" i="1"/>
  <c r="AA4252" i="1"/>
  <c r="Z4252" i="1"/>
  <c r="Y4252" i="1"/>
  <c r="AA4251" i="1"/>
  <c r="Z4251" i="1"/>
  <c r="Y4251" i="1"/>
  <c r="AA4250" i="1"/>
  <c r="Z4250" i="1"/>
  <c r="Y4250" i="1"/>
  <c r="AA4249" i="1"/>
  <c r="Z4249" i="1"/>
  <c r="Y4249" i="1"/>
  <c r="AA4248" i="1"/>
  <c r="Z4248" i="1"/>
  <c r="Y4248" i="1"/>
  <c r="AA4247" i="1"/>
  <c r="Z4247" i="1"/>
  <c r="Y4247" i="1"/>
  <c r="AA4246" i="1"/>
  <c r="Z4246" i="1"/>
  <c r="Y4246" i="1"/>
  <c r="AA4245" i="1"/>
  <c r="Z4245" i="1"/>
  <c r="Y4245" i="1"/>
  <c r="AA4244" i="1"/>
  <c r="Z4244" i="1"/>
  <c r="Y4244" i="1"/>
  <c r="AA4243" i="1"/>
  <c r="Z4243" i="1"/>
  <c r="Y4243" i="1"/>
  <c r="AA4242" i="1"/>
  <c r="Z4242" i="1"/>
  <c r="Y4242" i="1"/>
  <c r="AA4241" i="1"/>
  <c r="Z4241" i="1"/>
  <c r="Y4241" i="1"/>
  <c r="AA4240" i="1"/>
  <c r="Z4240" i="1"/>
  <c r="Y4240" i="1"/>
  <c r="AA4239" i="1"/>
  <c r="Z4239" i="1"/>
  <c r="Y4239" i="1"/>
  <c r="AA4238" i="1"/>
  <c r="Z4238" i="1"/>
  <c r="Y4238" i="1"/>
  <c r="AA4237" i="1"/>
  <c r="Z4237" i="1"/>
  <c r="Y4237" i="1"/>
  <c r="AA4236" i="1"/>
  <c r="Z4236" i="1"/>
  <c r="Y4236" i="1"/>
  <c r="AA4235" i="1"/>
  <c r="Z4235" i="1"/>
  <c r="Y4235" i="1"/>
  <c r="AA4234" i="1"/>
  <c r="Z4234" i="1"/>
  <c r="Y4234" i="1"/>
  <c r="AA4233" i="1"/>
  <c r="Z4233" i="1"/>
  <c r="Y4233" i="1"/>
  <c r="AA4232" i="1"/>
  <c r="Z4232" i="1"/>
  <c r="Y4232" i="1"/>
  <c r="AA4231" i="1"/>
  <c r="Z4231" i="1"/>
  <c r="Y4231" i="1"/>
  <c r="AA4230" i="1"/>
  <c r="Z4230" i="1"/>
  <c r="Y4230" i="1"/>
  <c r="AA4229" i="1"/>
  <c r="Z4229" i="1"/>
  <c r="Y4229" i="1"/>
  <c r="AA4228" i="1"/>
  <c r="Z4228" i="1"/>
  <c r="Y4228" i="1"/>
  <c r="AA4227" i="1"/>
  <c r="Z4227" i="1"/>
  <c r="Y4227" i="1"/>
  <c r="AA4226" i="1"/>
  <c r="Z4226" i="1"/>
  <c r="Y4226" i="1"/>
  <c r="AA4225" i="1"/>
  <c r="Z4225" i="1"/>
  <c r="Y4225" i="1"/>
  <c r="AA4224" i="1"/>
  <c r="Z4224" i="1"/>
  <c r="Y4224" i="1"/>
  <c r="AA4223" i="1"/>
  <c r="Z4223" i="1"/>
  <c r="Y4223" i="1"/>
  <c r="AA4222" i="1"/>
  <c r="Z4222" i="1"/>
  <c r="Y4222" i="1"/>
  <c r="AA4221" i="1"/>
  <c r="Z4221" i="1"/>
  <c r="Y4221" i="1"/>
  <c r="AA4220" i="1"/>
  <c r="Z4220" i="1"/>
  <c r="Y4220" i="1"/>
  <c r="AA4219" i="1"/>
  <c r="Z4219" i="1"/>
  <c r="Y4219" i="1"/>
  <c r="AA4218" i="1"/>
  <c r="Z4218" i="1"/>
  <c r="Y4218" i="1"/>
  <c r="AA4217" i="1"/>
  <c r="Z4217" i="1"/>
  <c r="Y4217" i="1"/>
  <c r="AA4216" i="1"/>
  <c r="Z4216" i="1"/>
  <c r="Y4216" i="1"/>
  <c r="AA4215" i="1"/>
  <c r="Z4215" i="1"/>
  <c r="Y4215" i="1"/>
  <c r="AA4214" i="1"/>
  <c r="Z4214" i="1"/>
  <c r="Y4214" i="1"/>
  <c r="AA4213" i="1"/>
  <c r="Z4213" i="1"/>
  <c r="Y4213" i="1"/>
  <c r="AA4212" i="1"/>
  <c r="Z4212" i="1"/>
  <c r="Y4212" i="1"/>
  <c r="AA4211" i="1"/>
  <c r="Z4211" i="1"/>
  <c r="Y4211" i="1"/>
  <c r="AA4210" i="1"/>
  <c r="Z4210" i="1"/>
  <c r="Y4210" i="1"/>
  <c r="AA4209" i="1"/>
  <c r="Z4209" i="1"/>
  <c r="Y4209" i="1"/>
  <c r="AA4208" i="1"/>
  <c r="Z4208" i="1"/>
  <c r="Y4208" i="1"/>
  <c r="AA4207" i="1"/>
  <c r="Z4207" i="1"/>
  <c r="Y4207" i="1"/>
  <c r="AA4206" i="1"/>
  <c r="Z4206" i="1"/>
  <c r="Y4206" i="1"/>
  <c r="AA4205" i="1"/>
  <c r="Z4205" i="1"/>
  <c r="Y4205" i="1"/>
  <c r="AA4204" i="1"/>
  <c r="Z4204" i="1"/>
  <c r="Y4204" i="1"/>
  <c r="AA4203" i="1"/>
  <c r="Z4203" i="1"/>
  <c r="Y4203" i="1"/>
  <c r="AA4202" i="1"/>
  <c r="Z4202" i="1"/>
  <c r="Y4202" i="1"/>
  <c r="AA4201" i="1"/>
  <c r="Z4201" i="1"/>
  <c r="Y4201" i="1"/>
  <c r="AA4200" i="1"/>
  <c r="Z4200" i="1"/>
  <c r="Y4200" i="1"/>
  <c r="AA4199" i="1"/>
  <c r="Z4199" i="1"/>
  <c r="Y4199" i="1"/>
  <c r="AA4198" i="1"/>
  <c r="Z4198" i="1"/>
  <c r="Y4198" i="1"/>
  <c r="AA4197" i="1"/>
  <c r="Z4197" i="1"/>
  <c r="Y4197" i="1"/>
  <c r="AA4196" i="1"/>
  <c r="Z4196" i="1"/>
  <c r="Y4196" i="1"/>
  <c r="AA4195" i="1"/>
  <c r="Z4195" i="1"/>
  <c r="Y4195" i="1"/>
  <c r="AA4194" i="1"/>
  <c r="Z4194" i="1"/>
  <c r="Y4194" i="1"/>
  <c r="AA4193" i="1"/>
  <c r="Z4193" i="1"/>
  <c r="Y4193" i="1"/>
  <c r="AA4192" i="1"/>
  <c r="Z4192" i="1"/>
  <c r="Y4192" i="1"/>
  <c r="AA4191" i="1"/>
  <c r="Z4191" i="1"/>
  <c r="Y4191" i="1"/>
  <c r="AA4190" i="1"/>
  <c r="Z4190" i="1"/>
  <c r="Y4190" i="1"/>
  <c r="AA4189" i="1"/>
  <c r="Z4189" i="1"/>
  <c r="Y4189" i="1"/>
  <c r="AA4188" i="1"/>
  <c r="Z4188" i="1"/>
  <c r="Y4188" i="1"/>
  <c r="AA4187" i="1"/>
  <c r="Z4187" i="1"/>
  <c r="Y4187" i="1"/>
  <c r="AA4186" i="1"/>
  <c r="Z4186" i="1"/>
  <c r="Y4186" i="1"/>
  <c r="AA4185" i="1"/>
  <c r="Z4185" i="1"/>
  <c r="Y4185" i="1"/>
  <c r="AA4184" i="1"/>
  <c r="Z4184" i="1"/>
  <c r="Y4184" i="1"/>
  <c r="AA4183" i="1"/>
  <c r="Z4183" i="1"/>
  <c r="Y4183" i="1"/>
  <c r="AA4182" i="1"/>
  <c r="Z4182" i="1"/>
  <c r="Y4182" i="1"/>
  <c r="AA4181" i="1"/>
  <c r="Z4181" i="1"/>
  <c r="Y4181" i="1"/>
  <c r="AA4180" i="1"/>
  <c r="Z4180" i="1"/>
  <c r="Y4180" i="1"/>
  <c r="AA4179" i="1"/>
  <c r="Z4179" i="1"/>
  <c r="Y4179" i="1"/>
  <c r="AA4178" i="1"/>
  <c r="Z4178" i="1"/>
  <c r="Y4178" i="1"/>
  <c r="AA4177" i="1"/>
  <c r="Z4177" i="1"/>
  <c r="Y4177" i="1"/>
  <c r="AA4176" i="1"/>
  <c r="Z4176" i="1"/>
  <c r="Y4176" i="1"/>
  <c r="AA4175" i="1"/>
  <c r="Z4175" i="1"/>
  <c r="Y4175" i="1"/>
  <c r="AA4174" i="1"/>
  <c r="Z4174" i="1"/>
  <c r="Y4174" i="1"/>
  <c r="AA4173" i="1"/>
  <c r="Z4173" i="1"/>
  <c r="Y4173" i="1"/>
  <c r="AA4172" i="1"/>
  <c r="Z4172" i="1"/>
  <c r="Y4172" i="1"/>
  <c r="AA4171" i="1"/>
  <c r="Z4171" i="1"/>
  <c r="Y4171" i="1"/>
  <c r="AA4170" i="1"/>
  <c r="Z4170" i="1"/>
  <c r="Y4170" i="1"/>
  <c r="AA4169" i="1"/>
  <c r="Z4169" i="1"/>
  <c r="Y4169" i="1"/>
  <c r="AA4168" i="1"/>
  <c r="Z4168" i="1"/>
  <c r="Y4168" i="1"/>
  <c r="AA4167" i="1"/>
  <c r="Z4167" i="1"/>
  <c r="Y4167" i="1"/>
  <c r="AA4166" i="1"/>
  <c r="Z4166" i="1"/>
  <c r="Y4166" i="1"/>
  <c r="AA4165" i="1"/>
  <c r="Z4165" i="1"/>
  <c r="Y4165" i="1"/>
  <c r="AA4164" i="1"/>
  <c r="Z4164" i="1"/>
  <c r="Y4164" i="1"/>
  <c r="AA4163" i="1"/>
  <c r="Z4163" i="1"/>
  <c r="Y4163" i="1"/>
  <c r="AA4162" i="1"/>
  <c r="Z4162" i="1"/>
  <c r="Y4162" i="1"/>
  <c r="AA4161" i="1"/>
  <c r="Z4161" i="1"/>
  <c r="Y4161" i="1"/>
  <c r="AA4160" i="1"/>
  <c r="Z4160" i="1"/>
  <c r="Y4160" i="1"/>
  <c r="AA4159" i="1"/>
  <c r="Z4159" i="1"/>
  <c r="Y4159" i="1"/>
  <c r="AA4158" i="1"/>
  <c r="Z4158" i="1"/>
  <c r="Y4158" i="1"/>
  <c r="AA4157" i="1"/>
  <c r="Z4157" i="1"/>
  <c r="Y4157" i="1"/>
  <c r="AA4156" i="1"/>
  <c r="Z4156" i="1"/>
  <c r="Y4156" i="1"/>
  <c r="AA4155" i="1"/>
  <c r="Z4155" i="1"/>
  <c r="Y4155" i="1"/>
  <c r="AA4154" i="1"/>
  <c r="Z4154" i="1"/>
  <c r="Y4154" i="1"/>
  <c r="AA4153" i="1"/>
  <c r="Z4153" i="1"/>
  <c r="Y4153" i="1"/>
  <c r="AA4152" i="1"/>
  <c r="Z4152" i="1"/>
  <c r="Y4152" i="1"/>
  <c r="AA4151" i="1"/>
  <c r="Z4151" i="1"/>
  <c r="Y4151" i="1"/>
  <c r="AA4150" i="1"/>
  <c r="Z4150" i="1"/>
  <c r="Y4150" i="1"/>
  <c r="AA4149" i="1"/>
  <c r="Z4149" i="1"/>
  <c r="Y4149" i="1"/>
  <c r="AA4148" i="1"/>
  <c r="Z4148" i="1"/>
  <c r="Y4148" i="1"/>
  <c r="AA4147" i="1"/>
  <c r="Z4147" i="1"/>
  <c r="Y4147" i="1"/>
  <c r="AA4146" i="1"/>
  <c r="Z4146" i="1"/>
  <c r="Y4146" i="1"/>
  <c r="AA4145" i="1"/>
  <c r="Z4145" i="1"/>
  <c r="Y4145" i="1"/>
  <c r="AA4144" i="1"/>
  <c r="Z4144" i="1"/>
  <c r="Y4144" i="1"/>
  <c r="AA4143" i="1"/>
  <c r="Z4143" i="1"/>
  <c r="Y4143" i="1"/>
  <c r="AA4142" i="1"/>
  <c r="Z4142" i="1"/>
  <c r="Y4142" i="1"/>
  <c r="AA4141" i="1"/>
  <c r="Z4141" i="1"/>
  <c r="Y4141" i="1"/>
  <c r="AA4140" i="1"/>
  <c r="Z4140" i="1"/>
  <c r="Y4140" i="1"/>
  <c r="AA4139" i="1"/>
  <c r="Z4139" i="1"/>
  <c r="Y4139" i="1"/>
  <c r="AA4138" i="1"/>
  <c r="Z4138" i="1"/>
  <c r="Y4138" i="1"/>
  <c r="AA4137" i="1"/>
  <c r="Z4137" i="1"/>
  <c r="Y4137" i="1"/>
  <c r="AA4136" i="1"/>
  <c r="Z4136" i="1"/>
  <c r="Y4136" i="1"/>
  <c r="AA4135" i="1"/>
  <c r="Z4135" i="1"/>
  <c r="Y4135" i="1"/>
  <c r="AA4134" i="1"/>
  <c r="Z4134" i="1"/>
  <c r="Y4134" i="1"/>
  <c r="AA4133" i="1"/>
  <c r="Z4133" i="1"/>
  <c r="Y4133" i="1"/>
  <c r="AA4132" i="1"/>
  <c r="Z4132" i="1"/>
  <c r="Y4132" i="1"/>
  <c r="AA4131" i="1"/>
  <c r="Z4131" i="1"/>
  <c r="Y4131" i="1"/>
  <c r="AA4130" i="1"/>
  <c r="Z4130" i="1"/>
  <c r="Y4130" i="1"/>
  <c r="AA4129" i="1"/>
  <c r="Z4129" i="1"/>
  <c r="Y4129" i="1"/>
  <c r="AA4128" i="1"/>
  <c r="Z4128" i="1"/>
  <c r="Y4128" i="1"/>
  <c r="AA4127" i="1"/>
  <c r="Z4127" i="1"/>
  <c r="Y4127" i="1"/>
  <c r="AA4126" i="1"/>
  <c r="Z4126" i="1"/>
  <c r="Y4126" i="1"/>
  <c r="AA4125" i="1"/>
  <c r="Z4125" i="1"/>
  <c r="Y4125" i="1"/>
  <c r="AA4124" i="1"/>
  <c r="Z4124" i="1"/>
  <c r="Y4124" i="1"/>
  <c r="AA4123" i="1"/>
  <c r="Z4123" i="1"/>
  <c r="Y4123" i="1"/>
  <c r="AA4122" i="1"/>
  <c r="Z4122" i="1"/>
  <c r="Y4122" i="1"/>
  <c r="AA4121" i="1"/>
  <c r="Z4121" i="1"/>
  <c r="Y4121" i="1"/>
  <c r="AA4120" i="1"/>
  <c r="Z4120" i="1"/>
  <c r="Y4120" i="1"/>
  <c r="AA4119" i="1"/>
  <c r="Z4119" i="1"/>
  <c r="Y4119" i="1"/>
  <c r="AA4118" i="1"/>
  <c r="Z4118" i="1"/>
  <c r="Y4118" i="1"/>
  <c r="AA4117" i="1"/>
  <c r="Z4117" i="1"/>
  <c r="Y4117" i="1"/>
  <c r="AA4116" i="1"/>
  <c r="Z4116" i="1"/>
  <c r="Y4116" i="1"/>
  <c r="AA4115" i="1"/>
  <c r="Z4115" i="1"/>
  <c r="Y4115" i="1"/>
  <c r="AA4114" i="1"/>
  <c r="Z4114" i="1"/>
  <c r="Y4114" i="1"/>
  <c r="AA4113" i="1"/>
  <c r="Z4113" i="1"/>
  <c r="Y4113" i="1"/>
  <c r="AA4112" i="1"/>
  <c r="Z4112" i="1"/>
  <c r="Y4112" i="1"/>
  <c r="AA4111" i="1"/>
  <c r="Z4111" i="1"/>
  <c r="Y4111" i="1"/>
  <c r="AA4110" i="1"/>
  <c r="Z4110" i="1"/>
  <c r="Y4110" i="1"/>
  <c r="AA4109" i="1"/>
  <c r="Z4109" i="1"/>
  <c r="Y4109" i="1"/>
  <c r="AA4108" i="1"/>
  <c r="Z4108" i="1"/>
  <c r="Y4108" i="1"/>
  <c r="AA4107" i="1"/>
  <c r="Z4107" i="1"/>
  <c r="Y4107" i="1"/>
  <c r="AA4106" i="1"/>
  <c r="Z4106" i="1"/>
  <c r="Y4106" i="1"/>
  <c r="AA4105" i="1"/>
  <c r="Z4105" i="1"/>
  <c r="Y4105" i="1"/>
  <c r="AA4104" i="1"/>
  <c r="Z4104" i="1"/>
  <c r="Y4104" i="1"/>
  <c r="AA4103" i="1"/>
  <c r="Z4103" i="1"/>
  <c r="Y4103" i="1"/>
  <c r="AA4102" i="1"/>
  <c r="Z4102" i="1"/>
  <c r="Y4102" i="1"/>
  <c r="AA4101" i="1"/>
  <c r="Z4101" i="1"/>
  <c r="Y4101" i="1"/>
  <c r="AA4100" i="1"/>
  <c r="Z4100" i="1"/>
  <c r="Y4100" i="1"/>
  <c r="AA4099" i="1"/>
  <c r="Z4099" i="1"/>
  <c r="Y4099" i="1"/>
  <c r="AA4098" i="1"/>
  <c r="Z4098" i="1"/>
  <c r="Y4098" i="1"/>
  <c r="AA4097" i="1"/>
  <c r="Z4097" i="1"/>
  <c r="Y4097" i="1"/>
  <c r="AA4096" i="1"/>
  <c r="Z4096" i="1"/>
  <c r="Y4096" i="1"/>
  <c r="AA4095" i="1"/>
  <c r="Z4095" i="1"/>
  <c r="Y4095" i="1"/>
  <c r="AA4094" i="1"/>
  <c r="Z4094" i="1"/>
  <c r="Y4094" i="1"/>
  <c r="AA4093" i="1"/>
  <c r="Z4093" i="1"/>
  <c r="Y4093" i="1"/>
  <c r="AA4092" i="1"/>
  <c r="Z4092" i="1"/>
  <c r="Y4092" i="1"/>
  <c r="AA4091" i="1"/>
  <c r="Z4091" i="1"/>
  <c r="Y4091" i="1"/>
  <c r="AA4090" i="1"/>
  <c r="Z4090" i="1"/>
  <c r="Y4090" i="1"/>
  <c r="AA4089" i="1"/>
  <c r="Z4089" i="1"/>
  <c r="Y4089" i="1"/>
  <c r="AA4088" i="1"/>
  <c r="Z4088" i="1"/>
  <c r="Y4088" i="1"/>
  <c r="AA4087" i="1"/>
  <c r="Z4087" i="1"/>
  <c r="Y4087" i="1"/>
  <c r="AA4086" i="1"/>
  <c r="Z4086" i="1"/>
  <c r="Y4086" i="1"/>
  <c r="AA4085" i="1"/>
  <c r="Z4085" i="1"/>
  <c r="Y4085" i="1"/>
  <c r="AA4084" i="1"/>
  <c r="Z4084" i="1"/>
  <c r="Y4084" i="1"/>
  <c r="AA4083" i="1"/>
  <c r="Z4083" i="1"/>
  <c r="Y4083" i="1"/>
  <c r="AA4082" i="1"/>
  <c r="Z4082" i="1"/>
  <c r="Y4082" i="1"/>
  <c r="AA4081" i="1"/>
  <c r="Z4081" i="1"/>
  <c r="Y4081" i="1"/>
  <c r="AA4080" i="1"/>
  <c r="Z4080" i="1"/>
  <c r="Y4080" i="1"/>
  <c r="AA4079" i="1"/>
  <c r="Z4079" i="1"/>
  <c r="Y4079" i="1"/>
  <c r="AA4078" i="1"/>
  <c r="Z4078" i="1"/>
  <c r="Y4078" i="1"/>
  <c r="AA4077" i="1"/>
  <c r="Z4077" i="1"/>
  <c r="Y4077" i="1"/>
  <c r="AA4076" i="1"/>
  <c r="Z4076" i="1"/>
  <c r="Y4076" i="1"/>
  <c r="AA4075" i="1"/>
  <c r="Z4075" i="1"/>
  <c r="Y4075" i="1"/>
  <c r="AA4074" i="1"/>
  <c r="Z4074" i="1"/>
  <c r="Y4074" i="1"/>
  <c r="AA4073" i="1"/>
  <c r="Z4073" i="1"/>
  <c r="Y4073" i="1"/>
  <c r="AA4072" i="1"/>
  <c r="Z4072" i="1"/>
  <c r="Y4072" i="1"/>
  <c r="AA4071" i="1"/>
  <c r="Z4071" i="1"/>
  <c r="Y4071" i="1"/>
  <c r="AA4070" i="1"/>
  <c r="Z4070" i="1"/>
  <c r="Y4070" i="1"/>
  <c r="AA4069" i="1"/>
  <c r="Z4069" i="1"/>
  <c r="Y4069" i="1"/>
  <c r="AA4068" i="1"/>
  <c r="Z4068" i="1"/>
  <c r="Y4068" i="1"/>
  <c r="AA4067" i="1"/>
  <c r="Z4067" i="1"/>
  <c r="Y4067" i="1"/>
  <c r="AA4066" i="1"/>
  <c r="Z4066" i="1"/>
  <c r="Y4066" i="1"/>
  <c r="AA4065" i="1"/>
  <c r="Z4065" i="1"/>
  <c r="Y4065" i="1"/>
  <c r="AA4064" i="1"/>
  <c r="Z4064" i="1"/>
  <c r="Y4064" i="1"/>
  <c r="AA4063" i="1"/>
  <c r="Z4063" i="1"/>
  <c r="Y4063" i="1"/>
  <c r="AA4062" i="1"/>
  <c r="Z4062" i="1"/>
  <c r="Y4062" i="1"/>
  <c r="AA4061" i="1"/>
  <c r="Z4061" i="1"/>
  <c r="Y4061" i="1"/>
  <c r="AA4060" i="1"/>
  <c r="Z4060" i="1"/>
  <c r="Y4060" i="1"/>
  <c r="AA4059" i="1"/>
  <c r="Z4059" i="1"/>
  <c r="Y4059" i="1"/>
  <c r="AA4058" i="1"/>
  <c r="Z4058" i="1"/>
  <c r="Y4058" i="1"/>
  <c r="AA4057" i="1"/>
  <c r="Z4057" i="1"/>
  <c r="Y4057" i="1"/>
  <c r="AA4056" i="1"/>
  <c r="Z4056" i="1"/>
  <c r="Y4056" i="1"/>
  <c r="AA4055" i="1"/>
  <c r="Z4055" i="1"/>
  <c r="Y4055" i="1"/>
  <c r="AA4054" i="1"/>
  <c r="Z4054" i="1"/>
  <c r="Y4054" i="1"/>
  <c r="AA4053" i="1"/>
  <c r="Z4053" i="1"/>
  <c r="Y4053" i="1"/>
  <c r="AA4052" i="1"/>
  <c r="Z4052" i="1"/>
  <c r="Y4052" i="1"/>
  <c r="AA4051" i="1"/>
  <c r="Z4051" i="1"/>
  <c r="Y4051" i="1"/>
  <c r="AA4050" i="1"/>
  <c r="Z4050" i="1"/>
  <c r="Y4050" i="1"/>
  <c r="AA4049" i="1"/>
  <c r="Z4049" i="1"/>
  <c r="Y4049" i="1"/>
  <c r="AA4048" i="1"/>
  <c r="Z4048" i="1"/>
  <c r="Y4048" i="1"/>
  <c r="AA4047" i="1"/>
  <c r="Z4047" i="1"/>
  <c r="Y4047" i="1"/>
  <c r="AA4046" i="1"/>
  <c r="Z4046" i="1"/>
  <c r="Y4046" i="1"/>
  <c r="AA4045" i="1"/>
  <c r="Z4045" i="1"/>
  <c r="Y4045" i="1"/>
  <c r="AA4044" i="1"/>
  <c r="Z4044" i="1"/>
  <c r="Y4044" i="1"/>
  <c r="AA4043" i="1"/>
  <c r="Z4043" i="1"/>
  <c r="Y4043" i="1"/>
  <c r="AA4042" i="1"/>
  <c r="Z4042" i="1"/>
  <c r="Y4042" i="1"/>
  <c r="AA4041" i="1"/>
  <c r="Z4041" i="1"/>
  <c r="Y4041" i="1"/>
  <c r="AA4040" i="1"/>
  <c r="Z4040" i="1"/>
  <c r="Y4040" i="1"/>
  <c r="AA4039" i="1"/>
  <c r="Z4039" i="1"/>
  <c r="Y4039" i="1"/>
  <c r="AA4038" i="1"/>
  <c r="Z4038" i="1"/>
  <c r="Y4038" i="1"/>
  <c r="AA4037" i="1"/>
  <c r="Z4037" i="1"/>
  <c r="Y4037" i="1"/>
  <c r="AA4036" i="1"/>
  <c r="Z4036" i="1"/>
  <c r="Y4036" i="1"/>
  <c r="AA4035" i="1"/>
  <c r="Z4035" i="1"/>
  <c r="Y4035" i="1"/>
  <c r="AA4034" i="1"/>
  <c r="Z4034" i="1"/>
  <c r="Y4034" i="1"/>
  <c r="AA4033" i="1"/>
  <c r="Z4033" i="1"/>
  <c r="Y4033" i="1"/>
  <c r="AA4032" i="1"/>
  <c r="Z4032" i="1"/>
  <c r="Y4032" i="1"/>
  <c r="AA4031" i="1"/>
  <c r="Z4031" i="1"/>
  <c r="Y4031" i="1"/>
  <c r="AA4030" i="1"/>
  <c r="Z4030" i="1"/>
  <c r="Y4030" i="1"/>
  <c r="AA4029" i="1"/>
  <c r="Z4029" i="1"/>
  <c r="Y4029" i="1"/>
  <c r="AA4028" i="1"/>
  <c r="Z4028" i="1"/>
  <c r="Y4028" i="1"/>
  <c r="AA4027" i="1"/>
  <c r="Z4027" i="1"/>
  <c r="Y4027" i="1"/>
  <c r="AA4026" i="1"/>
  <c r="Z4026" i="1"/>
  <c r="Y4026" i="1"/>
  <c r="AA4025" i="1"/>
  <c r="Z4025" i="1"/>
  <c r="Y4025" i="1"/>
  <c r="AA4024" i="1"/>
  <c r="Z4024" i="1"/>
  <c r="Y4024" i="1"/>
  <c r="AA4023" i="1"/>
  <c r="Z4023" i="1"/>
  <c r="Y4023" i="1"/>
  <c r="AA4022" i="1"/>
  <c r="Z4022" i="1"/>
  <c r="Y4022" i="1"/>
  <c r="AA4021" i="1"/>
  <c r="Z4021" i="1"/>
  <c r="Y4021" i="1"/>
  <c r="AA4020" i="1"/>
  <c r="Z4020" i="1"/>
  <c r="Y4020" i="1"/>
  <c r="AA4019" i="1"/>
  <c r="Z4019" i="1"/>
  <c r="Y4019" i="1"/>
  <c r="AA4018" i="1"/>
  <c r="Z4018" i="1"/>
  <c r="Y4018" i="1"/>
  <c r="AA4017" i="1"/>
  <c r="Z4017" i="1"/>
  <c r="Y4017" i="1"/>
  <c r="AA4016" i="1"/>
  <c r="Z4016" i="1"/>
  <c r="Y4016" i="1"/>
  <c r="AA4015" i="1"/>
  <c r="Z4015" i="1"/>
  <c r="Y4015" i="1"/>
  <c r="AA4014" i="1"/>
  <c r="Z4014" i="1"/>
  <c r="Y4014" i="1"/>
  <c r="AA4013" i="1"/>
  <c r="Z4013" i="1"/>
  <c r="Y4013" i="1"/>
  <c r="AA4012" i="1"/>
  <c r="Z4012" i="1"/>
  <c r="Y4012" i="1"/>
  <c r="AA4011" i="1"/>
  <c r="Z4011" i="1"/>
  <c r="Y4011" i="1"/>
  <c r="AA4010" i="1"/>
  <c r="Z4010" i="1"/>
  <c r="Y4010" i="1"/>
  <c r="AA4009" i="1"/>
  <c r="Z4009" i="1"/>
  <c r="Y4009" i="1"/>
  <c r="AA4008" i="1"/>
  <c r="Z4008" i="1"/>
  <c r="Y4008" i="1"/>
  <c r="AA4007" i="1"/>
  <c r="Z4007" i="1"/>
  <c r="Y4007" i="1"/>
  <c r="AA4006" i="1"/>
  <c r="Z4006" i="1"/>
  <c r="Y4006" i="1"/>
  <c r="AA4005" i="1"/>
  <c r="Z4005" i="1"/>
  <c r="Y4005" i="1"/>
  <c r="AA4004" i="1"/>
  <c r="Z4004" i="1"/>
  <c r="Y4004" i="1"/>
  <c r="AA4003" i="1"/>
  <c r="Z4003" i="1"/>
  <c r="Y4003" i="1"/>
  <c r="AA4002" i="1"/>
  <c r="Z4002" i="1"/>
  <c r="Y4002" i="1"/>
  <c r="AA4001" i="1"/>
  <c r="Z4001" i="1"/>
  <c r="Y4001" i="1"/>
  <c r="AA4000" i="1"/>
  <c r="Z4000" i="1"/>
  <c r="Y4000" i="1"/>
  <c r="AA3999" i="1"/>
  <c r="Z3999" i="1"/>
  <c r="Y3999" i="1"/>
  <c r="AA3998" i="1"/>
  <c r="Z3998" i="1"/>
  <c r="Y3998" i="1"/>
  <c r="AA3997" i="1"/>
  <c r="Z3997" i="1"/>
  <c r="Y3997" i="1"/>
  <c r="AA3996" i="1"/>
  <c r="Z3996" i="1"/>
  <c r="Y3996" i="1"/>
  <c r="AA3995" i="1"/>
  <c r="Z3995" i="1"/>
  <c r="Y3995" i="1"/>
  <c r="AA3994" i="1"/>
  <c r="Z3994" i="1"/>
  <c r="Y3994" i="1"/>
  <c r="AA3993" i="1"/>
  <c r="Z3993" i="1"/>
  <c r="Y3993" i="1"/>
  <c r="AA3992" i="1"/>
  <c r="Z3992" i="1"/>
  <c r="Y3992" i="1"/>
  <c r="AA3991" i="1"/>
  <c r="Z3991" i="1"/>
  <c r="Y3991" i="1"/>
  <c r="AA3990" i="1"/>
  <c r="Z3990" i="1"/>
  <c r="Y3990" i="1"/>
  <c r="AA3989" i="1"/>
  <c r="Z3989" i="1"/>
  <c r="Y3989" i="1"/>
  <c r="AA3988" i="1"/>
  <c r="Z3988" i="1"/>
  <c r="Y3988" i="1"/>
  <c r="AA3987" i="1"/>
  <c r="Z3987" i="1"/>
  <c r="Y3987" i="1"/>
  <c r="AA3986" i="1"/>
  <c r="Z3986" i="1"/>
  <c r="Y3986" i="1"/>
  <c r="AA3985" i="1"/>
  <c r="Z3985" i="1"/>
  <c r="Y3985" i="1"/>
  <c r="AA3984" i="1"/>
  <c r="Z3984" i="1"/>
  <c r="Y3984" i="1"/>
  <c r="AA3983" i="1"/>
  <c r="Z3983" i="1"/>
  <c r="Y3983" i="1"/>
  <c r="AA3982" i="1"/>
  <c r="Z3982" i="1"/>
  <c r="Y3982" i="1"/>
  <c r="AA3981" i="1"/>
  <c r="Z3981" i="1"/>
  <c r="Y3981" i="1"/>
  <c r="AA3980" i="1"/>
  <c r="Z3980" i="1"/>
  <c r="Y3980" i="1"/>
  <c r="AA3979" i="1"/>
  <c r="Z3979" i="1"/>
  <c r="Y3979" i="1"/>
  <c r="AA3978" i="1"/>
  <c r="Z3978" i="1"/>
  <c r="Y3978" i="1"/>
  <c r="AA3977" i="1"/>
  <c r="Z3977" i="1"/>
  <c r="Y3977" i="1"/>
  <c r="AA3976" i="1"/>
  <c r="Z3976" i="1"/>
  <c r="Y3976" i="1"/>
  <c r="AA3975" i="1"/>
  <c r="Z3975" i="1"/>
  <c r="Y3975" i="1"/>
  <c r="AA3974" i="1"/>
  <c r="Z3974" i="1"/>
  <c r="Y3974" i="1"/>
  <c r="AA3973" i="1"/>
  <c r="Z3973" i="1"/>
  <c r="Y3973" i="1"/>
  <c r="AA3972" i="1"/>
  <c r="Z3972" i="1"/>
  <c r="Y3972" i="1"/>
  <c r="AA3971" i="1"/>
  <c r="Z3971" i="1"/>
  <c r="Y3971" i="1"/>
  <c r="AA3970" i="1"/>
  <c r="Z3970" i="1"/>
  <c r="Y3970" i="1"/>
  <c r="AA3969" i="1"/>
  <c r="Z3969" i="1"/>
  <c r="Y3969" i="1"/>
  <c r="AA3968" i="1"/>
  <c r="Z3968" i="1"/>
  <c r="Y3968" i="1"/>
  <c r="AA3967" i="1"/>
  <c r="Z3967" i="1"/>
  <c r="Y3967" i="1"/>
  <c r="AA3966" i="1"/>
  <c r="Z3966" i="1"/>
  <c r="Y3966" i="1"/>
  <c r="AA3965" i="1"/>
  <c r="Z3965" i="1"/>
  <c r="Y3965" i="1"/>
  <c r="AA3964" i="1"/>
  <c r="Z3964" i="1"/>
  <c r="Y3964" i="1"/>
  <c r="AA3963" i="1"/>
  <c r="Z3963" i="1"/>
  <c r="Y3963" i="1"/>
  <c r="AA3962" i="1"/>
  <c r="Z3962" i="1"/>
  <c r="Y3962" i="1"/>
  <c r="AA3961" i="1"/>
  <c r="Z3961" i="1"/>
  <c r="Y3961" i="1"/>
  <c r="AA3960" i="1"/>
  <c r="Z3960" i="1"/>
  <c r="Y3960" i="1"/>
  <c r="AA3959" i="1"/>
  <c r="Z3959" i="1"/>
  <c r="Y3959" i="1"/>
  <c r="AA3958" i="1"/>
  <c r="Z3958" i="1"/>
  <c r="Y3958" i="1"/>
  <c r="AA3957" i="1"/>
  <c r="Z3957" i="1"/>
  <c r="Y3957" i="1"/>
  <c r="AA3956" i="1"/>
  <c r="Z3956" i="1"/>
  <c r="Y3956" i="1"/>
  <c r="AA3955" i="1"/>
  <c r="Z3955" i="1"/>
  <c r="Y3955" i="1"/>
  <c r="AA3954" i="1"/>
  <c r="Z3954" i="1"/>
  <c r="Y3954" i="1"/>
  <c r="AA3953" i="1"/>
  <c r="Z3953" i="1"/>
  <c r="Y3953" i="1"/>
  <c r="AA3952" i="1"/>
  <c r="Z3952" i="1"/>
  <c r="Y3952" i="1"/>
  <c r="AA3951" i="1"/>
  <c r="Z3951" i="1"/>
  <c r="Y3951" i="1"/>
  <c r="AA3950" i="1"/>
  <c r="Z3950" i="1"/>
  <c r="Y3950" i="1"/>
  <c r="AA3949" i="1"/>
  <c r="Z3949" i="1"/>
  <c r="Y3949" i="1"/>
  <c r="AA3948" i="1"/>
  <c r="Z3948" i="1"/>
  <c r="Y3948" i="1"/>
  <c r="AA3947" i="1"/>
  <c r="Z3947" i="1"/>
  <c r="Y3947" i="1"/>
  <c r="AA3946" i="1"/>
  <c r="Z3946" i="1"/>
  <c r="Y3946" i="1"/>
  <c r="AA3945" i="1"/>
  <c r="Z3945" i="1"/>
  <c r="Y3945" i="1"/>
  <c r="AA3944" i="1"/>
  <c r="Z3944" i="1"/>
  <c r="Y3944" i="1"/>
  <c r="AA3943" i="1"/>
  <c r="Z3943" i="1"/>
  <c r="Y3943" i="1"/>
  <c r="AA3942" i="1"/>
  <c r="Z3942" i="1"/>
  <c r="Y3942" i="1"/>
  <c r="AA3941" i="1"/>
  <c r="Z3941" i="1"/>
  <c r="Y3941" i="1"/>
  <c r="AA3940" i="1"/>
  <c r="Z3940" i="1"/>
  <c r="Y3940" i="1"/>
  <c r="AA3939" i="1"/>
  <c r="Z3939" i="1"/>
  <c r="Y3939" i="1"/>
  <c r="AA3938" i="1"/>
  <c r="Z3938" i="1"/>
  <c r="Y3938" i="1"/>
  <c r="AA3937" i="1"/>
  <c r="Z3937" i="1"/>
  <c r="Y3937" i="1"/>
  <c r="AA3936" i="1"/>
  <c r="Z3936" i="1"/>
  <c r="Y3936" i="1"/>
  <c r="AA3935" i="1"/>
  <c r="Z3935" i="1"/>
  <c r="Y3935" i="1"/>
  <c r="AA3934" i="1"/>
  <c r="Z3934" i="1"/>
  <c r="Y3934" i="1"/>
  <c r="AA3933" i="1"/>
  <c r="Z3933" i="1"/>
  <c r="Y3933" i="1"/>
  <c r="AA3932" i="1"/>
  <c r="Z3932" i="1"/>
  <c r="Y3932" i="1"/>
  <c r="AA3931" i="1"/>
  <c r="Z3931" i="1"/>
  <c r="Y3931" i="1"/>
  <c r="AA3930" i="1"/>
  <c r="Z3930" i="1"/>
  <c r="Y3930" i="1"/>
  <c r="AA3929" i="1"/>
  <c r="Z3929" i="1"/>
  <c r="Y3929" i="1"/>
  <c r="AA3928" i="1"/>
  <c r="Z3928" i="1"/>
  <c r="Y3928" i="1"/>
  <c r="AA3927" i="1"/>
  <c r="Z3927" i="1"/>
  <c r="Y3927" i="1"/>
  <c r="AA3926" i="1"/>
  <c r="Z3926" i="1"/>
  <c r="Y3926" i="1"/>
  <c r="AA3925" i="1"/>
  <c r="Z3925" i="1"/>
  <c r="Y3925" i="1"/>
  <c r="AA3924" i="1"/>
  <c r="Z3924" i="1"/>
  <c r="Y3924" i="1"/>
  <c r="AA3923" i="1"/>
  <c r="Z3923" i="1"/>
  <c r="Y3923" i="1"/>
  <c r="AA3922" i="1"/>
  <c r="Z3922" i="1"/>
  <c r="Y3922" i="1"/>
  <c r="AA3921" i="1"/>
  <c r="Z3921" i="1"/>
  <c r="Y3921" i="1"/>
  <c r="AA3920" i="1"/>
  <c r="Z3920" i="1"/>
  <c r="Y3920" i="1"/>
  <c r="AA3919" i="1"/>
  <c r="Z3919" i="1"/>
  <c r="Y3919" i="1"/>
  <c r="AA3918" i="1"/>
  <c r="Z3918" i="1"/>
  <c r="Y3918" i="1"/>
  <c r="AA3917" i="1"/>
  <c r="Z3917" i="1"/>
  <c r="Y3917" i="1"/>
  <c r="AA3916" i="1"/>
  <c r="Z3916" i="1"/>
  <c r="Y3916" i="1"/>
  <c r="AA3915" i="1"/>
  <c r="Z3915" i="1"/>
  <c r="Y3915" i="1"/>
  <c r="AA3914" i="1"/>
  <c r="Z3914" i="1"/>
  <c r="Y3914" i="1"/>
  <c r="AA3913" i="1"/>
  <c r="Z3913" i="1"/>
  <c r="Y3913" i="1"/>
  <c r="AA3912" i="1"/>
  <c r="Z3912" i="1"/>
  <c r="Y3912" i="1"/>
  <c r="AA3911" i="1"/>
  <c r="Z3911" i="1"/>
  <c r="Y3911" i="1"/>
  <c r="AA3910" i="1"/>
  <c r="Z3910" i="1"/>
  <c r="Y3910" i="1"/>
  <c r="AA3909" i="1"/>
  <c r="Z3909" i="1"/>
  <c r="Y3909" i="1"/>
  <c r="AA3908" i="1"/>
  <c r="Z3908" i="1"/>
  <c r="Y3908" i="1"/>
  <c r="AA3907" i="1"/>
  <c r="Z3907" i="1"/>
  <c r="Y3907" i="1"/>
  <c r="AA3906" i="1"/>
  <c r="Z3906" i="1"/>
  <c r="Y3906" i="1"/>
  <c r="AA3905" i="1"/>
  <c r="Z3905" i="1"/>
  <c r="Y3905" i="1"/>
  <c r="AA3904" i="1"/>
  <c r="Z3904" i="1"/>
  <c r="Y3904" i="1"/>
  <c r="AA3903" i="1"/>
  <c r="Z3903" i="1"/>
  <c r="Y3903" i="1"/>
  <c r="AA3902" i="1"/>
  <c r="Z3902" i="1"/>
  <c r="Y3902" i="1"/>
  <c r="AA3901" i="1"/>
  <c r="Z3901" i="1"/>
  <c r="Y3901" i="1"/>
  <c r="AA3900" i="1"/>
  <c r="Z3900" i="1"/>
  <c r="Y3900" i="1"/>
  <c r="AA3899" i="1"/>
  <c r="Z3899" i="1"/>
  <c r="Y3899" i="1"/>
  <c r="AA3898" i="1"/>
  <c r="Z3898" i="1"/>
  <c r="Y3898" i="1"/>
  <c r="AA3897" i="1"/>
  <c r="Z3897" i="1"/>
  <c r="Y3897" i="1"/>
  <c r="AA3896" i="1"/>
  <c r="Z3896" i="1"/>
  <c r="Y3896" i="1"/>
  <c r="AA3895" i="1"/>
  <c r="Z3895" i="1"/>
  <c r="Y3895" i="1"/>
  <c r="AA3894" i="1"/>
  <c r="Z3894" i="1"/>
  <c r="Y3894" i="1"/>
  <c r="AA3893" i="1"/>
  <c r="Z3893" i="1"/>
  <c r="Y3893" i="1"/>
  <c r="AA3892" i="1"/>
  <c r="Z3892" i="1"/>
  <c r="Y3892" i="1"/>
  <c r="AA3891" i="1"/>
  <c r="Z3891" i="1"/>
  <c r="Y3891" i="1"/>
  <c r="AA3890" i="1"/>
  <c r="Z3890" i="1"/>
  <c r="Y3890" i="1"/>
  <c r="AA3889" i="1"/>
  <c r="Z3889" i="1"/>
  <c r="Y3889" i="1"/>
  <c r="AA3888" i="1"/>
  <c r="Z3888" i="1"/>
  <c r="Y3888" i="1"/>
  <c r="AA3887" i="1"/>
  <c r="Z3887" i="1"/>
  <c r="Y3887" i="1"/>
  <c r="AA3886" i="1"/>
  <c r="Z3886" i="1"/>
  <c r="Y3886" i="1"/>
  <c r="AA3885" i="1"/>
  <c r="Z3885" i="1"/>
  <c r="Y3885" i="1"/>
  <c r="AA3884" i="1"/>
  <c r="Z3884" i="1"/>
  <c r="Y3884" i="1"/>
  <c r="AA3883" i="1"/>
  <c r="Z3883" i="1"/>
  <c r="Y3883" i="1"/>
  <c r="AA3882" i="1"/>
  <c r="Z3882" i="1"/>
  <c r="Y3882" i="1"/>
  <c r="AA3881" i="1"/>
  <c r="Z3881" i="1"/>
  <c r="Y3881" i="1"/>
  <c r="AA3880" i="1"/>
  <c r="Z3880" i="1"/>
  <c r="Y3880" i="1"/>
  <c r="AA3879" i="1"/>
  <c r="Z3879" i="1"/>
  <c r="Y3879" i="1"/>
  <c r="AA3878" i="1"/>
  <c r="Z3878" i="1"/>
  <c r="Y3878" i="1"/>
  <c r="AA3877" i="1"/>
  <c r="Z3877" i="1"/>
  <c r="Y3877" i="1"/>
  <c r="AA3876" i="1"/>
  <c r="Z3876" i="1"/>
  <c r="Y3876" i="1"/>
  <c r="AA3875" i="1"/>
  <c r="Z3875" i="1"/>
  <c r="Y3875" i="1"/>
  <c r="AA3874" i="1"/>
  <c r="Z3874" i="1"/>
  <c r="Y3874" i="1"/>
  <c r="AA3873" i="1"/>
  <c r="Z3873" i="1"/>
  <c r="Y3873" i="1"/>
  <c r="AA3872" i="1"/>
  <c r="Z3872" i="1"/>
  <c r="Y3872" i="1"/>
  <c r="AA3871" i="1"/>
  <c r="Z3871" i="1"/>
  <c r="Y3871" i="1"/>
  <c r="AA3870" i="1"/>
  <c r="Z3870" i="1"/>
  <c r="Y3870" i="1"/>
  <c r="AA3869" i="1"/>
  <c r="Z3869" i="1"/>
  <c r="Y3869" i="1"/>
  <c r="AA3868" i="1"/>
  <c r="Z3868" i="1"/>
  <c r="Y3868" i="1"/>
  <c r="AA3867" i="1"/>
  <c r="Z3867" i="1"/>
  <c r="Y3867" i="1"/>
  <c r="AA3866" i="1"/>
  <c r="Z3866" i="1"/>
  <c r="Y3866" i="1"/>
  <c r="AA3865" i="1"/>
  <c r="Z3865" i="1"/>
  <c r="Y3865" i="1"/>
  <c r="AA3864" i="1"/>
  <c r="Z3864" i="1"/>
  <c r="Y3864" i="1"/>
  <c r="AA3863" i="1"/>
  <c r="Z3863" i="1"/>
  <c r="Y3863" i="1"/>
  <c r="AA3862" i="1"/>
  <c r="Z3862" i="1"/>
  <c r="Y3862" i="1"/>
  <c r="AA3861" i="1"/>
  <c r="Z3861" i="1"/>
  <c r="Y3861" i="1"/>
  <c r="AA3860" i="1"/>
  <c r="Z3860" i="1"/>
  <c r="Y3860" i="1"/>
  <c r="AA3859" i="1"/>
  <c r="Z3859" i="1"/>
  <c r="Y3859" i="1"/>
  <c r="AA3858" i="1"/>
  <c r="Z3858" i="1"/>
  <c r="Y3858" i="1"/>
  <c r="AA3857" i="1"/>
  <c r="Z3857" i="1"/>
  <c r="Y3857" i="1"/>
  <c r="AA3856" i="1"/>
  <c r="Z3856" i="1"/>
  <c r="Y3856" i="1"/>
  <c r="AA3855" i="1"/>
  <c r="Z3855" i="1"/>
  <c r="Y3855" i="1"/>
  <c r="AA3854" i="1"/>
  <c r="Z3854" i="1"/>
  <c r="Y3854" i="1"/>
  <c r="AA3853" i="1"/>
  <c r="Z3853" i="1"/>
  <c r="Y3853" i="1"/>
  <c r="AA3852" i="1"/>
  <c r="Z3852" i="1"/>
  <c r="Y3852" i="1"/>
  <c r="AA3851" i="1"/>
  <c r="Z3851" i="1"/>
  <c r="Y3851" i="1"/>
  <c r="AA3850" i="1"/>
  <c r="Z3850" i="1"/>
  <c r="Y3850" i="1"/>
  <c r="AA3849" i="1"/>
  <c r="Z3849" i="1"/>
  <c r="Y3849" i="1"/>
  <c r="AA3848" i="1"/>
  <c r="Z3848" i="1"/>
  <c r="Y3848" i="1"/>
  <c r="AA3847" i="1"/>
  <c r="Z3847" i="1"/>
  <c r="Y3847" i="1"/>
  <c r="AA3846" i="1"/>
  <c r="Z3846" i="1"/>
  <c r="Y3846" i="1"/>
  <c r="AA3845" i="1"/>
  <c r="Z3845" i="1"/>
  <c r="Y3845" i="1"/>
  <c r="AA3844" i="1"/>
  <c r="Z3844" i="1"/>
  <c r="Y3844" i="1"/>
  <c r="AA3843" i="1"/>
  <c r="Z3843" i="1"/>
  <c r="Y3843" i="1"/>
  <c r="AA3842" i="1"/>
  <c r="Z3842" i="1"/>
  <c r="Y3842" i="1"/>
  <c r="AA3841" i="1"/>
  <c r="Z3841" i="1"/>
  <c r="Y3841" i="1"/>
  <c r="AA3840" i="1"/>
  <c r="Z3840" i="1"/>
  <c r="Y3840" i="1"/>
  <c r="AA3839" i="1"/>
  <c r="Z3839" i="1"/>
  <c r="Y3839" i="1"/>
  <c r="AA3838" i="1"/>
  <c r="Z3838" i="1"/>
  <c r="Y3838" i="1"/>
  <c r="AA3837" i="1"/>
  <c r="Z3837" i="1"/>
  <c r="Y3837" i="1"/>
  <c r="AA3836" i="1"/>
  <c r="Z3836" i="1"/>
  <c r="Y3836" i="1"/>
  <c r="AA3835" i="1"/>
  <c r="Z3835" i="1"/>
  <c r="Y3835" i="1"/>
  <c r="AA3834" i="1"/>
  <c r="Z3834" i="1"/>
  <c r="Y3834" i="1"/>
  <c r="AA3833" i="1"/>
  <c r="Z3833" i="1"/>
  <c r="Y3833" i="1"/>
  <c r="AA3832" i="1"/>
  <c r="Z3832" i="1"/>
  <c r="Y3832" i="1"/>
  <c r="AA3831" i="1"/>
  <c r="Z3831" i="1"/>
  <c r="Y3831" i="1"/>
  <c r="AA3830" i="1"/>
  <c r="Z3830" i="1"/>
  <c r="Y3830" i="1"/>
  <c r="AA3829" i="1"/>
  <c r="Z3829" i="1"/>
  <c r="Y3829" i="1"/>
  <c r="AA3828" i="1"/>
  <c r="Z3828" i="1"/>
  <c r="Y3828" i="1"/>
  <c r="AA3827" i="1"/>
  <c r="Z3827" i="1"/>
  <c r="Y3827" i="1"/>
  <c r="AA3826" i="1"/>
  <c r="Z3826" i="1"/>
  <c r="Y3826" i="1"/>
  <c r="AA3825" i="1"/>
  <c r="Z3825" i="1"/>
  <c r="Y3825" i="1"/>
  <c r="AA3824" i="1"/>
  <c r="Z3824" i="1"/>
  <c r="Y3824" i="1"/>
  <c r="AA3823" i="1"/>
  <c r="Z3823" i="1"/>
  <c r="Y3823" i="1"/>
  <c r="AA3822" i="1"/>
  <c r="Z3822" i="1"/>
  <c r="Y3822" i="1"/>
  <c r="AA3821" i="1"/>
  <c r="Z3821" i="1"/>
  <c r="Y3821" i="1"/>
  <c r="AA3820" i="1"/>
  <c r="Z3820" i="1"/>
  <c r="Y3820" i="1"/>
  <c r="AA3819" i="1"/>
  <c r="Z3819" i="1"/>
  <c r="Y3819" i="1"/>
  <c r="AA3818" i="1"/>
  <c r="Z3818" i="1"/>
  <c r="Y3818" i="1"/>
  <c r="AA3817" i="1"/>
  <c r="Z3817" i="1"/>
  <c r="Y3817" i="1"/>
  <c r="AA3816" i="1"/>
  <c r="Z3816" i="1"/>
  <c r="Y3816" i="1"/>
  <c r="AA3815" i="1"/>
  <c r="Z3815" i="1"/>
  <c r="Y3815" i="1"/>
  <c r="AA3814" i="1"/>
  <c r="Z3814" i="1"/>
  <c r="Y3814" i="1"/>
  <c r="AA3813" i="1"/>
  <c r="Z3813" i="1"/>
  <c r="Y3813" i="1"/>
  <c r="AA3812" i="1"/>
  <c r="Z3812" i="1"/>
  <c r="Y3812" i="1"/>
  <c r="AA3811" i="1"/>
  <c r="Z3811" i="1"/>
  <c r="Y3811" i="1"/>
  <c r="AA3810" i="1"/>
  <c r="Z3810" i="1"/>
  <c r="Y3810" i="1"/>
  <c r="AA3809" i="1"/>
  <c r="Z3809" i="1"/>
  <c r="Y3809" i="1"/>
  <c r="AA3808" i="1"/>
  <c r="Z3808" i="1"/>
  <c r="Y3808" i="1"/>
  <c r="AA3807" i="1"/>
  <c r="Z3807" i="1"/>
  <c r="Y3807" i="1"/>
  <c r="AA3806" i="1"/>
  <c r="Z3806" i="1"/>
  <c r="Y3806" i="1"/>
  <c r="AA3805" i="1"/>
  <c r="Z3805" i="1"/>
  <c r="Y3805" i="1"/>
  <c r="AA3804" i="1"/>
  <c r="Z3804" i="1"/>
  <c r="Y3804" i="1"/>
  <c r="AA3803" i="1"/>
  <c r="Z3803" i="1"/>
  <c r="Y3803" i="1"/>
  <c r="AA3802" i="1"/>
  <c r="Z3802" i="1"/>
  <c r="Y3802" i="1"/>
  <c r="AA3801" i="1"/>
  <c r="Z3801" i="1"/>
  <c r="Y3801" i="1"/>
  <c r="AA3800" i="1"/>
  <c r="Z3800" i="1"/>
  <c r="Y3800" i="1"/>
  <c r="AA3799" i="1"/>
  <c r="Z3799" i="1"/>
  <c r="Y3799" i="1"/>
  <c r="AA3798" i="1"/>
  <c r="Z3798" i="1"/>
  <c r="Y3798" i="1"/>
  <c r="AA3797" i="1"/>
  <c r="Z3797" i="1"/>
  <c r="Y3797" i="1"/>
  <c r="AA3796" i="1"/>
  <c r="Z3796" i="1"/>
  <c r="Y3796" i="1"/>
  <c r="AA3795" i="1"/>
  <c r="Z3795" i="1"/>
  <c r="Y3795" i="1"/>
  <c r="AA3794" i="1"/>
  <c r="Z3794" i="1"/>
  <c r="Y3794" i="1"/>
  <c r="AA3793" i="1"/>
  <c r="Z3793" i="1"/>
  <c r="Y3793" i="1"/>
  <c r="AA3792" i="1"/>
  <c r="Z3792" i="1"/>
  <c r="Y3792" i="1"/>
  <c r="AA3791" i="1"/>
  <c r="Z3791" i="1"/>
  <c r="Y3791" i="1"/>
  <c r="AA3790" i="1"/>
  <c r="Z3790" i="1"/>
  <c r="Y3790" i="1"/>
  <c r="AA3789" i="1"/>
  <c r="Z3789" i="1"/>
  <c r="Y3789" i="1"/>
  <c r="AA3788" i="1"/>
  <c r="Z3788" i="1"/>
  <c r="Y3788" i="1"/>
  <c r="AA3787" i="1"/>
  <c r="Z3787" i="1"/>
  <c r="Y3787" i="1"/>
  <c r="AA3786" i="1"/>
  <c r="Z3786" i="1"/>
  <c r="Y3786" i="1"/>
  <c r="AA3785" i="1"/>
  <c r="Z3785" i="1"/>
  <c r="Y3785" i="1"/>
  <c r="AA3784" i="1"/>
  <c r="Z3784" i="1"/>
  <c r="Y3784" i="1"/>
  <c r="AA3783" i="1"/>
  <c r="Z3783" i="1"/>
  <c r="Y3783" i="1"/>
  <c r="AA3782" i="1"/>
  <c r="Z3782" i="1"/>
  <c r="Y3782" i="1"/>
  <c r="AA3781" i="1"/>
  <c r="Z3781" i="1"/>
  <c r="Y3781" i="1"/>
  <c r="AA3780" i="1"/>
  <c r="Z3780" i="1"/>
  <c r="Y3780" i="1"/>
  <c r="AA3779" i="1"/>
  <c r="Z3779" i="1"/>
  <c r="Y3779" i="1"/>
  <c r="AA3778" i="1"/>
  <c r="Z3778" i="1"/>
  <c r="Y3778" i="1"/>
  <c r="AA3777" i="1"/>
  <c r="Z3777" i="1"/>
  <c r="Y3777" i="1"/>
  <c r="AA3776" i="1"/>
  <c r="Z3776" i="1"/>
  <c r="Y3776" i="1"/>
  <c r="AA3775" i="1"/>
  <c r="Z3775" i="1"/>
  <c r="Y3775" i="1"/>
  <c r="AA3774" i="1"/>
  <c r="Z3774" i="1"/>
  <c r="Y3774" i="1"/>
  <c r="AA3773" i="1"/>
  <c r="Z3773" i="1"/>
  <c r="Y3773" i="1"/>
  <c r="AA3772" i="1"/>
  <c r="Z3772" i="1"/>
  <c r="Y3772" i="1"/>
  <c r="AA3771" i="1"/>
  <c r="Z3771" i="1"/>
  <c r="Y3771" i="1"/>
  <c r="AA3770" i="1"/>
  <c r="Z3770" i="1"/>
  <c r="Y3770" i="1"/>
  <c r="AA3769" i="1"/>
  <c r="Z3769" i="1"/>
  <c r="Y3769" i="1"/>
  <c r="AA3768" i="1"/>
  <c r="Z3768" i="1"/>
  <c r="Y3768" i="1"/>
  <c r="AA3767" i="1"/>
  <c r="Z3767" i="1"/>
  <c r="Y3767" i="1"/>
  <c r="AA3766" i="1"/>
  <c r="Z3766" i="1"/>
  <c r="Y3766" i="1"/>
  <c r="AA3765" i="1"/>
  <c r="Z3765" i="1"/>
  <c r="Y3765" i="1"/>
  <c r="AA3764" i="1"/>
  <c r="Z3764" i="1"/>
  <c r="Y3764" i="1"/>
  <c r="AA3763" i="1"/>
  <c r="Z3763" i="1"/>
  <c r="Y3763" i="1"/>
  <c r="AA3762" i="1"/>
  <c r="Z3762" i="1"/>
  <c r="Y3762" i="1"/>
  <c r="AA3761" i="1"/>
  <c r="Z3761" i="1"/>
  <c r="Y3761" i="1"/>
  <c r="AA3760" i="1"/>
  <c r="Z3760" i="1"/>
  <c r="Y3760" i="1"/>
  <c r="AA3759" i="1"/>
  <c r="Z3759" i="1"/>
  <c r="Y3759" i="1"/>
  <c r="AA3758" i="1"/>
  <c r="Z3758" i="1"/>
  <c r="Y3758" i="1"/>
  <c r="AA3757" i="1"/>
  <c r="Z3757" i="1"/>
  <c r="Y3757" i="1"/>
  <c r="AA3756" i="1"/>
  <c r="Z3756" i="1"/>
  <c r="Y3756" i="1"/>
  <c r="AA3755" i="1"/>
  <c r="Z3755" i="1"/>
  <c r="Y3755" i="1"/>
  <c r="AA3754" i="1"/>
  <c r="Z3754" i="1"/>
  <c r="Y3754" i="1"/>
  <c r="AA3753" i="1"/>
  <c r="Z3753" i="1"/>
  <c r="Y3753" i="1"/>
  <c r="AA3752" i="1"/>
  <c r="Z3752" i="1"/>
  <c r="Y3752" i="1"/>
  <c r="AA3751" i="1"/>
  <c r="Z3751" i="1"/>
  <c r="Y3751" i="1"/>
  <c r="AA3750" i="1"/>
  <c r="Z3750" i="1"/>
  <c r="Y3750" i="1"/>
  <c r="AA3749" i="1"/>
  <c r="Z3749" i="1"/>
  <c r="Y3749" i="1"/>
  <c r="AA3748" i="1"/>
  <c r="Z3748" i="1"/>
  <c r="Y3748" i="1"/>
  <c r="AA3747" i="1"/>
  <c r="Z3747" i="1"/>
  <c r="Y3747" i="1"/>
  <c r="AA3746" i="1"/>
  <c r="Z3746" i="1"/>
  <c r="Y3746" i="1"/>
  <c r="AA3745" i="1"/>
  <c r="Z3745" i="1"/>
  <c r="Y3745" i="1"/>
  <c r="AA3744" i="1"/>
  <c r="Z3744" i="1"/>
  <c r="Y3744" i="1"/>
  <c r="AA3743" i="1"/>
  <c r="Z3743" i="1"/>
  <c r="Y3743" i="1"/>
  <c r="AA3742" i="1"/>
  <c r="Z3742" i="1"/>
  <c r="Y3742" i="1"/>
  <c r="AA3741" i="1"/>
  <c r="Z3741" i="1"/>
  <c r="Y3741" i="1"/>
  <c r="AA3740" i="1"/>
  <c r="Z3740" i="1"/>
  <c r="Y3740" i="1"/>
  <c r="AA3739" i="1"/>
  <c r="Z3739" i="1"/>
  <c r="Y3739" i="1"/>
  <c r="AA3738" i="1"/>
  <c r="Z3738" i="1"/>
  <c r="Y3738" i="1"/>
  <c r="AA3737" i="1"/>
  <c r="Z3737" i="1"/>
  <c r="Y3737" i="1"/>
  <c r="AA3736" i="1"/>
  <c r="Z3736" i="1"/>
  <c r="Y3736" i="1"/>
  <c r="AA3735" i="1"/>
  <c r="Z3735" i="1"/>
  <c r="Y3735" i="1"/>
  <c r="AA3734" i="1"/>
  <c r="Z3734" i="1"/>
  <c r="Y3734" i="1"/>
  <c r="AA3733" i="1"/>
  <c r="Z3733" i="1"/>
  <c r="Y3733" i="1"/>
  <c r="AA3732" i="1"/>
  <c r="Z3732" i="1"/>
  <c r="Y3732" i="1"/>
  <c r="AA3731" i="1"/>
  <c r="Z3731" i="1"/>
  <c r="Y3731" i="1"/>
  <c r="AA3730" i="1"/>
  <c r="Z3730" i="1"/>
  <c r="Y3730" i="1"/>
  <c r="AA3729" i="1"/>
  <c r="Z3729" i="1"/>
  <c r="Y3729" i="1"/>
  <c r="AA3728" i="1"/>
  <c r="Z3728" i="1"/>
  <c r="Y3728" i="1"/>
  <c r="AA3727" i="1"/>
  <c r="Z3727" i="1"/>
  <c r="Y3727" i="1"/>
  <c r="AA3726" i="1"/>
  <c r="Z3726" i="1"/>
  <c r="Y3726" i="1"/>
  <c r="AA3725" i="1"/>
  <c r="Z3725" i="1"/>
  <c r="Y3725" i="1"/>
  <c r="AA3724" i="1"/>
  <c r="Z3724" i="1"/>
  <c r="Y3724" i="1"/>
  <c r="AA3723" i="1"/>
  <c r="Z3723" i="1"/>
  <c r="Y3723" i="1"/>
  <c r="AA3722" i="1"/>
  <c r="Z3722" i="1"/>
  <c r="Y3722" i="1"/>
  <c r="AA3721" i="1"/>
  <c r="Z3721" i="1"/>
  <c r="Y3721" i="1"/>
  <c r="AA3720" i="1"/>
  <c r="Z3720" i="1"/>
  <c r="Y3720" i="1"/>
  <c r="AA3719" i="1"/>
  <c r="Z3719" i="1"/>
  <c r="Y3719" i="1"/>
  <c r="AA3718" i="1"/>
  <c r="Z3718" i="1"/>
  <c r="Y3718" i="1"/>
  <c r="AA3717" i="1"/>
  <c r="Z3717" i="1"/>
  <c r="Y3717" i="1"/>
  <c r="AA3716" i="1"/>
  <c r="Z3716" i="1"/>
  <c r="Y3716" i="1"/>
  <c r="AA3715" i="1"/>
  <c r="Z3715" i="1"/>
  <c r="Y3715" i="1"/>
  <c r="AA3714" i="1"/>
  <c r="Z3714" i="1"/>
  <c r="Y3714" i="1"/>
  <c r="AA3713" i="1"/>
  <c r="Z3713" i="1"/>
  <c r="Y3713" i="1"/>
  <c r="AA3712" i="1"/>
  <c r="Z3712" i="1"/>
  <c r="Y3712" i="1"/>
  <c r="AA3711" i="1"/>
  <c r="Z3711" i="1"/>
  <c r="Y3711" i="1"/>
  <c r="AA3710" i="1"/>
  <c r="Z3710" i="1"/>
  <c r="Y3710" i="1"/>
  <c r="AA3709" i="1"/>
  <c r="Z3709" i="1"/>
  <c r="Y3709" i="1"/>
  <c r="AA3708" i="1"/>
  <c r="Z3708" i="1"/>
  <c r="Y3708" i="1"/>
  <c r="AA3707" i="1"/>
  <c r="Z3707" i="1"/>
  <c r="Y3707" i="1"/>
  <c r="AA3706" i="1"/>
  <c r="Z3706" i="1"/>
  <c r="Y3706" i="1"/>
  <c r="AA3705" i="1"/>
  <c r="Z3705" i="1"/>
  <c r="Y3705" i="1"/>
  <c r="AA3704" i="1"/>
  <c r="Z3704" i="1"/>
  <c r="Y3704" i="1"/>
  <c r="AA3703" i="1"/>
  <c r="Z3703" i="1"/>
  <c r="Y3703" i="1"/>
  <c r="AA3702" i="1"/>
  <c r="Z3702" i="1"/>
  <c r="Y3702" i="1"/>
  <c r="AA3701" i="1"/>
  <c r="Z3701" i="1"/>
  <c r="Y3701" i="1"/>
  <c r="AA3700" i="1"/>
  <c r="Z3700" i="1"/>
  <c r="Y3700" i="1"/>
  <c r="AA3699" i="1"/>
  <c r="Z3699" i="1"/>
  <c r="Y3699" i="1"/>
  <c r="AA3698" i="1"/>
  <c r="Z3698" i="1"/>
  <c r="Y3698" i="1"/>
  <c r="AA3697" i="1"/>
  <c r="Z3697" i="1"/>
  <c r="Y3697" i="1"/>
  <c r="AA3696" i="1"/>
  <c r="Z3696" i="1"/>
  <c r="Y3696" i="1"/>
  <c r="AA3695" i="1"/>
  <c r="Z3695" i="1"/>
  <c r="Y3695" i="1"/>
  <c r="AA3694" i="1"/>
  <c r="Z3694" i="1"/>
  <c r="Y3694" i="1"/>
  <c r="AA3693" i="1"/>
  <c r="Z3693" i="1"/>
  <c r="Y3693" i="1"/>
  <c r="AA3692" i="1"/>
  <c r="Z3692" i="1"/>
  <c r="Y3692" i="1"/>
  <c r="AA3691" i="1"/>
  <c r="Z3691" i="1"/>
  <c r="Y3691" i="1"/>
  <c r="AA3690" i="1"/>
  <c r="Z3690" i="1"/>
  <c r="Y3690" i="1"/>
  <c r="AA3689" i="1"/>
  <c r="Z3689" i="1"/>
  <c r="Y3689" i="1"/>
  <c r="AA3688" i="1"/>
  <c r="Z3688" i="1"/>
  <c r="Y3688" i="1"/>
  <c r="AA3687" i="1"/>
  <c r="Z3687" i="1"/>
  <c r="Y3687" i="1"/>
  <c r="AA3686" i="1"/>
  <c r="Z3686" i="1"/>
  <c r="Y3686" i="1"/>
  <c r="AA3685" i="1"/>
  <c r="Z3685" i="1"/>
  <c r="Y3685" i="1"/>
  <c r="AA3684" i="1"/>
  <c r="Z3684" i="1"/>
  <c r="Y3684" i="1"/>
  <c r="AA3683" i="1"/>
  <c r="Z3683" i="1"/>
  <c r="Y3683" i="1"/>
  <c r="AA3682" i="1"/>
  <c r="Z3682" i="1"/>
  <c r="Y3682" i="1"/>
  <c r="AA3681" i="1"/>
  <c r="Z3681" i="1"/>
  <c r="Y3681" i="1"/>
  <c r="AA3680" i="1"/>
  <c r="Z3680" i="1"/>
  <c r="Y3680" i="1"/>
  <c r="AA3679" i="1"/>
  <c r="Z3679" i="1"/>
  <c r="Y3679" i="1"/>
  <c r="AA3678" i="1"/>
  <c r="Z3678" i="1"/>
  <c r="Y3678" i="1"/>
  <c r="AA3677" i="1"/>
  <c r="Z3677" i="1"/>
  <c r="Y3677" i="1"/>
  <c r="AA3676" i="1"/>
  <c r="Z3676" i="1"/>
  <c r="Y3676" i="1"/>
  <c r="AA3675" i="1"/>
  <c r="Z3675" i="1"/>
  <c r="Y3675" i="1"/>
  <c r="AA3674" i="1"/>
  <c r="Z3674" i="1"/>
  <c r="Y3674" i="1"/>
  <c r="AA3673" i="1"/>
  <c r="Z3673" i="1"/>
  <c r="Y3673" i="1"/>
  <c r="AA3672" i="1"/>
  <c r="Z3672" i="1"/>
  <c r="Y3672" i="1"/>
  <c r="AA3671" i="1"/>
  <c r="Z3671" i="1"/>
  <c r="Y3671" i="1"/>
  <c r="AA3670" i="1"/>
  <c r="Z3670" i="1"/>
  <c r="Y3670" i="1"/>
  <c r="AA3669" i="1"/>
  <c r="Z3669" i="1"/>
  <c r="Y3669" i="1"/>
  <c r="AA3668" i="1"/>
  <c r="Z3668" i="1"/>
  <c r="Y3668" i="1"/>
  <c r="AA3667" i="1"/>
  <c r="Z3667" i="1"/>
  <c r="Y3667" i="1"/>
  <c r="AA3666" i="1"/>
  <c r="Z3666" i="1"/>
  <c r="Y3666" i="1"/>
  <c r="AA3665" i="1"/>
  <c r="Z3665" i="1"/>
  <c r="Y3665" i="1"/>
  <c r="AA3664" i="1"/>
  <c r="Z3664" i="1"/>
  <c r="Y3664" i="1"/>
  <c r="AA3663" i="1"/>
  <c r="Z3663" i="1"/>
  <c r="Y3663" i="1"/>
  <c r="AA3662" i="1"/>
  <c r="Z3662" i="1"/>
  <c r="Y3662" i="1"/>
  <c r="AA3661" i="1"/>
  <c r="Z3661" i="1"/>
  <c r="Y3661" i="1"/>
  <c r="AA3660" i="1"/>
  <c r="Z3660" i="1"/>
  <c r="Y3660" i="1"/>
  <c r="AA3659" i="1"/>
  <c r="Z3659" i="1"/>
  <c r="Y3659" i="1"/>
  <c r="AA3658" i="1"/>
  <c r="Z3658" i="1"/>
  <c r="Y3658" i="1"/>
  <c r="AA3657" i="1"/>
  <c r="Z3657" i="1"/>
  <c r="Y3657" i="1"/>
  <c r="AA3656" i="1"/>
  <c r="Z3656" i="1"/>
  <c r="Y3656" i="1"/>
  <c r="AA3655" i="1"/>
  <c r="Z3655" i="1"/>
  <c r="Y3655" i="1"/>
  <c r="AA3654" i="1"/>
  <c r="Z3654" i="1"/>
  <c r="Y3654" i="1"/>
  <c r="AA3653" i="1"/>
  <c r="Z3653" i="1"/>
  <c r="Y3653" i="1"/>
  <c r="AA3652" i="1"/>
  <c r="Z3652" i="1"/>
  <c r="Y3652" i="1"/>
  <c r="AA3651" i="1"/>
  <c r="Z3651" i="1"/>
  <c r="Y3651" i="1"/>
  <c r="AA3650" i="1"/>
  <c r="Z3650" i="1"/>
  <c r="Y3650" i="1"/>
  <c r="AA3649" i="1"/>
  <c r="Z3649" i="1"/>
  <c r="Y3649" i="1"/>
  <c r="AA3648" i="1"/>
  <c r="Z3648" i="1"/>
  <c r="Y3648" i="1"/>
  <c r="AA3647" i="1"/>
  <c r="Z3647" i="1"/>
  <c r="Y3647" i="1"/>
  <c r="AA3646" i="1"/>
  <c r="Z3646" i="1"/>
  <c r="Y3646" i="1"/>
  <c r="AA3645" i="1"/>
  <c r="Z3645" i="1"/>
  <c r="Y3645" i="1"/>
  <c r="AA3644" i="1"/>
  <c r="Z3644" i="1"/>
  <c r="Y3644" i="1"/>
  <c r="AA3643" i="1"/>
  <c r="Z3643" i="1"/>
  <c r="Y3643" i="1"/>
  <c r="AA3642" i="1"/>
  <c r="Z3642" i="1"/>
  <c r="Y3642" i="1"/>
  <c r="AA3641" i="1"/>
  <c r="Z3641" i="1"/>
  <c r="Y3641" i="1"/>
  <c r="AA3640" i="1"/>
  <c r="Z3640" i="1"/>
  <c r="Y3640" i="1"/>
  <c r="AA3639" i="1"/>
  <c r="Z3639" i="1"/>
  <c r="Y3639" i="1"/>
  <c r="AA3638" i="1"/>
  <c r="Z3638" i="1"/>
  <c r="Y3638" i="1"/>
  <c r="AA3637" i="1"/>
  <c r="Z3637" i="1"/>
  <c r="Y3637" i="1"/>
  <c r="AA3636" i="1"/>
  <c r="Z3636" i="1"/>
  <c r="Y3636" i="1"/>
  <c r="AA3635" i="1"/>
  <c r="Z3635" i="1"/>
  <c r="Y3635" i="1"/>
  <c r="AA3634" i="1"/>
  <c r="Z3634" i="1"/>
  <c r="Y3634" i="1"/>
  <c r="AA3633" i="1"/>
  <c r="Z3633" i="1"/>
  <c r="Y3633" i="1"/>
  <c r="AA3632" i="1"/>
  <c r="Z3632" i="1"/>
  <c r="Y3632" i="1"/>
  <c r="AA3631" i="1"/>
  <c r="Z3631" i="1"/>
  <c r="Y3631" i="1"/>
  <c r="AA3630" i="1"/>
  <c r="Z3630" i="1"/>
  <c r="Y3630" i="1"/>
  <c r="AA3629" i="1"/>
  <c r="Z3629" i="1"/>
  <c r="Y3629" i="1"/>
  <c r="AA3628" i="1"/>
  <c r="Z3628" i="1"/>
  <c r="Y3628" i="1"/>
  <c r="AA3627" i="1"/>
  <c r="Z3627" i="1"/>
  <c r="Y3627" i="1"/>
  <c r="AA3626" i="1"/>
  <c r="Z3626" i="1"/>
  <c r="Y3626" i="1"/>
  <c r="AA3625" i="1"/>
  <c r="Z3625" i="1"/>
  <c r="Y3625" i="1"/>
  <c r="AA3624" i="1"/>
  <c r="Z3624" i="1"/>
  <c r="Y3624" i="1"/>
  <c r="AA3623" i="1"/>
  <c r="Z3623" i="1"/>
  <c r="Y3623" i="1"/>
  <c r="AA3622" i="1"/>
  <c r="Z3622" i="1"/>
  <c r="Y3622" i="1"/>
  <c r="AA3621" i="1"/>
  <c r="Z3621" i="1"/>
  <c r="Y3621" i="1"/>
  <c r="AA3620" i="1"/>
  <c r="Z3620" i="1"/>
  <c r="Y3620" i="1"/>
  <c r="AA3619" i="1"/>
  <c r="Z3619" i="1"/>
  <c r="Y3619" i="1"/>
  <c r="AA3618" i="1"/>
  <c r="Z3618" i="1"/>
  <c r="Y3618" i="1"/>
  <c r="AA3617" i="1"/>
  <c r="Z3617" i="1"/>
  <c r="Y3617" i="1"/>
  <c r="AA3616" i="1"/>
  <c r="Z3616" i="1"/>
  <c r="Y3616" i="1"/>
  <c r="AA3615" i="1"/>
  <c r="Z3615" i="1"/>
  <c r="Y3615" i="1"/>
  <c r="AA3614" i="1"/>
  <c r="Z3614" i="1"/>
  <c r="Y3614" i="1"/>
  <c r="AA3613" i="1"/>
  <c r="Z3613" i="1"/>
  <c r="Y3613" i="1"/>
  <c r="AA3612" i="1"/>
  <c r="Z3612" i="1"/>
  <c r="Y3612" i="1"/>
  <c r="AA3611" i="1"/>
  <c r="Z3611" i="1"/>
  <c r="Y3611" i="1"/>
  <c r="AA3610" i="1"/>
  <c r="Z3610" i="1"/>
  <c r="Y3610" i="1"/>
  <c r="AA3609" i="1"/>
  <c r="Z3609" i="1"/>
  <c r="Y3609" i="1"/>
  <c r="AA3608" i="1"/>
  <c r="Z3608" i="1"/>
  <c r="Y3608" i="1"/>
  <c r="AA3607" i="1"/>
  <c r="Z3607" i="1"/>
  <c r="Y3607" i="1"/>
  <c r="AA3606" i="1"/>
  <c r="Z3606" i="1"/>
  <c r="Y3606" i="1"/>
  <c r="AA3605" i="1"/>
  <c r="Z3605" i="1"/>
  <c r="Y3605" i="1"/>
  <c r="AA3604" i="1"/>
  <c r="Z3604" i="1"/>
  <c r="Y3604" i="1"/>
  <c r="AA3603" i="1"/>
  <c r="Z3603" i="1"/>
  <c r="Y3603" i="1"/>
  <c r="AA3602" i="1"/>
  <c r="Z3602" i="1"/>
  <c r="Y3602" i="1"/>
  <c r="AA3601" i="1"/>
  <c r="Z3601" i="1"/>
  <c r="Y3601" i="1"/>
  <c r="AA3600" i="1"/>
  <c r="Z3600" i="1"/>
  <c r="Y3600" i="1"/>
  <c r="AA3599" i="1"/>
  <c r="Z3599" i="1"/>
  <c r="Y3599" i="1"/>
  <c r="AA3598" i="1"/>
  <c r="Z3598" i="1"/>
  <c r="Y3598" i="1"/>
  <c r="AA3597" i="1"/>
  <c r="Z3597" i="1"/>
  <c r="Y3597" i="1"/>
  <c r="AA3596" i="1"/>
  <c r="Z3596" i="1"/>
  <c r="Y3596" i="1"/>
  <c r="AA3595" i="1"/>
  <c r="Z3595" i="1"/>
  <c r="Y3595" i="1"/>
  <c r="AA3594" i="1"/>
  <c r="Z3594" i="1"/>
  <c r="Y3594" i="1"/>
  <c r="AA3593" i="1"/>
  <c r="Z3593" i="1"/>
  <c r="Y3593" i="1"/>
  <c r="AA3592" i="1"/>
  <c r="Z3592" i="1"/>
  <c r="Y3592" i="1"/>
  <c r="AA3591" i="1"/>
  <c r="Z3591" i="1"/>
  <c r="Y3591" i="1"/>
  <c r="AA3590" i="1"/>
  <c r="Z3590" i="1"/>
  <c r="Y3590" i="1"/>
  <c r="AA3589" i="1"/>
  <c r="Z3589" i="1"/>
  <c r="Y3589" i="1"/>
  <c r="AA3588" i="1"/>
  <c r="Z3588" i="1"/>
  <c r="Y3588" i="1"/>
  <c r="AA3587" i="1"/>
  <c r="Z3587" i="1"/>
  <c r="Y3587" i="1"/>
  <c r="AA3586" i="1"/>
  <c r="Z3586" i="1"/>
  <c r="Y3586" i="1"/>
  <c r="AA3585" i="1"/>
  <c r="Z3585" i="1"/>
  <c r="Y3585" i="1"/>
  <c r="AA3584" i="1"/>
  <c r="Z3584" i="1"/>
  <c r="Y3584" i="1"/>
  <c r="AA3583" i="1"/>
  <c r="Z3583" i="1"/>
  <c r="Y3583" i="1"/>
  <c r="AA3582" i="1"/>
  <c r="Z3582" i="1"/>
  <c r="Y3582" i="1"/>
  <c r="AA3581" i="1"/>
  <c r="Z3581" i="1"/>
  <c r="Y3581" i="1"/>
  <c r="AA3580" i="1"/>
  <c r="Z3580" i="1"/>
  <c r="Y3580" i="1"/>
  <c r="AA3579" i="1"/>
  <c r="Z3579" i="1"/>
  <c r="Y3579" i="1"/>
  <c r="AA3578" i="1"/>
  <c r="Z3578" i="1"/>
  <c r="Y3578" i="1"/>
  <c r="AA3577" i="1"/>
  <c r="Z3577" i="1"/>
  <c r="Y3577" i="1"/>
  <c r="AA3576" i="1"/>
  <c r="Z3576" i="1"/>
  <c r="Y3576" i="1"/>
  <c r="AA3575" i="1"/>
  <c r="Z3575" i="1"/>
  <c r="Y3575" i="1"/>
  <c r="AA3574" i="1"/>
  <c r="Z3574" i="1"/>
  <c r="Y3574" i="1"/>
  <c r="AA3573" i="1"/>
  <c r="Z3573" i="1"/>
  <c r="Y3573" i="1"/>
  <c r="AA3572" i="1"/>
  <c r="Z3572" i="1"/>
  <c r="Y3572" i="1"/>
  <c r="AA3571" i="1"/>
  <c r="Z3571" i="1"/>
  <c r="Y3571" i="1"/>
  <c r="AA3570" i="1"/>
  <c r="Z3570" i="1"/>
  <c r="Y3570" i="1"/>
  <c r="AA3569" i="1"/>
  <c r="Z3569" i="1"/>
  <c r="Y3569" i="1"/>
  <c r="AA3568" i="1"/>
  <c r="Z3568" i="1"/>
  <c r="Y3568" i="1"/>
  <c r="AA3567" i="1"/>
  <c r="Z3567" i="1"/>
  <c r="Y3567" i="1"/>
  <c r="AA3566" i="1"/>
  <c r="Z3566" i="1"/>
  <c r="Y3566" i="1"/>
  <c r="AA3565" i="1"/>
  <c r="Z3565" i="1"/>
  <c r="Y3565" i="1"/>
  <c r="AA3564" i="1"/>
  <c r="Z3564" i="1"/>
  <c r="Y3564" i="1"/>
  <c r="AA3563" i="1"/>
  <c r="Z3563" i="1"/>
  <c r="Y3563" i="1"/>
  <c r="AA3562" i="1"/>
  <c r="Z3562" i="1"/>
  <c r="Y3562" i="1"/>
  <c r="AA3561" i="1"/>
  <c r="Z3561" i="1"/>
  <c r="Y3561" i="1"/>
  <c r="AA3560" i="1"/>
  <c r="Z3560" i="1"/>
  <c r="Y3560" i="1"/>
  <c r="AA3559" i="1"/>
  <c r="Z3559" i="1"/>
  <c r="Y3559" i="1"/>
  <c r="AA3558" i="1"/>
  <c r="Z3558" i="1"/>
  <c r="Y3558" i="1"/>
  <c r="AA3557" i="1"/>
  <c r="Z3557" i="1"/>
  <c r="Y3557" i="1"/>
  <c r="AA3556" i="1"/>
  <c r="Z3556" i="1"/>
  <c r="Y3556" i="1"/>
  <c r="AA3555" i="1"/>
  <c r="Z3555" i="1"/>
  <c r="Y3555" i="1"/>
  <c r="AA3554" i="1"/>
  <c r="Z3554" i="1"/>
  <c r="Y3554" i="1"/>
  <c r="AA3553" i="1"/>
  <c r="Z3553" i="1"/>
  <c r="Y3553" i="1"/>
  <c r="AA3552" i="1"/>
  <c r="Z3552" i="1"/>
  <c r="Y3552" i="1"/>
  <c r="AA3551" i="1"/>
  <c r="Z3551" i="1"/>
  <c r="Y3551" i="1"/>
  <c r="AA3550" i="1"/>
  <c r="Z3550" i="1"/>
  <c r="Y3550" i="1"/>
  <c r="AA3549" i="1"/>
  <c r="Z3549" i="1"/>
  <c r="Y3549" i="1"/>
  <c r="AA3548" i="1"/>
  <c r="Z3548" i="1"/>
  <c r="Y3548" i="1"/>
  <c r="AA3547" i="1"/>
  <c r="Z3547" i="1"/>
  <c r="Y3547" i="1"/>
  <c r="AA3546" i="1"/>
  <c r="Z3546" i="1"/>
  <c r="Y3546" i="1"/>
  <c r="AA3545" i="1"/>
  <c r="Z3545" i="1"/>
  <c r="Y3545" i="1"/>
  <c r="AA3544" i="1"/>
  <c r="Z3544" i="1"/>
  <c r="Y3544" i="1"/>
  <c r="AA3543" i="1"/>
  <c r="Z3543" i="1"/>
  <c r="Y3543" i="1"/>
  <c r="AA3542" i="1"/>
  <c r="Z3542" i="1"/>
  <c r="Y3542" i="1"/>
  <c r="AA3541" i="1"/>
  <c r="Z3541" i="1"/>
  <c r="Y3541" i="1"/>
  <c r="AA3540" i="1"/>
  <c r="Z3540" i="1"/>
  <c r="Y3540" i="1"/>
  <c r="AA3539" i="1"/>
  <c r="Z3539" i="1"/>
  <c r="Y3539" i="1"/>
  <c r="AA3538" i="1"/>
  <c r="Z3538" i="1"/>
  <c r="Y3538" i="1"/>
  <c r="AA3537" i="1"/>
  <c r="Z3537" i="1"/>
  <c r="Y3537" i="1"/>
  <c r="AA3536" i="1"/>
  <c r="Z3536" i="1"/>
  <c r="Y3536" i="1"/>
  <c r="AA3535" i="1"/>
  <c r="Z3535" i="1"/>
  <c r="Y3535" i="1"/>
  <c r="AA3534" i="1"/>
  <c r="Z3534" i="1"/>
  <c r="Y3534" i="1"/>
  <c r="AA3533" i="1"/>
  <c r="Z3533" i="1"/>
  <c r="Y3533" i="1"/>
  <c r="AA3532" i="1"/>
  <c r="Z3532" i="1"/>
  <c r="Y3532" i="1"/>
  <c r="AA3531" i="1"/>
  <c r="Z3531" i="1"/>
  <c r="Y3531" i="1"/>
  <c r="AA3530" i="1"/>
  <c r="Z3530" i="1"/>
  <c r="Y3530" i="1"/>
  <c r="AA3529" i="1"/>
  <c r="Z3529" i="1"/>
  <c r="Y3529" i="1"/>
  <c r="AA3528" i="1"/>
  <c r="Z3528" i="1"/>
  <c r="Y3528" i="1"/>
  <c r="AA3527" i="1"/>
  <c r="Z3527" i="1"/>
  <c r="Y3527" i="1"/>
  <c r="AA3526" i="1"/>
  <c r="Z3526" i="1"/>
  <c r="Y3526" i="1"/>
  <c r="AA3525" i="1"/>
  <c r="Z3525" i="1"/>
  <c r="Y3525" i="1"/>
  <c r="AA3524" i="1"/>
  <c r="Z3524" i="1"/>
  <c r="Y3524" i="1"/>
  <c r="AA3523" i="1"/>
  <c r="Z3523" i="1"/>
  <c r="Y3523" i="1"/>
  <c r="AA3522" i="1"/>
  <c r="Z3522" i="1"/>
  <c r="Y3522" i="1"/>
  <c r="AA3521" i="1"/>
  <c r="Z3521" i="1"/>
  <c r="Y3521" i="1"/>
  <c r="AA3520" i="1"/>
  <c r="Z3520" i="1"/>
  <c r="Y3520" i="1"/>
  <c r="AA3519" i="1"/>
  <c r="Z3519" i="1"/>
  <c r="Y3519" i="1"/>
  <c r="AA3518" i="1"/>
  <c r="Z3518" i="1"/>
  <c r="Y3518" i="1"/>
  <c r="AA3517" i="1"/>
  <c r="Z3517" i="1"/>
  <c r="Y3517" i="1"/>
  <c r="AA3516" i="1"/>
  <c r="Z3516" i="1"/>
  <c r="Y3516" i="1"/>
  <c r="AA3515" i="1"/>
  <c r="Z3515" i="1"/>
  <c r="Y3515" i="1"/>
  <c r="AA3514" i="1"/>
  <c r="Z3514" i="1"/>
  <c r="Y3514" i="1"/>
  <c r="AA3513" i="1"/>
  <c r="Z3513" i="1"/>
  <c r="Y3513" i="1"/>
  <c r="AA3512" i="1"/>
  <c r="Z3512" i="1"/>
  <c r="Y3512" i="1"/>
  <c r="AA3511" i="1"/>
  <c r="Z3511" i="1"/>
  <c r="Y3511" i="1"/>
  <c r="AA3510" i="1"/>
  <c r="Z3510" i="1"/>
  <c r="Y3510" i="1"/>
  <c r="AA3509" i="1"/>
  <c r="Z3509" i="1"/>
  <c r="Y3509" i="1"/>
  <c r="AA3508" i="1"/>
  <c r="Z3508" i="1"/>
  <c r="Y3508" i="1"/>
  <c r="AA3507" i="1"/>
  <c r="Z3507" i="1"/>
  <c r="Y3507" i="1"/>
  <c r="AA3506" i="1"/>
  <c r="Z3506" i="1"/>
  <c r="Y3506" i="1"/>
  <c r="AA3505" i="1"/>
  <c r="Z3505" i="1"/>
  <c r="Y3505" i="1"/>
  <c r="AA3504" i="1"/>
  <c r="Z3504" i="1"/>
  <c r="Y3504" i="1"/>
  <c r="AA3503" i="1"/>
  <c r="Z3503" i="1"/>
  <c r="Y3503" i="1"/>
  <c r="AA3502" i="1"/>
  <c r="Z3502" i="1"/>
  <c r="Y3502" i="1"/>
  <c r="AA3501" i="1"/>
  <c r="Z3501" i="1"/>
  <c r="Y3501" i="1"/>
  <c r="AA3500" i="1"/>
  <c r="Z3500" i="1"/>
  <c r="Y3500" i="1"/>
  <c r="AA3499" i="1"/>
  <c r="Z3499" i="1"/>
  <c r="Y3499" i="1"/>
  <c r="AA3498" i="1"/>
  <c r="Z3498" i="1"/>
  <c r="Y3498" i="1"/>
  <c r="AA3497" i="1"/>
  <c r="Z3497" i="1"/>
  <c r="Y3497" i="1"/>
  <c r="AA3496" i="1"/>
  <c r="Z3496" i="1"/>
  <c r="Y3496" i="1"/>
  <c r="AA3495" i="1"/>
  <c r="Z3495" i="1"/>
  <c r="Y3495" i="1"/>
  <c r="AA3494" i="1"/>
  <c r="Z3494" i="1"/>
  <c r="Y3494" i="1"/>
  <c r="AA3493" i="1"/>
  <c r="Z3493" i="1"/>
  <c r="Y3493" i="1"/>
  <c r="AA3492" i="1"/>
  <c r="Z3492" i="1"/>
  <c r="Y3492" i="1"/>
  <c r="AA3491" i="1"/>
  <c r="Z3491" i="1"/>
  <c r="Y3491" i="1"/>
  <c r="AA3490" i="1"/>
  <c r="Z3490" i="1"/>
  <c r="Y3490" i="1"/>
  <c r="AA3489" i="1"/>
  <c r="Z3489" i="1"/>
  <c r="Y3489" i="1"/>
  <c r="AA3488" i="1"/>
  <c r="Z3488" i="1"/>
  <c r="Y3488" i="1"/>
  <c r="AA3487" i="1"/>
  <c r="Z3487" i="1"/>
  <c r="Y3487" i="1"/>
  <c r="AA3486" i="1"/>
  <c r="Z3486" i="1"/>
  <c r="Y3486" i="1"/>
  <c r="AA3485" i="1"/>
  <c r="Z3485" i="1"/>
  <c r="Y3485" i="1"/>
  <c r="AA3484" i="1"/>
  <c r="Z3484" i="1"/>
  <c r="Y3484" i="1"/>
  <c r="AA3483" i="1"/>
  <c r="Z3483" i="1"/>
  <c r="Y3483" i="1"/>
  <c r="AA3482" i="1"/>
  <c r="Z3482" i="1"/>
  <c r="Y3482" i="1"/>
  <c r="AA3481" i="1"/>
  <c r="Z3481" i="1"/>
  <c r="Y3481" i="1"/>
  <c r="AA3480" i="1"/>
  <c r="Z3480" i="1"/>
  <c r="Y3480" i="1"/>
  <c r="AA3479" i="1"/>
  <c r="Z3479" i="1"/>
  <c r="Y3479" i="1"/>
  <c r="AA3478" i="1"/>
  <c r="Z3478" i="1"/>
  <c r="Y3478" i="1"/>
  <c r="AA3477" i="1"/>
  <c r="Z3477" i="1"/>
  <c r="Y3477" i="1"/>
  <c r="AA3476" i="1"/>
  <c r="Z3476" i="1"/>
  <c r="Y3476" i="1"/>
  <c r="AA3475" i="1"/>
  <c r="Z3475" i="1"/>
  <c r="Y3475" i="1"/>
  <c r="AA3474" i="1"/>
  <c r="Z3474" i="1"/>
  <c r="Y3474" i="1"/>
  <c r="AA3473" i="1"/>
  <c r="Z3473" i="1"/>
  <c r="Y3473" i="1"/>
  <c r="AA3472" i="1"/>
  <c r="Z3472" i="1"/>
  <c r="Y3472" i="1"/>
  <c r="AA3471" i="1"/>
  <c r="Z3471" i="1"/>
  <c r="Y3471" i="1"/>
  <c r="AA3470" i="1"/>
  <c r="Z3470" i="1"/>
  <c r="Y3470" i="1"/>
  <c r="AA3469" i="1"/>
  <c r="Z3469" i="1"/>
  <c r="Y3469" i="1"/>
  <c r="AA3468" i="1"/>
  <c r="Z3468" i="1"/>
  <c r="Y3468" i="1"/>
  <c r="AA3467" i="1"/>
  <c r="Z3467" i="1"/>
  <c r="Y3467" i="1"/>
  <c r="AA3466" i="1"/>
  <c r="Z3466" i="1"/>
  <c r="Y3466" i="1"/>
  <c r="AA3465" i="1"/>
  <c r="Z3465" i="1"/>
  <c r="Y3465" i="1"/>
  <c r="AA3464" i="1"/>
  <c r="Z3464" i="1"/>
  <c r="Y3464" i="1"/>
  <c r="AA3463" i="1"/>
  <c r="Z3463" i="1"/>
  <c r="Y3463" i="1"/>
  <c r="AA3462" i="1"/>
  <c r="Z3462" i="1"/>
  <c r="Y3462" i="1"/>
  <c r="AA3461" i="1"/>
  <c r="Z3461" i="1"/>
  <c r="Y3461" i="1"/>
  <c r="AA3460" i="1"/>
  <c r="Z3460" i="1"/>
  <c r="Y3460" i="1"/>
  <c r="AA3459" i="1"/>
  <c r="Z3459" i="1"/>
  <c r="Y3459" i="1"/>
  <c r="AA3458" i="1"/>
  <c r="Z3458" i="1"/>
  <c r="Y3458" i="1"/>
  <c r="AA3457" i="1"/>
  <c r="Z3457" i="1"/>
  <c r="Y3457" i="1"/>
  <c r="AA3456" i="1"/>
  <c r="Z3456" i="1"/>
  <c r="Y3456" i="1"/>
  <c r="AA3455" i="1"/>
  <c r="Z3455" i="1"/>
  <c r="Y3455" i="1"/>
  <c r="AA3454" i="1"/>
  <c r="Z3454" i="1"/>
  <c r="Y3454" i="1"/>
  <c r="AA3453" i="1"/>
  <c r="Z3453" i="1"/>
  <c r="Y3453" i="1"/>
  <c r="AA3452" i="1"/>
  <c r="Z3452" i="1"/>
  <c r="Y3452" i="1"/>
  <c r="AA3451" i="1"/>
  <c r="Z3451" i="1"/>
  <c r="Y3451" i="1"/>
  <c r="AA3450" i="1"/>
  <c r="Z3450" i="1"/>
  <c r="Y3450" i="1"/>
  <c r="AA3449" i="1"/>
  <c r="Z3449" i="1"/>
  <c r="Y3449" i="1"/>
  <c r="AA3448" i="1"/>
  <c r="Z3448" i="1"/>
  <c r="Y3448" i="1"/>
  <c r="AA3447" i="1"/>
  <c r="Z3447" i="1"/>
  <c r="Y3447" i="1"/>
  <c r="AA3446" i="1"/>
  <c r="Z3446" i="1"/>
  <c r="Y3446" i="1"/>
  <c r="AA3445" i="1"/>
  <c r="Z3445" i="1"/>
  <c r="Y3445" i="1"/>
  <c r="AA3444" i="1"/>
  <c r="Z3444" i="1"/>
  <c r="Y3444" i="1"/>
  <c r="AA3443" i="1"/>
  <c r="Z3443" i="1"/>
  <c r="Y3443" i="1"/>
  <c r="AA3442" i="1"/>
  <c r="Z3442" i="1"/>
  <c r="Y3442" i="1"/>
  <c r="AA3441" i="1"/>
  <c r="Z3441" i="1"/>
  <c r="Y3441" i="1"/>
  <c r="AA3440" i="1"/>
  <c r="Z3440" i="1"/>
  <c r="Y3440" i="1"/>
  <c r="AA3439" i="1"/>
  <c r="Z3439" i="1"/>
  <c r="Y3439" i="1"/>
  <c r="AA3438" i="1"/>
  <c r="Z3438" i="1"/>
  <c r="Y3438" i="1"/>
  <c r="AA3437" i="1"/>
  <c r="Z3437" i="1"/>
  <c r="Y3437" i="1"/>
  <c r="AA3436" i="1"/>
  <c r="Z3436" i="1"/>
  <c r="Y3436" i="1"/>
  <c r="AA3435" i="1"/>
  <c r="Z3435" i="1"/>
  <c r="Y3435" i="1"/>
  <c r="AA3434" i="1"/>
  <c r="Z3434" i="1"/>
  <c r="Y3434" i="1"/>
  <c r="AA3433" i="1"/>
  <c r="Z3433" i="1"/>
  <c r="Y3433" i="1"/>
  <c r="AA3432" i="1"/>
  <c r="Z3432" i="1"/>
  <c r="Y3432" i="1"/>
  <c r="AA3431" i="1"/>
  <c r="Z3431" i="1"/>
  <c r="Y3431" i="1"/>
  <c r="AA3430" i="1"/>
  <c r="Z3430" i="1"/>
  <c r="Y3430" i="1"/>
  <c r="AA3429" i="1"/>
  <c r="Z3429" i="1"/>
  <c r="Y3429" i="1"/>
  <c r="AA3428" i="1"/>
  <c r="Z3428" i="1"/>
  <c r="Y3428" i="1"/>
  <c r="AA3427" i="1"/>
  <c r="Z3427" i="1"/>
  <c r="Y3427" i="1"/>
  <c r="AA3426" i="1"/>
  <c r="Z3426" i="1"/>
  <c r="Y3426" i="1"/>
  <c r="AA3425" i="1"/>
  <c r="Z3425" i="1"/>
  <c r="Y3425" i="1"/>
  <c r="AA3424" i="1"/>
  <c r="Z3424" i="1"/>
  <c r="Y3424" i="1"/>
  <c r="AA3423" i="1"/>
  <c r="Z3423" i="1"/>
  <c r="Y3423" i="1"/>
  <c r="AA3422" i="1"/>
  <c r="Z3422" i="1"/>
  <c r="Y3422" i="1"/>
  <c r="AA3421" i="1"/>
  <c r="Z3421" i="1"/>
  <c r="Y3421" i="1"/>
  <c r="AA3420" i="1"/>
  <c r="Z3420" i="1"/>
  <c r="Y3420" i="1"/>
  <c r="AA3419" i="1"/>
  <c r="Z3419" i="1"/>
  <c r="Y3419" i="1"/>
  <c r="AA3418" i="1"/>
  <c r="Z3418" i="1"/>
  <c r="Y3418" i="1"/>
  <c r="AA3417" i="1"/>
  <c r="Z3417" i="1"/>
  <c r="Y3417" i="1"/>
  <c r="AA3416" i="1"/>
  <c r="Z3416" i="1"/>
  <c r="Y3416" i="1"/>
  <c r="AA3415" i="1"/>
  <c r="Z3415" i="1"/>
  <c r="Y3415" i="1"/>
  <c r="AA3414" i="1"/>
  <c r="Z3414" i="1"/>
  <c r="Y3414" i="1"/>
  <c r="AA3413" i="1"/>
  <c r="Z3413" i="1"/>
  <c r="Y3413" i="1"/>
  <c r="AA3412" i="1"/>
  <c r="Z3412" i="1"/>
  <c r="Y3412" i="1"/>
  <c r="AA3411" i="1"/>
  <c r="Z3411" i="1"/>
  <c r="Y3411" i="1"/>
  <c r="AA3410" i="1"/>
  <c r="Z3410" i="1"/>
  <c r="Y3410" i="1"/>
  <c r="AA3409" i="1"/>
  <c r="Z3409" i="1"/>
  <c r="Y3409" i="1"/>
  <c r="AA3408" i="1"/>
  <c r="Z3408" i="1"/>
  <c r="Y3408" i="1"/>
  <c r="AA3407" i="1"/>
  <c r="Z3407" i="1"/>
  <c r="Y3407" i="1"/>
  <c r="AA3406" i="1"/>
  <c r="Z3406" i="1"/>
  <c r="Y3406" i="1"/>
  <c r="AA3405" i="1"/>
  <c r="Z3405" i="1"/>
  <c r="Y3405" i="1"/>
  <c r="AA3404" i="1"/>
  <c r="Z3404" i="1"/>
  <c r="Y3404" i="1"/>
  <c r="AA3403" i="1"/>
  <c r="Z3403" i="1"/>
  <c r="Y3403" i="1"/>
  <c r="AA3402" i="1"/>
  <c r="Z3402" i="1"/>
  <c r="Y3402" i="1"/>
  <c r="AA3401" i="1"/>
  <c r="Z3401" i="1"/>
  <c r="Y3401" i="1"/>
  <c r="AA3400" i="1"/>
  <c r="Z3400" i="1"/>
  <c r="Y3400" i="1"/>
  <c r="AA3399" i="1"/>
  <c r="Z3399" i="1"/>
  <c r="Y3399" i="1"/>
  <c r="AA3398" i="1"/>
  <c r="Z3398" i="1"/>
  <c r="Y3398" i="1"/>
  <c r="AA3397" i="1"/>
  <c r="Z3397" i="1"/>
  <c r="Y3397" i="1"/>
  <c r="AA3396" i="1"/>
  <c r="Z3396" i="1"/>
  <c r="Y3396" i="1"/>
  <c r="AA3395" i="1"/>
  <c r="Z3395" i="1"/>
  <c r="Y3395" i="1"/>
  <c r="AA3394" i="1"/>
  <c r="Z3394" i="1"/>
  <c r="Y3394" i="1"/>
  <c r="AA3393" i="1"/>
  <c r="Z3393" i="1"/>
  <c r="Y3393" i="1"/>
  <c r="AA3392" i="1"/>
  <c r="Z3392" i="1"/>
  <c r="Y3392" i="1"/>
  <c r="AA3391" i="1"/>
  <c r="Z3391" i="1"/>
  <c r="Y3391" i="1"/>
  <c r="AA3390" i="1"/>
  <c r="Z3390" i="1"/>
  <c r="Y3390" i="1"/>
  <c r="AA3389" i="1"/>
  <c r="Z3389" i="1"/>
  <c r="Y3389" i="1"/>
  <c r="AA3388" i="1"/>
  <c r="Z3388" i="1"/>
  <c r="Y3388" i="1"/>
  <c r="AA3387" i="1"/>
  <c r="Z3387" i="1"/>
  <c r="Y3387" i="1"/>
  <c r="AA3386" i="1"/>
  <c r="Z3386" i="1"/>
  <c r="Y3386" i="1"/>
  <c r="AA3385" i="1"/>
  <c r="Z3385" i="1"/>
  <c r="Y3385" i="1"/>
  <c r="AA3384" i="1"/>
  <c r="Z3384" i="1"/>
  <c r="Y3384" i="1"/>
  <c r="AA3383" i="1"/>
  <c r="Z3383" i="1"/>
  <c r="Y3383" i="1"/>
  <c r="AA3382" i="1"/>
  <c r="Z3382" i="1"/>
  <c r="Y3382" i="1"/>
  <c r="AA3381" i="1"/>
  <c r="Z3381" i="1"/>
  <c r="Y3381" i="1"/>
  <c r="AA3380" i="1"/>
  <c r="Z3380" i="1"/>
  <c r="Y3380" i="1"/>
  <c r="AA3379" i="1"/>
  <c r="Z3379" i="1"/>
  <c r="Y3379" i="1"/>
  <c r="AA3378" i="1"/>
  <c r="Z3378" i="1"/>
  <c r="Y3378" i="1"/>
  <c r="AA3377" i="1"/>
  <c r="Z3377" i="1"/>
  <c r="Y3377" i="1"/>
  <c r="AA3376" i="1"/>
  <c r="Z3376" i="1"/>
  <c r="Y3376" i="1"/>
  <c r="AA3375" i="1"/>
  <c r="Z3375" i="1"/>
  <c r="Y3375" i="1"/>
  <c r="AA3374" i="1"/>
  <c r="Z3374" i="1"/>
  <c r="Y3374" i="1"/>
  <c r="AA3373" i="1"/>
  <c r="Z3373" i="1"/>
  <c r="Y3373" i="1"/>
  <c r="AA3372" i="1"/>
  <c r="Z3372" i="1"/>
  <c r="Y3372" i="1"/>
  <c r="AA3371" i="1"/>
  <c r="Z3371" i="1"/>
  <c r="Y3371" i="1"/>
  <c r="AA3370" i="1"/>
  <c r="Z3370" i="1"/>
  <c r="Y3370" i="1"/>
  <c r="AA3369" i="1"/>
  <c r="Z3369" i="1"/>
  <c r="Y3369" i="1"/>
  <c r="AA3368" i="1"/>
  <c r="Z3368" i="1"/>
  <c r="Y3368" i="1"/>
  <c r="AA3367" i="1"/>
  <c r="Z3367" i="1"/>
  <c r="Y3367" i="1"/>
  <c r="AA3366" i="1"/>
  <c r="Z3366" i="1"/>
  <c r="Y3366" i="1"/>
  <c r="AA3365" i="1"/>
  <c r="Z3365" i="1"/>
  <c r="Y3365" i="1"/>
  <c r="AA3364" i="1"/>
  <c r="Z3364" i="1"/>
  <c r="Y3364" i="1"/>
  <c r="AA3363" i="1"/>
  <c r="Z3363" i="1"/>
  <c r="Y3363" i="1"/>
  <c r="AA3362" i="1"/>
  <c r="Z3362" i="1"/>
  <c r="Y3362" i="1"/>
  <c r="AA3361" i="1"/>
  <c r="Z3361" i="1"/>
  <c r="Y3361" i="1"/>
  <c r="AA3360" i="1"/>
  <c r="Z3360" i="1"/>
  <c r="Y3360" i="1"/>
  <c r="AA3359" i="1"/>
  <c r="Z3359" i="1"/>
  <c r="Y3359" i="1"/>
  <c r="AA3358" i="1"/>
  <c r="Z3358" i="1"/>
  <c r="Y3358" i="1"/>
  <c r="AA3357" i="1"/>
  <c r="Z3357" i="1"/>
  <c r="Y3357" i="1"/>
  <c r="AA3356" i="1"/>
  <c r="Z3356" i="1"/>
  <c r="Y3356" i="1"/>
  <c r="AA3355" i="1"/>
  <c r="Z3355" i="1"/>
  <c r="Y3355" i="1"/>
  <c r="AA3354" i="1"/>
  <c r="Z3354" i="1"/>
  <c r="Y3354" i="1"/>
  <c r="AA3353" i="1"/>
  <c r="Z3353" i="1"/>
  <c r="Y3353" i="1"/>
  <c r="AA3352" i="1"/>
  <c r="Z3352" i="1"/>
  <c r="Y3352" i="1"/>
  <c r="AA3351" i="1"/>
  <c r="Z3351" i="1"/>
  <c r="Y3351" i="1"/>
  <c r="AA3350" i="1"/>
  <c r="Z3350" i="1"/>
  <c r="Y3350" i="1"/>
  <c r="AA3349" i="1"/>
  <c r="Z3349" i="1"/>
  <c r="Y3349" i="1"/>
  <c r="AA3348" i="1"/>
  <c r="Z3348" i="1"/>
  <c r="Y3348" i="1"/>
  <c r="AA3347" i="1"/>
  <c r="Z3347" i="1"/>
  <c r="Y3347" i="1"/>
  <c r="AA3346" i="1"/>
  <c r="Z3346" i="1"/>
  <c r="Y3346" i="1"/>
  <c r="AA3345" i="1"/>
  <c r="Z3345" i="1"/>
  <c r="Y3345" i="1"/>
  <c r="AA3344" i="1"/>
  <c r="Z3344" i="1"/>
  <c r="Y3344" i="1"/>
  <c r="AA3343" i="1"/>
  <c r="Z3343" i="1"/>
  <c r="Y3343" i="1"/>
  <c r="AA3342" i="1"/>
  <c r="Z3342" i="1"/>
  <c r="Y3342" i="1"/>
  <c r="AA3341" i="1"/>
  <c r="Z3341" i="1"/>
  <c r="Y3341" i="1"/>
  <c r="AA3340" i="1"/>
  <c r="Z3340" i="1"/>
  <c r="Y3340" i="1"/>
  <c r="AA3339" i="1"/>
  <c r="Z3339" i="1"/>
  <c r="Y3339" i="1"/>
  <c r="AA3338" i="1"/>
  <c r="Z3338" i="1"/>
  <c r="Y3338" i="1"/>
  <c r="AA3337" i="1"/>
  <c r="Z3337" i="1"/>
  <c r="Y3337" i="1"/>
  <c r="AA3336" i="1"/>
  <c r="Z3336" i="1"/>
  <c r="Y3336" i="1"/>
  <c r="AA3335" i="1"/>
  <c r="Z3335" i="1"/>
  <c r="Y3335" i="1"/>
  <c r="AA3334" i="1"/>
  <c r="Z3334" i="1"/>
  <c r="Y3334" i="1"/>
  <c r="AA3333" i="1"/>
  <c r="Z3333" i="1"/>
  <c r="Y3333" i="1"/>
  <c r="AA3332" i="1"/>
  <c r="Z3332" i="1"/>
  <c r="Y3332" i="1"/>
  <c r="AA3331" i="1"/>
  <c r="Z3331" i="1"/>
  <c r="Y3331" i="1"/>
  <c r="AA3330" i="1"/>
  <c r="Z3330" i="1"/>
  <c r="Y3330" i="1"/>
  <c r="AA3329" i="1"/>
  <c r="Z3329" i="1"/>
  <c r="Y3329" i="1"/>
  <c r="AA3328" i="1"/>
  <c r="Z3328" i="1"/>
  <c r="Y3328" i="1"/>
  <c r="AA3327" i="1"/>
  <c r="Z3327" i="1"/>
  <c r="Y3327" i="1"/>
  <c r="AA3326" i="1"/>
  <c r="Z3326" i="1"/>
  <c r="Y3326" i="1"/>
  <c r="AA3325" i="1"/>
  <c r="Z3325" i="1"/>
  <c r="Y3325" i="1"/>
  <c r="AA3324" i="1"/>
  <c r="Z3324" i="1"/>
  <c r="Y3324" i="1"/>
  <c r="AA3323" i="1"/>
  <c r="Z3323" i="1"/>
  <c r="Y3323" i="1"/>
  <c r="AA3322" i="1"/>
  <c r="Z3322" i="1"/>
  <c r="Y3322" i="1"/>
  <c r="AA3321" i="1"/>
  <c r="Z3321" i="1"/>
  <c r="Y3321" i="1"/>
  <c r="AA3320" i="1"/>
  <c r="Z3320" i="1"/>
  <c r="Y3320" i="1"/>
  <c r="AA3319" i="1"/>
  <c r="Z3319" i="1"/>
  <c r="Y3319" i="1"/>
  <c r="AA3318" i="1"/>
  <c r="Z3318" i="1"/>
  <c r="Y3318" i="1"/>
  <c r="AA3317" i="1"/>
  <c r="Z3317" i="1"/>
  <c r="Y3317" i="1"/>
  <c r="AA3316" i="1"/>
  <c r="Z3316" i="1"/>
  <c r="Y3316" i="1"/>
  <c r="AA3315" i="1"/>
  <c r="Z3315" i="1"/>
  <c r="Y3315" i="1"/>
  <c r="AA3314" i="1"/>
  <c r="Z3314" i="1"/>
  <c r="Y3314" i="1"/>
  <c r="AA3313" i="1"/>
  <c r="Z3313" i="1"/>
  <c r="Y3313" i="1"/>
  <c r="AA3312" i="1"/>
  <c r="Z3312" i="1"/>
  <c r="Y3312" i="1"/>
  <c r="AA3311" i="1"/>
  <c r="Z3311" i="1"/>
  <c r="Y3311" i="1"/>
  <c r="AA3310" i="1"/>
  <c r="Z3310" i="1"/>
  <c r="Y3310" i="1"/>
  <c r="AA3309" i="1"/>
  <c r="Z3309" i="1"/>
  <c r="Y3309" i="1"/>
  <c r="AA3308" i="1"/>
  <c r="Z3308" i="1"/>
  <c r="Y3308" i="1"/>
  <c r="AA3307" i="1"/>
  <c r="Z3307" i="1"/>
  <c r="Y3307" i="1"/>
  <c r="AA3306" i="1"/>
  <c r="Z3306" i="1"/>
  <c r="Y3306" i="1"/>
  <c r="AA3305" i="1"/>
  <c r="Z3305" i="1"/>
  <c r="Y3305" i="1"/>
  <c r="AA3304" i="1"/>
  <c r="Z3304" i="1"/>
  <c r="Y3304" i="1"/>
  <c r="AA3303" i="1"/>
  <c r="Z3303" i="1"/>
  <c r="Y3303" i="1"/>
  <c r="AA3302" i="1"/>
  <c r="Z3302" i="1"/>
  <c r="Y3302" i="1"/>
  <c r="AA3301" i="1"/>
  <c r="Z3301" i="1"/>
  <c r="Y3301" i="1"/>
  <c r="AA3300" i="1"/>
  <c r="Z3300" i="1"/>
  <c r="Y3300" i="1"/>
  <c r="AA3299" i="1"/>
  <c r="Z3299" i="1"/>
  <c r="Y3299" i="1"/>
  <c r="AA3298" i="1"/>
  <c r="Z3298" i="1"/>
  <c r="Y3298" i="1"/>
  <c r="AA3297" i="1"/>
  <c r="Z3297" i="1"/>
  <c r="Y3297" i="1"/>
  <c r="AA3296" i="1"/>
  <c r="Z3296" i="1"/>
  <c r="Y3296" i="1"/>
  <c r="AA3295" i="1"/>
  <c r="Z3295" i="1"/>
  <c r="Y3295" i="1"/>
  <c r="AA3294" i="1"/>
  <c r="Z3294" i="1"/>
  <c r="Y3294" i="1"/>
  <c r="AA3293" i="1"/>
  <c r="Z3293" i="1"/>
  <c r="Y3293" i="1"/>
  <c r="AA3292" i="1"/>
  <c r="Z3292" i="1"/>
  <c r="Y3292" i="1"/>
  <c r="AA3291" i="1"/>
  <c r="Z3291" i="1"/>
  <c r="Y3291" i="1"/>
  <c r="AA3290" i="1"/>
  <c r="Z3290" i="1"/>
  <c r="Y3290" i="1"/>
  <c r="AA3289" i="1"/>
  <c r="Z3289" i="1"/>
  <c r="Y3289" i="1"/>
  <c r="AA3288" i="1"/>
  <c r="Z3288" i="1"/>
  <c r="Y3288" i="1"/>
  <c r="AA3287" i="1"/>
  <c r="Z3287" i="1"/>
  <c r="Y3287" i="1"/>
  <c r="AA3286" i="1"/>
  <c r="Z3286" i="1"/>
  <c r="Y3286" i="1"/>
  <c r="AA3285" i="1"/>
  <c r="Z3285" i="1"/>
  <c r="Y3285" i="1"/>
  <c r="AA3284" i="1"/>
  <c r="Z3284" i="1"/>
  <c r="Y3284" i="1"/>
  <c r="AA3283" i="1"/>
  <c r="Z3283" i="1"/>
  <c r="Y3283" i="1"/>
  <c r="AA3282" i="1"/>
  <c r="Z3282" i="1"/>
  <c r="Y3282" i="1"/>
  <c r="AA3281" i="1"/>
  <c r="Z3281" i="1"/>
  <c r="Y3281" i="1"/>
  <c r="AA3280" i="1"/>
  <c r="Z3280" i="1"/>
  <c r="Y3280" i="1"/>
  <c r="AA3279" i="1"/>
  <c r="Z3279" i="1"/>
  <c r="Y3279" i="1"/>
  <c r="AA3278" i="1"/>
  <c r="Z3278" i="1"/>
  <c r="Y3278" i="1"/>
  <c r="AA3277" i="1"/>
  <c r="Z3277" i="1"/>
  <c r="Y3277" i="1"/>
  <c r="AA3276" i="1"/>
  <c r="Z3276" i="1"/>
  <c r="Y3276" i="1"/>
  <c r="AA3275" i="1"/>
  <c r="Z3275" i="1"/>
  <c r="Y3275" i="1"/>
  <c r="AA3274" i="1"/>
  <c r="Z3274" i="1"/>
  <c r="Y3274" i="1"/>
  <c r="AA3273" i="1"/>
  <c r="Z3273" i="1"/>
  <c r="Y3273" i="1"/>
  <c r="AA3272" i="1"/>
  <c r="Z3272" i="1"/>
  <c r="Y3272" i="1"/>
  <c r="AA3271" i="1"/>
  <c r="Z3271" i="1"/>
  <c r="Y3271" i="1"/>
  <c r="AA3270" i="1"/>
  <c r="Z3270" i="1"/>
  <c r="Y3270" i="1"/>
  <c r="AA3269" i="1"/>
  <c r="Z3269" i="1"/>
  <c r="Y3269" i="1"/>
  <c r="AA3268" i="1"/>
  <c r="Z3268" i="1"/>
  <c r="Y3268" i="1"/>
  <c r="AA3267" i="1"/>
  <c r="Z3267" i="1"/>
  <c r="Y3267" i="1"/>
  <c r="AA3266" i="1"/>
  <c r="Z3266" i="1"/>
  <c r="Y3266" i="1"/>
  <c r="AA3265" i="1"/>
  <c r="Z3265" i="1"/>
  <c r="Y3265" i="1"/>
  <c r="AA3264" i="1"/>
  <c r="Z3264" i="1"/>
  <c r="Y3264" i="1"/>
  <c r="AA3263" i="1"/>
  <c r="Z3263" i="1"/>
  <c r="Y3263" i="1"/>
  <c r="AA3262" i="1"/>
  <c r="Z3262" i="1"/>
  <c r="Y3262" i="1"/>
  <c r="AA3261" i="1"/>
  <c r="Z3261" i="1"/>
  <c r="Y3261" i="1"/>
  <c r="AA3260" i="1"/>
  <c r="Z3260" i="1"/>
  <c r="Y3260" i="1"/>
  <c r="AA3259" i="1"/>
  <c r="Z3259" i="1"/>
  <c r="Y3259" i="1"/>
  <c r="AA3258" i="1"/>
  <c r="Z3258" i="1"/>
  <c r="Y3258" i="1"/>
  <c r="AA3257" i="1"/>
  <c r="Z3257" i="1"/>
  <c r="Y3257" i="1"/>
  <c r="AA3256" i="1"/>
  <c r="Z3256" i="1"/>
  <c r="Y3256" i="1"/>
  <c r="AA3255" i="1"/>
  <c r="Z3255" i="1"/>
  <c r="Y3255" i="1"/>
  <c r="AA3254" i="1"/>
  <c r="Z3254" i="1"/>
  <c r="Y3254" i="1"/>
  <c r="AA3253" i="1"/>
  <c r="Z3253" i="1"/>
  <c r="Y3253" i="1"/>
  <c r="AA3252" i="1"/>
  <c r="Z3252" i="1"/>
  <c r="Y3252" i="1"/>
  <c r="AA3251" i="1"/>
  <c r="Z3251" i="1"/>
  <c r="Y3251" i="1"/>
  <c r="AA3250" i="1"/>
  <c r="Z3250" i="1"/>
  <c r="Y3250" i="1"/>
  <c r="AA3249" i="1"/>
  <c r="Z3249" i="1"/>
  <c r="Y3249" i="1"/>
  <c r="AA3248" i="1"/>
  <c r="Z3248" i="1"/>
  <c r="Y3248" i="1"/>
  <c r="AA3247" i="1"/>
  <c r="Z3247" i="1"/>
  <c r="Y3247" i="1"/>
  <c r="AA3246" i="1"/>
  <c r="Z3246" i="1"/>
  <c r="Y3246" i="1"/>
  <c r="AA3245" i="1"/>
  <c r="Z3245" i="1"/>
  <c r="Y3245" i="1"/>
  <c r="AA3244" i="1"/>
  <c r="Z3244" i="1"/>
  <c r="Y3244" i="1"/>
  <c r="AA3243" i="1"/>
  <c r="Z3243" i="1"/>
  <c r="Y3243" i="1"/>
  <c r="AA3242" i="1"/>
  <c r="Z3242" i="1"/>
  <c r="Y3242" i="1"/>
  <c r="AA3241" i="1"/>
  <c r="Z3241" i="1"/>
  <c r="Y3241" i="1"/>
  <c r="AA3240" i="1"/>
  <c r="Z3240" i="1"/>
  <c r="Y3240" i="1"/>
  <c r="AA3239" i="1"/>
  <c r="Z3239" i="1"/>
  <c r="Y3239" i="1"/>
  <c r="AA3238" i="1"/>
  <c r="Z3238" i="1"/>
  <c r="Y3238" i="1"/>
  <c r="AA3237" i="1"/>
  <c r="Z3237" i="1"/>
  <c r="Y3237" i="1"/>
  <c r="AA3236" i="1"/>
  <c r="Z3236" i="1"/>
  <c r="Y3236" i="1"/>
  <c r="AA3235" i="1"/>
  <c r="Z3235" i="1"/>
  <c r="Y3235" i="1"/>
  <c r="AA3234" i="1"/>
  <c r="Z3234" i="1"/>
  <c r="Y3234" i="1"/>
  <c r="AA3233" i="1"/>
  <c r="Z3233" i="1"/>
  <c r="Y3233" i="1"/>
  <c r="AA3232" i="1"/>
  <c r="Z3232" i="1"/>
  <c r="Y3232" i="1"/>
  <c r="AA3231" i="1"/>
  <c r="Z3231" i="1"/>
  <c r="Y3231" i="1"/>
  <c r="AA3230" i="1"/>
  <c r="Z3230" i="1"/>
  <c r="Y3230" i="1"/>
  <c r="AA3229" i="1"/>
  <c r="Z3229" i="1"/>
  <c r="Y3229" i="1"/>
  <c r="AA3228" i="1"/>
  <c r="Z3228" i="1"/>
  <c r="Y3228" i="1"/>
  <c r="AA3227" i="1"/>
  <c r="Z3227" i="1"/>
  <c r="Y3227" i="1"/>
  <c r="AA3226" i="1"/>
  <c r="Z3226" i="1"/>
  <c r="Y3226" i="1"/>
  <c r="AA3225" i="1"/>
  <c r="Z3225" i="1"/>
  <c r="Y3225" i="1"/>
  <c r="AA3224" i="1"/>
  <c r="Z3224" i="1"/>
  <c r="Y3224" i="1"/>
  <c r="AA3223" i="1"/>
  <c r="Z3223" i="1"/>
  <c r="Y3223" i="1"/>
  <c r="AA3222" i="1"/>
  <c r="Z3222" i="1"/>
  <c r="Y3222" i="1"/>
  <c r="AA3221" i="1"/>
  <c r="Z3221" i="1"/>
  <c r="Y3221" i="1"/>
  <c r="AA3220" i="1"/>
  <c r="Z3220" i="1"/>
  <c r="Y3220" i="1"/>
  <c r="AA3219" i="1"/>
  <c r="Z3219" i="1"/>
  <c r="Y3219" i="1"/>
  <c r="AA3218" i="1"/>
  <c r="Z3218" i="1"/>
  <c r="Y3218" i="1"/>
  <c r="AA3217" i="1"/>
  <c r="Z3217" i="1"/>
  <c r="Y3217" i="1"/>
  <c r="AA3216" i="1"/>
  <c r="Z3216" i="1"/>
  <c r="Y3216" i="1"/>
  <c r="AA3215" i="1"/>
  <c r="Z3215" i="1"/>
  <c r="Y3215" i="1"/>
  <c r="AA3214" i="1"/>
  <c r="Z3214" i="1"/>
  <c r="Y3214" i="1"/>
  <c r="AA3213" i="1"/>
  <c r="Z3213" i="1"/>
  <c r="Y3213" i="1"/>
  <c r="AA3212" i="1"/>
  <c r="Z3212" i="1"/>
  <c r="Y3212" i="1"/>
  <c r="AA3211" i="1"/>
  <c r="Z3211" i="1"/>
  <c r="Y3211" i="1"/>
  <c r="AA3210" i="1"/>
  <c r="Z3210" i="1"/>
  <c r="Y3210" i="1"/>
  <c r="AA3209" i="1"/>
  <c r="Z3209" i="1"/>
  <c r="Y3209" i="1"/>
  <c r="AA3208" i="1"/>
  <c r="Z3208" i="1"/>
  <c r="Y3208" i="1"/>
  <c r="AA3207" i="1"/>
  <c r="Z3207" i="1"/>
  <c r="Y3207" i="1"/>
  <c r="AA3206" i="1"/>
  <c r="Z3206" i="1"/>
  <c r="Y3206" i="1"/>
  <c r="AA3205" i="1"/>
  <c r="Z3205" i="1"/>
  <c r="Y3205" i="1"/>
  <c r="AA3204" i="1"/>
  <c r="Z3204" i="1"/>
  <c r="Y3204" i="1"/>
  <c r="AA3203" i="1"/>
  <c r="Z3203" i="1"/>
  <c r="Y3203" i="1"/>
  <c r="AA3202" i="1"/>
  <c r="Z3202" i="1"/>
  <c r="Y3202" i="1"/>
  <c r="AA3201" i="1"/>
  <c r="Z3201" i="1"/>
  <c r="Y3201" i="1"/>
  <c r="AA3200" i="1"/>
  <c r="Z3200" i="1"/>
  <c r="Y3200" i="1"/>
  <c r="AA3199" i="1"/>
  <c r="Z3199" i="1"/>
  <c r="Y3199" i="1"/>
  <c r="AA3198" i="1"/>
  <c r="Z3198" i="1"/>
  <c r="Y3198" i="1"/>
  <c r="AA3197" i="1"/>
  <c r="Z3197" i="1"/>
  <c r="Y3197" i="1"/>
  <c r="AA3196" i="1"/>
  <c r="Z3196" i="1"/>
  <c r="Y3196" i="1"/>
  <c r="AA3195" i="1"/>
  <c r="Z3195" i="1"/>
  <c r="Y3195" i="1"/>
  <c r="AA3194" i="1"/>
  <c r="Z3194" i="1"/>
  <c r="Y3194" i="1"/>
  <c r="AA3193" i="1"/>
  <c r="Z3193" i="1"/>
  <c r="Y3193" i="1"/>
  <c r="AA3192" i="1"/>
  <c r="Z3192" i="1"/>
  <c r="Y3192" i="1"/>
  <c r="AA3191" i="1"/>
  <c r="Z3191" i="1"/>
  <c r="Y3191" i="1"/>
  <c r="AA3190" i="1"/>
  <c r="Z3190" i="1"/>
  <c r="Y3190" i="1"/>
  <c r="AA3189" i="1"/>
  <c r="Z3189" i="1"/>
  <c r="Y3189" i="1"/>
  <c r="AA3188" i="1"/>
  <c r="Z3188" i="1"/>
  <c r="Y3188" i="1"/>
  <c r="AA3187" i="1"/>
  <c r="Z3187" i="1"/>
  <c r="Y3187" i="1"/>
  <c r="AA3186" i="1"/>
  <c r="Z3186" i="1"/>
  <c r="Y3186" i="1"/>
  <c r="AA3185" i="1"/>
  <c r="Z3185" i="1"/>
  <c r="Y3185" i="1"/>
  <c r="AA3184" i="1"/>
  <c r="Z3184" i="1"/>
  <c r="Y3184" i="1"/>
  <c r="AA3183" i="1"/>
  <c r="Z3183" i="1"/>
  <c r="Y3183" i="1"/>
  <c r="AA3182" i="1"/>
  <c r="Z3182" i="1"/>
  <c r="Y3182" i="1"/>
  <c r="AA3181" i="1"/>
  <c r="Z3181" i="1"/>
  <c r="Y3181" i="1"/>
  <c r="AA3180" i="1"/>
  <c r="Z3180" i="1"/>
  <c r="Y3180" i="1"/>
  <c r="AA3179" i="1"/>
  <c r="Z3179" i="1"/>
  <c r="Y3179" i="1"/>
  <c r="AA3178" i="1"/>
  <c r="Z3178" i="1"/>
  <c r="Y3178" i="1"/>
  <c r="AA3177" i="1"/>
  <c r="Z3177" i="1"/>
  <c r="Y3177" i="1"/>
  <c r="AA3176" i="1"/>
  <c r="Z3176" i="1"/>
  <c r="Y3176" i="1"/>
  <c r="AA3175" i="1"/>
  <c r="Z3175" i="1"/>
  <c r="Y3175" i="1"/>
  <c r="AA3174" i="1"/>
  <c r="Z3174" i="1"/>
  <c r="Y3174" i="1"/>
  <c r="AA3173" i="1"/>
  <c r="Z3173" i="1"/>
  <c r="Y3173" i="1"/>
  <c r="AA3172" i="1"/>
  <c r="Z3172" i="1"/>
  <c r="Y3172" i="1"/>
  <c r="AA3171" i="1"/>
  <c r="Z3171" i="1"/>
  <c r="Y3171" i="1"/>
  <c r="AA3170" i="1"/>
  <c r="Z3170" i="1"/>
  <c r="Y3170" i="1"/>
  <c r="AA3169" i="1"/>
  <c r="Z3169" i="1"/>
  <c r="Y3169" i="1"/>
  <c r="AA3168" i="1"/>
  <c r="Z3168" i="1"/>
  <c r="Y3168" i="1"/>
  <c r="AA3167" i="1"/>
  <c r="Z3167" i="1"/>
  <c r="Y3167" i="1"/>
  <c r="AA3166" i="1"/>
  <c r="Z3166" i="1"/>
  <c r="Y3166" i="1"/>
  <c r="AA3165" i="1"/>
  <c r="Z3165" i="1"/>
  <c r="Y3165" i="1"/>
  <c r="AA3164" i="1"/>
  <c r="Z3164" i="1"/>
  <c r="Y3164" i="1"/>
  <c r="AA3163" i="1"/>
  <c r="Z3163" i="1"/>
  <c r="Y3163" i="1"/>
  <c r="AA3162" i="1"/>
  <c r="Z3162" i="1"/>
  <c r="Y3162" i="1"/>
  <c r="AA3161" i="1"/>
  <c r="Z3161" i="1"/>
  <c r="Y3161" i="1"/>
  <c r="AA3160" i="1"/>
  <c r="Z3160" i="1"/>
  <c r="Y3160" i="1"/>
  <c r="AA3159" i="1"/>
  <c r="Z3159" i="1"/>
  <c r="Y3159" i="1"/>
  <c r="AA3158" i="1"/>
  <c r="Z3158" i="1"/>
  <c r="Y3158" i="1"/>
  <c r="AA3157" i="1"/>
  <c r="Z3157" i="1"/>
  <c r="Y3157" i="1"/>
  <c r="AA3156" i="1"/>
  <c r="Z3156" i="1"/>
  <c r="Y3156" i="1"/>
  <c r="AA3155" i="1"/>
  <c r="Z3155" i="1"/>
  <c r="Y3155" i="1"/>
  <c r="AA3154" i="1"/>
  <c r="Z3154" i="1"/>
  <c r="Y3154" i="1"/>
  <c r="AA3153" i="1"/>
  <c r="Z3153" i="1"/>
  <c r="Y3153" i="1"/>
  <c r="AA3152" i="1"/>
  <c r="Z3152" i="1"/>
  <c r="Y3152" i="1"/>
  <c r="AA3151" i="1"/>
  <c r="Z3151" i="1"/>
  <c r="Y3151" i="1"/>
  <c r="AA3150" i="1"/>
  <c r="Z3150" i="1"/>
  <c r="Y3150" i="1"/>
  <c r="AA3149" i="1"/>
  <c r="Z3149" i="1"/>
  <c r="Y3149" i="1"/>
  <c r="AA3148" i="1"/>
  <c r="Z3148" i="1"/>
  <c r="Y3148" i="1"/>
  <c r="AA3147" i="1"/>
  <c r="Z3147" i="1"/>
  <c r="Y3147" i="1"/>
  <c r="AA3146" i="1"/>
  <c r="Z3146" i="1"/>
  <c r="Y3146" i="1"/>
  <c r="AA3145" i="1"/>
  <c r="Z3145" i="1"/>
  <c r="Y3145" i="1"/>
  <c r="AA3144" i="1"/>
  <c r="Z3144" i="1"/>
  <c r="Y3144" i="1"/>
  <c r="AA3143" i="1"/>
  <c r="Z3143" i="1"/>
  <c r="Y3143" i="1"/>
  <c r="AA3142" i="1"/>
  <c r="Z3142" i="1"/>
  <c r="Y3142" i="1"/>
  <c r="AA3141" i="1"/>
  <c r="Z3141" i="1"/>
  <c r="Y3141" i="1"/>
  <c r="AA3140" i="1"/>
  <c r="Z3140" i="1"/>
  <c r="Y3140" i="1"/>
  <c r="AA3139" i="1"/>
  <c r="Z3139" i="1"/>
  <c r="Y3139" i="1"/>
  <c r="AA3138" i="1"/>
  <c r="Z3138" i="1"/>
  <c r="Y3138" i="1"/>
  <c r="AA3137" i="1"/>
  <c r="Z3137" i="1"/>
  <c r="Y3137" i="1"/>
  <c r="AA3136" i="1"/>
  <c r="Z3136" i="1"/>
  <c r="Y3136" i="1"/>
  <c r="AA3135" i="1"/>
  <c r="Z3135" i="1"/>
  <c r="Y3135" i="1"/>
  <c r="AA3134" i="1"/>
  <c r="Z3134" i="1"/>
  <c r="Y3134" i="1"/>
  <c r="AA3133" i="1"/>
  <c r="Z3133" i="1"/>
  <c r="Y3133" i="1"/>
  <c r="AA3132" i="1"/>
  <c r="Z3132" i="1"/>
  <c r="Y3132" i="1"/>
  <c r="AA3131" i="1"/>
  <c r="Z3131" i="1"/>
  <c r="Y3131" i="1"/>
  <c r="AA3130" i="1"/>
  <c r="Z3130" i="1"/>
  <c r="Y3130" i="1"/>
  <c r="AA3129" i="1"/>
  <c r="Z3129" i="1"/>
  <c r="Y3129" i="1"/>
  <c r="AA3128" i="1"/>
  <c r="Z3128" i="1"/>
  <c r="Y3128" i="1"/>
  <c r="AA3127" i="1"/>
  <c r="Z3127" i="1"/>
  <c r="Y3127" i="1"/>
  <c r="AA3126" i="1"/>
  <c r="Z3126" i="1"/>
  <c r="Y3126" i="1"/>
  <c r="AA3125" i="1"/>
  <c r="Z3125" i="1"/>
  <c r="Y3125" i="1"/>
  <c r="AA3124" i="1"/>
  <c r="Z3124" i="1"/>
  <c r="Y3124" i="1"/>
  <c r="AA3123" i="1"/>
  <c r="Z3123" i="1"/>
  <c r="Y3123" i="1"/>
  <c r="AA3122" i="1"/>
  <c r="Z3122" i="1"/>
  <c r="Y3122" i="1"/>
  <c r="AA3121" i="1"/>
  <c r="Z3121" i="1"/>
  <c r="Y3121" i="1"/>
  <c r="AA3120" i="1"/>
  <c r="Z3120" i="1"/>
  <c r="Y3120" i="1"/>
  <c r="AA3119" i="1"/>
  <c r="Z3119" i="1"/>
  <c r="Y3119" i="1"/>
  <c r="AA3118" i="1"/>
  <c r="Z3118" i="1"/>
  <c r="Y3118" i="1"/>
  <c r="AA3117" i="1"/>
  <c r="Z3117" i="1"/>
  <c r="Y3117" i="1"/>
  <c r="AA3116" i="1"/>
  <c r="Z3116" i="1"/>
  <c r="Y3116" i="1"/>
  <c r="AA3115" i="1"/>
  <c r="Z3115" i="1"/>
  <c r="Y3115" i="1"/>
  <c r="AA3114" i="1"/>
  <c r="Z3114" i="1"/>
  <c r="Y3114" i="1"/>
  <c r="AA3113" i="1"/>
  <c r="Z3113" i="1"/>
  <c r="Y3113" i="1"/>
  <c r="AA3112" i="1"/>
  <c r="Z3112" i="1"/>
  <c r="Y3112" i="1"/>
  <c r="AA3111" i="1"/>
  <c r="Z3111" i="1"/>
  <c r="Y3111" i="1"/>
  <c r="AA3110" i="1"/>
  <c r="Z3110" i="1"/>
  <c r="Y3110" i="1"/>
  <c r="AA3109" i="1"/>
  <c r="Z3109" i="1"/>
  <c r="Y3109" i="1"/>
  <c r="AA3108" i="1"/>
  <c r="Z3108" i="1"/>
  <c r="Y3108" i="1"/>
  <c r="AA3107" i="1"/>
  <c r="Z3107" i="1"/>
  <c r="Y3107" i="1"/>
  <c r="AA3106" i="1"/>
  <c r="Z3106" i="1"/>
  <c r="Y3106" i="1"/>
  <c r="AA3105" i="1"/>
  <c r="Z3105" i="1"/>
  <c r="Y3105" i="1"/>
  <c r="AA3104" i="1"/>
  <c r="Z3104" i="1"/>
  <c r="Y3104" i="1"/>
  <c r="AA3103" i="1"/>
  <c r="Z3103" i="1"/>
  <c r="Y3103" i="1"/>
  <c r="AA3102" i="1"/>
  <c r="Z3102" i="1"/>
  <c r="Y3102" i="1"/>
  <c r="AA3101" i="1"/>
  <c r="Z3101" i="1"/>
  <c r="Y3101" i="1"/>
  <c r="AA3100" i="1"/>
  <c r="Z3100" i="1"/>
  <c r="Y3100" i="1"/>
  <c r="AA3099" i="1"/>
  <c r="Z3099" i="1"/>
  <c r="Y3099" i="1"/>
  <c r="AA3098" i="1"/>
  <c r="Z3098" i="1"/>
  <c r="Y3098" i="1"/>
  <c r="AA3097" i="1"/>
  <c r="Z3097" i="1"/>
  <c r="Y3097" i="1"/>
  <c r="AA3096" i="1"/>
  <c r="Z3096" i="1"/>
  <c r="Y3096" i="1"/>
  <c r="AA3095" i="1"/>
  <c r="Z3095" i="1"/>
  <c r="Y3095" i="1"/>
  <c r="AA3094" i="1"/>
  <c r="Z3094" i="1"/>
  <c r="Y3094" i="1"/>
  <c r="AA3093" i="1"/>
  <c r="Z3093" i="1"/>
  <c r="Y3093" i="1"/>
  <c r="AA3092" i="1"/>
  <c r="Z3092" i="1"/>
  <c r="Y3092" i="1"/>
  <c r="AA3091" i="1"/>
  <c r="Z3091" i="1"/>
  <c r="Y3091" i="1"/>
  <c r="AA3090" i="1"/>
  <c r="Z3090" i="1"/>
  <c r="Y3090" i="1"/>
  <c r="AA3089" i="1"/>
  <c r="Z3089" i="1"/>
  <c r="Y3089" i="1"/>
  <c r="AA3088" i="1"/>
  <c r="Z3088" i="1"/>
  <c r="Y3088" i="1"/>
  <c r="AA3087" i="1"/>
  <c r="Z3087" i="1"/>
  <c r="Y3087" i="1"/>
  <c r="AA3086" i="1"/>
  <c r="Z3086" i="1"/>
  <c r="Y3086" i="1"/>
  <c r="AA3085" i="1"/>
  <c r="Z3085" i="1"/>
  <c r="Y3085" i="1"/>
  <c r="AA3084" i="1"/>
  <c r="Z3084" i="1"/>
  <c r="Y3084" i="1"/>
  <c r="AA3083" i="1"/>
  <c r="Z3083" i="1"/>
  <c r="Y3083" i="1"/>
  <c r="AA3082" i="1"/>
  <c r="Z3082" i="1"/>
  <c r="Y3082" i="1"/>
  <c r="AA3081" i="1"/>
  <c r="Z3081" i="1"/>
  <c r="Y3081" i="1"/>
  <c r="AA3080" i="1"/>
  <c r="Z3080" i="1"/>
  <c r="Y3080" i="1"/>
  <c r="AA3079" i="1"/>
  <c r="Z3079" i="1"/>
  <c r="Y3079" i="1"/>
  <c r="AA3078" i="1"/>
  <c r="Z3078" i="1"/>
  <c r="Y3078" i="1"/>
  <c r="AA3077" i="1"/>
  <c r="Z3077" i="1"/>
  <c r="Y3077" i="1"/>
  <c r="AA3076" i="1"/>
  <c r="Z3076" i="1"/>
  <c r="Y3076" i="1"/>
  <c r="AA3075" i="1"/>
  <c r="Z3075" i="1"/>
  <c r="Y3075" i="1"/>
  <c r="AA3074" i="1"/>
  <c r="Z3074" i="1"/>
  <c r="Y3074" i="1"/>
  <c r="AA3073" i="1"/>
  <c r="Z3073" i="1"/>
  <c r="Y3073" i="1"/>
  <c r="AA3072" i="1"/>
  <c r="Z3072" i="1"/>
  <c r="Y3072" i="1"/>
  <c r="AA3071" i="1"/>
  <c r="Z3071" i="1"/>
  <c r="Y3071" i="1"/>
  <c r="AA3070" i="1"/>
  <c r="Z3070" i="1"/>
  <c r="Y3070" i="1"/>
  <c r="AA3069" i="1"/>
  <c r="Z3069" i="1"/>
  <c r="Y3069" i="1"/>
  <c r="AA3068" i="1"/>
  <c r="Z3068" i="1"/>
  <c r="Y3068" i="1"/>
  <c r="AA3067" i="1"/>
  <c r="Z3067" i="1"/>
  <c r="Y3067" i="1"/>
  <c r="AA3066" i="1"/>
  <c r="Z3066" i="1"/>
  <c r="Y3066" i="1"/>
  <c r="AA3065" i="1"/>
  <c r="Z3065" i="1"/>
  <c r="Y3065" i="1"/>
  <c r="AA3064" i="1"/>
  <c r="Z3064" i="1"/>
  <c r="Y3064" i="1"/>
  <c r="AA3063" i="1"/>
  <c r="Z3063" i="1"/>
  <c r="Y3063" i="1"/>
  <c r="AA3062" i="1"/>
  <c r="Z3062" i="1"/>
  <c r="Y3062" i="1"/>
  <c r="AA3061" i="1"/>
  <c r="Z3061" i="1"/>
  <c r="Y3061" i="1"/>
  <c r="AA3060" i="1"/>
  <c r="Z3060" i="1"/>
  <c r="Y3060" i="1"/>
  <c r="AA3059" i="1"/>
  <c r="Z3059" i="1"/>
  <c r="Y3059" i="1"/>
  <c r="AA3058" i="1"/>
  <c r="Z3058" i="1"/>
  <c r="Y3058" i="1"/>
  <c r="AA3057" i="1"/>
  <c r="Z3057" i="1"/>
  <c r="Y3057" i="1"/>
  <c r="AA3056" i="1"/>
  <c r="Z3056" i="1"/>
  <c r="Y3056" i="1"/>
  <c r="AA3055" i="1"/>
  <c r="Z3055" i="1"/>
  <c r="Y3055" i="1"/>
  <c r="AA3054" i="1"/>
  <c r="Z3054" i="1"/>
  <c r="Y3054" i="1"/>
  <c r="AA3053" i="1"/>
  <c r="Z3053" i="1"/>
  <c r="Y3053" i="1"/>
  <c r="AA3052" i="1"/>
  <c r="Z3052" i="1"/>
  <c r="Y3052" i="1"/>
  <c r="AA3051" i="1"/>
  <c r="Z3051" i="1"/>
  <c r="Y3051" i="1"/>
  <c r="AA3050" i="1"/>
  <c r="Z3050" i="1"/>
  <c r="Y3050" i="1"/>
  <c r="AA3049" i="1"/>
  <c r="Z3049" i="1"/>
  <c r="Y3049" i="1"/>
  <c r="AA3048" i="1"/>
  <c r="Z3048" i="1"/>
  <c r="Y3048" i="1"/>
  <c r="AA3047" i="1"/>
  <c r="Z3047" i="1"/>
  <c r="Y3047" i="1"/>
  <c r="AA3046" i="1"/>
  <c r="Z3046" i="1"/>
  <c r="Y3046" i="1"/>
  <c r="AA3045" i="1"/>
  <c r="Z3045" i="1"/>
  <c r="Y3045" i="1"/>
  <c r="AA3044" i="1"/>
  <c r="Z3044" i="1"/>
  <c r="Y3044" i="1"/>
  <c r="AA3043" i="1"/>
  <c r="Z3043" i="1"/>
  <c r="Y3043" i="1"/>
  <c r="AA3042" i="1"/>
  <c r="Z3042" i="1"/>
  <c r="Y3042" i="1"/>
  <c r="AA3041" i="1"/>
  <c r="Z3041" i="1"/>
  <c r="Y3041" i="1"/>
  <c r="AA3040" i="1"/>
  <c r="Z3040" i="1"/>
  <c r="Y3040" i="1"/>
  <c r="AA3039" i="1"/>
  <c r="Z3039" i="1"/>
  <c r="Y3039" i="1"/>
  <c r="AA3038" i="1"/>
  <c r="Z3038" i="1"/>
  <c r="Y3038" i="1"/>
  <c r="AA3037" i="1"/>
  <c r="Z3037" i="1"/>
  <c r="Y3037" i="1"/>
  <c r="AA3036" i="1"/>
  <c r="Z3036" i="1"/>
  <c r="Y3036" i="1"/>
  <c r="AA3035" i="1"/>
  <c r="Z3035" i="1"/>
  <c r="Y3035" i="1"/>
  <c r="AA3034" i="1"/>
  <c r="Z3034" i="1"/>
  <c r="Y3034" i="1"/>
  <c r="AA3033" i="1"/>
  <c r="Z3033" i="1"/>
  <c r="Y3033" i="1"/>
  <c r="AA3032" i="1"/>
  <c r="Z3032" i="1"/>
  <c r="Y3032" i="1"/>
  <c r="AA3031" i="1"/>
  <c r="Z3031" i="1"/>
  <c r="Y3031" i="1"/>
  <c r="AA3030" i="1"/>
  <c r="Z3030" i="1"/>
  <c r="Y3030" i="1"/>
  <c r="AA3029" i="1"/>
  <c r="Z3029" i="1"/>
  <c r="Y3029" i="1"/>
  <c r="AA3028" i="1"/>
  <c r="Z3028" i="1"/>
  <c r="Y3028" i="1"/>
  <c r="AA3027" i="1"/>
  <c r="Z3027" i="1"/>
  <c r="Y3027" i="1"/>
  <c r="AA3026" i="1"/>
  <c r="Z3026" i="1"/>
  <c r="Y3026" i="1"/>
  <c r="AA3025" i="1"/>
  <c r="Z3025" i="1"/>
  <c r="Y3025" i="1"/>
  <c r="AA3024" i="1"/>
  <c r="Z3024" i="1"/>
  <c r="Y3024" i="1"/>
  <c r="AA3023" i="1"/>
  <c r="Z3023" i="1"/>
  <c r="Y3023" i="1"/>
  <c r="AA3022" i="1"/>
  <c r="Z3022" i="1"/>
  <c r="Y3022" i="1"/>
  <c r="AA3021" i="1"/>
  <c r="Z3021" i="1"/>
  <c r="Y3021" i="1"/>
  <c r="AA3020" i="1"/>
  <c r="Z3020" i="1"/>
  <c r="Y3020" i="1"/>
  <c r="AA3019" i="1"/>
  <c r="Z3019" i="1"/>
  <c r="Y3019" i="1"/>
  <c r="AA3018" i="1"/>
  <c r="Z3018" i="1"/>
  <c r="Y3018" i="1"/>
  <c r="AA3017" i="1"/>
  <c r="Z3017" i="1"/>
  <c r="Y3017" i="1"/>
  <c r="AA3016" i="1"/>
  <c r="Z3016" i="1"/>
  <c r="Y3016" i="1"/>
  <c r="AA3015" i="1"/>
  <c r="Z3015" i="1"/>
  <c r="Y3015" i="1"/>
  <c r="AA3014" i="1"/>
  <c r="Z3014" i="1"/>
  <c r="Y3014" i="1"/>
  <c r="AA3013" i="1"/>
  <c r="Z3013" i="1"/>
  <c r="Y3013" i="1"/>
  <c r="AA3012" i="1"/>
  <c r="Z3012" i="1"/>
  <c r="Y3012" i="1"/>
  <c r="AA3011" i="1"/>
  <c r="Z3011" i="1"/>
  <c r="Y3011" i="1"/>
  <c r="AA3010" i="1"/>
  <c r="Z3010" i="1"/>
  <c r="Y3010" i="1"/>
  <c r="AA3009" i="1"/>
  <c r="Z3009" i="1"/>
  <c r="Y3009" i="1"/>
  <c r="AA3008" i="1"/>
  <c r="Z3008" i="1"/>
  <c r="Y3008" i="1"/>
  <c r="AA3007" i="1"/>
  <c r="Z3007" i="1"/>
  <c r="Y3007" i="1"/>
  <c r="AA3006" i="1"/>
  <c r="Z3006" i="1"/>
  <c r="Y3006" i="1"/>
  <c r="AA3005" i="1"/>
  <c r="Z3005" i="1"/>
  <c r="Y3005" i="1"/>
  <c r="AA3004" i="1"/>
  <c r="Z3004" i="1"/>
  <c r="Y3004" i="1"/>
  <c r="AA3003" i="1"/>
  <c r="Z3003" i="1"/>
  <c r="Y3003" i="1"/>
  <c r="AA3002" i="1"/>
  <c r="Z3002" i="1"/>
  <c r="Y3002" i="1"/>
  <c r="AA3001" i="1"/>
  <c r="Z3001" i="1"/>
  <c r="Y3001" i="1"/>
  <c r="AA3000" i="1"/>
  <c r="Z3000" i="1"/>
  <c r="Y3000" i="1"/>
  <c r="AA2999" i="1"/>
  <c r="Z2999" i="1"/>
  <c r="Y2999" i="1"/>
  <c r="AA2998" i="1"/>
  <c r="Z2998" i="1"/>
  <c r="Y2998" i="1"/>
  <c r="AA2997" i="1"/>
  <c r="Z2997" i="1"/>
  <c r="Y2997" i="1"/>
  <c r="AA2996" i="1"/>
  <c r="Z2996" i="1"/>
  <c r="Y2996" i="1"/>
  <c r="AA2995" i="1"/>
  <c r="Z2995" i="1"/>
  <c r="Y2995" i="1"/>
  <c r="AA2994" i="1"/>
  <c r="Z2994" i="1"/>
  <c r="Y2994" i="1"/>
  <c r="AA2993" i="1"/>
  <c r="Z2993" i="1"/>
  <c r="Y2993" i="1"/>
  <c r="AA2992" i="1"/>
  <c r="Z2992" i="1"/>
  <c r="Y2992" i="1"/>
  <c r="AA2991" i="1"/>
  <c r="Z2991" i="1"/>
  <c r="Y2991" i="1"/>
  <c r="AA2990" i="1"/>
  <c r="Z2990" i="1"/>
  <c r="Y2990" i="1"/>
  <c r="AA2989" i="1"/>
  <c r="Z2989" i="1"/>
  <c r="Y2989" i="1"/>
  <c r="AA2988" i="1"/>
  <c r="Z2988" i="1"/>
  <c r="Y2988" i="1"/>
  <c r="AA2987" i="1"/>
  <c r="Z2987" i="1"/>
  <c r="Y2987" i="1"/>
  <c r="AA2986" i="1"/>
  <c r="Z2986" i="1"/>
  <c r="Y2986" i="1"/>
  <c r="AA2985" i="1"/>
  <c r="Z2985" i="1"/>
  <c r="Y2985" i="1"/>
  <c r="AA2984" i="1"/>
  <c r="Z2984" i="1"/>
  <c r="Y2984" i="1"/>
  <c r="AA2983" i="1"/>
  <c r="Z2983" i="1"/>
  <c r="Y2983" i="1"/>
  <c r="AA2982" i="1"/>
  <c r="Z2982" i="1"/>
  <c r="Y2982" i="1"/>
  <c r="AA2981" i="1"/>
  <c r="Z2981" i="1"/>
  <c r="Y2981" i="1"/>
  <c r="AA2980" i="1"/>
  <c r="Z2980" i="1"/>
  <c r="Y2980" i="1"/>
  <c r="AA2979" i="1"/>
  <c r="Z2979" i="1"/>
  <c r="Y2979" i="1"/>
  <c r="AA2978" i="1"/>
  <c r="Z2978" i="1"/>
  <c r="Y2978" i="1"/>
  <c r="AA2977" i="1"/>
  <c r="Z2977" i="1"/>
  <c r="Y2977" i="1"/>
  <c r="AA2976" i="1"/>
  <c r="Z2976" i="1"/>
  <c r="Y2976" i="1"/>
  <c r="AA2975" i="1"/>
  <c r="Z2975" i="1"/>
  <c r="Y2975" i="1"/>
  <c r="AA2974" i="1"/>
  <c r="Z2974" i="1"/>
  <c r="Y2974" i="1"/>
  <c r="AA2973" i="1"/>
  <c r="Z2973" i="1"/>
  <c r="Y2973" i="1"/>
  <c r="AA2972" i="1"/>
  <c r="Z2972" i="1"/>
  <c r="Y2972" i="1"/>
  <c r="AA2971" i="1"/>
  <c r="Z2971" i="1"/>
  <c r="Y2971" i="1"/>
  <c r="AA2970" i="1"/>
  <c r="Z2970" i="1"/>
  <c r="Y2970" i="1"/>
  <c r="AA2969" i="1"/>
  <c r="Z2969" i="1"/>
  <c r="Y2969" i="1"/>
  <c r="AA2968" i="1"/>
  <c r="Z2968" i="1"/>
  <c r="Y2968" i="1"/>
  <c r="AA2967" i="1"/>
  <c r="Z2967" i="1"/>
  <c r="Y2967" i="1"/>
  <c r="AA2966" i="1"/>
  <c r="Z2966" i="1"/>
  <c r="Y2966" i="1"/>
  <c r="AA2965" i="1"/>
  <c r="Z2965" i="1"/>
  <c r="Y2965" i="1"/>
  <c r="AA2964" i="1"/>
  <c r="Z2964" i="1"/>
  <c r="Y2964" i="1"/>
  <c r="AA2963" i="1"/>
  <c r="Z2963" i="1"/>
  <c r="Y2963" i="1"/>
  <c r="AA2962" i="1"/>
  <c r="Z2962" i="1"/>
  <c r="Y2962" i="1"/>
  <c r="AA2961" i="1"/>
  <c r="Z2961" i="1"/>
  <c r="Y2961" i="1"/>
  <c r="AA2960" i="1"/>
  <c r="Z2960" i="1"/>
  <c r="Y2960" i="1"/>
  <c r="AA2959" i="1"/>
  <c r="Z2959" i="1"/>
  <c r="Y2959" i="1"/>
  <c r="AA2958" i="1"/>
  <c r="Z2958" i="1"/>
  <c r="Y2958" i="1"/>
  <c r="AA2957" i="1"/>
  <c r="Z2957" i="1"/>
  <c r="Y2957" i="1"/>
  <c r="AA2956" i="1"/>
  <c r="Z2956" i="1"/>
  <c r="Y2956" i="1"/>
  <c r="AA2955" i="1"/>
  <c r="Z2955" i="1"/>
  <c r="Y2955" i="1"/>
  <c r="AA2954" i="1"/>
  <c r="Z2954" i="1"/>
  <c r="Y2954" i="1"/>
  <c r="AA2953" i="1"/>
  <c r="Z2953" i="1"/>
  <c r="Y2953" i="1"/>
  <c r="AA2952" i="1"/>
  <c r="Z2952" i="1"/>
  <c r="Y2952" i="1"/>
  <c r="AA2951" i="1"/>
  <c r="Z2951" i="1"/>
  <c r="Y2951" i="1"/>
  <c r="AA2950" i="1"/>
  <c r="Z2950" i="1"/>
  <c r="Y2950" i="1"/>
  <c r="AA2949" i="1"/>
  <c r="Z2949" i="1"/>
  <c r="Y2949" i="1"/>
  <c r="AA2948" i="1"/>
  <c r="Z2948" i="1"/>
  <c r="Y2948" i="1"/>
  <c r="AA2947" i="1"/>
  <c r="Z2947" i="1"/>
  <c r="Y2947" i="1"/>
  <c r="AA2946" i="1"/>
  <c r="Z2946" i="1"/>
  <c r="Y2946" i="1"/>
  <c r="AA2945" i="1"/>
  <c r="Z2945" i="1"/>
  <c r="Y2945" i="1"/>
  <c r="AA2944" i="1"/>
  <c r="Z2944" i="1"/>
  <c r="Y2944" i="1"/>
  <c r="AA2943" i="1"/>
  <c r="Z2943" i="1"/>
  <c r="Y2943" i="1"/>
  <c r="AA2942" i="1"/>
  <c r="Z2942" i="1"/>
  <c r="Y2942" i="1"/>
  <c r="AA2941" i="1"/>
  <c r="Z2941" i="1"/>
  <c r="Y2941" i="1"/>
  <c r="AA2940" i="1"/>
  <c r="Z2940" i="1"/>
  <c r="Y2940" i="1"/>
  <c r="AA2939" i="1"/>
  <c r="Z2939" i="1"/>
  <c r="Y2939" i="1"/>
  <c r="AA2938" i="1"/>
  <c r="Z2938" i="1"/>
  <c r="Y2938" i="1"/>
  <c r="AA2937" i="1"/>
  <c r="Z2937" i="1"/>
  <c r="Y2937" i="1"/>
  <c r="AA2936" i="1"/>
  <c r="Z2936" i="1"/>
  <c r="Y2936" i="1"/>
  <c r="AA2935" i="1"/>
  <c r="Z2935" i="1"/>
  <c r="Y2935" i="1"/>
  <c r="AA2934" i="1"/>
  <c r="Z2934" i="1"/>
  <c r="Y2934" i="1"/>
  <c r="AA2933" i="1"/>
  <c r="Z2933" i="1"/>
  <c r="Y2933" i="1"/>
  <c r="AA2932" i="1"/>
  <c r="Z2932" i="1"/>
  <c r="Y2932" i="1"/>
  <c r="AA2931" i="1"/>
  <c r="Z2931" i="1"/>
  <c r="Y2931" i="1"/>
  <c r="AA2930" i="1"/>
  <c r="Z2930" i="1"/>
  <c r="Y2930" i="1"/>
  <c r="AA2929" i="1"/>
  <c r="Z2929" i="1"/>
  <c r="Y2929" i="1"/>
  <c r="AA2928" i="1"/>
  <c r="Z2928" i="1"/>
  <c r="Y2928" i="1"/>
  <c r="AA2927" i="1"/>
  <c r="Z2927" i="1"/>
  <c r="Y2927" i="1"/>
  <c r="AA2926" i="1"/>
  <c r="Z2926" i="1"/>
  <c r="Y2926" i="1"/>
  <c r="AA2925" i="1"/>
  <c r="Z2925" i="1"/>
  <c r="Y2925" i="1"/>
  <c r="AA2924" i="1"/>
  <c r="Z2924" i="1"/>
  <c r="Y2924" i="1"/>
  <c r="AA2923" i="1"/>
  <c r="Z2923" i="1"/>
  <c r="Y2923" i="1"/>
  <c r="AA2922" i="1"/>
  <c r="Z2922" i="1"/>
  <c r="Y2922" i="1"/>
  <c r="AA2921" i="1"/>
  <c r="Z2921" i="1"/>
  <c r="Y2921" i="1"/>
  <c r="AA2920" i="1"/>
  <c r="Z2920" i="1"/>
  <c r="Y2920" i="1"/>
  <c r="AA2919" i="1"/>
  <c r="Z2919" i="1"/>
  <c r="Y2919" i="1"/>
  <c r="AA2918" i="1"/>
  <c r="Z2918" i="1"/>
  <c r="Y2918" i="1"/>
  <c r="AA2917" i="1"/>
  <c r="Z2917" i="1"/>
  <c r="Y2917" i="1"/>
  <c r="AA2916" i="1"/>
  <c r="Z2916" i="1"/>
  <c r="Y2916" i="1"/>
  <c r="AA2915" i="1"/>
  <c r="Z2915" i="1"/>
  <c r="Y2915" i="1"/>
  <c r="AA2914" i="1"/>
  <c r="Z2914" i="1"/>
  <c r="Y2914" i="1"/>
  <c r="AA2913" i="1"/>
  <c r="Z2913" i="1"/>
  <c r="Y2913" i="1"/>
  <c r="AA2912" i="1"/>
  <c r="Z2912" i="1"/>
  <c r="Y2912" i="1"/>
  <c r="AA2911" i="1"/>
  <c r="Z2911" i="1"/>
  <c r="Y2911" i="1"/>
  <c r="AA2910" i="1"/>
  <c r="Z2910" i="1"/>
  <c r="Y2910" i="1"/>
  <c r="AA2909" i="1"/>
  <c r="Z2909" i="1"/>
  <c r="Y2909" i="1"/>
  <c r="AA2908" i="1"/>
  <c r="Z2908" i="1"/>
  <c r="Y2908" i="1"/>
  <c r="AA2907" i="1"/>
  <c r="Z2907" i="1"/>
  <c r="Y2907" i="1"/>
  <c r="AA2906" i="1"/>
  <c r="Z2906" i="1"/>
  <c r="Y2906" i="1"/>
  <c r="AA2905" i="1"/>
  <c r="Z2905" i="1"/>
  <c r="Y2905" i="1"/>
  <c r="AA2904" i="1"/>
  <c r="Z2904" i="1"/>
  <c r="Y2904" i="1"/>
  <c r="AA2903" i="1"/>
  <c r="Z2903" i="1"/>
  <c r="Y2903" i="1"/>
  <c r="AA2902" i="1"/>
  <c r="Z2902" i="1"/>
  <c r="Y2902" i="1"/>
  <c r="AA2901" i="1"/>
  <c r="Z2901" i="1"/>
  <c r="Y2901" i="1"/>
  <c r="AA2900" i="1"/>
  <c r="Z2900" i="1"/>
  <c r="Y2900" i="1"/>
  <c r="AA2899" i="1"/>
  <c r="Z2899" i="1"/>
  <c r="Y2899" i="1"/>
  <c r="AA2898" i="1"/>
  <c r="Z2898" i="1"/>
  <c r="Y2898" i="1"/>
  <c r="AA2897" i="1"/>
  <c r="Z2897" i="1"/>
  <c r="Y2897" i="1"/>
  <c r="AA2896" i="1"/>
  <c r="Z2896" i="1"/>
  <c r="Y2896" i="1"/>
  <c r="AA2895" i="1"/>
  <c r="Z2895" i="1"/>
  <c r="Y2895" i="1"/>
  <c r="AA2894" i="1"/>
  <c r="Z2894" i="1"/>
  <c r="Y2894" i="1"/>
  <c r="AA2893" i="1"/>
  <c r="Z2893" i="1"/>
  <c r="Y2893" i="1"/>
  <c r="AA2892" i="1"/>
  <c r="Z2892" i="1"/>
  <c r="Y2892" i="1"/>
  <c r="AA2891" i="1"/>
  <c r="Z2891" i="1"/>
  <c r="Y2891" i="1"/>
  <c r="AA2890" i="1"/>
  <c r="Z2890" i="1"/>
  <c r="Y2890" i="1"/>
  <c r="AA2889" i="1"/>
  <c r="Z2889" i="1"/>
  <c r="Y2889" i="1"/>
  <c r="AA2888" i="1"/>
  <c r="Z2888" i="1"/>
  <c r="Y2888" i="1"/>
  <c r="AA2887" i="1"/>
  <c r="Z2887" i="1"/>
  <c r="Y2887" i="1"/>
  <c r="AA2886" i="1"/>
  <c r="Z2886" i="1"/>
  <c r="Y2886" i="1"/>
  <c r="AA2885" i="1"/>
  <c r="Z2885" i="1"/>
  <c r="Y2885" i="1"/>
  <c r="AA2884" i="1"/>
  <c r="Z2884" i="1"/>
  <c r="Y2884" i="1"/>
  <c r="AA2883" i="1"/>
  <c r="Z2883" i="1"/>
  <c r="Y2883" i="1"/>
  <c r="AA2882" i="1"/>
  <c r="Z2882" i="1"/>
  <c r="Y2882" i="1"/>
  <c r="AA2881" i="1"/>
  <c r="Z2881" i="1"/>
  <c r="Y2881" i="1"/>
  <c r="AA2880" i="1"/>
  <c r="Z2880" i="1"/>
  <c r="Y2880" i="1"/>
  <c r="AA2879" i="1"/>
  <c r="Z2879" i="1"/>
  <c r="Y2879" i="1"/>
  <c r="AA2878" i="1"/>
  <c r="Z2878" i="1"/>
  <c r="Y2878" i="1"/>
  <c r="AA2877" i="1"/>
  <c r="Z2877" i="1"/>
  <c r="Y2877" i="1"/>
  <c r="AA2876" i="1"/>
  <c r="Z2876" i="1"/>
  <c r="Y2876" i="1"/>
  <c r="AA2875" i="1"/>
  <c r="Z2875" i="1"/>
  <c r="Y2875" i="1"/>
  <c r="AA2874" i="1"/>
  <c r="Z2874" i="1"/>
  <c r="Y2874" i="1"/>
  <c r="AA2873" i="1"/>
  <c r="Z2873" i="1"/>
  <c r="Y2873" i="1"/>
  <c r="AA2872" i="1"/>
  <c r="Z2872" i="1"/>
  <c r="Y2872" i="1"/>
  <c r="AA2871" i="1"/>
  <c r="Z2871" i="1"/>
  <c r="Y2871" i="1"/>
  <c r="AA2870" i="1"/>
  <c r="Z2870" i="1"/>
  <c r="Y2870" i="1"/>
  <c r="AA2869" i="1"/>
  <c r="Z2869" i="1"/>
  <c r="Y2869" i="1"/>
  <c r="AA2868" i="1"/>
  <c r="Z2868" i="1"/>
  <c r="Y2868" i="1"/>
  <c r="AA2867" i="1"/>
  <c r="Z2867" i="1"/>
  <c r="Y2867" i="1"/>
  <c r="AA2866" i="1"/>
  <c r="Z2866" i="1"/>
  <c r="Y2866" i="1"/>
  <c r="AA2865" i="1"/>
  <c r="Z2865" i="1"/>
  <c r="Y2865" i="1"/>
  <c r="AA2864" i="1"/>
  <c r="Z2864" i="1"/>
  <c r="Y2864" i="1"/>
  <c r="AA2863" i="1"/>
  <c r="Z2863" i="1"/>
  <c r="Y2863" i="1"/>
  <c r="AA2862" i="1"/>
  <c r="Z2862" i="1"/>
  <c r="Y2862" i="1"/>
  <c r="AA2861" i="1"/>
  <c r="Z2861" i="1"/>
  <c r="Y2861" i="1"/>
  <c r="AA2860" i="1"/>
  <c r="Z2860" i="1"/>
  <c r="Y2860" i="1"/>
  <c r="AA2859" i="1"/>
  <c r="Z2859" i="1"/>
  <c r="Y2859" i="1"/>
  <c r="AA2858" i="1"/>
  <c r="Z2858" i="1"/>
  <c r="Y2858" i="1"/>
  <c r="AA2857" i="1"/>
  <c r="Z2857" i="1"/>
  <c r="Y2857" i="1"/>
  <c r="AA2856" i="1"/>
  <c r="Z2856" i="1"/>
  <c r="Y2856" i="1"/>
  <c r="AA2855" i="1"/>
  <c r="Z2855" i="1"/>
  <c r="Y2855" i="1"/>
  <c r="AA2854" i="1"/>
  <c r="Z2854" i="1"/>
  <c r="Y2854" i="1"/>
  <c r="AA2853" i="1"/>
  <c r="Z2853" i="1"/>
  <c r="Y2853" i="1"/>
  <c r="AA2852" i="1"/>
  <c r="Z2852" i="1"/>
  <c r="Y2852" i="1"/>
  <c r="AA2851" i="1"/>
  <c r="Z2851" i="1"/>
  <c r="Y2851" i="1"/>
  <c r="AA2850" i="1"/>
  <c r="Z2850" i="1"/>
  <c r="Y2850" i="1"/>
  <c r="AA2849" i="1"/>
  <c r="Z2849" i="1"/>
  <c r="Y2849" i="1"/>
  <c r="AA2848" i="1"/>
  <c r="Z2848" i="1"/>
  <c r="Y2848" i="1"/>
  <c r="AA2847" i="1"/>
  <c r="Z2847" i="1"/>
  <c r="Y2847" i="1"/>
  <c r="AA2846" i="1"/>
  <c r="Z2846" i="1"/>
  <c r="Y2846" i="1"/>
  <c r="AA2845" i="1"/>
  <c r="Z2845" i="1"/>
  <c r="Y2845" i="1"/>
  <c r="AA2844" i="1"/>
  <c r="Z2844" i="1"/>
  <c r="Y2844" i="1"/>
  <c r="AA2843" i="1"/>
  <c r="Z2843" i="1"/>
  <c r="Y2843" i="1"/>
  <c r="AA2842" i="1"/>
  <c r="Z2842" i="1"/>
  <c r="Y2842" i="1"/>
  <c r="AA2841" i="1"/>
  <c r="Z2841" i="1"/>
  <c r="Y2841" i="1"/>
  <c r="AA2840" i="1"/>
  <c r="Z2840" i="1"/>
  <c r="Y2840" i="1"/>
  <c r="AA2839" i="1"/>
  <c r="Z2839" i="1"/>
  <c r="Y2839" i="1"/>
  <c r="AA2838" i="1"/>
  <c r="Z2838" i="1"/>
  <c r="Y2838" i="1"/>
  <c r="AA2837" i="1"/>
  <c r="Z2837" i="1"/>
  <c r="Y2837" i="1"/>
  <c r="AA2836" i="1"/>
  <c r="Z2836" i="1"/>
  <c r="Y2836" i="1"/>
  <c r="AA2835" i="1"/>
  <c r="Z2835" i="1"/>
  <c r="Y2835" i="1"/>
  <c r="AA2834" i="1"/>
  <c r="Z2834" i="1"/>
  <c r="Y2834" i="1"/>
  <c r="AA2833" i="1"/>
  <c r="Z2833" i="1"/>
  <c r="Y2833" i="1"/>
  <c r="AA2832" i="1"/>
  <c r="Z2832" i="1"/>
  <c r="Y2832" i="1"/>
  <c r="AA2831" i="1"/>
  <c r="Z2831" i="1"/>
  <c r="Y2831" i="1"/>
  <c r="AA2830" i="1"/>
  <c r="Z2830" i="1"/>
  <c r="Y2830" i="1"/>
  <c r="AA2829" i="1"/>
  <c r="Z2829" i="1"/>
  <c r="Y2829" i="1"/>
  <c r="AA2828" i="1"/>
  <c r="Z2828" i="1"/>
  <c r="Y2828" i="1"/>
  <c r="AA2827" i="1"/>
  <c r="Z2827" i="1"/>
  <c r="Y2827" i="1"/>
  <c r="AA2826" i="1"/>
  <c r="Z2826" i="1"/>
  <c r="Y2826" i="1"/>
  <c r="AA2825" i="1"/>
  <c r="Z2825" i="1"/>
  <c r="Y2825" i="1"/>
  <c r="AA2824" i="1"/>
  <c r="Z2824" i="1"/>
  <c r="Y2824" i="1"/>
  <c r="AA2823" i="1"/>
  <c r="Z2823" i="1"/>
  <c r="Y2823" i="1"/>
  <c r="AA2822" i="1"/>
  <c r="Z2822" i="1"/>
  <c r="Y2822" i="1"/>
  <c r="AA2821" i="1"/>
  <c r="Z2821" i="1"/>
  <c r="Y2821" i="1"/>
  <c r="AA2820" i="1"/>
  <c r="Z2820" i="1"/>
  <c r="Y2820" i="1"/>
  <c r="AA2819" i="1"/>
  <c r="Z2819" i="1"/>
  <c r="Y2819" i="1"/>
  <c r="AA2818" i="1"/>
  <c r="Z2818" i="1"/>
  <c r="Y2818" i="1"/>
  <c r="AA2817" i="1"/>
  <c r="Z2817" i="1"/>
  <c r="Y2817" i="1"/>
  <c r="AA2816" i="1"/>
  <c r="Z2816" i="1"/>
  <c r="Y2816" i="1"/>
  <c r="AA2815" i="1"/>
  <c r="Z2815" i="1"/>
  <c r="Y2815" i="1"/>
  <c r="AA2814" i="1"/>
  <c r="Z2814" i="1"/>
  <c r="Y2814" i="1"/>
  <c r="AA2813" i="1"/>
  <c r="Z2813" i="1"/>
  <c r="Y2813" i="1"/>
  <c r="AA2812" i="1"/>
  <c r="Z2812" i="1"/>
  <c r="Y2812" i="1"/>
  <c r="AA2811" i="1"/>
  <c r="Z2811" i="1"/>
  <c r="Y2811" i="1"/>
  <c r="AA2810" i="1"/>
  <c r="Z2810" i="1"/>
  <c r="Y2810" i="1"/>
  <c r="AA2809" i="1"/>
  <c r="Z2809" i="1"/>
  <c r="Y2809" i="1"/>
  <c r="AA2808" i="1"/>
  <c r="Z2808" i="1"/>
  <c r="Y2808" i="1"/>
  <c r="AA2807" i="1"/>
  <c r="Z2807" i="1"/>
  <c r="Y2807" i="1"/>
  <c r="AA2806" i="1"/>
  <c r="Z2806" i="1"/>
  <c r="Y2806" i="1"/>
  <c r="AA2805" i="1"/>
  <c r="Z2805" i="1"/>
  <c r="Y2805" i="1"/>
  <c r="AA2804" i="1"/>
  <c r="Z2804" i="1"/>
  <c r="Y2804" i="1"/>
  <c r="AA2803" i="1"/>
  <c r="Z2803" i="1"/>
  <c r="Y2803" i="1"/>
  <c r="AA2802" i="1"/>
  <c r="Z2802" i="1"/>
  <c r="Y2802" i="1"/>
  <c r="AA2801" i="1"/>
  <c r="Z2801" i="1"/>
  <c r="Y2801" i="1"/>
  <c r="AA2800" i="1"/>
  <c r="Z2800" i="1"/>
  <c r="Y2800" i="1"/>
  <c r="AA2799" i="1"/>
  <c r="Z2799" i="1"/>
  <c r="Y2799" i="1"/>
  <c r="AA2798" i="1"/>
  <c r="Z2798" i="1"/>
  <c r="Y2798" i="1"/>
  <c r="AA2797" i="1"/>
  <c r="Z2797" i="1"/>
  <c r="Y2797" i="1"/>
  <c r="AA2796" i="1"/>
  <c r="Z2796" i="1"/>
  <c r="Y2796" i="1"/>
  <c r="AA2795" i="1"/>
  <c r="Z2795" i="1"/>
  <c r="Y2795" i="1"/>
  <c r="AA2794" i="1"/>
  <c r="Z2794" i="1"/>
  <c r="Y2794" i="1"/>
  <c r="AA2793" i="1"/>
  <c r="Z2793" i="1"/>
  <c r="Y2793" i="1"/>
  <c r="AA2792" i="1"/>
  <c r="Z2792" i="1"/>
  <c r="Y2792" i="1"/>
  <c r="AA2791" i="1"/>
  <c r="Z2791" i="1"/>
  <c r="Y2791" i="1"/>
  <c r="AA2790" i="1"/>
  <c r="Z2790" i="1"/>
  <c r="Y2790" i="1"/>
  <c r="AA2789" i="1"/>
  <c r="Z2789" i="1"/>
  <c r="Y2789" i="1"/>
  <c r="AA2788" i="1"/>
  <c r="Z2788" i="1"/>
  <c r="Y2788" i="1"/>
  <c r="AA2787" i="1"/>
  <c r="Z2787" i="1"/>
  <c r="Y2787" i="1"/>
  <c r="AA2786" i="1"/>
  <c r="Z2786" i="1"/>
  <c r="Y2786" i="1"/>
  <c r="AA2785" i="1"/>
  <c r="Z2785" i="1"/>
  <c r="Y2785" i="1"/>
  <c r="AA2784" i="1"/>
  <c r="Z2784" i="1"/>
  <c r="Y2784" i="1"/>
  <c r="AA2783" i="1"/>
  <c r="Z2783" i="1"/>
  <c r="Y2783" i="1"/>
  <c r="AA2782" i="1"/>
  <c r="Z2782" i="1"/>
  <c r="Y2782" i="1"/>
  <c r="AA2781" i="1"/>
  <c r="Z2781" i="1"/>
  <c r="Y2781" i="1"/>
  <c r="AA2780" i="1"/>
  <c r="Z2780" i="1"/>
  <c r="Y2780" i="1"/>
  <c r="AA2779" i="1"/>
  <c r="Z2779" i="1"/>
  <c r="Y2779" i="1"/>
  <c r="AA2778" i="1"/>
  <c r="Z2778" i="1"/>
  <c r="Y2778" i="1"/>
  <c r="AA2777" i="1"/>
  <c r="Z2777" i="1"/>
  <c r="Y2777" i="1"/>
  <c r="AA2776" i="1"/>
  <c r="Z2776" i="1"/>
  <c r="Y2776" i="1"/>
  <c r="AA2775" i="1"/>
  <c r="Z2775" i="1"/>
  <c r="Y2775" i="1"/>
  <c r="AA2774" i="1"/>
  <c r="Z2774" i="1"/>
  <c r="Y2774" i="1"/>
  <c r="AA2773" i="1"/>
  <c r="Z2773" i="1"/>
  <c r="Y2773" i="1"/>
  <c r="AA2772" i="1"/>
  <c r="Z2772" i="1"/>
  <c r="Y2772" i="1"/>
  <c r="AA2771" i="1"/>
  <c r="Z2771" i="1"/>
  <c r="Y2771" i="1"/>
  <c r="AA2770" i="1"/>
  <c r="Z2770" i="1"/>
  <c r="Y2770" i="1"/>
  <c r="AA2769" i="1"/>
  <c r="Z2769" i="1"/>
  <c r="Y2769" i="1"/>
  <c r="AA2768" i="1"/>
  <c r="Z2768" i="1"/>
  <c r="Y2768" i="1"/>
  <c r="AA2767" i="1"/>
  <c r="Z2767" i="1"/>
  <c r="Y2767" i="1"/>
  <c r="AA2766" i="1"/>
  <c r="Z2766" i="1"/>
  <c r="Y2766" i="1"/>
  <c r="AA2765" i="1"/>
  <c r="Z2765" i="1"/>
  <c r="Y2765" i="1"/>
  <c r="AA2764" i="1"/>
  <c r="Z2764" i="1"/>
  <c r="Y2764" i="1"/>
  <c r="AA2763" i="1"/>
  <c r="Z2763" i="1"/>
  <c r="Y2763" i="1"/>
  <c r="AA2762" i="1"/>
  <c r="Z2762" i="1"/>
  <c r="Y2762" i="1"/>
  <c r="AA2761" i="1"/>
  <c r="Z2761" i="1"/>
  <c r="Y2761" i="1"/>
  <c r="AA2760" i="1"/>
  <c r="Z2760" i="1"/>
  <c r="Y2760" i="1"/>
  <c r="AA2759" i="1"/>
  <c r="Z2759" i="1"/>
  <c r="Y2759" i="1"/>
  <c r="AA2758" i="1"/>
  <c r="Z2758" i="1"/>
  <c r="Y2758" i="1"/>
  <c r="AA2757" i="1"/>
  <c r="Z2757" i="1"/>
  <c r="Y2757" i="1"/>
  <c r="AA2756" i="1"/>
  <c r="Z2756" i="1"/>
  <c r="Y2756" i="1"/>
  <c r="AA2755" i="1"/>
  <c r="Z2755" i="1"/>
  <c r="Y2755" i="1"/>
  <c r="AA2754" i="1"/>
  <c r="Z2754" i="1"/>
  <c r="Y2754" i="1"/>
  <c r="AA2753" i="1"/>
  <c r="Z2753" i="1"/>
  <c r="Y2753" i="1"/>
  <c r="AA2752" i="1"/>
  <c r="Z2752" i="1"/>
  <c r="Y2752" i="1"/>
  <c r="AA2751" i="1"/>
  <c r="Z2751" i="1"/>
  <c r="Y2751" i="1"/>
  <c r="AA2750" i="1"/>
  <c r="Z2750" i="1"/>
  <c r="Y2750" i="1"/>
  <c r="AA2749" i="1"/>
  <c r="Z2749" i="1"/>
  <c r="Y2749" i="1"/>
  <c r="AA2748" i="1"/>
  <c r="Z2748" i="1"/>
  <c r="Y2748" i="1"/>
  <c r="AA2747" i="1"/>
  <c r="Z2747" i="1"/>
  <c r="Y2747" i="1"/>
  <c r="AA2746" i="1"/>
  <c r="Z2746" i="1"/>
  <c r="Y2746" i="1"/>
  <c r="AA2745" i="1"/>
  <c r="Z2745" i="1"/>
  <c r="Y2745" i="1"/>
  <c r="AA2744" i="1"/>
  <c r="Z2744" i="1"/>
  <c r="Y2744" i="1"/>
  <c r="AA2743" i="1"/>
  <c r="Z2743" i="1"/>
  <c r="Y2743" i="1"/>
  <c r="AA2742" i="1"/>
  <c r="Z2742" i="1"/>
  <c r="Y2742" i="1"/>
  <c r="AA2741" i="1"/>
  <c r="Z2741" i="1"/>
  <c r="Y2741" i="1"/>
  <c r="AA2740" i="1"/>
  <c r="Z2740" i="1"/>
  <c r="Y2740" i="1"/>
  <c r="AA2739" i="1"/>
  <c r="Z2739" i="1"/>
  <c r="Y2739" i="1"/>
  <c r="AA2738" i="1"/>
  <c r="Z2738" i="1"/>
  <c r="Y2738" i="1"/>
  <c r="AA2737" i="1"/>
  <c r="Z2737" i="1"/>
  <c r="Y2737" i="1"/>
  <c r="AA2736" i="1"/>
  <c r="Z2736" i="1"/>
  <c r="Y2736" i="1"/>
  <c r="AA2735" i="1"/>
  <c r="Z2735" i="1"/>
  <c r="Y2735" i="1"/>
  <c r="AA2734" i="1"/>
  <c r="Z2734" i="1"/>
  <c r="Y2734" i="1"/>
  <c r="AA2733" i="1"/>
  <c r="Z2733" i="1"/>
  <c r="Y2733" i="1"/>
  <c r="AA2732" i="1"/>
  <c r="Z2732" i="1"/>
  <c r="Y2732" i="1"/>
  <c r="AA2731" i="1"/>
  <c r="Z2731" i="1"/>
  <c r="Y2731" i="1"/>
  <c r="AA2730" i="1"/>
  <c r="Z2730" i="1"/>
  <c r="Y2730" i="1"/>
  <c r="AA2729" i="1"/>
  <c r="Z2729" i="1"/>
  <c r="Y2729" i="1"/>
  <c r="AA2728" i="1"/>
  <c r="Z2728" i="1"/>
  <c r="Y2728" i="1"/>
  <c r="AA2727" i="1"/>
  <c r="Z2727" i="1"/>
  <c r="Y2727" i="1"/>
  <c r="AA2726" i="1"/>
  <c r="Z2726" i="1"/>
  <c r="Y2726" i="1"/>
  <c r="AA2725" i="1"/>
  <c r="Z2725" i="1"/>
  <c r="Y2725" i="1"/>
  <c r="AA2724" i="1"/>
  <c r="Z2724" i="1"/>
  <c r="Y2724" i="1"/>
  <c r="AA2723" i="1"/>
  <c r="Z2723" i="1"/>
  <c r="Y2723" i="1"/>
  <c r="AA2722" i="1"/>
  <c r="Z2722" i="1"/>
  <c r="Y2722" i="1"/>
  <c r="AA2721" i="1"/>
  <c r="Z2721" i="1"/>
  <c r="Y2721" i="1"/>
  <c r="AA2720" i="1"/>
  <c r="Z2720" i="1"/>
  <c r="Y2720" i="1"/>
  <c r="AA2719" i="1"/>
  <c r="Z2719" i="1"/>
  <c r="Y2719" i="1"/>
  <c r="AA2718" i="1"/>
  <c r="Z2718" i="1"/>
  <c r="Y2718" i="1"/>
  <c r="AA2717" i="1"/>
  <c r="Z2717" i="1"/>
  <c r="Y2717" i="1"/>
  <c r="AA2716" i="1"/>
  <c r="Z2716" i="1"/>
  <c r="Y2716" i="1"/>
  <c r="AA2715" i="1"/>
  <c r="Z2715" i="1"/>
  <c r="Y2715" i="1"/>
  <c r="AA2714" i="1"/>
  <c r="Z2714" i="1"/>
  <c r="Y2714" i="1"/>
  <c r="AA2713" i="1"/>
  <c r="Z2713" i="1"/>
  <c r="Y2713" i="1"/>
  <c r="AA2712" i="1"/>
  <c r="Z2712" i="1"/>
  <c r="Y2712" i="1"/>
  <c r="AA2711" i="1"/>
  <c r="Z2711" i="1"/>
  <c r="Y2711" i="1"/>
  <c r="AA2710" i="1"/>
  <c r="Z2710" i="1"/>
  <c r="Y2710" i="1"/>
  <c r="AA2709" i="1"/>
  <c r="Z2709" i="1"/>
  <c r="Y2709" i="1"/>
  <c r="AA2708" i="1"/>
  <c r="Z2708" i="1"/>
  <c r="Y2708" i="1"/>
  <c r="AA2707" i="1"/>
  <c r="Z2707" i="1"/>
  <c r="Y2707" i="1"/>
  <c r="AA2706" i="1"/>
  <c r="Z2706" i="1"/>
  <c r="Y2706" i="1"/>
  <c r="AA2705" i="1"/>
  <c r="Z2705" i="1"/>
  <c r="Y2705" i="1"/>
  <c r="AA2704" i="1"/>
  <c r="Z2704" i="1"/>
  <c r="Y2704" i="1"/>
  <c r="AA2703" i="1"/>
  <c r="Z2703" i="1"/>
  <c r="Y2703" i="1"/>
  <c r="AA2702" i="1"/>
  <c r="Z2702" i="1"/>
  <c r="Y2702" i="1"/>
  <c r="AA2701" i="1"/>
  <c r="Z2701" i="1"/>
  <c r="Y2701" i="1"/>
  <c r="AA2700" i="1"/>
  <c r="Z2700" i="1"/>
  <c r="Y2700" i="1"/>
  <c r="AA2699" i="1"/>
  <c r="Z2699" i="1"/>
  <c r="Y2699" i="1"/>
  <c r="AA2698" i="1"/>
  <c r="Z2698" i="1"/>
  <c r="Y2698" i="1"/>
  <c r="AA2697" i="1"/>
  <c r="Z2697" i="1"/>
  <c r="Y2697" i="1"/>
  <c r="AA2696" i="1"/>
  <c r="Z2696" i="1"/>
  <c r="Y2696" i="1"/>
  <c r="AA2695" i="1"/>
  <c r="Z2695" i="1"/>
  <c r="Y2695" i="1"/>
  <c r="AA2694" i="1"/>
  <c r="Z2694" i="1"/>
  <c r="Y2694" i="1"/>
  <c r="AA2693" i="1"/>
  <c r="Z2693" i="1"/>
  <c r="Y2693" i="1"/>
  <c r="AA2692" i="1"/>
  <c r="Z2692" i="1"/>
  <c r="Y2692" i="1"/>
  <c r="AA2691" i="1"/>
  <c r="Z2691" i="1"/>
  <c r="Y2691" i="1"/>
  <c r="AA2690" i="1"/>
  <c r="Z2690" i="1"/>
  <c r="Y2690" i="1"/>
  <c r="AA2689" i="1"/>
  <c r="Z2689" i="1"/>
  <c r="Y2689" i="1"/>
  <c r="AA2688" i="1"/>
  <c r="Z2688" i="1"/>
  <c r="Y2688" i="1"/>
  <c r="AA2687" i="1"/>
  <c r="Z2687" i="1"/>
  <c r="Y2687" i="1"/>
  <c r="AA2686" i="1"/>
  <c r="Z2686" i="1"/>
  <c r="Y2686" i="1"/>
  <c r="AA2685" i="1"/>
  <c r="Z2685" i="1"/>
  <c r="Y2685" i="1"/>
  <c r="AA2684" i="1"/>
  <c r="Z2684" i="1"/>
  <c r="Y2684" i="1"/>
  <c r="AA2683" i="1"/>
  <c r="Z2683" i="1"/>
  <c r="Y2683" i="1"/>
  <c r="AA2682" i="1"/>
  <c r="Z2682" i="1"/>
  <c r="Y2682" i="1"/>
  <c r="AA2681" i="1"/>
  <c r="Z2681" i="1"/>
  <c r="Y2681" i="1"/>
  <c r="AA2680" i="1"/>
  <c r="Z2680" i="1"/>
  <c r="Y2680" i="1"/>
  <c r="AA2679" i="1"/>
  <c r="Z2679" i="1"/>
  <c r="Y2679" i="1"/>
  <c r="AA2678" i="1"/>
  <c r="Z2678" i="1"/>
  <c r="Y2678" i="1"/>
  <c r="AA2677" i="1"/>
  <c r="Z2677" i="1"/>
  <c r="Y2677" i="1"/>
  <c r="AA2676" i="1"/>
  <c r="Z2676" i="1"/>
  <c r="Y2676" i="1"/>
  <c r="AA2675" i="1"/>
  <c r="Z2675" i="1"/>
  <c r="Y2675" i="1"/>
  <c r="AA2674" i="1"/>
  <c r="Z2674" i="1"/>
  <c r="Y2674" i="1"/>
  <c r="AA2673" i="1"/>
  <c r="Z2673" i="1"/>
  <c r="Y2673" i="1"/>
  <c r="AA2672" i="1"/>
  <c r="Z2672" i="1"/>
  <c r="Y2672" i="1"/>
  <c r="AA2671" i="1"/>
  <c r="Z2671" i="1"/>
  <c r="Y2671" i="1"/>
  <c r="AA2670" i="1"/>
  <c r="Z2670" i="1"/>
  <c r="Y2670" i="1"/>
  <c r="AA2669" i="1"/>
  <c r="Z2669" i="1"/>
  <c r="Y2669" i="1"/>
  <c r="AA2668" i="1"/>
  <c r="Z2668" i="1"/>
  <c r="Y2668" i="1"/>
  <c r="AA2667" i="1"/>
  <c r="Z2667" i="1"/>
  <c r="Y2667" i="1"/>
  <c r="AA2666" i="1"/>
  <c r="Z2666" i="1"/>
  <c r="Y2666" i="1"/>
  <c r="AA2665" i="1"/>
  <c r="Z2665" i="1"/>
  <c r="Y2665" i="1"/>
  <c r="AA2664" i="1"/>
  <c r="Z2664" i="1"/>
  <c r="Y2664" i="1"/>
  <c r="AA2663" i="1"/>
  <c r="Z2663" i="1"/>
  <c r="Y2663" i="1"/>
  <c r="AA2662" i="1"/>
  <c r="Z2662" i="1"/>
  <c r="Y2662" i="1"/>
  <c r="AA2661" i="1"/>
  <c r="Z2661" i="1"/>
  <c r="Y2661" i="1"/>
  <c r="AA2660" i="1"/>
  <c r="Z2660" i="1"/>
  <c r="Y2660" i="1"/>
  <c r="AA2659" i="1"/>
  <c r="Z2659" i="1"/>
  <c r="Y2659" i="1"/>
  <c r="AA2658" i="1"/>
  <c r="Z2658" i="1"/>
  <c r="Y2658" i="1"/>
  <c r="AA2657" i="1"/>
  <c r="Z2657" i="1"/>
  <c r="Y2657" i="1"/>
  <c r="AA2656" i="1"/>
  <c r="Z2656" i="1"/>
  <c r="Y2656" i="1"/>
  <c r="AA2655" i="1"/>
  <c r="Z2655" i="1"/>
  <c r="Y2655" i="1"/>
  <c r="AA2654" i="1"/>
  <c r="Z2654" i="1"/>
  <c r="Y2654" i="1"/>
  <c r="AA2653" i="1"/>
  <c r="Z2653" i="1"/>
  <c r="Y2653" i="1"/>
  <c r="AA2652" i="1"/>
  <c r="Z2652" i="1"/>
  <c r="Y2652" i="1"/>
  <c r="AA2651" i="1"/>
  <c r="Z2651" i="1"/>
  <c r="Y2651" i="1"/>
  <c r="AA2650" i="1"/>
  <c r="Z2650" i="1"/>
  <c r="Y2650" i="1"/>
  <c r="AA2649" i="1"/>
  <c r="Z2649" i="1"/>
  <c r="Y2649" i="1"/>
  <c r="AA2648" i="1"/>
  <c r="Z2648" i="1"/>
  <c r="Y2648" i="1"/>
  <c r="AA2647" i="1"/>
  <c r="Z2647" i="1"/>
  <c r="Y2647" i="1"/>
  <c r="AA2646" i="1"/>
  <c r="Z2646" i="1"/>
  <c r="Y2646" i="1"/>
  <c r="AA2645" i="1"/>
  <c r="Z2645" i="1"/>
  <c r="Y2645" i="1"/>
  <c r="AA2644" i="1"/>
  <c r="Z2644" i="1"/>
  <c r="Y2644" i="1"/>
  <c r="AA2643" i="1"/>
  <c r="Z2643" i="1"/>
  <c r="Y2643" i="1"/>
  <c r="AA2642" i="1"/>
  <c r="Z2642" i="1"/>
  <c r="Y2642" i="1"/>
  <c r="AA2641" i="1"/>
  <c r="Z2641" i="1"/>
  <c r="Y2641" i="1"/>
  <c r="AA2640" i="1"/>
  <c r="Z2640" i="1"/>
  <c r="Y2640" i="1"/>
  <c r="AA2639" i="1"/>
  <c r="Z2639" i="1"/>
  <c r="Y2639" i="1"/>
  <c r="AA2638" i="1"/>
  <c r="Z2638" i="1"/>
  <c r="Y2638" i="1"/>
  <c r="AA2637" i="1"/>
  <c r="Z2637" i="1"/>
  <c r="Y2637" i="1"/>
  <c r="AA2636" i="1"/>
  <c r="Z2636" i="1"/>
  <c r="Y2636" i="1"/>
  <c r="AA2635" i="1"/>
  <c r="Z2635" i="1"/>
  <c r="Y2635" i="1"/>
  <c r="AA2634" i="1"/>
  <c r="Z2634" i="1"/>
  <c r="Y2634" i="1"/>
  <c r="AA2633" i="1"/>
  <c r="Z2633" i="1"/>
  <c r="Y2633" i="1"/>
  <c r="AA2632" i="1"/>
  <c r="Z2632" i="1"/>
  <c r="Y2632" i="1"/>
  <c r="AA2631" i="1"/>
  <c r="Z2631" i="1"/>
  <c r="Y2631" i="1"/>
  <c r="AA2630" i="1"/>
  <c r="Z2630" i="1"/>
  <c r="Y2630" i="1"/>
  <c r="AA2629" i="1"/>
  <c r="Z2629" i="1"/>
  <c r="Y2629" i="1"/>
  <c r="AA2628" i="1"/>
  <c r="Z2628" i="1"/>
  <c r="Y2628" i="1"/>
  <c r="AA2627" i="1"/>
  <c r="Z2627" i="1"/>
  <c r="Y2627" i="1"/>
  <c r="AA2626" i="1"/>
  <c r="Z2626" i="1"/>
  <c r="Y2626" i="1"/>
  <c r="AA2625" i="1"/>
  <c r="Z2625" i="1"/>
  <c r="Y2625" i="1"/>
  <c r="AA2624" i="1"/>
  <c r="Z2624" i="1"/>
  <c r="Y2624" i="1"/>
  <c r="AA2623" i="1"/>
  <c r="Z2623" i="1"/>
  <c r="Y2623" i="1"/>
  <c r="AA2622" i="1"/>
  <c r="Z2622" i="1"/>
  <c r="Y2622" i="1"/>
  <c r="AA2621" i="1"/>
  <c r="Z2621" i="1"/>
  <c r="Y2621" i="1"/>
  <c r="AA2620" i="1"/>
  <c r="Z2620" i="1"/>
  <c r="Y2620" i="1"/>
  <c r="AA2619" i="1"/>
  <c r="Z2619" i="1"/>
  <c r="Y2619" i="1"/>
  <c r="AA2618" i="1"/>
  <c r="Z2618" i="1"/>
  <c r="Y2618" i="1"/>
  <c r="AA2617" i="1"/>
  <c r="Z2617" i="1"/>
  <c r="Y2617" i="1"/>
  <c r="AA2616" i="1"/>
  <c r="Z2616" i="1"/>
  <c r="Y2616" i="1"/>
  <c r="AA2615" i="1"/>
  <c r="Z2615" i="1"/>
  <c r="Y2615" i="1"/>
  <c r="AA2614" i="1"/>
  <c r="Z2614" i="1"/>
  <c r="Y2614" i="1"/>
  <c r="AA2613" i="1"/>
  <c r="Z2613" i="1"/>
  <c r="Y2613" i="1"/>
  <c r="AA2612" i="1"/>
  <c r="Z2612" i="1"/>
  <c r="Y2612" i="1"/>
  <c r="AA2611" i="1"/>
  <c r="Z2611" i="1"/>
  <c r="Y2611" i="1"/>
  <c r="AA2610" i="1"/>
  <c r="Z2610" i="1"/>
  <c r="Y2610" i="1"/>
  <c r="AA2609" i="1"/>
  <c r="Z2609" i="1"/>
  <c r="Y2609" i="1"/>
  <c r="AA2608" i="1"/>
  <c r="Z2608" i="1"/>
  <c r="Y2608" i="1"/>
  <c r="AA2607" i="1"/>
  <c r="Z2607" i="1"/>
  <c r="Y2607" i="1"/>
  <c r="AA2606" i="1"/>
  <c r="Z2606" i="1"/>
  <c r="Y2606" i="1"/>
  <c r="AA2605" i="1"/>
  <c r="Z2605" i="1"/>
  <c r="Y2605" i="1"/>
  <c r="AA2604" i="1"/>
  <c r="Z2604" i="1"/>
  <c r="Y2604" i="1"/>
  <c r="AA2603" i="1"/>
  <c r="Z2603" i="1"/>
  <c r="Y2603" i="1"/>
  <c r="AA2602" i="1"/>
  <c r="Z2602" i="1"/>
  <c r="Y2602" i="1"/>
  <c r="AA2601" i="1"/>
  <c r="Z2601" i="1"/>
  <c r="Y2601" i="1"/>
  <c r="AA2600" i="1"/>
  <c r="Z2600" i="1"/>
  <c r="Y2600" i="1"/>
  <c r="AA2599" i="1"/>
  <c r="Z2599" i="1"/>
  <c r="Y2599" i="1"/>
  <c r="AA2598" i="1"/>
  <c r="Z2598" i="1"/>
  <c r="Y2598" i="1"/>
  <c r="AA2597" i="1"/>
  <c r="Z2597" i="1"/>
  <c r="Y2597" i="1"/>
  <c r="AA2596" i="1"/>
  <c r="Z2596" i="1"/>
  <c r="Y2596" i="1"/>
  <c r="AA2595" i="1"/>
  <c r="Z2595" i="1"/>
  <c r="Y2595" i="1"/>
  <c r="AA2594" i="1"/>
  <c r="Z2594" i="1"/>
  <c r="Y2594" i="1"/>
  <c r="AA2593" i="1"/>
  <c r="Z2593" i="1"/>
  <c r="Y2593" i="1"/>
  <c r="AA2592" i="1"/>
  <c r="Z2592" i="1"/>
  <c r="Y2592" i="1"/>
  <c r="AA2591" i="1"/>
  <c r="Z2591" i="1"/>
  <c r="Y2591" i="1"/>
  <c r="AA2590" i="1"/>
  <c r="Z2590" i="1"/>
  <c r="Y2590" i="1"/>
  <c r="AA2589" i="1"/>
  <c r="Z2589" i="1"/>
  <c r="Y2589" i="1"/>
  <c r="AA2588" i="1"/>
  <c r="Z2588" i="1"/>
  <c r="Y2588" i="1"/>
  <c r="AA2587" i="1"/>
  <c r="Z2587" i="1"/>
  <c r="Y2587" i="1"/>
  <c r="AA2586" i="1"/>
  <c r="Z2586" i="1"/>
  <c r="Y2586" i="1"/>
  <c r="AA2585" i="1"/>
  <c r="Z2585" i="1"/>
  <c r="Y2585" i="1"/>
  <c r="AA2584" i="1"/>
  <c r="Z2584" i="1"/>
  <c r="Y2584" i="1"/>
  <c r="AA2583" i="1"/>
  <c r="Z2583" i="1"/>
  <c r="Y2583" i="1"/>
  <c r="AA2582" i="1"/>
  <c r="Z2582" i="1"/>
  <c r="Y2582" i="1"/>
  <c r="AA2581" i="1"/>
  <c r="Z2581" i="1"/>
  <c r="Y2581" i="1"/>
  <c r="AA2580" i="1"/>
  <c r="Z2580" i="1"/>
  <c r="Y2580" i="1"/>
  <c r="AA2579" i="1"/>
  <c r="Z2579" i="1"/>
  <c r="Y2579" i="1"/>
  <c r="AA2578" i="1"/>
  <c r="Z2578" i="1"/>
  <c r="Y2578" i="1"/>
  <c r="AA2577" i="1"/>
  <c r="Z2577" i="1"/>
  <c r="Y2577" i="1"/>
  <c r="AA2576" i="1"/>
  <c r="Z2576" i="1"/>
  <c r="Y2576" i="1"/>
  <c r="AA2575" i="1"/>
  <c r="Z2575" i="1"/>
  <c r="Y2575" i="1"/>
  <c r="AA2574" i="1"/>
  <c r="Z2574" i="1"/>
  <c r="Y2574" i="1"/>
  <c r="AA2573" i="1"/>
  <c r="Z2573" i="1"/>
  <c r="Y2573" i="1"/>
  <c r="AA2572" i="1"/>
  <c r="Z2572" i="1"/>
  <c r="Y2572" i="1"/>
  <c r="AA2571" i="1"/>
  <c r="Z2571" i="1"/>
  <c r="Y2571" i="1"/>
  <c r="AA2570" i="1"/>
  <c r="Z2570" i="1"/>
  <c r="Y2570" i="1"/>
  <c r="AA2569" i="1"/>
  <c r="Z2569" i="1"/>
  <c r="Y2569" i="1"/>
  <c r="AA2568" i="1"/>
  <c r="Z2568" i="1"/>
  <c r="Y2568" i="1"/>
  <c r="AA2567" i="1"/>
  <c r="Z2567" i="1"/>
  <c r="Y2567" i="1"/>
  <c r="AA2566" i="1"/>
  <c r="Z2566" i="1"/>
  <c r="Y2566" i="1"/>
  <c r="AA2565" i="1"/>
  <c r="Z2565" i="1"/>
  <c r="Y2565" i="1"/>
  <c r="AA2564" i="1"/>
  <c r="Z2564" i="1"/>
  <c r="Y2564" i="1"/>
  <c r="AA2563" i="1"/>
  <c r="Z2563" i="1"/>
  <c r="Y2563" i="1"/>
  <c r="AA2562" i="1"/>
  <c r="Z2562" i="1"/>
  <c r="Y2562" i="1"/>
  <c r="AA2561" i="1"/>
  <c r="Z2561" i="1"/>
  <c r="Y2561" i="1"/>
  <c r="AA2560" i="1"/>
  <c r="Z2560" i="1"/>
  <c r="Y2560" i="1"/>
  <c r="AA2559" i="1"/>
  <c r="Z2559" i="1"/>
  <c r="Y2559" i="1"/>
  <c r="AA2558" i="1"/>
  <c r="Z2558" i="1"/>
  <c r="Y2558" i="1"/>
  <c r="AA2557" i="1"/>
  <c r="Z2557" i="1"/>
  <c r="Y2557" i="1"/>
  <c r="AA2556" i="1"/>
  <c r="Z2556" i="1"/>
  <c r="Y2556" i="1"/>
  <c r="AA2555" i="1"/>
  <c r="Z2555" i="1"/>
  <c r="Y2555" i="1"/>
  <c r="AA2554" i="1"/>
  <c r="Z2554" i="1"/>
  <c r="Y2554" i="1"/>
  <c r="AA2553" i="1"/>
  <c r="Z2553" i="1"/>
  <c r="Y2553" i="1"/>
  <c r="AA2552" i="1"/>
  <c r="Z2552" i="1"/>
  <c r="Y2552" i="1"/>
  <c r="AA2551" i="1"/>
  <c r="Z2551" i="1"/>
  <c r="Y2551" i="1"/>
  <c r="AA2550" i="1"/>
  <c r="Z2550" i="1"/>
  <c r="Y2550" i="1"/>
  <c r="AA2549" i="1"/>
  <c r="Z2549" i="1"/>
  <c r="Y2549" i="1"/>
  <c r="AA2548" i="1"/>
  <c r="Z2548" i="1"/>
  <c r="Y2548" i="1"/>
  <c r="AA2547" i="1"/>
  <c r="Z2547" i="1"/>
  <c r="Y2547" i="1"/>
  <c r="AA2546" i="1"/>
  <c r="Z2546" i="1"/>
  <c r="Y2546" i="1"/>
  <c r="AA2545" i="1"/>
  <c r="Z2545" i="1"/>
  <c r="Y2545" i="1"/>
  <c r="AA2544" i="1"/>
  <c r="Z2544" i="1"/>
  <c r="Y2544" i="1"/>
  <c r="AA2543" i="1"/>
  <c r="Z2543" i="1"/>
  <c r="Y2543" i="1"/>
  <c r="AA2542" i="1"/>
  <c r="Z2542" i="1"/>
  <c r="Y2542" i="1"/>
  <c r="AA2541" i="1"/>
  <c r="Z2541" i="1"/>
  <c r="Y2541" i="1"/>
  <c r="AA2540" i="1"/>
  <c r="Z2540" i="1"/>
  <c r="Y2540" i="1"/>
  <c r="AA2539" i="1"/>
  <c r="Z2539" i="1"/>
  <c r="Y2539" i="1"/>
  <c r="AA2538" i="1"/>
  <c r="Z2538" i="1"/>
  <c r="Y2538" i="1"/>
  <c r="AA2537" i="1"/>
  <c r="Z2537" i="1"/>
  <c r="Y2537" i="1"/>
  <c r="AA2536" i="1"/>
  <c r="Z2536" i="1"/>
  <c r="Y2536" i="1"/>
  <c r="AA2535" i="1"/>
  <c r="Z2535" i="1"/>
  <c r="Y2535" i="1"/>
  <c r="AA2534" i="1"/>
  <c r="Z2534" i="1"/>
  <c r="Y2534" i="1"/>
  <c r="AA2533" i="1"/>
  <c r="Z2533" i="1"/>
  <c r="Y2533" i="1"/>
  <c r="AA2532" i="1"/>
  <c r="Z2532" i="1"/>
  <c r="Y2532" i="1"/>
  <c r="AA2531" i="1"/>
  <c r="Z2531" i="1"/>
  <c r="Y2531" i="1"/>
  <c r="AA2530" i="1"/>
  <c r="Z2530" i="1"/>
  <c r="Y2530" i="1"/>
  <c r="AA2529" i="1"/>
  <c r="Z2529" i="1"/>
  <c r="Y2529" i="1"/>
  <c r="AA2528" i="1"/>
  <c r="Z2528" i="1"/>
  <c r="Y2528" i="1"/>
  <c r="AA2527" i="1"/>
  <c r="Z2527" i="1"/>
  <c r="Y2527" i="1"/>
  <c r="AA2526" i="1"/>
  <c r="Z2526" i="1"/>
  <c r="Y2526" i="1"/>
  <c r="AA2525" i="1"/>
  <c r="Z2525" i="1"/>
  <c r="Y2525" i="1"/>
  <c r="AA2524" i="1"/>
  <c r="Z2524" i="1"/>
  <c r="Y2524" i="1"/>
  <c r="AA2523" i="1"/>
  <c r="Z2523" i="1"/>
  <c r="Y2523" i="1"/>
  <c r="AA2522" i="1"/>
  <c r="Z2522" i="1"/>
  <c r="Y2522" i="1"/>
  <c r="AA2521" i="1"/>
  <c r="Z2521" i="1"/>
  <c r="Y2521" i="1"/>
  <c r="AA2520" i="1"/>
  <c r="Z2520" i="1"/>
  <c r="Y2520" i="1"/>
  <c r="AA2519" i="1"/>
  <c r="Z2519" i="1"/>
  <c r="Y2519" i="1"/>
  <c r="AA2518" i="1"/>
  <c r="Z2518" i="1"/>
  <c r="Y2518" i="1"/>
  <c r="AA2517" i="1"/>
  <c r="Z2517" i="1"/>
  <c r="Y2517" i="1"/>
  <c r="AA2516" i="1"/>
  <c r="Z2516" i="1"/>
  <c r="Y2516" i="1"/>
  <c r="AA2515" i="1"/>
  <c r="Z2515" i="1"/>
  <c r="Y2515" i="1"/>
  <c r="AA2514" i="1"/>
  <c r="Z2514" i="1"/>
  <c r="Y2514" i="1"/>
  <c r="AA2513" i="1"/>
  <c r="Z2513" i="1"/>
  <c r="Y2513" i="1"/>
  <c r="AA2512" i="1"/>
  <c r="Z2512" i="1"/>
  <c r="Y2512" i="1"/>
  <c r="AA2511" i="1"/>
  <c r="Z2511" i="1"/>
  <c r="Y2511" i="1"/>
  <c r="AA2510" i="1"/>
  <c r="Z2510" i="1"/>
  <c r="Y2510" i="1"/>
  <c r="AA2509" i="1"/>
  <c r="Z2509" i="1"/>
  <c r="Y2509" i="1"/>
  <c r="AA2508" i="1"/>
  <c r="Z2508" i="1"/>
  <c r="Y2508" i="1"/>
  <c r="AA2507" i="1"/>
  <c r="Z2507" i="1"/>
  <c r="Y2507" i="1"/>
  <c r="AA2506" i="1"/>
  <c r="Z2506" i="1"/>
  <c r="Y2506" i="1"/>
  <c r="AA2505" i="1"/>
  <c r="Z2505" i="1"/>
  <c r="Y2505" i="1"/>
  <c r="AA2504" i="1"/>
  <c r="Z2504" i="1"/>
  <c r="Y2504" i="1"/>
  <c r="AA2503" i="1"/>
  <c r="Z2503" i="1"/>
  <c r="Y2503" i="1"/>
  <c r="AA2502" i="1"/>
  <c r="Z2502" i="1"/>
  <c r="Y2502" i="1"/>
  <c r="AA2501" i="1"/>
  <c r="Z2501" i="1"/>
  <c r="Y2501" i="1"/>
  <c r="AA2500" i="1"/>
  <c r="Z2500" i="1"/>
  <c r="Y2500" i="1"/>
  <c r="AA2499" i="1"/>
  <c r="Z2499" i="1"/>
  <c r="Y2499" i="1"/>
  <c r="AA2498" i="1"/>
  <c r="Z2498" i="1"/>
  <c r="Y2498" i="1"/>
  <c r="AA2497" i="1"/>
  <c r="Z2497" i="1"/>
  <c r="Y2497" i="1"/>
  <c r="AA2496" i="1"/>
  <c r="Z2496" i="1"/>
  <c r="Y2496" i="1"/>
  <c r="AA2495" i="1"/>
  <c r="Z2495" i="1"/>
  <c r="Y2495" i="1"/>
  <c r="AA2494" i="1"/>
  <c r="Z2494" i="1"/>
  <c r="Y2494" i="1"/>
  <c r="AA2493" i="1"/>
  <c r="Z2493" i="1"/>
  <c r="Y2493" i="1"/>
  <c r="AA2492" i="1"/>
  <c r="Z2492" i="1"/>
  <c r="Y2492" i="1"/>
  <c r="AA2491" i="1"/>
  <c r="Z2491" i="1"/>
  <c r="Y2491" i="1"/>
  <c r="AA2490" i="1"/>
  <c r="Z2490" i="1"/>
  <c r="Y2490" i="1"/>
  <c r="AA2489" i="1"/>
  <c r="Z2489" i="1"/>
  <c r="Y2489" i="1"/>
  <c r="AA2488" i="1"/>
  <c r="Z2488" i="1"/>
  <c r="Y2488" i="1"/>
  <c r="AA2487" i="1"/>
  <c r="Z2487" i="1"/>
  <c r="Y2487" i="1"/>
  <c r="AA2486" i="1"/>
  <c r="Z2486" i="1"/>
  <c r="Y2486" i="1"/>
  <c r="AA2485" i="1"/>
  <c r="Z2485" i="1"/>
  <c r="Y2485" i="1"/>
  <c r="AA2484" i="1"/>
  <c r="Z2484" i="1"/>
  <c r="Y2484" i="1"/>
  <c r="AA2483" i="1"/>
  <c r="Z2483" i="1"/>
  <c r="Y2483" i="1"/>
  <c r="AA2482" i="1"/>
  <c r="Z2482" i="1"/>
  <c r="Y2482" i="1"/>
  <c r="AA2481" i="1"/>
  <c r="Z2481" i="1"/>
  <c r="Y2481" i="1"/>
  <c r="AA2480" i="1"/>
  <c r="Z2480" i="1"/>
  <c r="Y2480" i="1"/>
  <c r="AA2479" i="1"/>
  <c r="Z2479" i="1"/>
  <c r="Y2479" i="1"/>
  <c r="AA2478" i="1"/>
  <c r="Z2478" i="1"/>
  <c r="Y2478" i="1"/>
  <c r="AA2477" i="1"/>
  <c r="Z2477" i="1"/>
  <c r="Y2477" i="1"/>
  <c r="AA2476" i="1"/>
  <c r="Z2476" i="1"/>
  <c r="Y2476" i="1"/>
  <c r="AA2475" i="1"/>
  <c r="Z2475" i="1"/>
  <c r="Y2475" i="1"/>
  <c r="AA2474" i="1"/>
  <c r="Z2474" i="1"/>
  <c r="Y2474" i="1"/>
  <c r="AA2473" i="1"/>
  <c r="Z2473" i="1"/>
  <c r="Y2473" i="1"/>
  <c r="AA2472" i="1"/>
  <c r="Z2472" i="1"/>
  <c r="Y2472" i="1"/>
  <c r="AA2471" i="1"/>
  <c r="Z2471" i="1"/>
  <c r="Y2471" i="1"/>
  <c r="AA2470" i="1"/>
  <c r="Z2470" i="1"/>
  <c r="Y2470" i="1"/>
  <c r="AA2469" i="1"/>
  <c r="Z2469" i="1"/>
  <c r="Y2469" i="1"/>
  <c r="AA2468" i="1"/>
  <c r="Z2468" i="1"/>
  <c r="Y2468" i="1"/>
  <c r="AA2467" i="1"/>
  <c r="Z2467" i="1"/>
  <c r="Y2467" i="1"/>
  <c r="AA2466" i="1"/>
  <c r="Z2466" i="1"/>
  <c r="Y2466" i="1"/>
  <c r="AA2465" i="1"/>
  <c r="Z2465" i="1"/>
  <c r="Y2465" i="1"/>
  <c r="AA2464" i="1"/>
  <c r="Z2464" i="1"/>
  <c r="Y2464" i="1"/>
  <c r="AA2463" i="1"/>
  <c r="Z2463" i="1"/>
  <c r="Y2463" i="1"/>
  <c r="AA2462" i="1"/>
  <c r="Z2462" i="1"/>
  <c r="Y2462" i="1"/>
  <c r="AA2461" i="1"/>
  <c r="Z2461" i="1"/>
  <c r="Y2461" i="1"/>
  <c r="AA2460" i="1"/>
  <c r="Z2460" i="1"/>
  <c r="Y2460" i="1"/>
  <c r="AA2459" i="1"/>
  <c r="Z2459" i="1"/>
  <c r="Y2459" i="1"/>
  <c r="AA2458" i="1"/>
  <c r="Z2458" i="1"/>
  <c r="Y2458" i="1"/>
  <c r="AA2457" i="1"/>
  <c r="Z2457" i="1"/>
  <c r="Y2457" i="1"/>
  <c r="AA2456" i="1"/>
  <c r="Z2456" i="1"/>
  <c r="Y2456" i="1"/>
  <c r="AA2455" i="1"/>
  <c r="Z2455" i="1"/>
  <c r="Y2455" i="1"/>
  <c r="AA2454" i="1"/>
  <c r="Z2454" i="1"/>
  <c r="Y2454" i="1"/>
  <c r="AA2453" i="1"/>
  <c r="Z2453" i="1"/>
  <c r="Y2453" i="1"/>
  <c r="AA2452" i="1"/>
  <c r="Z2452" i="1"/>
  <c r="Y2452" i="1"/>
  <c r="AA2451" i="1"/>
  <c r="Z2451" i="1"/>
  <c r="Y2451" i="1"/>
  <c r="AA2450" i="1"/>
  <c r="Z2450" i="1"/>
  <c r="Y2450" i="1"/>
  <c r="AA2449" i="1"/>
  <c r="Z2449" i="1"/>
  <c r="Y2449" i="1"/>
  <c r="AA2448" i="1"/>
  <c r="Z2448" i="1"/>
  <c r="Y2448" i="1"/>
  <c r="AA2447" i="1"/>
  <c r="Z2447" i="1"/>
  <c r="Y2447" i="1"/>
  <c r="AA2446" i="1"/>
  <c r="Z2446" i="1"/>
  <c r="Y2446" i="1"/>
  <c r="AA2445" i="1"/>
  <c r="Z2445" i="1"/>
  <c r="Y2445" i="1"/>
  <c r="AA2444" i="1"/>
  <c r="Z2444" i="1"/>
  <c r="Y2444" i="1"/>
  <c r="AA2443" i="1"/>
  <c r="Z2443" i="1"/>
  <c r="Y2443" i="1"/>
  <c r="AA2442" i="1"/>
  <c r="Z2442" i="1"/>
  <c r="Y2442" i="1"/>
  <c r="AA2441" i="1"/>
  <c r="Z2441" i="1"/>
  <c r="Y2441" i="1"/>
  <c r="AA2440" i="1"/>
  <c r="Z2440" i="1"/>
  <c r="Y2440" i="1"/>
  <c r="AA2439" i="1"/>
  <c r="Z2439" i="1"/>
  <c r="Y2439" i="1"/>
  <c r="AA2438" i="1"/>
  <c r="Z2438" i="1"/>
  <c r="Y2438" i="1"/>
  <c r="AA2437" i="1"/>
  <c r="Z2437" i="1"/>
  <c r="Y2437" i="1"/>
  <c r="AA2436" i="1"/>
  <c r="Z2436" i="1"/>
  <c r="Y2436" i="1"/>
  <c r="AA2435" i="1"/>
  <c r="Z2435" i="1"/>
  <c r="Y2435" i="1"/>
  <c r="AA2434" i="1"/>
  <c r="Z2434" i="1"/>
  <c r="Y2434" i="1"/>
  <c r="AA2433" i="1"/>
  <c r="Z2433" i="1"/>
  <c r="Y2433" i="1"/>
  <c r="AA2432" i="1"/>
  <c r="Z2432" i="1"/>
  <c r="Y2432" i="1"/>
  <c r="AA2431" i="1"/>
  <c r="Z2431" i="1"/>
  <c r="Y2431" i="1"/>
  <c r="AA2430" i="1"/>
  <c r="Z2430" i="1"/>
  <c r="Y2430" i="1"/>
  <c r="AA2429" i="1"/>
  <c r="Z2429" i="1"/>
  <c r="Y2429" i="1"/>
  <c r="AA2428" i="1"/>
  <c r="Z2428" i="1"/>
  <c r="Y2428" i="1"/>
  <c r="AA2427" i="1"/>
  <c r="Z2427" i="1"/>
  <c r="Y2427" i="1"/>
  <c r="AA2426" i="1"/>
  <c r="Z2426" i="1"/>
  <c r="Y2426" i="1"/>
  <c r="AA2425" i="1"/>
  <c r="Z2425" i="1"/>
  <c r="Y2425" i="1"/>
  <c r="AA2424" i="1"/>
  <c r="Z2424" i="1"/>
  <c r="Y2424" i="1"/>
  <c r="AA2423" i="1"/>
  <c r="Z2423" i="1"/>
  <c r="Y2423" i="1"/>
  <c r="AA2422" i="1"/>
  <c r="Z2422" i="1"/>
  <c r="Y2422" i="1"/>
  <c r="AA2421" i="1"/>
  <c r="Z2421" i="1"/>
  <c r="Y2421" i="1"/>
  <c r="AA2420" i="1"/>
  <c r="Z2420" i="1"/>
  <c r="Y2420" i="1"/>
  <c r="AA2419" i="1"/>
  <c r="Z2419" i="1"/>
  <c r="Y2419" i="1"/>
  <c r="AA2418" i="1"/>
  <c r="Z2418" i="1"/>
  <c r="Y2418" i="1"/>
  <c r="AA2417" i="1"/>
  <c r="Z2417" i="1"/>
  <c r="Y2417" i="1"/>
  <c r="AA2416" i="1"/>
  <c r="Z2416" i="1"/>
  <c r="Y2416" i="1"/>
  <c r="AA2415" i="1"/>
  <c r="Z2415" i="1"/>
  <c r="Y2415" i="1"/>
  <c r="AA2414" i="1"/>
  <c r="Z2414" i="1"/>
  <c r="Y2414" i="1"/>
  <c r="AA2413" i="1"/>
  <c r="Z2413" i="1"/>
  <c r="Y2413" i="1"/>
  <c r="AA2412" i="1"/>
  <c r="Z2412" i="1"/>
  <c r="Y2412" i="1"/>
  <c r="AA2411" i="1"/>
  <c r="Z2411" i="1"/>
  <c r="Y2411" i="1"/>
  <c r="AA2410" i="1"/>
  <c r="Z2410" i="1"/>
  <c r="Y2410" i="1"/>
  <c r="AA2409" i="1"/>
  <c r="Z2409" i="1"/>
  <c r="Y2409" i="1"/>
  <c r="AA2408" i="1"/>
  <c r="Z2408" i="1"/>
  <c r="Y2408" i="1"/>
  <c r="AA2407" i="1"/>
  <c r="Z2407" i="1"/>
  <c r="Y2407" i="1"/>
  <c r="AA2406" i="1"/>
  <c r="Z2406" i="1"/>
  <c r="Y2406" i="1"/>
  <c r="AA2405" i="1"/>
  <c r="Z2405" i="1"/>
  <c r="Y2405" i="1"/>
  <c r="AA2404" i="1"/>
  <c r="Z2404" i="1"/>
  <c r="Y2404" i="1"/>
  <c r="AA2403" i="1"/>
  <c r="Z2403" i="1"/>
  <c r="Y2403" i="1"/>
  <c r="AA2402" i="1"/>
  <c r="Z2402" i="1"/>
  <c r="Y2402" i="1"/>
  <c r="AA2401" i="1"/>
  <c r="Z2401" i="1"/>
  <c r="Y2401" i="1"/>
  <c r="AA2400" i="1"/>
  <c r="Z2400" i="1"/>
  <c r="Y2400" i="1"/>
  <c r="AA2399" i="1"/>
  <c r="Z2399" i="1"/>
  <c r="Y2399" i="1"/>
  <c r="AA2398" i="1"/>
  <c r="Z2398" i="1"/>
  <c r="Y2398" i="1"/>
  <c r="AA2397" i="1"/>
  <c r="Z2397" i="1"/>
  <c r="Y2397" i="1"/>
  <c r="AA2396" i="1"/>
  <c r="Z2396" i="1"/>
  <c r="Y2396" i="1"/>
  <c r="AA2395" i="1"/>
  <c r="Z2395" i="1"/>
  <c r="Y2395" i="1"/>
  <c r="AA2394" i="1"/>
  <c r="Z2394" i="1"/>
  <c r="Y2394" i="1"/>
  <c r="AA2393" i="1"/>
  <c r="Z2393" i="1"/>
  <c r="Y2393" i="1"/>
  <c r="AA2392" i="1"/>
  <c r="Z2392" i="1"/>
  <c r="Y2392" i="1"/>
  <c r="AA2391" i="1"/>
  <c r="Z2391" i="1"/>
  <c r="Y2391" i="1"/>
  <c r="AA2390" i="1"/>
  <c r="Z2390" i="1"/>
  <c r="Y2390" i="1"/>
  <c r="AA2389" i="1"/>
  <c r="Z2389" i="1"/>
  <c r="Y2389" i="1"/>
  <c r="AA2388" i="1"/>
  <c r="Z2388" i="1"/>
  <c r="Y2388" i="1"/>
  <c r="AA2387" i="1"/>
  <c r="Z2387" i="1"/>
  <c r="Y2387" i="1"/>
  <c r="AA2386" i="1"/>
  <c r="Z2386" i="1"/>
  <c r="Y2386" i="1"/>
  <c r="AA2385" i="1"/>
  <c r="Z2385" i="1"/>
  <c r="Y2385" i="1"/>
  <c r="AA2384" i="1"/>
  <c r="Z2384" i="1"/>
  <c r="Y2384" i="1"/>
  <c r="AA2383" i="1"/>
  <c r="Z2383" i="1"/>
  <c r="Y2383" i="1"/>
  <c r="AA2382" i="1"/>
  <c r="Z2382" i="1"/>
  <c r="Y2382" i="1"/>
  <c r="AA2381" i="1"/>
  <c r="Z2381" i="1"/>
  <c r="Y2381" i="1"/>
  <c r="AA2380" i="1"/>
  <c r="Z2380" i="1"/>
  <c r="Y2380" i="1"/>
  <c r="AA2379" i="1"/>
  <c r="Z2379" i="1"/>
  <c r="Y2379" i="1"/>
  <c r="AA2378" i="1"/>
  <c r="Z2378" i="1"/>
  <c r="Y2378" i="1"/>
  <c r="AA2377" i="1"/>
  <c r="Z2377" i="1"/>
  <c r="Y2377" i="1"/>
  <c r="AA2376" i="1"/>
  <c r="Z2376" i="1"/>
  <c r="Y2376" i="1"/>
  <c r="AA2375" i="1"/>
  <c r="Z2375" i="1"/>
  <c r="Y2375" i="1"/>
  <c r="AA2374" i="1"/>
  <c r="Z2374" i="1"/>
  <c r="Y2374" i="1"/>
  <c r="AA2373" i="1"/>
  <c r="Z2373" i="1"/>
  <c r="Y2373" i="1"/>
  <c r="AA2372" i="1"/>
  <c r="Z2372" i="1"/>
  <c r="Y2372" i="1"/>
  <c r="AA2371" i="1"/>
  <c r="Z2371" i="1"/>
  <c r="Y2371" i="1"/>
  <c r="AA2370" i="1"/>
  <c r="Z2370" i="1"/>
  <c r="Y2370" i="1"/>
  <c r="AA2369" i="1"/>
  <c r="Z2369" i="1"/>
  <c r="Y2369" i="1"/>
  <c r="AA2368" i="1"/>
  <c r="Z2368" i="1"/>
  <c r="Y2368" i="1"/>
  <c r="AA2367" i="1"/>
  <c r="Z2367" i="1"/>
  <c r="Y2367" i="1"/>
  <c r="AA2366" i="1"/>
  <c r="Z2366" i="1"/>
  <c r="Y2366" i="1"/>
  <c r="AA2365" i="1"/>
  <c r="Z2365" i="1"/>
  <c r="Y2365" i="1"/>
  <c r="AA2364" i="1"/>
  <c r="Z2364" i="1"/>
  <c r="Y2364" i="1"/>
  <c r="AA2363" i="1"/>
  <c r="Z2363" i="1"/>
  <c r="Y2363" i="1"/>
  <c r="AA2362" i="1"/>
  <c r="Z2362" i="1"/>
  <c r="Y2362" i="1"/>
  <c r="AA2361" i="1"/>
  <c r="Z2361" i="1"/>
  <c r="Y2361" i="1"/>
  <c r="AA2360" i="1"/>
  <c r="Z2360" i="1"/>
  <c r="Y2360" i="1"/>
  <c r="AA2359" i="1"/>
  <c r="Z2359" i="1"/>
  <c r="Y2359" i="1"/>
  <c r="AA2358" i="1"/>
  <c r="Z2358" i="1"/>
  <c r="Y2358" i="1"/>
  <c r="AA2357" i="1"/>
  <c r="Z2357" i="1"/>
  <c r="Y2357" i="1"/>
  <c r="AA2356" i="1"/>
  <c r="Z2356" i="1"/>
  <c r="Y2356" i="1"/>
  <c r="AA2355" i="1"/>
  <c r="Z2355" i="1"/>
  <c r="Y2355" i="1"/>
  <c r="AA2354" i="1"/>
  <c r="Z2354" i="1"/>
  <c r="Y2354" i="1"/>
  <c r="AA2353" i="1"/>
  <c r="Z2353" i="1"/>
  <c r="Y2353" i="1"/>
  <c r="AA2352" i="1"/>
  <c r="Z2352" i="1"/>
  <c r="Y2352" i="1"/>
  <c r="AA2351" i="1"/>
  <c r="Z2351" i="1"/>
  <c r="Y2351" i="1"/>
  <c r="AA2350" i="1"/>
  <c r="Z2350" i="1"/>
  <c r="Y2350" i="1"/>
  <c r="AA2349" i="1"/>
  <c r="Z2349" i="1"/>
  <c r="Y2349" i="1"/>
  <c r="AA2348" i="1"/>
  <c r="Z2348" i="1"/>
  <c r="Y2348" i="1"/>
  <c r="AA2347" i="1"/>
  <c r="Z2347" i="1"/>
  <c r="Y2347" i="1"/>
  <c r="AA2346" i="1"/>
  <c r="Z2346" i="1"/>
  <c r="Y2346" i="1"/>
  <c r="AA2345" i="1"/>
  <c r="Z2345" i="1"/>
  <c r="Y2345" i="1"/>
  <c r="AA2344" i="1"/>
  <c r="Z2344" i="1"/>
  <c r="Y2344" i="1"/>
  <c r="AA2343" i="1"/>
  <c r="Z2343" i="1"/>
  <c r="Y2343" i="1"/>
  <c r="AA2342" i="1"/>
  <c r="Z2342" i="1"/>
  <c r="Y2342" i="1"/>
  <c r="AA2341" i="1"/>
  <c r="Z2341" i="1"/>
  <c r="Y2341" i="1"/>
  <c r="AA2340" i="1"/>
  <c r="Z2340" i="1"/>
  <c r="Y2340" i="1"/>
  <c r="AA2339" i="1"/>
  <c r="Z2339" i="1"/>
  <c r="Y2339" i="1"/>
  <c r="AA2338" i="1"/>
  <c r="Z2338" i="1"/>
  <c r="Y2338" i="1"/>
  <c r="AA2337" i="1"/>
  <c r="Z2337" i="1"/>
  <c r="Y2337" i="1"/>
  <c r="AA2336" i="1"/>
  <c r="Z2336" i="1"/>
  <c r="Y2336" i="1"/>
  <c r="AA2335" i="1"/>
  <c r="Z2335" i="1"/>
  <c r="Y2335" i="1"/>
  <c r="AA2334" i="1"/>
  <c r="Z2334" i="1"/>
  <c r="Y2334" i="1"/>
  <c r="AA2333" i="1"/>
  <c r="Z2333" i="1"/>
  <c r="Y2333" i="1"/>
  <c r="AA2332" i="1"/>
  <c r="Z2332" i="1"/>
  <c r="Y2332" i="1"/>
  <c r="AA2331" i="1"/>
  <c r="Z2331" i="1"/>
  <c r="Y2331" i="1"/>
  <c r="AA2330" i="1"/>
  <c r="Z2330" i="1"/>
  <c r="Y2330" i="1"/>
  <c r="AA2329" i="1"/>
  <c r="Z2329" i="1"/>
  <c r="Y2329" i="1"/>
  <c r="AA2328" i="1"/>
  <c r="Z2328" i="1"/>
  <c r="Y2328" i="1"/>
  <c r="AA2327" i="1"/>
  <c r="Z2327" i="1"/>
  <c r="Y2327" i="1"/>
  <c r="AA2326" i="1"/>
  <c r="Z2326" i="1"/>
  <c r="Y2326" i="1"/>
  <c r="AA2325" i="1"/>
  <c r="Z2325" i="1"/>
  <c r="Y2325" i="1"/>
  <c r="AA2324" i="1"/>
  <c r="Z2324" i="1"/>
  <c r="Y2324" i="1"/>
  <c r="AA2323" i="1"/>
  <c r="Z2323" i="1"/>
  <c r="Y2323" i="1"/>
  <c r="AA2322" i="1"/>
  <c r="Z2322" i="1"/>
  <c r="Y2322" i="1"/>
  <c r="AA2321" i="1"/>
  <c r="Z2321" i="1"/>
  <c r="Y2321" i="1"/>
  <c r="AA2320" i="1"/>
  <c r="Z2320" i="1"/>
  <c r="Y2320" i="1"/>
  <c r="AA2319" i="1"/>
  <c r="Z2319" i="1"/>
  <c r="Y2319" i="1"/>
  <c r="AA2318" i="1"/>
  <c r="Z2318" i="1"/>
  <c r="Y2318" i="1"/>
  <c r="AA2317" i="1"/>
  <c r="Z2317" i="1"/>
  <c r="Y2317" i="1"/>
  <c r="AA2316" i="1"/>
  <c r="Z2316" i="1"/>
  <c r="Y2316" i="1"/>
  <c r="AA2315" i="1"/>
  <c r="Z2315" i="1"/>
  <c r="Y2315" i="1"/>
  <c r="AA2314" i="1"/>
  <c r="Z2314" i="1"/>
  <c r="Y2314" i="1"/>
  <c r="AA2313" i="1"/>
  <c r="Z2313" i="1"/>
  <c r="Y2313" i="1"/>
  <c r="AA2312" i="1"/>
  <c r="Z2312" i="1"/>
  <c r="Y2312" i="1"/>
  <c r="AA2311" i="1"/>
  <c r="Z2311" i="1"/>
  <c r="Y2311" i="1"/>
  <c r="AA2310" i="1"/>
  <c r="Z2310" i="1"/>
  <c r="Y2310" i="1"/>
  <c r="AA2309" i="1"/>
  <c r="Z2309" i="1"/>
  <c r="Y2309" i="1"/>
  <c r="AA2308" i="1"/>
  <c r="Z2308" i="1"/>
  <c r="Y2308" i="1"/>
  <c r="AA2307" i="1"/>
  <c r="Z2307" i="1"/>
  <c r="Y2307" i="1"/>
  <c r="AA2306" i="1"/>
  <c r="Z2306" i="1"/>
  <c r="Y2306" i="1"/>
  <c r="AA2305" i="1"/>
  <c r="Z2305" i="1"/>
  <c r="Y2305" i="1"/>
  <c r="AA2304" i="1"/>
  <c r="Z2304" i="1"/>
  <c r="Y2304" i="1"/>
  <c r="AA2303" i="1"/>
  <c r="Z2303" i="1"/>
  <c r="Y2303" i="1"/>
  <c r="AA2302" i="1"/>
  <c r="Z2302" i="1"/>
  <c r="Y2302" i="1"/>
  <c r="AA2301" i="1"/>
  <c r="Z2301" i="1"/>
  <c r="Y2301" i="1"/>
  <c r="AA2300" i="1"/>
  <c r="Z2300" i="1"/>
  <c r="Y2300" i="1"/>
  <c r="AA2299" i="1"/>
  <c r="Z2299" i="1"/>
  <c r="Y2299" i="1"/>
  <c r="AA2298" i="1"/>
  <c r="Z2298" i="1"/>
  <c r="Y2298" i="1"/>
  <c r="AA2297" i="1"/>
  <c r="Z2297" i="1"/>
  <c r="Y2297" i="1"/>
  <c r="AA2296" i="1"/>
  <c r="Z2296" i="1"/>
  <c r="Y2296" i="1"/>
  <c r="AA2295" i="1"/>
  <c r="Z2295" i="1"/>
  <c r="Y2295" i="1"/>
  <c r="AA2294" i="1"/>
  <c r="Z2294" i="1"/>
  <c r="Y2294" i="1"/>
  <c r="AA2293" i="1"/>
  <c r="Z2293" i="1"/>
  <c r="Y2293" i="1"/>
  <c r="AA2292" i="1"/>
  <c r="Z2292" i="1"/>
  <c r="Y2292" i="1"/>
  <c r="AA2291" i="1"/>
  <c r="Z2291" i="1"/>
  <c r="Y2291" i="1"/>
  <c r="AA2290" i="1"/>
  <c r="Z2290" i="1"/>
  <c r="Y2290" i="1"/>
  <c r="AA2289" i="1"/>
  <c r="Z2289" i="1"/>
  <c r="Y2289" i="1"/>
  <c r="AA2288" i="1"/>
  <c r="Z2288" i="1"/>
  <c r="Y2288" i="1"/>
  <c r="AA2287" i="1"/>
  <c r="Z2287" i="1"/>
  <c r="Y2287" i="1"/>
  <c r="AA2286" i="1"/>
  <c r="Z2286" i="1"/>
  <c r="Y2286" i="1"/>
  <c r="AA2285" i="1"/>
  <c r="Z2285" i="1"/>
  <c r="Y2285" i="1"/>
  <c r="AA2284" i="1"/>
  <c r="Z2284" i="1"/>
  <c r="Y2284" i="1"/>
  <c r="AA2283" i="1"/>
  <c r="Z2283" i="1"/>
  <c r="Y2283" i="1"/>
  <c r="AA2282" i="1"/>
  <c r="Z2282" i="1"/>
  <c r="Y2282" i="1"/>
  <c r="AA2281" i="1"/>
  <c r="Z2281" i="1"/>
  <c r="Y2281" i="1"/>
  <c r="AA2280" i="1"/>
  <c r="Z2280" i="1"/>
  <c r="Y2280" i="1"/>
  <c r="AA2279" i="1"/>
  <c r="Z2279" i="1"/>
  <c r="Y2279" i="1"/>
  <c r="AA2278" i="1"/>
  <c r="Z2278" i="1"/>
  <c r="Y2278" i="1"/>
  <c r="AA2277" i="1"/>
  <c r="Z2277" i="1"/>
  <c r="Y2277" i="1"/>
  <c r="AA2276" i="1"/>
  <c r="Z2276" i="1"/>
  <c r="Y2276" i="1"/>
  <c r="AA2275" i="1"/>
  <c r="Z2275" i="1"/>
  <c r="Y2275" i="1"/>
  <c r="AA2274" i="1"/>
  <c r="Z2274" i="1"/>
  <c r="Y2274" i="1"/>
  <c r="AA2273" i="1"/>
  <c r="Z2273" i="1"/>
  <c r="Y2273" i="1"/>
  <c r="AA2272" i="1"/>
  <c r="Z2272" i="1"/>
  <c r="Y2272" i="1"/>
  <c r="AA2271" i="1"/>
  <c r="Z2271" i="1"/>
  <c r="Y2271" i="1"/>
  <c r="AA2270" i="1"/>
  <c r="Z2270" i="1"/>
  <c r="Y2270" i="1"/>
  <c r="AA2269" i="1"/>
  <c r="Z2269" i="1"/>
  <c r="Y2269" i="1"/>
  <c r="AA2268" i="1"/>
  <c r="Z2268" i="1"/>
  <c r="Y2268" i="1"/>
  <c r="AA2267" i="1"/>
  <c r="Z2267" i="1"/>
  <c r="Y2267" i="1"/>
  <c r="AA2266" i="1"/>
  <c r="Z2266" i="1"/>
  <c r="Y2266" i="1"/>
  <c r="AA2265" i="1"/>
  <c r="Z2265" i="1"/>
  <c r="Y2265" i="1"/>
  <c r="AA2264" i="1"/>
  <c r="Z2264" i="1"/>
  <c r="Y2264" i="1"/>
  <c r="AA2263" i="1"/>
  <c r="Z2263" i="1"/>
  <c r="Y2263" i="1"/>
  <c r="AA2262" i="1"/>
  <c r="Z2262" i="1"/>
  <c r="Y2262" i="1"/>
  <c r="AA2261" i="1"/>
  <c r="Z2261" i="1"/>
  <c r="Y2261" i="1"/>
  <c r="AA2260" i="1"/>
  <c r="Z2260" i="1"/>
  <c r="Y2260" i="1"/>
  <c r="AA2259" i="1"/>
  <c r="Z2259" i="1"/>
  <c r="Y2259" i="1"/>
  <c r="AA2258" i="1"/>
  <c r="Z2258" i="1"/>
  <c r="Y2258" i="1"/>
  <c r="AA2257" i="1"/>
  <c r="Z2257" i="1"/>
  <c r="Y2257" i="1"/>
  <c r="AA2256" i="1"/>
  <c r="Z2256" i="1"/>
  <c r="Y2256" i="1"/>
  <c r="AA2255" i="1"/>
  <c r="Z2255" i="1"/>
  <c r="Y2255" i="1"/>
  <c r="AA2254" i="1"/>
  <c r="Z2254" i="1"/>
  <c r="Y2254" i="1"/>
  <c r="AA2253" i="1"/>
  <c r="Z2253" i="1"/>
  <c r="Y2253" i="1"/>
  <c r="AA2252" i="1"/>
  <c r="Z2252" i="1"/>
  <c r="Y2252" i="1"/>
  <c r="AA2251" i="1"/>
  <c r="Z2251" i="1"/>
  <c r="Y2251" i="1"/>
  <c r="AA2250" i="1"/>
  <c r="Z2250" i="1"/>
  <c r="Y2250" i="1"/>
  <c r="AA2249" i="1"/>
  <c r="Z2249" i="1"/>
  <c r="Y2249" i="1"/>
  <c r="AA2248" i="1"/>
  <c r="Z2248" i="1"/>
  <c r="Y2248" i="1"/>
  <c r="AA2247" i="1"/>
  <c r="Z2247" i="1"/>
  <c r="Y2247" i="1"/>
  <c r="AA2246" i="1"/>
  <c r="Z2246" i="1"/>
  <c r="Y2246" i="1"/>
  <c r="AA2245" i="1"/>
  <c r="Z2245" i="1"/>
  <c r="Y2245" i="1"/>
  <c r="AA2244" i="1"/>
  <c r="Z2244" i="1"/>
  <c r="Y2244" i="1"/>
  <c r="AA2243" i="1"/>
  <c r="Z2243" i="1"/>
  <c r="Y2243" i="1"/>
  <c r="AA2242" i="1"/>
  <c r="Z2242" i="1"/>
  <c r="Y2242" i="1"/>
  <c r="AA2241" i="1"/>
  <c r="Z2241" i="1"/>
  <c r="Y2241" i="1"/>
  <c r="AA2240" i="1"/>
  <c r="Z2240" i="1"/>
  <c r="Y2240" i="1"/>
  <c r="AA2239" i="1"/>
  <c r="Z2239" i="1"/>
  <c r="Y2239" i="1"/>
  <c r="AA2238" i="1"/>
  <c r="Z2238" i="1"/>
  <c r="Y2238" i="1"/>
  <c r="AA2237" i="1"/>
  <c r="Z2237" i="1"/>
  <c r="Y2237" i="1"/>
  <c r="AA2236" i="1"/>
  <c r="Z2236" i="1"/>
  <c r="Y2236" i="1"/>
  <c r="AA2235" i="1"/>
  <c r="Z2235" i="1"/>
  <c r="Y2235" i="1"/>
  <c r="AA2234" i="1"/>
  <c r="Z2234" i="1"/>
  <c r="Y2234" i="1"/>
  <c r="AA2233" i="1"/>
  <c r="Z2233" i="1"/>
  <c r="Y2233" i="1"/>
  <c r="AA2232" i="1"/>
  <c r="Z2232" i="1"/>
  <c r="Y2232" i="1"/>
  <c r="AA2231" i="1"/>
  <c r="Z2231" i="1"/>
  <c r="Y2231" i="1"/>
  <c r="AA2230" i="1"/>
  <c r="Z2230" i="1"/>
  <c r="Y2230" i="1"/>
  <c r="AA2229" i="1"/>
  <c r="Z2229" i="1"/>
  <c r="Y2229" i="1"/>
  <c r="AA2228" i="1"/>
  <c r="Z2228" i="1"/>
  <c r="Y2228" i="1"/>
  <c r="AA2227" i="1"/>
  <c r="Z2227" i="1"/>
  <c r="Y2227" i="1"/>
  <c r="AA2226" i="1"/>
  <c r="Z2226" i="1"/>
  <c r="Y2226" i="1"/>
  <c r="AA2225" i="1"/>
  <c r="Z2225" i="1"/>
  <c r="Y2225" i="1"/>
  <c r="AA2224" i="1"/>
  <c r="Z2224" i="1"/>
  <c r="Y2224" i="1"/>
  <c r="AA2223" i="1"/>
  <c r="Z2223" i="1"/>
  <c r="Y2223" i="1"/>
  <c r="AA2222" i="1"/>
  <c r="Z2222" i="1"/>
  <c r="Y2222" i="1"/>
  <c r="AA2221" i="1"/>
  <c r="Z2221" i="1"/>
  <c r="Y2221" i="1"/>
  <c r="AA2220" i="1"/>
  <c r="Z2220" i="1"/>
  <c r="Y2220" i="1"/>
  <c r="AA2219" i="1"/>
  <c r="Z2219" i="1"/>
  <c r="Y2219" i="1"/>
  <c r="AA2218" i="1"/>
  <c r="Z2218" i="1"/>
  <c r="Y2218" i="1"/>
  <c r="AA2217" i="1"/>
  <c r="Z2217" i="1"/>
  <c r="Y2217" i="1"/>
  <c r="AA2216" i="1"/>
  <c r="Z2216" i="1"/>
  <c r="Y2216" i="1"/>
  <c r="AA2215" i="1"/>
  <c r="Z2215" i="1"/>
  <c r="Y2215" i="1"/>
  <c r="AA2214" i="1"/>
  <c r="Z2214" i="1"/>
  <c r="Y2214" i="1"/>
  <c r="AA2213" i="1"/>
  <c r="Z2213" i="1"/>
  <c r="Y2213" i="1"/>
  <c r="AA2212" i="1"/>
  <c r="Z2212" i="1"/>
  <c r="Y2212" i="1"/>
  <c r="AA2211" i="1"/>
  <c r="Z2211" i="1"/>
  <c r="Y2211" i="1"/>
  <c r="AA2210" i="1"/>
  <c r="Z2210" i="1"/>
  <c r="Y2210" i="1"/>
  <c r="AA2209" i="1"/>
  <c r="Z2209" i="1"/>
  <c r="Y2209" i="1"/>
  <c r="AA2208" i="1"/>
  <c r="Z2208" i="1"/>
  <c r="Y2208" i="1"/>
  <c r="AA2207" i="1"/>
  <c r="Z2207" i="1"/>
  <c r="Y2207" i="1"/>
  <c r="AA2206" i="1"/>
  <c r="Z2206" i="1"/>
  <c r="Y2206" i="1"/>
  <c r="AA2205" i="1"/>
  <c r="Z2205" i="1"/>
  <c r="Y2205" i="1"/>
  <c r="AA2204" i="1"/>
  <c r="Z2204" i="1"/>
  <c r="Y2204" i="1"/>
  <c r="AA2203" i="1"/>
  <c r="Z2203" i="1"/>
  <c r="Y2203" i="1"/>
  <c r="AA2202" i="1"/>
  <c r="Z2202" i="1"/>
  <c r="Y2202" i="1"/>
  <c r="AA2201" i="1"/>
  <c r="Z2201" i="1"/>
  <c r="Y2201" i="1"/>
  <c r="AA2200" i="1"/>
  <c r="Z2200" i="1"/>
  <c r="Y2200" i="1"/>
  <c r="AA2199" i="1"/>
  <c r="Z2199" i="1"/>
  <c r="Y2199" i="1"/>
  <c r="AA2198" i="1"/>
  <c r="Z2198" i="1"/>
  <c r="Y2198" i="1"/>
  <c r="AA2197" i="1"/>
  <c r="Z2197" i="1"/>
  <c r="Y2197" i="1"/>
  <c r="AA2196" i="1"/>
  <c r="Z2196" i="1"/>
  <c r="Y2196" i="1"/>
  <c r="AA2195" i="1"/>
  <c r="Z2195" i="1"/>
  <c r="Y2195" i="1"/>
  <c r="AA2194" i="1"/>
  <c r="Z2194" i="1"/>
  <c r="Y2194" i="1"/>
  <c r="AA2193" i="1"/>
  <c r="Z2193" i="1"/>
  <c r="Y2193" i="1"/>
  <c r="AA2192" i="1"/>
  <c r="Z2192" i="1"/>
  <c r="Y2192" i="1"/>
  <c r="AA2191" i="1"/>
  <c r="Z2191" i="1"/>
  <c r="Y2191" i="1"/>
  <c r="AA2190" i="1"/>
  <c r="Z2190" i="1"/>
  <c r="Y2190" i="1"/>
  <c r="AA2189" i="1"/>
  <c r="Z2189" i="1"/>
  <c r="Y2189" i="1"/>
  <c r="AA2188" i="1"/>
  <c r="Z2188" i="1"/>
  <c r="Y2188" i="1"/>
  <c r="AA2187" i="1"/>
  <c r="Z2187" i="1"/>
  <c r="Y2187" i="1"/>
  <c r="AA2186" i="1"/>
  <c r="Z2186" i="1"/>
  <c r="Y2186" i="1"/>
  <c r="AA2185" i="1"/>
  <c r="Z2185" i="1"/>
  <c r="Y2185" i="1"/>
  <c r="AA2184" i="1"/>
  <c r="Z2184" i="1"/>
  <c r="Y2184" i="1"/>
  <c r="AA2183" i="1"/>
  <c r="Z2183" i="1"/>
  <c r="Y2183" i="1"/>
  <c r="AA2182" i="1"/>
  <c r="Z2182" i="1"/>
  <c r="Y2182" i="1"/>
  <c r="AA2181" i="1"/>
  <c r="Z2181" i="1"/>
  <c r="Y2181" i="1"/>
  <c r="AA2180" i="1"/>
  <c r="Z2180" i="1"/>
  <c r="Y2180" i="1"/>
  <c r="AA2179" i="1"/>
  <c r="Z2179" i="1"/>
  <c r="Y2179" i="1"/>
  <c r="AA2178" i="1"/>
  <c r="Z2178" i="1"/>
  <c r="Y2178" i="1"/>
  <c r="AA2177" i="1"/>
  <c r="Z2177" i="1"/>
  <c r="Y2177" i="1"/>
  <c r="AA2176" i="1"/>
  <c r="Z2176" i="1"/>
  <c r="Y2176" i="1"/>
  <c r="AA2175" i="1"/>
  <c r="Z2175" i="1"/>
  <c r="Y2175" i="1"/>
  <c r="AA2174" i="1"/>
  <c r="Z2174" i="1"/>
  <c r="Y2174" i="1"/>
  <c r="AA2173" i="1"/>
  <c r="Z2173" i="1"/>
  <c r="Y2173" i="1"/>
  <c r="AA2172" i="1"/>
  <c r="Z2172" i="1"/>
  <c r="Y2172" i="1"/>
  <c r="AA2171" i="1"/>
  <c r="Z2171" i="1"/>
  <c r="Y2171" i="1"/>
  <c r="AA2170" i="1"/>
  <c r="Z2170" i="1"/>
  <c r="Y2170" i="1"/>
  <c r="AA2169" i="1"/>
  <c r="Z2169" i="1"/>
  <c r="Y2169" i="1"/>
  <c r="AA2168" i="1"/>
  <c r="Z2168" i="1"/>
  <c r="Y2168" i="1"/>
  <c r="AA2167" i="1"/>
  <c r="Z2167" i="1"/>
  <c r="Y2167" i="1"/>
  <c r="AA2166" i="1"/>
  <c r="Z2166" i="1"/>
  <c r="Y2166" i="1"/>
  <c r="AA2165" i="1"/>
  <c r="Z2165" i="1"/>
  <c r="Y2165" i="1"/>
  <c r="AA2164" i="1"/>
  <c r="Z2164" i="1"/>
  <c r="Y2164" i="1"/>
  <c r="AA2163" i="1"/>
  <c r="Z2163" i="1"/>
  <c r="Y2163" i="1"/>
  <c r="AA2162" i="1"/>
  <c r="Z2162" i="1"/>
  <c r="Y2162" i="1"/>
  <c r="AA2161" i="1"/>
  <c r="Z2161" i="1"/>
  <c r="Y2161" i="1"/>
  <c r="AA2160" i="1"/>
  <c r="Z2160" i="1"/>
  <c r="Y2160" i="1"/>
  <c r="AA2159" i="1"/>
  <c r="Z2159" i="1"/>
  <c r="Y2159" i="1"/>
  <c r="AA2158" i="1"/>
  <c r="Z2158" i="1"/>
  <c r="Y2158" i="1"/>
  <c r="AA2157" i="1"/>
  <c r="Z2157" i="1"/>
  <c r="Y2157" i="1"/>
  <c r="AA2156" i="1"/>
  <c r="Z2156" i="1"/>
  <c r="Y2156" i="1"/>
  <c r="AA2155" i="1"/>
  <c r="Z2155" i="1"/>
  <c r="Y2155" i="1"/>
  <c r="AA2154" i="1"/>
  <c r="Z2154" i="1"/>
  <c r="Y2154" i="1"/>
  <c r="AA2153" i="1"/>
  <c r="Z2153" i="1"/>
  <c r="Y2153" i="1"/>
  <c r="AA2152" i="1"/>
  <c r="Z2152" i="1"/>
  <c r="Y2152" i="1"/>
  <c r="AA2151" i="1"/>
  <c r="Z2151" i="1"/>
  <c r="Y2151" i="1"/>
  <c r="AA2150" i="1"/>
  <c r="Z2150" i="1"/>
  <c r="Y2150" i="1"/>
  <c r="AA2149" i="1"/>
  <c r="Z2149" i="1"/>
  <c r="Y2149" i="1"/>
  <c r="AA2148" i="1"/>
  <c r="Z2148" i="1"/>
  <c r="Y2148" i="1"/>
  <c r="AA2147" i="1"/>
  <c r="Z2147" i="1"/>
  <c r="Y2147" i="1"/>
  <c r="AA2146" i="1"/>
  <c r="Z2146" i="1"/>
  <c r="Y2146" i="1"/>
  <c r="AA2145" i="1"/>
  <c r="Z2145" i="1"/>
  <c r="Y2145" i="1"/>
  <c r="AA2144" i="1"/>
  <c r="Z2144" i="1"/>
  <c r="Y2144" i="1"/>
  <c r="AA2143" i="1"/>
  <c r="Z2143" i="1"/>
  <c r="Y2143" i="1"/>
  <c r="AA2142" i="1"/>
  <c r="Z2142" i="1"/>
  <c r="Y2142" i="1"/>
  <c r="AA2141" i="1"/>
  <c r="Z2141" i="1"/>
  <c r="Y2141" i="1"/>
  <c r="AA2140" i="1"/>
  <c r="Z2140" i="1"/>
  <c r="Y2140" i="1"/>
  <c r="AA2139" i="1"/>
  <c r="Z2139" i="1"/>
  <c r="Y2139" i="1"/>
  <c r="AA2138" i="1"/>
  <c r="Z2138" i="1"/>
  <c r="Y2138" i="1"/>
  <c r="AA2137" i="1"/>
  <c r="Z2137" i="1"/>
  <c r="Y2137" i="1"/>
  <c r="AA2136" i="1"/>
  <c r="Z2136" i="1"/>
  <c r="Y2136" i="1"/>
  <c r="AA2135" i="1"/>
  <c r="Z2135" i="1"/>
  <c r="Y2135" i="1"/>
  <c r="AA2134" i="1"/>
  <c r="Z2134" i="1"/>
  <c r="Y2134" i="1"/>
  <c r="AA2133" i="1"/>
  <c r="Z2133" i="1"/>
  <c r="Y2133" i="1"/>
  <c r="AA2132" i="1"/>
  <c r="Z2132" i="1"/>
  <c r="Y2132" i="1"/>
  <c r="AA2131" i="1"/>
  <c r="Z2131" i="1"/>
  <c r="Y2131" i="1"/>
  <c r="AA2130" i="1"/>
  <c r="Z2130" i="1"/>
  <c r="Y2130" i="1"/>
  <c r="AA2129" i="1"/>
  <c r="Z2129" i="1"/>
  <c r="Y2129" i="1"/>
  <c r="AA2128" i="1"/>
  <c r="Z2128" i="1"/>
  <c r="Y2128" i="1"/>
  <c r="AA2127" i="1"/>
  <c r="Z2127" i="1"/>
  <c r="Y2127" i="1"/>
  <c r="AA2126" i="1"/>
  <c r="Z2126" i="1"/>
  <c r="Y2126" i="1"/>
  <c r="AA2125" i="1"/>
  <c r="Z2125" i="1"/>
  <c r="Y2125" i="1"/>
  <c r="AA2124" i="1"/>
  <c r="Z2124" i="1"/>
  <c r="Y2124" i="1"/>
  <c r="AA2123" i="1"/>
  <c r="Z2123" i="1"/>
  <c r="Y2123" i="1"/>
  <c r="AA2122" i="1"/>
  <c r="Z2122" i="1"/>
  <c r="Y2122" i="1"/>
  <c r="AA2121" i="1"/>
  <c r="Z2121" i="1"/>
  <c r="Y2121" i="1"/>
  <c r="AA2120" i="1"/>
  <c r="Z2120" i="1"/>
  <c r="Y2120" i="1"/>
  <c r="AA2119" i="1"/>
  <c r="Z2119" i="1"/>
  <c r="Y2119" i="1"/>
  <c r="AA2118" i="1"/>
  <c r="Z2118" i="1"/>
  <c r="Y2118" i="1"/>
  <c r="AA2117" i="1"/>
  <c r="Z2117" i="1"/>
  <c r="Y2117" i="1"/>
  <c r="AA2116" i="1"/>
  <c r="Z2116" i="1"/>
  <c r="Y2116" i="1"/>
  <c r="AA2115" i="1"/>
  <c r="Z2115" i="1"/>
  <c r="Y2115" i="1"/>
  <c r="AA2114" i="1"/>
  <c r="Z2114" i="1"/>
  <c r="Y2114" i="1"/>
  <c r="AA2113" i="1"/>
  <c r="Z2113" i="1"/>
  <c r="Y2113" i="1"/>
  <c r="AA2112" i="1"/>
  <c r="Z2112" i="1"/>
  <c r="Y2112" i="1"/>
  <c r="AA2111" i="1"/>
  <c r="Z2111" i="1"/>
  <c r="Y2111" i="1"/>
  <c r="AA2110" i="1"/>
  <c r="Z2110" i="1"/>
  <c r="Y2110" i="1"/>
  <c r="AA2109" i="1"/>
  <c r="Z2109" i="1"/>
  <c r="Y2109" i="1"/>
  <c r="AA2108" i="1"/>
  <c r="Z2108" i="1"/>
  <c r="Y2108" i="1"/>
  <c r="AA2107" i="1"/>
  <c r="Z2107" i="1"/>
  <c r="Y2107" i="1"/>
  <c r="AA2106" i="1"/>
  <c r="Z2106" i="1"/>
  <c r="Y2106" i="1"/>
  <c r="AA2105" i="1"/>
  <c r="Z2105" i="1"/>
  <c r="Y2105" i="1"/>
  <c r="AA2104" i="1"/>
  <c r="Z2104" i="1"/>
  <c r="Y2104" i="1"/>
  <c r="AA2103" i="1"/>
  <c r="Z2103" i="1"/>
  <c r="Y2103" i="1"/>
  <c r="AA2102" i="1"/>
  <c r="Z2102" i="1"/>
  <c r="Y2102" i="1"/>
  <c r="AA2101" i="1"/>
  <c r="Z2101" i="1"/>
  <c r="Y2101" i="1"/>
  <c r="AA2100" i="1"/>
  <c r="Z2100" i="1"/>
  <c r="Y2100" i="1"/>
  <c r="AA2099" i="1"/>
  <c r="Z2099" i="1"/>
  <c r="Y2099" i="1"/>
  <c r="AA2098" i="1"/>
  <c r="Z2098" i="1"/>
  <c r="Y2098" i="1"/>
  <c r="AA2097" i="1"/>
  <c r="Z2097" i="1"/>
  <c r="Y2097" i="1"/>
  <c r="AA2096" i="1"/>
  <c r="Z2096" i="1"/>
  <c r="Y2096" i="1"/>
  <c r="AA2095" i="1"/>
  <c r="Z2095" i="1"/>
  <c r="Y2095" i="1"/>
  <c r="AA2094" i="1"/>
  <c r="Z2094" i="1"/>
  <c r="Y2094" i="1"/>
  <c r="AA2093" i="1"/>
  <c r="Z2093" i="1"/>
  <c r="Y2093" i="1"/>
  <c r="AA2092" i="1"/>
  <c r="Z2092" i="1"/>
  <c r="Y2092" i="1"/>
  <c r="AA2091" i="1"/>
  <c r="Z2091" i="1"/>
  <c r="Y2091" i="1"/>
  <c r="AA2090" i="1"/>
  <c r="Z2090" i="1"/>
  <c r="Y2090" i="1"/>
  <c r="AA2089" i="1"/>
  <c r="Z2089" i="1"/>
  <c r="Y2089" i="1"/>
  <c r="AA2088" i="1"/>
  <c r="Z2088" i="1"/>
  <c r="Y2088" i="1"/>
  <c r="AA2087" i="1"/>
  <c r="Z2087" i="1"/>
  <c r="Y2087" i="1"/>
  <c r="AA2086" i="1"/>
  <c r="Z2086" i="1"/>
  <c r="Y2086" i="1"/>
  <c r="AA2085" i="1"/>
  <c r="Z2085" i="1"/>
  <c r="Y2085" i="1"/>
  <c r="AA2084" i="1"/>
  <c r="Z2084" i="1"/>
  <c r="Y2084" i="1"/>
  <c r="AA2083" i="1"/>
  <c r="Z2083" i="1"/>
  <c r="Y2083" i="1"/>
  <c r="AA2082" i="1"/>
  <c r="Z2082" i="1"/>
  <c r="Y2082" i="1"/>
  <c r="AA2081" i="1"/>
  <c r="Z2081" i="1"/>
  <c r="Y2081" i="1"/>
  <c r="AA2080" i="1"/>
  <c r="Z2080" i="1"/>
  <c r="Y2080" i="1"/>
  <c r="AA2079" i="1"/>
  <c r="Z2079" i="1"/>
  <c r="Y2079" i="1"/>
  <c r="AA2078" i="1"/>
  <c r="Z2078" i="1"/>
  <c r="Y2078" i="1"/>
  <c r="AA2077" i="1"/>
  <c r="Z2077" i="1"/>
  <c r="Y2077" i="1"/>
  <c r="AA2076" i="1"/>
  <c r="Z2076" i="1"/>
  <c r="Y2076" i="1"/>
  <c r="AA2075" i="1"/>
  <c r="Z2075" i="1"/>
  <c r="Y2075" i="1"/>
  <c r="AA2074" i="1"/>
  <c r="Z2074" i="1"/>
  <c r="Y2074" i="1"/>
  <c r="AA2073" i="1"/>
  <c r="Z2073" i="1"/>
  <c r="Y2073" i="1"/>
  <c r="AA2072" i="1"/>
  <c r="Z2072" i="1"/>
  <c r="Y2072" i="1"/>
  <c r="AA2071" i="1"/>
  <c r="Z2071" i="1"/>
  <c r="Y2071" i="1"/>
  <c r="AA2070" i="1"/>
  <c r="Z2070" i="1"/>
  <c r="Y2070" i="1"/>
  <c r="AA2069" i="1"/>
  <c r="Z2069" i="1"/>
  <c r="Y2069" i="1"/>
  <c r="AA2068" i="1"/>
  <c r="Z2068" i="1"/>
  <c r="Y2068" i="1"/>
  <c r="AA2067" i="1"/>
  <c r="Z2067" i="1"/>
  <c r="Y2067" i="1"/>
  <c r="AA2066" i="1"/>
  <c r="Z2066" i="1"/>
  <c r="Y2066" i="1"/>
  <c r="AA2065" i="1"/>
  <c r="Z2065" i="1"/>
  <c r="Y2065" i="1"/>
  <c r="AA2064" i="1"/>
  <c r="Z2064" i="1"/>
  <c r="Y2064" i="1"/>
  <c r="AA2063" i="1"/>
  <c r="Z2063" i="1"/>
  <c r="Y2063" i="1"/>
  <c r="AA2062" i="1"/>
  <c r="Z2062" i="1"/>
  <c r="Y2062" i="1"/>
  <c r="AA2061" i="1"/>
  <c r="Z2061" i="1"/>
  <c r="Y2061" i="1"/>
  <c r="AA2060" i="1"/>
  <c r="Z2060" i="1"/>
  <c r="Y2060" i="1"/>
  <c r="AA2059" i="1"/>
  <c r="Z2059" i="1"/>
  <c r="Y2059" i="1"/>
  <c r="AA2058" i="1"/>
  <c r="Z2058" i="1"/>
  <c r="Y2058" i="1"/>
  <c r="AA2057" i="1"/>
  <c r="Z2057" i="1"/>
  <c r="Y2057" i="1"/>
  <c r="AA2056" i="1"/>
  <c r="Z2056" i="1"/>
  <c r="Y2056" i="1"/>
  <c r="AA2055" i="1"/>
  <c r="Z2055" i="1"/>
  <c r="Y2055" i="1"/>
  <c r="AA2054" i="1"/>
  <c r="Z2054" i="1"/>
  <c r="Y2054" i="1"/>
  <c r="AA2053" i="1"/>
  <c r="Z2053" i="1"/>
  <c r="Y2053" i="1"/>
  <c r="AA2052" i="1"/>
  <c r="Z2052" i="1"/>
  <c r="Y2052" i="1"/>
  <c r="AA2051" i="1"/>
  <c r="Z2051" i="1"/>
  <c r="Y2051" i="1"/>
  <c r="AA2050" i="1"/>
  <c r="Z2050" i="1"/>
  <c r="Y2050" i="1"/>
  <c r="AA2049" i="1"/>
  <c r="Z2049" i="1"/>
  <c r="Y2049" i="1"/>
  <c r="AA2048" i="1"/>
  <c r="Z2048" i="1"/>
  <c r="Y2048" i="1"/>
  <c r="AA2047" i="1"/>
  <c r="Z2047" i="1"/>
  <c r="Y2047" i="1"/>
  <c r="AA2046" i="1"/>
  <c r="Z2046" i="1"/>
  <c r="Y2046" i="1"/>
  <c r="AA2045" i="1"/>
  <c r="Z2045" i="1"/>
  <c r="Y2045" i="1"/>
  <c r="AA2044" i="1"/>
  <c r="Z2044" i="1"/>
  <c r="Y2044" i="1"/>
  <c r="AA2043" i="1"/>
  <c r="Z2043" i="1"/>
  <c r="Y2043" i="1"/>
  <c r="AA2042" i="1"/>
  <c r="Z2042" i="1"/>
  <c r="Y2042" i="1"/>
  <c r="AA2041" i="1"/>
  <c r="Z2041" i="1"/>
  <c r="Y2041" i="1"/>
  <c r="AA2040" i="1"/>
  <c r="Z2040" i="1"/>
  <c r="Y2040" i="1"/>
  <c r="AA2039" i="1"/>
  <c r="Z2039" i="1"/>
  <c r="Y2039" i="1"/>
  <c r="AA2038" i="1"/>
  <c r="Z2038" i="1"/>
  <c r="Y2038" i="1"/>
  <c r="AA2037" i="1"/>
  <c r="Z2037" i="1"/>
  <c r="Y2037" i="1"/>
  <c r="AA2036" i="1"/>
  <c r="Z2036" i="1"/>
  <c r="Y2036" i="1"/>
  <c r="AA2035" i="1"/>
  <c r="Z2035" i="1"/>
  <c r="Y2035" i="1"/>
  <c r="AA2034" i="1"/>
  <c r="Z2034" i="1"/>
  <c r="Y2034" i="1"/>
  <c r="AA2033" i="1"/>
  <c r="Z2033" i="1"/>
  <c r="Y2033" i="1"/>
  <c r="AA2032" i="1"/>
  <c r="Z2032" i="1"/>
  <c r="Y2032" i="1"/>
  <c r="AA2031" i="1"/>
  <c r="Z2031" i="1"/>
  <c r="Y2031" i="1"/>
  <c r="AA2030" i="1"/>
  <c r="Z2030" i="1"/>
  <c r="Y2030" i="1"/>
  <c r="AA2029" i="1"/>
  <c r="Z2029" i="1"/>
  <c r="Y2029" i="1"/>
  <c r="AA2028" i="1"/>
  <c r="Z2028" i="1"/>
  <c r="Y2028" i="1"/>
  <c r="AA2027" i="1"/>
  <c r="Z2027" i="1"/>
  <c r="Y2027" i="1"/>
  <c r="AA2026" i="1"/>
  <c r="Z2026" i="1"/>
  <c r="Y2026" i="1"/>
  <c r="AA2025" i="1"/>
  <c r="Z2025" i="1"/>
  <c r="Y2025" i="1"/>
  <c r="AA2024" i="1"/>
  <c r="Z2024" i="1"/>
  <c r="Y2024" i="1"/>
  <c r="AA2023" i="1"/>
  <c r="Z2023" i="1"/>
  <c r="Y2023" i="1"/>
  <c r="AA2022" i="1"/>
  <c r="Z2022" i="1"/>
  <c r="Y2022" i="1"/>
  <c r="AA2021" i="1"/>
  <c r="Z2021" i="1"/>
  <c r="Y2021" i="1"/>
  <c r="AA2020" i="1"/>
  <c r="Z2020" i="1"/>
  <c r="Y2020" i="1"/>
  <c r="AA2019" i="1"/>
  <c r="Z2019" i="1"/>
  <c r="Y2019" i="1"/>
  <c r="AA2018" i="1"/>
  <c r="Z2018" i="1"/>
  <c r="Y2018" i="1"/>
  <c r="AA2017" i="1"/>
  <c r="Z2017" i="1"/>
  <c r="Y2017" i="1"/>
  <c r="AA2016" i="1"/>
  <c r="Z2016" i="1"/>
  <c r="Y2016" i="1"/>
  <c r="AA2015" i="1"/>
  <c r="Z2015" i="1"/>
  <c r="Y2015" i="1"/>
  <c r="AA2014" i="1"/>
  <c r="Z2014" i="1"/>
  <c r="Y2014" i="1"/>
  <c r="AA2013" i="1"/>
  <c r="Z2013" i="1"/>
  <c r="Y2013" i="1"/>
  <c r="AA2012" i="1"/>
  <c r="Z2012" i="1"/>
  <c r="Y2012" i="1"/>
  <c r="AA2011" i="1"/>
  <c r="Z2011" i="1"/>
  <c r="Y2011" i="1"/>
  <c r="AA2010" i="1"/>
  <c r="Z2010" i="1"/>
  <c r="Y2010" i="1"/>
  <c r="AA2009" i="1"/>
  <c r="Z2009" i="1"/>
  <c r="Y2009" i="1"/>
  <c r="AA2008" i="1"/>
  <c r="Z2008" i="1"/>
  <c r="Y2008" i="1"/>
  <c r="AA2007" i="1"/>
  <c r="Z2007" i="1"/>
  <c r="Y2007" i="1"/>
  <c r="AA2006" i="1"/>
  <c r="Z2006" i="1"/>
  <c r="Y2006" i="1"/>
  <c r="AA2005" i="1"/>
  <c r="Z2005" i="1"/>
  <c r="Y2005" i="1"/>
  <c r="AA2004" i="1"/>
  <c r="Z2004" i="1"/>
  <c r="Y2004" i="1"/>
  <c r="AA2003" i="1"/>
  <c r="Z2003" i="1"/>
  <c r="Y2003" i="1"/>
  <c r="AA2002" i="1"/>
  <c r="Z2002" i="1"/>
  <c r="Y2002" i="1"/>
  <c r="AA2001" i="1"/>
  <c r="Z2001" i="1"/>
  <c r="Y2001" i="1"/>
  <c r="AA2000" i="1"/>
  <c r="Z2000" i="1"/>
  <c r="Y2000" i="1"/>
  <c r="AA1999" i="1"/>
  <c r="Z1999" i="1"/>
  <c r="Y1999" i="1"/>
  <c r="AA1998" i="1"/>
  <c r="Z1998" i="1"/>
  <c r="Y1998" i="1"/>
  <c r="AA1997" i="1"/>
  <c r="Z1997" i="1"/>
  <c r="Y1997" i="1"/>
  <c r="AA1996" i="1"/>
  <c r="Z1996" i="1"/>
  <c r="Y1996" i="1"/>
  <c r="AA1995" i="1"/>
  <c r="Z1995" i="1"/>
  <c r="Y1995" i="1"/>
  <c r="AA1994" i="1"/>
  <c r="Z1994" i="1"/>
  <c r="Y1994" i="1"/>
  <c r="AA1993" i="1"/>
  <c r="Z1993" i="1"/>
  <c r="Y1993" i="1"/>
  <c r="AA1992" i="1"/>
  <c r="Z1992" i="1"/>
  <c r="Y1992" i="1"/>
  <c r="AA1991" i="1"/>
  <c r="Z1991" i="1"/>
  <c r="Y1991" i="1"/>
  <c r="AA1990" i="1"/>
  <c r="Z1990" i="1"/>
  <c r="Y1990" i="1"/>
  <c r="AA1989" i="1"/>
  <c r="Z1989" i="1"/>
  <c r="Y1989" i="1"/>
  <c r="AA1988" i="1"/>
  <c r="Z1988" i="1"/>
  <c r="Y1988" i="1"/>
  <c r="AA1987" i="1"/>
  <c r="Z1987" i="1"/>
  <c r="Y1987" i="1"/>
  <c r="AA1986" i="1"/>
  <c r="Z1986" i="1"/>
  <c r="Y1986" i="1"/>
  <c r="AA1985" i="1"/>
  <c r="Z1985" i="1"/>
  <c r="Y1985" i="1"/>
  <c r="AA1984" i="1"/>
  <c r="Z1984" i="1"/>
  <c r="Y1984" i="1"/>
  <c r="AA1983" i="1"/>
  <c r="Z1983" i="1"/>
  <c r="Y1983" i="1"/>
  <c r="AA1982" i="1"/>
  <c r="Z1982" i="1"/>
  <c r="Y1982" i="1"/>
  <c r="AA1981" i="1"/>
  <c r="Z1981" i="1"/>
  <c r="Y1981" i="1"/>
  <c r="AA1980" i="1"/>
  <c r="Z1980" i="1"/>
  <c r="Y1980" i="1"/>
  <c r="AA1979" i="1"/>
  <c r="Z1979" i="1"/>
  <c r="Y1979" i="1"/>
  <c r="AA1978" i="1"/>
  <c r="Z1978" i="1"/>
  <c r="Y1978" i="1"/>
  <c r="AA1977" i="1"/>
  <c r="Z1977" i="1"/>
  <c r="Y1977" i="1"/>
  <c r="AA1976" i="1"/>
  <c r="Z1976" i="1"/>
  <c r="Y1976" i="1"/>
  <c r="AA1975" i="1"/>
  <c r="Z1975" i="1"/>
  <c r="Y1975" i="1"/>
  <c r="AA1974" i="1"/>
  <c r="Z1974" i="1"/>
  <c r="Y1974" i="1"/>
  <c r="AA1973" i="1"/>
  <c r="Z1973" i="1"/>
  <c r="Y1973" i="1"/>
  <c r="AA1972" i="1"/>
  <c r="Z1972" i="1"/>
  <c r="Y1972" i="1"/>
  <c r="AA1971" i="1"/>
  <c r="Z1971" i="1"/>
  <c r="Y1971" i="1"/>
  <c r="AA1970" i="1"/>
  <c r="Z1970" i="1"/>
  <c r="Y1970" i="1"/>
  <c r="AA1969" i="1"/>
  <c r="Z1969" i="1"/>
  <c r="Y1969" i="1"/>
  <c r="AA1968" i="1"/>
  <c r="Z1968" i="1"/>
  <c r="Y1968" i="1"/>
  <c r="AA1967" i="1"/>
  <c r="Z1967" i="1"/>
  <c r="Y1967" i="1"/>
  <c r="AA1966" i="1"/>
  <c r="Z1966" i="1"/>
  <c r="Y1966" i="1"/>
  <c r="AA1965" i="1"/>
  <c r="Z1965" i="1"/>
  <c r="Y1965" i="1"/>
  <c r="AA1964" i="1"/>
  <c r="Z1964" i="1"/>
  <c r="Y1964" i="1"/>
  <c r="AA1963" i="1"/>
  <c r="Z1963" i="1"/>
  <c r="Y1963" i="1"/>
  <c r="AA1962" i="1"/>
  <c r="Z1962" i="1"/>
  <c r="Y1962" i="1"/>
  <c r="AA1961" i="1"/>
  <c r="Z1961" i="1"/>
  <c r="Y1961" i="1"/>
  <c r="AA1960" i="1"/>
  <c r="Z1960" i="1"/>
  <c r="Y1960" i="1"/>
  <c r="AA1959" i="1"/>
  <c r="Z1959" i="1"/>
  <c r="Y1959" i="1"/>
  <c r="AA1958" i="1"/>
  <c r="Z1958" i="1"/>
  <c r="Y1958" i="1"/>
  <c r="AA1957" i="1"/>
  <c r="Z1957" i="1"/>
  <c r="Y1957" i="1"/>
  <c r="AA1956" i="1"/>
  <c r="Z1956" i="1"/>
  <c r="Y1956" i="1"/>
  <c r="AA1955" i="1"/>
  <c r="Z1955" i="1"/>
  <c r="Y1955" i="1"/>
  <c r="AA1954" i="1"/>
  <c r="Z1954" i="1"/>
  <c r="Y1954" i="1"/>
  <c r="AA1953" i="1"/>
  <c r="Z1953" i="1"/>
  <c r="Y1953" i="1"/>
  <c r="AA1952" i="1"/>
  <c r="Z1952" i="1"/>
  <c r="Y1952" i="1"/>
  <c r="AA1951" i="1"/>
  <c r="Z1951" i="1"/>
  <c r="Y1951" i="1"/>
  <c r="AA1950" i="1"/>
  <c r="Z1950" i="1"/>
  <c r="Y1950" i="1"/>
  <c r="AA1949" i="1"/>
  <c r="Z1949" i="1"/>
  <c r="Y1949" i="1"/>
  <c r="AA1948" i="1"/>
  <c r="Z1948" i="1"/>
  <c r="Y1948" i="1"/>
  <c r="AA1947" i="1"/>
  <c r="Z1947" i="1"/>
  <c r="Y1947" i="1"/>
  <c r="AA1946" i="1"/>
  <c r="Z1946" i="1"/>
  <c r="Y1946" i="1"/>
  <c r="AA1945" i="1"/>
  <c r="Z1945" i="1"/>
  <c r="Y1945" i="1"/>
  <c r="AA1944" i="1"/>
  <c r="Z1944" i="1"/>
  <c r="Y1944" i="1"/>
  <c r="AA1943" i="1"/>
  <c r="Z1943" i="1"/>
  <c r="Y1943" i="1"/>
  <c r="AA1942" i="1"/>
  <c r="Z1942" i="1"/>
  <c r="Y1942" i="1"/>
  <c r="AA1941" i="1"/>
  <c r="Z1941" i="1"/>
  <c r="Y1941" i="1"/>
  <c r="AA1940" i="1"/>
  <c r="Z1940" i="1"/>
  <c r="Y1940" i="1"/>
  <c r="AA1939" i="1"/>
  <c r="Z1939" i="1"/>
  <c r="Y1939" i="1"/>
  <c r="AA1938" i="1"/>
  <c r="Z1938" i="1"/>
  <c r="Y1938" i="1"/>
  <c r="AA1937" i="1"/>
  <c r="Z1937" i="1"/>
  <c r="Y1937" i="1"/>
  <c r="AA1936" i="1"/>
  <c r="Z1936" i="1"/>
  <c r="Y1936" i="1"/>
  <c r="AA1935" i="1"/>
  <c r="Z1935" i="1"/>
  <c r="Y1935" i="1"/>
  <c r="AA1934" i="1"/>
  <c r="Z1934" i="1"/>
  <c r="Y1934" i="1"/>
  <c r="AA1933" i="1"/>
  <c r="Z1933" i="1"/>
  <c r="Y1933" i="1"/>
  <c r="AA1932" i="1"/>
  <c r="Z1932" i="1"/>
  <c r="Y1932" i="1"/>
  <c r="AA1931" i="1"/>
  <c r="Z1931" i="1"/>
  <c r="Y1931" i="1"/>
  <c r="AA1930" i="1"/>
  <c r="Z1930" i="1"/>
  <c r="Y1930" i="1"/>
  <c r="AA1929" i="1"/>
  <c r="Z1929" i="1"/>
  <c r="Y1929" i="1"/>
  <c r="AA1928" i="1"/>
  <c r="Z1928" i="1"/>
  <c r="Y1928" i="1"/>
  <c r="AA1927" i="1"/>
  <c r="Z1927" i="1"/>
  <c r="Y1927" i="1"/>
  <c r="AA1926" i="1"/>
  <c r="Z1926" i="1"/>
  <c r="Y1926" i="1"/>
  <c r="AA1925" i="1"/>
  <c r="Z1925" i="1"/>
  <c r="Y1925" i="1"/>
  <c r="AA1924" i="1"/>
  <c r="Z1924" i="1"/>
  <c r="Y1924" i="1"/>
  <c r="AA1923" i="1"/>
  <c r="Z1923" i="1"/>
  <c r="Y1923" i="1"/>
  <c r="AA1922" i="1"/>
  <c r="Z1922" i="1"/>
  <c r="Y1922" i="1"/>
  <c r="AA1921" i="1"/>
  <c r="Z1921" i="1"/>
  <c r="Y1921" i="1"/>
  <c r="AA1920" i="1"/>
  <c r="Z1920" i="1"/>
  <c r="Y1920" i="1"/>
  <c r="AA1919" i="1"/>
  <c r="Z1919" i="1"/>
  <c r="Y1919" i="1"/>
  <c r="AA1918" i="1"/>
  <c r="Z1918" i="1"/>
  <c r="Y1918" i="1"/>
  <c r="AA1917" i="1"/>
  <c r="Z1917" i="1"/>
  <c r="Y1917" i="1"/>
  <c r="AA1916" i="1"/>
  <c r="Z1916" i="1"/>
  <c r="Y1916" i="1"/>
  <c r="AA1915" i="1"/>
  <c r="Z1915" i="1"/>
  <c r="Y1915" i="1"/>
  <c r="AA1914" i="1"/>
  <c r="Z1914" i="1"/>
  <c r="Y1914" i="1"/>
  <c r="AA1913" i="1"/>
  <c r="Z1913" i="1"/>
  <c r="Y1913" i="1"/>
  <c r="AA1912" i="1"/>
  <c r="Z1912" i="1"/>
  <c r="Y1912" i="1"/>
  <c r="AA1911" i="1"/>
  <c r="Z1911" i="1"/>
  <c r="Y1911" i="1"/>
  <c r="AA1910" i="1"/>
  <c r="Z1910" i="1"/>
  <c r="Y1910" i="1"/>
  <c r="AA1909" i="1"/>
  <c r="Z1909" i="1"/>
  <c r="Y1909" i="1"/>
  <c r="AA1908" i="1"/>
  <c r="Z1908" i="1"/>
  <c r="Y1908" i="1"/>
  <c r="AA1907" i="1"/>
  <c r="Z1907" i="1"/>
  <c r="Y1907" i="1"/>
  <c r="AA1906" i="1"/>
  <c r="Z1906" i="1"/>
  <c r="Y1906" i="1"/>
  <c r="AA1905" i="1"/>
  <c r="Z1905" i="1"/>
  <c r="Y1905" i="1"/>
  <c r="AA1904" i="1"/>
  <c r="Z1904" i="1"/>
  <c r="Y1904" i="1"/>
  <c r="AA1903" i="1"/>
  <c r="Z1903" i="1"/>
  <c r="Y1903" i="1"/>
  <c r="AA1902" i="1"/>
  <c r="Z1902" i="1"/>
  <c r="Y1902" i="1"/>
  <c r="AA1901" i="1"/>
  <c r="Z1901" i="1"/>
  <c r="Y1901" i="1"/>
  <c r="AA1900" i="1"/>
  <c r="Z1900" i="1"/>
  <c r="Y1900" i="1"/>
  <c r="AA1899" i="1"/>
  <c r="Z1899" i="1"/>
  <c r="Y1899" i="1"/>
  <c r="AA1898" i="1"/>
  <c r="Z1898" i="1"/>
  <c r="Y1898" i="1"/>
  <c r="AA1897" i="1"/>
  <c r="Z1897" i="1"/>
  <c r="Y1897" i="1"/>
  <c r="AA1896" i="1"/>
  <c r="Z1896" i="1"/>
  <c r="Y1896" i="1"/>
  <c r="AA1895" i="1"/>
  <c r="Z1895" i="1"/>
  <c r="Y1895" i="1"/>
  <c r="AA1894" i="1"/>
  <c r="Z1894" i="1"/>
  <c r="Y1894" i="1"/>
  <c r="AA1893" i="1"/>
  <c r="Z1893" i="1"/>
  <c r="Y1893" i="1"/>
  <c r="AA1892" i="1"/>
  <c r="Z1892" i="1"/>
  <c r="Y1892" i="1"/>
  <c r="AA1891" i="1"/>
  <c r="Z1891" i="1"/>
  <c r="Y1891" i="1"/>
  <c r="AA1890" i="1"/>
  <c r="Z1890" i="1"/>
  <c r="Y1890" i="1"/>
  <c r="AA1889" i="1"/>
  <c r="Z1889" i="1"/>
  <c r="Y1889" i="1"/>
  <c r="AA1888" i="1"/>
  <c r="Z1888" i="1"/>
  <c r="Y1888" i="1"/>
  <c r="AA1887" i="1"/>
  <c r="Z1887" i="1"/>
  <c r="Y1887" i="1"/>
  <c r="AA1886" i="1"/>
  <c r="Z1886" i="1"/>
  <c r="Y1886" i="1"/>
  <c r="AA1885" i="1"/>
  <c r="Z1885" i="1"/>
  <c r="Y1885" i="1"/>
  <c r="AA1884" i="1"/>
  <c r="Z1884" i="1"/>
  <c r="Y1884" i="1"/>
  <c r="AA1883" i="1"/>
  <c r="Z1883" i="1"/>
  <c r="Y1883" i="1"/>
  <c r="AA1882" i="1"/>
  <c r="Z1882" i="1"/>
  <c r="Y1882" i="1"/>
  <c r="AA1881" i="1"/>
  <c r="Z1881" i="1"/>
  <c r="Y1881" i="1"/>
  <c r="AA1880" i="1"/>
  <c r="Z1880" i="1"/>
  <c r="Y1880" i="1"/>
  <c r="AA1879" i="1"/>
  <c r="Z1879" i="1"/>
  <c r="Y1879" i="1"/>
  <c r="AA1878" i="1"/>
  <c r="Z1878" i="1"/>
  <c r="Y1878" i="1"/>
  <c r="AA1877" i="1"/>
  <c r="Z1877" i="1"/>
  <c r="Y1877" i="1"/>
  <c r="AA1876" i="1"/>
  <c r="Z1876" i="1"/>
  <c r="Y1876" i="1"/>
  <c r="AA1875" i="1"/>
  <c r="Z1875" i="1"/>
  <c r="Y1875" i="1"/>
  <c r="AA1874" i="1"/>
  <c r="Z1874" i="1"/>
  <c r="Y1874" i="1"/>
  <c r="AA1873" i="1"/>
  <c r="Z1873" i="1"/>
  <c r="Y1873" i="1"/>
  <c r="AA1872" i="1"/>
  <c r="Z1872" i="1"/>
  <c r="Y1872" i="1"/>
  <c r="AA1871" i="1"/>
  <c r="Z1871" i="1"/>
  <c r="Y1871" i="1"/>
  <c r="AA1870" i="1"/>
  <c r="Z1870" i="1"/>
  <c r="Y1870" i="1"/>
  <c r="AA1869" i="1"/>
  <c r="Z1869" i="1"/>
  <c r="Y1869" i="1"/>
  <c r="AA1868" i="1"/>
  <c r="Z1868" i="1"/>
  <c r="Y1868" i="1"/>
  <c r="AA1867" i="1"/>
  <c r="Z1867" i="1"/>
  <c r="Y1867" i="1"/>
  <c r="AA1866" i="1"/>
  <c r="Z1866" i="1"/>
  <c r="Y1866" i="1"/>
  <c r="AA1865" i="1"/>
  <c r="Z1865" i="1"/>
  <c r="Y1865" i="1"/>
  <c r="AA1864" i="1"/>
  <c r="Z1864" i="1"/>
  <c r="Y1864" i="1"/>
  <c r="AA1863" i="1"/>
  <c r="Z1863" i="1"/>
  <c r="Y1863" i="1"/>
  <c r="AA1862" i="1"/>
  <c r="Z1862" i="1"/>
  <c r="Y1862" i="1"/>
  <c r="AA1861" i="1"/>
  <c r="Z1861" i="1"/>
  <c r="Y1861" i="1"/>
  <c r="AA1860" i="1"/>
  <c r="Z1860" i="1"/>
  <c r="Y1860" i="1"/>
  <c r="AA1859" i="1"/>
  <c r="Z1859" i="1"/>
  <c r="Y1859" i="1"/>
  <c r="AA1858" i="1"/>
  <c r="Z1858" i="1"/>
  <c r="Y1858" i="1"/>
  <c r="AA1857" i="1"/>
  <c r="Z1857" i="1"/>
  <c r="Y1857" i="1"/>
  <c r="AA1856" i="1"/>
  <c r="Z1856" i="1"/>
  <c r="Y1856" i="1"/>
  <c r="AA1855" i="1"/>
  <c r="Z1855" i="1"/>
  <c r="Y1855" i="1"/>
  <c r="AA1854" i="1"/>
  <c r="Z1854" i="1"/>
  <c r="Y1854" i="1"/>
  <c r="AA1853" i="1"/>
  <c r="Z1853" i="1"/>
  <c r="Y1853" i="1"/>
  <c r="AA1852" i="1"/>
  <c r="Z1852" i="1"/>
  <c r="Y1852" i="1"/>
  <c r="AA1851" i="1"/>
  <c r="Z1851" i="1"/>
  <c r="Y1851" i="1"/>
  <c r="AA1850" i="1"/>
  <c r="Z1850" i="1"/>
  <c r="Y1850" i="1"/>
  <c r="AA1849" i="1"/>
  <c r="Z1849" i="1"/>
  <c r="Y1849" i="1"/>
  <c r="AA1848" i="1"/>
  <c r="Z1848" i="1"/>
  <c r="Y1848" i="1"/>
  <c r="AA1847" i="1"/>
  <c r="Z1847" i="1"/>
  <c r="Y1847" i="1"/>
  <c r="AA1846" i="1"/>
  <c r="Z1846" i="1"/>
  <c r="Y1846" i="1"/>
  <c r="AA1845" i="1"/>
  <c r="Z1845" i="1"/>
  <c r="Y1845" i="1"/>
  <c r="AA1844" i="1"/>
  <c r="Z1844" i="1"/>
  <c r="Y1844" i="1"/>
  <c r="AA1843" i="1"/>
  <c r="Z1843" i="1"/>
  <c r="Y1843" i="1"/>
  <c r="AA1842" i="1"/>
  <c r="Z1842" i="1"/>
  <c r="Y1842" i="1"/>
  <c r="AA1841" i="1"/>
  <c r="Z1841" i="1"/>
  <c r="Y1841" i="1"/>
  <c r="AA1840" i="1"/>
  <c r="Z1840" i="1"/>
  <c r="Y1840" i="1"/>
  <c r="AA1839" i="1"/>
  <c r="Z1839" i="1"/>
  <c r="Y1839" i="1"/>
  <c r="AA1838" i="1"/>
  <c r="Z1838" i="1"/>
  <c r="Y1838" i="1"/>
  <c r="AA1837" i="1"/>
  <c r="Z1837" i="1"/>
  <c r="Y1837" i="1"/>
  <c r="AA1836" i="1"/>
  <c r="Z1836" i="1"/>
  <c r="Y1836" i="1"/>
  <c r="AA1835" i="1"/>
  <c r="Z1835" i="1"/>
  <c r="Y1835" i="1"/>
  <c r="AA1834" i="1"/>
  <c r="Z1834" i="1"/>
  <c r="Y1834" i="1"/>
  <c r="AA1833" i="1"/>
  <c r="Z1833" i="1"/>
  <c r="Y1833" i="1"/>
  <c r="AA1832" i="1"/>
  <c r="Z1832" i="1"/>
  <c r="Y1832" i="1"/>
  <c r="AA1831" i="1"/>
  <c r="Z1831" i="1"/>
  <c r="Y1831" i="1"/>
  <c r="AA1830" i="1"/>
  <c r="Z1830" i="1"/>
  <c r="Y1830" i="1"/>
  <c r="AA1829" i="1"/>
  <c r="Z1829" i="1"/>
  <c r="Y1829" i="1"/>
  <c r="AA1828" i="1"/>
  <c r="Z1828" i="1"/>
  <c r="Y1828" i="1"/>
  <c r="AA1827" i="1"/>
  <c r="Z1827" i="1"/>
  <c r="Y1827" i="1"/>
  <c r="AA1826" i="1"/>
  <c r="Z1826" i="1"/>
  <c r="Y1826" i="1"/>
  <c r="AA1825" i="1"/>
  <c r="Z1825" i="1"/>
  <c r="Y1825" i="1"/>
  <c r="AA1824" i="1"/>
  <c r="Z1824" i="1"/>
  <c r="Y1824" i="1"/>
  <c r="AA1823" i="1"/>
  <c r="Z1823" i="1"/>
  <c r="Y1823" i="1"/>
  <c r="AA1822" i="1"/>
  <c r="Z1822" i="1"/>
  <c r="Y1822" i="1"/>
  <c r="AA1821" i="1"/>
  <c r="Z1821" i="1"/>
  <c r="Y1821" i="1"/>
  <c r="AA1820" i="1"/>
  <c r="Z1820" i="1"/>
  <c r="Y1820" i="1"/>
  <c r="AA1819" i="1"/>
  <c r="Z1819" i="1"/>
  <c r="Y1819" i="1"/>
  <c r="AA1818" i="1"/>
  <c r="Z1818" i="1"/>
  <c r="Y1818" i="1"/>
  <c r="AA1817" i="1"/>
  <c r="Z1817" i="1"/>
  <c r="Y1817" i="1"/>
  <c r="AA1816" i="1"/>
  <c r="Z1816" i="1"/>
  <c r="Y1816" i="1"/>
  <c r="AA1815" i="1"/>
  <c r="Z1815" i="1"/>
  <c r="Y1815" i="1"/>
  <c r="AA1814" i="1"/>
  <c r="Z1814" i="1"/>
  <c r="Y1814" i="1"/>
  <c r="AA1813" i="1"/>
  <c r="Z1813" i="1"/>
  <c r="Y1813" i="1"/>
  <c r="AA1812" i="1"/>
  <c r="Z1812" i="1"/>
  <c r="Y1812" i="1"/>
  <c r="AA1811" i="1"/>
  <c r="Z1811" i="1"/>
  <c r="Y1811" i="1"/>
  <c r="AA1810" i="1"/>
  <c r="Z1810" i="1"/>
  <c r="Y1810" i="1"/>
  <c r="AA1809" i="1"/>
  <c r="Z1809" i="1"/>
  <c r="Y1809" i="1"/>
  <c r="AA1808" i="1"/>
  <c r="Z1808" i="1"/>
  <c r="Y1808" i="1"/>
  <c r="AA1807" i="1"/>
  <c r="Z1807" i="1"/>
  <c r="Y1807" i="1"/>
  <c r="AA1806" i="1"/>
  <c r="Z1806" i="1"/>
  <c r="Y1806" i="1"/>
  <c r="AA1805" i="1"/>
  <c r="Z1805" i="1"/>
  <c r="Y1805" i="1"/>
  <c r="AA1804" i="1"/>
  <c r="Z1804" i="1"/>
  <c r="Y1804" i="1"/>
  <c r="AA1803" i="1"/>
  <c r="Z1803" i="1"/>
  <c r="Y1803" i="1"/>
  <c r="AA1802" i="1"/>
  <c r="Z1802" i="1"/>
  <c r="Y1802" i="1"/>
  <c r="AA1801" i="1"/>
  <c r="Z1801" i="1"/>
  <c r="Y1801" i="1"/>
  <c r="AA1800" i="1"/>
  <c r="Z1800" i="1"/>
  <c r="Y1800" i="1"/>
  <c r="AA1799" i="1"/>
  <c r="Z1799" i="1"/>
  <c r="Y1799" i="1"/>
  <c r="AA1798" i="1"/>
  <c r="Z1798" i="1"/>
  <c r="Y1798" i="1"/>
  <c r="AA1797" i="1"/>
  <c r="Z1797" i="1"/>
  <c r="Y1797" i="1"/>
  <c r="AA1796" i="1"/>
  <c r="Z1796" i="1"/>
  <c r="Y1796" i="1"/>
  <c r="AA1795" i="1"/>
  <c r="Z1795" i="1"/>
  <c r="Y1795" i="1"/>
  <c r="AA1794" i="1"/>
  <c r="Z1794" i="1"/>
  <c r="Y1794" i="1"/>
  <c r="AA1793" i="1"/>
  <c r="Z1793" i="1"/>
  <c r="Y1793" i="1"/>
  <c r="AA1792" i="1"/>
  <c r="Z1792" i="1"/>
  <c r="Y1792" i="1"/>
  <c r="AA1791" i="1"/>
  <c r="Z1791" i="1"/>
  <c r="Y1791" i="1"/>
  <c r="AA1790" i="1"/>
  <c r="Z1790" i="1"/>
  <c r="Y1790" i="1"/>
  <c r="AA1789" i="1"/>
  <c r="Z1789" i="1"/>
  <c r="Y1789" i="1"/>
  <c r="AA1788" i="1"/>
  <c r="Z1788" i="1"/>
  <c r="Y1788" i="1"/>
  <c r="AA1787" i="1"/>
  <c r="Z1787" i="1"/>
  <c r="Y1787" i="1"/>
  <c r="AA1786" i="1"/>
  <c r="Z1786" i="1"/>
  <c r="Y1786" i="1"/>
  <c r="AA1785" i="1"/>
  <c r="Z1785" i="1"/>
  <c r="Y1785" i="1"/>
  <c r="AA1784" i="1"/>
  <c r="Z1784" i="1"/>
  <c r="Y1784" i="1"/>
  <c r="AA1783" i="1"/>
  <c r="Z1783" i="1"/>
  <c r="Y1783" i="1"/>
  <c r="AA1782" i="1"/>
  <c r="Z1782" i="1"/>
  <c r="Y1782" i="1"/>
  <c r="AA1781" i="1"/>
  <c r="Z1781" i="1"/>
  <c r="Y1781" i="1"/>
  <c r="AA1780" i="1"/>
  <c r="Z1780" i="1"/>
  <c r="Y1780" i="1"/>
  <c r="AA1779" i="1"/>
  <c r="Z1779" i="1"/>
  <c r="Y1779" i="1"/>
  <c r="AA1778" i="1"/>
  <c r="Z1778" i="1"/>
  <c r="Y1778" i="1"/>
  <c r="AA1777" i="1"/>
  <c r="Z1777" i="1"/>
  <c r="Y1777" i="1"/>
  <c r="AA1776" i="1"/>
  <c r="Z1776" i="1"/>
  <c r="Y1776" i="1"/>
  <c r="AA1775" i="1"/>
  <c r="Z1775" i="1"/>
  <c r="Y1775" i="1"/>
  <c r="AA1774" i="1"/>
  <c r="Z1774" i="1"/>
  <c r="Y1774" i="1"/>
  <c r="AA1773" i="1"/>
  <c r="Z1773" i="1"/>
  <c r="Y1773" i="1"/>
  <c r="AA1772" i="1"/>
  <c r="Z1772" i="1"/>
  <c r="Y1772" i="1"/>
  <c r="AA1771" i="1"/>
  <c r="Z1771" i="1"/>
  <c r="Y1771" i="1"/>
  <c r="AA1770" i="1"/>
  <c r="Z1770" i="1"/>
  <c r="Y1770" i="1"/>
  <c r="AA1769" i="1"/>
  <c r="Z1769" i="1"/>
  <c r="Y1769" i="1"/>
  <c r="AA1768" i="1"/>
  <c r="Z1768" i="1"/>
  <c r="Y1768" i="1"/>
  <c r="AA1767" i="1"/>
  <c r="Z1767" i="1"/>
  <c r="Y1767" i="1"/>
  <c r="AA1766" i="1"/>
  <c r="Z1766" i="1"/>
  <c r="Y1766" i="1"/>
  <c r="AA1765" i="1"/>
  <c r="Z1765" i="1"/>
  <c r="Y1765" i="1"/>
  <c r="AA1764" i="1"/>
  <c r="Z1764" i="1"/>
  <c r="Y1764" i="1"/>
  <c r="AA1763" i="1"/>
  <c r="Z1763" i="1"/>
  <c r="Y1763" i="1"/>
  <c r="AA1762" i="1"/>
  <c r="Z1762" i="1"/>
  <c r="Y1762" i="1"/>
  <c r="AA1761" i="1"/>
  <c r="Z1761" i="1"/>
  <c r="Y1761" i="1"/>
  <c r="AA1760" i="1"/>
  <c r="Z1760" i="1"/>
  <c r="Y1760" i="1"/>
  <c r="AA1759" i="1"/>
  <c r="Z1759" i="1"/>
  <c r="Y1759" i="1"/>
  <c r="AA1758" i="1"/>
  <c r="Z1758" i="1"/>
  <c r="Y1758" i="1"/>
  <c r="AA1757" i="1"/>
  <c r="Z1757" i="1"/>
  <c r="Y1757" i="1"/>
  <c r="AA1756" i="1"/>
  <c r="Z1756" i="1"/>
  <c r="Y1756" i="1"/>
  <c r="AA1755" i="1"/>
  <c r="Z1755" i="1"/>
  <c r="Y1755" i="1"/>
  <c r="AA1754" i="1"/>
  <c r="Z1754" i="1"/>
  <c r="Y1754" i="1"/>
  <c r="AA1753" i="1"/>
  <c r="Z1753" i="1"/>
  <c r="Y1753" i="1"/>
  <c r="AA1752" i="1"/>
  <c r="Z1752" i="1"/>
  <c r="Y1752" i="1"/>
  <c r="AA1751" i="1"/>
  <c r="Z1751" i="1"/>
  <c r="Y1751" i="1"/>
  <c r="AA1750" i="1"/>
  <c r="Z1750" i="1"/>
  <c r="Y1750" i="1"/>
  <c r="AA1749" i="1"/>
  <c r="Z1749" i="1"/>
  <c r="Y1749" i="1"/>
  <c r="AA1748" i="1"/>
  <c r="Z1748" i="1"/>
  <c r="Y1748" i="1"/>
  <c r="AA1747" i="1"/>
  <c r="Z1747" i="1"/>
  <c r="Y1747" i="1"/>
  <c r="AA1746" i="1"/>
  <c r="Z1746" i="1"/>
  <c r="Y1746" i="1"/>
  <c r="AA1745" i="1"/>
  <c r="Z1745" i="1"/>
  <c r="Y1745" i="1"/>
  <c r="AA1744" i="1"/>
  <c r="Z1744" i="1"/>
  <c r="Y1744" i="1"/>
  <c r="AA1743" i="1"/>
  <c r="Z1743" i="1"/>
  <c r="Y1743" i="1"/>
  <c r="AA1742" i="1"/>
  <c r="Z1742" i="1"/>
  <c r="Y1742" i="1"/>
  <c r="AA1741" i="1"/>
  <c r="Z1741" i="1"/>
  <c r="Y1741" i="1"/>
  <c r="AA1740" i="1"/>
  <c r="Z1740" i="1"/>
  <c r="Y1740" i="1"/>
  <c r="AA1739" i="1"/>
  <c r="Z1739" i="1"/>
  <c r="Y1739" i="1"/>
  <c r="AA1738" i="1"/>
  <c r="Z1738" i="1"/>
  <c r="Y1738" i="1"/>
  <c r="AA1737" i="1"/>
  <c r="Z1737" i="1"/>
  <c r="Y1737" i="1"/>
  <c r="AA1736" i="1"/>
  <c r="Z1736" i="1"/>
  <c r="Y1736" i="1"/>
  <c r="AA1735" i="1"/>
  <c r="Z1735" i="1"/>
  <c r="Y1735" i="1"/>
  <c r="AA1734" i="1"/>
  <c r="Z1734" i="1"/>
  <c r="Y1734" i="1"/>
  <c r="AA1733" i="1"/>
  <c r="Z1733" i="1"/>
  <c r="Y1733" i="1"/>
  <c r="AA1732" i="1"/>
  <c r="Z1732" i="1"/>
  <c r="Y1732" i="1"/>
  <c r="AA1731" i="1"/>
  <c r="Z1731" i="1"/>
  <c r="Y1731" i="1"/>
  <c r="AA1730" i="1"/>
  <c r="Z1730" i="1"/>
  <c r="Y1730" i="1"/>
  <c r="AA1729" i="1"/>
  <c r="Z1729" i="1"/>
  <c r="Y1729" i="1"/>
  <c r="AA1728" i="1"/>
  <c r="Z1728" i="1"/>
  <c r="Y1728" i="1"/>
  <c r="AA1727" i="1"/>
  <c r="Z1727" i="1"/>
  <c r="Y1727" i="1"/>
  <c r="AA1726" i="1"/>
  <c r="Z1726" i="1"/>
  <c r="Y1726" i="1"/>
  <c r="AA1725" i="1"/>
  <c r="Z1725" i="1"/>
  <c r="Y1725" i="1"/>
  <c r="AA1724" i="1"/>
  <c r="Z1724" i="1"/>
  <c r="Y1724" i="1"/>
  <c r="AA1723" i="1"/>
  <c r="Z1723" i="1"/>
  <c r="Y1723" i="1"/>
  <c r="AA1722" i="1"/>
  <c r="Z1722" i="1"/>
  <c r="Y1722" i="1"/>
  <c r="AA1721" i="1"/>
  <c r="Z1721" i="1"/>
  <c r="Y1721" i="1"/>
  <c r="AA1720" i="1"/>
  <c r="Z1720" i="1"/>
  <c r="Y1720" i="1"/>
  <c r="AA1719" i="1"/>
  <c r="Z1719" i="1"/>
  <c r="Y1719" i="1"/>
  <c r="AA1718" i="1"/>
  <c r="Z1718" i="1"/>
  <c r="Y1718" i="1"/>
  <c r="AA1717" i="1"/>
  <c r="Z1717" i="1"/>
  <c r="Y1717" i="1"/>
  <c r="AA1716" i="1"/>
  <c r="Z1716" i="1"/>
  <c r="Y1716" i="1"/>
  <c r="AA1715" i="1"/>
  <c r="Z1715" i="1"/>
  <c r="Y1715" i="1"/>
  <c r="AA1714" i="1"/>
  <c r="Z1714" i="1"/>
  <c r="Y1714" i="1"/>
  <c r="AA1713" i="1"/>
  <c r="Z1713" i="1"/>
  <c r="Y1713" i="1"/>
  <c r="AA1712" i="1"/>
  <c r="Z1712" i="1"/>
  <c r="Y1712" i="1"/>
  <c r="AA1711" i="1"/>
  <c r="Z1711" i="1"/>
  <c r="Y1711" i="1"/>
  <c r="AA1710" i="1"/>
  <c r="Z1710" i="1"/>
  <c r="Y1710" i="1"/>
  <c r="AA1709" i="1"/>
  <c r="Z1709" i="1"/>
  <c r="Y1709" i="1"/>
  <c r="AA1708" i="1"/>
  <c r="Z1708" i="1"/>
  <c r="Y1708" i="1"/>
  <c r="AA1707" i="1"/>
  <c r="Z1707" i="1"/>
  <c r="Y1707" i="1"/>
  <c r="AA1706" i="1"/>
  <c r="Z1706" i="1"/>
  <c r="Y1706" i="1"/>
  <c r="AA1705" i="1"/>
  <c r="Z1705" i="1"/>
  <c r="Y1705" i="1"/>
  <c r="AA1704" i="1"/>
  <c r="Z1704" i="1"/>
  <c r="Y1704" i="1"/>
  <c r="AA1703" i="1"/>
  <c r="Z1703" i="1"/>
  <c r="Y1703" i="1"/>
  <c r="AA1702" i="1"/>
  <c r="Z1702" i="1"/>
  <c r="Y1702" i="1"/>
  <c r="AA1701" i="1"/>
  <c r="Z1701" i="1"/>
  <c r="Y1701" i="1"/>
  <c r="AA1700" i="1"/>
  <c r="Z1700" i="1"/>
  <c r="Y1700" i="1"/>
  <c r="AA1699" i="1"/>
  <c r="Z1699" i="1"/>
  <c r="Y1699" i="1"/>
  <c r="AA1698" i="1"/>
  <c r="Z1698" i="1"/>
  <c r="Y1698" i="1"/>
  <c r="AA1697" i="1"/>
  <c r="Z1697" i="1"/>
  <c r="Y1697" i="1"/>
  <c r="AA1696" i="1"/>
  <c r="Z1696" i="1"/>
  <c r="Y1696" i="1"/>
  <c r="AA1695" i="1"/>
  <c r="Z1695" i="1"/>
  <c r="Y1695" i="1"/>
  <c r="AA1694" i="1"/>
  <c r="Z1694" i="1"/>
  <c r="Y1694" i="1"/>
  <c r="AA1693" i="1"/>
  <c r="Z1693" i="1"/>
  <c r="Y1693" i="1"/>
  <c r="AA1692" i="1"/>
  <c r="Z1692" i="1"/>
  <c r="Y1692" i="1"/>
  <c r="AA1691" i="1"/>
  <c r="Z1691" i="1"/>
  <c r="Y1691" i="1"/>
  <c r="AA1690" i="1"/>
  <c r="Z1690" i="1"/>
  <c r="Y1690" i="1"/>
  <c r="AA1689" i="1"/>
  <c r="Z1689" i="1"/>
  <c r="Y1689" i="1"/>
  <c r="AA1688" i="1"/>
  <c r="Z1688" i="1"/>
  <c r="Y1688" i="1"/>
  <c r="AA1687" i="1"/>
  <c r="Z1687" i="1"/>
  <c r="Y1687" i="1"/>
  <c r="AA1686" i="1"/>
  <c r="Z1686" i="1"/>
  <c r="Y1686" i="1"/>
  <c r="AA1685" i="1"/>
  <c r="Z1685" i="1"/>
  <c r="Y1685" i="1"/>
  <c r="AA1684" i="1"/>
  <c r="Z1684" i="1"/>
  <c r="Y1684" i="1"/>
  <c r="AA1683" i="1"/>
  <c r="Z1683" i="1"/>
  <c r="Y1683" i="1"/>
  <c r="AA1682" i="1"/>
  <c r="Z1682" i="1"/>
  <c r="Y1682" i="1"/>
  <c r="AA1681" i="1"/>
  <c r="Z1681" i="1"/>
  <c r="Y1681" i="1"/>
  <c r="AA1680" i="1"/>
  <c r="Z1680" i="1"/>
  <c r="Y1680" i="1"/>
  <c r="AA1679" i="1"/>
  <c r="Z1679" i="1"/>
  <c r="Y1679" i="1"/>
  <c r="AA1678" i="1"/>
  <c r="Z1678" i="1"/>
  <c r="Y1678" i="1"/>
  <c r="AA1677" i="1"/>
  <c r="Z1677" i="1"/>
  <c r="Y1677" i="1"/>
  <c r="AA1676" i="1"/>
  <c r="Z1676" i="1"/>
  <c r="Y1676" i="1"/>
  <c r="AA1675" i="1"/>
  <c r="Z1675" i="1"/>
  <c r="Y1675" i="1"/>
  <c r="AA1674" i="1"/>
  <c r="Z1674" i="1"/>
  <c r="Y1674" i="1"/>
  <c r="AA1673" i="1"/>
  <c r="Z1673" i="1"/>
  <c r="Y1673" i="1"/>
  <c r="AA1672" i="1"/>
  <c r="Z1672" i="1"/>
  <c r="Y1672" i="1"/>
  <c r="AA1671" i="1"/>
  <c r="Z1671" i="1"/>
  <c r="Y1671" i="1"/>
  <c r="AA1670" i="1"/>
  <c r="Z1670" i="1"/>
  <c r="Y1670" i="1"/>
  <c r="AA1669" i="1"/>
  <c r="Z1669" i="1"/>
  <c r="Y1669" i="1"/>
  <c r="AA1668" i="1"/>
  <c r="Z1668" i="1"/>
  <c r="Y1668" i="1"/>
  <c r="AA1667" i="1"/>
  <c r="Z1667" i="1"/>
  <c r="Y1667" i="1"/>
  <c r="AA1666" i="1"/>
  <c r="Z1666" i="1"/>
  <c r="Y1666" i="1"/>
  <c r="AA1665" i="1"/>
  <c r="Z1665" i="1"/>
  <c r="Y1665" i="1"/>
  <c r="AA1664" i="1"/>
  <c r="Z1664" i="1"/>
  <c r="Y1664" i="1"/>
  <c r="AA1663" i="1"/>
  <c r="Z1663" i="1"/>
  <c r="Y1663" i="1"/>
  <c r="AA1662" i="1"/>
  <c r="Z1662" i="1"/>
  <c r="Y1662" i="1"/>
  <c r="AA1661" i="1"/>
  <c r="Z1661" i="1"/>
  <c r="Y1661" i="1"/>
  <c r="AA1660" i="1"/>
  <c r="Z1660" i="1"/>
  <c r="Y1660" i="1"/>
  <c r="AA1659" i="1"/>
  <c r="Z1659" i="1"/>
  <c r="Y1659" i="1"/>
  <c r="AA1658" i="1"/>
  <c r="Z1658" i="1"/>
  <c r="Y1658" i="1"/>
  <c r="AA1657" i="1"/>
  <c r="Z1657" i="1"/>
  <c r="Y1657" i="1"/>
  <c r="AA1656" i="1"/>
  <c r="Z1656" i="1"/>
  <c r="Y1656" i="1"/>
  <c r="AA1655" i="1"/>
  <c r="Z1655" i="1"/>
  <c r="Y1655" i="1"/>
  <c r="AA1654" i="1"/>
  <c r="Z1654" i="1"/>
  <c r="Y1654" i="1"/>
  <c r="AA1653" i="1"/>
  <c r="Z1653" i="1"/>
  <c r="Y1653" i="1"/>
  <c r="AA1652" i="1"/>
  <c r="Z1652" i="1"/>
  <c r="Y1652" i="1"/>
  <c r="AA1651" i="1"/>
  <c r="Z1651" i="1"/>
  <c r="Y1651" i="1"/>
  <c r="AA1650" i="1"/>
  <c r="Z1650" i="1"/>
  <c r="Y1650" i="1"/>
  <c r="AA1649" i="1"/>
  <c r="Z1649" i="1"/>
  <c r="Y1649" i="1"/>
  <c r="AA1648" i="1"/>
  <c r="Z1648" i="1"/>
  <c r="Y1648" i="1"/>
  <c r="AA1647" i="1"/>
  <c r="Z1647" i="1"/>
  <c r="Y1647" i="1"/>
  <c r="AA1646" i="1"/>
  <c r="Z1646" i="1"/>
  <c r="Y1646" i="1"/>
  <c r="AA1645" i="1"/>
  <c r="Z1645" i="1"/>
  <c r="Y1645" i="1"/>
  <c r="AA1644" i="1"/>
  <c r="Z1644" i="1"/>
  <c r="Y1644" i="1"/>
  <c r="AA1643" i="1"/>
  <c r="Z1643" i="1"/>
  <c r="Y1643" i="1"/>
  <c r="AA1642" i="1"/>
  <c r="Z1642" i="1"/>
  <c r="Y1642" i="1"/>
  <c r="AA1641" i="1"/>
  <c r="Z1641" i="1"/>
  <c r="Y1641" i="1"/>
  <c r="AA1640" i="1"/>
  <c r="Z1640" i="1"/>
  <c r="Y1640" i="1"/>
  <c r="AA1639" i="1"/>
  <c r="Z1639" i="1"/>
  <c r="Y1639" i="1"/>
  <c r="AA1638" i="1"/>
  <c r="Z1638" i="1"/>
  <c r="Y1638" i="1"/>
  <c r="AA1637" i="1"/>
  <c r="Z1637" i="1"/>
  <c r="Y1637" i="1"/>
  <c r="AA1636" i="1"/>
  <c r="Z1636" i="1"/>
  <c r="Y1636" i="1"/>
  <c r="AA1635" i="1"/>
  <c r="Z1635" i="1"/>
  <c r="Y1635" i="1"/>
  <c r="AA1634" i="1"/>
  <c r="Z1634" i="1"/>
  <c r="Y1634" i="1"/>
  <c r="AA1633" i="1"/>
  <c r="Z1633" i="1"/>
  <c r="Y1633" i="1"/>
  <c r="AA1632" i="1"/>
  <c r="Z1632" i="1"/>
  <c r="Y1632" i="1"/>
  <c r="AA1631" i="1"/>
  <c r="Z1631" i="1"/>
  <c r="Y1631" i="1"/>
  <c r="AA1630" i="1"/>
  <c r="Z1630" i="1"/>
  <c r="Y1630" i="1"/>
  <c r="AA1629" i="1"/>
  <c r="Z1629" i="1"/>
  <c r="Y1629" i="1"/>
  <c r="AA1628" i="1"/>
  <c r="Z1628" i="1"/>
  <c r="Y1628" i="1"/>
  <c r="AA1627" i="1"/>
  <c r="Z1627" i="1"/>
  <c r="Y1627" i="1"/>
  <c r="AA1626" i="1"/>
  <c r="Z1626" i="1"/>
  <c r="Y1626" i="1"/>
  <c r="AA1625" i="1"/>
  <c r="Z1625" i="1"/>
  <c r="Y1625" i="1"/>
  <c r="AA1624" i="1"/>
  <c r="Z1624" i="1"/>
  <c r="Y1624" i="1"/>
  <c r="AA1623" i="1"/>
  <c r="Z1623" i="1"/>
  <c r="Y1623" i="1"/>
  <c r="AA1622" i="1"/>
  <c r="Z1622" i="1"/>
  <c r="Y1622" i="1"/>
  <c r="AA1621" i="1"/>
  <c r="Z1621" i="1"/>
  <c r="Y1621" i="1"/>
  <c r="AA1620" i="1"/>
  <c r="Z1620" i="1"/>
  <c r="Y1620" i="1"/>
  <c r="AA1619" i="1"/>
  <c r="Z1619" i="1"/>
  <c r="Y1619" i="1"/>
  <c r="AA1618" i="1"/>
  <c r="Z1618" i="1"/>
  <c r="Y1618" i="1"/>
  <c r="AA1617" i="1"/>
  <c r="Z1617" i="1"/>
  <c r="Y1617" i="1"/>
  <c r="AA1616" i="1"/>
  <c r="Z1616" i="1"/>
  <c r="Y1616" i="1"/>
  <c r="AA1615" i="1"/>
  <c r="Z1615" i="1"/>
  <c r="Y1615" i="1"/>
  <c r="AA1614" i="1"/>
  <c r="Z1614" i="1"/>
  <c r="Y1614" i="1"/>
  <c r="AA1613" i="1"/>
  <c r="Z1613" i="1"/>
  <c r="Y1613" i="1"/>
  <c r="AA1612" i="1"/>
  <c r="Z1612" i="1"/>
  <c r="Y1612" i="1"/>
  <c r="AA1611" i="1"/>
  <c r="Z1611" i="1"/>
  <c r="Y1611" i="1"/>
  <c r="AA1610" i="1"/>
  <c r="Z1610" i="1"/>
  <c r="Y1610" i="1"/>
  <c r="AA1609" i="1"/>
  <c r="Z1609" i="1"/>
  <c r="Y1609" i="1"/>
  <c r="AA1608" i="1"/>
  <c r="Z1608" i="1"/>
  <c r="Y1608" i="1"/>
  <c r="AA1607" i="1"/>
  <c r="Z1607" i="1"/>
  <c r="Y1607" i="1"/>
  <c r="AA1606" i="1"/>
  <c r="Z1606" i="1"/>
  <c r="Y1606" i="1"/>
  <c r="AA1605" i="1"/>
  <c r="Z1605" i="1"/>
  <c r="Y1605" i="1"/>
  <c r="AA1604" i="1"/>
  <c r="Z1604" i="1"/>
  <c r="Y1604" i="1"/>
  <c r="AA1603" i="1"/>
  <c r="Z1603" i="1"/>
  <c r="Y1603" i="1"/>
  <c r="AA1602" i="1"/>
  <c r="Z1602" i="1"/>
  <c r="Y1602" i="1"/>
  <c r="AA1601" i="1"/>
  <c r="Z1601" i="1"/>
  <c r="Y1601" i="1"/>
  <c r="AA1600" i="1"/>
  <c r="Z1600" i="1"/>
  <c r="Y1600" i="1"/>
  <c r="AA1599" i="1"/>
  <c r="Z1599" i="1"/>
  <c r="Y1599" i="1"/>
  <c r="AA1598" i="1"/>
  <c r="Z1598" i="1"/>
  <c r="Y1598" i="1"/>
  <c r="AA1597" i="1"/>
  <c r="Z1597" i="1"/>
  <c r="Y1597" i="1"/>
  <c r="AA1596" i="1"/>
  <c r="Z1596" i="1"/>
  <c r="Y1596" i="1"/>
  <c r="AA1595" i="1"/>
  <c r="Z1595" i="1"/>
  <c r="Y1595" i="1"/>
  <c r="AA1594" i="1"/>
  <c r="Z1594" i="1"/>
  <c r="Y1594" i="1"/>
  <c r="AA1593" i="1"/>
  <c r="Z1593" i="1"/>
  <c r="Y1593" i="1"/>
  <c r="AA1592" i="1"/>
  <c r="Z1592" i="1"/>
  <c r="Y1592" i="1"/>
  <c r="AA1591" i="1"/>
  <c r="Z1591" i="1"/>
  <c r="Y1591" i="1"/>
  <c r="AA1590" i="1"/>
  <c r="Z1590" i="1"/>
  <c r="Y1590" i="1"/>
  <c r="AA1589" i="1"/>
  <c r="Z1589" i="1"/>
  <c r="Y1589" i="1"/>
  <c r="AA1588" i="1"/>
  <c r="Z1588" i="1"/>
  <c r="Y1588" i="1"/>
  <c r="AA1587" i="1"/>
  <c r="Z1587" i="1"/>
  <c r="Y1587" i="1"/>
  <c r="AA1586" i="1"/>
  <c r="Z1586" i="1"/>
  <c r="Y1586" i="1"/>
  <c r="AA1585" i="1"/>
  <c r="Z1585" i="1"/>
  <c r="Y1585" i="1"/>
  <c r="AA1584" i="1"/>
  <c r="Z1584" i="1"/>
  <c r="Y1584" i="1"/>
  <c r="AA1583" i="1"/>
  <c r="Z1583" i="1"/>
  <c r="Y1583" i="1"/>
  <c r="AA1582" i="1"/>
  <c r="Z1582" i="1"/>
  <c r="Y1582" i="1"/>
  <c r="AA1581" i="1"/>
  <c r="Z1581" i="1"/>
  <c r="Y1581" i="1"/>
  <c r="AA1580" i="1"/>
  <c r="Z1580" i="1"/>
  <c r="Y1580" i="1"/>
  <c r="AA1579" i="1"/>
  <c r="Z1579" i="1"/>
  <c r="Y1579" i="1"/>
  <c r="AA1578" i="1"/>
  <c r="Z1578" i="1"/>
  <c r="Y1578" i="1"/>
  <c r="AA1577" i="1"/>
  <c r="Z1577" i="1"/>
  <c r="Y1577" i="1"/>
  <c r="AA1576" i="1"/>
  <c r="Z1576" i="1"/>
  <c r="Y1576" i="1"/>
  <c r="AA1575" i="1"/>
  <c r="Z1575" i="1"/>
  <c r="Y1575" i="1"/>
  <c r="AA1574" i="1"/>
  <c r="Z1574" i="1"/>
  <c r="Y1574" i="1"/>
  <c r="AA1573" i="1"/>
  <c r="Z1573" i="1"/>
  <c r="Y1573" i="1"/>
  <c r="AA1572" i="1"/>
  <c r="Z1572" i="1"/>
  <c r="Y1572" i="1"/>
  <c r="AA1571" i="1"/>
  <c r="Z1571" i="1"/>
  <c r="Y1571" i="1"/>
  <c r="AA1570" i="1"/>
  <c r="Z1570" i="1"/>
  <c r="Y1570" i="1"/>
  <c r="AA1569" i="1"/>
  <c r="Z1569" i="1"/>
  <c r="Y1569" i="1"/>
  <c r="AA1568" i="1"/>
  <c r="Z1568" i="1"/>
  <c r="Y1568" i="1"/>
  <c r="AA1567" i="1"/>
  <c r="Z1567" i="1"/>
  <c r="Y1567" i="1"/>
  <c r="AA1566" i="1"/>
  <c r="Z1566" i="1"/>
  <c r="Y1566" i="1"/>
  <c r="AA1565" i="1"/>
  <c r="Z1565" i="1"/>
  <c r="Y1565" i="1"/>
  <c r="AA1564" i="1"/>
  <c r="Z1564" i="1"/>
  <c r="Y1564" i="1"/>
  <c r="AA1563" i="1"/>
  <c r="Z1563" i="1"/>
  <c r="Y1563" i="1"/>
  <c r="AA1562" i="1"/>
  <c r="Z1562" i="1"/>
  <c r="Y1562" i="1"/>
  <c r="AA1561" i="1"/>
  <c r="Z1561" i="1"/>
  <c r="Y1561" i="1"/>
  <c r="AA1560" i="1"/>
  <c r="Z1560" i="1"/>
  <c r="Y1560" i="1"/>
  <c r="AA1559" i="1"/>
  <c r="Z1559" i="1"/>
  <c r="Y1559" i="1"/>
  <c r="AA1558" i="1"/>
  <c r="Z1558" i="1"/>
  <c r="Y1558" i="1"/>
  <c r="AA1557" i="1"/>
  <c r="Z1557" i="1"/>
  <c r="Y1557" i="1"/>
  <c r="AA1556" i="1"/>
  <c r="Z1556" i="1"/>
  <c r="Y1556" i="1"/>
  <c r="AA1555" i="1"/>
  <c r="Z1555" i="1"/>
  <c r="Y1555" i="1"/>
  <c r="AA1554" i="1"/>
  <c r="Z1554" i="1"/>
  <c r="Y1554" i="1"/>
  <c r="AA1553" i="1"/>
  <c r="Z1553" i="1"/>
  <c r="Y1553" i="1"/>
  <c r="AA1552" i="1"/>
  <c r="Z1552" i="1"/>
  <c r="Y1552" i="1"/>
  <c r="AA1551" i="1"/>
  <c r="Z1551" i="1"/>
  <c r="Y1551" i="1"/>
  <c r="AA1550" i="1"/>
  <c r="Z1550" i="1"/>
  <c r="Y1550" i="1"/>
  <c r="AA1549" i="1"/>
  <c r="Z1549" i="1"/>
  <c r="Y1549" i="1"/>
  <c r="AA1548" i="1"/>
  <c r="Z1548" i="1"/>
  <c r="Y1548" i="1"/>
  <c r="AA1547" i="1"/>
  <c r="Z1547" i="1"/>
  <c r="Y1547" i="1"/>
  <c r="AA1546" i="1"/>
  <c r="Z1546" i="1"/>
  <c r="Y1546" i="1"/>
  <c r="AA1545" i="1"/>
  <c r="Z1545" i="1"/>
  <c r="Y1545" i="1"/>
  <c r="AA1544" i="1"/>
  <c r="Z1544" i="1"/>
  <c r="Y1544" i="1"/>
  <c r="AA1543" i="1"/>
  <c r="Z1543" i="1"/>
  <c r="Y1543" i="1"/>
  <c r="AA1542" i="1"/>
  <c r="Z1542" i="1"/>
  <c r="Y1542" i="1"/>
  <c r="AA1541" i="1"/>
  <c r="Z1541" i="1"/>
  <c r="Y1541" i="1"/>
  <c r="AA1540" i="1"/>
  <c r="Z1540" i="1"/>
  <c r="Y1540" i="1"/>
  <c r="AA1539" i="1"/>
  <c r="Z1539" i="1"/>
  <c r="Y1539" i="1"/>
  <c r="AA1538" i="1"/>
  <c r="Z1538" i="1"/>
  <c r="Y1538" i="1"/>
  <c r="AA1537" i="1"/>
  <c r="Z1537" i="1"/>
  <c r="Y1537" i="1"/>
  <c r="AA1536" i="1"/>
  <c r="Z1536" i="1"/>
  <c r="Y1536" i="1"/>
  <c r="AA1535" i="1"/>
  <c r="Z1535" i="1"/>
  <c r="Y1535" i="1"/>
  <c r="AA1534" i="1"/>
  <c r="Z1534" i="1"/>
  <c r="Y1534" i="1"/>
  <c r="AA1533" i="1"/>
  <c r="Z1533" i="1"/>
  <c r="Y1533" i="1"/>
  <c r="AA1532" i="1"/>
  <c r="Z1532" i="1"/>
  <c r="Y1532" i="1"/>
  <c r="AA1531" i="1"/>
  <c r="Z1531" i="1"/>
  <c r="Y1531" i="1"/>
  <c r="AA1530" i="1"/>
  <c r="Z1530" i="1"/>
  <c r="Y1530" i="1"/>
  <c r="AA1529" i="1"/>
  <c r="Z1529" i="1"/>
  <c r="Y1529" i="1"/>
  <c r="AA1528" i="1"/>
  <c r="Z1528" i="1"/>
  <c r="Y1528" i="1"/>
  <c r="AA1527" i="1"/>
  <c r="Z1527" i="1"/>
  <c r="Y1527" i="1"/>
  <c r="AA1526" i="1"/>
  <c r="Z1526" i="1"/>
  <c r="Y1526" i="1"/>
  <c r="AA1525" i="1"/>
  <c r="Z1525" i="1"/>
  <c r="Y1525" i="1"/>
  <c r="AA1524" i="1"/>
  <c r="Z1524" i="1"/>
  <c r="Y1524" i="1"/>
  <c r="AA1523" i="1"/>
  <c r="Z1523" i="1"/>
  <c r="Y1523" i="1"/>
  <c r="AA1522" i="1"/>
  <c r="Z1522" i="1"/>
  <c r="Y1522" i="1"/>
  <c r="AA1521" i="1"/>
  <c r="Z1521" i="1"/>
  <c r="Y1521" i="1"/>
  <c r="AA1520" i="1"/>
  <c r="Z1520" i="1"/>
  <c r="Y1520" i="1"/>
  <c r="AA1519" i="1"/>
  <c r="Z1519" i="1"/>
  <c r="Y1519" i="1"/>
  <c r="AA1518" i="1"/>
  <c r="Z1518" i="1"/>
  <c r="Y1518" i="1"/>
  <c r="AA1517" i="1"/>
  <c r="Z1517" i="1"/>
  <c r="Y1517" i="1"/>
  <c r="AA1516" i="1"/>
  <c r="Z1516" i="1"/>
  <c r="Y1516" i="1"/>
  <c r="AA1515" i="1"/>
  <c r="Z1515" i="1"/>
  <c r="Y1515" i="1"/>
  <c r="AA1514" i="1"/>
  <c r="Z1514" i="1"/>
  <c r="Y1514" i="1"/>
  <c r="AA1513" i="1"/>
  <c r="Z1513" i="1"/>
  <c r="Y1513" i="1"/>
  <c r="AA1512" i="1"/>
  <c r="Z1512" i="1"/>
  <c r="Y1512" i="1"/>
  <c r="AA1511" i="1"/>
  <c r="Z1511" i="1"/>
  <c r="Y1511" i="1"/>
  <c r="AA1510" i="1"/>
  <c r="Z1510" i="1"/>
  <c r="Y1510" i="1"/>
  <c r="AA1509" i="1"/>
  <c r="Z1509" i="1"/>
  <c r="Y1509" i="1"/>
  <c r="AA1508" i="1"/>
  <c r="Z1508" i="1"/>
  <c r="Y1508" i="1"/>
  <c r="AA1507" i="1"/>
  <c r="Z1507" i="1"/>
  <c r="Y1507" i="1"/>
  <c r="AA1506" i="1"/>
  <c r="Z1506" i="1"/>
  <c r="Y1506" i="1"/>
  <c r="AA1505" i="1"/>
  <c r="Z1505" i="1"/>
  <c r="Y1505" i="1"/>
  <c r="AA1504" i="1"/>
  <c r="Z1504" i="1"/>
  <c r="Y1504" i="1"/>
  <c r="AA1503" i="1"/>
  <c r="Z1503" i="1"/>
  <c r="Y1503" i="1"/>
  <c r="AA1502" i="1"/>
  <c r="Z1502" i="1"/>
  <c r="Y1502" i="1"/>
  <c r="AA1501" i="1"/>
  <c r="Z1501" i="1"/>
  <c r="Y1501" i="1"/>
  <c r="AA1500" i="1"/>
  <c r="Z1500" i="1"/>
  <c r="Y1500" i="1"/>
  <c r="AA1499" i="1"/>
  <c r="Z1499" i="1"/>
  <c r="Y1499" i="1"/>
  <c r="AA1498" i="1"/>
  <c r="Z1498" i="1"/>
  <c r="Y1498" i="1"/>
  <c r="AA1497" i="1"/>
  <c r="Z1497" i="1"/>
  <c r="Y1497" i="1"/>
  <c r="AA1496" i="1"/>
  <c r="Z1496" i="1"/>
  <c r="Y1496" i="1"/>
  <c r="AA1495" i="1"/>
  <c r="Z1495" i="1"/>
  <c r="Y1495" i="1"/>
  <c r="AA1494" i="1"/>
  <c r="Z1494" i="1"/>
  <c r="Y1494" i="1"/>
  <c r="AA1493" i="1"/>
  <c r="Z1493" i="1"/>
  <c r="Y1493" i="1"/>
  <c r="AA1492" i="1"/>
  <c r="Z1492" i="1"/>
  <c r="Y1492" i="1"/>
  <c r="AA1491" i="1"/>
  <c r="Z1491" i="1"/>
  <c r="Y1491" i="1"/>
  <c r="AA1490" i="1"/>
  <c r="Z1490" i="1"/>
  <c r="Y1490" i="1"/>
  <c r="AA1489" i="1"/>
  <c r="Z1489" i="1"/>
  <c r="Y1489" i="1"/>
  <c r="AA1488" i="1"/>
  <c r="Z1488" i="1"/>
  <c r="Y1488" i="1"/>
  <c r="AA1487" i="1"/>
  <c r="Z1487" i="1"/>
  <c r="Y1487" i="1"/>
  <c r="AA1486" i="1"/>
  <c r="Z1486" i="1"/>
  <c r="Y1486" i="1"/>
  <c r="AA1485" i="1"/>
  <c r="Z1485" i="1"/>
  <c r="Y1485" i="1"/>
  <c r="AA1484" i="1"/>
  <c r="Z1484" i="1"/>
  <c r="Y1484" i="1"/>
  <c r="AA1483" i="1"/>
  <c r="Z1483" i="1"/>
  <c r="Y1483" i="1"/>
  <c r="AA1482" i="1"/>
  <c r="Z1482" i="1"/>
  <c r="Y1482" i="1"/>
  <c r="AA1481" i="1"/>
  <c r="Z1481" i="1"/>
  <c r="Y1481" i="1"/>
  <c r="AA1480" i="1"/>
  <c r="Z1480" i="1"/>
  <c r="Y1480" i="1"/>
  <c r="AA1479" i="1"/>
  <c r="Z1479" i="1"/>
  <c r="Y1479" i="1"/>
  <c r="AA1478" i="1"/>
  <c r="Z1478" i="1"/>
  <c r="Y1478" i="1"/>
  <c r="AA1477" i="1"/>
  <c r="Z1477" i="1"/>
  <c r="Y1477" i="1"/>
  <c r="AA1476" i="1"/>
  <c r="Z1476" i="1"/>
  <c r="Y1476" i="1"/>
  <c r="AA1475" i="1"/>
  <c r="Z1475" i="1"/>
  <c r="Y1475" i="1"/>
  <c r="AA1474" i="1"/>
  <c r="Z1474" i="1"/>
  <c r="Y1474" i="1"/>
  <c r="AA1473" i="1"/>
  <c r="Z1473" i="1"/>
  <c r="Y1473" i="1"/>
  <c r="AA1472" i="1"/>
  <c r="Z1472" i="1"/>
  <c r="Y1472" i="1"/>
  <c r="AA1471" i="1"/>
  <c r="Z1471" i="1"/>
  <c r="Y1471" i="1"/>
  <c r="AA1470" i="1"/>
  <c r="Z1470" i="1"/>
  <c r="Y1470" i="1"/>
  <c r="AA1469" i="1"/>
  <c r="Z1469" i="1"/>
  <c r="Y1469" i="1"/>
  <c r="AA1468" i="1"/>
  <c r="Z1468" i="1"/>
  <c r="Y1468" i="1"/>
  <c r="AA1467" i="1"/>
  <c r="Z1467" i="1"/>
  <c r="Y1467" i="1"/>
  <c r="AA1466" i="1"/>
  <c r="Z1466" i="1"/>
  <c r="Y1466" i="1"/>
  <c r="AA1465" i="1"/>
  <c r="Z1465" i="1"/>
  <c r="Y1465" i="1"/>
  <c r="AA1464" i="1"/>
  <c r="Z1464" i="1"/>
  <c r="Y1464" i="1"/>
  <c r="AA1463" i="1"/>
  <c r="Z1463" i="1"/>
  <c r="Y1463" i="1"/>
  <c r="AA1462" i="1"/>
  <c r="Z1462" i="1"/>
  <c r="Y1462" i="1"/>
  <c r="AA1461" i="1"/>
  <c r="Z1461" i="1"/>
  <c r="Y1461" i="1"/>
  <c r="AA1460" i="1"/>
  <c r="Z1460" i="1"/>
  <c r="Y1460" i="1"/>
  <c r="AA1459" i="1"/>
  <c r="Z1459" i="1"/>
  <c r="Y1459" i="1"/>
  <c r="AA1458" i="1"/>
  <c r="Z1458" i="1"/>
  <c r="Y1458" i="1"/>
  <c r="AA1457" i="1"/>
  <c r="Z1457" i="1"/>
  <c r="Y1457" i="1"/>
  <c r="AA1456" i="1"/>
  <c r="Z1456" i="1"/>
  <c r="Y1456" i="1"/>
  <c r="AA1455" i="1"/>
  <c r="Z1455" i="1"/>
  <c r="Y1455" i="1"/>
  <c r="AA1454" i="1"/>
  <c r="Z1454" i="1"/>
  <c r="Y1454" i="1"/>
  <c r="AA1453" i="1"/>
  <c r="Z1453" i="1"/>
  <c r="Y1453" i="1"/>
  <c r="AA1452" i="1"/>
  <c r="Z1452" i="1"/>
  <c r="Y1452" i="1"/>
  <c r="AA1451" i="1"/>
  <c r="Z1451" i="1"/>
  <c r="Y1451" i="1"/>
  <c r="AA1450" i="1"/>
  <c r="Z1450" i="1"/>
  <c r="Y1450" i="1"/>
  <c r="AA1449" i="1"/>
  <c r="Z1449" i="1"/>
  <c r="Y1449" i="1"/>
  <c r="AA1448" i="1"/>
  <c r="Z1448" i="1"/>
  <c r="Y1448" i="1"/>
  <c r="AA1447" i="1"/>
  <c r="Z1447" i="1"/>
  <c r="Y1447" i="1"/>
  <c r="AA1446" i="1"/>
  <c r="Z1446" i="1"/>
  <c r="Y1446" i="1"/>
  <c r="AA1445" i="1"/>
  <c r="Z1445" i="1"/>
  <c r="Y1445" i="1"/>
  <c r="AA1444" i="1"/>
  <c r="Z1444" i="1"/>
  <c r="Y1444" i="1"/>
  <c r="AA1443" i="1"/>
  <c r="Z1443" i="1"/>
  <c r="Y1443" i="1"/>
  <c r="AA1442" i="1"/>
  <c r="Z1442" i="1"/>
  <c r="Y1442" i="1"/>
  <c r="AA1441" i="1"/>
  <c r="Z1441" i="1"/>
  <c r="Y1441" i="1"/>
  <c r="AA1440" i="1"/>
  <c r="Z1440" i="1"/>
  <c r="Y1440" i="1"/>
  <c r="AA1439" i="1"/>
  <c r="Z1439" i="1"/>
  <c r="Y1439" i="1"/>
  <c r="AA1438" i="1"/>
  <c r="Z1438" i="1"/>
  <c r="Y1438" i="1"/>
  <c r="AA1437" i="1"/>
  <c r="Z1437" i="1"/>
  <c r="Y1437" i="1"/>
  <c r="AA1436" i="1"/>
  <c r="Z1436" i="1"/>
  <c r="Y1436" i="1"/>
  <c r="AA1435" i="1"/>
  <c r="Z1435" i="1"/>
  <c r="Y1435" i="1"/>
  <c r="AA1434" i="1"/>
  <c r="Z1434" i="1"/>
  <c r="Y1434" i="1"/>
  <c r="AA1433" i="1"/>
  <c r="Z1433" i="1"/>
  <c r="Y1433" i="1"/>
  <c r="AA1432" i="1"/>
  <c r="Z1432" i="1"/>
  <c r="Y1432" i="1"/>
  <c r="AA1431" i="1"/>
  <c r="Z1431" i="1"/>
  <c r="Y1431" i="1"/>
  <c r="AA1430" i="1"/>
  <c r="Z1430" i="1"/>
  <c r="Y1430" i="1"/>
  <c r="AA1429" i="1"/>
  <c r="Z1429" i="1"/>
  <c r="Y1429" i="1"/>
  <c r="AA1428" i="1"/>
  <c r="Z1428" i="1"/>
  <c r="Y1428" i="1"/>
  <c r="AA1427" i="1"/>
  <c r="Z1427" i="1"/>
  <c r="Y1427" i="1"/>
  <c r="AA1426" i="1"/>
  <c r="Z1426" i="1"/>
  <c r="Y1426" i="1"/>
  <c r="AA1425" i="1"/>
  <c r="Z1425" i="1"/>
  <c r="Y1425" i="1"/>
  <c r="AA1424" i="1"/>
  <c r="Z1424" i="1"/>
  <c r="Y1424" i="1"/>
  <c r="AA1423" i="1"/>
  <c r="Z1423" i="1"/>
  <c r="Y1423" i="1"/>
  <c r="AA1422" i="1"/>
  <c r="Z1422" i="1"/>
  <c r="Y1422" i="1"/>
  <c r="AA1421" i="1"/>
  <c r="Z1421" i="1"/>
  <c r="Y1421" i="1"/>
  <c r="AA1420" i="1"/>
  <c r="Z1420" i="1"/>
  <c r="Y1420" i="1"/>
  <c r="AA1419" i="1"/>
  <c r="Z1419" i="1"/>
  <c r="Y1419" i="1"/>
  <c r="AA1418" i="1"/>
  <c r="Z1418" i="1"/>
  <c r="Y1418" i="1"/>
  <c r="AA1417" i="1"/>
  <c r="Z1417" i="1"/>
  <c r="Y1417" i="1"/>
  <c r="AA1416" i="1"/>
  <c r="Z1416" i="1"/>
  <c r="Y1416" i="1"/>
  <c r="AA1415" i="1"/>
  <c r="Z1415" i="1"/>
  <c r="Y1415" i="1"/>
  <c r="AA1414" i="1"/>
  <c r="Z1414" i="1"/>
  <c r="Y1414" i="1"/>
  <c r="AA1413" i="1"/>
  <c r="Z1413" i="1"/>
  <c r="Y1413" i="1"/>
  <c r="AA1412" i="1"/>
  <c r="Z1412" i="1"/>
  <c r="Y1412" i="1"/>
  <c r="AA1411" i="1"/>
  <c r="Z1411" i="1"/>
  <c r="Y1411" i="1"/>
  <c r="AA1410" i="1"/>
  <c r="Z1410" i="1"/>
  <c r="Y1410" i="1"/>
  <c r="AA1409" i="1"/>
  <c r="Z1409" i="1"/>
  <c r="Y1409" i="1"/>
  <c r="AA1408" i="1"/>
  <c r="Z1408" i="1"/>
  <c r="Y1408" i="1"/>
  <c r="AA1407" i="1"/>
  <c r="Z1407" i="1"/>
  <c r="Y1407" i="1"/>
  <c r="AA1406" i="1"/>
  <c r="Z1406" i="1"/>
  <c r="Y1406" i="1"/>
  <c r="AA1405" i="1"/>
  <c r="Z1405" i="1"/>
  <c r="Y1405" i="1"/>
  <c r="AA1404" i="1"/>
  <c r="Z1404" i="1"/>
  <c r="Y1404" i="1"/>
  <c r="AA1403" i="1"/>
  <c r="Z1403" i="1"/>
  <c r="Y1403" i="1"/>
  <c r="AA1402" i="1"/>
  <c r="Z1402" i="1"/>
  <c r="Y1402" i="1"/>
  <c r="AA1401" i="1"/>
  <c r="Z1401" i="1"/>
  <c r="Y1401" i="1"/>
  <c r="AA1400" i="1"/>
  <c r="Z1400" i="1"/>
  <c r="Y1400" i="1"/>
  <c r="AA1399" i="1"/>
  <c r="Z1399" i="1"/>
  <c r="Y1399" i="1"/>
  <c r="AA1398" i="1"/>
  <c r="Z1398" i="1"/>
  <c r="Y1398" i="1"/>
  <c r="AA1397" i="1"/>
  <c r="Z1397" i="1"/>
  <c r="Y1397" i="1"/>
  <c r="AA1396" i="1"/>
  <c r="Z1396" i="1"/>
  <c r="Y1396" i="1"/>
  <c r="AA1395" i="1"/>
  <c r="Z1395" i="1"/>
  <c r="Y1395" i="1"/>
  <c r="AA1394" i="1"/>
  <c r="Z1394" i="1"/>
  <c r="Y1394" i="1"/>
  <c r="AA1393" i="1"/>
  <c r="Z1393" i="1"/>
  <c r="Y1393" i="1"/>
  <c r="AA1392" i="1"/>
  <c r="Z1392" i="1"/>
  <c r="Y1392" i="1"/>
  <c r="AA1391" i="1"/>
  <c r="Z1391" i="1"/>
  <c r="Y1391" i="1"/>
  <c r="AA1390" i="1"/>
  <c r="Z1390" i="1"/>
  <c r="Y1390" i="1"/>
  <c r="AA1389" i="1"/>
  <c r="Z1389" i="1"/>
  <c r="Y1389" i="1"/>
  <c r="AA1388" i="1"/>
  <c r="Z1388" i="1"/>
  <c r="Y1388" i="1"/>
  <c r="AA1387" i="1"/>
  <c r="Z1387" i="1"/>
  <c r="Y1387" i="1"/>
  <c r="AA1386" i="1"/>
  <c r="Z1386" i="1"/>
  <c r="Y1386" i="1"/>
  <c r="AA1385" i="1"/>
  <c r="Z1385" i="1"/>
  <c r="Y1385" i="1"/>
  <c r="AA1384" i="1"/>
  <c r="Z1384" i="1"/>
  <c r="Y1384" i="1"/>
  <c r="AA1383" i="1"/>
  <c r="Z1383" i="1"/>
  <c r="Y1383" i="1"/>
  <c r="AA1382" i="1"/>
  <c r="Z1382" i="1"/>
  <c r="Y1382" i="1"/>
  <c r="AA1381" i="1"/>
  <c r="Z1381" i="1"/>
  <c r="Y1381" i="1"/>
  <c r="AA1380" i="1"/>
  <c r="Z1380" i="1"/>
  <c r="Y1380" i="1"/>
  <c r="AA1379" i="1"/>
  <c r="Z1379" i="1"/>
  <c r="Y1379" i="1"/>
  <c r="AA1378" i="1"/>
  <c r="Z1378" i="1"/>
  <c r="Y1378" i="1"/>
  <c r="AA1377" i="1"/>
  <c r="Z1377" i="1"/>
  <c r="Y1377" i="1"/>
  <c r="AA1376" i="1"/>
  <c r="Z1376" i="1"/>
  <c r="Y1376" i="1"/>
  <c r="AA1375" i="1"/>
  <c r="Z1375" i="1"/>
  <c r="Y1375" i="1"/>
  <c r="AA1374" i="1"/>
  <c r="Z1374" i="1"/>
  <c r="Y1374" i="1"/>
  <c r="AA1373" i="1"/>
  <c r="Z1373" i="1"/>
  <c r="Y1373" i="1"/>
  <c r="AA1372" i="1"/>
  <c r="Z1372" i="1"/>
  <c r="Y1372" i="1"/>
  <c r="AA1371" i="1"/>
  <c r="Z1371" i="1"/>
  <c r="Y1371" i="1"/>
  <c r="AA1370" i="1"/>
  <c r="Z1370" i="1"/>
  <c r="Y1370" i="1"/>
  <c r="AA1369" i="1"/>
  <c r="Z1369" i="1"/>
  <c r="Y1369" i="1"/>
  <c r="AA1368" i="1"/>
  <c r="Z1368" i="1"/>
  <c r="Y1368" i="1"/>
  <c r="AA1367" i="1"/>
  <c r="Z1367" i="1"/>
  <c r="Y1367" i="1"/>
  <c r="AA1366" i="1"/>
  <c r="Z1366" i="1"/>
  <c r="Y1366" i="1"/>
  <c r="AA1365" i="1"/>
  <c r="Z1365" i="1"/>
  <c r="Y1365" i="1"/>
  <c r="AA1364" i="1"/>
  <c r="Z1364" i="1"/>
  <c r="Y1364" i="1"/>
  <c r="AA1363" i="1"/>
  <c r="Z1363" i="1"/>
  <c r="Y1363" i="1"/>
  <c r="AA1362" i="1"/>
  <c r="Z1362" i="1"/>
  <c r="Y1362" i="1"/>
  <c r="AA1361" i="1"/>
  <c r="Z1361" i="1"/>
  <c r="Y1361" i="1"/>
  <c r="AA1360" i="1"/>
  <c r="Z1360" i="1"/>
  <c r="Y1360" i="1"/>
  <c r="AA1359" i="1"/>
  <c r="Z1359" i="1"/>
  <c r="Y1359" i="1"/>
  <c r="AA1358" i="1"/>
  <c r="Z1358" i="1"/>
  <c r="Y1358" i="1"/>
  <c r="AA1357" i="1"/>
  <c r="Z1357" i="1"/>
  <c r="Y1357" i="1"/>
  <c r="AA1356" i="1"/>
  <c r="Z1356" i="1"/>
  <c r="Y1356" i="1"/>
  <c r="AA1355" i="1"/>
  <c r="Z1355" i="1"/>
  <c r="Y1355" i="1"/>
  <c r="AA1354" i="1"/>
  <c r="Z1354" i="1"/>
  <c r="Y1354" i="1"/>
  <c r="AA1353" i="1"/>
  <c r="Z1353" i="1"/>
  <c r="Y1353" i="1"/>
  <c r="AA1352" i="1"/>
  <c r="Z1352" i="1"/>
  <c r="Y1352" i="1"/>
  <c r="AA1351" i="1"/>
  <c r="Z1351" i="1"/>
  <c r="Y1351" i="1"/>
  <c r="AA1350" i="1"/>
  <c r="Z1350" i="1"/>
  <c r="Y1350" i="1"/>
  <c r="AA1349" i="1"/>
  <c r="Z1349" i="1"/>
  <c r="Y1349" i="1"/>
  <c r="AA1348" i="1"/>
  <c r="Z1348" i="1"/>
  <c r="Y1348" i="1"/>
  <c r="AA1347" i="1"/>
  <c r="Z1347" i="1"/>
  <c r="Y1347" i="1"/>
  <c r="AA1346" i="1"/>
  <c r="Z1346" i="1"/>
  <c r="Y1346" i="1"/>
  <c r="AA1345" i="1"/>
  <c r="Z1345" i="1"/>
  <c r="Y1345" i="1"/>
  <c r="AA1344" i="1"/>
  <c r="Z1344" i="1"/>
  <c r="Y1344" i="1"/>
  <c r="AA1343" i="1"/>
  <c r="Z1343" i="1"/>
  <c r="Y1343" i="1"/>
  <c r="AA1342" i="1"/>
  <c r="Z1342" i="1"/>
  <c r="Y1342" i="1"/>
  <c r="AA1341" i="1"/>
  <c r="Z1341" i="1"/>
  <c r="Y1341" i="1"/>
  <c r="AA1340" i="1"/>
  <c r="Z1340" i="1"/>
  <c r="Y1340" i="1"/>
  <c r="AA1339" i="1"/>
  <c r="Z1339" i="1"/>
  <c r="Y1339" i="1"/>
  <c r="AA1338" i="1"/>
  <c r="Z1338" i="1"/>
  <c r="Y1338" i="1"/>
  <c r="AA1337" i="1"/>
  <c r="Z1337" i="1"/>
  <c r="Y1337" i="1"/>
  <c r="AA1336" i="1"/>
  <c r="Z1336" i="1"/>
  <c r="Y1336" i="1"/>
  <c r="AA1335" i="1"/>
  <c r="Z1335" i="1"/>
  <c r="Y1335" i="1"/>
  <c r="AA1334" i="1"/>
  <c r="Z1334" i="1"/>
  <c r="Y1334" i="1"/>
  <c r="AA1333" i="1"/>
  <c r="Z1333" i="1"/>
  <c r="Y1333" i="1"/>
  <c r="AA1332" i="1"/>
  <c r="Z1332" i="1"/>
  <c r="Y1332" i="1"/>
  <c r="AA1331" i="1"/>
  <c r="Z1331" i="1"/>
  <c r="Y1331" i="1"/>
  <c r="AA1330" i="1"/>
  <c r="Z1330" i="1"/>
  <c r="Y1330" i="1"/>
  <c r="AA1329" i="1"/>
  <c r="Z1329" i="1"/>
  <c r="Y1329" i="1"/>
  <c r="AA1328" i="1"/>
  <c r="Z1328" i="1"/>
  <c r="Y1328" i="1"/>
  <c r="AA1327" i="1"/>
  <c r="Z1327" i="1"/>
  <c r="Y1327" i="1"/>
  <c r="AA1326" i="1"/>
  <c r="Z1326" i="1"/>
  <c r="Y1326" i="1"/>
  <c r="AA1325" i="1"/>
  <c r="Z1325" i="1"/>
  <c r="Y1325" i="1"/>
  <c r="AA1324" i="1"/>
  <c r="Z1324" i="1"/>
  <c r="Y1324" i="1"/>
  <c r="AA1323" i="1"/>
  <c r="Z1323" i="1"/>
  <c r="Y1323" i="1"/>
  <c r="AA1322" i="1"/>
  <c r="Z1322" i="1"/>
  <c r="Y1322" i="1"/>
  <c r="AA1321" i="1"/>
  <c r="Z1321" i="1"/>
  <c r="Y1321" i="1"/>
  <c r="AA1320" i="1"/>
  <c r="Z1320" i="1"/>
  <c r="Y1320" i="1"/>
  <c r="AA1319" i="1"/>
  <c r="Z1319" i="1"/>
  <c r="Y1319" i="1"/>
  <c r="AA1318" i="1"/>
  <c r="Z1318" i="1"/>
  <c r="Y1318" i="1"/>
  <c r="AA1317" i="1"/>
  <c r="Z1317" i="1"/>
  <c r="Y1317" i="1"/>
  <c r="AA1316" i="1"/>
  <c r="Z1316" i="1"/>
  <c r="Y1316" i="1"/>
  <c r="AA1315" i="1"/>
  <c r="Z1315" i="1"/>
  <c r="Y1315" i="1"/>
  <c r="AA1314" i="1"/>
  <c r="Z1314" i="1"/>
  <c r="Y1314" i="1"/>
  <c r="AA1313" i="1"/>
  <c r="Z1313" i="1"/>
  <c r="Y1313" i="1"/>
  <c r="AA1312" i="1"/>
  <c r="Z1312" i="1"/>
  <c r="Y1312" i="1"/>
  <c r="AA1311" i="1"/>
  <c r="Z1311" i="1"/>
  <c r="Y1311" i="1"/>
  <c r="AA1310" i="1"/>
  <c r="Z1310" i="1"/>
  <c r="Y1310" i="1"/>
  <c r="AA1309" i="1"/>
  <c r="Z1309" i="1"/>
  <c r="Y1309" i="1"/>
  <c r="AA1308" i="1"/>
  <c r="Z1308" i="1"/>
  <c r="Y1308" i="1"/>
  <c r="AA1307" i="1"/>
  <c r="Z1307" i="1"/>
  <c r="Y1307" i="1"/>
  <c r="AA1306" i="1"/>
  <c r="Z1306" i="1"/>
  <c r="Y1306" i="1"/>
  <c r="AA1305" i="1"/>
  <c r="Z1305" i="1"/>
  <c r="Y1305" i="1"/>
  <c r="AA1304" i="1"/>
  <c r="Z1304" i="1"/>
  <c r="Y1304" i="1"/>
  <c r="AA1303" i="1"/>
  <c r="Z1303" i="1"/>
  <c r="Y1303" i="1"/>
  <c r="AA1302" i="1"/>
  <c r="Z1302" i="1"/>
  <c r="Y1302" i="1"/>
  <c r="AA1301" i="1"/>
  <c r="Z1301" i="1"/>
  <c r="Y1301" i="1"/>
  <c r="AA1300" i="1"/>
  <c r="Z1300" i="1"/>
  <c r="Y1300" i="1"/>
  <c r="AA1299" i="1"/>
  <c r="Z1299" i="1"/>
  <c r="Y1299" i="1"/>
  <c r="AA1298" i="1"/>
  <c r="Z1298" i="1"/>
  <c r="Y1298" i="1"/>
  <c r="AA1297" i="1"/>
  <c r="Z1297" i="1"/>
  <c r="Y1297" i="1"/>
  <c r="AA1296" i="1"/>
  <c r="Z1296" i="1"/>
  <c r="Y1296" i="1"/>
  <c r="AA1295" i="1"/>
  <c r="Z1295" i="1"/>
  <c r="Y1295" i="1"/>
  <c r="AA1294" i="1"/>
  <c r="Z1294" i="1"/>
  <c r="Y1294" i="1"/>
  <c r="AA1293" i="1"/>
  <c r="Z1293" i="1"/>
  <c r="Y1293" i="1"/>
  <c r="AA1292" i="1"/>
  <c r="Z1292" i="1"/>
  <c r="Y1292" i="1"/>
  <c r="AA1291" i="1"/>
  <c r="Z1291" i="1"/>
  <c r="Y1291" i="1"/>
  <c r="AA1290" i="1"/>
  <c r="Z1290" i="1"/>
  <c r="Y1290" i="1"/>
  <c r="AA1289" i="1"/>
  <c r="Z1289" i="1"/>
  <c r="Y1289" i="1"/>
  <c r="AA1288" i="1"/>
  <c r="Z1288" i="1"/>
  <c r="Y1288" i="1"/>
  <c r="AA1287" i="1"/>
  <c r="Z1287" i="1"/>
  <c r="Y1287" i="1"/>
  <c r="AA1286" i="1"/>
  <c r="Z1286" i="1"/>
  <c r="Y1286" i="1"/>
  <c r="AA1285" i="1"/>
  <c r="Z1285" i="1"/>
  <c r="Y1285" i="1"/>
  <c r="AA1284" i="1"/>
  <c r="Z1284" i="1"/>
  <c r="Y1284" i="1"/>
  <c r="AA1283" i="1"/>
  <c r="Z1283" i="1"/>
  <c r="Y1283" i="1"/>
  <c r="AA1282" i="1"/>
  <c r="Z1282" i="1"/>
  <c r="Y1282" i="1"/>
  <c r="AA1281" i="1"/>
  <c r="Z1281" i="1"/>
  <c r="Y1281" i="1"/>
  <c r="AA1280" i="1"/>
  <c r="Z1280" i="1"/>
  <c r="Y1280" i="1"/>
  <c r="AA1279" i="1"/>
  <c r="Z1279" i="1"/>
  <c r="Y1279" i="1"/>
  <c r="AA1278" i="1"/>
  <c r="Z1278" i="1"/>
  <c r="Y1278" i="1"/>
  <c r="AA1277" i="1"/>
  <c r="Z1277" i="1"/>
  <c r="Y1277" i="1"/>
  <c r="AA1276" i="1"/>
  <c r="Z1276" i="1"/>
  <c r="Y1276" i="1"/>
  <c r="AA1275" i="1"/>
  <c r="Z1275" i="1"/>
  <c r="Y1275" i="1"/>
  <c r="AA1274" i="1"/>
  <c r="Z1274" i="1"/>
  <c r="Y1274" i="1"/>
  <c r="AA1273" i="1"/>
  <c r="Z1273" i="1"/>
  <c r="Y1273" i="1"/>
  <c r="AA1272" i="1"/>
  <c r="Z1272" i="1"/>
  <c r="Y1272" i="1"/>
  <c r="AA1271" i="1"/>
  <c r="Z1271" i="1"/>
  <c r="Y1271" i="1"/>
  <c r="AA1270" i="1"/>
  <c r="Z1270" i="1"/>
  <c r="Y1270" i="1"/>
  <c r="AA1269" i="1"/>
  <c r="Z1269" i="1"/>
  <c r="Y1269" i="1"/>
  <c r="AA1268" i="1"/>
  <c r="Z1268" i="1"/>
  <c r="Y1268" i="1"/>
  <c r="AA1267" i="1"/>
  <c r="Z1267" i="1"/>
  <c r="Y1267" i="1"/>
  <c r="AA1266" i="1"/>
  <c r="Z1266" i="1"/>
  <c r="Y1266" i="1"/>
  <c r="AA1265" i="1"/>
  <c r="Z1265" i="1"/>
  <c r="Y1265" i="1"/>
  <c r="AA1264" i="1"/>
  <c r="Z1264" i="1"/>
  <c r="Y1264" i="1"/>
  <c r="AA1263" i="1"/>
  <c r="Z1263" i="1"/>
  <c r="Y1263" i="1"/>
  <c r="AA1262" i="1"/>
  <c r="Z1262" i="1"/>
  <c r="Y1262" i="1"/>
  <c r="AA1261" i="1"/>
  <c r="Z1261" i="1"/>
  <c r="Y1261" i="1"/>
  <c r="AA1260" i="1"/>
  <c r="Z1260" i="1"/>
  <c r="Y1260" i="1"/>
  <c r="AA1259" i="1"/>
  <c r="Z1259" i="1"/>
  <c r="Y1259" i="1"/>
  <c r="AA1258" i="1"/>
  <c r="Z1258" i="1"/>
  <c r="Y1258" i="1"/>
  <c r="AA1257" i="1"/>
  <c r="Z1257" i="1"/>
  <c r="Y1257" i="1"/>
  <c r="AA1256" i="1"/>
  <c r="Z1256" i="1"/>
  <c r="Y1256" i="1"/>
  <c r="AA1255" i="1"/>
  <c r="Z1255" i="1"/>
  <c r="Y1255" i="1"/>
  <c r="AA1254" i="1"/>
  <c r="Z1254" i="1"/>
  <c r="Y1254" i="1"/>
  <c r="AA1253" i="1"/>
  <c r="Z1253" i="1"/>
  <c r="Y1253" i="1"/>
  <c r="AA1252" i="1"/>
  <c r="Z1252" i="1"/>
  <c r="Y1252" i="1"/>
  <c r="AA1251" i="1"/>
  <c r="Z1251" i="1"/>
  <c r="Y1251" i="1"/>
  <c r="AA1250" i="1"/>
  <c r="Z1250" i="1"/>
  <c r="Y1250" i="1"/>
  <c r="AA1249" i="1"/>
  <c r="Z1249" i="1"/>
  <c r="Y1249" i="1"/>
  <c r="AA1248" i="1"/>
  <c r="Z1248" i="1"/>
  <c r="Y1248" i="1"/>
  <c r="AA1247" i="1"/>
  <c r="Z1247" i="1"/>
  <c r="Y1247" i="1"/>
  <c r="AA1246" i="1"/>
  <c r="Z1246" i="1"/>
  <c r="Y1246" i="1"/>
  <c r="AA1245" i="1"/>
  <c r="Z1245" i="1"/>
  <c r="Y1245" i="1"/>
  <c r="AA1244" i="1"/>
  <c r="Z1244" i="1"/>
  <c r="Y1244" i="1"/>
  <c r="AA1243" i="1"/>
  <c r="Z1243" i="1"/>
  <c r="Y1243" i="1"/>
  <c r="AA1242" i="1"/>
  <c r="Z1242" i="1"/>
  <c r="Y1242" i="1"/>
  <c r="AA1241" i="1"/>
  <c r="Z1241" i="1"/>
  <c r="Y1241" i="1"/>
  <c r="AA1240" i="1"/>
  <c r="Z1240" i="1"/>
  <c r="Y1240" i="1"/>
  <c r="AA1239" i="1"/>
  <c r="Z1239" i="1"/>
  <c r="Y1239" i="1"/>
  <c r="AA1238" i="1"/>
  <c r="Z1238" i="1"/>
  <c r="Y1238" i="1"/>
  <c r="AA1237" i="1"/>
  <c r="Z1237" i="1"/>
  <c r="Y1237" i="1"/>
  <c r="AA1236" i="1"/>
  <c r="Z1236" i="1"/>
  <c r="Y1236" i="1"/>
  <c r="AA1235" i="1"/>
  <c r="Z1235" i="1"/>
  <c r="Y1235" i="1"/>
  <c r="AA1234" i="1"/>
  <c r="Z1234" i="1"/>
  <c r="Y1234" i="1"/>
  <c r="AA1233" i="1"/>
  <c r="Z1233" i="1"/>
  <c r="Y1233" i="1"/>
  <c r="AA1232" i="1"/>
  <c r="Z1232" i="1"/>
  <c r="Y1232" i="1"/>
  <c r="AA1231" i="1"/>
  <c r="Z1231" i="1"/>
  <c r="Y1231" i="1"/>
  <c r="AA1230" i="1"/>
  <c r="Z1230" i="1"/>
  <c r="Y1230" i="1"/>
  <c r="AA1229" i="1"/>
  <c r="Z1229" i="1"/>
  <c r="Y1229" i="1"/>
  <c r="AA1228" i="1"/>
  <c r="Z1228" i="1"/>
  <c r="Y1228" i="1"/>
  <c r="AA1227" i="1"/>
  <c r="Z1227" i="1"/>
  <c r="Y1227" i="1"/>
  <c r="AA1226" i="1"/>
  <c r="Z1226" i="1"/>
  <c r="Y1226" i="1"/>
  <c r="AA1225" i="1"/>
  <c r="Z1225" i="1"/>
  <c r="Y1225" i="1"/>
  <c r="AA1224" i="1"/>
  <c r="Z1224" i="1"/>
  <c r="Y1224" i="1"/>
  <c r="AA1223" i="1"/>
  <c r="Z1223" i="1"/>
  <c r="Y1223" i="1"/>
  <c r="AA1222" i="1"/>
  <c r="Z1222" i="1"/>
  <c r="Y1222" i="1"/>
  <c r="AA1221" i="1"/>
  <c r="Z1221" i="1"/>
  <c r="Y1221" i="1"/>
  <c r="AA1220" i="1"/>
  <c r="Z1220" i="1"/>
  <c r="Y1220" i="1"/>
  <c r="AA1219" i="1"/>
  <c r="Z1219" i="1"/>
  <c r="Y1219" i="1"/>
  <c r="AA1218" i="1"/>
  <c r="Z1218" i="1"/>
  <c r="Y1218" i="1"/>
  <c r="AA1217" i="1"/>
  <c r="Z1217" i="1"/>
  <c r="Y1217" i="1"/>
  <c r="AA1216" i="1"/>
  <c r="Z1216" i="1"/>
  <c r="Y1216" i="1"/>
  <c r="AA1215" i="1"/>
  <c r="Z1215" i="1"/>
  <c r="Y1215" i="1"/>
  <c r="AA1214" i="1"/>
  <c r="Z1214" i="1"/>
  <c r="Y1214" i="1"/>
  <c r="AA1213" i="1"/>
  <c r="Z1213" i="1"/>
  <c r="Y1213" i="1"/>
  <c r="AA1212" i="1"/>
  <c r="Z1212" i="1"/>
  <c r="Y1212" i="1"/>
  <c r="AA1211" i="1"/>
  <c r="Z1211" i="1"/>
  <c r="Y1211" i="1"/>
  <c r="AA1210" i="1"/>
  <c r="Z1210" i="1"/>
  <c r="Y1210" i="1"/>
  <c r="AA1209" i="1"/>
  <c r="Z1209" i="1"/>
  <c r="Y1209" i="1"/>
  <c r="AA1208" i="1"/>
  <c r="Z1208" i="1"/>
  <c r="Y1208" i="1"/>
  <c r="AA1207" i="1"/>
  <c r="Z1207" i="1"/>
  <c r="Y1207" i="1"/>
  <c r="AA1206" i="1"/>
  <c r="Z1206" i="1"/>
  <c r="Y1206" i="1"/>
  <c r="AA1205" i="1"/>
  <c r="Z1205" i="1"/>
  <c r="Y1205" i="1"/>
  <c r="AA1204" i="1"/>
  <c r="Z1204" i="1"/>
  <c r="Y1204" i="1"/>
  <c r="AA1203" i="1"/>
  <c r="Z1203" i="1"/>
  <c r="Y1203" i="1"/>
  <c r="AA1202" i="1"/>
  <c r="Z1202" i="1"/>
  <c r="Y1202" i="1"/>
  <c r="AA1201" i="1"/>
  <c r="Z1201" i="1"/>
  <c r="Y1201" i="1"/>
  <c r="AA1200" i="1"/>
  <c r="Z1200" i="1"/>
  <c r="Y1200" i="1"/>
  <c r="AA1199" i="1"/>
  <c r="Z1199" i="1"/>
  <c r="Y1199" i="1"/>
  <c r="AA1198" i="1"/>
  <c r="Z1198" i="1"/>
  <c r="Y1198" i="1"/>
  <c r="AA1197" i="1"/>
  <c r="Z1197" i="1"/>
  <c r="Y1197" i="1"/>
  <c r="AA1196" i="1"/>
  <c r="Z1196" i="1"/>
  <c r="Y1196" i="1"/>
  <c r="AA1195" i="1"/>
  <c r="Z1195" i="1"/>
  <c r="Y1195" i="1"/>
  <c r="AA1194" i="1"/>
  <c r="Z1194" i="1"/>
  <c r="Y1194" i="1"/>
  <c r="AA1193" i="1"/>
  <c r="Z1193" i="1"/>
  <c r="Y1193" i="1"/>
  <c r="AA1192" i="1"/>
  <c r="Z1192" i="1"/>
  <c r="Y1192" i="1"/>
  <c r="AA1191" i="1"/>
  <c r="Z1191" i="1"/>
  <c r="Y1191" i="1"/>
  <c r="AA1190" i="1"/>
  <c r="Z1190" i="1"/>
  <c r="Y1190" i="1"/>
  <c r="AA1189" i="1"/>
  <c r="Z1189" i="1"/>
  <c r="Y1189" i="1"/>
  <c r="AA1188" i="1"/>
  <c r="Z1188" i="1"/>
  <c r="Y1188" i="1"/>
  <c r="AA1187" i="1"/>
  <c r="Z1187" i="1"/>
  <c r="Y1187" i="1"/>
  <c r="AA1186" i="1"/>
  <c r="Z1186" i="1"/>
  <c r="Y1186" i="1"/>
  <c r="AA1185" i="1"/>
  <c r="Z1185" i="1"/>
  <c r="Y1185" i="1"/>
  <c r="AA1184" i="1"/>
  <c r="Z1184" i="1"/>
  <c r="Y1184" i="1"/>
  <c r="AA1183" i="1"/>
  <c r="Z1183" i="1"/>
  <c r="Y1183" i="1"/>
  <c r="AA1182" i="1"/>
  <c r="Z1182" i="1"/>
  <c r="Y1182" i="1"/>
  <c r="AA1181" i="1"/>
  <c r="Z1181" i="1"/>
  <c r="Y1181" i="1"/>
  <c r="AA1180" i="1"/>
  <c r="Z1180" i="1"/>
  <c r="Y1180" i="1"/>
  <c r="AA1179" i="1"/>
  <c r="Z1179" i="1"/>
  <c r="Y1179" i="1"/>
  <c r="AA1178" i="1"/>
  <c r="Z1178" i="1"/>
  <c r="Y1178" i="1"/>
  <c r="AA1177" i="1"/>
  <c r="Z1177" i="1"/>
  <c r="Y1177" i="1"/>
  <c r="AA1176" i="1"/>
  <c r="Z1176" i="1"/>
  <c r="Y1176" i="1"/>
  <c r="AA1175" i="1"/>
  <c r="Z1175" i="1"/>
  <c r="Y1175" i="1"/>
  <c r="AA1174" i="1"/>
  <c r="Z1174" i="1"/>
  <c r="Y1174" i="1"/>
  <c r="AA1173" i="1"/>
  <c r="Z1173" i="1"/>
  <c r="Y1173" i="1"/>
  <c r="AA1172" i="1"/>
  <c r="Z1172" i="1"/>
  <c r="Y1172" i="1"/>
  <c r="AA1171" i="1"/>
  <c r="Z1171" i="1"/>
  <c r="Y1171" i="1"/>
  <c r="AA1170" i="1"/>
  <c r="Z1170" i="1"/>
  <c r="Y1170" i="1"/>
  <c r="AA1169" i="1"/>
  <c r="Z1169" i="1"/>
  <c r="Y1169" i="1"/>
  <c r="AA1168" i="1"/>
  <c r="Z1168" i="1"/>
  <c r="Y1168" i="1"/>
  <c r="AA1167" i="1"/>
  <c r="Z1167" i="1"/>
  <c r="Y1167" i="1"/>
  <c r="AA1166" i="1"/>
  <c r="Z1166" i="1"/>
  <c r="Y1166" i="1"/>
  <c r="AA1165" i="1"/>
  <c r="Z1165" i="1"/>
  <c r="Y1165" i="1"/>
  <c r="AA1164" i="1"/>
  <c r="Z1164" i="1"/>
  <c r="Y1164" i="1"/>
  <c r="AA1163" i="1"/>
  <c r="Z1163" i="1"/>
  <c r="Y1163" i="1"/>
  <c r="AA1162" i="1"/>
  <c r="Z1162" i="1"/>
  <c r="Y1162" i="1"/>
  <c r="AA1161" i="1"/>
  <c r="Z1161" i="1"/>
  <c r="Y1161" i="1"/>
  <c r="AA1160" i="1"/>
  <c r="Z1160" i="1"/>
  <c r="Y1160" i="1"/>
  <c r="AA1159" i="1"/>
  <c r="Z1159" i="1"/>
  <c r="Y1159" i="1"/>
  <c r="AA1158" i="1"/>
  <c r="Z1158" i="1"/>
  <c r="Y1158" i="1"/>
  <c r="AA1157" i="1"/>
  <c r="Z1157" i="1"/>
  <c r="Y1157" i="1"/>
  <c r="AA1156" i="1"/>
  <c r="Z1156" i="1"/>
  <c r="Y1156" i="1"/>
  <c r="AA1155" i="1"/>
  <c r="Z1155" i="1"/>
  <c r="Y1155" i="1"/>
  <c r="AA1154" i="1"/>
  <c r="Z1154" i="1"/>
  <c r="Y1154" i="1"/>
  <c r="AA1153" i="1"/>
  <c r="Z1153" i="1"/>
  <c r="Y1153" i="1"/>
  <c r="AA1152" i="1"/>
  <c r="Z1152" i="1"/>
  <c r="Y1152" i="1"/>
  <c r="AA1151" i="1"/>
  <c r="Z1151" i="1"/>
  <c r="Y1151" i="1"/>
  <c r="AA1150" i="1"/>
  <c r="Z1150" i="1"/>
  <c r="Y1150" i="1"/>
  <c r="AA1149" i="1"/>
  <c r="Z1149" i="1"/>
  <c r="Y1149" i="1"/>
  <c r="AA1148" i="1"/>
  <c r="Z1148" i="1"/>
  <c r="Y1148" i="1"/>
  <c r="AA1147" i="1"/>
  <c r="Z1147" i="1"/>
  <c r="Y1147" i="1"/>
  <c r="AA1146" i="1"/>
  <c r="Z1146" i="1"/>
  <c r="Y1146" i="1"/>
  <c r="AA1145" i="1"/>
  <c r="Z1145" i="1"/>
  <c r="Y1145" i="1"/>
  <c r="AA1144" i="1"/>
  <c r="Z1144" i="1"/>
  <c r="Y1144" i="1"/>
  <c r="AA1143" i="1"/>
  <c r="Z1143" i="1"/>
  <c r="Y1143" i="1"/>
  <c r="AA1142" i="1"/>
  <c r="Z1142" i="1"/>
  <c r="Y1142" i="1"/>
  <c r="AA1141" i="1"/>
  <c r="Z1141" i="1"/>
  <c r="Y1141" i="1"/>
  <c r="AA1140" i="1"/>
  <c r="Z1140" i="1"/>
  <c r="Y1140" i="1"/>
  <c r="AA1139" i="1"/>
  <c r="Z1139" i="1"/>
  <c r="Y1139" i="1"/>
  <c r="AA1138" i="1"/>
  <c r="Z1138" i="1"/>
  <c r="Y1138" i="1"/>
  <c r="AA1137" i="1"/>
  <c r="Z1137" i="1"/>
  <c r="Y1137" i="1"/>
  <c r="AA1136" i="1"/>
  <c r="Z1136" i="1"/>
  <c r="Y1136" i="1"/>
  <c r="AA1135" i="1"/>
  <c r="Z1135" i="1"/>
  <c r="Y1135" i="1"/>
  <c r="AA1134" i="1"/>
  <c r="Z1134" i="1"/>
  <c r="Y1134" i="1"/>
  <c r="AA1133" i="1"/>
  <c r="Z1133" i="1"/>
  <c r="Y1133" i="1"/>
  <c r="AA1132" i="1"/>
  <c r="Z1132" i="1"/>
  <c r="Y1132" i="1"/>
  <c r="AA1131" i="1"/>
  <c r="Z1131" i="1"/>
  <c r="Y1131" i="1"/>
  <c r="AA1130" i="1"/>
  <c r="Z1130" i="1"/>
  <c r="Y1130" i="1"/>
  <c r="AA1129" i="1"/>
  <c r="Z1129" i="1"/>
  <c r="Y1129" i="1"/>
  <c r="AA1128" i="1"/>
  <c r="Z1128" i="1"/>
  <c r="Y1128" i="1"/>
  <c r="AA1127" i="1"/>
  <c r="Z1127" i="1"/>
  <c r="Y1127" i="1"/>
  <c r="AA1126" i="1"/>
  <c r="Z1126" i="1"/>
  <c r="Y1126" i="1"/>
  <c r="AA1125" i="1"/>
  <c r="Z1125" i="1"/>
  <c r="Y1125" i="1"/>
  <c r="AA1124" i="1"/>
  <c r="Z1124" i="1"/>
  <c r="Y1124" i="1"/>
  <c r="AA1123" i="1"/>
  <c r="Z1123" i="1"/>
  <c r="Y1123" i="1"/>
  <c r="AA1122" i="1"/>
  <c r="Z1122" i="1"/>
  <c r="Y1122" i="1"/>
  <c r="AA1121" i="1"/>
  <c r="Z1121" i="1"/>
  <c r="Y1121" i="1"/>
  <c r="AA1120" i="1"/>
  <c r="Z1120" i="1"/>
  <c r="Y1120" i="1"/>
  <c r="AA1119" i="1"/>
  <c r="Z1119" i="1"/>
  <c r="Y1119" i="1"/>
  <c r="AA1118" i="1"/>
  <c r="Z1118" i="1"/>
  <c r="Y1118" i="1"/>
  <c r="AA1117" i="1"/>
  <c r="Z1117" i="1"/>
  <c r="Y1117" i="1"/>
  <c r="AA1116" i="1"/>
  <c r="Z1116" i="1"/>
  <c r="Y1116" i="1"/>
  <c r="AA1115" i="1"/>
  <c r="Z1115" i="1"/>
  <c r="Y1115" i="1"/>
  <c r="AA1114" i="1"/>
  <c r="Z1114" i="1"/>
  <c r="Y1114" i="1"/>
  <c r="AA1113" i="1"/>
  <c r="Z1113" i="1"/>
  <c r="Y1113" i="1"/>
  <c r="AA1112" i="1"/>
  <c r="Z1112" i="1"/>
  <c r="Y1112" i="1"/>
  <c r="AA1111" i="1"/>
  <c r="Z1111" i="1"/>
  <c r="Y1111" i="1"/>
  <c r="AA1110" i="1"/>
  <c r="Z1110" i="1"/>
  <c r="Y1110" i="1"/>
  <c r="AA1109" i="1"/>
  <c r="Z1109" i="1"/>
  <c r="Y1109" i="1"/>
  <c r="AA1108" i="1"/>
  <c r="Z1108" i="1"/>
  <c r="Y1108" i="1"/>
  <c r="AA1107" i="1"/>
  <c r="Z1107" i="1"/>
  <c r="Y1107" i="1"/>
  <c r="AA1106" i="1"/>
  <c r="Z1106" i="1"/>
  <c r="Y1106" i="1"/>
  <c r="AA1105" i="1"/>
  <c r="Z1105" i="1"/>
  <c r="Y1105" i="1"/>
  <c r="AA1104" i="1"/>
  <c r="Z1104" i="1"/>
  <c r="Y1104" i="1"/>
  <c r="AA1103" i="1"/>
  <c r="Z1103" i="1"/>
  <c r="Y1103" i="1"/>
  <c r="AA1102" i="1"/>
  <c r="Z1102" i="1"/>
  <c r="Y1102" i="1"/>
  <c r="AA1101" i="1"/>
  <c r="Z1101" i="1"/>
  <c r="Y1101" i="1"/>
  <c r="AA1100" i="1"/>
  <c r="Z1100" i="1"/>
  <c r="Y1100" i="1"/>
  <c r="AA1099" i="1"/>
  <c r="Z1099" i="1"/>
  <c r="Y1099" i="1"/>
  <c r="AA1098" i="1"/>
  <c r="Z1098" i="1"/>
  <c r="Y1098" i="1"/>
  <c r="AA1097" i="1"/>
  <c r="Z1097" i="1"/>
  <c r="Y1097" i="1"/>
  <c r="AA1096" i="1"/>
  <c r="Z1096" i="1"/>
  <c r="Y1096" i="1"/>
  <c r="AA1095" i="1"/>
  <c r="Z1095" i="1"/>
  <c r="Y1095" i="1"/>
  <c r="AA1094" i="1"/>
  <c r="Z1094" i="1"/>
  <c r="Y1094" i="1"/>
  <c r="AA1093" i="1"/>
  <c r="Z1093" i="1"/>
  <c r="Y1093" i="1"/>
  <c r="AA1092" i="1"/>
  <c r="Z1092" i="1"/>
  <c r="Y1092" i="1"/>
  <c r="AA1091" i="1"/>
  <c r="Z1091" i="1"/>
  <c r="Y1091" i="1"/>
  <c r="AA1090" i="1"/>
  <c r="Z1090" i="1"/>
  <c r="Y1090" i="1"/>
  <c r="AA1089" i="1"/>
  <c r="Z1089" i="1"/>
  <c r="Y1089" i="1"/>
  <c r="AA1088" i="1"/>
  <c r="Z1088" i="1"/>
  <c r="Y1088" i="1"/>
  <c r="AA1087" i="1"/>
  <c r="Z1087" i="1"/>
  <c r="Y1087" i="1"/>
  <c r="AA1086" i="1"/>
  <c r="Z1086" i="1"/>
  <c r="Y1086" i="1"/>
  <c r="AA1085" i="1"/>
  <c r="Z1085" i="1"/>
  <c r="Y1085" i="1"/>
  <c r="AA1084" i="1"/>
  <c r="Z1084" i="1"/>
  <c r="Y1084" i="1"/>
  <c r="AA1083" i="1"/>
  <c r="Z1083" i="1"/>
  <c r="Y1083" i="1"/>
  <c r="AA1082" i="1"/>
  <c r="Z1082" i="1"/>
  <c r="Y1082" i="1"/>
  <c r="AA1081" i="1"/>
  <c r="Z1081" i="1"/>
  <c r="Y1081" i="1"/>
  <c r="AA1080" i="1"/>
  <c r="Z1080" i="1"/>
  <c r="Y1080" i="1"/>
  <c r="AA1079" i="1"/>
  <c r="Z1079" i="1"/>
  <c r="Y1079" i="1"/>
  <c r="AA1078" i="1"/>
  <c r="Z1078" i="1"/>
  <c r="Y1078" i="1"/>
  <c r="AA1077" i="1"/>
  <c r="Z1077" i="1"/>
  <c r="Y1077" i="1"/>
  <c r="AA1076" i="1"/>
  <c r="Z1076" i="1"/>
  <c r="Y1076" i="1"/>
  <c r="AA1075" i="1"/>
  <c r="Z1075" i="1"/>
  <c r="Y1075" i="1"/>
  <c r="AA1074" i="1"/>
  <c r="Z1074" i="1"/>
  <c r="Y1074" i="1"/>
  <c r="AA1073" i="1"/>
  <c r="Z1073" i="1"/>
  <c r="Y1073" i="1"/>
  <c r="AA1072" i="1"/>
  <c r="Z1072" i="1"/>
  <c r="Y1072" i="1"/>
  <c r="AA1071" i="1"/>
  <c r="Z1071" i="1"/>
  <c r="Y1071" i="1"/>
  <c r="AA1070" i="1"/>
  <c r="Z1070" i="1"/>
  <c r="Y1070" i="1"/>
  <c r="AA1069" i="1"/>
  <c r="Z1069" i="1"/>
  <c r="Y1069" i="1"/>
  <c r="AA1068" i="1"/>
  <c r="Z1068" i="1"/>
  <c r="Y1068" i="1"/>
  <c r="AA1067" i="1"/>
  <c r="Z1067" i="1"/>
  <c r="Y1067" i="1"/>
  <c r="AA1066" i="1"/>
  <c r="Z1066" i="1"/>
  <c r="Y1066" i="1"/>
  <c r="AA1065" i="1"/>
  <c r="Z1065" i="1"/>
  <c r="Y1065" i="1"/>
  <c r="AA1064" i="1"/>
  <c r="Z1064" i="1"/>
  <c r="Y1064" i="1"/>
  <c r="AA1063" i="1"/>
  <c r="Z1063" i="1"/>
  <c r="Y1063" i="1"/>
  <c r="AA1062" i="1"/>
  <c r="Z1062" i="1"/>
  <c r="Y1062" i="1"/>
  <c r="AA1061" i="1"/>
  <c r="Z1061" i="1"/>
  <c r="Y1061" i="1"/>
  <c r="AA1060" i="1"/>
  <c r="Z1060" i="1"/>
  <c r="Y1060" i="1"/>
  <c r="AA1059" i="1"/>
  <c r="Z1059" i="1"/>
  <c r="Y1059" i="1"/>
  <c r="AA1058" i="1"/>
  <c r="Z1058" i="1"/>
  <c r="Y1058" i="1"/>
  <c r="AA1057" i="1"/>
  <c r="Z1057" i="1"/>
  <c r="Y1057" i="1"/>
  <c r="AA1056" i="1"/>
  <c r="Z1056" i="1"/>
  <c r="Y1056" i="1"/>
  <c r="AA1055" i="1"/>
  <c r="Z1055" i="1"/>
  <c r="Y1055" i="1"/>
  <c r="AA1054" i="1"/>
  <c r="Z1054" i="1"/>
  <c r="Y1054" i="1"/>
  <c r="AA1053" i="1"/>
  <c r="Z1053" i="1"/>
  <c r="Y1053" i="1"/>
  <c r="AA1052" i="1"/>
  <c r="Z1052" i="1"/>
  <c r="Y1052" i="1"/>
  <c r="AA1051" i="1"/>
  <c r="Z1051" i="1"/>
  <c r="Y1051" i="1"/>
  <c r="AA1050" i="1"/>
  <c r="Z1050" i="1"/>
  <c r="Y1050" i="1"/>
  <c r="AA1049" i="1"/>
  <c r="Z1049" i="1"/>
  <c r="Y1049" i="1"/>
  <c r="AA1048" i="1"/>
  <c r="Z1048" i="1"/>
  <c r="Y1048" i="1"/>
  <c r="AA1047" i="1"/>
  <c r="Z1047" i="1"/>
  <c r="Y1047" i="1"/>
  <c r="AA1046" i="1"/>
  <c r="Z1046" i="1"/>
  <c r="Y1046" i="1"/>
  <c r="AA1045" i="1"/>
  <c r="Z1045" i="1"/>
  <c r="Y1045" i="1"/>
  <c r="AA1044" i="1"/>
  <c r="Z1044" i="1"/>
  <c r="Y1044" i="1"/>
  <c r="AA1043" i="1"/>
  <c r="Z1043" i="1"/>
  <c r="Y1043" i="1"/>
  <c r="AA1042" i="1"/>
  <c r="Z1042" i="1"/>
  <c r="Y1042" i="1"/>
  <c r="AA1041" i="1"/>
  <c r="Z1041" i="1"/>
  <c r="Y1041" i="1"/>
  <c r="AA1040" i="1"/>
  <c r="Z1040" i="1"/>
  <c r="Y1040" i="1"/>
  <c r="AA1039" i="1"/>
  <c r="Z1039" i="1"/>
  <c r="Y1039" i="1"/>
  <c r="AA1038" i="1"/>
  <c r="Z1038" i="1"/>
  <c r="Y1038" i="1"/>
  <c r="AA1037" i="1"/>
  <c r="Z1037" i="1"/>
  <c r="Y1037" i="1"/>
  <c r="AA1036" i="1"/>
  <c r="Z1036" i="1"/>
  <c r="Y1036" i="1"/>
  <c r="AA1035" i="1"/>
  <c r="Z1035" i="1"/>
  <c r="Y1035" i="1"/>
  <c r="AA1034" i="1"/>
  <c r="Z1034" i="1"/>
  <c r="Y1034" i="1"/>
  <c r="AA1033" i="1"/>
  <c r="Z1033" i="1"/>
  <c r="Y1033" i="1"/>
  <c r="AA1032" i="1"/>
  <c r="Z1032" i="1"/>
  <c r="Y1032" i="1"/>
  <c r="AA1031" i="1"/>
  <c r="Z1031" i="1"/>
  <c r="Y1031" i="1"/>
  <c r="AA1030" i="1"/>
  <c r="Z1030" i="1"/>
  <c r="Y1030" i="1"/>
  <c r="AA1029" i="1"/>
  <c r="Z1029" i="1"/>
  <c r="Y1029" i="1"/>
  <c r="AA1028" i="1"/>
  <c r="Z1028" i="1"/>
  <c r="Y1028" i="1"/>
  <c r="AA1027" i="1"/>
  <c r="Z1027" i="1"/>
  <c r="Y1027" i="1"/>
  <c r="AA1026" i="1"/>
  <c r="Z1026" i="1"/>
  <c r="Y1026" i="1"/>
  <c r="AA1025" i="1"/>
  <c r="Z1025" i="1"/>
  <c r="Y1025" i="1"/>
  <c r="AA1024" i="1"/>
  <c r="Z1024" i="1"/>
  <c r="Y1024" i="1"/>
  <c r="AA1023" i="1"/>
  <c r="Z1023" i="1"/>
  <c r="Y1023" i="1"/>
  <c r="AA1022" i="1"/>
  <c r="Z1022" i="1"/>
  <c r="Y1022" i="1"/>
  <c r="AA1021" i="1"/>
  <c r="Z1021" i="1"/>
  <c r="Y1021" i="1"/>
  <c r="AA1020" i="1"/>
  <c r="Z1020" i="1"/>
  <c r="Y1020" i="1"/>
  <c r="AA1019" i="1"/>
  <c r="Z1019" i="1"/>
  <c r="Y1019" i="1"/>
  <c r="AA1018" i="1"/>
  <c r="Z1018" i="1"/>
  <c r="Y1018" i="1"/>
  <c r="AA1017" i="1"/>
  <c r="Z1017" i="1"/>
  <c r="Y1017" i="1"/>
  <c r="AA1016" i="1"/>
  <c r="Z1016" i="1"/>
  <c r="Y1016" i="1"/>
  <c r="AA1015" i="1"/>
  <c r="Z1015" i="1"/>
  <c r="Y1015" i="1"/>
  <c r="AA1014" i="1"/>
  <c r="Z1014" i="1"/>
  <c r="Y1014" i="1"/>
  <c r="AA1013" i="1"/>
  <c r="Z1013" i="1"/>
  <c r="Y1013" i="1"/>
  <c r="AA1012" i="1"/>
  <c r="Z1012" i="1"/>
  <c r="Y1012" i="1"/>
  <c r="AA1011" i="1"/>
  <c r="Z1011" i="1"/>
  <c r="Y1011" i="1"/>
  <c r="AA1010" i="1"/>
  <c r="Z1010" i="1"/>
  <c r="Y1010" i="1"/>
  <c r="AA1009" i="1"/>
  <c r="Z1009" i="1"/>
  <c r="Y1009" i="1"/>
  <c r="AA1008" i="1"/>
  <c r="Z1008" i="1"/>
  <c r="Y1008" i="1"/>
  <c r="AA1007" i="1"/>
  <c r="Z1007" i="1"/>
  <c r="Y1007" i="1"/>
  <c r="AA1006" i="1"/>
  <c r="Z1006" i="1"/>
  <c r="Y1006" i="1"/>
  <c r="AA1005" i="1"/>
  <c r="Z1005" i="1"/>
  <c r="Y1005" i="1"/>
  <c r="AA1004" i="1"/>
  <c r="Z1004" i="1"/>
  <c r="Y1004" i="1"/>
  <c r="AA1003" i="1"/>
  <c r="Z1003" i="1"/>
  <c r="Y1003" i="1"/>
  <c r="AA1002" i="1"/>
  <c r="Z1002" i="1"/>
  <c r="Y1002" i="1"/>
  <c r="AA1001" i="1"/>
  <c r="Z1001" i="1"/>
  <c r="Y1001" i="1"/>
  <c r="AA1000" i="1"/>
  <c r="Z1000" i="1"/>
  <c r="Y1000" i="1"/>
  <c r="AA999" i="1"/>
  <c r="Z999" i="1"/>
  <c r="Y999" i="1"/>
  <c r="AA998" i="1"/>
  <c r="Z998" i="1"/>
  <c r="Y998" i="1"/>
  <c r="AA997" i="1"/>
  <c r="Z997" i="1"/>
  <c r="Y997" i="1"/>
  <c r="AA996" i="1"/>
  <c r="Z996" i="1"/>
  <c r="Y996" i="1"/>
  <c r="AA995" i="1"/>
  <c r="Z995" i="1"/>
  <c r="Y995" i="1"/>
  <c r="AA994" i="1"/>
  <c r="Z994" i="1"/>
  <c r="Y994" i="1"/>
  <c r="AA993" i="1"/>
  <c r="Z993" i="1"/>
  <c r="Y993" i="1"/>
  <c r="AA992" i="1"/>
  <c r="Z992" i="1"/>
  <c r="Y992" i="1"/>
  <c r="AA991" i="1"/>
  <c r="Z991" i="1"/>
  <c r="Y991" i="1"/>
  <c r="AA990" i="1"/>
  <c r="Z990" i="1"/>
  <c r="Y990" i="1"/>
  <c r="AA989" i="1"/>
  <c r="Z989" i="1"/>
  <c r="Y989" i="1"/>
  <c r="AA988" i="1"/>
  <c r="Z988" i="1"/>
  <c r="Y988" i="1"/>
  <c r="AA987" i="1"/>
  <c r="Z987" i="1"/>
  <c r="Y987" i="1"/>
  <c r="AA986" i="1"/>
  <c r="Z986" i="1"/>
  <c r="Y986" i="1"/>
  <c r="AA985" i="1"/>
  <c r="Z985" i="1"/>
  <c r="Y985" i="1"/>
  <c r="AA984" i="1"/>
  <c r="Z984" i="1"/>
  <c r="Y984" i="1"/>
  <c r="AA983" i="1"/>
  <c r="Z983" i="1"/>
  <c r="Y983" i="1"/>
  <c r="AA982" i="1"/>
  <c r="Z982" i="1"/>
  <c r="Y982" i="1"/>
  <c r="AA981" i="1"/>
  <c r="Z981" i="1"/>
  <c r="Y981" i="1"/>
  <c r="AA980" i="1"/>
  <c r="Z980" i="1"/>
  <c r="Y980" i="1"/>
  <c r="AA979" i="1"/>
  <c r="Z979" i="1"/>
  <c r="Y979" i="1"/>
  <c r="AA978" i="1"/>
  <c r="Z978" i="1"/>
  <c r="Y978" i="1"/>
  <c r="AA977" i="1"/>
  <c r="Z977" i="1"/>
  <c r="Y977" i="1"/>
  <c r="AA976" i="1"/>
  <c r="Z976" i="1"/>
  <c r="Y976" i="1"/>
  <c r="AA975" i="1"/>
  <c r="Z975" i="1"/>
  <c r="Y975" i="1"/>
  <c r="AA974" i="1"/>
  <c r="Z974" i="1"/>
  <c r="Y974" i="1"/>
  <c r="AA973" i="1"/>
  <c r="Z973" i="1"/>
  <c r="Y973" i="1"/>
  <c r="AA972" i="1"/>
  <c r="Z972" i="1"/>
  <c r="Y972" i="1"/>
  <c r="AA971" i="1"/>
  <c r="Z971" i="1"/>
  <c r="Y971" i="1"/>
  <c r="AA970" i="1"/>
  <c r="Z970" i="1"/>
  <c r="Y970" i="1"/>
  <c r="AA969" i="1"/>
  <c r="Z969" i="1"/>
  <c r="Y969" i="1"/>
  <c r="AA968" i="1"/>
  <c r="Z968" i="1"/>
  <c r="Y968" i="1"/>
  <c r="AA967" i="1"/>
  <c r="Z967" i="1"/>
  <c r="Y967" i="1"/>
  <c r="AA966" i="1"/>
  <c r="Z966" i="1"/>
  <c r="Y966" i="1"/>
  <c r="AA965" i="1"/>
  <c r="Z965" i="1"/>
  <c r="Y965" i="1"/>
  <c r="AA964" i="1"/>
  <c r="Z964" i="1"/>
  <c r="Y964" i="1"/>
  <c r="AA963" i="1"/>
  <c r="Z963" i="1"/>
  <c r="Y963" i="1"/>
  <c r="AA962" i="1"/>
  <c r="Z962" i="1"/>
  <c r="Y962" i="1"/>
  <c r="AA961" i="1"/>
  <c r="Z961" i="1"/>
  <c r="Y961" i="1"/>
  <c r="AA960" i="1"/>
  <c r="Z960" i="1"/>
  <c r="Y960" i="1"/>
  <c r="AA959" i="1"/>
  <c r="Z959" i="1"/>
  <c r="Y959" i="1"/>
  <c r="AA958" i="1"/>
  <c r="Z958" i="1"/>
  <c r="Y958" i="1"/>
  <c r="AA957" i="1"/>
  <c r="Z957" i="1"/>
  <c r="Y957" i="1"/>
  <c r="AA956" i="1"/>
  <c r="Z956" i="1"/>
  <c r="Y956" i="1"/>
  <c r="AA955" i="1"/>
  <c r="Z955" i="1"/>
  <c r="Y955" i="1"/>
  <c r="AA954" i="1"/>
  <c r="Z954" i="1"/>
  <c r="Y954" i="1"/>
  <c r="AA953" i="1"/>
  <c r="Z953" i="1"/>
  <c r="Y953" i="1"/>
  <c r="AA952" i="1"/>
  <c r="Z952" i="1"/>
  <c r="Y952" i="1"/>
  <c r="AA951" i="1"/>
  <c r="Z951" i="1"/>
  <c r="Y951" i="1"/>
  <c r="AA950" i="1"/>
  <c r="Z950" i="1"/>
  <c r="Y950" i="1"/>
  <c r="AA949" i="1"/>
  <c r="Z949" i="1"/>
  <c r="Y949" i="1"/>
  <c r="AA948" i="1"/>
  <c r="Z948" i="1"/>
  <c r="Y948" i="1"/>
  <c r="AA947" i="1"/>
  <c r="Z947" i="1"/>
  <c r="Y947" i="1"/>
  <c r="AA946" i="1"/>
  <c r="Z946" i="1"/>
  <c r="Y946" i="1"/>
  <c r="AA945" i="1"/>
  <c r="Z945" i="1"/>
  <c r="Y945" i="1"/>
  <c r="AA944" i="1"/>
  <c r="Z944" i="1"/>
  <c r="Y944" i="1"/>
  <c r="AA943" i="1"/>
  <c r="Z943" i="1"/>
  <c r="Y943" i="1"/>
  <c r="AA942" i="1"/>
  <c r="Z942" i="1"/>
  <c r="Y942" i="1"/>
  <c r="AA941" i="1"/>
  <c r="Z941" i="1"/>
  <c r="Y941" i="1"/>
  <c r="AA940" i="1"/>
  <c r="Z940" i="1"/>
  <c r="Y940" i="1"/>
  <c r="AA939" i="1"/>
  <c r="Z939" i="1"/>
  <c r="Y939" i="1"/>
  <c r="AA938" i="1"/>
  <c r="Z938" i="1"/>
  <c r="Y938" i="1"/>
  <c r="AA937" i="1"/>
  <c r="Z937" i="1"/>
  <c r="Y937" i="1"/>
  <c r="AA936" i="1"/>
  <c r="Z936" i="1"/>
  <c r="Y936" i="1"/>
  <c r="AA935" i="1"/>
  <c r="Z935" i="1"/>
  <c r="Y935" i="1"/>
  <c r="AA934" i="1"/>
  <c r="Z934" i="1"/>
  <c r="Y934" i="1"/>
  <c r="AA933" i="1"/>
  <c r="Z933" i="1"/>
  <c r="Y933" i="1"/>
  <c r="AA932" i="1"/>
  <c r="Z932" i="1"/>
  <c r="Y932" i="1"/>
  <c r="AA931" i="1"/>
  <c r="Z931" i="1"/>
  <c r="Y931" i="1"/>
  <c r="AA930" i="1"/>
  <c r="Z930" i="1"/>
  <c r="Y930" i="1"/>
  <c r="AA929" i="1"/>
  <c r="Z929" i="1"/>
  <c r="Y929" i="1"/>
  <c r="AA928" i="1"/>
  <c r="Z928" i="1"/>
  <c r="Y928" i="1"/>
  <c r="AA927" i="1"/>
  <c r="Z927" i="1"/>
  <c r="Y927" i="1"/>
  <c r="AA926" i="1"/>
  <c r="Z926" i="1"/>
  <c r="Y926" i="1"/>
  <c r="AA925" i="1"/>
  <c r="Z925" i="1"/>
  <c r="Y925" i="1"/>
  <c r="AA924" i="1"/>
  <c r="Z924" i="1"/>
  <c r="Y924" i="1"/>
  <c r="AA923" i="1"/>
  <c r="Z923" i="1"/>
  <c r="Y923" i="1"/>
  <c r="AA922" i="1"/>
  <c r="Z922" i="1"/>
  <c r="Y922" i="1"/>
  <c r="AA921" i="1"/>
  <c r="Z921" i="1"/>
  <c r="Y921" i="1"/>
  <c r="AA920" i="1"/>
  <c r="Z920" i="1"/>
  <c r="Y920" i="1"/>
  <c r="AA919" i="1"/>
  <c r="Z919" i="1"/>
  <c r="Y919" i="1"/>
  <c r="AA918" i="1"/>
  <c r="Z918" i="1"/>
  <c r="Y918" i="1"/>
  <c r="AA917" i="1"/>
  <c r="Z917" i="1"/>
  <c r="Y917" i="1"/>
  <c r="AA916" i="1"/>
  <c r="Z916" i="1"/>
  <c r="Y916" i="1"/>
  <c r="AA915" i="1"/>
  <c r="Z915" i="1"/>
  <c r="Y915" i="1"/>
  <c r="AA914" i="1"/>
  <c r="Z914" i="1"/>
  <c r="Y914" i="1"/>
  <c r="AA913" i="1"/>
  <c r="Z913" i="1"/>
  <c r="Y913" i="1"/>
  <c r="AA912" i="1"/>
  <c r="Z912" i="1"/>
  <c r="Y912" i="1"/>
  <c r="AA911" i="1"/>
  <c r="Z911" i="1"/>
  <c r="Y911" i="1"/>
  <c r="AA910" i="1"/>
  <c r="Z910" i="1"/>
  <c r="Y910" i="1"/>
  <c r="AA909" i="1"/>
  <c r="Z909" i="1"/>
  <c r="Y909" i="1"/>
  <c r="AA908" i="1"/>
  <c r="Z908" i="1"/>
  <c r="Y908" i="1"/>
  <c r="AA907" i="1"/>
  <c r="Z907" i="1"/>
  <c r="Y907" i="1"/>
  <c r="AA906" i="1"/>
  <c r="Z906" i="1"/>
  <c r="Y906" i="1"/>
  <c r="AA905" i="1"/>
  <c r="Z905" i="1"/>
  <c r="Y905" i="1"/>
  <c r="AA904" i="1"/>
  <c r="Z904" i="1"/>
  <c r="Y904" i="1"/>
  <c r="AA903" i="1"/>
  <c r="Z903" i="1"/>
  <c r="Y903" i="1"/>
  <c r="AA902" i="1"/>
  <c r="Z902" i="1"/>
  <c r="Y902" i="1"/>
  <c r="AA901" i="1"/>
  <c r="Z901" i="1"/>
  <c r="Y901" i="1"/>
  <c r="AA900" i="1"/>
  <c r="Z900" i="1"/>
  <c r="Y900" i="1"/>
  <c r="AA899" i="1"/>
  <c r="Z899" i="1"/>
  <c r="Y899" i="1"/>
  <c r="AA898" i="1"/>
  <c r="Z898" i="1"/>
  <c r="Y898" i="1"/>
  <c r="AA897" i="1"/>
  <c r="Z897" i="1"/>
  <c r="Y897" i="1"/>
  <c r="AA896" i="1"/>
  <c r="Z896" i="1"/>
  <c r="Y896" i="1"/>
  <c r="AA895" i="1"/>
  <c r="Z895" i="1"/>
  <c r="Y895" i="1"/>
  <c r="AA894" i="1"/>
  <c r="Z894" i="1"/>
  <c r="Y894" i="1"/>
  <c r="AA893" i="1"/>
  <c r="Z893" i="1"/>
  <c r="Y893" i="1"/>
  <c r="AA892" i="1"/>
  <c r="Z892" i="1"/>
  <c r="Y892" i="1"/>
  <c r="AA891" i="1"/>
  <c r="Z891" i="1"/>
  <c r="Y891" i="1"/>
  <c r="AA890" i="1"/>
  <c r="Z890" i="1"/>
  <c r="Y890" i="1"/>
  <c r="AA889" i="1"/>
  <c r="Z889" i="1"/>
  <c r="Y889" i="1"/>
  <c r="AA888" i="1"/>
  <c r="Z888" i="1"/>
  <c r="Y888" i="1"/>
  <c r="AA887" i="1"/>
  <c r="Z887" i="1"/>
  <c r="Y887" i="1"/>
  <c r="AA886" i="1"/>
  <c r="Z886" i="1"/>
  <c r="Y886" i="1"/>
  <c r="AA885" i="1"/>
  <c r="Z885" i="1"/>
  <c r="Y885" i="1"/>
  <c r="AA884" i="1"/>
  <c r="Z884" i="1"/>
  <c r="Y884" i="1"/>
  <c r="AA883" i="1"/>
  <c r="Z883" i="1"/>
  <c r="Y883" i="1"/>
  <c r="AA882" i="1"/>
  <c r="Z882" i="1"/>
  <c r="Y882" i="1"/>
  <c r="AA881" i="1"/>
  <c r="Z881" i="1"/>
  <c r="Y881" i="1"/>
  <c r="AA880" i="1"/>
  <c r="Z880" i="1"/>
  <c r="Y880" i="1"/>
  <c r="AA879" i="1"/>
  <c r="Z879" i="1"/>
  <c r="Y879" i="1"/>
  <c r="AA878" i="1"/>
  <c r="Z878" i="1"/>
  <c r="Y878" i="1"/>
  <c r="AA877" i="1"/>
  <c r="Z877" i="1"/>
  <c r="Y877" i="1"/>
  <c r="AA876" i="1"/>
  <c r="Z876" i="1"/>
  <c r="Y876" i="1"/>
  <c r="AA875" i="1"/>
  <c r="Z875" i="1"/>
  <c r="Y875" i="1"/>
  <c r="AA874" i="1"/>
  <c r="Z874" i="1"/>
  <c r="Y874" i="1"/>
  <c r="AA873" i="1"/>
  <c r="Z873" i="1"/>
  <c r="Y873" i="1"/>
  <c r="AA872" i="1"/>
  <c r="Z872" i="1"/>
  <c r="Y872" i="1"/>
  <c r="AA871" i="1"/>
  <c r="Z871" i="1"/>
  <c r="Y871" i="1"/>
  <c r="AA870" i="1"/>
  <c r="Z870" i="1"/>
  <c r="Y870" i="1"/>
  <c r="AA869" i="1"/>
  <c r="Z869" i="1"/>
  <c r="Y869" i="1"/>
  <c r="AA868" i="1"/>
  <c r="Z868" i="1"/>
  <c r="Y868" i="1"/>
  <c r="AA867" i="1"/>
  <c r="Z867" i="1"/>
  <c r="Y867" i="1"/>
  <c r="AA866" i="1"/>
  <c r="Z866" i="1"/>
  <c r="Y866" i="1"/>
  <c r="AA865" i="1"/>
  <c r="Z865" i="1"/>
  <c r="Y865" i="1"/>
  <c r="AA864" i="1"/>
  <c r="Z864" i="1"/>
  <c r="Y864" i="1"/>
  <c r="AA863" i="1"/>
  <c r="Z863" i="1"/>
  <c r="Y863" i="1"/>
  <c r="AA862" i="1"/>
  <c r="Z862" i="1"/>
  <c r="Y862" i="1"/>
  <c r="AA861" i="1"/>
  <c r="Z861" i="1"/>
  <c r="Y861" i="1"/>
  <c r="AA860" i="1"/>
  <c r="Z860" i="1"/>
  <c r="Y860" i="1"/>
  <c r="AA859" i="1"/>
  <c r="Z859" i="1"/>
  <c r="Y859" i="1"/>
  <c r="AA858" i="1"/>
  <c r="Z858" i="1"/>
  <c r="Y858" i="1"/>
  <c r="AA857" i="1"/>
  <c r="Z857" i="1"/>
  <c r="Y857" i="1"/>
  <c r="AA856" i="1"/>
  <c r="Z856" i="1"/>
  <c r="Y856" i="1"/>
  <c r="AA855" i="1"/>
  <c r="Z855" i="1"/>
  <c r="Y855" i="1"/>
  <c r="AA854" i="1"/>
  <c r="Z854" i="1"/>
  <c r="Y854" i="1"/>
  <c r="AA853" i="1"/>
  <c r="Z853" i="1"/>
  <c r="Y853" i="1"/>
  <c r="AA852" i="1"/>
  <c r="Z852" i="1"/>
  <c r="Y852" i="1"/>
  <c r="AA851" i="1"/>
  <c r="Z851" i="1"/>
  <c r="Y851" i="1"/>
  <c r="AA850" i="1"/>
  <c r="Z850" i="1"/>
  <c r="Y850" i="1"/>
  <c r="AA849" i="1"/>
  <c r="Z849" i="1"/>
  <c r="Y849" i="1"/>
  <c r="AA848" i="1"/>
  <c r="Z848" i="1"/>
  <c r="Y848" i="1"/>
  <c r="AA847" i="1"/>
  <c r="Z847" i="1"/>
  <c r="Y847" i="1"/>
  <c r="AA846" i="1"/>
  <c r="Z846" i="1"/>
  <c r="Y846" i="1"/>
  <c r="AA845" i="1"/>
  <c r="Z845" i="1"/>
  <c r="Y845" i="1"/>
  <c r="AA844" i="1"/>
  <c r="Z844" i="1"/>
  <c r="Y844" i="1"/>
  <c r="AA843" i="1"/>
  <c r="Z843" i="1"/>
  <c r="Y843" i="1"/>
  <c r="AA842" i="1"/>
  <c r="Z842" i="1"/>
  <c r="Y842" i="1"/>
  <c r="AA841" i="1"/>
  <c r="Z841" i="1"/>
  <c r="Y841" i="1"/>
  <c r="AA840" i="1"/>
  <c r="Z840" i="1"/>
  <c r="Y840" i="1"/>
  <c r="AA839" i="1"/>
  <c r="Z839" i="1"/>
  <c r="Y839" i="1"/>
  <c r="AA838" i="1"/>
  <c r="Z838" i="1"/>
  <c r="Y838" i="1"/>
  <c r="AA837" i="1"/>
  <c r="Z837" i="1"/>
  <c r="Y837" i="1"/>
  <c r="AA836" i="1"/>
  <c r="Z836" i="1"/>
  <c r="Y836" i="1"/>
  <c r="AA835" i="1"/>
  <c r="Z835" i="1"/>
  <c r="Y835" i="1"/>
  <c r="AA834" i="1"/>
  <c r="Z834" i="1"/>
  <c r="Y834" i="1"/>
  <c r="AA833" i="1"/>
  <c r="Z833" i="1"/>
  <c r="Y833" i="1"/>
  <c r="AA832" i="1"/>
  <c r="Z832" i="1"/>
  <c r="Y832" i="1"/>
  <c r="AA831" i="1"/>
  <c r="Z831" i="1"/>
  <c r="Y831" i="1"/>
  <c r="AA830" i="1"/>
  <c r="Z830" i="1"/>
  <c r="Y830" i="1"/>
  <c r="AA829" i="1"/>
  <c r="Z829" i="1"/>
  <c r="Y829" i="1"/>
  <c r="AA828" i="1"/>
  <c r="Z828" i="1"/>
  <c r="Y828" i="1"/>
  <c r="AA827" i="1"/>
  <c r="Z827" i="1"/>
  <c r="Y827" i="1"/>
  <c r="AA826" i="1"/>
  <c r="Z826" i="1"/>
  <c r="Y826" i="1"/>
  <c r="AA825" i="1"/>
  <c r="Z825" i="1"/>
  <c r="Y825" i="1"/>
  <c r="AA824" i="1"/>
  <c r="Z824" i="1"/>
  <c r="Y824" i="1"/>
  <c r="AA823" i="1"/>
  <c r="Z823" i="1"/>
  <c r="Y823" i="1"/>
  <c r="AA822" i="1"/>
  <c r="Z822" i="1"/>
  <c r="Y822" i="1"/>
  <c r="AA821" i="1"/>
  <c r="Z821" i="1"/>
  <c r="Y821" i="1"/>
  <c r="AA820" i="1"/>
  <c r="Z820" i="1"/>
  <c r="Y820" i="1"/>
  <c r="AA819" i="1"/>
  <c r="Z819" i="1"/>
  <c r="Y819" i="1"/>
  <c r="AA818" i="1"/>
  <c r="Z818" i="1"/>
  <c r="Y818" i="1"/>
  <c r="AA817" i="1"/>
  <c r="Z817" i="1"/>
  <c r="Y817" i="1"/>
  <c r="AA816" i="1"/>
  <c r="Z816" i="1"/>
  <c r="Y816" i="1"/>
  <c r="AA815" i="1"/>
  <c r="Z815" i="1"/>
  <c r="Y815" i="1"/>
  <c r="AA814" i="1"/>
  <c r="Z814" i="1"/>
  <c r="Y814" i="1"/>
  <c r="AA813" i="1"/>
  <c r="Z813" i="1"/>
  <c r="Y813" i="1"/>
  <c r="AA812" i="1"/>
  <c r="Z812" i="1"/>
  <c r="Y812" i="1"/>
  <c r="AA811" i="1"/>
  <c r="Z811" i="1"/>
  <c r="Y811" i="1"/>
  <c r="AA810" i="1"/>
  <c r="Z810" i="1"/>
  <c r="Y810" i="1"/>
  <c r="AA809" i="1"/>
  <c r="Z809" i="1"/>
  <c r="Y809" i="1"/>
  <c r="AA808" i="1"/>
  <c r="Z808" i="1"/>
  <c r="Y808" i="1"/>
  <c r="AA807" i="1"/>
  <c r="Z807" i="1"/>
  <c r="Y807" i="1"/>
  <c r="AA806" i="1"/>
  <c r="Z806" i="1"/>
  <c r="Y806" i="1"/>
  <c r="AA805" i="1"/>
  <c r="Z805" i="1"/>
  <c r="Y805" i="1"/>
  <c r="AA804" i="1"/>
  <c r="Z804" i="1"/>
  <c r="Y804" i="1"/>
  <c r="AA803" i="1"/>
  <c r="Z803" i="1"/>
  <c r="Y803" i="1"/>
  <c r="AA802" i="1"/>
  <c r="Z802" i="1"/>
  <c r="Y802" i="1"/>
  <c r="AA801" i="1"/>
  <c r="Z801" i="1"/>
  <c r="Y801" i="1"/>
  <c r="AA800" i="1"/>
  <c r="Z800" i="1"/>
  <c r="Y800" i="1"/>
  <c r="AA799" i="1"/>
  <c r="Z799" i="1"/>
  <c r="Y799" i="1"/>
  <c r="AA798" i="1"/>
  <c r="Z798" i="1"/>
  <c r="Y798" i="1"/>
  <c r="AA797" i="1"/>
  <c r="Z797" i="1"/>
  <c r="Y797" i="1"/>
  <c r="AA796" i="1"/>
  <c r="Z796" i="1"/>
  <c r="Y796" i="1"/>
  <c r="AA795" i="1"/>
  <c r="Z795" i="1"/>
  <c r="Y795" i="1"/>
  <c r="AA794" i="1"/>
  <c r="Z794" i="1"/>
  <c r="Y794" i="1"/>
  <c r="AA793" i="1"/>
  <c r="Z793" i="1"/>
  <c r="Y793" i="1"/>
  <c r="AA792" i="1"/>
  <c r="Z792" i="1"/>
  <c r="Y792" i="1"/>
  <c r="AA791" i="1"/>
  <c r="Z791" i="1"/>
  <c r="Y791" i="1"/>
  <c r="AA790" i="1"/>
  <c r="Z790" i="1"/>
  <c r="Y790" i="1"/>
  <c r="AA789" i="1"/>
  <c r="Z789" i="1"/>
  <c r="Y789" i="1"/>
  <c r="AA788" i="1"/>
  <c r="Z788" i="1"/>
  <c r="Y788" i="1"/>
  <c r="AA787" i="1"/>
  <c r="Z787" i="1"/>
  <c r="Y787" i="1"/>
  <c r="AA786" i="1"/>
  <c r="Z786" i="1"/>
  <c r="Y786" i="1"/>
  <c r="AA785" i="1"/>
  <c r="Z785" i="1"/>
  <c r="Y785" i="1"/>
  <c r="AA784" i="1"/>
  <c r="Z784" i="1"/>
  <c r="Y784" i="1"/>
  <c r="AA783" i="1"/>
  <c r="Z783" i="1"/>
  <c r="Y783" i="1"/>
  <c r="AA782" i="1"/>
  <c r="Z782" i="1"/>
  <c r="Y782" i="1"/>
  <c r="AA781" i="1"/>
  <c r="Z781" i="1"/>
  <c r="Y781" i="1"/>
  <c r="AA780" i="1"/>
  <c r="Z780" i="1"/>
  <c r="Y780" i="1"/>
  <c r="AA779" i="1"/>
  <c r="Z779" i="1"/>
  <c r="Y779" i="1"/>
  <c r="AA778" i="1"/>
  <c r="Z778" i="1"/>
  <c r="Y778" i="1"/>
  <c r="AA777" i="1"/>
  <c r="Z777" i="1"/>
  <c r="Y777" i="1"/>
  <c r="AA776" i="1"/>
  <c r="Z776" i="1"/>
  <c r="Y776" i="1"/>
  <c r="AA775" i="1"/>
  <c r="Z775" i="1"/>
  <c r="Y775" i="1"/>
  <c r="AA774" i="1"/>
  <c r="Z774" i="1"/>
  <c r="Y774" i="1"/>
  <c r="AA773" i="1"/>
  <c r="Z773" i="1"/>
  <c r="Y773" i="1"/>
  <c r="AA772" i="1"/>
  <c r="Z772" i="1"/>
  <c r="Y772" i="1"/>
  <c r="AA771" i="1"/>
  <c r="Z771" i="1"/>
  <c r="Y771" i="1"/>
  <c r="AA770" i="1"/>
  <c r="Z770" i="1"/>
  <c r="Y770" i="1"/>
  <c r="AA769" i="1"/>
  <c r="Z769" i="1"/>
  <c r="Y769" i="1"/>
  <c r="AA768" i="1"/>
  <c r="Z768" i="1"/>
  <c r="Y768" i="1"/>
  <c r="AA767" i="1"/>
  <c r="Z767" i="1"/>
  <c r="Y767" i="1"/>
  <c r="AA766" i="1"/>
  <c r="Z766" i="1"/>
  <c r="Y766" i="1"/>
  <c r="AA765" i="1"/>
  <c r="Z765" i="1"/>
  <c r="Y765" i="1"/>
  <c r="AA764" i="1"/>
  <c r="Z764" i="1"/>
  <c r="Y764" i="1"/>
  <c r="AA763" i="1"/>
  <c r="Z763" i="1"/>
  <c r="Y763" i="1"/>
  <c r="AA762" i="1"/>
  <c r="Z762" i="1"/>
  <c r="Y762" i="1"/>
  <c r="AA761" i="1"/>
  <c r="Z761" i="1"/>
  <c r="Y761" i="1"/>
  <c r="AA760" i="1"/>
  <c r="Z760" i="1"/>
  <c r="Y760" i="1"/>
  <c r="AA759" i="1"/>
  <c r="Z759" i="1"/>
  <c r="Y759" i="1"/>
  <c r="AA758" i="1"/>
  <c r="Z758" i="1"/>
  <c r="Y758" i="1"/>
  <c r="AA757" i="1"/>
  <c r="Z757" i="1"/>
  <c r="Y757" i="1"/>
  <c r="AA756" i="1"/>
  <c r="Z756" i="1"/>
  <c r="Y756" i="1"/>
  <c r="AA755" i="1"/>
  <c r="Z755" i="1"/>
  <c r="Y755" i="1"/>
  <c r="AA754" i="1"/>
  <c r="Z754" i="1"/>
  <c r="Y754" i="1"/>
  <c r="AA753" i="1"/>
  <c r="Z753" i="1"/>
  <c r="Y753" i="1"/>
  <c r="AA752" i="1"/>
  <c r="Z752" i="1"/>
  <c r="Y752" i="1"/>
  <c r="AA751" i="1"/>
  <c r="Z751" i="1"/>
  <c r="Y751" i="1"/>
  <c r="AA750" i="1"/>
  <c r="Z750" i="1"/>
  <c r="Y750" i="1"/>
  <c r="AA749" i="1"/>
  <c r="Z749" i="1"/>
  <c r="Y749" i="1"/>
  <c r="AA748" i="1"/>
  <c r="Z748" i="1"/>
  <c r="Y748" i="1"/>
  <c r="AA747" i="1"/>
  <c r="Z747" i="1"/>
  <c r="Y747" i="1"/>
  <c r="AA746" i="1"/>
  <c r="Z746" i="1"/>
  <c r="Y746" i="1"/>
  <c r="AA745" i="1"/>
  <c r="Z745" i="1"/>
  <c r="Y745" i="1"/>
  <c r="AA744" i="1"/>
  <c r="Z744" i="1"/>
  <c r="Y744" i="1"/>
  <c r="AA743" i="1"/>
  <c r="Z743" i="1"/>
  <c r="Y743" i="1"/>
  <c r="AA742" i="1"/>
  <c r="Z742" i="1"/>
  <c r="Y742" i="1"/>
  <c r="AA741" i="1"/>
  <c r="Z741" i="1"/>
  <c r="Y741" i="1"/>
  <c r="AA740" i="1"/>
  <c r="Z740" i="1"/>
  <c r="Y740" i="1"/>
  <c r="AA739" i="1"/>
  <c r="Z739" i="1"/>
  <c r="Y739" i="1"/>
  <c r="AA738" i="1"/>
  <c r="Z738" i="1"/>
  <c r="Y738" i="1"/>
  <c r="AA737" i="1"/>
  <c r="Z737" i="1"/>
  <c r="Y737" i="1"/>
  <c r="AA736" i="1"/>
  <c r="Z736" i="1"/>
  <c r="Y736" i="1"/>
  <c r="AA735" i="1"/>
  <c r="Z735" i="1"/>
  <c r="Y735" i="1"/>
  <c r="AA734" i="1"/>
  <c r="Z734" i="1"/>
  <c r="Y734" i="1"/>
  <c r="AA733" i="1"/>
  <c r="Z733" i="1"/>
  <c r="Y733" i="1"/>
  <c r="AA732" i="1"/>
  <c r="Z732" i="1"/>
  <c r="Y732" i="1"/>
  <c r="AA731" i="1"/>
  <c r="Z731" i="1"/>
  <c r="Y731" i="1"/>
  <c r="AA730" i="1"/>
  <c r="Z730" i="1"/>
  <c r="Y730" i="1"/>
  <c r="AA729" i="1"/>
  <c r="Z729" i="1"/>
  <c r="Y729" i="1"/>
  <c r="AA728" i="1"/>
  <c r="Z728" i="1"/>
  <c r="Y728" i="1"/>
  <c r="AA727" i="1"/>
  <c r="Z727" i="1"/>
  <c r="Y727" i="1"/>
  <c r="AA726" i="1"/>
  <c r="Z726" i="1"/>
  <c r="Y726" i="1"/>
  <c r="AA725" i="1"/>
  <c r="Z725" i="1"/>
  <c r="Y725" i="1"/>
  <c r="AA724" i="1"/>
  <c r="Z724" i="1"/>
  <c r="Y724" i="1"/>
  <c r="AA723" i="1"/>
  <c r="Z723" i="1"/>
  <c r="Y723" i="1"/>
  <c r="AA722" i="1"/>
  <c r="Z722" i="1"/>
  <c r="Y722" i="1"/>
  <c r="AA721" i="1"/>
  <c r="Z721" i="1"/>
  <c r="Y721" i="1"/>
  <c r="AA720" i="1"/>
  <c r="Z720" i="1"/>
  <c r="Y720" i="1"/>
  <c r="AA719" i="1"/>
  <c r="Z719" i="1"/>
  <c r="Y719" i="1"/>
  <c r="AA718" i="1"/>
  <c r="Z718" i="1"/>
  <c r="Y718" i="1"/>
  <c r="AA717" i="1"/>
  <c r="Z717" i="1"/>
  <c r="Y717" i="1"/>
  <c r="AA716" i="1"/>
  <c r="Z716" i="1"/>
  <c r="Y716" i="1"/>
  <c r="AA715" i="1"/>
  <c r="Z715" i="1"/>
  <c r="Y715" i="1"/>
  <c r="AA714" i="1"/>
  <c r="Z714" i="1"/>
  <c r="Y714" i="1"/>
  <c r="AA713" i="1"/>
  <c r="Z713" i="1"/>
  <c r="Y713" i="1"/>
  <c r="AA712" i="1"/>
  <c r="Z712" i="1"/>
  <c r="Y712" i="1"/>
  <c r="AA711" i="1"/>
  <c r="Z711" i="1"/>
  <c r="Y711" i="1"/>
  <c r="AA710" i="1"/>
  <c r="Z710" i="1"/>
  <c r="Y710" i="1"/>
  <c r="AA709" i="1"/>
  <c r="Z709" i="1"/>
  <c r="Y709" i="1"/>
  <c r="AA708" i="1"/>
  <c r="Z708" i="1"/>
  <c r="Y708" i="1"/>
  <c r="AA707" i="1"/>
  <c r="Z707" i="1"/>
  <c r="Y707" i="1"/>
  <c r="AA706" i="1"/>
  <c r="Z706" i="1"/>
  <c r="Y706" i="1"/>
  <c r="AA705" i="1"/>
  <c r="Z705" i="1"/>
  <c r="Y705" i="1"/>
  <c r="AA704" i="1"/>
  <c r="Z704" i="1"/>
  <c r="Y704" i="1"/>
  <c r="AA703" i="1"/>
  <c r="Z703" i="1"/>
  <c r="Y703" i="1"/>
  <c r="AA702" i="1"/>
  <c r="Z702" i="1"/>
  <c r="Y702" i="1"/>
  <c r="AA701" i="1"/>
  <c r="Z701" i="1"/>
  <c r="Y701" i="1"/>
  <c r="AA700" i="1"/>
  <c r="Z700" i="1"/>
  <c r="Y700" i="1"/>
  <c r="AA699" i="1"/>
  <c r="Z699" i="1"/>
  <c r="Y699" i="1"/>
  <c r="AA698" i="1"/>
  <c r="Z698" i="1"/>
  <c r="Y698" i="1"/>
  <c r="AA697" i="1"/>
  <c r="Z697" i="1"/>
  <c r="Y697" i="1"/>
  <c r="AA696" i="1"/>
  <c r="Z696" i="1"/>
  <c r="Y696" i="1"/>
  <c r="AA695" i="1"/>
  <c r="Z695" i="1"/>
  <c r="Y695" i="1"/>
  <c r="AA694" i="1"/>
  <c r="Z694" i="1"/>
  <c r="Y694" i="1"/>
  <c r="AA693" i="1"/>
  <c r="Z693" i="1"/>
  <c r="Y693" i="1"/>
  <c r="AA692" i="1"/>
  <c r="Z692" i="1"/>
  <c r="Y692" i="1"/>
  <c r="AA691" i="1"/>
  <c r="Z691" i="1"/>
  <c r="Y691" i="1"/>
  <c r="AA690" i="1"/>
  <c r="Z690" i="1"/>
  <c r="Y690" i="1"/>
  <c r="AA689" i="1"/>
  <c r="Z689" i="1"/>
  <c r="Y689" i="1"/>
  <c r="AA688" i="1"/>
  <c r="Z688" i="1"/>
  <c r="Y688" i="1"/>
  <c r="AA687" i="1"/>
  <c r="Z687" i="1"/>
  <c r="Y687" i="1"/>
  <c r="AA686" i="1"/>
  <c r="Z686" i="1"/>
  <c r="Y686" i="1"/>
  <c r="AA685" i="1"/>
  <c r="Z685" i="1"/>
  <c r="Y685" i="1"/>
  <c r="AA684" i="1"/>
  <c r="Z684" i="1"/>
  <c r="Y684" i="1"/>
  <c r="AA683" i="1"/>
  <c r="Z683" i="1"/>
  <c r="Y683" i="1"/>
  <c r="AA682" i="1"/>
  <c r="Z682" i="1"/>
  <c r="Y682" i="1"/>
  <c r="AA681" i="1"/>
  <c r="Z681" i="1"/>
  <c r="Y681" i="1"/>
  <c r="AA680" i="1"/>
  <c r="Z680" i="1"/>
  <c r="Y680" i="1"/>
  <c r="AA679" i="1"/>
  <c r="Z679" i="1"/>
  <c r="Y679" i="1"/>
  <c r="AA678" i="1"/>
  <c r="Z678" i="1"/>
  <c r="Y678" i="1"/>
  <c r="AA677" i="1"/>
  <c r="Z677" i="1"/>
  <c r="Y677" i="1"/>
  <c r="AA676" i="1"/>
  <c r="Z676" i="1"/>
  <c r="Y676" i="1"/>
  <c r="AA675" i="1"/>
  <c r="Z675" i="1"/>
  <c r="Y675" i="1"/>
  <c r="AA674" i="1"/>
  <c r="Z674" i="1"/>
  <c r="Y674" i="1"/>
  <c r="AA673" i="1"/>
  <c r="Z673" i="1"/>
  <c r="Y673" i="1"/>
  <c r="AA672" i="1"/>
  <c r="Z672" i="1"/>
  <c r="Y672" i="1"/>
  <c r="AA671" i="1"/>
  <c r="Z671" i="1"/>
  <c r="Y671" i="1"/>
  <c r="AA670" i="1"/>
  <c r="Z670" i="1"/>
  <c r="Y670" i="1"/>
  <c r="AA669" i="1"/>
  <c r="Z669" i="1"/>
  <c r="Y669" i="1"/>
  <c r="AA668" i="1"/>
  <c r="Z668" i="1"/>
  <c r="Y668" i="1"/>
  <c r="AA667" i="1"/>
  <c r="Z667" i="1"/>
  <c r="Y667" i="1"/>
  <c r="AA666" i="1"/>
  <c r="Z666" i="1"/>
  <c r="Y666" i="1"/>
  <c r="AA665" i="1"/>
  <c r="Z665" i="1"/>
  <c r="Y665" i="1"/>
  <c r="AA664" i="1"/>
  <c r="Z664" i="1"/>
  <c r="Y664" i="1"/>
  <c r="AA663" i="1"/>
  <c r="Z663" i="1"/>
  <c r="Y663" i="1"/>
  <c r="AA662" i="1"/>
  <c r="Z662" i="1"/>
  <c r="Y662" i="1"/>
  <c r="AA661" i="1"/>
  <c r="Z661" i="1"/>
  <c r="Y661" i="1"/>
  <c r="AA660" i="1"/>
  <c r="Z660" i="1"/>
  <c r="Y660" i="1"/>
  <c r="AA659" i="1"/>
  <c r="Z659" i="1"/>
  <c r="Y659" i="1"/>
  <c r="AA658" i="1"/>
  <c r="Z658" i="1"/>
  <c r="Y658" i="1"/>
  <c r="AA657" i="1"/>
  <c r="Z657" i="1"/>
  <c r="Y657" i="1"/>
  <c r="AA656" i="1"/>
  <c r="Z656" i="1"/>
  <c r="Y656" i="1"/>
  <c r="AA655" i="1"/>
  <c r="Z655" i="1"/>
  <c r="Y655" i="1"/>
  <c r="AA654" i="1"/>
  <c r="Z654" i="1"/>
  <c r="Y654" i="1"/>
  <c r="AA653" i="1"/>
  <c r="Z653" i="1"/>
  <c r="Y653" i="1"/>
  <c r="AA652" i="1"/>
  <c r="Z652" i="1"/>
  <c r="Y652" i="1"/>
  <c r="AA651" i="1"/>
  <c r="Z651" i="1"/>
  <c r="Y651" i="1"/>
  <c r="AA650" i="1"/>
  <c r="Z650" i="1"/>
  <c r="Y650" i="1"/>
  <c r="AA649" i="1"/>
  <c r="Z649" i="1"/>
  <c r="Y649" i="1"/>
  <c r="AA648" i="1"/>
  <c r="Z648" i="1"/>
  <c r="Y648" i="1"/>
  <c r="AA647" i="1"/>
  <c r="Z647" i="1"/>
  <c r="Y647" i="1"/>
  <c r="AA646" i="1"/>
  <c r="Z646" i="1"/>
  <c r="Y646" i="1"/>
  <c r="AA645" i="1"/>
  <c r="Z645" i="1"/>
  <c r="Y645" i="1"/>
  <c r="AA644" i="1"/>
  <c r="Z644" i="1"/>
  <c r="Y644" i="1"/>
  <c r="AA643" i="1"/>
  <c r="Z643" i="1"/>
  <c r="Y643" i="1"/>
  <c r="AA642" i="1"/>
  <c r="Z642" i="1"/>
  <c r="Y642" i="1"/>
  <c r="AA641" i="1"/>
  <c r="Z641" i="1"/>
  <c r="Y641" i="1"/>
  <c r="AA640" i="1"/>
  <c r="Z640" i="1"/>
  <c r="Y640" i="1"/>
  <c r="AA639" i="1"/>
  <c r="Z639" i="1"/>
  <c r="Y639" i="1"/>
  <c r="AA638" i="1"/>
  <c r="Z638" i="1"/>
  <c r="Y638" i="1"/>
  <c r="AA637" i="1"/>
  <c r="Z637" i="1"/>
  <c r="Y637" i="1"/>
  <c r="AA636" i="1"/>
  <c r="Z636" i="1"/>
  <c r="Y636" i="1"/>
  <c r="AA635" i="1"/>
  <c r="Z635" i="1"/>
  <c r="Y635" i="1"/>
  <c r="AA634" i="1"/>
  <c r="Z634" i="1"/>
  <c r="Y634" i="1"/>
  <c r="AA633" i="1"/>
  <c r="Z633" i="1"/>
  <c r="Y633" i="1"/>
  <c r="AA632" i="1"/>
  <c r="Z632" i="1"/>
  <c r="Y632" i="1"/>
  <c r="AA631" i="1"/>
  <c r="Z631" i="1"/>
  <c r="Y631" i="1"/>
  <c r="AA630" i="1"/>
  <c r="Z630" i="1"/>
  <c r="Y630" i="1"/>
  <c r="AA629" i="1"/>
  <c r="Z629" i="1"/>
  <c r="Y629" i="1"/>
  <c r="AA628" i="1"/>
  <c r="Z628" i="1"/>
  <c r="Y628" i="1"/>
  <c r="AA627" i="1"/>
  <c r="Z627" i="1"/>
  <c r="Y627" i="1"/>
  <c r="AA626" i="1"/>
  <c r="Z626" i="1"/>
  <c r="Y626" i="1"/>
  <c r="AA625" i="1"/>
  <c r="Z625" i="1"/>
  <c r="Y625" i="1"/>
  <c r="AA624" i="1"/>
  <c r="Z624" i="1"/>
  <c r="Y624" i="1"/>
  <c r="AA623" i="1"/>
  <c r="Z623" i="1"/>
  <c r="Y623" i="1"/>
  <c r="AA622" i="1"/>
  <c r="Z622" i="1"/>
  <c r="Y622" i="1"/>
  <c r="AA621" i="1"/>
  <c r="Z621" i="1"/>
  <c r="Y621" i="1"/>
  <c r="AA620" i="1"/>
  <c r="Z620" i="1"/>
  <c r="Y620" i="1"/>
  <c r="AA619" i="1"/>
  <c r="Z619" i="1"/>
  <c r="Y619" i="1"/>
  <c r="AA618" i="1"/>
  <c r="Z618" i="1"/>
  <c r="Y618" i="1"/>
  <c r="AA617" i="1"/>
  <c r="Z617" i="1"/>
  <c r="Y617" i="1"/>
  <c r="AA616" i="1"/>
  <c r="Z616" i="1"/>
  <c r="Y616" i="1"/>
  <c r="AA615" i="1"/>
  <c r="Z615" i="1"/>
  <c r="Y615" i="1"/>
  <c r="AA614" i="1"/>
  <c r="Z614" i="1"/>
  <c r="Y614" i="1"/>
  <c r="AA613" i="1"/>
  <c r="Z613" i="1"/>
  <c r="Y613" i="1"/>
  <c r="AA612" i="1"/>
  <c r="Z612" i="1"/>
  <c r="Y612" i="1"/>
  <c r="AA611" i="1"/>
  <c r="Z611" i="1"/>
  <c r="Y611" i="1"/>
  <c r="AA610" i="1"/>
  <c r="Z610" i="1"/>
  <c r="Y610" i="1"/>
  <c r="AA609" i="1"/>
  <c r="Z609" i="1"/>
  <c r="Y609" i="1"/>
  <c r="AA608" i="1"/>
  <c r="Z608" i="1"/>
  <c r="Y608" i="1"/>
  <c r="AA607" i="1"/>
  <c r="Z607" i="1"/>
  <c r="Y607" i="1"/>
  <c r="AA606" i="1"/>
  <c r="Z606" i="1"/>
  <c r="Y606" i="1"/>
  <c r="AA605" i="1"/>
  <c r="Z605" i="1"/>
  <c r="Y605" i="1"/>
  <c r="AA604" i="1"/>
  <c r="Z604" i="1"/>
  <c r="Y604" i="1"/>
  <c r="AA603" i="1"/>
  <c r="Z603" i="1"/>
  <c r="Y603" i="1"/>
  <c r="AA602" i="1"/>
  <c r="Z602" i="1"/>
  <c r="Y602" i="1"/>
  <c r="AA601" i="1"/>
  <c r="Z601" i="1"/>
  <c r="Y601" i="1"/>
  <c r="AA600" i="1"/>
  <c r="Z600" i="1"/>
  <c r="Y600" i="1"/>
  <c r="AA599" i="1"/>
  <c r="Z599" i="1"/>
  <c r="Y599" i="1"/>
  <c r="AA598" i="1"/>
  <c r="Z598" i="1"/>
  <c r="Y598" i="1"/>
  <c r="AA597" i="1"/>
  <c r="Z597" i="1"/>
  <c r="Y597" i="1"/>
  <c r="AA596" i="1"/>
  <c r="Z596" i="1"/>
  <c r="Y596" i="1"/>
  <c r="AA595" i="1"/>
  <c r="Z595" i="1"/>
  <c r="Y595" i="1"/>
  <c r="AA594" i="1"/>
  <c r="Z594" i="1"/>
  <c r="Y594" i="1"/>
  <c r="AA593" i="1"/>
  <c r="Z593" i="1"/>
  <c r="Y593" i="1"/>
  <c r="AA592" i="1"/>
  <c r="Z592" i="1"/>
  <c r="Y592" i="1"/>
  <c r="AA591" i="1"/>
  <c r="Z591" i="1"/>
  <c r="Y591" i="1"/>
  <c r="AA590" i="1"/>
  <c r="Z590" i="1"/>
  <c r="Y590" i="1"/>
  <c r="AA589" i="1"/>
  <c r="Z589" i="1"/>
  <c r="Y589" i="1"/>
  <c r="AA588" i="1"/>
  <c r="Z588" i="1"/>
  <c r="Y588" i="1"/>
  <c r="AA587" i="1"/>
  <c r="Z587" i="1"/>
  <c r="Y587" i="1"/>
  <c r="AA586" i="1"/>
  <c r="Z586" i="1"/>
  <c r="Y586" i="1"/>
  <c r="AA585" i="1"/>
  <c r="Z585" i="1"/>
  <c r="Y585" i="1"/>
  <c r="AA584" i="1"/>
  <c r="Z584" i="1"/>
  <c r="Y584" i="1"/>
  <c r="AA583" i="1"/>
  <c r="Z583" i="1"/>
  <c r="Y583" i="1"/>
  <c r="AA582" i="1"/>
  <c r="Z582" i="1"/>
  <c r="Y582" i="1"/>
  <c r="AA581" i="1"/>
  <c r="Z581" i="1"/>
  <c r="Y581" i="1"/>
  <c r="AA580" i="1"/>
  <c r="Z580" i="1"/>
  <c r="Y580" i="1"/>
  <c r="AA579" i="1"/>
  <c r="Z579" i="1"/>
  <c r="Y579" i="1"/>
  <c r="AA578" i="1"/>
  <c r="Z578" i="1"/>
  <c r="Y578" i="1"/>
  <c r="AA577" i="1"/>
  <c r="Z577" i="1"/>
  <c r="Y577" i="1"/>
  <c r="AA576" i="1"/>
  <c r="Z576" i="1"/>
  <c r="Y576" i="1"/>
  <c r="AA575" i="1"/>
  <c r="Z575" i="1"/>
  <c r="Y575" i="1"/>
  <c r="AA574" i="1"/>
  <c r="Z574" i="1"/>
  <c r="Y574" i="1"/>
  <c r="AA573" i="1"/>
  <c r="Z573" i="1"/>
  <c r="Y573" i="1"/>
  <c r="AA572" i="1"/>
  <c r="Z572" i="1"/>
  <c r="Y572" i="1"/>
  <c r="AA571" i="1"/>
  <c r="Z571" i="1"/>
  <c r="Y571" i="1"/>
  <c r="AA570" i="1"/>
  <c r="Z570" i="1"/>
  <c r="Y570" i="1"/>
  <c r="AA569" i="1"/>
  <c r="Z569" i="1"/>
  <c r="Y569" i="1"/>
  <c r="AA568" i="1"/>
  <c r="Z568" i="1"/>
  <c r="Y568" i="1"/>
  <c r="AA567" i="1"/>
  <c r="Z567" i="1"/>
  <c r="Y567" i="1"/>
  <c r="AA566" i="1"/>
  <c r="Z566" i="1"/>
  <c r="Y566" i="1"/>
  <c r="AA565" i="1"/>
  <c r="Z565" i="1"/>
  <c r="Y565" i="1"/>
  <c r="AA564" i="1"/>
  <c r="Z564" i="1"/>
  <c r="Y564" i="1"/>
  <c r="AA563" i="1"/>
  <c r="Z563" i="1"/>
  <c r="Y563" i="1"/>
  <c r="AA562" i="1"/>
  <c r="Z562" i="1"/>
  <c r="Y562" i="1"/>
  <c r="AA561" i="1"/>
  <c r="Z561" i="1"/>
  <c r="Y561" i="1"/>
  <c r="AA560" i="1"/>
  <c r="Z560" i="1"/>
  <c r="Y560" i="1"/>
  <c r="AA559" i="1"/>
  <c r="Z559" i="1"/>
  <c r="Y559" i="1"/>
  <c r="AA558" i="1"/>
  <c r="Z558" i="1"/>
  <c r="Y558" i="1"/>
  <c r="AA557" i="1"/>
  <c r="Z557" i="1"/>
  <c r="Y557" i="1"/>
  <c r="AA556" i="1"/>
  <c r="Z556" i="1"/>
  <c r="Y556" i="1"/>
  <c r="AA555" i="1"/>
  <c r="Z555" i="1"/>
  <c r="Y555" i="1"/>
  <c r="AA554" i="1"/>
  <c r="Z554" i="1"/>
  <c r="Y554" i="1"/>
  <c r="AA553" i="1"/>
  <c r="Z553" i="1"/>
  <c r="Y553" i="1"/>
  <c r="AA552" i="1"/>
  <c r="Z552" i="1"/>
  <c r="Y552" i="1"/>
  <c r="AA551" i="1"/>
  <c r="Z551" i="1"/>
  <c r="Y551" i="1"/>
  <c r="AA550" i="1"/>
  <c r="Z550" i="1"/>
  <c r="Y550" i="1"/>
  <c r="AA549" i="1"/>
  <c r="Z549" i="1"/>
  <c r="Y549" i="1"/>
  <c r="AA548" i="1"/>
  <c r="Z548" i="1"/>
  <c r="Y548" i="1"/>
  <c r="AA547" i="1"/>
  <c r="Z547" i="1"/>
  <c r="Y547" i="1"/>
  <c r="AA546" i="1"/>
  <c r="Z546" i="1"/>
  <c r="Y546" i="1"/>
  <c r="AA545" i="1"/>
  <c r="Z545" i="1"/>
  <c r="Y545" i="1"/>
  <c r="AA544" i="1"/>
  <c r="Z544" i="1"/>
  <c r="Y544" i="1"/>
  <c r="AA543" i="1"/>
  <c r="Z543" i="1"/>
  <c r="Y543" i="1"/>
  <c r="AA542" i="1"/>
  <c r="Z542" i="1"/>
  <c r="Y542" i="1"/>
  <c r="AA541" i="1"/>
  <c r="Z541" i="1"/>
  <c r="Y541" i="1"/>
  <c r="AA540" i="1"/>
  <c r="Z540" i="1"/>
  <c r="Y540" i="1"/>
  <c r="AA539" i="1"/>
  <c r="Z539" i="1"/>
  <c r="Y539" i="1"/>
  <c r="AA538" i="1"/>
  <c r="Z538" i="1"/>
  <c r="Y538" i="1"/>
  <c r="AA537" i="1"/>
  <c r="Z537" i="1"/>
  <c r="Y537" i="1"/>
  <c r="AA536" i="1"/>
  <c r="Z536" i="1"/>
  <c r="Y536" i="1"/>
  <c r="AA535" i="1"/>
  <c r="Z535" i="1"/>
  <c r="Y535" i="1"/>
  <c r="AA534" i="1"/>
  <c r="Z534" i="1"/>
  <c r="Y534" i="1"/>
  <c r="AA533" i="1"/>
  <c r="Z533" i="1"/>
  <c r="Y533" i="1"/>
  <c r="AA532" i="1"/>
  <c r="Z532" i="1"/>
  <c r="Y532" i="1"/>
  <c r="AA531" i="1"/>
  <c r="Z531" i="1"/>
  <c r="Y531" i="1"/>
  <c r="AA530" i="1"/>
  <c r="Z530" i="1"/>
  <c r="Y530" i="1"/>
  <c r="AA529" i="1"/>
  <c r="Z529" i="1"/>
  <c r="Y529" i="1"/>
  <c r="AA528" i="1"/>
  <c r="Z528" i="1"/>
  <c r="Y528" i="1"/>
  <c r="AA527" i="1"/>
  <c r="Z527" i="1"/>
  <c r="Y527" i="1"/>
  <c r="AA526" i="1"/>
  <c r="Z526" i="1"/>
  <c r="Y526" i="1"/>
  <c r="AA525" i="1"/>
  <c r="Z525" i="1"/>
  <c r="Y525" i="1"/>
  <c r="AA524" i="1"/>
  <c r="Z524" i="1"/>
  <c r="Y524" i="1"/>
  <c r="AA523" i="1"/>
  <c r="Z523" i="1"/>
  <c r="Y523" i="1"/>
  <c r="AA522" i="1"/>
  <c r="Z522" i="1"/>
  <c r="Y522" i="1"/>
  <c r="AA521" i="1"/>
  <c r="Z521" i="1"/>
  <c r="Y521" i="1"/>
  <c r="AA520" i="1"/>
  <c r="Z520" i="1"/>
  <c r="Y520" i="1"/>
  <c r="AA519" i="1"/>
  <c r="Z519" i="1"/>
  <c r="Y519" i="1"/>
  <c r="AA518" i="1"/>
  <c r="Z518" i="1"/>
  <c r="Y518" i="1"/>
  <c r="AA517" i="1"/>
  <c r="Z517" i="1"/>
  <c r="Y517" i="1"/>
  <c r="AA516" i="1"/>
  <c r="Z516" i="1"/>
  <c r="Y516" i="1"/>
  <c r="AA515" i="1"/>
  <c r="Z515" i="1"/>
  <c r="Y515" i="1"/>
  <c r="AA514" i="1"/>
  <c r="Z514" i="1"/>
  <c r="Y514" i="1"/>
  <c r="AA513" i="1"/>
  <c r="Z513" i="1"/>
  <c r="Y513" i="1"/>
  <c r="AA512" i="1"/>
  <c r="Z512" i="1"/>
  <c r="Y512" i="1"/>
  <c r="AA511" i="1"/>
  <c r="Z511" i="1"/>
  <c r="Y511" i="1"/>
  <c r="AA510" i="1"/>
  <c r="Z510" i="1"/>
  <c r="Y510" i="1"/>
  <c r="AA509" i="1"/>
  <c r="Z509" i="1"/>
  <c r="Y509" i="1"/>
  <c r="AA508" i="1"/>
  <c r="Z508" i="1"/>
  <c r="Y508" i="1"/>
  <c r="AA507" i="1"/>
  <c r="Z507" i="1"/>
  <c r="Y507" i="1"/>
  <c r="AA506" i="1"/>
  <c r="Z506" i="1"/>
  <c r="Y506" i="1"/>
  <c r="AA505" i="1"/>
  <c r="Z505" i="1"/>
  <c r="Y505" i="1"/>
  <c r="AA504" i="1"/>
  <c r="Z504" i="1"/>
  <c r="Y504" i="1"/>
  <c r="AA503" i="1"/>
  <c r="Z503" i="1"/>
  <c r="Y503" i="1"/>
  <c r="AA502" i="1"/>
  <c r="Z502" i="1"/>
  <c r="Y502" i="1"/>
  <c r="AA501" i="1"/>
  <c r="Z501" i="1"/>
  <c r="Y501" i="1"/>
  <c r="AA500" i="1"/>
  <c r="Z500" i="1"/>
  <c r="Y500" i="1"/>
  <c r="AA499" i="1"/>
  <c r="Z499" i="1"/>
  <c r="Y499" i="1"/>
  <c r="AA498" i="1"/>
  <c r="Z498" i="1"/>
  <c r="Y498" i="1"/>
  <c r="AA497" i="1"/>
  <c r="Z497" i="1"/>
  <c r="Y497" i="1"/>
  <c r="AA496" i="1"/>
  <c r="Z496" i="1"/>
  <c r="Y496" i="1"/>
  <c r="AA495" i="1"/>
  <c r="Z495" i="1"/>
  <c r="Y495" i="1"/>
  <c r="AA494" i="1"/>
  <c r="Z494" i="1"/>
  <c r="Y494" i="1"/>
  <c r="AA493" i="1"/>
  <c r="Z493" i="1"/>
  <c r="Y493" i="1"/>
  <c r="AA492" i="1"/>
  <c r="Z492" i="1"/>
  <c r="Y492" i="1"/>
  <c r="AA491" i="1"/>
  <c r="Z491" i="1"/>
  <c r="Y491" i="1"/>
  <c r="AA490" i="1"/>
  <c r="Z490" i="1"/>
  <c r="Y490" i="1"/>
  <c r="AA489" i="1"/>
  <c r="Z489" i="1"/>
  <c r="Y489" i="1"/>
  <c r="AA488" i="1"/>
  <c r="Z488" i="1"/>
  <c r="Y488" i="1"/>
  <c r="AA487" i="1"/>
  <c r="Z487" i="1"/>
  <c r="Y487" i="1"/>
  <c r="AA486" i="1"/>
  <c r="Z486" i="1"/>
  <c r="Y486" i="1"/>
  <c r="AA485" i="1"/>
  <c r="Z485" i="1"/>
  <c r="Y485" i="1"/>
  <c r="AA484" i="1"/>
  <c r="Z484" i="1"/>
  <c r="Y484" i="1"/>
  <c r="AA483" i="1"/>
  <c r="Z483" i="1"/>
  <c r="Y483" i="1"/>
  <c r="AA482" i="1"/>
  <c r="Z482" i="1"/>
  <c r="Y482" i="1"/>
  <c r="AA481" i="1"/>
  <c r="Z481" i="1"/>
  <c r="Y481" i="1"/>
  <c r="AA480" i="1"/>
  <c r="Z480" i="1"/>
  <c r="Y480" i="1"/>
  <c r="AA479" i="1"/>
  <c r="Z479" i="1"/>
  <c r="Y479" i="1"/>
  <c r="AA478" i="1"/>
  <c r="Z478" i="1"/>
  <c r="Y478" i="1"/>
  <c r="AA477" i="1"/>
  <c r="Z477" i="1"/>
  <c r="Y477" i="1"/>
  <c r="AA476" i="1"/>
  <c r="Z476" i="1"/>
  <c r="Y476" i="1"/>
  <c r="AA475" i="1"/>
  <c r="Z475" i="1"/>
  <c r="Y475" i="1"/>
  <c r="AA474" i="1"/>
  <c r="Z474" i="1"/>
  <c r="Y474" i="1"/>
  <c r="AA473" i="1"/>
  <c r="Z473" i="1"/>
  <c r="Y473" i="1"/>
  <c r="AA472" i="1"/>
  <c r="Z472" i="1"/>
  <c r="Y472" i="1"/>
  <c r="AA471" i="1"/>
  <c r="Z471" i="1"/>
  <c r="Y471" i="1"/>
  <c r="AA470" i="1"/>
  <c r="Z470" i="1"/>
  <c r="Y470" i="1"/>
  <c r="AA469" i="1"/>
  <c r="Z469" i="1"/>
  <c r="Y469" i="1"/>
  <c r="AA468" i="1"/>
  <c r="Z468" i="1"/>
  <c r="Y468" i="1"/>
  <c r="AA467" i="1"/>
  <c r="Z467" i="1"/>
  <c r="Y467" i="1"/>
  <c r="AA466" i="1"/>
  <c r="Z466" i="1"/>
  <c r="Y466" i="1"/>
  <c r="AA465" i="1"/>
  <c r="Z465" i="1"/>
  <c r="Y465" i="1"/>
  <c r="AA464" i="1"/>
  <c r="Z464" i="1"/>
  <c r="Y464" i="1"/>
  <c r="AA463" i="1"/>
  <c r="Z463" i="1"/>
  <c r="Y463" i="1"/>
  <c r="AA462" i="1"/>
  <c r="Z462" i="1"/>
  <c r="Y462" i="1"/>
  <c r="AA461" i="1"/>
  <c r="Z461" i="1"/>
  <c r="Y461" i="1"/>
  <c r="AA460" i="1"/>
  <c r="Z460" i="1"/>
  <c r="Y460" i="1"/>
  <c r="AA459" i="1"/>
  <c r="Z459" i="1"/>
  <c r="Y459" i="1"/>
  <c r="AA458" i="1"/>
  <c r="Z458" i="1"/>
  <c r="Y458" i="1"/>
  <c r="AA457" i="1"/>
  <c r="Z457" i="1"/>
  <c r="Y457" i="1"/>
  <c r="AA456" i="1"/>
  <c r="Z456" i="1"/>
  <c r="Y456" i="1"/>
  <c r="AA455" i="1"/>
  <c r="Z455" i="1"/>
  <c r="Y455" i="1"/>
  <c r="AA454" i="1"/>
  <c r="Z454" i="1"/>
  <c r="Y454" i="1"/>
  <c r="AA453" i="1"/>
  <c r="Z453" i="1"/>
  <c r="Y453" i="1"/>
  <c r="AA452" i="1"/>
  <c r="Z452" i="1"/>
  <c r="Y452" i="1"/>
  <c r="AA451" i="1"/>
  <c r="Z451" i="1"/>
  <c r="Y451" i="1"/>
  <c r="AA450" i="1"/>
  <c r="Z450" i="1"/>
  <c r="Y450" i="1"/>
  <c r="AA449" i="1"/>
  <c r="Z449" i="1"/>
  <c r="Y449" i="1"/>
  <c r="AA448" i="1"/>
  <c r="Z448" i="1"/>
  <c r="Y448" i="1"/>
  <c r="AA447" i="1"/>
  <c r="Z447" i="1"/>
  <c r="Y447" i="1"/>
  <c r="AA446" i="1"/>
  <c r="Z446" i="1"/>
  <c r="Y446" i="1"/>
  <c r="AA445" i="1"/>
  <c r="Z445" i="1"/>
  <c r="Y445" i="1"/>
  <c r="AA444" i="1"/>
  <c r="Z444" i="1"/>
  <c r="Y444" i="1"/>
  <c r="AA443" i="1"/>
  <c r="Z443" i="1"/>
  <c r="Y443" i="1"/>
  <c r="AA442" i="1"/>
  <c r="Z442" i="1"/>
  <c r="Y442" i="1"/>
  <c r="AA441" i="1"/>
  <c r="Z441" i="1"/>
  <c r="Y441" i="1"/>
  <c r="AA440" i="1"/>
  <c r="Z440" i="1"/>
  <c r="Y440" i="1"/>
  <c r="AA439" i="1"/>
  <c r="Z439" i="1"/>
  <c r="Y439" i="1"/>
  <c r="AA438" i="1"/>
  <c r="Z438" i="1"/>
  <c r="Y438" i="1"/>
  <c r="AA437" i="1"/>
  <c r="Z437" i="1"/>
  <c r="Y437" i="1"/>
  <c r="AA436" i="1"/>
  <c r="Z436" i="1"/>
  <c r="Y436" i="1"/>
  <c r="AA435" i="1"/>
  <c r="Z435" i="1"/>
  <c r="Y435" i="1"/>
  <c r="AA434" i="1"/>
  <c r="Z434" i="1"/>
  <c r="Y434" i="1"/>
  <c r="AA433" i="1"/>
  <c r="Z433" i="1"/>
  <c r="Y433" i="1"/>
  <c r="AA432" i="1"/>
  <c r="Z432" i="1"/>
  <c r="Y432" i="1"/>
  <c r="AA431" i="1"/>
  <c r="Z431" i="1"/>
  <c r="Y431" i="1"/>
  <c r="AA430" i="1"/>
  <c r="Z430" i="1"/>
  <c r="Y430" i="1"/>
  <c r="AA429" i="1"/>
  <c r="Z429" i="1"/>
  <c r="Y429" i="1"/>
  <c r="AA428" i="1"/>
  <c r="Z428" i="1"/>
  <c r="Y428" i="1"/>
  <c r="AA427" i="1"/>
  <c r="Z427" i="1"/>
  <c r="Y427" i="1"/>
  <c r="AA426" i="1"/>
  <c r="Z426" i="1"/>
  <c r="Y426" i="1"/>
  <c r="AA425" i="1"/>
  <c r="Z425" i="1"/>
  <c r="Y425" i="1"/>
  <c r="AA424" i="1"/>
  <c r="Z424" i="1"/>
  <c r="Y424" i="1"/>
  <c r="AA423" i="1"/>
  <c r="Z423" i="1"/>
  <c r="Y423" i="1"/>
  <c r="AA422" i="1"/>
  <c r="Z422" i="1"/>
  <c r="Y422" i="1"/>
  <c r="AA421" i="1"/>
  <c r="Z421" i="1"/>
  <c r="Y421" i="1"/>
  <c r="AA420" i="1"/>
  <c r="Z420" i="1"/>
  <c r="Y420" i="1"/>
  <c r="AA419" i="1"/>
  <c r="Z419" i="1"/>
  <c r="Y419" i="1"/>
  <c r="AA418" i="1"/>
  <c r="Z418" i="1"/>
  <c r="Y418" i="1"/>
  <c r="AA417" i="1"/>
  <c r="Z417" i="1"/>
  <c r="Y417" i="1"/>
  <c r="AA416" i="1"/>
  <c r="Z416" i="1"/>
  <c r="Y416" i="1"/>
  <c r="AA415" i="1"/>
  <c r="Z415" i="1"/>
  <c r="Y415" i="1"/>
  <c r="AA414" i="1"/>
  <c r="Z414" i="1"/>
  <c r="Y414" i="1"/>
  <c r="AA413" i="1"/>
  <c r="Z413" i="1"/>
  <c r="Y413" i="1"/>
  <c r="AA412" i="1"/>
  <c r="Z412" i="1"/>
  <c r="Y412" i="1"/>
  <c r="AA411" i="1"/>
  <c r="Z411" i="1"/>
  <c r="Y411" i="1"/>
  <c r="AA410" i="1"/>
  <c r="Z410" i="1"/>
  <c r="Y410" i="1"/>
  <c r="AA409" i="1"/>
  <c r="Z409" i="1"/>
  <c r="Y409" i="1"/>
  <c r="AA408" i="1"/>
  <c r="Z408" i="1"/>
  <c r="Y408" i="1"/>
  <c r="AA407" i="1"/>
  <c r="Z407" i="1"/>
  <c r="Y407" i="1"/>
  <c r="AA406" i="1"/>
  <c r="Z406" i="1"/>
  <c r="Y406" i="1"/>
  <c r="AA405" i="1"/>
  <c r="Z405" i="1"/>
  <c r="Y405" i="1"/>
  <c r="AA404" i="1"/>
  <c r="Z404" i="1"/>
  <c r="Y404" i="1"/>
  <c r="AA403" i="1"/>
  <c r="Z403" i="1"/>
  <c r="Y403" i="1"/>
  <c r="AA402" i="1"/>
  <c r="Z402" i="1"/>
  <c r="Y402" i="1"/>
  <c r="AA401" i="1"/>
  <c r="Z401" i="1"/>
  <c r="Y401" i="1"/>
  <c r="AA400" i="1"/>
  <c r="Z400" i="1"/>
  <c r="Y400" i="1"/>
  <c r="AA399" i="1"/>
  <c r="Z399" i="1"/>
  <c r="Y399" i="1"/>
  <c r="AA398" i="1"/>
  <c r="Z398" i="1"/>
  <c r="Y398" i="1"/>
  <c r="AA397" i="1"/>
  <c r="Z397" i="1"/>
  <c r="Y397" i="1"/>
  <c r="AA396" i="1"/>
  <c r="Z396" i="1"/>
  <c r="Y396" i="1"/>
  <c r="AA395" i="1"/>
  <c r="Z395" i="1"/>
  <c r="Y395" i="1"/>
  <c r="AA394" i="1"/>
  <c r="Z394" i="1"/>
  <c r="Y394" i="1"/>
  <c r="AA393" i="1"/>
  <c r="Z393" i="1"/>
  <c r="Y393" i="1"/>
  <c r="AA392" i="1"/>
  <c r="Z392" i="1"/>
  <c r="Y392" i="1"/>
  <c r="AA391" i="1"/>
  <c r="Z391" i="1"/>
  <c r="Y391" i="1"/>
  <c r="AA390" i="1"/>
  <c r="Z390" i="1"/>
  <c r="Y390" i="1"/>
  <c r="AA389" i="1"/>
  <c r="Z389" i="1"/>
  <c r="Y389" i="1"/>
  <c r="AA388" i="1"/>
  <c r="Z388" i="1"/>
  <c r="Y388" i="1"/>
  <c r="AA387" i="1"/>
  <c r="Z387" i="1"/>
  <c r="Y387" i="1"/>
  <c r="AA386" i="1"/>
  <c r="Z386" i="1"/>
  <c r="Y386" i="1"/>
  <c r="AA385" i="1"/>
  <c r="Z385" i="1"/>
  <c r="Y385" i="1"/>
  <c r="AA384" i="1"/>
  <c r="Z384" i="1"/>
  <c r="Y384" i="1"/>
  <c r="AA383" i="1"/>
  <c r="Z383" i="1"/>
  <c r="Y383" i="1"/>
  <c r="AA382" i="1"/>
  <c r="Z382" i="1"/>
  <c r="Y382" i="1"/>
  <c r="AA381" i="1"/>
  <c r="Z381" i="1"/>
  <c r="Y381" i="1"/>
  <c r="AA380" i="1"/>
  <c r="Z380" i="1"/>
  <c r="Y380" i="1"/>
  <c r="AA379" i="1"/>
  <c r="Z379" i="1"/>
  <c r="Y379" i="1"/>
  <c r="AA378" i="1"/>
  <c r="Z378" i="1"/>
  <c r="Y378" i="1"/>
  <c r="AA377" i="1"/>
  <c r="Z377" i="1"/>
  <c r="Y377" i="1"/>
  <c r="AA376" i="1"/>
  <c r="Z376" i="1"/>
  <c r="Y376" i="1"/>
  <c r="AA375" i="1"/>
  <c r="Z375" i="1"/>
  <c r="Y375" i="1"/>
  <c r="AA374" i="1"/>
  <c r="Z374" i="1"/>
  <c r="Y374" i="1"/>
  <c r="AA373" i="1"/>
  <c r="Z373" i="1"/>
  <c r="Y373" i="1"/>
  <c r="AA372" i="1"/>
  <c r="Z372" i="1"/>
  <c r="Y372" i="1"/>
  <c r="AA371" i="1"/>
  <c r="Z371" i="1"/>
  <c r="Y371" i="1"/>
  <c r="AA370" i="1"/>
  <c r="Z370" i="1"/>
  <c r="Y370" i="1"/>
  <c r="AA369" i="1"/>
  <c r="Z369" i="1"/>
  <c r="Y369" i="1"/>
  <c r="AA368" i="1"/>
  <c r="Z368" i="1"/>
  <c r="Y368" i="1"/>
  <c r="AA367" i="1"/>
  <c r="Z367" i="1"/>
  <c r="Y367" i="1"/>
  <c r="AA366" i="1"/>
  <c r="Z366" i="1"/>
  <c r="Y366" i="1"/>
  <c r="AA365" i="1"/>
  <c r="Z365" i="1"/>
  <c r="Y365" i="1"/>
  <c r="AA364" i="1"/>
  <c r="Z364" i="1"/>
  <c r="Y364" i="1"/>
  <c r="AA363" i="1"/>
  <c r="Z363" i="1"/>
  <c r="Y363" i="1"/>
  <c r="AA362" i="1"/>
  <c r="Z362" i="1"/>
  <c r="Y362" i="1"/>
  <c r="AA361" i="1"/>
  <c r="Z361" i="1"/>
  <c r="Y361" i="1"/>
  <c r="AA360" i="1"/>
  <c r="Z360" i="1"/>
  <c r="Y360" i="1"/>
  <c r="AA359" i="1"/>
  <c r="Z359" i="1"/>
  <c r="Y359" i="1"/>
  <c r="AA358" i="1"/>
  <c r="Z358" i="1"/>
  <c r="Y358" i="1"/>
  <c r="AA357" i="1"/>
  <c r="Z357" i="1"/>
  <c r="Y357" i="1"/>
  <c r="AA356" i="1"/>
  <c r="Z356" i="1"/>
  <c r="Y356" i="1"/>
  <c r="AA355" i="1"/>
  <c r="Z355" i="1"/>
  <c r="Y355" i="1"/>
  <c r="AA354" i="1"/>
  <c r="Z354" i="1"/>
  <c r="Y354" i="1"/>
  <c r="AA353" i="1"/>
  <c r="Z353" i="1"/>
  <c r="Y353" i="1"/>
  <c r="AA352" i="1"/>
  <c r="Z352" i="1"/>
  <c r="Y352" i="1"/>
  <c r="AA351" i="1"/>
  <c r="Z351" i="1"/>
  <c r="Y351" i="1"/>
  <c r="AA350" i="1"/>
  <c r="Z350" i="1"/>
  <c r="Y350" i="1"/>
  <c r="AA349" i="1"/>
  <c r="Z349" i="1"/>
  <c r="Y349" i="1"/>
  <c r="AA348" i="1"/>
  <c r="Z348" i="1"/>
  <c r="Y348" i="1"/>
  <c r="AA347" i="1"/>
  <c r="Z347" i="1"/>
  <c r="Y347" i="1"/>
  <c r="AA346" i="1"/>
  <c r="Z346" i="1"/>
  <c r="Y346" i="1"/>
  <c r="AA345" i="1"/>
  <c r="Z345" i="1"/>
  <c r="Y345" i="1"/>
  <c r="AA344" i="1"/>
  <c r="Z344" i="1"/>
  <c r="Y344" i="1"/>
  <c r="AA343" i="1"/>
  <c r="Z343" i="1"/>
  <c r="Y343" i="1"/>
  <c r="AA342" i="1"/>
  <c r="Z342" i="1"/>
  <c r="Y342" i="1"/>
  <c r="AA341" i="1"/>
  <c r="Z341" i="1"/>
  <c r="Y341" i="1"/>
  <c r="AA340" i="1"/>
  <c r="Z340" i="1"/>
  <c r="Y340" i="1"/>
  <c r="AA339" i="1"/>
  <c r="Z339" i="1"/>
  <c r="Y339" i="1"/>
  <c r="AA338" i="1"/>
  <c r="Z338" i="1"/>
  <c r="Y338" i="1"/>
  <c r="AA337" i="1"/>
  <c r="Z337" i="1"/>
  <c r="Y337" i="1"/>
  <c r="AA336" i="1"/>
  <c r="Z336" i="1"/>
  <c r="Y336" i="1"/>
  <c r="AA335" i="1"/>
  <c r="Z335" i="1"/>
  <c r="Y335" i="1"/>
  <c r="AA334" i="1"/>
  <c r="Z334" i="1"/>
  <c r="Y334" i="1"/>
  <c r="AA333" i="1"/>
  <c r="Z333" i="1"/>
  <c r="Y333" i="1"/>
  <c r="AA332" i="1"/>
  <c r="Z332" i="1"/>
  <c r="Y332" i="1"/>
  <c r="AA331" i="1"/>
  <c r="Z331" i="1"/>
  <c r="Y331" i="1"/>
  <c r="AA330" i="1"/>
  <c r="Z330" i="1"/>
  <c r="Y330" i="1"/>
  <c r="AA329" i="1"/>
  <c r="Z329" i="1"/>
  <c r="Y329" i="1"/>
  <c r="AA328" i="1"/>
  <c r="Z328" i="1"/>
  <c r="Y328" i="1"/>
  <c r="AA327" i="1"/>
  <c r="Z327" i="1"/>
  <c r="Y327" i="1"/>
  <c r="AA326" i="1"/>
  <c r="Z326" i="1"/>
  <c r="Y326" i="1"/>
  <c r="AA325" i="1"/>
  <c r="Z325" i="1"/>
  <c r="Y325" i="1"/>
  <c r="AA324" i="1"/>
  <c r="Z324" i="1"/>
  <c r="Y324" i="1"/>
  <c r="AA323" i="1"/>
  <c r="Z323" i="1"/>
  <c r="Y323" i="1"/>
  <c r="AA322" i="1"/>
  <c r="Z322" i="1"/>
  <c r="Y322" i="1"/>
  <c r="AA321" i="1"/>
  <c r="Z321" i="1"/>
  <c r="Y321" i="1"/>
  <c r="AA320" i="1"/>
  <c r="Z320" i="1"/>
  <c r="Y320" i="1"/>
  <c r="AA319" i="1"/>
  <c r="Z319" i="1"/>
  <c r="Y319" i="1"/>
  <c r="AA318" i="1"/>
  <c r="Z318" i="1"/>
  <c r="Y318" i="1"/>
  <c r="AA317" i="1"/>
  <c r="Z317" i="1"/>
  <c r="Y317" i="1"/>
  <c r="AA316" i="1"/>
  <c r="Z316" i="1"/>
  <c r="Y316" i="1"/>
  <c r="AA315" i="1"/>
  <c r="Z315" i="1"/>
  <c r="Y315" i="1"/>
  <c r="AA314" i="1"/>
  <c r="Z314" i="1"/>
  <c r="Y314" i="1"/>
  <c r="AA313" i="1"/>
  <c r="Z313" i="1"/>
  <c r="Y313" i="1"/>
  <c r="AA312" i="1"/>
  <c r="Z312" i="1"/>
  <c r="Y312" i="1"/>
  <c r="AA311" i="1"/>
  <c r="Z311" i="1"/>
  <c r="Y311" i="1"/>
  <c r="AA310" i="1"/>
  <c r="Z310" i="1"/>
  <c r="Y310" i="1"/>
  <c r="AA309" i="1"/>
  <c r="Z309" i="1"/>
  <c r="Y309" i="1"/>
  <c r="AA308" i="1"/>
  <c r="Z308" i="1"/>
  <c r="Y308" i="1"/>
  <c r="AA307" i="1"/>
  <c r="Z307" i="1"/>
  <c r="Y307" i="1"/>
  <c r="AA306" i="1"/>
  <c r="Z306" i="1"/>
  <c r="Y306" i="1"/>
  <c r="AA305" i="1"/>
  <c r="Z305" i="1"/>
  <c r="Y305" i="1"/>
  <c r="AA304" i="1"/>
  <c r="Z304" i="1"/>
  <c r="Y304" i="1"/>
  <c r="AA303" i="1"/>
  <c r="Z303" i="1"/>
  <c r="Y303" i="1"/>
  <c r="AA302" i="1"/>
  <c r="Z302" i="1"/>
  <c r="Y302" i="1"/>
  <c r="AA301" i="1"/>
  <c r="Z301" i="1"/>
  <c r="Y301" i="1"/>
  <c r="AA300" i="1"/>
  <c r="Z300" i="1"/>
  <c r="Y300" i="1"/>
  <c r="AA299" i="1"/>
  <c r="Z299" i="1"/>
  <c r="Y299" i="1"/>
  <c r="AA298" i="1"/>
  <c r="Z298" i="1"/>
  <c r="Y298" i="1"/>
  <c r="AA297" i="1"/>
  <c r="Z297" i="1"/>
  <c r="Y297" i="1"/>
  <c r="AA296" i="1"/>
  <c r="Z296" i="1"/>
  <c r="Y296" i="1"/>
  <c r="AA295" i="1"/>
  <c r="Z295" i="1"/>
  <c r="Y295" i="1"/>
  <c r="AA294" i="1"/>
  <c r="Z294" i="1"/>
  <c r="Y294" i="1"/>
  <c r="AA293" i="1"/>
  <c r="Z293" i="1"/>
  <c r="Y293" i="1"/>
  <c r="AA292" i="1"/>
  <c r="Z292" i="1"/>
  <c r="Y292" i="1"/>
  <c r="AA291" i="1"/>
  <c r="Z291" i="1"/>
  <c r="Y291" i="1"/>
  <c r="AA290" i="1"/>
  <c r="Z290" i="1"/>
  <c r="Y290" i="1"/>
  <c r="AA289" i="1"/>
  <c r="Z289" i="1"/>
  <c r="Y289" i="1"/>
  <c r="AA288" i="1"/>
  <c r="Z288" i="1"/>
  <c r="Y288" i="1"/>
  <c r="AA287" i="1"/>
  <c r="Z287" i="1"/>
  <c r="Y287" i="1"/>
  <c r="AA286" i="1"/>
  <c r="Z286" i="1"/>
  <c r="Y286" i="1"/>
  <c r="AA285" i="1"/>
  <c r="Z285" i="1"/>
  <c r="Y285" i="1"/>
  <c r="AA284" i="1"/>
  <c r="Z284" i="1"/>
  <c r="Y284" i="1"/>
  <c r="AA283" i="1"/>
  <c r="Z283" i="1"/>
  <c r="Y283" i="1"/>
  <c r="AA282" i="1"/>
  <c r="Z282" i="1"/>
  <c r="Y282" i="1"/>
  <c r="AA281" i="1"/>
  <c r="Z281" i="1"/>
  <c r="Y281" i="1"/>
  <c r="AA280" i="1"/>
  <c r="Z280" i="1"/>
  <c r="Y280" i="1"/>
  <c r="AA279" i="1"/>
  <c r="Z279" i="1"/>
  <c r="Y279" i="1"/>
  <c r="AA278" i="1"/>
  <c r="Z278" i="1"/>
  <c r="Y278" i="1"/>
  <c r="AA277" i="1"/>
  <c r="Z277" i="1"/>
  <c r="Y277" i="1"/>
  <c r="AA276" i="1"/>
  <c r="Z276" i="1"/>
  <c r="Y276" i="1"/>
  <c r="AA275" i="1"/>
  <c r="Z275" i="1"/>
  <c r="Y275" i="1"/>
  <c r="AA274" i="1"/>
  <c r="Z274" i="1"/>
  <c r="Y274" i="1"/>
  <c r="AA273" i="1"/>
  <c r="Z273" i="1"/>
  <c r="Y273" i="1"/>
  <c r="AA272" i="1"/>
  <c r="Z272" i="1"/>
  <c r="Y272" i="1"/>
  <c r="AA271" i="1"/>
  <c r="Z271" i="1"/>
  <c r="Y271" i="1"/>
  <c r="AA270" i="1"/>
  <c r="Z270" i="1"/>
  <c r="Y270" i="1"/>
  <c r="AA269" i="1"/>
  <c r="Z269" i="1"/>
  <c r="Y269" i="1"/>
  <c r="AA268" i="1"/>
  <c r="Z268" i="1"/>
  <c r="Y268" i="1"/>
  <c r="AA267" i="1"/>
  <c r="Z267" i="1"/>
  <c r="Y267" i="1"/>
  <c r="AA266" i="1"/>
  <c r="Z266" i="1"/>
  <c r="Y266" i="1"/>
  <c r="AA265" i="1"/>
  <c r="Z265" i="1"/>
  <c r="Y265" i="1"/>
  <c r="AA264" i="1"/>
  <c r="Z264" i="1"/>
  <c r="Y264" i="1"/>
  <c r="AA263" i="1"/>
  <c r="Z263" i="1"/>
  <c r="Y263" i="1"/>
  <c r="AA262" i="1"/>
  <c r="Z262" i="1"/>
  <c r="Y262" i="1"/>
  <c r="AA261" i="1"/>
  <c r="Z261" i="1"/>
  <c r="Y261" i="1"/>
  <c r="AA260" i="1"/>
  <c r="Z260" i="1"/>
  <c r="Y260" i="1"/>
  <c r="AA259" i="1"/>
  <c r="Z259" i="1"/>
  <c r="Y259" i="1"/>
  <c r="AA258" i="1"/>
  <c r="Z258" i="1"/>
  <c r="Y258" i="1"/>
  <c r="AA257" i="1"/>
  <c r="Z257" i="1"/>
  <c r="Y257" i="1"/>
  <c r="AA256" i="1"/>
  <c r="Z256" i="1"/>
  <c r="Y256" i="1"/>
  <c r="AA255" i="1"/>
  <c r="Z255" i="1"/>
  <c r="Y255" i="1"/>
  <c r="AA254" i="1"/>
  <c r="Z254" i="1"/>
  <c r="Y254" i="1"/>
  <c r="AA253" i="1"/>
  <c r="Z253" i="1"/>
  <c r="Y253" i="1"/>
  <c r="AA252" i="1"/>
  <c r="Z252" i="1"/>
  <c r="Y252" i="1"/>
  <c r="AA251" i="1"/>
  <c r="Z251" i="1"/>
  <c r="Y251" i="1"/>
  <c r="AA250" i="1"/>
  <c r="Z250" i="1"/>
  <c r="Y250" i="1"/>
  <c r="AA249" i="1"/>
  <c r="Z249" i="1"/>
  <c r="Y249" i="1"/>
  <c r="AA248" i="1"/>
  <c r="Z248" i="1"/>
  <c r="Y248" i="1"/>
  <c r="AA247" i="1"/>
  <c r="Z247" i="1"/>
  <c r="Y247" i="1"/>
  <c r="AA246" i="1"/>
  <c r="Z246" i="1"/>
  <c r="Y246" i="1"/>
  <c r="AA245" i="1"/>
  <c r="Z245" i="1"/>
  <c r="Y245" i="1"/>
  <c r="AA244" i="1"/>
  <c r="Z244" i="1"/>
  <c r="Y244" i="1"/>
  <c r="AA243" i="1"/>
  <c r="Z243" i="1"/>
  <c r="Y243" i="1"/>
  <c r="AA242" i="1"/>
  <c r="Z242" i="1"/>
  <c r="Y242" i="1"/>
  <c r="AA241" i="1"/>
  <c r="Z241" i="1"/>
  <c r="Y241" i="1"/>
  <c r="AA240" i="1"/>
  <c r="Z240" i="1"/>
  <c r="Y240" i="1"/>
  <c r="AA239" i="1"/>
  <c r="Z239" i="1"/>
  <c r="Y239" i="1"/>
  <c r="AA238" i="1"/>
  <c r="Z238" i="1"/>
  <c r="Y238" i="1"/>
  <c r="AA237" i="1"/>
  <c r="Z237" i="1"/>
  <c r="Y237" i="1"/>
  <c r="AA236" i="1"/>
  <c r="Z236" i="1"/>
  <c r="Y236" i="1"/>
  <c r="AA235" i="1"/>
  <c r="Z235" i="1"/>
  <c r="Y235" i="1"/>
  <c r="AA234" i="1"/>
  <c r="Z234" i="1"/>
  <c r="Y234" i="1"/>
  <c r="AA233" i="1"/>
  <c r="Z233" i="1"/>
  <c r="Y233" i="1"/>
  <c r="AA232" i="1"/>
  <c r="Z232" i="1"/>
  <c r="Y232" i="1"/>
  <c r="AA231" i="1"/>
  <c r="Z231" i="1"/>
  <c r="Y231" i="1"/>
  <c r="AA230" i="1"/>
  <c r="Z230" i="1"/>
  <c r="Y230" i="1"/>
  <c r="AA229" i="1"/>
  <c r="Z229" i="1"/>
  <c r="Y229" i="1"/>
  <c r="AA228" i="1"/>
  <c r="Z228" i="1"/>
  <c r="Y228" i="1"/>
  <c r="AA227" i="1"/>
  <c r="Z227" i="1"/>
  <c r="Y227" i="1"/>
  <c r="AA226" i="1"/>
  <c r="Z226" i="1"/>
  <c r="Y226" i="1"/>
  <c r="AA225" i="1"/>
  <c r="Z225" i="1"/>
  <c r="Y225" i="1"/>
  <c r="AA224" i="1"/>
  <c r="Z224" i="1"/>
  <c r="Y224" i="1"/>
  <c r="AA223" i="1"/>
  <c r="Z223" i="1"/>
  <c r="Y223" i="1"/>
  <c r="AA222" i="1"/>
  <c r="Z222" i="1"/>
  <c r="Y222" i="1"/>
  <c r="AA221" i="1"/>
  <c r="Z221" i="1"/>
  <c r="Y221" i="1"/>
  <c r="AA220" i="1"/>
  <c r="Z220" i="1"/>
  <c r="Y220" i="1"/>
  <c r="AA219" i="1"/>
  <c r="Z219" i="1"/>
  <c r="Y219" i="1"/>
  <c r="AA218" i="1"/>
  <c r="Z218" i="1"/>
  <c r="Y218" i="1"/>
  <c r="AA217" i="1"/>
  <c r="Z217" i="1"/>
  <c r="Y217" i="1"/>
  <c r="AA216" i="1"/>
  <c r="Z216" i="1"/>
  <c r="Y216" i="1"/>
  <c r="AA215" i="1"/>
  <c r="Z215" i="1"/>
  <c r="Y215" i="1"/>
  <c r="AA214" i="1"/>
  <c r="Z214" i="1"/>
  <c r="Y214" i="1"/>
  <c r="AA213" i="1"/>
  <c r="Z213" i="1"/>
  <c r="Y213" i="1"/>
  <c r="AA212" i="1"/>
  <c r="Z212" i="1"/>
  <c r="Y212" i="1"/>
  <c r="AA211" i="1"/>
  <c r="Z211" i="1"/>
  <c r="Y211" i="1"/>
  <c r="AA210" i="1"/>
  <c r="Z210" i="1"/>
  <c r="Y210" i="1"/>
  <c r="AA209" i="1"/>
  <c r="Z209" i="1"/>
  <c r="Y209" i="1"/>
  <c r="AA208" i="1"/>
  <c r="Z208" i="1"/>
  <c r="Y208" i="1"/>
  <c r="AA207" i="1"/>
  <c r="Z207" i="1"/>
  <c r="Y207" i="1"/>
  <c r="AA206" i="1"/>
  <c r="Z206" i="1"/>
  <c r="Y206" i="1"/>
  <c r="AA205" i="1"/>
  <c r="Z205" i="1"/>
  <c r="Y205" i="1"/>
  <c r="AA204" i="1"/>
  <c r="Z204" i="1"/>
  <c r="Y204" i="1"/>
  <c r="AA203" i="1"/>
  <c r="Z203" i="1"/>
  <c r="Y203" i="1"/>
  <c r="AA202" i="1"/>
  <c r="Z202" i="1"/>
  <c r="Y202" i="1"/>
  <c r="AA201" i="1"/>
  <c r="Z201" i="1"/>
  <c r="Y201" i="1"/>
  <c r="AA200" i="1"/>
  <c r="Z200" i="1"/>
  <c r="Y200" i="1"/>
  <c r="AA199" i="1"/>
  <c r="Z199" i="1"/>
  <c r="Y199" i="1"/>
  <c r="AA198" i="1"/>
  <c r="Z198" i="1"/>
  <c r="Y198" i="1"/>
  <c r="AA197" i="1"/>
  <c r="Z197" i="1"/>
  <c r="Y197" i="1"/>
  <c r="AA196" i="1"/>
  <c r="Z196" i="1"/>
  <c r="Y196" i="1"/>
  <c r="AA195" i="1"/>
  <c r="Z195" i="1"/>
  <c r="Y195" i="1"/>
  <c r="AA194" i="1"/>
  <c r="Z194" i="1"/>
  <c r="Y194" i="1"/>
  <c r="AA193" i="1"/>
  <c r="Z193" i="1"/>
  <c r="Y193" i="1"/>
  <c r="AA192" i="1"/>
  <c r="Z192" i="1"/>
  <c r="Y192" i="1"/>
  <c r="AA191" i="1"/>
  <c r="Z191" i="1"/>
  <c r="Y191" i="1"/>
  <c r="AA190" i="1"/>
  <c r="Z190" i="1"/>
  <c r="Y190" i="1"/>
  <c r="AA189" i="1"/>
  <c r="Z189" i="1"/>
  <c r="Y189" i="1"/>
  <c r="AA188" i="1"/>
  <c r="Z188" i="1"/>
  <c r="Y188" i="1"/>
  <c r="AA187" i="1"/>
  <c r="Z187" i="1"/>
  <c r="Y187" i="1"/>
  <c r="AA186" i="1"/>
  <c r="Z186" i="1"/>
  <c r="Y186" i="1"/>
  <c r="AA185" i="1"/>
  <c r="Z185" i="1"/>
  <c r="Y185" i="1"/>
  <c r="AA184" i="1"/>
  <c r="Z184" i="1"/>
  <c r="Y184" i="1"/>
  <c r="AA183" i="1"/>
  <c r="Z183" i="1"/>
  <c r="Y183" i="1"/>
  <c r="AA182" i="1"/>
  <c r="Z182" i="1"/>
  <c r="Y182" i="1"/>
  <c r="AA181" i="1"/>
  <c r="Z181" i="1"/>
  <c r="Y181" i="1"/>
  <c r="AA180" i="1"/>
  <c r="Z180" i="1"/>
  <c r="Y180" i="1"/>
  <c r="AA179" i="1"/>
  <c r="Z179" i="1"/>
  <c r="Y179" i="1"/>
  <c r="AA178" i="1"/>
  <c r="Z178" i="1"/>
  <c r="Y178" i="1"/>
  <c r="AA177" i="1"/>
  <c r="Z177" i="1"/>
  <c r="Y177" i="1"/>
  <c r="AA176" i="1"/>
  <c r="Z176" i="1"/>
  <c r="Y176" i="1"/>
  <c r="AA175" i="1"/>
  <c r="Z175" i="1"/>
  <c r="Y175" i="1"/>
  <c r="AA174" i="1"/>
  <c r="Z174" i="1"/>
  <c r="Y174" i="1"/>
  <c r="AA173" i="1"/>
  <c r="Z173" i="1"/>
  <c r="Y173" i="1"/>
  <c r="AA172" i="1"/>
  <c r="Z172" i="1"/>
  <c r="Y172" i="1"/>
  <c r="AA171" i="1"/>
  <c r="Z171" i="1"/>
  <c r="Y171" i="1"/>
  <c r="AA170" i="1"/>
  <c r="Z170" i="1"/>
  <c r="Y170" i="1"/>
  <c r="AA169" i="1"/>
  <c r="Z169" i="1"/>
  <c r="Y169" i="1"/>
  <c r="AA168" i="1"/>
  <c r="Z168" i="1"/>
  <c r="Y168" i="1"/>
  <c r="AA167" i="1"/>
  <c r="Z167" i="1"/>
  <c r="Y167" i="1"/>
  <c r="AA166" i="1"/>
  <c r="Z166" i="1"/>
  <c r="Y166" i="1"/>
  <c r="AA165" i="1"/>
  <c r="Z165" i="1"/>
  <c r="Y165" i="1"/>
  <c r="AA164" i="1"/>
  <c r="Z164" i="1"/>
  <c r="Y164" i="1"/>
  <c r="AA163" i="1"/>
  <c r="Z163" i="1"/>
  <c r="Y163" i="1"/>
  <c r="AA162" i="1"/>
  <c r="Z162" i="1"/>
  <c r="Y162" i="1"/>
  <c r="AA161" i="1"/>
  <c r="Z161" i="1"/>
  <c r="Y161" i="1"/>
  <c r="AA160" i="1"/>
  <c r="Z160" i="1"/>
  <c r="Y160" i="1"/>
  <c r="AA159" i="1"/>
  <c r="Z159" i="1"/>
  <c r="Y159" i="1"/>
  <c r="AA158" i="1"/>
  <c r="Z158" i="1"/>
  <c r="Y158" i="1"/>
  <c r="AA157" i="1"/>
  <c r="Z157" i="1"/>
  <c r="Y157" i="1"/>
  <c r="AA156" i="1"/>
  <c r="Z156" i="1"/>
  <c r="Y156" i="1"/>
  <c r="AA155" i="1"/>
  <c r="Z155" i="1"/>
  <c r="Y155" i="1"/>
  <c r="AA154" i="1"/>
  <c r="Z154" i="1"/>
  <c r="Y154" i="1"/>
  <c r="AA153" i="1"/>
  <c r="Z153" i="1"/>
  <c r="Y153" i="1"/>
  <c r="AA152" i="1"/>
  <c r="Z152" i="1"/>
  <c r="Y152" i="1"/>
  <c r="AA151" i="1"/>
  <c r="Z151" i="1"/>
  <c r="Y151" i="1"/>
  <c r="AA150" i="1"/>
  <c r="Z150" i="1"/>
  <c r="Y150" i="1"/>
  <c r="AA149" i="1"/>
  <c r="Z149" i="1"/>
  <c r="Y149" i="1"/>
  <c r="AA148" i="1"/>
  <c r="Z148" i="1"/>
  <c r="Y148" i="1"/>
  <c r="AA147" i="1"/>
  <c r="Z147" i="1"/>
  <c r="Y147" i="1"/>
  <c r="AA146" i="1"/>
  <c r="Z146" i="1"/>
  <c r="Y146" i="1"/>
  <c r="AA145" i="1"/>
  <c r="Z145" i="1"/>
  <c r="Y145" i="1"/>
  <c r="AA144" i="1"/>
  <c r="Z144" i="1"/>
  <c r="Y144" i="1"/>
  <c r="AA143" i="1"/>
  <c r="Z143" i="1"/>
  <c r="Y143" i="1"/>
  <c r="AA142" i="1"/>
  <c r="Z142" i="1"/>
  <c r="Y142" i="1"/>
  <c r="AA141" i="1"/>
  <c r="Z141" i="1"/>
  <c r="Y141" i="1"/>
  <c r="AA140" i="1"/>
  <c r="Z140" i="1"/>
  <c r="Y140" i="1"/>
  <c r="AA139" i="1"/>
  <c r="Z139" i="1"/>
  <c r="Y139" i="1"/>
  <c r="AA138" i="1"/>
  <c r="Z138" i="1"/>
  <c r="Y138" i="1"/>
  <c r="AA137" i="1"/>
  <c r="Z137" i="1"/>
  <c r="Y137" i="1"/>
  <c r="AA136" i="1"/>
  <c r="Z136" i="1"/>
  <c r="Y136" i="1"/>
  <c r="AA135" i="1"/>
  <c r="Z135" i="1"/>
  <c r="Y135" i="1"/>
  <c r="AA134" i="1"/>
  <c r="Z134" i="1"/>
  <c r="Y134" i="1"/>
  <c r="AA133" i="1"/>
  <c r="Z133" i="1"/>
  <c r="Y133" i="1"/>
  <c r="AA132" i="1"/>
  <c r="Z132" i="1"/>
  <c r="Y132" i="1"/>
  <c r="AA131" i="1"/>
  <c r="Z131" i="1"/>
  <c r="Y131" i="1"/>
  <c r="AA130" i="1"/>
  <c r="Z130" i="1"/>
  <c r="Y130" i="1"/>
  <c r="AA129" i="1"/>
  <c r="Z129" i="1"/>
  <c r="Y129" i="1"/>
  <c r="AA128" i="1"/>
  <c r="Z128" i="1"/>
  <c r="Y128" i="1"/>
  <c r="AA127" i="1"/>
  <c r="Z127" i="1"/>
  <c r="Y127" i="1"/>
  <c r="AA126" i="1"/>
  <c r="Z126" i="1"/>
  <c r="Y126" i="1"/>
  <c r="AA125" i="1"/>
  <c r="Z125" i="1"/>
  <c r="Y125" i="1"/>
  <c r="AA124" i="1"/>
  <c r="Z124" i="1"/>
  <c r="Y124" i="1"/>
  <c r="AA123" i="1"/>
  <c r="Z123" i="1"/>
  <c r="Y123" i="1"/>
  <c r="AA122" i="1"/>
  <c r="Z122" i="1"/>
  <c r="Y122" i="1"/>
  <c r="AA121" i="1"/>
  <c r="Z121" i="1"/>
  <c r="Y121" i="1"/>
  <c r="AA120" i="1"/>
  <c r="Z120" i="1"/>
  <c r="Y120" i="1"/>
  <c r="AA119" i="1"/>
  <c r="Z119" i="1"/>
  <c r="Y119" i="1"/>
  <c r="AA118" i="1"/>
  <c r="Z118" i="1"/>
  <c r="Y118" i="1"/>
  <c r="AA117" i="1"/>
  <c r="Z117" i="1"/>
  <c r="Y117" i="1"/>
  <c r="AA116" i="1"/>
  <c r="Z116" i="1"/>
  <c r="Y116" i="1"/>
  <c r="AA115" i="1"/>
  <c r="Z115" i="1"/>
  <c r="Y115" i="1"/>
  <c r="AA114" i="1"/>
  <c r="Z114" i="1"/>
  <c r="Y114" i="1"/>
  <c r="AA113" i="1"/>
  <c r="Z113" i="1"/>
  <c r="Y113" i="1"/>
  <c r="AA112" i="1"/>
  <c r="Z112" i="1"/>
  <c r="Y112" i="1"/>
  <c r="AA111" i="1"/>
  <c r="Z111" i="1"/>
  <c r="Y111" i="1"/>
  <c r="AA110" i="1"/>
  <c r="Z110" i="1"/>
  <c r="Y110" i="1"/>
  <c r="AA109" i="1"/>
  <c r="Z109" i="1"/>
  <c r="Y109" i="1"/>
  <c r="AA108" i="1"/>
  <c r="Z108" i="1"/>
  <c r="Y108" i="1"/>
  <c r="AA107" i="1"/>
  <c r="Z107" i="1"/>
  <c r="Y107" i="1"/>
  <c r="AA106" i="1"/>
  <c r="Z106" i="1"/>
  <c r="Y106" i="1"/>
  <c r="AA105" i="1"/>
  <c r="Z105" i="1"/>
  <c r="Y105" i="1"/>
  <c r="AA104" i="1"/>
  <c r="Z104" i="1"/>
  <c r="Y104" i="1"/>
  <c r="AA103" i="1"/>
  <c r="Z103" i="1"/>
  <c r="Y103" i="1"/>
  <c r="AA102" i="1"/>
  <c r="Z102" i="1"/>
  <c r="Y102" i="1"/>
  <c r="AA101" i="1"/>
  <c r="Z101" i="1"/>
  <c r="Y101" i="1"/>
  <c r="AA100" i="1"/>
  <c r="Z100" i="1"/>
  <c r="Y100" i="1"/>
  <c r="AA99" i="1"/>
  <c r="Z99" i="1"/>
  <c r="Y99" i="1"/>
  <c r="AA98" i="1"/>
  <c r="Z98" i="1"/>
  <c r="Y98" i="1"/>
  <c r="AA97" i="1"/>
  <c r="Z97" i="1"/>
  <c r="Y97" i="1"/>
  <c r="AA96" i="1"/>
  <c r="Z96" i="1"/>
  <c r="Y96" i="1"/>
  <c r="AA95" i="1"/>
  <c r="Z95" i="1"/>
  <c r="Y95" i="1"/>
  <c r="AA94" i="1"/>
  <c r="Z94" i="1"/>
  <c r="Y94" i="1"/>
  <c r="AA93" i="1"/>
  <c r="Z93" i="1"/>
  <c r="Y93" i="1"/>
  <c r="AA92" i="1"/>
  <c r="Z92" i="1"/>
  <c r="Y92" i="1"/>
  <c r="AA91" i="1"/>
  <c r="Z91" i="1"/>
  <c r="Y91" i="1"/>
  <c r="AA90" i="1"/>
  <c r="Z90" i="1"/>
  <c r="Y90" i="1"/>
  <c r="AA89" i="1"/>
  <c r="Z89" i="1"/>
  <c r="Y89" i="1"/>
  <c r="AA88" i="1"/>
  <c r="Z88" i="1"/>
  <c r="Y88" i="1"/>
  <c r="AA87" i="1"/>
  <c r="Z87" i="1"/>
  <c r="Y87" i="1"/>
  <c r="AA86" i="1"/>
  <c r="Z86" i="1"/>
  <c r="Y86" i="1"/>
  <c r="AA85" i="1"/>
  <c r="Z85" i="1"/>
  <c r="Y85" i="1"/>
  <c r="AA84" i="1"/>
  <c r="Z84" i="1"/>
  <c r="Y84" i="1"/>
  <c r="AA83" i="1"/>
  <c r="Z83" i="1"/>
  <c r="Y83" i="1"/>
  <c r="AA82" i="1"/>
  <c r="Z82" i="1"/>
  <c r="Y82" i="1"/>
  <c r="AA81" i="1"/>
  <c r="Z81" i="1"/>
  <c r="Y81" i="1"/>
  <c r="AA80" i="1"/>
  <c r="Z80" i="1"/>
  <c r="Y80" i="1"/>
  <c r="AA79" i="1"/>
  <c r="Z79" i="1"/>
  <c r="Y79" i="1"/>
  <c r="AA78" i="1"/>
  <c r="Z78" i="1"/>
  <c r="Y78" i="1"/>
  <c r="AA77" i="1"/>
  <c r="Z77" i="1"/>
  <c r="Y77" i="1"/>
  <c r="AA76" i="1"/>
  <c r="Z76" i="1"/>
  <c r="Y76" i="1"/>
  <c r="AA75" i="1"/>
  <c r="Z75" i="1"/>
  <c r="Y75" i="1"/>
  <c r="AA74" i="1"/>
  <c r="Z74" i="1"/>
  <c r="Y74" i="1"/>
  <c r="AA73" i="1"/>
  <c r="Z73" i="1"/>
  <c r="Y73" i="1"/>
  <c r="AA72" i="1"/>
  <c r="Z72" i="1"/>
  <c r="Y72" i="1"/>
  <c r="AA71" i="1"/>
  <c r="Z71" i="1"/>
  <c r="Y71" i="1"/>
  <c r="AA70" i="1"/>
  <c r="Z70" i="1"/>
  <c r="Y70" i="1"/>
  <c r="AA69" i="1"/>
  <c r="Z69" i="1"/>
  <c r="Y69" i="1"/>
  <c r="AA68" i="1"/>
  <c r="Z68" i="1"/>
  <c r="Y68" i="1"/>
  <c r="AA67" i="1"/>
  <c r="Z67" i="1"/>
  <c r="Y67" i="1"/>
  <c r="AA66" i="1"/>
  <c r="Z66" i="1"/>
  <c r="Y66" i="1"/>
  <c r="AA65" i="1"/>
  <c r="Z65" i="1"/>
  <c r="Y65" i="1"/>
  <c r="AA64" i="1"/>
  <c r="Z64" i="1"/>
  <c r="Y64" i="1"/>
  <c r="AA63" i="1"/>
  <c r="Z63" i="1"/>
  <c r="Y63" i="1"/>
  <c r="AA62" i="1"/>
  <c r="Z62" i="1"/>
  <c r="Y62" i="1"/>
  <c r="AA61" i="1"/>
  <c r="Z61" i="1"/>
  <c r="Y61" i="1"/>
  <c r="AA60" i="1"/>
  <c r="Z60" i="1"/>
  <c r="Y60" i="1"/>
  <c r="AA59" i="1"/>
  <c r="Z59" i="1"/>
  <c r="Y59" i="1"/>
  <c r="AA58" i="1"/>
  <c r="Z58" i="1"/>
  <c r="Y58" i="1"/>
  <c r="AA57" i="1"/>
  <c r="Z57" i="1"/>
  <c r="Y57" i="1"/>
  <c r="AA56" i="1"/>
  <c r="Z56" i="1"/>
  <c r="Y56" i="1"/>
  <c r="AA55" i="1"/>
  <c r="Z55" i="1"/>
  <c r="Y55" i="1"/>
  <c r="AA54" i="1"/>
  <c r="Z54" i="1"/>
  <c r="Y54" i="1"/>
  <c r="AA53" i="1"/>
  <c r="Z53" i="1"/>
  <c r="Y53" i="1"/>
  <c r="AA52" i="1"/>
  <c r="Z52" i="1"/>
  <c r="Y52" i="1"/>
  <c r="AA51" i="1"/>
  <c r="Z51" i="1"/>
  <c r="Y51" i="1"/>
  <c r="AA50" i="1"/>
  <c r="Z50" i="1"/>
  <c r="Y50" i="1"/>
  <c r="AA49" i="1"/>
  <c r="Z49" i="1"/>
  <c r="Y49" i="1"/>
  <c r="AA48" i="1"/>
  <c r="Z48" i="1"/>
  <c r="Y48" i="1"/>
  <c r="AA47" i="1"/>
  <c r="Z47" i="1"/>
  <c r="Y47" i="1"/>
  <c r="AA46" i="1"/>
  <c r="Z46" i="1"/>
  <c r="Y46" i="1"/>
  <c r="AA45" i="1"/>
  <c r="Z45" i="1"/>
  <c r="Y45" i="1"/>
  <c r="AA44" i="1"/>
  <c r="Z44" i="1"/>
  <c r="Y44" i="1"/>
  <c r="AA43" i="1"/>
  <c r="Z43" i="1"/>
  <c r="Y43" i="1"/>
  <c r="AA42" i="1"/>
  <c r="Z42" i="1"/>
  <c r="Y42" i="1"/>
  <c r="AA41" i="1"/>
  <c r="Z41" i="1"/>
  <c r="Y41" i="1"/>
  <c r="AA40" i="1"/>
  <c r="Z40" i="1"/>
  <c r="Y40" i="1"/>
  <c r="AA39" i="1"/>
  <c r="Z39" i="1"/>
  <c r="Y39" i="1"/>
  <c r="AA38" i="1"/>
  <c r="Z38" i="1"/>
  <c r="Y38" i="1"/>
  <c r="AA37" i="1"/>
  <c r="Z37" i="1"/>
  <c r="Y37" i="1"/>
  <c r="AA36" i="1"/>
  <c r="Z36" i="1"/>
  <c r="Y36" i="1"/>
  <c r="AA35" i="1"/>
  <c r="Z35" i="1"/>
  <c r="Y35" i="1"/>
  <c r="AA34" i="1"/>
  <c r="Z34" i="1"/>
  <c r="Y34" i="1"/>
  <c r="AA33" i="1"/>
  <c r="Z33" i="1"/>
  <c r="Y33" i="1"/>
  <c r="AA32" i="1"/>
  <c r="Z32" i="1"/>
  <c r="Y32" i="1"/>
  <c r="AA31" i="1"/>
  <c r="Z31" i="1"/>
  <c r="Y31" i="1"/>
  <c r="AA30" i="1"/>
  <c r="Z30" i="1"/>
  <c r="Y30" i="1"/>
  <c r="AA29" i="1"/>
  <c r="Z29" i="1"/>
  <c r="Y29" i="1"/>
  <c r="AA28" i="1"/>
  <c r="Z28" i="1"/>
  <c r="Y28" i="1"/>
  <c r="AA27" i="1"/>
  <c r="Z27" i="1"/>
  <c r="Y27" i="1"/>
  <c r="AA26" i="1"/>
  <c r="Z26" i="1"/>
  <c r="Y26" i="1"/>
  <c r="AA25" i="1"/>
  <c r="Z25" i="1"/>
  <c r="Y25" i="1"/>
  <c r="AA24" i="1"/>
  <c r="Z24" i="1"/>
  <c r="Y24" i="1"/>
  <c r="AA23" i="1"/>
  <c r="Z23" i="1"/>
  <c r="Y23" i="1"/>
  <c r="AA22" i="1"/>
  <c r="Z22" i="1"/>
  <c r="Y22" i="1"/>
  <c r="AA21" i="1"/>
  <c r="Z21" i="1"/>
  <c r="Y21" i="1"/>
  <c r="AA20" i="1"/>
  <c r="Z20" i="1"/>
  <c r="Y20" i="1"/>
  <c r="AA19" i="1"/>
  <c r="Z19" i="1"/>
  <c r="Y19" i="1"/>
  <c r="AA18" i="1"/>
  <c r="Z18" i="1"/>
  <c r="Y18" i="1"/>
  <c r="AA17" i="1"/>
  <c r="Z17" i="1"/>
  <c r="Y17" i="1"/>
  <c r="AA16" i="1"/>
  <c r="Z16" i="1"/>
  <c r="Y16" i="1"/>
  <c r="AA15" i="1"/>
  <c r="Z15" i="1"/>
  <c r="Y15" i="1"/>
  <c r="AA14" i="1"/>
  <c r="Z14" i="1"/>
  <c r="Y14" i="1"/>
  <c r="AA13" i="1"/>
  <c r="Z13" i="1"/>
  <c r="Y13" i="1"/>
  <c r="AA12" i="1"/>
  <c r="Z12" i="1"/>
  <c r="Y12" i="1"/>
  <c r="AA11" i="1"/>
  <c r="Z11" i="1"/>
  <c r="Y11" i="1"/>
  <c r="AA10" i="1"/>
  <c r="Z10" i="1"/>
  <c r="Y10" i="1"/>
  <c r="AA9" i="1"/>
  <c r="Z9" i="1"/>
  <c r="Y9" i="1"/>
  <c r="AA8" i="1"/>
  <c r="Z8" i="1"/>
  <c r="Y8" i="1"/>
  <c r="AA7" i="1"/>
  <c r="Z7" i="1"/>
  <c r="Y7" i="1"/>
  <c r="AA6" i="1"/>
  <c r="Z6" i="1"/>
  <c r="Y6" i="1"/>
  <c r="AA5" i="1"/>
  <c r="Z5" i="1"/>
  <c r="Y5" i="1"/>
  <c r="AA4" i="1"/>
  <c r="Z4" i="1"/>
  <c r="Y4" i="1"/>
  <c r="AA3" i="1"/>
  <c r="Z3" i="1"/>
  <c r="Y3" i="1"/>
  <c r="AA2" i="1"/>
  <c r="Z2" i="1"/>
  <c r="Y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69B20A-8E2D-43DF-B8E7-AD17F90E4E3F}" keepAlive="1" name="Sorgu - Baskanlik Projeleri" description="Çalışma kitabındaki 'Baskanlik Projeleri' sorgusuna yönelik bağlantı." type="5" refreshedVersion="7" background="1" saveData="1">
    <dbPr connection="Provider=Microsoft.Mashup.OleDb.1;Data Source=$Workbook$;Location=&quot;Baskanlik Projeleri&quot;;Extended Properties=&quot;&quot;" command="SELECT * FROM [Baskanlik Projeleri]"/>
  </connection>
  <connection id="2" xr16:uid="{E90C55F9-1079-422F-80F7-C45690F6F549}" keepAlive="1" name="Sorgu - Hizmet Alanları (SGM)" description="Çalışma kitabındaki 'Hizmet Alanları (SGM)' sorgusuna yönelik bağlantı." type="5" refreshedVersion="0" background="1">
    <dbPr connection="Provider=Microsoft.Mashup.OleDb.1;Data Source=$Workbook$;Location=&quot;Hizmet Alanları (SGM)&quot;;Extended Properties=&quot;&quot;" command="SELECT * FROM [Hizmet Alanları (SGM)]"/>
  </connection>
  <connection id="3" xr16:uid="{5A4F7D15-41A1-485B-9FF5-3E4BA1111EE9}" keepAlive="1" name="Sorgu - Kurumsal Gelişim Sorumluları (SGM)" description="Çalışma kitabındaki 'Kurumsal Gelişim Sorumluları (SGM)' sorgusuna yönelik bağlantı." type="5" refreshedVersion="0" background="1">
    <dbPr connection="Provider=Microsoft.Mashup.OleDb.1;Data Source=$Workbook$;Location=&quot;Kurumsal Gelişim Sorumluları (SGM)&quot;;Extended Properties=&quot;&quot;" command="SELECT * FROM [Kurumsal Gelişim Sorumluları (SGM)]"/>
  </connection>
  <connection id="4" xr16:uid="{1AA269F9-8BFB-4072-96C7-C9CDA2EB583A}" keepAlive="1" name="Sorgu - Project List" description="Çalışma kitabındaki 'Project List' sorgusuna yönelik bağlantı." type="5" refreshedVersion="0" background="1">
    <dbPr connection="Provider=Microsoft.Mashup.OleDb.1;Data Source=$Workbook$;Location=&quot;Project List&quot;;Extended Properties=&quot;&quot;" command="SELECT * FROM [Project List]"/>
  </connection>
</connections>
</file>

<file path=xl/sharedStrings.xml><?xml version="1.0" encoding="utf-8"?>
<sst xmlns="http://schemas.openxmlformats.org/spreadsheetml/2006/main" count="54754" uniqueCount="12628">
  <si>
    <t>Id</t>
  </si>
  <si>
    <t>Veri Kaynağı</t>
  </si>
  <si>
    <t>Daire Başkanlığı</t>
  </si>
  <si>
    <t>Birim</t>
  </si>
  <si>
    <t>Paydaş Birim</t>
  </si>
  <si>
    <t>Faaliyet Grubu</t>
  </si>
  <si>
    <t>Kategori</t>
  </si>
  <si>
    <t>Proje/Yapım Adı</t>
  </si>
  <si>
    <t xml:space="preserve">Tahmini Bitiş </t>
  </si>
  <si>
    <t>Fonksiyon Bilgisi</t>
  </si>
  <si>
    <t>İlçesi</t>
  </si>
  <si>
    <t>Birim Açıklama</t>
  </si>
  <si>
    <t>KPY Notu/Notlar</t>
  </si>
  <si>
    <t>İşin Durumu</t>
  </si>
  <si>
    <t>Koordinatlar (Enlem_Boylam)</t>
  </si>
  <si>
    <t>Sütun1</t>
  </si>
  <si>
    <t>Sütun2</t>
  </si>
  <si>
    <t>Fiziki İlerleme_x002</t>
  </si>
  <si>
    <t>Bölge_Sorumlusu</t>
  </si>
  <si>
    <t>Portal Kaynağı</t>
  </si>
  <si>
    <t>Project List.ProjUID</t>
  </si>
  <si>
    <t>Project List.Title</t>
  </si>
  <si>
    <t>Alt Hizmet Alan_x013Id</t>
  </si>
  <si>
    <t>Hizmet Alanları (SGM).Title</t>
  </si>
  <si>
    <t>DBS-KPY Sorumlular</t>
  </si>
  <si>
    <t>DBS-KPY Sorumlular2</t>
  </si>
  <si>
    <t>Bölge Sorumlusu Listeden</t>
  </si>
  <si>
    <t>Yapım</t>
  </si>
  <si>
    <t>İETT</t>
  </si>
  <si>
    <t>Yenilenebilir Enerji Faaliyetleri</t>
  </si>
  <si>
    <t>Çevre ve Altyapı İşleri Projeleri</t>
  </si>
  <si>
    <t>Akülü Araçlar İçin Gerekli Enerjinin Yenilenebilir Enerji Kaynaklarından Sağlanması</t>
  </si>
  <si>
    <t>200 metrekare alana ges kurulumu. İhale Aşamasında.</t>
  </si>
  <si>
    <t>Adalar</t>
  </si>
  <si>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</si>
  <si>
    <t>Planlanan</t>
  </si>
  <si>
    <t>40.87436122139059, 29.13157242928524</t>
  </si>
  <si>
    <t>TAYFUN VİÇE</t>
  </si>
  <si>
    <t>Portal Dışı</t>
  </si>
  <si>
    <t>Metrobüs İstasyon Islahları</t>
  </si>
  <si>
    <t>FEN İŞLERİ DAİRESİ BAŞKANLIĞI</t>
  </si>
  <si>
    <t>Yapı İşleri Şube Müdürlüğü</t>
  </si>
  <si>
    <t>Hizmet Binaları Yapımı ve Bakım-Onarımı</t>
  </si>
  <si>
    <t>Üstyapı Projeleri</t>
  </si>
  <si>
    <t>Adalar İlçesi Belediye Hizmet Binası İnşaatı</t>
  </si>
  <si>
    <t>Meclis toplantı salonu (91,52m2), 9 açık ofis (377m2), 9 müdür odası, toplantı odası, 1 Başkan odası(33,13m2), 3 Başkan Yardımcısı odası(19,41-29,43-32,88m2), Özel Kalem odası(22,31m2).</t>
  </si>
  <si>
    <t>Devam Eden</t>
  </si>
  <si>
    <t>40.87448958392476, 29.1326165964548</t>
  </si>
  <si>
    <t>Ana İş</t>
  </si>
  <si>
    <t>8ab3c698-6535-eb11-b863-005056b0156e</t>
  </si>
  <si>
    <t>Adalar Belediye Hizmet Binası Projesi</t>
  </si>
  <si>
    <t>Hizmet Binaları</t>
  </si>
  <si>
    <t>Riskli Yapı, Altyapı Yenilemelerine Yönelik Yenileme, Güçlendirme, Analiz ve Tespit Çalışmaları</t>
  </si>
  <si>
    <t>Hadımköy Mahallesi Mezarlığı Onarım ve Tadilatı</t>
  </si>
  <si>
    <t>Arnavutköy</t>
  </si>
  <si>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</si>
  <si>
    <t>41.158372874540284, 28.615618053843697</t>
  </si>
  <si>
    <t>ERKAN AKDOĞAN</t>
  </si>
  <si>
    <t>Alt İş</t>
  </si>
  <si>
    <t>01064fd4-682f-ee11-b8db-005056b0106f</t>
  </si>
  <si>
    <t>İstanbul Avrupa Yakası Genelinde Mezarlıklar Bakım,Onarım Ve Tadilat İnsaatı</t>
  </si>
  <si>
    <t>Mezarlıklar</t>
  </si>
  <si>
    <t>Boyalık Mahallesi Mezarlığı Onarım ve Tadilatı</t>
  </si>
  <si>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</si>
  <si>
    <t>41.26441276962775, 28.627474789749918</t>
  </si>
  <si>
    <t>Altyapı Yatırımları Şube Müdürlüğü</t>
  </si>
  <si>
    <t>Yol, Kavşak, Üstgeçit, Altgeçit, Köprü Çalışmaları</t>
  </si>
  <si>
    <t>Karayolu Ulaşım Projeleri</t>
  </si>
  <si>
    <t>Karlıbayır Mah Eski Edirne Asfaltı Cad Tanyeli Sok Kesişimi YÜG Yapımı</t>
  </si>
  <si>
    <t>41.183421358479244, 28.71150279975179</t>
  </si>
  <si>
    <t>b1c487f9-7954-ea11-b84c-005056b0156e</t>
  </si>
  <si>
    <t>Arnavutköy İlçesi, Karlıbayır Mahallesi, Eski Edirne Asfaltı-Gürsoy Sokak Kesişimi Yaya Üstgeçidi Projesi</t>
  </si>
  <si>
    <t>Yaya Üst Geçit Projeleri</t>
  </si>
  <si>
    <t>İSKİ</t>
  </si>
  <si>
    <t>Altyapıya Yönelik Koordinasyon Faaliyetleri</t>
  </si>
  <si>
    <t>Terkos İçmesuyu Arıtma Tesisi</t>
  </si>
  <si>
    <t>(120.000 m3/gün)</t>
  </si>
  <si>
    <t xml:space="preserve">AVR.BÖL. ARITMA TESİSİ İNŞAATI (1) İŞİ KAPSAMINDA ÇALIŞMALAR DEVAM ETMEKTEDİR. 
</t>
  </si>
  <si>
    <t>41.30314516753129, 28.67380628551147</t>
  </si>
  <si>
    <t>Meslek Edindirme ve Hayatboyu Öğrenme</t>
  </si>
  <si>
    <t>Hadımköy Pastacılık ve Fırıncılık Okulu İnşaatı</t>
  </si>
  <si>
    <t>2​ adet ​fırıncılık ve pastacılık Sınıfı, Teori Sınıfı, Barista Sınıfı, 2 Derslik, 4 adet Giyim ve El Sanatları Sınıfı,Kafeterya​​</t>
  </si>
  <si>
    <t>Tamamlandı</t>
  </si>
  <si>
    <t>41.14683842, 28.62693485</t>
  </si>
  <si>
    <t>11a053c8-1e51-ed11-b8b6-005056b0106f</t>
  </si>
  <si>
    <t>Arnavutköy İlçesi Hadımköy Mahallesi Halk Ekmek Fabrikası Fırıncılık ve Pastacılık Okulu Projesi</t>
  </si>
  <si>
    <t>İSMEK Binaları</t>
  </si>
  <si>
    <t>Tayakadın Depo ve Terfi Merkezi</t>
  </si>
  <si>
    <t>20.000 m3</t>
  </si>
  <si>
    <t>AVR.BÖL. ARITMA TESİSİ İNŞAATI (1) İŞİ KAPSAMINDA ÇALIŞMALAR DEVAM ETMEKTEDİR.2025 SONU İTİBARİYLE İŞ TAMAMLANACAKTIR.​</t>
  </si>
  <si>
    <t>41.26999413903563, 28.687939423652377</t>
  </si>
  <si>
    <t>Arnavutköy İlçesi Altyapı Yatırımları</t>
  </si>
  <si>
    <t>16 km atıksu şebeke ve kolektör kanalı</t>
  </si>
  <si>
    <t>6.341 m atık su şebeke ve kolektör hattı, 464 m yağmur suyu şebeke ve kolektör kanalı yapılmış olup çalışmalar devam edecektir.​</t>
  </si>
  <si>
    <t>41.185833, 28.738750</t>
  </si>
  <si>
    <t>Kentsel Tasarım Çalışmaları</t>
  </si>
  <si>
    <t>Cadde ve Meydan Projeleri</t>
  </si>
  <si>
    <t>İçerenköy Meydan Düzenleme İnşaatı 1.Etap</t>
  </si>
  <si>
    <t>Ataşehir</t>
  </si>
  <si>
    <t>40.97165005641997, 29.10846613647491</t>
  </si>
  <si>
    <t>Eşleşme Yok</t>
  </si>
  <si>
    <t>Kent Meydanı ve Yakın Çevre Düzenlemesi</t>
  </si>
  <si>
    <t>Sosyal İhtiyaçlara Yönelik Destek Amaçlı Yapım ve Bakım-Onarım Çalışmaları</t>
  </si>
  <si>
    <t>Kayışdağı Mahallesi Çocuk Etkinlik Merkezi İnşaatı</t>
  </si>
  <si>
    <t>40.98098530, 29.14852765</t>
  </si>
  <si>
    <t>ee3fbe54-ae7d-eb11-b86f-005056b0156e</t>
  </si>
  <si>
    <t>Ataşehir İlçesi Kayışdağı Mahallesi 1846 Ada 2 Parsel Çocuk Etkinlik Merkezi Projesi</t>
  </si>
  <si>
    <t>Çocuk Etkinlik Merkezi</t>
  </si>
  <si>
    <t>Dere Islahları</t>
  </si>
  <si>
    <t>Palamutdere Islahı</t>
  </si>
  <si>
    <t>3,2  km dere ıslahı</t>
  </si>
  <si>
    <t>Asya Bölgesi 10.Kısım Müteferrik Atık su, Yağmursuyu Kanalı ve Dere Islahı inşaatı işi kapsamında imalatı devam etmektedir.</t>
  </si>
  <si>
    <t>40.9830789, 29.1975477</t>
  </si>
  <si>
    <t>Spor Tesisi Yapım ve Bakım-Onarımı</t>
  </si>
  <si>
    <t>İçerenköy Mahallesi Spor Tesisi İnşaatı</t>
  </si>
  <si>
    <t>KapalıOtopark-168 Araç Olimpik Havuz- 1 Adet Eğitim Havuzu- 1 Adet Tribün- 528 kişilik&amp;nbsp; Fuaye- 623 m² Kadın Fitnes- 403 m²Erkek Fitnes- 685 m² Stüdyo- 215 m² Stüdyo- 55 m² Pilates Salonu- 3 Adet (80&amp;#39;er m²) Kantin- 93 m²</t>
  </si>
  <si>
    <t>40.97570284, 29.11481599</t>
  </si>
  <si>
    <t>300586bf-6654-ed11-b8b6-005056b0106f</t>
  </si>
  <si>
    <t>Ataşehir İlçesi İçerenköy Mahallesi Spor Tesisi ve Otopark Projesi</t>
  </si>
  <si>
    <t>Kapalı Spor Tesisleri</t>
  </si>
  <si>
    <t>Ataşehir Piri Reis Ortaokulu Spor Salonu İnşaatı</t>
  </si>
  <si>
    <t>​780 m2 taban alanına sahip çelik strüktürlü kapalı spor salonu, eğitmen odası, spor malzemeleri odası, soyunma kabinleri, salon görevlisi odası, temizlik malzemeleri odası, mekanik ve elektrik odalar ile WC yapıları yer almaktadır.</t>
  </si>
  <si>
    <t>40.988250, 29.158333</t>
  </si>
  <si>
    <t>afa2f4be-9669-ee11-b8e1-005056b0106f</t>
  </si>
  <si>
    <t>İstanbul Geneli Okul Bahçelerine Spor Salonu Yapılması 4_Grup İnşaatı</t>
  </si>
  <si>
    <t>Okul Kapalı Spor Salonları</t>
  </si>
  <si>
    <t>Ataşehir İlçesi Altyapı Yatırımları</t>
  </si>
  <si>
    <t>15,2 km atık su şebeke ve kolektör kanalı​</t>
  </si>
  <si>
    <t>Asya Bölgesi 10.Kısım Müteferrik Atık su, Yağmursuyu Kanalı ve Dere Islahı inşaatı işi kapsamında imalatlar devam etmektedir.</t>
  </si>
  <si>
    <t>40.981778, 29.119500</t>
  </si>
  <si>
    <t>Girişimcilik Faaliyetleri</t>
  </si>
  <si>
    <t>Kayışdağı Girişimcilik ve Teknoloji Merkezi İnşaatı 2. Etap</t>
  </si>
  <si>
    <t>​Girişimcilik merkezi</t>
  </si>
  <si>
    <t>40.978639, 29.139583</t>
  </si>
  <si>
    <t>0f22e1cc-397d-ee11-b8e1-005056b0106f</t>
  </si>
  <si>
    <t>İstanbul Anadolu Yakası Kamu Binaları Bakım,Onarım,Tadilat ve Ek Hizmet Yapıları XI Grup İnşaatı</t>
  </si>
  <si>
    <t>Kültür Kompleksi</t>
  </si>
  <si>
    <t>RAYLI SİSTEM DAİRESİ BAŞKANLIĞI</t>
  </si>
  <si>
    <t>Anadolu Yakası Raylı Sistem Şube Müdürlüğü</t>
  </si>
  <si>
    <t>Raylı Sistem Etüd, Projelendirme ve Proje Revizyon Çalışmaları</t>
  </si>
  <si>
    <t>Raylı Sistem Projeleri</t>
  </si>
  <si>
    <t>Ümraniye-Ataşehir-Göztepe Metrosu İnşaat Ve Elektromekanik Sistemler Temin, Montaj Ve İşletmeye Alma İşleri</t>
  </si>
  <si>
    <t>1​1 İstasyondan Oluşan 13 Km Uzunluğunda Raylı Sistem.​</t>
  </si>
  <si>
    <t>Ümraniye</t>
  </si>
  <si>
    <t>Çoklu İlçe; Ataşehir; Kadıköy; Ümraniye</t>
  </si>
  <si>
    <t>40.997798, 29.129606</t>
  </si>
  <si>
    <t>Kısa Vade</t>
  </si>
  <si>
    <t>Metro</t>
  </si>
  <si>
    <t>GENÇLİK VE SPOR HİZMETLERİ DAİRESİ BAŞKANLIĞI</t>
  </si>
  <si>
    <t>Spor Tesisleri Şube Müdürlüğü</t>
  </si>
  <si>
    <t>Avcılar Su Sporları Merkezi</t>
  </si>
  <si>
    <t>İnşaat Alanı, İnşaat Alanı: 2.400 M2 Meclis Toplantı Salonu İdari Birimler</t>
  </si>
  <si>
    <t>Avcılar</t>
  </si>
  <si>
    <t>İnşaat alanı tamamlandı. Çevre düzenlemesi devam ediyor.
BEDAŞ'tan daimi elektrik bağlanması konusunda bilgi bekleniyor.</t>
  </si>
  <si>
    <t>40.9840241, 28.7392829</t>
  </si>
  <si>
    <t>Su Sporları Parkı</t>
  </si>
  <si>
    <t>Balıkyolu  Caddesi Altyapı İmalatları</t>
  </si>
  <si>
    <t>2.973 m atık su kanalı
1.095 m yağmur suyu kanalı</t>
  </si>
  <si>
    <t>Ruhsat sürecinin tamamlanması akabinde; 2.973 m  atık su şebeke ve kolektör hattı, 1.095 m  yağmur suyu şebeke ve kolektör kanalı yapılacaktır.​.​</t>
  </si>
  <si>
    <t>41.0317065, 28.6918297</t>
  </si>
  <si>
    <t>E-5 Meydanı Zeminaltı Otoparkı, Yaya Alt Geçidi ve Meydan Düzenleme İnşaatı</t>
  </si>
  <si>
    <t>​Proje alanı 12.400 m2, inşaat alanı 27.991 m2, peyzaj alanı 3.100 m2 dir. Afet Deneyim Odaları Zemin Altı Otopark Avcılar Afet Eğitim Merkezi (1.860m²) Çok Amaçlı Salon (Black Box) (2.220m²) Avcılar Afet Eğitim Merkezi Kütüphanesi (1.110m² Avcılar Meydan Zemin Altı Otoparkı (20.650m² BELTUR Cafe (156m²</t>
  </si>
  <si>
    <t>40.979665, 28.721844</t>
  </si>
  <si>
    <t>6a53b628-4aa8-ed11-b8ce-005056b0106f</t>
  </si>
  <si>
    <t>Avcılar E-5 Meydanı Zeminaltı Otoparkı, Yaya Alt Geçidi ve Meydan Düzenleme İnşaatı</t>
  </si>
  <si>
    <t>Eğitim Binaları</t>
  </si>
  <si>
    <t>Ispartakule Anadolu Lisesi Spor Salonu İnşaatı</t>
  </si>
  <si>
    <t>​Proje Alanı: 794 m2
Ana salon: 516 m2
Tribün:80 kişilik
Soyunma-idari bölüm: 2 adet soyunma odası, eğitmen odası, salon görevli odası, temizlik odaları, teknik hacimler</t>
  </si>
  <si>
    <t>41.06685895938934, 28.705234860024103</t>
  </si>
  <si>
    <t>c178c612-9669-ee11-b8e1-005056b0106f</t>
  </si>
  <si>
    <t>İstanbul Geneli Okul Bahçelerine Spor Salonu Yapılması 3_Grup İnşaatı</t>
  </si>
  <si>
    <t>Avcılar İlçesi Altyapı Yatırımları</t>
  </si>
  <si>
    <t>63 km atıksu şebeke ve kolektör kanalı​</t>
  </si>
  <si>
    <t>14.712 m atık su şebeke ve kolektör hattı, 5.509 m yağmur suyu şebeke ve kolektör kanalı yapılmış olup çalışmalar devam etmektedir.​</t>
  </si>
  <si>
    <t>40.981277180230585, 28.718266914433617</t>
  </si>
  <si>
    <t>Ambarlı Atıksu Tüneli</t>
  </si>
  <si>
    <t>tünel 2200mm çaplı 6.107 metre olup, 3.245 metresi tamamlanmıştır.</t>
  </si>
  <si>
    <t>Tünel çalışmaları devam ediyor.</t>
  </si>
  <si>
    <t>40.99111415660749, 28.688116990421747</t>
  </si>
  <si>
    <t>Mahmutbey-Bahçeşehir-Esenyurt Metro Hattı İnşaat Ve Elektromekanik İşleri</t>
  </si>
  <si>
    <t>​18,1 Km Uzunluğunda Ve 11 İstasyondan Oluşan Metro Hattı​</t>
  </si>
  <si>
    <t>Bağcılar</t>
  </si>
  <si>
    <t>Çoklu İlçe; Avcılar; Bağcılar; Başakşehir; Esenyurt; Küçükçekmece
Mahmutbey-Bahçeşehir-Esenyurt Metro Hattı İnşaat Ve Elektromekanik İşleri 1.ETABI MAHMUTBEY-HASTANE ARASI</t>
  </si>
  <si>
    <t>41.05326978369851, 28.82960108180125</t>
  </si>
  <si>
    <t>Otopark Çalışmaları</t>
  </si>
  <si>
    <t>Mahmutbey İstasyonu Zeminaltı Otoparkı Eksik Kalan İnşaat, Elektrik ve Mekanik Tamamlanması</t>
  </si>
  <si>
    <t>41.055000, 28.830417</t>
  </si>
  <si>
    <t>3d52a369-2ce6-ec11-b8a6-005056b0106f</t>
  </si>
  <si>
    <t>İstanbul Avrupa Yakası Kamu Binaları Bakım, Onarım, Tadilat Ve Ek Hizmet Yapıları XI Grup İnşaatı</t>
  </si>
  <si>
    <t>Kapalı Otopark</t>
  </si>
  <si>
    <t>Bağcılar Yenigün Mahallesi Çocuk Etkinlik Merkezi İnşaatı (İSADEM Dönüşüm)</t>
  </si>
  <si>
    <t>41.035639, 28.861583</t>
  </si>
  <si>
    <t>37057512-8d0e-ee11-b8d7-005056b0106f</t>
  </si>
  <si>
    <t>İstanbul Avrupa Yakası Kamu Binaları Bakım, Onarım, Tadilat ve Ek Hizmet Yapıları XIV Grup İnşaatı</t>
  </si>
  <si>
    <t>Mahmutbey Malzeme Ambarı (Deprem Anında Toplanma ve Lojistik Merkezi)</t>
  </si>
  <si>
    <t xml:space="preserve"> ÇALIŞMALAR TAMAMLANMIŞTIR. 
</t>
  </si>
  <si>
    <t>41.056571, 28.821694</t>
  </si>
  <si>
    <t>Lojistik Tesis Binalarının Güçlendirme Bakım ve Onarımı</t>
  </si>
  <si>
    <t>Bağcılar Ebubekir Parkı Kapalı Yüzme Havuzu Ve Engelli Rehabilitasyon Merkezi 2.Tamamlama İnşaatı</t>
  </si>
  <si>
    <t>Toplam İnşaat Alanı : 19.966,00 m2  Peyzaj Alanı: : 15.250,00 m2 Açık Alan Aydınlatma Alanı : 15.250,00 m2 Açık Alan Sulama Alanı : 5.816,00 m2 Genel Foksiyonu : Spor Merkezi ve İBB Hizmet Birimleri​ ​ • 1 Adet Futbol Sahası, 1 Adet Basket Sahası, 2 Adet Tenis Kortu (2.139,20 m2), • Açık Pazar Alanı ve 2 Adet Depo, • 4 Sınıftan Oluşan 939,30m2 Kreş, • 2 Sınıf ve 1 Bağımsız Yaşam Alanından Oluşan 629,30 m2 Engelli A​​daptasyon Merkezi, • 1.116,40 m2 Spor Salonu (Fitness), • Beltur Kafeterya​, •​ Olimpik Havuz : 5.072,70 m2 (Tam Olimpik Havuz (25x50 m.) ve Eğitim Havuzu (13,38x25,88 m.), 321 Koltuklu Tribün)  Açık Otopark : 10 Araç (2’si Engelli), 2 Otobüs Park Yeri Zeminaltı Otopark : 137 Araç (2’si Engelli)</t>
  </si>
  <si>
    <t>41.03213030, 28.87041764</t>
  </si>
  <si>
    <t>14e869b2-a58b-eb11-b874-005056b0156e</t>
  </si>
  <si>
    <t>Bağcılar İlçesi Ebubekir Spor Merkezi Mekansal Rehabilitasyon Projesi</t>
  </si>
  <si>
    <t>Mahmutbey İçme Suyu Deposu</t>
  </si>
  <si>
    <t xml:space="preserve">17.500 m3 kapasiteli içme suyu deposu </t>
  </si>
  <si>
    <t>Avrupa Bölgesi Arıtma Tesisi İnşaatı (1) İşi kapsamında çalışmalar devam etmektedir.​</t>
  </si>
  <si>
    <t>41.056415, 28.829953</t>
  </si>
  <si>
    <t>Yavuz Selim Caddesi, 100 Yıl Mahallesi, Barbaros Caddesi; Matbacılar Caddesi,</t>
  </si>
  <si>
    <t>Atıksu ve yağmursuyu kanal imalatları</t>
  </si>
  <si>
    <t>Çalışmalara başlanacaktır.</t>
  </si>
  <si>
    <t>41.065444, 28.853806</t>
  </si>
  <si>
    <t>Bağcılar İlçesi Altyapı Yatırımları</t>
  </si>
  <si>
    <t>33 km atıksu şebeke ve kolektör kanalı</t>
  </si>
  <si>
    <t>İhale kapsamında çalışmalar devam etmektedir.</t>
  </si>
  <si>
    <t>41.045806, 28.833472</t>
  </si>
  <si>
    <t>Ayamama Tem Geçişi Atıksu Tünelleri</t>
  </si>
  <si>
    <t>(870m)​</t>
  </si>
  <si>
    <t>Bakırköy</t>
  </si>
  <si>
    <t>​İhale işlemleri tamamlanmış olup, izin işlemlerine müteakip çalışmalara başlanacaktır.​</t>
  </si>
  <si>
    <t>40.9738044, 28.8493481</t>
  </si>
  <si>
    <t>Kirazlı-Halkalı Metrosu İnşaat Ve Elektromekanik İşleri, Yer Altı Aktarma Merkezi (Otopark) Ve Depo Alanı</t>
  </si>
  <si>
    <t>6,2 Km Uzunluğunda Ve 5 İstasyondan Oluşan Metro Hattı​</t>
  </si>
  <si>
    <t>Çoklu İlçe; Bağcılar; Bahçelievler; Küçükçekmece
Kirazlı-Halkalı Metrosu İnşaat Ve Elektromekanik İşleri, Yer Altı Aktarma Merkezi (Otopark) Ve Depo Alanı 1.ETAP KİRAZLI-ÜNİVERSİTE ARASI</t>
  </si>
  <si>
    <t>41.032058, 28.843214</t>
  </si>
  <si>
    <t>Kabataş-Mecidiyeköy-Mahmutbey Metro Hattı Mecidiyeköy-Kabataş Kesimi Ve Depo Sahasının İnşaat İşleri Ile Kabataş-Mecidiyeköy-Mahmutbey Hattı Ve Depo Sahasının; İnce İşler Ile Elektromekanik Sistemleri Temin, Montaj Ve İşletmeye Alma İşleri</t>
  </si>
  <si>
    <t>24,5 Km Uzunluğunda 18 Adet İstasyonun Elektromekanik, İşletmeye Alma İşleri Ve 6,5 Km'Lik Kısmın Metro İnşaatı. Toplam 941 Araçlık Otopark​ Yıldız-Kabataş arası İnşaat Çalışmaları devam etmektedir.</t>
  </si>
  <si>
    <t>Beyoğlu</t>
  </si>
  <si>
    <t>Çoklu İlçe; Bağcılar; Beşiktaş; Beyoğlu; Esenler; Eyüpsultan; Gaziosmanpaşa; Kağıthane; Şişli
(toplam maliyet euro cinsindedir)</t>
  </si>
  <si>
    <t>(toplam maliyet euro cinsindedir)</t>
  </si>
  <si>
    <t>41.034139, 28.992694</t>
  </si>
  <si>
    <t>KADİR TOPCU</t>
  </si>
  <si>
    <t>Yol Bakım 2.Bölge Müdür Yardımcılığı Prefabrik Binası</t>
  </si>
  <si>
    <t>Bahçelievler</t>
  </si>
  <si>
    <t>40.99720022898553, 28.824894835230896</t>
  </si>
  <si>
    <t>İBB Kurum Binası</t>
  </si>
  <si>
    <t>Bahçelievler Kocasinan Spor Tesisi ve Zeminaltı Otoparkı Tamamlama İnşaatı</t>
  </si>
  <si>
    <t>Futbol Stadyumu? (62x95 m, 7.395 m²?), Tribün (956 kişi), Spor Tesisi Birimleri (5.025 m²), Zeminaltı Otopark (27.725 m², 732 otomobil kapasiteli), Kreş (895 m² kapalı alan + 395 m² teras, 95 öğrenci), Muhtarlık (136 m²), Bisiklet ve Koşu Parkuru (340 m). Toplam Kapalı İnşaat Alanı: 33.600 m². Bitkisel Peyzaj Alanı: 5.600 m². Sert Zemin Peyzaj Alanı: 1.730 m²</t>
  </si>
  <si>
    <t>41.00046516368905, 28.84676616174671</t>
  </si>
  <si>
    <t>58dfd1cd-b0e0-eb11-b87b-005056b0336f</t>
  </si>
  <si>
    <t>Bahçelievler İlçesi Kocasinan Mahallesi Spor Tesisi, Kreş ve Zeminaltı Otopark Revizyon Projesi</t>
  </si>
  <si>
    <t>Stadyum</t>
  </si>
  <si>
    <t>Mustafa Kemal Paşa ve Kıbrıs Caddeleri</t>
  </si>
  <si>
    <t>Atık su, yağmur suyu ve kanal imalatları​ yapılacaktır.</t>
  </si>
  <si>
    <t>Atık su, yağmur suyu ve kanalI ayrıştırma imalatları​ yapılmaktadır.</t>
  </si>
  <si>
    <t>41.01235439330557, 28.85644639678471</t>
  </si>
  <si>
    <t>Bahçelievler İlçesi Altyapı Yatırımları</t>
  </si>
  <si>
    <t>16,8 km atıksu şebeke ve kolektör kanalı​</t>
  </si>
  <si>
    <t>40.99817917503419, 28.851113854514633</t>
  </si>
  <si>
    <t>Bahçelievler-Küçükçekmece Ayamama Deresi ıslahı</t>
  </si>
  <si>
    <t>1.211 m dere ıslahı 1.270 m atık su kollektörü 1 adet köprü</t>
  </si>
  <si>
    <t>İstanbul İli, Avrupa Yakası, Bahçelievler, Küçükçekmece İlçelerinde; 2200 2400mm çaplar arasında 1.270 m atıksu kollektörü 300-2000mm çaplar arasında 4100 m beton/betonarme boru olmak üzere toplam 5.370 m atıksu ve yağmursuyu kanalı inşaatı 1 adet köprü imalatı yapımı ile 1211 m 16x2.72 ve 25x2.72 dere ıslahı yapılması ve bu imalatlara ait bacalar, parsel baca bağlantıları, yağmursuyu ızgara bağlantıları ve yol üst yapısı işleri.​</t>
  </si>
  <si>
    <t>40.9967291, 28.8191955</t>
  </si>
  <si>
    <t>Bakırköy Florya Engelliler Kampı Kreş Dönüşümü</t>
  </si>
  <si>
    <t>40.962028, 28.812918</t>
  </si>
  <si>
    <t>f27eac7c-9d1d-ef11-b8eb-005056b0106f</t>
  </si>
  <si>
    <t>İstanbul Avrupa Yakası Kamu Binaları Bakım, Onarım, Tadilat ve Ek Hizmet Yapıları XV Grup İnşaatı</t>
  </si>
  <si>
    <t>Bakırköy Özgürlük Meydanı ve Çevresi Düzenleme İnşaatı</t>
  </si>
  <si>
    <t>Meydanın yaklaşık 4.537 m²'lik bir alanı kapsamakta olup Şükran Çiftliği, Yüce Tarla, İstanbul, Fişekhane ve İncirli caddeleri ile entegredir.​</t>
  </si>
  <si>
    <t>40.98101997, 28.87371989</t>
  </si>
  <si>
    <t>68ab8f4d-5cb5-e711-80fc-005056a5354a</t>
  </si>
  <si>
    <t>Bakırköy İlçesi Özgürlük Meydanı Düzenleme Projesi</t>
  </si>
  <si>
    <t>Murat Dilmener Hastanesi Önü Merdiven ve Asansör Yapım</t>
  </si>
  <si>
    <t>40.970915, 28.807563</t>
  </si>
  <si>
    <t>Bakırköy Şenlikköy Çocuk Etkinlik Merkezi İnşaatı</t>
  </si>
  <si>
    <t>​40m² lik 4 Derslik (20x4:80 çoçuk kapasiteli), Birim sorumlusu, Öğretmenler Odası, Mutfak ve Teknik mahallerden oluşmaktadır.​</t>
  </si>
  <si>
    <t>Bağışçı. Maliyet boş gözükmemesi için 1 TL girilmiştir.</t>
  </si>
  <si>
    <t>40.979427, 28.796348</t>
  </si>
  <si>
    <t>aa9b7cd0-ab3b-eb11-b867-005056b0156e</t>
  </si>
  <si>
    <t>Bakırköy İlçesi Şenlikköy Mahallesi 295 Ada 34 Parsel Kreş Projesi (KR097)</t>
  </si>
  <si>
    <t>Demirkapı Caddesi, Yücetarla Caddesi, Karabal Caddesi</t>
  </si>
  <si>
    <t>Atıksu, yağmursuyu ve kanal imalatları</t>
  </si>
  <si>
    <t>Söz konusu mahalde ömrünü tamamlamış altyapı hatlarını yenileyerek atık su ve yağmur suyu hatlarını ayrıştırarak içme suyu havzalarına atık su girişini önlemek ve su baskınlarına son vermek amacıyla atık su ve yağmur suyu kanal imalatları yapılmaktadır.</t>
  </si>
  <si>
    <t>40.984873, 28.866811</t>
  </si>
  <si>
    <t>Ayamama Dere Islahı</t>
  </si>
  <si>
    <t>Dere içi ve çevresi yeşil alan düzenleme ve rehabilitasyon projesi</t>
  </si>
  <si>
    <t>40.98380446310133, 28.84255396026099</t>
  </si>
  <si>
    <t>Dere Islahı</t>
  </si>
  <si>
    <t>Yenibosna Metrobüs Durağı YÜG Yeniden Yapım</t>
  </si>
  <si>
    <t>Turnike alanı, 2 adet asansör, rampa ve merdivenden oluşan engelli erişimine ve kullanım yoğunluğuna uygun ölçülerde projelendirilmiş yaya üstgeçidi yapılacaktır.</t>
  </si>
  <si>
    <t>40.990872, 28.835066</t>
  </si>
  <si>
    <t>Küçükçekmece</t>
  </si>
  <si>
    <t>8cc8411e-a61f-ed11-b8ac-005056b0106f</t>
  </si>
  <si>
    <t>Bahçelievler Yenibosna Metrobüs Durağı Yaya Üst Geçidi Projelerinin Hazırlanması</t>
  </si>
  <si>
    <t>Yeşilköy Anadolu Lisesi Kapalı Spor Salonu</t>
  </si>
  <si>
    <t>Çelik strüktür olarak projelendirilen Tip-3 Spor Salonunun toplam inşaat alanı 675 m2dir. Bunun 424 m2'si kapalı spor salonu olarak tasarlanmıştır. Bunun dışında Eğitmen Odası, Salon Görevli Odası, Temizlik Malzemeleri Odası, Mekanik ve Elektrik Odası, Soyunma Odası (2 Adet) ve WC (2 Adet Erkek, 2 Adet Kadın ve 1 Adet Engelli) fonksiyonlarını içermektedir.</t>
  </si>
  <si>
    <t>40.962667, 28.834578</t>
  </si>
  <si>
    <t>cf67708f-b56c-ee11-b8e1-005056b0106f</t>
  </si>
  <si>
    <t>İstanbul Geneli Okul Bahçelerine Spor Salonu Yapılması 5_Grup İnşaatı</t>
  </si>
  <si>
    <t>İŞTİRAKLER KOORDİNASYON ŞUBE MÜDÜRLÜĞÜ</t>
  </si>
  <si>
    <t>KİPTAŞ A.Ş.</t>
  </si>
  <si>
    <t>Kentsel Dönüşüm Faaliyetleri</t>
  </si>
  <si>
    <t>Kentsel Dönüşüm - Kentsel Tasarım Projeleri</t>
  </si>
  <si>
    <t>İş Bankası Blokları (888 Ada 1 Parsel)</t>
  </si>
  <si>
    <t>96 Konut (888 Ada 1 Parsel)</t>
  </si>
  <si>
    <t>40.98796490652687, 28.870241218302652</t>
  </si>
  <si>
    <t>Bina Cepheleri ve Zemin Düzenlemeleri</t>
  </si>
  <si>
    <t>İş Bankası Blokları (889 Ada 1 Parsel)</t>
  </si>
  <si>
    <t>(889 Ada 1 Parsel)</t>
  </si>
  <si>
    <t>Ataköy Atıksu Tüneli</t>
  </si>
  <si>
    <t>3600mm çaplı 8.620 metre olup, 5.173 metresi tamamlanmıştır.​</t>
  </si>
  <si>
    <t>40.97835330681391, 28.84139946869899</t>
  </si>
  <si>
    <t>Bakırköy İlçesi Altyapı Yatırımları</t>
  </si>
  <si>
    <t>26 km atıksu şebeke ve kolektör kanalı​</t>
  </si>
  <si>
    <t>40.979671, 28.829382</t>
  </si>
  <si>
    <t>YOL BAKIM VE ALTYAPI KOORDİNASYON DAİRESİ BAŞKANLIĞI</t>
  </si>
  <si>
    <t>Altyapı Koordinasyon Şube Müdürlüğü</t>
  </si>
  <si>
    <t>Yayalaştırma, Meydan ve Cadde Düzenlemeleri</t>
  </si>
  <si>
    <t>Atatürk Bulvarı Geometrik Düzenlemesi</t>
  </si>
  <si>
    <t>20000 m2</t>
  </si>
  <si>
    <t>Başakşehir</t>
  </si>
  <si>
    <t>41.082767, 28.805487</t>
  </si>
  <si>
    <t>Yol Bakımı ve Düzenleme</t>
  </si>
  <si>
    <t>Başakşehir Menekşe Deresi</t>
  </si>
  <si>
    <t>3.438 m dere ıslahı</t>
  </si>
  <si>
    <t>3.070 m dere ıslahı yapılmış olup çalışmalar devam etmektedir.​</t>
  </si>
  <si>
    <t>41.0706143, 28.7301445</t>
  </si>
  <si>
    <t>Başakşehir Kayabaşı Garaj Yapılması İşi</t>
  </si>
  <si>
    <t>44.000 m2 alanda bakım onarım hangarı, güvenlik binası ve parklanma alanı yapılması</t>
  </si>
  <si>
    <t>19.04.2024 tarihinde yer teslimi yapılarak çalışmalara başlanmıştır.
23.07.2024 tarihinde temel atma töreni yapılmıştır.</t>
  </si>
  <si>
    <t>41.1088127, 28.7583609</t>
  </si>
  <si>
    <t>Başakşehir İlçesi Altyapı Yatırımları</t>
  </si>
  <si>
    <t>25 km atık su şebeke ve kolektör kanalı​</t>
  </si>
  <si>
    <t>14.373m atık su şebeke ve kolektör hattı, 8.775 m yağmur suyu şebeke ve kolektör kanalı yapılmış olup çalışmalar devam etmektedir.​​</t>
  </si>
  <si>
    <t>41.0949302, 28.7525334</t>
  </si>
  <si>
    <t>Fevzi Çakmak Camisi Eksiklerinin Tamamlanması İşi</t>
  </si>
  <si>
    <t>Bayrampaşa</t>
  </si>
  <si>
    <t>41.063532, 28.900373</t>
  </si>
  <si>
    <t>Cami Yapımı</t>
  </si>
  <si>
    <t>Cevatpaşa Depo Rehabilitasyonu</t>
  </si>
  <si>
    <t>20.000m³ depo rehabilitasyonu</t>
  </si>
  <si>
    <t>Depo Rehabilitasyonu tamamlandı.</t>
  </si>
  <si>
    <t>41.070945, 28.882378</t>
  </si>
  <si>
    <t>Antrepo Depo</t>
  </si>
  <si>
    <t>Bayrampaşa Kartaltepe Mahallesi Meydan Zeminaltı Otopark Tamamlama İnşaatı</t>
  </si>
  <si>
    <t>Bayrampaşa 267 araç kapasiteli zeminaltı otopark, 389,41 m2 taban alanlı camii, 101,20 m2 kütüphane, 35,54 m2 seminer salonu, 36,55 m2 eğitim salonu, WC, abdesthane. Peyzaj ve çevre düzenleme.</t>
  </si>
  <si>
    <t>41.06041133, 28.90057331</t>
  </si>
  <si>
    <t>1c691648-7853-ed11-b8b6-005056b0106f</t>
  </si>
  <si>
    <t>Bayrampaşa Kartaltepe Mahallesi Cami, Meydan ve Zeminaltı Otopark Tamamlama İnşaatı ve Kağıthane Gürsel Mahallesi Cami İnşaatı</t>
  </si>
  <si>
    <t>Arda Turan Spor Kompleksi Altı Otopark Elektrik ve Mekanik Tadilat İşleri</t>
  </si>
  <si>
    <t>Otopark Bakım Onarımı</t>
  </si>
  <si>
    <t>41.038237, 28.906463</t>
  </si>
  <si>
    <t>Idari Binaların Güçlendirme;Bakım ve Onarımı (Trafo; mekanik tesisat; elektrik tesisat; aydınlatma vb)</t>
  </si>
  <si>
    <t>Bayrampaşa Metro İstasyonu (Axis Avm Önü) YÜG Yeniden Yapım</t>
  </si>
  <si>
    <t>41.0347108, 28.9191995</t>
  </si>
  <si>
    <t>daec94ea-7026-e711-80ed-005056a5354a</t>
  </si>
  <si>
    <t>Bayrampaşa İstasyonu Yaya Üst Geçidi  Projesi</t>
  </si>
  <si>
    <t>Kiptaş Kültür Merkezi Dönüşüm İşi</t>
  </si>
  <si>
    <t>41.045889, 28.903889</t>
  </si>
  <si>
    <t>ce44c167-b50b-ec11-b87e-005056b0336f</t>
  </si>
  <si>
    <t>İstanbul Geneli Eğitim Yapıları Yapım, Onarım Ve Tadilat 1_Grup İnşaatı</t>
  </si>
  <si>
    <t>Kültür Tesisi</t>
  </si>
  <si>
    <t>Büyük İstanbul Otogarı Bağlantı Yolları Güçlendirme İnşaatı</t>
  </si>
  <si>
    <t>41.039470, 28.894919</t>
  </si>
  <si>
    <t>Köprü ve Viyadük Güçlendirme</t>
  </si>
  <si>
    <t>Bayrampaşa İlçesi Altyapı Yatırımları</t>
  </si>
  <si>
    <t>10,2 km atıksu şebeke ve kolektör kanalı​</t>
  </si>
  <si>
    <t>AVR.BÖL. ARITMA TESİSİ İNŞAATI (1) İŞİ KAPSAMINDA ÇALIŞMALAR DEVAM ETMEKTEDİR.</t>
  </si>
  <si>
    <t>41.07425582919516, 28.884785175441507</t>
  </si>
  <si>
    <t>Bayrampaşa-Eyüp Sultan-Eminönü Arası Metro Yapılması</t>
  </si>
  <si>
    <t>Raylı Sistem Üzerinde İstasyon Kurulması</t>
  </si>
  <si>
    <t>(maliyet-Eyüpsultan-Bayrampaşa Tramvay hattı İhale bedelidir.)</t>
  </si>
  <si>
    <t>41.03475576166815, 28.912113474654124</t>
  </si>
  <si>
    <t>Ortaköy Rıhtım Düzenleme Projesi</t>
  </si>
  <si>
    <t>490 m2 Rıhtım Güçlendirme Projesi</t>
  </si>
  <si>
    <t>Beşiktaş</t>
  </si>
  <si>
    <t>41.05042038, 29.03324371</t>
  </si>
  <si>
    <t>7b488649-3e96-ed11-b8c7-005056b0106f</t>
  </si>
  <si>
    <t>İstanbul Geneli Kıyı ve Deniz Yapıları Onarım, Tadilat ve Güçlendirme 2 Grup İnşaatı</t>
  </si>
  <si>
    <t>Rıhtım düzenleme</t>
  </si>
  <si>
    <t>Kuruçeşme Mahallesi,  1709 Ada 130 Parsel ve Yakın Çevresi Kaya Düşmesini Önleme İnşaatı</t>
  </si>
  <si>
    <t>Kaya düşmesini önleme çalışması</t>
  </si>
  <si>
    <t>41.06250692, 29.03717812</t>
  </si>
  <si>
    <t>dad8d072-869d-ee11-b8e3-005056b0106f</t>
  </si>
  <si>
    <t>Kuruçeşme 1709 Ada 130 Parsel ve Yakın Çevresi Kaya Düşmesinin Araştırılması ve Sayısal Analizler Oluşturularak Önlem Projelerinin Hazırlanması</t>
  </si>
  <si>
    <t>Heyelan Önleme</t>
  </si>
  <si>
    <t>Karanfilköy Deresi</t>
  </si>
  <si>
    <t>520 m</t>
  </si>
  <si>
    <t>520 m tamamlandı</t>
  </si>
  <si>
    <t>41.08948749925584, 29.02585350488058</t>
  </si>
  <si>
    <t>Beşiktaş Ihlamurdere Deresi</t>
  </si>
  <si>
    <t>510 m</t>
  </si>
  <si>
    <t>450 m tamamlandı, kalan kısmı yeni ihale kapsamında yapılacaktır.</t>
  </si>
  <si>
    <t>41.050392, 29.004603</t>
  </si>
  <si>
    <t>Kültür ve Tabiat Varlıklarının Yapım, Bakım-Onarım ve Restorasyonu</t>
  </si>
  <si>
    <t>Kültürel Miras Projeleri</t>
  </si>
  <si>
    <t>Malta Köşkü Restorasyon İnşaatı</t>
  </si>
  <si>
    <t>BELTUR  restoran işletmesi restorasyonu</t>
  </si>
  <si>
    <t>41.050686, 29.015862</t>
  </si>
  <si>
    <t>997beb09-c1e8-e811-8116-005056a5354a</t>
  </si>
  <si>
    <t>İstanbul Geneli Çeşme, Türbe ve Hazire Alanları Restorasyon 2_Grup İnşaatı</t>
  </si>
  <si>
    <t>Köşk Restorasyonu</t>
  </si>
  <si>
    <t>Sağlıklı Gıda ve Sosyal Tesis Hizmetleri</t>
  </si>
  <si>
    <t>Arnavutköy Sosyal Tesisleri Restorasyon İnşaatı</t>
  </si>
  <si>
    <t>41.06747709, 29.04482225</t>
  </si>
  <si>
    <t>Sosyal Tesisler</t>
  </si>
  <si>
    <t>Beşiktaş İlçesi Altyapı Yatırımları</t>
  </si>
  <si>
    <t>16.4 km atıksu şebeke ve kolektör kanalı</t>
  </si>
  <si>
    <t>7,1 km atık su ve yağmur suyu hattı yapılmış olup, çalışmalar devam etmektedir.</t>
  </si>
  <si>
    <t>41.074806, 29.027139</t>
  </si>
  <si>
    <t>Konaklar Mahallesi İhsan Hilmi Alantar Sokak;Ortaköy Mahallesi Dereboyu Caddesi; Levazım ve Ortaköy Mahalleleri, Ambarlıdere Caddesi ve Çayır Sokak; Ortaköy Mahallesi Portakal Yokuşu</t>
  </si>
  <si>
    <t>Atıksu, yağmursuyu ve içmesuyu kanal imalatları</t>
  </si>
  <si>
    <t>41.089429, 29.011115</t>
  </si>
  <si>
    <t>KÜLTÜR VARLIKLARI DAİRESİ BAŞKANLIĞI</t>
  </si>
  <si>
    <t>Kültür Varlıkları Projeler Şube Müdürlüğü</t>
  </si>
  <si>
    <t>Zekiye Sultan Yalısı Uygulama İşi</t>
  </si>
  <si>
    <t>Ödenek taleplerinden dolayı tahmini bitiş tarihi verilemiyor. Rekonstrüksiyon süreci devam ediyor</t>
  </si>
  <si>
    <t>41.05050204, 29.03292531</t>
  </si>
  <si>
    <t>27c466f0-b2b3-4596-a3e9-298c1f92e14b</t>
  </si>
  <si>
    <t>Beşiktaş İlçesi Zekiye Sultan Yalısı Rekonstrüksiyon Projesi</t>
  </si>
  <si>
    <t>Dolmabahçe Yağmursuyu Tüneli;</t>
  </si>
  <si>
    <t>1.720 m</t>
  </si>
  <si>
    <t>Dolmabahçe Yağmur suyu tünelinin memba şaftı için TVK süreci devam etmekte olup, mansap şaftı imalatı tamamlanmış, 10 m tünel kazısı yapılmış olup, çalışmalar devam etmektedir.</t>
  </si>
  <si>
    <t>41.037381, 28.996641</t>
  </si>
  <si>
    <t>Bebek ve Arnavutköy Yağmursuyu Tünelleri;</t>
  </si>
  <si>
    <t>(1.000 m)</t>
  </si>
  <si>
    <t>İhale işlemleri tamamlanmış olup, izin işlemlerine müteakip çalışmalara başlanacaktır.</t>
  </si>
  <si>
    <t>41.067039, 29.043648</t>
  </si>
  <si>
    <t>Ortaköy (Dereboyu Cad.) Dere Islahı</t>
  </si>
  <si>
    <t>1.250 metre</t>
  </si>
  <si>
    <t>Dere güzergahında yıkımı gereken binalar için İBB ve Beşiktaş Belediyesi ile gereklli yazışmalar yapılmış olup, imalat için binaların yıkımı beklenmektedir.</t>
  </si>
  <si>
    <t>41.051200, 29.024630</t>
  </si>
  <si>
    <t>Dolmabahçe Dere Islahı (Tünel Mansabı)</t>
  </si>
  <si>
    <t>290 m</t>
  </si>
  <si>
    <t>Şişli</t>
  </si>
  <si>
    <t>Milli Saraylardan ve İBB'den gerekli izinlerin alınmasına müteakip Haziran ayı sonunda çalışmalara başlanacaktır.</t>
  </si>
  <si>
    <t>41.0394514, 28.9928687</t>
  </si>
  <si>
    <t>Karanfilköy Kentsel Dönüşüm Projesi</t>
  </si>
  <si>
    <t>​1367 Konut</t>
  </si>
  <si>
    <t>41.090526, 29.026639</t>
  </si>
  <si>
    <t>Beşiktaş -Dolmabahçe Levazım Arası Tüneli ve Levazım Tünel Bağlantı Kavşağı İnşaat İmalatları</t>
  </si>
  <si>
    <t>41.05853867, 29.00908280</t>
  </si>
  <si>
    <t>67d32f3f-a88f-e611-80e0-005056a5354a</t>
  </si>
  <si>
    <t>Şişli İlçesi Dolmabahçe-Levazım-Baltalimanı Karayolu Tünel Projesi</t>
  </si>
  <si>
    <t>Tünel</t>
  </si>
  <si>
    <t>Örnekköy Mezarlığı Onarım ve Tadilatı</t>
  </si>
  <si>
    <t>Beykoz</t>
  </si>
  <si>
    <t>41.140010628559715, 29.14394258196728</t>
  </si>
  <si>
    <t>833baa28-682f-ee11-b8db-005056b0106f</t>
  </si>
  <si>
    <t>İstanbul Anadolu Yakası Genelinde Mezarlıklar Bakım,Onarım Ve Tadilat İnşaatı</t>
  </si>
  <si>
    <t>Deniz Yapıları Yapım ve Bakım-Onarımı</t>
  </si>
  <si>
    <t>Çubuklu Seyir Hidrografi Oşinografi KMT iskele yapıları inşaatı</t>
  </si>
  <si>
    <t>​Hidrografi Yapısı</t>
  </si>
  <si>
    <t>41.102075, 29.086448</t>
  </si>
  <si>
    <t>İskele</t>
  </si>
  <si>
    <t>Mahmutşevketpaşa Atıksu Tüneli</t>
  </si>
  <si>
    <t xml:space="preserve">2200 mm İç Çapında 1790 Metre Uzunluğunda Atık Su Tüneli Planlanmaktadır.
</t>
  </si>
  <si>
    <t>Asya Bölgesi 13. Kısım Müteferrik Atık su, Yağmursuyu Kanalı ve Dere Islahı İnşaatı işi kapsamında imalatı devam etmektedir.</t>
  </si>
  <si>
    <t>41.151810, 29.188584</t>
  </si>
  <si>
    <t>Beykoz İlçesi Altyapı Yatırımları</t>
  </si>
  <si>
    <t>11,1 km atık su şebeke ve kolektör kanalı</t>
  </si>
  <si>
    <t>Asya Bölgesi 10.Kısım müteferrik atık su, yağmur suyu kanalı ve dere ıslahı inşaatı işi kapsamında imalatı devam etmektedir.​</t>
  </si>
  <si>
    <t>41.146135, 29.184329</t>
  </si>
  <si>
    <t>Riva Atıksu Tüneli</t>
  </si>
  <si>
    <t xml:space="preserve">2200 mm İç Çapında 4880 Metre Uzunluğunda Atık Su Tüneli Planlanmaktadır.
</t>
  </si>
  <si>
    <t>41.224669, 29.223626</t>
  </si>
  <si>
    <t>Yeşil Alan Üretimine Yönelik Yapım ve Bakım-Onarım Çalışmaları</t>
  </si>
  <si>
    <t>Park Bahçe, Yeşil Alan, Yaşam Vadisi Projeleri</t>
  </si>
  <si>
    <t>Beylikdüzü Vira Kavşağı Peyzaj İnşaatı</t>
  </si>
  <si>
    <t>​Yeşil Alan (22661m2), Yürüyüş Yolu (485m), Bisiklet Yolu (1112m), Bisiklet Park Elemanı (82 Adet), ​Meydan (4 Adet/ Toplam Alan 1673m2), Çocuk Oyun Alanı ( 2 Adet/ Toplam Alan 580 m2), Fitness Alanı (140 m2), Atölye (4 Adet/Toplam Alan 60m2), Büfe( 15m2), WC (33m2), Yaya Köprüsü ( 9.22 m x 6.5 m)</t>
  </si>
  <si>
    <t>Beylikdüzü</t>
  </si>
  <si>
    <t>40.98552455, 28.64862782</t>
  </si>
  <si>
    <t>efa5640a-c67f-ee11-b8e1-005056b0106f</t>
  </si>
  <si>
    <t>Beylikdüzü İlçesi, Vira Kavşağı ve Çevresi Peyzaj Düzenleme Projesi</t>
  </si>
  <si>
    <t>Peyzaj ve Bahçe Düzenlemesi</t>
  </si>
  <si>
    <t>Beylikdüzü Gürpınar Balık Hali İçerisinde Sahil Güvenlik Bot Komutanlığına İlave Yapılar Yapılması</t>
  </si>
  <si>
    <t>40.967311, 28.600068</t>
  </si>
  <si>
    <t>Balıkçılar Çarşısı</t>
  </si>
  <si>
    <t>Kavaklı Yeni Mezarlığı Bülent Ecevit Caddesi Üzeri İstinat Duvarı İnşaatı</t>
  </si>
  <si>
    <t>​Yaklaşık 250 metre uzunluğunda, 3 metre yüksekliğinde istinat duvarı</t>
  </si>
  <si>
    <t>40.99027855, 28.63468500</t>
  </si>
  <si>
    <t>578e493e-69a6-ea11-b854-005056b0156e</t>
  </si>
  <si>
    <t>Beylikdüzü ilçesi, Kavaklı Yeni Mezarlığı Bülent Ecevit Caddesi Üzeri Duvar Projesi</t>
  </si>
  <si>
    <t>Yol Sanat Yapıları (Istinat Duvarı-Toprakarme Menfez vb)</t>
  </si>
  <si>
    <t>Beylikdüzü İlçesi Altyapı Yatırımları</t>
  </si>
  <si>
    <t>9 km atıksu şebeke ve kolektör kanalı</t>
  </si>
  <si>
    <t>40.988831, 28.645250</t>
  </si>
  <si>
    <t>Marmara Mahallesi İhlas Caddesi</t>
  </si>
  <si>
    <t>Beylikdüzü ihlas caddesinde ekonomik ömrünü tamamlamış altyapı hatlarını yenileyerek atık su ve yağmur suyu hatlarını ayrıştırarak Marmara Denizi'ne atık su girişini önlemek ve su baskınlarına son vermek amacıyla atık su ve yağmur suyu kanal imalatları yapılacaktır.</t>
  </si>
  <si>
    <t>40.981939, 28.672983</t>
  </si>
  <si>
    <t>Gürpınar Yağmursuyu Tüneli;</t>
  </si>
  <si>
    <t xml:space="preserve">820 m yağmur suyu imalatı yapılacaktır.
</t>
  </si>
  <si>
    <t>40.986152537918784, 28.60257740144512</t>
  </si>
  <si>
    <t>Yeşil Alanlarda Kentsel Donatı Çalışmaları</t>
  </si>
  <si>
    <t>Karaköy Seyir Terası Mevcut Kaplamanın Sökümü ve Yeniden Düzenlenmesi</t>
  </si>
  <si>
    <t>41.023467, 28.976092</t>
  </si>
  <si>
    <t>Sahil Düzenleme</t>
  </si>
  <si>
    <t>Karayolu Sistemleri Bakım ve Onarım Çalışmaları</t>
  </si>
  <si>
    <t>Karaköy Yeraltı Geçidi ve Çarşısı Bakım-Onarımı İşi</t>
  </si>
  <si>
    <t>41.022218, 28.975329</t>
  </si>
  <si>
    <t>Kabataş Transfer Merkezi 2. Etap</t>
  </si>
  <si>
    <t>41.03339126, 28.99235270</t>
  </si>
  <si>
    <t>2fb798df-1bf1-4589-8300-f4b344ff6efd</t>
  </si>
  <si>
    <t>Beyoğlu İlçesi Kabataş Transfer Merkezi Uygulama Projesi Hazırlanması İşi</t>
  </si>
  <si>
    <t>Beyoğlu Şaban Deresi ıslahı</t>
  </si>
  <si>
    <t>3.100 m atık su
2.100 m yağmur suyu</t>
  </si>
  <si>
    <t>1.000 m atık su ve 760 m yağmur suyu tamamlandı.</t>
  </si>
  <si>
    <t>41.044120, 28.951853</t>
  </si>
  <si>
    <t>Sen Piyer Han Restorasyonu Uygulama İşi</t>
  </si>
  <si>
    <t>​Han Restorasyonu</t>
  </si>
  <si>
    <t>1. Etap ihalesi tamamlanmış olup 2. Etap ihalesi için bütçe onayındadır. 2. Etap onaylanması durumunda 10 ay içerisinde tamamlanacaktır.</t>
  </si>
  <si>
    <t xml:space="preserve"> 41.024725667129864, 28.972460404809365 </t>
  </si>
  <si>
    <t>a63f4666-4217-ef11-b8ea-005056b0106f</t>
  </si>
  <si>
    <t>Sen Piyer Han Yeniden İşlevlendirme Uygulama Projeleri Temini İşi</t>
  </si>
  <si>
    <t>Han Restorasyonu</t>
  </si>
  <si>
    <t>Beyoğlu Muammer Karaca Tiyatrosu Restorasyonu Uygulama İşi</t>
  </si>
  <si>
    <t>Tiyatro Binasında Tiyatro Salonuna İlaveten; Resepsiyon, Güvenlik, Bilet Satış, Toplantı/Vıp Odası, Kulis, Sanatçı Dinlenme Alanı, Banyo, Wc, Vestiyer Bulunmaktadır.</t>
  </si>
  <si>
    <t>Bütçesi tamamlanmış olup, 2. Etap ihalesi için ödenek talebi yapılmıştır. Ödenek talebi onaylanması halinde 1 sene içerisinde tamamlanması planlanmaktadır.</t>
  </si>
  <si>
    <t>41.03107182, 28.97638557</t>
  </si>
  <si>
    <t>9aee97f5-3287-e711-80f5-005056a5354a</t>
  </si>
  <si>
    <t>Muammer Karaca Tiyatrosu Rölöve, Restitüsyon ve Restorasyon Projesi</t>
  </si>
  <si>
    <t>Tiyatro Sahnesi Restorasyonu</t>
  </si>
  <si>
    <t>Beyoğlu İlçesi Altyapı Yatırımları</t>
  </si>
  <si>
    <t>11.665 m atık su
15.280 m yağmur suyu</t>
  </si>
  <si>
    <t>2.544 m atık su ve 3.247 m yağmur suyu tamamlandı.</t>
  </si>
  <si>
    <t>Meclis-i Mebusan Caddesi, Şaban Deresi Sokak, İç Bostan Sokak, Tersane Cad., Kemeraltı Cad., Kemankeş Cad. , Rıhtım Cad., Perşembe Pazarı Caddesi,</t>
  </si>
  <si>
    <t>4.250 m atık su
5.000 m yağmur suyu</t>
  </si>
  <si>
    <t>1.130 metre atık su ve 1.690 m yağmur suyu tamamlandı.</t>
  </si>
  <si>
    <t>41.036807, 28.994667</t>
  </si>
  <si>
    <t>Tarihi Metrohan Binası Restorasyonu Uygulama İşi</t>
  </si>
  <si>
    <t>Müze,Kütüphane Restorasyonu</t>
  </si>
  <si>
    <t>İlk 3 kat restorasyonları tamamlandı. Bütün cephelerin acil restorasyon ihtiyacı var. Ödenek talebi yapılacak olup, yeni ihaleye çıkılacaktır.</t>
  </si>
  <si>
    <t>41.02826277, 28.97404378</t>
  </si>
  <si>
    <t>117526ef-ff9c-eb11-b876-005056b0336f</t>
  </si>
  <si>
    <t>Metro Han Binası Restitüsyon, Restorasyon ve Mühendislik Projelerinin Hazırlanması İşi</t>
  </si>
  <si>
    <t>Tescilli Yapı Restorasyonu</t>
  </si>
  <si>
    <t>Karaköy Çok Katlı Otoparkının Zemin Altı Otopark ve Zemin Üzeri Meydan Düzenlemesine Dönüştürülmesi İşi</t>
  </si>
  <si>
    <t>Toplam proje alanı 9.465 m²​ olup, zemin altı inşaat alanı 9.231 m² 568 araç kapasiteli Tam Otomatik Sistem Zeminaltı Otopark ve 6.360 m² ​​Zeminüstü Park ve Meydandan oluşan projede; zeminaltı otopark kısmında 8 adet araç odası, izleme odası, idari ofis ve personel odaları, depo odaları, teknik hacimler, wc, mescit yer almaktadır. Zeminaltı otopark üzerinde ise; 6.360 m² ​​​ meydan alanı olup bu alanda; sanat etkinlik alanları, seyir terasına dönüştürülen otopark rampasının saçağı, yeşil alan ve sert zemin peyzaj alanı bulunmaktadır.</t>
  </si>
  <si>
    <t>Maliyet yok. Galataport ile Protokol kapsamında yapılacak. Maliyet boş gözükmemesi için 1 TL girilmiştir.</t>
  </si>
  <si>
    <t>Galaport ile Protol kapsamında yapılacak</t>
  </si>
  <si>
    <t>41.02303723, 28.97738443</t>
  </si>
  <si>
    <t>34b2b7b5-5d40-ec11-b891-005056b0106f</t>
  </si>
  <si>
    <t>Karaköy Kemankeş Karamustafa Mahallesi Meydan ve Zeminaltı Otopark Projesi</t>
  </si>
  <si>
    <t>Şehir Lojistiği ve Otogar Çalışmaları</t>
  </si>
  <si>
    <t>Büyükçekmece Trakya Otogarı</t>
  </si>
  <si>
    <t>Büyükçekmece</t>
  </si>
  <si>
    <t>41.0147428, 28.5609434</t>
  </si>
  <si>
    <t>Otogar</t>
  </si>
  <si>
    <t>Trafik Sirkülasyon ve Geometrik Düzenleme Çalışmaları</t>
  </si>
  <si>
    <t>Büyükçekmece Kemal Atatürk caddesi Düzenlenmesi</t>
  </si>
  <si>
    <t>Elektrik,Fiber Optik Alt Yapısı Ve Aydınlatma Elemanları Yenilenmektedir.​​​</t>
  </si>
  <si>
    <t>Araç Yolu Doğal Taş ile Yapılmıştır.</t>
  </si>
  <si>
    <t>41.021947, 28.580002</t>
  </si>
  <si>
    <t>Büyükçekmece Çakmaklı Mahallesi Mezarlığı Onarım ve Tadilatı</t>
  </si>
  <si>
    <t>41.04892399125023, 28.62593595052657</t>
  </si>
  <si>
    <t>Büyükçekmece Murat Çeşme Deresi ıslahı</t>
  </si>
  <si>
    <t>1.200 metre</t>
  </si>
  <si>
    <t>41.03651057953351, 28.55598463485372</t>
  </si>
  <si>
    <t>Büyükçekmece Sahili 2. ve 3. Etap Düzenleme İnşaatı</t>
  </si>
  <si>
    <t>Bisiklet Yolları (3.550 m) Futbol Sahaları (2 adet, 30x50 m) Basketbol Sahası (18x31 m) Tenis Kortu (18x36 m) Fitness Alanı (550 m²) Kumsal Plaj (2 adet, 5.500 m²​) Sahil Hattı Yürüyüş Bandı (3.550 m) ​Pergola-Dinlenm​​e Alanları (8 adet) Araç Park Alanı (182 araç) Çocuk Oyun Alanları (4 adet, 2.400 m²) Bisiklet İstasyonları-İsbike (5 adet) Kaykay Alanı (2 adet, 2.700 m²</t>
  </si>
  <si>
    <t>41.017226523922844, 28.586243490945204</t>
  </si>
  <si>
    <t>a379db5a-48a8-ed11-b8ce-005056b0106f</t>
  </si>
  <si>
    <t>Büyükçekmece Sahili 2 ve 3 Etap Düzenleme İnşaatı</t>
  </si>
  <si>
    <t>Büyükçekmece İlçesi Altyapı Yatırımları</t>
  </si>
  <si>
    <t>34 km atıksu şebeke ve kolektör kanalı</t>
  </si>
  <si>
    <t>Büyükçekemece ilçesi muhtelif mahallerde atık su ve yağmur suyu hattı inşa ederek su baskınlarının önüne geçmek ve ayrıca deniz ve göllerimize atık su girişini önlemek.</t>
  </si>
  <si>
    <t>41.04388117771143, 28.546888098870802</t>
  </si>
  <si>
    <t>Dizdariye Mahallesi Kemal Atatürk Caddesi</t>
  </si>
  <si>
    <t>Söz konusu mahalde ömrünü tamamlamış altyapı hatlarını yenileyerek atık su ve yağmur suyu hatlarını ayrıştırarak Büyükçekmece gölüne atık su girişini önlemek ve su baskınlarına son vermek amacıyla atık su ve yağmur suyu kanal imalatları yapılmıştır.</t>
  </si>
  <si>
    <t>41.022320032013866, 28.580248150704527</t>
  </si>
  <si>
    <t>Büyükçekmece Ahlat Deresi ıslahı</t>
  </si>
  <si>
    <t>Büyükçekmece İlçesi Karaağaç Mh. Ahlat Deresi 4.300 m dere ıslahı</t>
  </si>
  <si>
    <t>Büyükçekmece ilçesi Karaağaç mahallesinde su baskınlarını önlemek ve Büyükçekmece gölüne atık su girişini önlemek amacıyla Ahlat Dere ıslahı yapılmaktadır.</t>
  </si>
  <si>
    <t>41.018895, 28.590463</t>
  </si>
  <si>
    <t>Büyükçekmece-Kıraç Depo Arası İçme suyu Tünel İnşaatı (Varyant Tüneli)</t>
  </si>
  <si>
    <t>2900 mm çaplı, 2,5 km Varyant Tüneli inşa edilecektir.</t>
  </si>
  <si>
    <t>Avrupa Bölgesi İçme suyu Tünel İnşaatı 1 İşi Kapsamında Yapılacaktır.</t>
  </si>
  <si>
    <t>41.0494820, 28.6279802</t>
  </si>
  <si>
    <t>Dağyenice Mahalle mezarlığı içindeki araç yolu yapım işi (116 ada, 4 parselde)</t>
  </si>
  <si>
    <t>Çatalca</t>
  </si>
  <si>
    <t>41.271412, 28.484123</t>
  </si>
  <si>
    <t>Çatalca Ormanlı Mahallesi Mezarlığı Onarım ve Tadilatı</t>
  </si>
  <si>
    <t>41.392427, 28.455285</t>
  </si>
  <si>
    <t>Çatalca Başak Mahallesi Mezarlığı Onarım ve Tadilatı</t>
  </si>
  <si>
    <t>41.332965, 28.447098</t>
  </si>
  <si>
    <t>Çatalca İlçesi Altyapı Yatırımları</t>
  </si>
  <si>
    <t>30 km atık su şebeke ve kolektör kanalı,
17 km yağmur suyu kanalı</t>
  </si>
  <si>
    <t>İlçe genelinde; 18.602 m atık su hattı, 4.795 m yağmur suyu hattı imalatı tamamlanmış olup çalışmalar devam etmektedir.</t>
  </si>
  <si>
    <t>41.1467443, 28.4564150</t>
  </si>
  <si>
    <t>Kestanelik Mahallesi Karacaköy Caddesi, Binkılıç Atatürk ve Fatih Mahalleleri Gazi Mustafa Kemal ve Dırgaz Caddesi, Gökçeali Mahallesi Gökçeali Caddesi Karamandere, Kızılcaali, Nakkaş Celepköy, Kalfaköy</t>
  </si>
  <si>
    <t>İlçe genelinde; 18.602 m atık su hattı, 4.795 m yağmur suyu hattı imalatı tamamlanmış olup çalışmalar devam etmektedir.ır.</t>
  </si>
  <si>
    <t>41.234272, 28.492358</t>
  </si>
  <si>
    <t>3 adet modern atıksu biriktirme yapısı,</t>
  </si>
  <si>
    <t>1 adet arıtma tesisi,
2 adet sızdırmaz foseptik yapısı</t>
  </si>
  <si>
    <t>Nakkaş, Kızılcaali ve Celepköy Mahalleleri Foseptik Yapıları, yer tahsis ve tescil işlemlerinin tamamlanmasının akabinde inşaalarına başlanacaktır.</t>
  </si>
  <si>
    <t>41.3561184, 28.5212154</t>
  </si>
  <si>
    <t>Taşdelen Mahallesi Çocuk Etkinlik Merkezi İnşaatı</t>
  </si>
  <si>
    <t>Çekmeköy</t>
  </si>
  <si>
    <t>41.02521510, 29.22281988</t>
  </si>
  <si>
    <t>fbd9b889-6c71-ee11-b8e1-005056b0106f</t>
  </si>
  <si>
    <t>İstanbul Geneli Eğitim Yapıları Yapım,Onarım ve Tadilat 8_Grup İnşaatı</t>
  </si>
  <si>
    <t>Taşdelen Mahallesi Şile Yolu Yenidoğan Kavşağı İnşaatı</t>
  </si>
  <si>
    <t>41.032262, 29.232110</t>
  </si>
  <si>
    <t>fecdd655-32e3-ec11-b8a6-005056b0106f</t>
  </si>
  <si>
    <t>Çekmeköy, Taşdelen Mahallesi, Şile Yolu, Yenidoğan Kavşağı Yol Kavşak Revize Uygulama Projesi</t>
  </si>
  <si>
    <t>Yol Yapımı</t>
  </si>
  <si>
    <t>Reşadiye Atık Su Tüneli</t>
  </si>
  <si>
    <t>2200 mm İç Çapında 1240 Metre Uzunluğunda Planlanmaktadır.</t>
  </si>
  <si>
    <t>41.10089720184469, 29.27990910995925</t>
  </si>
  <si>
    <t>Çekmeköy İlçesi Altyapı Yatırımları</t>
  </si>
  <si>
    <t>18,4 km Atık Su Şebeke Ve Kolektör Kanalı</t>
  </si>
  <si>
    <t>41.0333161705333, 29.16862760386689</t>
  </si>
  <si>
    <t>Cumhuriyet İçmesuyu Arıtma Tesisi 2. Kademe</t>
  </si>
  <si>
    <t>Mevcut Tesise İlave 360.000 m3/Gün Kapasiteli 2. Kademe Tesis İnşaatı.</t>
  </si>
  <si>
    <t>Asya Bölgesi Arıtma Tesisi İnşaatı (1) İşi Kapsamında Çalışmalar Devam Etmektedir.</t>
  </si>
  <si>
    <t>41.13297118244014, 29.271747154079033</t>
  </si>
  <si>
    <t>Çekmeköy-Sancaktepe-Sultanbeyli Metrosu ile Sarıgazi (Hastane)-Taşdelen-Yenidoğan Metrosu İnşaat Ve Elektromekanik Sistemler Temin, Montaj Ve İşletmeye Alma İşleri</t>
  </si>
  <si>
    <t>Çekmeköy-Sancaktepe-Sultanbeyli Metro Hattı 2. Etabı 4,4 km uzunluğunda 3 istasyondan oluşan Samandıra Merkez- Sultabeyli arası</t>
  </si>
  <si>
    <t>Çoklu İlçe; Çekmeköy; Sancaktepe; Sultanbeyli----(Çekmeköy-Sancaktepe-Sultanbeyli Metrosu ile Sarıgazi (Hastane)-Taşdelen-Yenidoğan Metrosu İnşaat Ve Elektromekanik Sistemler Temin, Montaj Ve İşletmeye Alma İşleri ihale bedelidir.)</t>
  </si>
  <si>
    <t>(Çekmeköy-Sancaktepe-Sultanbeyli Metrosu ile Sarıgazi (Hastane)-Taşdelen-Yenidoğan Metrosu İnşaat Ve Elektromekanik Sistemler Temin, Montaj Ve İşletmeye Alma İşleri ihale bedelidir.)</t>
  </si>
  <si>
    <t>41.0141712, 29.1904518</t>
  </si>
  <si>
    <t>Tekstilkent İstasyonu Zeminaltı Otoparkı Eksik Kalan İnşaat, Elektrik ve Mekanik Tamamlanması</t>
  </si>
  <si>
    <t>Esenler</t>
  </si>
  <si>
    <t>41.07021656482461, 28.866105699339016</t>
  </si>
  <si>
    <t>15 Temmuz Mahallesi İpek Yolu Caddesi YÜG Yeni Yapım</t>
  </si>
  <si>
    <t>Yeniden Yapım Prekast Üst Geçit</t>
  </si>
  <si>
    <t>41.0595184, 28.8723444</t>
  </si>
  <si>
    <t>08f9d11f-cf52-ee11-b8e0-005056b0106f</t>
  </si>
  <si>
    <t>Esenler İlçesi, 15 Temmuz Mahallesi, İpekyolu Caddesi Yaya Üst Geçidi Projesi</t>
  </si>
  <si>
    <t>Birlik Mahallesi Çocuk Etkinlik Merkezi İnşaatı</t>
  </si>
  <si>
    <t>Peyzaj Elektrik ve Mekanik imalatları devam etmektedir.​</t>
  </si>
  <si>
    <t>41.050652, 28.871452</t>
  </si>
  <si>
    <t>a8c14411-e1d2-ed11-b8d4-005056b0106f</t>
  </si>
  <si>
    <t>İstanbul Geneli Eğitim Yapıları Yapım, Onarım ve Tadilat 3_Grup İnşaatı</t>
  </si>
  <si>
    <t>Atışalanı Sosyal Merkez İnşaatı</t>
  </si>
  <si>
    <t>Proje Alanı 3.245 m² İnşaat Alanı &amp;#58; 11.165 m² Yapı İnşaat Alanı 8.420 m²Yapısal Peyzaj Alanı 2.745 m² Yeşil Alan 500 m² A Blok 3 bodrum kat, zemin kat, 2 normal kat B Blok  2 bodrum kat, zemin kat, 3 normal kat Sosyal Tesis İnşaatı kütüphane Kent Lokantası Muhtarlık Kreş Kısa mola merkezi Beltur Kafe Ticari birimler</t>
  </si>
  <si>
    <t>41.05801265271834, 28.86966877159861</t>
  </si>
  <si>
    <t>25ebe970-a704-ec11-b87e-005056b0336f</t>
  </si>
  <si>
    <t>Esenler İlçesi Havaalanı Mahallesi Sosyal Merkez Projesi</t>
  </si>
  <si>
    <t>Sosyal Merkez</t>
  </si>
  <si>
    <t>Esenler İlçesi Altyapı Yatırımları</t>
  </si>
  <si>
    <t>7,1 km atıksu şebeke ve kolektör kanalı</t>
  </si>
  <si>
    <t>41.067910, 28.869459</t>
  </si>
  <si>
    <t>İnönü Caddesi</t>
  </si>
  <si>
    <t>41.039145, 28.877367</t>
  </si>
  <si>
    <t>İstiklal Mah. Çakmak Deresi Yanı 1108 ADA 1-2-3-4 Nolu Parseller Toprak Kaymasını Önleme İnşaatı</t>
  </si>
  <si>
    <t>23.643 m2​ lik alanda meydana gelen zemin hareketlerinin önlenmesi için şev stabilitesinin sağlanması​</t>
  </si>
  <si>
    <t>Esenyurt</t>
  </si>
  <si>
    <t>41.05116186, 28.65014932</t>
  </si>
  <si>
    <t>ec21eff6-6e2f-ed11-b8ae-005056b0106f</t>
  </si>
  <si>
    <t>Esenyurt İlçesi Çakmak Deresi Yanı 1108 Ada, 1-2-3-4 nolu parsellerde Toprak Kaymasını Önleme Uygulama Projesi</t>
  </si>
  <si>
    <t>İTFAİYE DAİRESİ BAŞKANLIĞI</t>
  </si>
  <si>
    <t>Avrupa Yakası İtfaiye Şube Müdürlüğü</t>
  </si>
  <si>
    <t>Afet ve Acil Duruma Yönelik Bina/İstasyon Yapım ve Bakım-Onarımı</t>
  </si>
  <si>
    <t>Esenyurt İtfaiye Ek İdari Hizmet Binası</t>
  </si>
  <si>
    <t>İtfaiye İstasyonu Ek İdari Hizmet Binası, Tamamlanma Yüzdesi,%100</t>
  </si>
  <si>
    <t>"Esenyurt İtfaiye Ek İdari Hizmet Binası" tamamlanmış olup hizmete alınmıştır. Esenyurt İtfaiye İstasyonu, mevcut bina yenileme çalışması yürütülecektir.</t>
  </si>
  <si>
    <t>41.037472, 28.669458</t>
  </si>
  <si>
    <t>İtfaiye Tesisleri</t>
  </si>
  <si>
    <t>Esenyurt Hacı Bektaş Veli Kavşağı Meydanı Düzenleme İnşaatı</t>
  </si>
  <si>
    <t>41.041603, 28.683874</t>
  </si>
  <si>
    <t>c9bf25c9-6cab-ed11-b8ce-005056b0106f</t>
  </si>
  <si>
    <t>Avcılar Marmara Caddesi Bağlantı Yolları ile Esenler Meydanı ve Güngören Meydanı Düzenleme İnşaatı</t>
  </si>
  <si>
    <t>PARK VE BAHÇELER DAİRESİ BAŞKANLIĞI</t>
  </si>
  <si>
    <t>Yeşil Alan Ve Tesisler Yapım Şube Müdürlüğü</t>
  </si>
  <si>
    <t>Esenyurt Haramidere Yaşam Vadisi 1 Etap</t>
  </si>
  <si>
    <t>Toplam Alan 44.500 M²Yeşil Alan 30.220 M²Sert Zemin 14.280 M²Bisiklet Yolu 1.550 Myürüyüş Yolu 2.105 M Çocuk Oyun Alanı  5 Adetfitness Alanı 2 Adetmasa Tenisi 2 Adet​</t>
  </si>
  <si>
    <t>- Demir korkuluk montajı devam etmektedir.
- Elektrik direkleri için kablo çekilmesi ve direklerin montajı devam etmektedir.
- Sulama tesisatı devam etmektedir.
- Bitkisel toprak serimi ve bitki dikimi  devam etmektedir.
- Şantiye güzergahında hatıl kalıbı imalatı devam etmektedir.</t>
  </si>
  <si>
    <t>41.034934, 28.679416</t>
  </si>
  <si>
    <t>d2658a42-859d-ee11-b8e3-005056b0106f</t>
  </si>
  <si>
    <t>Esenyurt Haramidere ıslahı 900 metre</t>
  </si>
  <si>
    <t>Esenyurt haramiderede 900 m dere ıslahı  dere yapılacaktır.</t>
  </si>
  <si>
    <t>Su baskınlarının önüne geçmek amacıyla haramidere  dere ıslah çalışmaları yapılmakta olup imalatlar devam etmektedir.</t>
  </si>
  <si>
    <t>41.006341, 28.673203</t>
  </si>
  <si>
    <t>Yunus Emre Mahallesi Mandıra Caddesi</t>
  </si>
  <si>
    <t>Atıksu, yağmursuyu ve  kanal imalatları</t>
  </si>
  <si>
    <t>Çalışmalar devam etmekte olup toplamda 1.265 mt atıksu şebeke ve kolektör hattı, 545 mt yağmursuyu şebeke ve kolektör kanalı yapılacaktır.</t>
  </si>
  <si>
    <t>41.027920, 28.693338</t>
  </si>
  <si>
    <t>Cadde (Bulvar) Düzenleme</t>
  </si>
  <si>
    <t>Halil Akkanat Lisesi Kapalı Spor Salonu İnşaatı</t>
  </si>
  <si>
    <t>Proje Alanı: 794 m2
Ana salon: 516 m2
Tribün:80 kişilik
Soyunma-idari bölüm: 2 adet soyunma odası, eğitmen odası, salon görevli odası, temizlik odaları, teknik hacimler​.</t>
  </si>
  <si>
    <t>41.062975, 28.672395</t>
  </si>
  <si>
    <t>Esenyurt İlçesi Altyapı Yatırımları</t>
  </si>
  <si>
    <t>40 km atıksu şebeke ve kolektör kanalı</t>
  </si>
  <si>
    <t>4.093m atık su şebeke ve kolektör hattı, 2.529m yağmur suyu şebeke ve kolektör kanalı yapılmıştır.</t>
  </si>
  <si>
    <t>41.04120995629948, 28.694874798844253</t>
  </si>
  <si>
    <t>Adile Naşit Bulvarı Altında Katlı Otopark İnşaatı için Eksik Kalan İnşaat, Elektrik ve Mekanik İmalatların Tamamlanması</t>
  </si>
  <si>
    <t>41.02548885542098, 28.67685440084379</t>
  </si>
  <si>
    <t>Kemerburgaz Sahipsiz Hayvan Geçici Bakımevi Eğitim Salonu Çatı Onarım İnşaatı</t>
  </si>
  <si>
    <t>Eyüpsultan</t>
  </si>
  <si>
    <t>41.13757383665602, 28.939014267084822</t>
  </si>
  <si>
    <t>Hayvan Barınağı</t>
  </si>
  <si>
    <t>Eyüpsultan Akşemsettin Mahallesi Çocuk Etkinlik Merkezi İnşaatı</t>
  </si>
  <si>
    <t>41.08524871303868, 28.925871537732956</t>
  </si>
  <si>
    <t>Yeşilpınar Mahallesi Pamuk Sokak ile Alperen Caddesi Arası Geometrik Düzenleme Projesi</t>
  </si>
  <si>
    <t>1000 m2 plak taş​</t>
  </si>
  <si>
    <t>Çalışma tamamlanmıştır.</t>
  </si>
  <si>
    <t>41.0820197904295, 28.91858868242237</t>
  </si>
  <si>
    <t>Edirnekapı Kapalı Garaj Alanının Yapılması</t>
  </si>
  <si>
    <t>Bakım onarım hangarı ve ofislerin yapılması</t>
  </si>
  <si>
    <t>Garaj Hangarlarının Uzatılması ve Tadilatı” işi kapsamında başlanılmış olup
15.10.2025 tarihinde bitirilmiştir.
Edirnekapı Garajında 13 araçlık bakım hangarı ve ofisler tamamlanarak teslim edilmiştir.</t>
  </si>
  <si>
    <t>41.03547928458474, 28.92850864974568</t>
  </si>
  <si>
    <t>Akşemsettin İstasyonu Zeminaltı Otoparkı Eksik Kalan İnşaat, Elektrik ve Mekanik Tamamlanması</t>
  </si>
  <si>
    <t>41.08517551848708, 28.925933395916864</t>
  </si>
  <si>
    <t>Eyüpsultan Alibeyköy Mahallesi Çocuk Etkinlik Merkezi İnşaatı</t>
  </si>
  <si>
    <t>41.08020732102134, 28.93772501728845</t>
  </si>
  <si>
    <t>6b182cf5-ac3b-eb11-b867-005056b0156e</t>
  </si>
  <si>
    <t>Eyüpsultan İlçesi Alibeyköy Mahallesi 578 Ada 2 Parsel Kreş Projesi</t>
  </si>
  <si>
    <t>Eyüpsultan İlçesi 1044 Ada 9 Parsel ANT Personel Hizmet Binası İşi</t>
  </si>
  <si>
    <t>41.19844101442055, 28.884365569930743</t>
  </si>
  <si>
    <t>Eyüp İlçesi, Eski Kemerburgaz Yolu (G1-3) Cendere Köprüsü İnşaatı (Röle Köprüsü)</t>
  </si>
  <si>
    <t>41.16284478759669, 28.923677427931263</t>
  </si>
  <si>
    <t>03bee663-183e-e811-8106-005056a5354a</t>
  </si>
  <si>
    <t>Eyüp,Eski Kemerburgaz Yolu Köprü Projesi (G1-3)</t>
  </si>
  <si>
    <t>Köprü ve Viyadük Yapımı</t>
  </si>
  <si>
    <t>Trafik Müdürlüğü Alibeyköy Hizmet Tesisi İnşaatı</t>
  </si>
  <si>
    <t>41.086549361411855, 28.944067595917037</t>
  </si>
  <si>
    <t>Gavuzoğlu Sosyal Yaşam Merkezi İnşaatı</t>
  </si>
  <si>
    <t>​Kütüphane 104 m2, Sığınak 135 m2, Soyunma Odası 4 adet, Rehber Hazırlanması 1 adet, Kafe 51,14 m2, Yatakhane 52 adet oda sayısı, WC-Tuvalet 48 adet, Yemek Salonu (Yemekhane), 2 adet, Yönetim Odası 3 adet, Teras - Açık Teras 7 adet, Rehber Hazırlanması​ 2 adet, Depo 6 adet, Teknik Alan 5 adet, Mescit 1 adet</t>
  </si>
  <si>
    <t>41.27100636, 28.87513561</t>
  </si>
  <si>
    <t>6d2622b5-426d-ec11-b89e-005056b0106f</t>
  </si>
  <si>
    <t>Eyüpsultan İlçesi Gavuzoğlu Sosyal Yaşam Merkezi Projesi</t>
  </si>
  <si>
    <t>Huzurevi</t>
  </si>
  <si>
    <t>Düğmeciler Mahallesi Düğmeciler Caddesi</t>
  </si>
  <si>
    <t>41.0467047570277, 28.924855195914645</t>
  </si>
  <si>
    <t>9 Adet Sundurma</t>
  </si>
  <si>
    <t>Deprem anında toplanma ve lojistik merkezi inşaatı.</t>
  </si>
  <si>
    <t>AVRUPA BÖLGESİ İSKİ HİZMET BİNALARI İNŞAATI (4) İŞİ KAPSAMINDA ÇALIŞMALAR DEVAM ETMEKTEDİR.</t>
  </si>
  <si>
    <t>41.04814902637845, 28.933861624749916</t>
  </si>
  <si>
    <t>Muhtelif Tarihi Su Sistemlerinde Bakım Onarım İşi 1 (Eğri Kemer)</t>
  </si>
  <si>
    <t>Kemer 411 m uzunluğuna, ortalalama 20 m yüksekliğe sahiptir. 3 kat olarak inşa edilmiştir.</t>
  </si>
  <si>
    <t>Belirlenen İş Bitim tarihinde çalışmaların tamamlanması hedeflenmektedir.
Restorasyon çalışmalarına devam edilmektedir.​</t>
  </si>
  <si>
    <t>41.14835225993977, 28.921073697766996</t>
  </si>
  <si>
    <t>Tarihi Feshane Yapıları Restorasyonu Uygulama İşi</t>
  </si>
  <si>
    <t>​Müze Restorasyonu</t>
  </si>
  <si>
    <t>1. Etap çalışmaları 22 Haziran 2023 tarihinde tamamlanıp açılışı yapılmıştır. 2. Etap kapsamında zemin çalışmaları tamamlanmış olup, çelik karkas çalışmaları devam etmektedir.</t>
  </si>
  <si>
    <t>41.04410000190846, 28.93736988320704</t>
  </si>
  <si>
    <t>39dd615f-2b1d-ec11-b881-005056b0336f</t>
  </si>
  <si>
    <t>Eyüp Feshane Tasavvuf Ve Osmanlı Kıyafetleri Müzesi İnşaatı</t>
  </si>
  <si>
    <t>Festival Alanları</t>
  </si>
  <si>
    <t>Eyüpsultan İlçesi Altyapı Yatırımları</t>
  </si>
  <si>
    <t>9,7 km atıksu şebeke ve kolektör kanalı</t>
  </si>
  <si>
    <t>Muhtelif Tarihi Su Sistemlerinde Bakım Onarım İşi 2 (Uzun Kemer)</t>
  </si>
  <si>
    <t>Kemer 736 metre uzunluğuna, ortalalama 26,5 metre yüksekliğe sahiptir. 2 kat olarak inşa edilmiş, alt katta 47, üst katta 50 adet kemer gözünden oluşmaktadır.</t>
  </si>
  <si>
    <t>Belirlenen İş Bitim tarihinde çalışmaların tamamlanması hedeflenmektedir.
Uzun Kemer Restorasyon Çalışmalarına Devam Edilmektedir.</t>
  </si>
  <si>
    <t>41.18361109423664, 28.90269365369947</t>
  </si>
  <si>
    <t>Eyüp Kaptan Paşa Camii ve Çevresi Çevre Düzenleme Projesi</t>
  </si>
  <si>
    <t>​Dini Tesis Alanı.</t>
  </si>
  <si>
    <t>Konu bizimle irtibalı değildir. Park ve Bahçeler Daire Başkanlığı tarafından takip edilebilir.</t>
  </si>
  <si>
    <t>Daha önce girilmiş olan 80.000.000 TL Maliyet Durumu İptale alındığı için silinmiştir.</t>
  </si>
  <si>
    <t>İptal</t>
  </si>
  <si>
    <t xml:space="preserve"> 41.047194398065415, 28.93668816001367 </t>
  </si>
  <si>
    <t>ed4f0132-42b7-e811-8110-005056a5354a</t>
  </si>
  <si>
    <t>Abdülezelpaşa Caddesi ve Ayvansaray Caddesi Prestij Cadde Çalışması</t>
  </si>
  <si>
    <t>Fatih</t>
  </si>
  <si>
    <t>41.0270978357462, 28.957578038242975</t>
  </si>
  <si>
    <t>Eminönü Meydanı ve Unkapanı Arası Çevre Düzenlemesi 2. Etap İnşaatı</t>
  </si>
  <si>
    <t>- büfeler- infobox binaları- İETT peron amirliği yapısı- seyir basamakları ve seyir alanları - 8250 m2 peron düzenleme- bisiklet yolu-123,860 m2 sahil ve çevre düzenlemesi, araç yolu zem​ini yenileme</t>
  </si>
  <si>
    <t>41.0173790, 28.9703960</t>
  </si>
  <si>
    <t>75339f05-3caa-ee11-b8e3-005056b0106f</t>
  </si>
  <si>
    <t>Eminönü Meydanı ve Unkapanı Köprüsü Arası Çevre Düzenlemesi 2_Etap İnşaatı</t>
  </si>
  <si>
    <t>Yol Bakım Edirnekapı Hizmet Binasının Güçlendirilmesi</t>
  </si>
  <si>
    <t>41.02895544987036, 28.932071397759916</t>
  </si>
  <si>
    <t>8f6ea02c-e9f3-ed11-b8d6-005056b0106f</t>
  </si>
  <si>
    <t>İstanbul Avrupa Yakası Kamu Binaları Bakım,Onarım,Tadilat ve Ek Hizmet Yapıları XIII Grup İnşaatı</t>
  </si>
  <si>
    <t>Trafik Müdürlüğü Edirnekapı Hizmet Tesisi İnşaatı</t>
  </si>
  <si>
    <t>41.0301405797637, 28.92828640940807</t>
  </si>
  <si>
    <t>Ordu Caddesi ve Yakın Çevresi Düzenleme İnşaatı (Ara Sokaklar)</t>
  </si>
  <si>
    <t>41.00965079896229, 28.958301309406803</t>
  </si>
  <si>
    <t>532b5c91-2d41-eb11-b867-005056b0156e</t>
  </si>
  <si>
    <t>Fatih İlçesi Gedikpaşa Katlı Otopark Projesi</t>
  </si>
  <si>
    <t>Fatih İlçesi Ahi Çelebi Sıbyan Mektebi Restorasyon İnşaatı</t>
  </si>
  <si>
    <t>Yapının Önüne set şeklinde fore kazık sistemi uygulanacak olup, bununla birlikte haliç suyunun mektepe geçişi engellenmiş olacaktır. Yapının döşeme sistemi volta döşemedir. Yapının düşey taşıyıcı sistemi yığmadır. Orjinalinde yapı mektep olarak kullanılmış olup, Restorasyon sonrası Kütüphane olarak kullanılacaktır.</t>
  </si>
  <si>
    <t>41.01937612022473, 28.9683122554298</t>
  </si>
  <si>
    <t>2785e164-5e2a-e711-80ef-005056a5354a</t>
  </si>
  <si>
    <t>Ahi Çelebi Sıbyan Mektebi Rölöve, Restitüsyon, Restorasyon Projesi</t>
  </si>
  <si>
    <t>Mektep Restorasyonu</t>
  </si>
  <si>
    <t>Yenikapı Şehir Hatları Hizmet Binası Bakım Onarımı</t>
  </si>
  <si>
    <t>​İmalatlar için hazırlık yapılıyor</t>
  </si>
  <si>
    <t>Beklemede/Durduruldu</t>
  </si>
  <si>
    <t>41.0189676, 28.9654872</t>
  </si>
  <si>
    <t>Gedikpaşa Katlı Otoparkı İnşaatı</t>
  </si>
  <si>
    <t>233 araçlık katlı otopark projesi​ ile Ordu Caddesi ve Yakın Çevresi Düzenleme İnşaatı</t>
  </si>
  <si>
    <t>41.007480407509384, 28.963313595912325</t>
  </si>
  <si>
    <t>Anemas Zindanları Restorasyonu Uygulama İşi</t>
  </si>
  <si>
    <t>​Müze</t>
  </si>
  <si>
    <t>Restorasyon süreci devam etmektedir.</t>
  </si>
  <si>
    <t>41.03844257, 28.94091629</t>
  </si>
  <si>
    <t>b0d37fe4-8c9e-eb11-b876-005056b0336f</t>
  </si>
  <si>
    <t>Anemas Zindanları İç Mimarlık Projelerinin Hazırlanması</t>
  </si>
  <si>
    <t>Teşhir ve Tanzim</t>
  </si>
  <si>
    <t>Helva-i Tekkesi Uygulama İşi</t>
  </si>
  <si>
    <t>Açılışı yapılmıştır.</t>
  </si>
  <si>
    <t xml:space="preserve"> 41.01295745598483, 28.96114636422722 </t>
  </si>
  <si>
    <t>80b63dca-011c-ef11-b8ea-005056b0106f</t>
  </si>
  <si>
    <t>İstanbul Fatih, Helvai Tekkesi Restorasyon Projesi Revizyonunun Yapılarak Rekonstrüksiyon Projesinin Hazırlanması İşi</t>
  </si>
  <si>
    <t>Tekke Restorasyonu</t>
  </si>
  <si>
    <t>Eminönü Meydanı ve Unkapanı Arası Çevre Düzenleme İnşaatı</t>
  </si>
  <si>
    <t>aynı iş. Bu işin altında ayrıca Ordu caddesi imalatları da yapılmaktadır.</t>
  </si>
  <si>
    <t>41.0174823, 28.9701459</t>
  </si>
  <si>
    <t>5eb1e372-94d2-ec11-b8a5-005056b0106f</t>
  </si>
  <si>
    <t>Samatya Yağmursuyu Tüneli;</t>
  </si>
  <si>
    <t>2.338 m olup, 2.238 m tamamlanmıştır.</t>
  </si>
  <si>
    <t>Samatya Yağmursuyu Tüneli imalatı devam etmektedir.</t>
  </si>
  <si>
    <t>41.00118418309951, 28.930944827313994</t>
  </si>
  <si>
    <t>Reşat Nuri Sahnesi Restorasyonu Uygulama İşi</t>
  </si>
  <si>
    <t>Zemin güçlendirme imalatları tamamlandı, yapının temel ve çelik karkas imalatları tamamlandı. Teşhir tanzim, elektirk-mekanik ve sahne sistemleri için 2. etap ihalesi yapılacaktır. 2. etap ihalesi sonuçlanmasıyla birlikte 12 ay içerisinde tamamlanması planlanmaktadır.</t>
  </si>
  <si>
    <t>41.01623532475585, 28.956079417077614</t>
  </si>
  <si>
    <t>df56c7c3-b3c3-48a4-b08f-c5c381a8ee72</t>
  </si>
  <si>
    <t>Fatih Reşat Nuri Tiyatrosu Projesi</t>
  </si>
  <si>
    <t>Yenikapı Theodosius Limanı Uygulama İşi</t>
  </si>
  <si>
    <t>2. etap ihalesi için ödenek talebi yapılmış olup, ödenek talebinin onayı beklenmektedir. 12 ay içerisinde tamamlanması planlanmaktadır.</t>
  </si>
  <si>
    <t xml:space="preserve"> 41.006022329717375, 28.952347381079512 </t>
  </si>
  <si>
    <t>cb56b763-13d7-ea11-b857-005056b0156e</t>
  </si>
  <si>
    <t>Theodosius Limanı Mimari Proje Yarışması</t>
  </si>
  <si>
    <t>Yedikule Gazhanesi Restorasyonu Uygulama İşi</t>
  </si>
  <si>
    <t>3. etap ihalesi için ödenek talebi yapılmış olup, ödenek talebinin onayı beklenmektedir. 13 ay içerisinde tamamlanması planlanmaktadır.</t>
  </si>
  <si>
    <t>40.99024333, 28.92282877</t>
  </si>
  <si>
    <t>42dc5b7a-2c1d-ec11-b881-005056b0336f</t>
  </si>
  <si>
    <t>Yedikule Gazhane Yapıları Restorasyonu Ve Çevre Düzenlemesi İle Mermerkule Ve Cer Atölyeleri Arası Marmara Surları Basit Bakım Onarım İşi</t>
  </si>
  <si>
    <t>Gazhane Restorasyonu</t>
  </si>
  <si>
    <t>Bukoleon Sarayı Restorasyonu Uygulama İşi</t>
  </si>
  <si>
    <t>Restorasyon ve kazı çalışmaları tamamlanmıştır. Ahşap ve polikarbon malzemeden çatı örtüşü imalatları tamamlanmış olup, 3. etap için ödenek talebi yapılacaktır. 3. etap kapsamında müze teşhir tanzim, elektrik-mekanik işleri ve komşıu parselde bulunan kamulaştırması yapılan 6 adet sivil mimarlık örneği yapının restorayonu yapılacaktır.</t>
  </si>
  <si>
    <t>41.00253630842243, 28.97553106707677</t>
  </si>
  <si>
    <t>515291d4-3618-ef11-b8ea-005056b0106f</t>
  </si>
  <si>
    <t>Bukoleon Sarayı Müzesi ve Arkeolojik Alan Üst Örtü Tasarımı ile Çevre Düzenlemesi Mimari, Mühendislik ve Peyzaj Projesi İşi</t>
  </si>
  <si>
    <t>Saray Restorasyonu</t>
  </si>
  <si>
    <t>Fatih İlçesi Altyapı Yatırımları</t>
  </si>
  <si>
    <t>18.418 m atık su
32.602 m yağmur suyu</t>
  </si>
  <si>
    <t>8.414 m atık su ve 6.404 m yağmursuyu tamamlandı.</t>
  </si>
  <si>
    <t>41.016207, 28.940414</t>
  </si>
  <si>
    <t>Haliç  Caddesi, Başvekil Caddesi, Vezir Caddesi, Akdeniz Caddesi, Akşemsettin Caddesi, Org. Nafız Gürman Caddesi</t>
  </si>
  <si>
    <t>6.500 m atık su
5.000 m yağmur suyu</t>
  </si>
  <si>
    <t>1.800 m atık su ve 1.300 m yağmursuyu tamamlandı.</t>
  </si>
  <si>
    <t>41.002363, 28.937913</t>
  </si>
  <si>
    <t>Yenikapı İleri biyolojik Atıksu Arıtma Tesisi İnşaatı</t>
  </si>
  <si>
    <t>600 bin m3/gün kapasiteli Biyolojik Atıksu Arıtma Tesisi İnşaatı</t>
  </si>
  <si>
    <t>İleri Biyolojik Atık Su Arıtma Tesisi</t>
  </si>
  <si>
    <t>41.003027907214495, 28.949916724747197</t>
  </si>
  <si>
    <t>Aksaray Sanat Meydanı ve Zeminaltı Otopark İnşaatı</t>
  </si>
  <si>
    <t>3461 m² Otopark- 108 araçlık otopark + 36 motosiklet, Ofis Alanları Toplam 656,32 m², İspark için ayrılan 96,00 m², Zemin Kat Platformu (açık) 1.090 m², Zemin Kat Geçici Sergi (kapalı) 471,32 m², 1.kat platformu (açık) 204,20 m², ​1.kat sabit sergi (kapalı) 303,10m²​</t>
  </si>
  <si>
    <t>Anıtlar kurulundan gelecek olan karar göre tarih verilecektir</t>
  </si>
  <si>
    <t>41.00876341, 28.95099814</t>
  </si>
  <si>
    <t>c8d69d16-ab3b-eb11-b867-005056b0156e</t>
  </si>
  <si>
    <t>Fatih İlçesi Aksaray Sanat Meydanı ve Zeminaltı Otopark Uygulama Projesi</t>
  </si>
  <si>
    <t>Yaşam Merkezi Güvenlik tedbiri alınması</t>
  </si>
  <si>
    <t>Gaziosmanpaşa</t>
  </si>
  <si>
    <t>41.06738277905755, 28.908475588424867</t>
  </si>
  <si>
    <t>Yenimahalle İstasyonu Zeminaltı Otoparkı Eksik Kalan İnşaat, Elektrik ve Mekanik Tamamlanması</t>
  </si>
  <si>
    <t>41.09035718118673, 28.893712470469758</t>
  </si>
  <si>
    <t>Gaziosmanpaşa Karadeniz Mahallesi Çocuk Etkinlik Merkezi İnşaatı</t>
  </si>
  <si>
    <t>41.079942382690845, 28.878105281493113</t>
  </si>
  <si>
    <t>1f064946-2a5a-ea11-b84c-005056b0156e</t>
  </si>
  <si>
    <t>Gaziosmanpaşa Karadeniz Mah 17224 ve 15076 Parseller Kreş Projesi</t>
  </si>
  <si>
    <t>DEPREM RİSK YÖNETİMİ VE KENTSEL İYİLEŞTİRME DAİRESİ BAŞKANLIĞI</t>
  </si>
  <si>
    <t>Kentsel Dönüşüm Planlama Şube Müdürlüğü</t>
  </si>
  <si>
    <t>Sarıgöl Merkez Mahallesi 2. Bölge (We Haliç)</t>
  </si>
  <si>
    <t>​687 Konut Yapım Başlama Tarihi Olarak Temel Atma Tarihleri Kullanılmıştır.​​</t>
  </si>
  <si>
    <t>20.02.2025 tarihli ek protokol doğrultusunda mali yardım devam etmektedir. Yapım işi devam eden projenin 2025 sonunda tamamlanması öngörülmektedir. Proje ilerleme oranı %60 dir</t>
  </si>
  <si>
    <t>41.05479764611066, 28.918570749185697</t>
  </si>
  <si>
    <t>Gaziosmanpaşa İlçesi Altyapı Yatırımları</t>
  </si>
  <si>
    <t>6,9 km atıksu şebeke ve kolektör kanalı​</t>
  </si>
  <si>
    <t>41.073005293147084, 28.9071088278215</t>
  </si>
  <si>
    <t>Güngören Mezarlığı Duvarı Onarım İnşaatı işi</t>
  </si>
  <si>
    <t>Güngören</t>
  </si>
  <si>
    <t>41.02800903954723, 28.870030584265365</t>
  </si>
  <si>
    <t>Güngören İlçesi Altyapı Yatırımları</t>
  </si>
  <si>
    <t xml:space="preserve">8,5 km atıksu şebeke ve kolektör kanalı 2,5 km yağmursuyu şebeke ve kollektör kanalı
</t>
  </si>
  <si>
    <t>41.01912386190844, 28.875709488764247</t>
  </si>
  <si>
    <t>Adıyaman Yaylakonak Köprü İnşaatı</t>
  </si>
  <si>
    <t>​4 açıklıklı 650m2 köprü​</t>
  </si>
  <si>
    <t>İstanbul Dışı</t>
  </si>
  <si>
    <t>37.824236, 38.081480</t>
  </si>
  <si>
    <t>39de721b-d1a6-ed11-b8cb-005056b0106f</t>
  </si>
  <si>
    <t>Adıyaman İli Yaylakonak Belediyesi Köprü Uygulama Projesi</t>
  </si>
  <si>
    <t>Bilecik Kurtuluş Savaşı ve İnönü Zaferleri Anı Evi ve Seyir Terası</t>
  </si>
  <si>
    <t>Kentsel Tasarım Müdürlüğü tarafından Aydınlatma ve Küratoryel projeleri çalışılmış ve uygulamacı birime iletilmiştir. Süreç içinde Üstyapı projeler ile koordinasyon sağlanmıştır.</t>
  </si>
  <si>
    <t>39.89551784481712, 30.047604111500757</t>
  </si>
  <si>
    <t>226156ec-9048-ed11-b8b6-005056b0106f</t>
  </si>
  <si>
    <t>İstanbul Avrupa Yakası Kamu Binaları Bakım, Onarım, Tadilat ve Ek Hizmet Yapıları XII Grup İnşaatı</t>
  </si>
  <si>
    <t>Sergi Salonu</t>
  </si>
  <si>
    <t>Hatay Samandağ Sahil Parkı</t>
  </si>
  <si>
    <t>​Toplam Alan 17.735 M²Yeşil Alan 8.685 M²Sert Zemin 9.050 M²Yürüyüş Yolu 1.220 Mçocuk Oyun Alanı 1 Adetfitness Alanı 1 Adetçatılı Piknik Masası 39 Adetspor Sahası 1 Adet (Basketbol Sahası)Kafeterya 1 Adet (145 M²)Güvenlik Kulübesi 1 Adetheykel 1 Adettören Alanı 1 Adet (787M²)​Otopark Araç Sayısı 58 Adet​</t>
  </si>
  <si>
    <t>36.084710, 35.977141</t>
  </si>
  <si>
    <t>1a8bd67e-a0df-ee11-b8e8-005056b0106f</t>
  </si>
  <si>
    <t>Hatay Samandağ Hz Hızır Türbesi Çevresi Peyzaj Projesi</t>
  </si>
  <si>
    <t>Elazığ Sürsürü Mahallesi Gazi Mesleki ve Teknik Anadolu Lisesi İnşaatı</t>
  </si>
  <si>
    <t>​24 Derslik, Meslek Lisesi Atölyeleri, Konferans Salonu, Spor Salonu</t>
  </si>
  <si>
    <t>A ve C Blok kaba imalatları tamamlandı, B Blokta kaba inşaat imalatları devam etmektedir. A ve C Blokta dış cephe, beton blok duvar&amp;#160;ve karo imalatları devam etmektedir. elektrik ve mekanik imalatlar devam etmektedir</t>
  </si>
  <si>
    <t>38.675026, 39.212594</t>
  </si>
  <si>
    <t>344b91d7-9590-ec11-b89f-005056b0106f</t>
  </si>
  <si>
    <t>Elazığ Merkez İlçesi Sürsürü Mahallesi Okul Binası Projesi</t>
  </si>
  <si>
    <t>Okul Yapıları</t>
  </si>
  <si>
    <t>Kültür Yapıları Yapım ve Bakım-Onarımı</t>
  </si>
  <si>
    <t>Çorum İli Mecitözü Belediyesi Kültür Merkezi İnşaatı</t>
  </si>
  <si>
    <t>​Çok amaçlı salon, misafirhane, kafeterya, 3 adet eğitim salonu</t>
  </si>
  <si>
    <t>40.520685, 35.295311</t>
  </si>
  <si>
    <t>a1ac3b4f-94c4-ed11-b8d1-005056b0106f</t>
  </si>
  <si>
    <t>Çorum İli Mecitözü Belediyesi Kültür Merkezi Projesi</t>
  </si>
  <si>
    <t>Yozgat İli Çayıralan İlçesi Belediye Konukevi ve Sosyal Tesis İnşaatı</t>
  </si>
  <si>
    <t>​24 Odalı Konuk Evi, 378 Kişilik Konferans Salonu</t>
  </si>
  <si>
    <t>39.392317, 35.721058</t>
  </si>
  <si>
    <t>9be796b0-1ace-ed11-b8d4-005056b0106f</t>
  </si>
  <si>
    <t>Yozgat İli Çayıralan İlçesi Belediye Konukevi ve Sosyal Tesis Uygulama Projesi</t>
  </si>
  <si>
    <t>ÇEVRE KORUMA VE KONTROL DAİRESİ BAŞKANLIĞI</t>
  </si>
  <si>
    <t>İklim Değişikliği Şube Müdürlüğü</t>
  </si>
  <si>
    <t>İklim Değişikliğine Uyum ve Mücadele Faaliyetleri</t>
  </si>
  <si>
    <t>İstanbul Sürdürülebilir Enerji ve İklim Eylem Planı (İstanbul SECAP)</t>
  </si>
  <si>
    <t>İstanbul için SECAP Hazırlanması ve İzlenmesi ( 1 Mart 2021- 28 Şubat 2025)​</t>
  </si>
  <si>
    <t>İstanbul Geneli</t>
  </si>
  <si>
    <t>İstanbul SECAP hazırlanarak 27 Kasım 2023 Tarih Ve 1362 Karar No ile Büyükşehir Belediye Meclisi tarafından onaylanmış, Türkçe ve İngilizce olarak https//cevre.ibb.istanbul/iklim-degisikligi-sube-mudurlugu/ web sitesinde yayınlanmıştır. Önümüzdeki süreçte izleme faaliyetleri devam edecektir.​​ İstanbul SECAP’ta izleme çalışmaları kapsamında "Monitoring Tool", yazılımsal olarak kullanıma hazır hâle getirilmiş olup eylemler sisteme girilmiştir.
Avrupa Birliği destekli proje olup bütçesi temsili değer girilmiştir.</t>
  </si>
  <si>
    <t>41.138406779002054, 28.97641159271773</t>
  </si>
  <si>
    <t>Teknolojik Atık Tesisleri</t>
  </si>
  <si>
    <t>Çevre Koruma Şube Müdürlüğü</t>
  </si>
  <si>
    <t>Gürültü Kirliliğinin Engellenmesi</t>
  </si>
  <si>
    <t>İstanbul Gürültü Eylem Planı (İSGEP)</t>
  </si>
  <si>
    <t>İstanbul Stratejik Gürültü Eylem Planı” çalışmaları devam etmekte olup akabinde Çevre, Şehircilik ve İklim Değişikliği Bakanlığı onayına sunulacaktır.​</t>
  </si>
  <si>
    <t>41.017287074650085, 28.940705209320786</t>
  </si>
  <si>
    <t>Gürültü Bariyerleri</t>
  </si>
  <si>
    <t>Yeşil Şehir Eylem Planı</t>
  </si>
  <si>
    <t>İstanbul için Yeşil Şehir Eylem Planı Hazırlanması</t>
  </si>
  <si>
    <t xml:space="preserve">Belediyemiz ve Avrupa İmar ve Kalkınma Bankası (EBRD) arasında imzalanan protokol doğrultusunda, EBRD teknik ve mali desteği ile hazırlanan ve 2023 yılı Mayıs ayında çalışmalarına başlanan İstanbul Yeşil Şehir Eylem Planı (İstanbul YŞEP) Aralık 2024’de tamamlanarak Büyükşehir Belediye Meclisi onayına sunulmuş ve 12 Şubat 2025 tarihli oturumda 157 sayılı Karar ile onaylanmıştır.
İstanbul YŞEP ile; şehirlerde çevresel kaliteyi ve dayanıklılığı artırmak için ulaşım, enerji, binalar, su ve atıksu, katı atık, arazi kullanımı ve diğer müdahale alanları sektörlerine ilişkin 2030 yılına kadar kısa vadede uygulanabilecek yatırıma açık 35 yatırım ve 17 politika eyleminden oluşan toplam 52 adet eylem belirlenmiştir.
Sonrasında izleme süreci devam edecektir. </t>
  </si>
  <si>
    <t>41.0173887, 28.9709204</t>
  </si>
  <si>
    <t>Bitkisel Üretimi ve Balıkçılığı Destekleme Faaliyetleri</t>
  </si>
  <si>
    <t>Salı Pazarında Muhtelif Bakım Onarım ve Yapım İnşaatı</t>
  </si>
  <si>
    <t>Kadıköy</t>
  </si>
  <si>
    <t>40.9975028, 29.0490391</t>
  </si>
  <si>
    <t>2ff9e0bb-cdb8-ed11-b8d1-005056b0106f</t>
  </si>
  <si>
    <t>İstanbul Anadolu Yakası Kamu Binaları Bakım, Onarım, Tadilat ve Ek Hizmet Yapıları IX Grup İnşaatı</t>
  </si>
  <si>
    <t>Semt Pazarı</t>
  </si>
  <si>
    <t>Kadıköy Kozyatağı Mahallesi Çocuk Etkinlik Merkezi İnşaatı</t>
  </si>
  <si>
    <t>40.96708306, 29.09788717</t>
  </si>
  <si>
    <t>22211604-0efc-ea11-b85c-005056b0156e</t>
  </si>
  <si>
    <t>Kadıköy Kozyatağı Mahallesi 3169 Ada 104 Parselde Kreş Projesi</t>
  </si>
  <si>
    <t>D-100  Göztepe Kavşağı Şair Arşi Cad. (Merdivenköy) YÜG EEUHG</t>
  </si>
  <si>
    <t>​2 adet engelli asansörü</t>
  </si>
  <si>
    <t>40.99125428, 29.07312700</t>
  </si>
  <si>
    <t>Sarıyer</t>
  </si>
  <si>
    <t>95809357-f945-e711-80f0-005056a5354a</t>
  </si>
  <si>
    <t>D100 Kadıköy Göztepe Kavşağı Şair Arşi Caddesi (Merdivenköy) Yaya Üst Geçidi</t>
  </si>
  <si>
    <t>Kadıköy Merdivenköy Mahallesi Çocuk Etkinlik Merkezi İnşaatı</t>
  </si>
  <si>
    <t>1 bodrum katı, 1 giriş katı, 2 normal kat ve çatı katı olmak üzere 5 kattan oluşmaktadır. Toplam inşaat alanı 1355,84 m2 `dir. Proje kapsamında 6 adet 40 m2 (20 Öğrenci kapasiteli) derslik bulunmakta olup; toplam öğrenci kapasitesi 120dir. Proje kapsamında 1 adet 42 m2 Yemekhane Atölye, 170 m2 teras (Açık Oyun Alanı) alanı ile teknik ve idari alanlar bulunmaktadır.</t>
  </si>
  <si>
    <t>40.98778004, 29.06654583</t>
  </si>
  <si>
    <t>70d61b6d-7c67-ea11-b84c-005056b0156e</t>
  </si>
  <si>
    <t>Kadıköy İlçesi Merdivenköy Mahallesi 3256 Ada 141 Parsel Kreş Projesi</t>
  </si>
  <si>
    <t>Bostancı Mahallesi D-100 YÜG EEUHG</t>
  </si>
  <si>
    <t>​Mevcut üst geçidin onarılması veya engelli erişimine uygun olarak yeniden yapılması.</t>
  </si>
  <si>
    <t>40.96390038, 29.10586372</t>
  </si>
  <si>
    <t>4c6634d0-743e-ea11-b849-005056b0156e</t>
  </si>
  <si>
    <t>Kadıköy İlçesi Bostancı Mahallesi D-100 Yaya Üst Geçidi Projesi</t>
  </si>
  <si>
    <t>D-100 Göztepe Kavşağı YÜG EEUHG</t>
  </si>
  <si>
    <t>40.9928045, 29.0717859</t>
  </si>
  <si>
    <t>59809357-f945-e711-80f0-005056a5354a</t>
  </si>
  <si>
    <t>D100 Kadıköy Göztepe Kavşağı Yaya Üst Geçidi</t>
  </si>
  <si>
    <t>Ferah Apartmanı</t>
  </si>
  <si>
    <t>​​20 Konut​+Ticaret​</t>
  </si>
  <si>
    <t>40.98791612545184, 29.074798982098358</t>
  </si>
  <si>
    <t>Dudullu-Bostancı Metro Hattı - Bostancı İstasyonu Otoparkı</t>
  </si>
  <si>
    <t>​854Araç + 252 Motosiklet Kapasiteli Otopark​​​</t>
  </si>
  <si>
    <t>Dudullu-Bostancı Metro Hattı bütçesi kapsamında yapılacaktır.</t>
  </si>
  <si>
    <t>40.9647647, 29.1045587</t>
  </si>
  <si>
    <t>Dudullu-Bostancı Metro Hattı - Kozyatağı İstasyonu Otoparkı</t>
  </si>
  <si>
    <t>985 Araç 133 Motosiklet Kapasiteli Kozyatağı Otoparkı.</t>
  </si>
  <si>
    <t>Dudullu-Bostancı Metro Hattı Bütçesi Kapsamında Yapılacaktır.</t>
  </si>
  <si>
    <t>40.9775059, 29.0999034</t>
  </si>
  <si>
    <t>Kadıköy Caferağa Yurt İnşaatı</t>
  </si>
  <si>
    <t>40.98899034, 29.02306670</t>
  </si>
  <si>
    <t>758258cb-d2e8-ed11-b8d6-005056b0106f</t>
  </si>
  <si>
    <t>İstanbul Anadolu Yakası Kamu Binaları Bakım, Onarım, Tadilat ve Ek Hizmet Yapıları X Grup İnşaatı</t>
  </si>
  <si>
    <t>Kamu Yurtları</t>
  </si>
  <si>
    <t>Uzunçayır Metrobüs Durağı ve Yakın Çevresi Düzenleme İnşaatı</t>
  </si>
  <si>
    <t>40.9974328, 29.0578660</t>
  </si>
  <si>
    <t>a7786dc4-8899-ee11-b8e3-005056b0106f</t>
  </si>
  <si>
    <t>Kadıköy Uzunçayır Kavşağı Yaya Sirkülasyon Düzenleme Projesi</t>
  </si>
  <si>
    <t>Kadıköy Yaş Alanlar Kulübü ve Konaklama Binası İnşaatı</t>
  </si>
  <si>
    <t>Muhtarlık (29,5 m2), Kuaför (14,8m2), okuma salonu(46,6m2), Seminer Salonu(66,7m2), Mutfak atölyesi(43,5m2), seramik atölyesi(45m2), Dans atölyesi(42,1m2), müzik atölyesi(23,7m2), personel odaları, yemekhane</t>
  </si>
  <si>
    <t>40.99479369, 29.03786430</t>
  </si>
  <si>
    <t>0e90765b-a804-ec11-b87e-005056b0336f</t>
  </si>
  <si>
    <t>Kadıköy İlçesi Hasanpaşa Mahallesi Sosyal Merkez Projesi (Yaş Alanlar Kulübü)</t>
  </si>
  <si>
    <t>Kadıköy Gülzar Apartmanı</t>
  </si>
  <si>
    <t>21 Konut</t>
  </si>
  <si>
    <t>40.9585827747, 29.097884693064156</t>
  </si>
  <si>
    <t>Kadıköy Nuhbey Apartmanı</t>
  </si>
  <si>
    <t>12 Konut+ Ticaret</t>
  </si>
  <si>
    <t>STG Belli Olmadığı İçin Bütçe Hesabı Yapılamamıştır.</t>
  </si>
  <si>
    <t>40.97035236571713, 29.06716221349262</t>
  </si>
  <si>
    <t>Gezgin Apartmanı Kentsel Dönüşüm Projesi</t>
  </si>
  <si>
    <t>40.970502436713616, 29.0854103254651</t>
  </si>
  <si>
    <t>Kadıköy Bahadır Apartmanı Kentsel Dönüşüm Projesi</t>
  </si>
  <si>
    <t>38 Konut + Ticaret</t>
  </si>
  <si>
    <t>40.97295309080284, 29.095049177910514</t>
  </si>
  <si>
    <t>Kadıköy İlçesi Altyapı Yatırımları</t>
  </si>
  <si>
    <t xml:space="preserve">15,4 Km Atık Su Şebeke Ve Kolektör Kanalı
</t>
  </si>
  <si>
    <t xml:space="preserve">Asya Bölgesi 11.Kısım Müteferrik Atık su ,Yağmur suyu Kanalı ve Dere Islahı İnşaatı İşi Kapsamında İmalatlar Devam Etmektedir.
</t>
  </si>
  <si>
    <t>40.9800045, 29.0618648</t>
  </si>
  <si>
    <t>Dinlenç Yağmur Suyu Tüneli</t>
  </si>
  <si>
    <t>4200 mm İç Çapında 1200 Metre Uzunluğunda Yağmursuyu Tüneli Planlanmaktadır</t>
  </si>
  <si>
    <t>Üsküdar işi kapsamında devam ediyor.</t>
  </si>
  <si>
    <t>41.0015562440679, 29.031044526593526</t>
  </si>
  <si>
    <t>Haldun Taner Sahnesi Restorasyonu Uygulama İşi</t>
  </si>
  <si>
    <t>Tiyatro Sahnesi</t>
  </si>
  <si>
    <t>2. Etap bütçe talebi onaya sunulmuştur. Onaylandıktan sonra 2026 Haziran ayında açılış yapılması planlanmaktadır.</t>
  </si>
  <si>
    <t>40.99187822, 29.02342563</t>
  </si>
  <si>
    <t>fb3c90fb-3287-e711-80f5-005056a5354a</t>
  </si>
  <si>
    <t>Haldun Taner Sahnesi Restorasyon ve Yeni Kullanım Projesi</t>
  </si>
  <si>
    <t>Kurbağalıdere Yaşam Vadisi 2 Etap 1 Kısım</t>
  </si>
  <si>
    <t>Yenisahra Spor Klübü Halı Saha Alanı ve İpek Parkı
Toplam alan		: 13.954 m²
Yeşil alan		: 3380 m²
Sert zemin		: 10.574 m²
Bisiklet yolu		: 182 mt
Yürüyüş yolu		: 474mt
Fitness alanı		: 1 adet
Çocuk oyun alanı	: 1 adet
Halı saha		: 1 adet
Basketbol sahası	: 1 adet
İdari bina		: 1 adet
Piknik Masası		: 4 adet
Şehit Jandarma Er Fatih Çaybaşı Parkı (Ataşehir Belediyesine Ait Mevcut Park Alanı)
Toplam alan		: 18.630 m²
Yeşil alan		: 11.386 m²
Sert zemin		: 7.244 m²
Bisiklet yolu		: 744 mt
Yürüyüş yolu		: 1620mt
Fitness alanı		: 4 adet
Çocuk oyun alanı 	: 2 adet
Süs havuzu		: 1 adet
Basketbol sahası	: 1 adet
Halı saha		: 1 adet
Pergola			: 6 adet
Bank			: 19 adet
İdari bina		: 1 adet
Güvenlik		: 1 adet
WC			: 1 adet
Kafe			: 1 adet</t>
  </si>
  <si>
    <t>1. Dere cephesi beton istinat perdesi kırılıp moloz gönderimi yapılmıştır.
2. Parsel sınırı perde beton yüzeylerde iç-dış, kaba-ince sıva işleri tamamlanmıştır.
3. Arena spor kulübünün binası yıkılıp moloz gönderimi yapılmıştır.
4. Futbol sahası etrafı eksik olan parapet için kazı yapılması, temel, parapet kalıp, demir, beton işleri tamamlandıktan sonra dolgu işleri tamamlanmıştır.
5. Eski tribünden kalan temel beton blokları kırılıp moloz gönderimi yapılmıştır.
6. Futbol sahası aydınlatma direğinin(yan yatmış olan) kırılıp moloz gönderimi yapılmış olup, yeni imalat yerine konulmuştur.
7. Futbol sahası etrafındaki direk-profil ve teller kaldırılıp, yeni imalat tamamlanmıştır.
8. Kale arkası parkın temizlenmesi, moloz gönderilmesi ve zemin düzeltme-dolgu işleri yapılmaktadır.
9. Parsel sınırı sac panelleri zımpara, temizlik,  antipas yapılması ve numune boya yapılması işi devam etmektedir.
10. Futbol sahası 3 adet eski yedek kulübesi temeli kırılıp moloz gönderimi yapılmıştır.
11. Sahaya giriş tagının önündeki beton perde de revize( kısmi kırımı- moloz gönderilmesi) yapılmıştır.
12. Spor tesisi binası(prefabrik) tamamlanmış olup ince işleri devam etmektedir.
13. Tribün imalatına başlanmıştır.</t>
  </si>
  <si>
    <t>protokolle yapılmaktadır.</t>
  </si>
  <si>
    <t>40.9890984, 29.0349787</t>
  </si>
  <si>
    <t>0f837f9f-613b-ee11-b8dd-005056b0106f</t>
  </si>
  <si>
    <t>Hamidiye Su Terazisinin Restorasyonu</t>
  </si>
  <si>
    <t>Su Terazisinin Restorasyon Uygulamasının Yapılması</t>
  </si>
  <si>
    <t>Kağıthane</t>
  </si>
  <si>
    <t>Hamidiye Su Tesislerine ait olan ve 11,71 m. yüksekliğe sahip 3,60 m. çapında bir su terazisidir.</t>
  </si>
  <si>
    <t>41.093599098788715, 29.004194595917422</t>
  </si>
  <si>
    <t>Su Terazisi Restorasyonu</t>
  </si>
  <si>
    <t>İstanbul Adalet Sarayı Yerleşkesine Özel Harekat Polis Noktası ve 112 Acil Servis İstasyonu Yapılması</t>
  </si>
  <si>
    <t>41.07106554737796, 28.97987103872757</t>
  </si>
  <si>
    <t>Güvenlik Binası</t>
  </si>
  <si>
    <t>Kağıthane Sultan Selim Mahallesi Hizmet Binası Güçlendirme İnşaatı</t>
  </si>
  <si>
    <t>İnşaat oturum alanı 1500 m2 olup, toplam inşaat alanı 9500 m2'dir. Bina 3 bodrum kat, 1 zemin kat ve 5 normal kattan oluşmaktadır. Mevcut bina 2005 yılında yapımı tamamlanarak Kağıthane Devlet Hastanesi olarak hizmete başlamış olup, 3 Mart 2023 tarihinde hizmete kapanmıştır.&amp;#160; Mevcut binanın 01/01/2019 tarihinde yürürlüğe giren “Türkiye Bina Deprem Yönetmeliği (TBDY-2018)&amp;quot; hükümlerine göre hazırlanmış güçlendirme projesine göre deprem karşı güçlendirilmesi yapılarak yeniden hizmete açılması için uygulama yapılacaktır.</t>
  </si>
  <si>
    <t>İş tasfiye edilecek. İnce imalatlar kaldı. Bu imalatlar yeni yapılacak olan sosyal yaşam merkezi ihalesinde tamamlanacaktır. Bu nedenle tamamlandıya çekildi.</t>
  </si>
  <si>
    <t>41.09224949, 29.00124394</t>
  </si>
  <si>
    <t>12671725-a757-ee11-b8e0-005056b0106f</t>
  </si>
  <si>
    <t>Kağıthane Devlet Hastanesi Güçlendirme Projesi</t>
  </si>
  <si>
    <t>Sağlık Binalarının Güçlendirme ve Bakım ve Onarımı</t>
  </si>
  <si>
    <t>Kağıthane / Bahçlievler / Sefaköy İçmesuyu Tüneli</t>
  </si>
  <si>
    <t>4000 mm iç çaplı segmentli içmesuyu tüneli içine 3000 mm çelik içme suyu borusu inşaatı.
20.630 mt tünelin 19.389,78 metresi tamamlanmış olup çalışmalar devam etmektedir.</t>
  </si>
  <si>
    <t>MALİYETİ BAHÇELİEVLER KISMINA YAZILMIŞTIR</t>
  </si>
  <si>
    <t>1322 nolu iş ile aynı olduğu için 1322 numaralı iş çıkarılmıştır.</t>
  </si>
  <si>
    <t>41.089359815244784, 28.9832462006749</t>
  </si>
  <si>
    <t>Kağıthane İlçesi Altyapı Yatırımları</t>
  </si>
  <si>
    <t>68 m atıksu şebeke ve kolektör kanalı</t>
  </si>
  <si>
    <t>41.08577256382549, 28.982084991358672</t>
  </si>
  <si>
    <t>Talatpaşa Bulvarı</t>
  </si>
  <si>
    <t xml:space="preserve">Atıksu ve yağmursuyu hattı imalatları
</t>
  </si>
  <si>
    <t>41.056164906872795, 28.95975099991381</t>
  </si>
  <si>
    <t>Esentepe Java Sanayi Durağı YÜG Yeniden Yapım</t>
  </si>
  <si>
    <t>Yeniden yapılacak üst geçidin açıklıkları 18.00 m + 17.50 m + 17.00 m + 14.50 m dir.Genişlik 3.5 m dir. Ayrıca 2 adet engelli asansörü yapılacak</t>
  </si>
  <si>
    <t>Kartal</t>
  </si>
  <si>
    <t>40.91105190, 29.19698415</t>
  </si>
  <si>
    <t>f5809357-f945-e711-80f0-005056a5354a</t>
  </si>
  <si>
    <t>D100 Kartal Esentepe Mah Java Sanayi Yaya Üst Geçidi</t>
  </si>
  <si>
    <t>Kartal İlçesi, Selman Farisi Anadolu İmam Hatip Lisesi İstinat Duvarı İnşaatı</t>
  </si>
  <si>
    <t>150 m forekazıklı istinat duvarı</t>
  </si>
  <si>
    <t>40.9247530, 29.2101038</t>
  </si>
  <si>
    <t>Kartal İlçesi, Uğur Mumcu Mahallesi, Şehit Aydın Çelik Caddesi, E80 Bağlantı Yolu İstinat Duvarı Projesi</t>
  </si>
  <si>
    <t>​150 m istinat duvarı</t>
  </si>
  <si>
    <t>40.92433181, 29.20947852</t>
  </si>
  <si>
    <t>b0b68974-01ef-ed11-b8d6-005056b0106f</t>
  </si>
  <si>
    <t>D-100 Mehmet Akif İmam Hatip Durağı EEUHG</t>
  </si>
  <si>
    <t>​​3,2x3,1 boyutunda 2 adet asansör</t>
  </si>
  <si>
    <t>40.90076015, 29.21938353</t>
  </si>
  <si>
    <t>18ede1ec-5dbc-e611-80e3-005056a5354a</t>
  </si>
  <si>
    <t>Kartal D-100 Mehmet Akif İmam Hatip Durağı Önü Yaya Üst Geçidinin Engelli Erişimine Uygun Hale Projesi</t>
  </si>
  <si>
    <t>Yaya Geçitleri Bakım Onarım</t>
  </si>
  <si>
    <t>DESTEK HİZMETLERİ DAİRESİ BAŞKANLIĞI</t>
  </si>
  <si>
    <t>Tesisler Bakım Ve Onarım Şube Müdürlüğü</t>
  </si>
  <si>
    <t>Kartal Şehit ve Gazi Yakınları Merkezi</t>
  </si>
  <si>
    <t>Son rötuşlar yapılıyor. Teslime hazırlanıyor.</t>
  </si>
  <si>
    <t>40.93231077870505, 29.210701928835793</t>
  </si>
  <si>
    <t>Dini Tesis Binaların Güçlendirme;Bakım ve Onarımı (Trafo; mekanik tesisat; elektrik tesisat; aydınlatma vb)</t>
  </si>
  <si>
    <t>Kartal Hürriyet Mahallesi Çocuk Etkinlik Merkezi İnşaatı</t>
  </si>
  <si>
    <t>12340 ada 78 parsel park sokak</t>
  </si>
  <si>
    <t>Bağışçı</t>
  </si>
  <si>
    <t>Bağışçı Yapacak</t>
  </si>
  <si>
    <t>40.9112600, 29.2279200</t>
  </si>
  <si>
    <t>30e01839-a039-ed11-b8b3-005056b0106f</t>
  </si>
  <si>
    <t>Kartal İlçesi Yakacık Mahallesi 12340 Ada 78 Parsel Düzenleme Projesi</t>
  </si>
  <si>
    <t>12386 ada 22 parsel rüya sokak</t>
  </si>
  <si>
    <t>40.90061475, 29.23789334</t>
  </si>
  <si>
    <t>eb51d8f4-9069-ee11-b8e1-005056b0106f</t>
  </si>
  <si>
    <t>İstanbul Geneli Eğitim Yapıları Yapım, Onarım ve Tadilat 7_Grup İnşaatı</t>
  </si>
  <si>
    <t>Bölge Trafik Durağı YÜG Yapım</t>
  </si>
  <si>
    <t>40.90885383, 29.20400647</t>
  </si>
  <si>
    <t>0bb5fcd1-dc7f-eb11-b86f-005056b0156e</t>
  </si>
  <si>
    <t>Kartal İlçesi Bölge Trafik Durağı Yaya Üst Geçidinin Engelli Erişimine Uygun Hale Getirilmesi Projesi</t>
  </si>
  <si>
    <t>Petrol İş Mahallesi Sosyal Hizmet Binası inşaatı</t>
  </si>
  <si>
    <t>​1468,9​​ m2 alana sahip, 24 kişilik, 2 bodrum, zemin kat ve 4 normal kattan oluşan Kadın Misafir Evi​</t>
  </si>
  <si>
    <t>40.89995014, 29.17898817</t>
  </si>
  <si>
    <t>416a2400-146d-eb11-b86d-005056b0156e</t>
  </si>
  <si>
    <t>Kartal İlçesi Petrol İş Mahallesi Kadın Sığınma Evi Projesi</t>
  </si>
  <si>
    <t>Kadın Sığınma Evi</t>
  </si>
  <si>
    <t>Soğanlık Lojman Güçlendirmesi ve Çocuk Etkinlik Merkezi</t>
  </si>
  <si>
    <t>Binalar %90 ve Kreş %85 oranında tamamlanmıştır. Çevre düzenleme çalışmaları devam etmektedir.</t>
  </si>
  <si>
    <t>40.91800954535626, 29.18160927811143</t>
  </si>
  <si>
    <t>Trafik Şube Müdürlüğü Hizmet Binası Yapım İşi</t>
  </si>
  <si>
    <t>Depo binası içindeki asma kat yıkım işlemleri tamamlanmştır. Tadilat işleri 12 .grup and yak. bakım onarım işi kapsamında yapılacaktır.</t>
  </si>
  <si>
    <t>40.8917700, 29.1956000</t>
  </si>
  <si>
    <t>Kaper Sitesi</t>
  </si>
  <si>
    <t>596 Konut +Ticaret​</t>
  </si>
  <si>
    <t>40.89884547927673, 29.229318038627294</t>
  </si>
  <si>
    <t>Kartal İlçesi, Cevizli Yaşam Merkezi Tamamlama İnşaatı</t>
  </si>
  <si>
    <t>​Güçlendirme ve peyzaj revize</t>
  </si>
  <si>
    <t>40.91014825, 29.17018941</t>
  </si>
  <si>
    <t>7f5e4226-bcaf-ee11-b8e6-005056b0106f</t>
  </si>
  <si>
    <t>Kartal İlçesi Cevizlik Komşuluk ve Dayanışma Meydanı Kültür Merkezi ve Zeminaltı Otopark Güçlendirme Projesi</t>
  </si>
  <si>
    <t>Kartal Gümüşpınar Mahallesi Çocuk Etkinlik Merkezi İnşaatı</t>
  </si>
  <si>
    <t xml:space="preserve">
​Şantiye mobilizyon çalışmaları devam etmekte olup kreş yapısının yapılacağı alanın beton kırımı tamamlandı. Hafriyat alınması beklenmektedir.  Başışcı firma işe başlamamıştır. Bağışçı firmaya iki kez işe başlanması adına iki kez uyarı yazısı yazılmıştır.
27.09.2024 tartihi itibarıyla sahada beton kırımı hariç herhangi bir imalat yapılmamıştır.</t>
  </si>
  <si>
    <t>40.91805947, 29.21154391</t>
  </si>
  <si>
    <t>5056b634-73e2-ec11-b8a6-005056b0106f</t>
  </si>
  <si>
    <t>Kartal İlçesi Gümüşpınar Mahallesi 10948 Ada 1 Parsel Düzenleme Projesi (KR217)</t>
  </si>
  <si>
    <t>Kartal İlçesi Altyapı Yatırımları</t>
  </si>
  <si>
    <t>13,72 km atık su, şebeke kolektör kanalı ve yağmur suyu imalatları</t>
  </si>
  <si>
    <t>Asya Bölgesi 12.Kısım Müteferrik Atık su, yağmursuyu Kanalı ve Dere Islahı İnşaatı İşi kapsamında çalışmalar devam etmektedir.</t>
  </si>
  <si>
    <t>40.9133146, 29.2076708</t>
  </si>
  <si>
    <t>Savaklar Deresi Islahı</t>
  </si>
  <si>
    <t>850 Metre Dere Islahı</t>
  </si>
  <si>
    <t>Asya Bölgesi 12.Kısım Müteferrik Atıksu, yağmursuyu Kanalı ve Dere Islahı İnşaatı İşi kapsamında çalışmalar devam etmektedir.</t>
  </si>
  <si>
    <t>40.9033005, 29.1645836</t>
  </si>
  <si>
    <t>Soğanlık Su Deposu</t>
  </si>
  <si>
    <t>5.000 m3</t>
  </si>
  <si>
    <t>Asya Bölgesi Muhtelif Depolar İnşaatı (1) İşi Kapsamında Çalışmalar Devam Etmektedir</t>
  </si>
  <si>
    <t>40.90417129002034, 29.19558173383773</t>
  </si>
  <si>
    <t>Yüzkonutlar Su Deposu</t>
  </si>
  <si>
    <t>10.000 m3</t>
  </si>
  <si>
    <t>Pendik</t>
  </si>
  <si>
    <t>40.86596903400467, 29.28608569827916</t>
  </si>
  <si>
    <t>Esentepe Su Deposu</t>
  </si>
  <si>
    <t>12.500 m3</t>
  </si>
  <si>
    <t>40.90225712798516, 29.19322883823574</t>
  </si>
  <si>
    <t>Kartal Metem Birlik Sitesi</t>
  </si>
  <si>
    <t>549 Konut + Ticaret</t>
  </si>
  <si>
    <t>40.909971818413574, 29.225169130686346</t>
  </si>
  <si>
    <t>Orhantepe Mahallesi Engelli Rehabilitasyon Merkezi Tamamlama İnşaatı</t>
  </si>
  <si>
    <t>Meydanda bulunan yürüme yollarının süpürge beton imalatı devam ediyor. Manej kapalı spor salonu ofis ve ıslak hacimlerinin bulunduğu alanın profil imalatı devam ediyor. Laboratuvar binası tugla duvar imalatı devam etmektedir. yeni bakım onarım dosyasında yapımına devam edilecektir.</t>
  </si>
  <si>
    <t>40.90278984, 29.14466234</t>
  </si>
  <si>
    <t>Engelli Eğitim Binası</t>
  </si>
  <si>
    <t>Halkalı Atakent Mah. Halkalı İkitelli Cad. YÜG Yapım</t>
  </si>
  <si>
    <t>​250 m2 Üst Geçit Yeniden Yapım</t>
  </si>
  <si>
    <t>41.05503765, 28.79238358</t>
  </si>
  <si>
    <t>25d6d601-0960-ed11-b8be-005056b0106f</t>
  </si>
  <si>
    <t>Küçükçekmece İlçesi, Halkalı Atakent Mahallesi, Halkalı İkitelli Caddesi Yaya Üst Geçit Projesi</t>
  </si>
  <si>
    <t>Halkalı Caddesi Prestij Cadde Projesi 2. etap Düzenlenmesi</t>
  </si>
  <si>
    <t>15000 m2 doğal taş ile prestij cadde</t>
  </si>
  <si>
    <t>41.0456472, 28.8065286</t>
  </si>
  <si>
    <t>İstasyon Mahallesi Turgut Özal Caddesi ile Konutbirlik Yapı Koop Sk YÜG Yapım</t>
  </si>
  <si>
    <t>Yeniden yapım engelli erişimine uygun yaya üstgeçidi yapılması. 800 kg lık 10 kişilik 2 adet asansör 40 x 4 ölçülerinde tabliye toplam 5 sahanlıklı iniş çıkış toplam 80m2 alan merdiven</t>
  </si>
  <si>
    <t>41.04577918521697, 28.759708367079348</t>
  </si>
  <si>
    <t>748e6e21-80d9-e711-80ff-005056a5354a</t>
  </si>
  <si>
    <t>Küçükçekmece İlçesi, Halkalı İstasyon Mah, Turgut Özal Cad ile Konutbirlik Yapı Kooperatifi Sok Kesişimi Yaya Üstgeçidi Projesi</t>
  </si>
  <si>
    <t>Zeynebiye Camii ve Kültür Merkezi inşaatı yapılması</t>
  </si>
  <si>
    <t>41.037560898897176, 28.803319726255467</t>
  </si>
  <si>
    <t>Sağlık Merkezleri Yapım, Bakım ve Onarımı</t>
  </si>
  <si>
    <t>Küçükçekmece Evde Sağlık ve Psikolojik Danışmanlık Merkezi İnşaatı</t>
  </si>
  <si>
    <t>İnşaatın bulunduğu alan Küçükçekmece Belediyesi'nden 11.02.2008 tarihinde trampa yolu ile İBB mülkiyetine geçmiştir. Toplam İnşaat Alanı 1.375 m2 olan 1 bodrum kat, 1 zemin ve 2 normal kattan oluşan yapıda,200 m2 Evde Sağlık Merkezi, 221,5 m2 Psikolojik Danışmanlık Merkezi ve 141 m2 Spor Kulübü Birimleri mevcuttur.​ Evde Sağlık Merkezi bölümünde; personel soyunma odaları, dinlenme odası, yıkama odası, santral odası, doktor odası, fiziksel-psiko-sosyal rehabilitasyon odası, ambulans ekip odası, 26 kişilik yemekhane, mutfak, hemşire odası, ofis, koridorlar, hol, erkek-kadın ve engelli WC'ler, 2 adet yangın merdiveni, asansör, ambulans otoparkı, su deposu, teshin merkezi, bay-bayan mescid, bay-bayan abdesthane ve pano odası yer almaktadır. Psikolojik Danışmanlık Merkezi bölümünde; seminer salonu, bekleme alanı, hol, koridorlar, asansör, teknik oda, 2 adet çocuk odası, 3 adet yetişkin odası, 2 adet yangın merdiveni, erkek-kadın ve engelli WC'ler mevcuttur. Spor Kulübü Biriminde ise antrenör odası, başkan odası, toplantı salonu, giriş holü, yangın merdiveni, koridor, 13 ve 14 kişilik 2 adet soyunma odası, 6 adet duş ve 2 adet WC ile çamaşırhane bulunmaktadır.</t>
  </si>
  <si>
    <t>40.9893200, 28.7863400</t>
  </si>
  <si>
    <t>6d553c32-401a-ed11-b8ac-005056b0106f</t>
  </si>
  <si>
    <t>Küçükçekmece Psikolojik Danışmanlık ve Evde Sağlık Merkezi Projesi</t>
  </si>
  <si>
    <t>Evde Sağlık Merkezleri</t>
  </si>
  <si>
    <t>Küçükçekmece Nakkaş Deresi ıslahı</t>
  </si>
  <si>
    <t>300 metre</t>
  </si>
  <si>
    <t>Dere Islahı çalışmaları devam etmektedir. 28,00 x 4,50 kesitlerinde olacaktır.</t>
  </si>
  <si>
    <t>41.04330441071251, 28.77116960079682</t>
  </si>
  <si>
    <t>Kaynarca Yağmursuyu Tüneli;</t>
  </si>
  <si>
    <t>Tünel Ø3600 mm çaplı, 2.715 m uzunluğunda olup, tünelin 2.402 m tamamlanmıştır.</t>
  </si>
  <si>
    <t xml:space="preserve">Tünel çalışmaları devam etmektedir.
</t>
  </si>
  <si>
    <t>41.05424788556868, 28.79563165783792</t>
  </si>
  <si>
    <t>Ayamama Deresi Islahı</t>
  </si>
  <si>
    <t>Ayamama Deresi dere ıslahı</t>
  </si>
  <si>
    <t>40.98388136604477, 28.84224810695764</t>
  </si>
  <si>
    <t>Küçükçekmece İlçesi Altyapı Yatırımları</t>
  </si>
  <si>
    <t>45,9 km atıksu şebeke ve kolektör kanalı</t>
  </si>
  <si>
    <t>41.01158506271059, 28.783925595859955</t>
  </si>
  <si>
    <t>Turizme Yönelik Faaliyetler</t>
  </si>
  <si>
    <t>Maltepe İlçesi Karavan Parkı Düzenleme İnşaatı</t>
  </si>
  <si>
    <t>Üzerinde 79 adet Abone Karavan Park Alanı, 8 adet Günübirlik Karavan Konaklama Alanı, 26 adet Karavan Otoparkı, 79 adet Abone Araç Otoparkı, 19 adet Personel Araç Otoparkı ve toplam 296 m² ortak WC, duş, mutfak vb. hizmet yapıları bulunmaktadır.</t>
  </si>
  <si>
    <t>Maltepe</t>
  </si>
  <si>
    <t>40.93531203, 29.11424996</t>
  </si>
  <si>
    <t>728ff7a5-2c57-ec11-b89c-005056b0106f</t>
  </si>
  <si>
    <t>Maltepe Karavan Parkı Düzenleme Projesi</t>
  </si>
  <si>
    <t>Kamp Yapıları ve Alanları</t>
  </si>
  <si>
    <t>Maltepe Esenkent Mahallesi Çocuk Etkinlik Merkezi İnşaatı</t>
  </si>
  <si>
    <t>40.92512721, 29.15893201</t>
  </si>
  <si>
    <t>d06735a8-e3d2-ed11-b8d4-005056b0106f</t>
  </si>
  <si>
    <t>İstanbul Geneli Eğitim Yapıları Yapım, Onarım ve Tadilat 4_Grup İnşaatı</t>
  </si>
  <si>
    <t>Maltepe Fındıklı Mahallesi Çocuk Etkinlik Merkezi İnşaatı</t>
  </si>
  <si>
    <t>40.97297694, 29.13154813</t>
  </si>
  <si>
    <t>Maltepe İlçesi Gürültü Bariyeri</t>
  </si>
  <si>
    <t>Maltepe İlçesi, Girne Mahallesi, D-100 Kuzey Yanyol üzerinde bulunan Nezahat Aslan Ekşi ve Hayrettin Handan Yelkikanat Anadolu Lisesi mevkiinde Gürültü Bariyeri Mim. Müh. Projesi Hizmet Alımı İşi.</t>
  </si>
  <si>
    <t>Gürültü Bariyeri Projesinin piyasa araştırması ve ilgili kurum kuruluş görüşleri tamamlanmış olup Bütçe ve Denetim Şube Müdürlüğünden onayı beklenmektedir.​​</t>
  </si>
  <si>
    <t>40.9401365, 29.1352022</t>
  </si>
  <si>
    <t>Yol Bakım ve Onarım Müdürlüğü 6. Bölge Müdür Yardımcılığı Hafif Çelik Bina Yapılması</t>
  </si>
  <si>
    <t>​Yol Bakım ve Onarım Müdürlüğüne Muhtelif İmalatlar yapılması</t>
  </si>
  <si>
    <t>40.9332932, 29.1550875</t>
  </si>
  <si>
    <t>Maltepe Çınar Mahallesi Sosyal Merkez İnşaatı</t>
  </si>
  <si>
    <t>Alzheimer Gündüz Yaşam Evi (Seminer Salonlar, Atölyeler, Sosyal Aktivite Salonları, Muayene ve Sağlık Odaları, Hobi Bahçesi, Teraslar, İç Bahçe, Sağlık-Kişisel Bakım Odası, Psiko-Terapi Odası, İdari Birimler)
Yuvamız İstanbul (Derslikler, Atölyeler, Çocuk Oyun Alanı, Fuaye-Sergi Alanı, İdari Birimler) 
Mahalle Evi (Atölyeler, Kütüphane, Okuma Terası, Bilgisayar Laboratuarı, Beden Eğitimi, Seminer Salonu, Fuaye/Sergi Alanı, Derslikler, Ortak Çalışma Alanları, Serbest Çalışma Alanları, Kafe)</t>
  </si>
  <si>
    <t>40.94393150, 29.11876393</t>
  </si>
  <si>
    <t>dd6f240c-2495-e611-80e1-005056a5354a</t>
  </si>
  <si>
    <t>Maltepe Çınar Mahallesi Yurt Projesi</t>
  </si>
  <si>
    <t>Rehabilitasyon Merkezi</t>
  </si>
  <si>
    <t>Maltepe İlçesi Altyapı Yatırımları</t>
  </si>
  <si>
    <t>9,74 Km Atık Su Şebeke Ve Kolektör Kanalı</t>
  </si>
  <si>
    <t xml:space="preserve">Asya Bölgesi 11. Kısım Müteferrik Atık su, Yağmursuyu Kanalı ve Dere Islahı İnşaatı işi kapsamında imalatı devam etmektedir.
</t>
  </si>
  <si>
    <t>40.9466562, 29.1602644</t>
  </si>
  <si>
    <t>Gülsuyu Su Deposu</t>
  </si>
  <si>
    <t>Asya Bölgesi Muhtelif Depolar İnşaatı (1) İşi Kapsamında Yapılacaktır</t>
  </si>
  <si>
    <t>40.9296002, 29.1588109</t>
  </si>
  <si>
    <t>Pendik Yenişehir Mahallesi Çocuk Etkinlik Merkezi İnşaatı</t>
  </si>
  <si>
    <t>40.9394163, 29.3059258</t>
  </si>
  <si>
    <t>Pendik Ertuğrulgazi Mahallesi Çocuk Etkinlik Merkezi İnşaatı</t>
  </si>
  <si>
    <t>40.9176531, 29.2550162</t>
  </si>
  <si>
    <t>Pendik Dolayoba Mahallesi Çocuk Etkinlik Merkezi İnşaatı</t>
  </si>
  <si>
    <t>40.89553571, 29.25051901</t>
  </si>
  <si>
    <t>3f96f3a0-9705-ec11-b87e-005056b0336f</t>
  </si>
  <si>
    <t>Pendik İlçesi Dolayoba Mahallesi 9951 Ada 5 Parsel Çocuk Etkinlik Merkezi Projesi</t>
  </si>
  <si>
    <t>Pir Sultan Abdal Kültür Derneği Pendik Cemevi Onarım ve Tadilatı</t>
  </si>
  <si>
    <t>40.90913314520385, 29.279346185154644</t>
  </si>
  <si>
    <t>İbadethane</t>
  </si>
  <si>
    <t>Pendik Kurtköy Sosyal Merkez İnşaatı</t>
  </si>
  <si>
    <t>40.91369927, 29.29415643</t>
  </si>
  <si>
    <t>83def3f6-a704-ec11-b87e-005056b0336f</t>
  </si>
  <si>
    <t>Pendik İlçesi Kurtköy Mahallesi Sosyal Merkez Projesi</t>
  </si>
  <si>
    <t>Borsa İstanbul MTAL Kapalı Spor Salonu İnşaatı</t>
  </si>
  <si>
    <t>780 m2 taban alanına sahip çelik strüktürlü kapalı spor salonu, eğitmen odası, spor malzemeleri odası, soyunma kabinleri, salon görevlisi odası, temizlik malzemeleri odası, mekanik ve elektrik odalar ile WC yapıları yer almaktadır.</t>
  </si>
  <si>
    <t>40.8989938, 29.2787568</t>
  </si>
  <si>
    <t>Pendik Dolayoba Mahallesi, Sevecen Sokak Camii Yapım İnşaatı</t>
  </si>
  <si>
    <t>Cami (ana ibadet alanı ve kadınlar mahfili) 894 m² (280+150 = 430 kişilik), Lojman (2 adet bağımsız ikamet amaçlı konut) 110 x 2 = 220 m², Çok amaçlı salon - 216 m² - 285 kişilik, Bay &amp; Bayan Şadırvan, Kütüphane 61 m², Çay Ocağı 34 m², Açık otopark (14 adet araç), Teknik hacimler​</t>
  </si>
  <si>
    <t>40.88422441, 29.27080566</t>
  </si>
  <si>
    <t>528c998c-7fff-ed11-b8d6-005056b0106f</t>
  </si>
  <si>
    <t>Pendik Dolayoba Mahallesi 6868 Ada 5 Parsel Cami Kesin ve Uygulama Projesi</t>
  </si>
  <si>
    <t>Pendik- Tuzla Metrosu</t>
  </si>
  <si>
    <t>Kaynarca-Tuzla Metro hattı 1 Etabı 6,0 Km Uzunluğunda 2 istsyondan oluşan  Pendik Merkez-Kaynarca Merkez-Fevziçakmak Metro Hattı</t>
  </si>
  <si>
    <t>Pendik- Tuzla Metrosu 1.Etap Pendik Merkez- Kaynarca Merkez- Fevziçakmak Metro Hattı. Tahmini bitiş tarihi olarak verilen Mart 2026 tarihi 1. etap için verilmiştir. (Pendik Merkez Kaynarca Merkez Fevzi Çakmak Metro Hattı 6 km)</t>
  </si>
  <si>
    <t>40.9559470, 29.3509497</t>
  </si>
  <si>
    <t>Pendik İlçesi Altyapı Yatırımları</t>
  </si>
  <si>
    <t>9,204  km atık su, şebeke kolektör kanalı ve yağmur suyu imalatları</t>
  </si>
  <si>
    <t>Kemiklidere Islahı</t>
  </si>
  <si>
    <t>2,8 Km Dere Islahı</t>
  </si>
  <si>
    <t>40.8680921, 29.2825422</t>
  </si>
  <si>
    <t>Sarıgazi Cemevi Bakım ve Onarım İnşaatı</t>
  </si>
  <si>
    <t>Sancaktepe</t>
  </si>
  <si>
    <t>41.01137925509975, 29.21308806017686</t>
  </si>
  <si>
    <t>Sancaktepe İlçesi Samandıra Mahallesi Mahalle Evi İnşaatı</t>
  </si>
  <si>
    <t>Mahalle Evi​</t>
  </si>
  <si>
    <t>41.00207821, 29.22438932</t>
  </si>
  <si>
    <t>d782943c-0be3-ec11-b8a6-005056b0106f</t>
  </si>
  <si>
    <t>Sancaktepe İlçesi Samandıra Mahallesi 6287 Ada 4-7-8 Parsel Mahalle Evi Projesi</t>
  </si>
  <si>
    <t>Mahalle Evi</t>
  </si>
  <si>
    <t>Sancaktepe Osmangazi Mahallesi Çocuk Etkinlik Merkezi İnşaatı 6784 ada 4-5-17-19 parsel</t>
  </si>
  <si>
    <t>6784 ada 4-5-17-19 parsel</t>
  </si>
  <si>
    <t>41.00029637, 29.25874494</t>
  </si>
  <si>
    <t>81a7503e-6b24-ee11-b8db-005056b0106f</t>
  </si>
  <si>
    <t>İstanbul Geneli Eğitim Yapıları Yapım, Onarım ve Tadilat 6_Grup İnşaatı</t>
  </si>
  <si>
    <t>Sancaktepe Osmangazi Mahallesi Çocuk Etkinlik Merkezi İnşaatı 8111 ada 2 parsel</t>
  </si>
  <si>
    <t>8111 ada 2 parsel</t>
  </si>
  <si>
    <t>40.98638877, 29.24058403</t>
  </si>
  <si>
    <t>Sancaktepe Safa Tepesi Spor Alanları Düzenlemesi işi</t>
  </si>
  <si>
    <t>41.01252421, 29.25660237</t>
  </si>
  <si>
    <t>Spor Salonu</t>
  </si>
  <si>
    <t>Sancaktepe Abdurrahmangazi Mahallesi Çocuk Etkinlik Merkezi İnşaatı</t>
  </si>
  <si>
    <t>6293 ada 8-9 parsel</t>
  </si>
  <si>
    <t>40.99963322, 29.22509338</t>
  </si>
  <si>
    <t>afa374d2-e4d2-ed11-b8d4-005056b0106f</t>
  </si>
  <si>
    <t>İstanbul Geneli Eğitim Yapıları Yapım, Onarım ve Tadilat 5_Grup İnşaatı</t>
  </si>
  <si>
    <t>Sancaktepe Atatürk Mahallesi Çocuk Etkinlik Merkezi İnşaatı</t>
  </si>
  <si>
    <t>3 DERSLİKLİ 60 ÖĞRENCİ KAPASİTELİ</t>
  </si>
  <si>
    <t>41.00997297, 29.22841839</t>
  </si>
  <si>
    <t>Sancaktepe Sarıgazi Mahallesi Çocuk Etkinlik Merkezi İnşaatı</t>
  </si>
  <si>
    <t>41.00684109, 29.20675736</t>
  </si>
  <si>
    <t>Çekmeköy-Sancaktepe-Sultanbeyli Metro Hattı-Sancaktepe Şehir Hastanesi İstasyonu Otoparkı</t>
  </si>
  <si>
    <t>392 Araç Kapasiteli Otopark Çocuk Oyun Dünyası-Çekmeköy Sancaktepe-Sultanbeyli Metrosu bütçesi kapsamında yapılacaktır.</t>
  </si>
  <si>
    <t>Çocuk Oyun Dünyası Çekmeköy-Sancaktepe-Sultanbeyli Metrosu bütçesi kapsamında yapılacaktır.</t>
  </si>
  <si>
    <t>Başka iş kapsamında yapılacak
Çekmeköy-Sancaktepe-Sultanbeyli Metrosu ile Sarıgazi (Hastane)-Taşdelen-Yenidoğan Metrosu İnşaat Ve Elektromekanik Sistemler Temin, Montaj Ve İşletmeye Alma İşleri ihale bedelidir.</t>
  </si>
  <si>
    <t>40.990454, 29.228808</t>
  </si>
  <si>
    <t>Sancaktepe İlçesi Altyapı Yatırımları</t>
  </si>
  <si>
    <t>5,3 km atık su şebeke ve kolektör kanalı</t>
  </si>
  <si>
    <t>Asya Bölgesi 10.Kısım Müteferrik Atık su, Yağmur suyu Kanalı ve Dere Islahı inşaatı işi kapsamında imalatlar devam etmektedir.</t>
  </si>
  <si>
    <t>40.994137, 29.229714</t>
  </si>
  <si>
    <t>Suvat Deresi Islahı</t>
  </si>
  <si>
    <t>480 Metre Dere Islahı</t>
  </si>
  <si>
    <t>Baraj Yolu Caddesi geçişindeki yüksek voltajlı elektrik hattının deplasesinin yapılması, Parselden geçen imalat bölgeleri için kamulaştırma sorununun çözülmesi, İlgili belediyenin 18 uygulaması yapmasına müteakip imalatlar tamamlanacaktır.​</t>
  </si>
  <si>
    <t>41.0047452, 29.2617964</t>
  </si>
  <si>
    <t>Atık Yönetim Tesisleri Yapım ve Bakım-Onarımı</t>
  </si>
  <si>
    <t>Sancaktepe Katı Atık Aktarma Merkezi Tamamlama İnşaatı</t>
  </si>
  <si>
    <t xml:space="preserve">​​Saha genelinde kazı imalatı tamamlandı.​ Çelik çatı karkas imalatları tamamlandı.  Proje revizyon çalışmaları etüd projeler koordinasyonunda devam etmekte olup kalan işin 
12. grup anadolu yak. bak. onr. kapsamında değerlendirilmesi beklenmektedir. </t>
  </si>
  <si>
    <t>41.0052330, 29.2638092</t>
  </si>
  <si>
    <t>Katı Atık Tesisleri Ve Alanları</t>
  </si>
  <si>
    <t>Sarıyer Zeynep Yıldırım Cem Evine ait Eksik Kalan İmalatların Tamamlanması</t>
  </si>
  <si>
    <t>41.09329045892162, 29.045434252335152</t>
  </si>
  <si>
    <t>Sarıyer İstinye Mahallesi Çocuk Etkinlik Merkezi İnşaatı</t>
  </si>
  <si>
    <t>41.1221161, 29.0413229</t>
  </si>
  <si>
    <t>Adnan Menderes Caddesi Trafik Sirkülasyon ve Geometrik Düzenleme Çalışması</t>
  </si>
  <si>
    <t>41.1801549, 28.9929980</t>
  </si>
  <si>
    <t>Sarıyer İlçesi Gürültü Bariyeri</t>
  </si>
  <si>
    <t>Sarıyer - Çayırbaşı Yolu Caddesi ve Hacı Osman Bayırı Caddesi üzerindeki alanda, mevkiinde Gürültü Bariyeri Mim. Müh. Projesi Hizmet Alımı İşi.</t>
  </si>
  <si>
    <t>Gürültü Bariyeri Projesinin piyasa araştırması ve ilgili kurum kuruluş görüşleri tamamlanmış olup Bütçe ve Denetim Şube Müdürlüğünden onayı beklenmektedir.</t>
  </si>
  <si>
    <t>41.1545104, 29.0340360</t>
  </si>
  <si>
    <t>Sarıyer Cendere Deresi ıslahı</t>
  </si>
  <si>
    <t>41.1716543, 29.0515636</t>
  </si>
  <si>
    <t>Baltalimanı Yaşam Vadisi 2 Etap</t>
  </si>
  <si>
    <t>​Toplam Alan 40.444M²Yeşil Alan  17.590 M²Sert Zemin 7.132 M²Oyun Grubu 2 Adet ( 600 M² Ve 178 M²)Fitness Grubu  2 Adet ( 160 M² Ve 102 M²)Spor Sahası  1 Adet (Halı Saha-1171 M²)Bisiklet Yolu 416 Myürüyüş Yolu 811 Mbina 1 Adet (Büfe-32 M²)Piknik Masası 13 Adetpergola 10 Ade​T​</t>
  </si>
  <si>
    <t>İmalat durdurulmuştur.
Proje Portal sisteminde durduruldu olarak güncellenmiştir.
İptal olması ya da devam etmesi durumunda tekrar güncellenecektir.</t>
  </si>
  <si>
    <t>İptal olduğu için Maliyeti silinmiştir. birimin girdiği maliyet 38.483.127</t>
  </si>
  <si>
    <t>41.0988801, 29.0477237</t>
  </si>
  <si>
    <t>6c6739be-859d-ee11-b8e3-005056b0106f</t>
  </si>
  <si>
    <t>Baltalimanı  Yaşam Vadisi 2 Etap</t>
  </si>
  <si>
    <t>Sarıyer İlçesi İstinye Rıhtım Onarım İşi</t>
  </si>
  <si>
    <t>41.1139069, 29.0539958</t>
  </si>
  <si>
    <t>Sarıyer Meydan Düzenleme İnşaatı</t>
  </si>
  <si>
    <t>17.000 m2 meydan alanı (Tören alanı, çocuk eğlence alanı, yürüyüş yolları, tretuvarlar, oturma grubları, vb.), 11.359 m2 yapısal peyzaj alanı, 1.715 m2 bitkisel peyzaj alanı, 466 m2 inşaat alanı ve kent mobilyalarından oluşmaktadır.</t>
  </si>
  <si>
    <t>41.1672345222049, 29.057364870100578</t>
  </si>
  <si>
    <t>1cde4f39-6d24-ee11-b8db-005056b0106f</t>
  </si>
  <si>
    <t>İstanbul Geneli Tarihi Meydan ve Caddelerde Bakım-Onarım Çevre Düzenleme İnşaatı</t>
  </si>
  <si>
    <t>Sarıyer Çamlıtepe Mahallesi İdari Merkez Binası İnşaatı</t>
  </si>
  <si>
    <t>5388,19 m2 İdari Merkez Binası, 141 m2 Kafeterya, Zabıta Amirliği</t>
  </si>
  <si>
    <t>41.13577873, 29.02647253</t>
  </si>
  <si>
    <t>2ea5ef0a-79ad-eb11-b878-005056b0336f</t>
  </si>
  <si>
    <t>Sarıyer İlçesi Çamlıtepe Mahallesi Rekreasyon Alanı İdari Merkez Binası Projesi</t>
  </si>
  <si>
    <t>İdari Binalar</t>
  </si>
  <si>
    <t>Su Bentleri Onarım Projesi 2</t>
  </si>
  <si>
    <t>Ayvad ve Kirazlı Bent</t>
  </si>
  <si>
    <t>Belirlenen iş bitim tarihinde çalışmaların tamamlanması hedeflenmektedir.
Rölöve-Restitüsyon ve Restorasyon projeleri ilgili koruma kurulu tarafından onaylanmış olup Kirazlı Bend'in peyzaj projelerinin Koruma Kurulu onayı alınmış olup kabul aşamasındadır.</t>
  </si>
  <si>
    <t>41.1701938, 28.9657195</t>
  </si>
  <si>
    <t>Rumelihisarı Restorasyon ve Çevre Düzenleme Uygulama İşi</t>
  </si>
  <si>
    <t>Restorasyon çalışmaları son aşamasına gelmiş olup, 2025 Ağustos ayında açılış yapılması planlanmaktadır.</t>
  </si>
  <si>
    <t xml:space="preserve"> 41.08485354478942, 29.056819283769205 </t>
  </si>
  <si>
    <t>09ef97f5-3287-e711-80f5-005056a5354a</t>
  </si>
  <si>
    <t>Rumeli Hisarı Rölöve, Restitüsyon, Restorasyon ve Çevre Düzenleme Projesi</t>
  </si>
  <si>
    <t>Kale Restorasyonu</t>
  </si>
  <si>
    <t>Sarıyer İstinye Deresi ıslahı</t>
  </si>
  <si>
    <t>3.000 metre</t>
  </si>
  <si>
    <t>1.700 m dere ıslahı tamamlanmış olup, çalışmalar devam etmektedir.</t>
  </si>
  <si>
    <t>41.11613649454318, 29.05134111533588</t>
  </si>
  <si>
    <t>Boyacıköy Eski Eser Yapım Bakım ve Onarım Uygulama İşi</t>
  </si>
  <si>
    <t>İski Sosyal Tesisi olan Boyacıköy Köşk Binası ve Sarnıcın restorasyonu yapılmaktadır.</t>
  </si>
  <si>
    <t xml:space="preserve">Belirlenen İş Bitim tarihinde çalışmaların tamamlanması hedeflenmektedir.
Restorasyon çalışmalarına devam edilmektedir. " Belirlenen İş Bitim tarihinde çalışmaların tamamlanması hedeflenmektedir.
Restorasyon çalışmalarına devam edilmektedir. "
</t>
  </si>
  <si>
    <t>41.10332418109231, 29.051039692718433</t>
  </si>
  <si>
    <t>Maslak Koru  Kaynak Geliştirme Projesi (Ayazağa İETT Garajı)</t>
  </si>
  <si>
    <t>754 Konut+Ticaret</t>
  </si>
  <si>
    <t>41.1118622, 28.9825475</t>
  </si>
  <si>
    <t>Sarıyer İlçesi Altyapı Yatırımları</t>
  </si>
  <si>
    <t>41 km atıksu şebeke ve kolektör kanalı</t>
  </si>
  <si>
    <t>4,7 km atık su, yağmur suyu ve dere ıslahı imalatı tamamlanmış olup, kalan kısım yeni ihale kapsamında yapılacaktır.</t>
  </si>
  <si>
    <t>41.1843607, 29.0174805</t>
  </si>
  <si>
    <t>Sarıyer Zekeriyaköy Deresi Deresi ıslahı</t>
  </si>
  <si>
    <t>4.000 metre</t>
  </si>
  <si>
    <t>150m  dere ıslahı tammalanmış olup, kalan kısmı yeni ihale kapsamında yapılacaktır.</t>
  </si>
  <si>
    <t>41.2053835, 29.0256105</t>
  </si>
  <si>
    <t>Kilyos-Gümüşdere Atıksu Tüneli Zekeriyaköy-Uskumruköy Atıksu Tünelleri Saklıkent Atıksu Tüneli</t>
  </si>
  <si>
    <t>7.111m atıksu tüneli</t>
  </si>
  <si>
    <t>* Gümüşdere-Kilyos Atık Su Tünelinin 2 adet şaftı ve 125 m tünel kazısı yapılmıştır. Kazı çalışmaları TBM ile devam etmektedir.
* Zekeriyaköy Atık Su Tünelinin mansap şaftı tamamlanmış olup,  kuyruk ve kafa tünelleri kazısı devam etmektedir.</t>
  </si>
  <si>
    <t>41.2396232, 28.9999638</t>
  </si>
  <si>
    <t>Silivri Mimarsinan 5196 Ada 22 Parsel Çocuk Etkinlik Merkezi</t>
  </si>
  <si>
    <t>Silivri</t>
  </si>
  <si>
    <t>41.0842326, 28.2110358</t>
  </si>
  <si>
    <t>Silivri Cemevine Ait Eksik Kalan İmalatlarının İmalatların Tamamlanması</t>
  </si>
  <si>
    <t>41.08350194170514, 28.24343255712301</t>
  </si>
  <si>
    <t>Silivri Koca Dere Islahı</t>
  </si>
  <si>
    <t>1.010 m dere ıslahı, 2.260 m atık su kolektör hattı imalatı tamamlanmıştır. çalışmalar devam etmektedir.</t>
  </si>
  <si>
    <t>41.0690200, 28.3502685</t>
  </si>
  <si>
    <t>Silivri Malzeme Ambarı</t>
  </si>
  <si>
    <t>(Deprem anında Toplanma ve Lojistik Merkezi İnşaatı)</t>
  </si>
  <si>
    <t>41.1794763, 28.1817776</t>
  </si>
  <si>
    <t>Silivri İlçesi Altyapı Yatırımları</t>
  </si>
  <si>
    <t>20 km Atık su şebeke ve kolektör kanalı,
10 km yağmur suyu kanalı</t>
  </si>
  <si>
    <t>İlçe genelinde; 41.030 m atık su hattı, 8.467 m yağmur suyu hattı, 310 m dere ıslahı imalatı tamamlanmış olup çalışmalar devam etmektedir.</t>
  </si>
  <si>
    <t>Sultanbeyli Battalgazi Mahallesi İtfaiye Binası Tamamlama İnşaatı</t>
  </si>
  <si>
    <t>Sultanbeyli</t>
  </si>
  <si>
    <t>40.9941644, 29.2842759</t>
  </si>
  <si>
    <t>Pir Sultan Abdal Kültür Derneğinin, Sultanbeyli Şubesi Cem Evi İnşaatının Eksik Kalan İşlerinin Yapımı</t>
  </si>
  <si>
    <t>40.948895753692305, 29.273143443118673</t>
  </si>
  <si>
    <t>Karanlıkdere Islahı</t>
  </si>
  <si>
    <t>1,5 Km Dere Islahı</t>
  </si>
  <si>
    <t>Asya Bölgesi 10.Kısım Müteferrik Atıksu, Yağmursuyu Kanalı ve Dere Islahi inşaatı işi kapsamında imalatı tamamlanmıştır​​</t>
  </si>
  <si>
    <t>40.9644144, 29.2741171</t>
  </si>
  <si>
    <t>Sultanbeyli İlçesi Altyapı Yatırımları</t>
  </si>
  <si>
    <t>4.7 Km Atık Su Şebeke Ve Kolektör Kanalı</t>
  </si>
  <si>
    <t xml:space="preserve">Asya Bölgesi 10.Kısım Müteferrik Atık su, Yağmursuyu Kanalı ve Dere Islahı inşaatı işi kapsamında imalatlar devam etmektedir.
</t>
  </si>
  <si>
    <t>Sultangazi Habipler Mahallesi Çocuk Etkinlik Merkezi İnşaatı</t>
  </si>
  <si>
    <t>Sultangazi</t>
  </si>
  <si>
    <t>41.1307353, 28.8377381</t>
  </si>
  <si>
    <t>09786f5d-ad3b-eb11-b867-005056b0156e</t>
  </si>
  <si>
    <t>Sultangazi İlçesi Cebeci Mahallesi 2880 Ada 3 Parsel Kreş Projesi</t>
  </si>
  <si>
    <t>Sultangazi Cebeci Mahallesi Çocuk Etkinlik Merkezi İnşaatı (İSADEM Dönüşüm)</t>
  </si>
  <si>
    <t>2290 ada 1 parsel</t>
  </si>
  <si>
    <t>41.1075244, 28.8754192</t>
  </si>
  <si>
    <t>Sultangazi Cebeci Mahallesi Çocuk Etkinlik Merkezi İnşaatı</t>
  </si>
  <si>
    <t>3957 ada 2 parsel</t>
  </si>
  <si>
    <t>41.1081480, 28.8659771</t>
  </si>
  <si>
    <t>Sultangazi Cemevi Tamamlama İnşaatı</t>
  </si>
  <si>
    <t>41.0988956, 28.9066365</t>
  </si>
  <si>
    <t>Sultangazi İlçesi Gürültü Bariyeri</t>
  </si>
  <si>
    <t>Sultangazi İlçesi, Cumhuriyet Mahallesi, Tem Otoyolu Gazi Kavşağı üzerinde bulunan Ertuğrul Gazi Parkı mevkiinde Gürültü Bariyeri Mim. Müh. Projesi Hizmet Alımı İşi</t>
  </si>
  <si>
    <t>41.0864048, 28.8789810</t>
  </si>
  <si>
    <t>Sultangazi İlçesi, 10 Pafta 178 Parsel, Cebeci Köyü Kilise Kalıntısının Rölöve, Restitüsyon Projelerinin Hazırlanması İşi</t>
  </si>
  <si>
    <t>Projelendirme çalışmaları devam etmektedir.</t>
  </si>
  <si>
    <t xml:space="preserve"> 41.12236735479526, 28.88408660088723 </t>
  </si>
  <si>
    <t>aad64ea9-6217-ef11-b8ea-005056b0106f</t>
  </si>
  <si>
    <t>Kilise Restorasyonu</t>
  </si>
  <si>
    <t>Sultangazi Esentepe Mahallesi Kat Otoparkı Ve Belediye Hizmet Tesisleri İnşaatı</t>
  </si>
  <si>
    <t>Bölgede 6.200m² Alana Kurban Kesim Merkezi, Pazar Alanı, Kamyon Otoparkı, Araç Otoparkı, Sağlık Birimi, Eğitim Alanı, Kafeterya, Oyun Parkı İnşa Edilecektir. Toplam İnşaat Alanı 22958.99 M2 Bodrum Kat 5775.83 M2 Bodrum Ara Kat 1400.57 M2 Zemin Kat 5031.39 M2 1.Kat 3985.45 M2 2.Kat 3337.15 M2 3.Kat 2697.69 M2 Teras Kat 730.91 M2</t>
  </si>
  <si>
    <t>41.10074636, 28.88308742</t>
  </si>
  <si>
    <t>Sultangazi Nurettin Uzun Ortaokulu Kapalı Spor Salonu İnşaatı</t>
  </si>
  <si>
    <t>Proje Alanı: 794 m2
Ana salon: 516 m2
Tribün:80 kişilik
Soyunma-idari bölüm: 2 adet soyunma odası, eğitmen odası, salon görevli odası, temizlik odaları, teknik hacimler</t>
  </si>
  <si>
    <t>41.1280964, 28.8360759</t>
  </si>
  <si>
    <t>Su Kemerleri Onarım Projesi 3</t>
  </si>
  <si>
    <t>9 Kemer ve 1 Havuz için</t>
  </si>
  <si>
    <t>Belirlenen iş bitim tarihinde çalışmaların tamamlanması hedeflenmektedir.
Bir adet kemerin projeleri ilgili koruma kurulunda süreç devam etmektedir.</t>
  </si>
  <si>
    <t>41.0922280, 28.9070721</t>
  </si>
  <si>
    <t>Sultangazi İlçesi Altyapı Yatırımları</t>
  </si>
  <si>
    <t>9,5 km atıksu şebeke ve kolektör kanalı 5 km yağmursuyu şebeke ve kollektör kanalı,18 km içmesuyu hattı,</t>
  </si>
  <si>
    <t>41.1195834, 28.8737159</t>
  </si>
  <si>
    <t>Mermerciler Bölgesi Şair Bilge Sk.;Malkoçoğlu Mahallesi 305 Sk.</t>
  </si>
  <si>
    <t>Atıksu, yağmursuyu kanal imalatları</t>
  </si>
  <si>
    <t>41.1152820, 28.8482668</t>
  </si>
  <si>
    <t>Şile Balibey Mahallesi İtfaiye Binası Tamamlama İnşaatı</t>
  </si>
  <si>
    <t>İtfaiye Binası​</t>
  </si>
  <si>
    <t>Şile</t>
  </si>
  <si>
    <t>41.1765081, 29.6196709</t>
  </si>
  <si>
    <t>be3f1acf-4288-ed11-b8c6-005056b0106f</t>
  </si>
  <si>
    <t>Yol Bakım ve Onarım Müdürlüğü 9. Bölge Müdür Yardımcılığı Hafif Çelik Bina Yapılması</t>
  </si>
  <si>
    <t>41.0562343, 29.6577085</t>
  </si>
  <si>
    <t>Soğullu Mahallesi Mezarlığı Onarım ve Tadilatı</t>
  </si>
  <si>
    <t>41.0934602, 29.8229501</t>
  </si>
  <si>
    <t>Sahilköy Mezarlığı Onarım ve Tadilatı</t>
  </si>
  <si>
    <t>41.2037905, 29.4108195</t>
  </si>
  <si>
    <t>Alacalı Mahallesi Mezarlığı Onarım ve Tadilatı</t>
  </si>
  <si>
    <t>41.1849963, 29.4560496</t>
  </si>
  <si>
    <t>Akçakese Mezarlığı Onarım ve Tadilatı</t>
  </si>
  <si>
    <t>41.1473322, 29.7159159</t>
  </si>
  <si>
    <t>Teke Mezarlığı Onarım ve Tadilatı</t>
  </si>
  <si>
    <t>41.0695510, 29.6656949</t>
  </si>
  <si>
    <t>Koltu Mezarlığı Onarım ve Tadilatı</t>
  </si>
  <si>
    <t>41.1037994, 29.8331033</t>
  </si>
  <si>
    <t>Karamandere Mezarlığı Onarım ve Tadilatı</t>
  </si>
  <si>
    <t>41.1457332, 29.5934321</t>
  </si>
  <si>
    <t>Geredeli Mezarlığı Onarım ve Tadilatı</t>
  </si>
  <si>
    <t>41.0964505, 29.8624618</t>
  </si>
  <si>
    <t>Proje</t>
  </si>
  <si>
    <t>Edeyli Mezarlığı Onarım ve Tadilatı</t>
  </si>
  <si>
    <t>41.0918904, 29.8241848</t>
  </si>
  <si>
    <t>Kurna Mezarlığı Onarım ve Tadilatı</t>
  </si>
  <si>
    <t>41.1961682, 29.3680004</t>
  </si>
  <si>
    <t>Yeniköy Deresi Islahı</t>
  </si>
  <si>
    <t>6,5 km dere ıslahı</t>
  </si>
  <si>
    <t>41.1182044, 29.6670428</t>
  </si>
  <si>
    <t>Su Depoları</t>
  </si>
  <si>
    <t>Şile Garaj 10.000 m3 su deposu,​ Şile Sortullu 2.500 m3 su deposu, Şile İçme Suyu Arıtma Tesisi 5.000 m3 su deposu, terfi merkezi ve idari bina​</t>
  </si>
  <si>
    <t>Asya Bölgesi Muhtelif Depolar İnşaatı (2) İşi kapsamında çalışmalar devam etmektedir.</t>
  </si>
  <si>
    <t>41.0579407, 29.7369683</t>
  </si>
  <si>
    <t>Şile İlçesi Altyapı Yatırımları</t>
  </si>
  <si>
    <t>32,8 km atıksu şebeke ve kolektör kanalı</t>
  </si>
  <si>
    <t>16 km atıksu kollektör ve yağmursuyu kollektörü tamamlanmış olup kalan kısım şile bölgesinde yapılacak ihale kapsamında tamamlanacaktır.</t>
  </si>
  <si>
    <t>41.0976312, 29.6159312</t>
  </si>
  <si>
    <t>Yol Bakım ve Onarım Müdürlüğü 3. Bölge Müdür Yardımcılığı Hizmet Ofisleri Yapılması</t>
  </si>
  <si>
    <t>41.0585478, 28.9670667</t>
  </si>
  <si>
    <t>İncirlidede Yaşam Vadisi</t>
  </si>
  <si>
    <t>450m, 5.870 m2</t>
  </si>
  <si>
    <t>İmalat 2024 Mart ayı içeerisinde tamamlanmıştır.</t>
  </si>
  <si>
    <t>41.0574183, 28.9748537</t>
  </si>
  <si>
    <t>Uğur Dündar Apartmanı</t>
  </si>
  <si>
    <t>​16 Konut</t>
  </si>
  <si>
    <t>41.0606909, 28.9762720</t>
  </si>
  <si>
    <t>19 Mayıs Caddesi Prestij Cadde Düzenlemesi</t>
  </si>
  <si>
    <t>5.200 m2 plaktaş ile cadde düzenlemesi yapılmaktadır.</t>
  </si>
  <si>
    <t>41.0614555, 28.9892023</t>
  </si>
  <si>
    <t>Şişli, Yol Bakım ve Onarım Müdürlüğü 3. Bölge Şantiyesi İstinat Duvarı İnşaatı</t>
  </si>
  <si>
    <t>Şişli Kuştepe Zeminaltı Otopark İnşaatı</t>
  </si>
  <si>
    <t>Toplam parsel alanı 6.705 m2, toplam inşaat alanı 22.604 m2​ olan projede, 364 normal araç, 22 engelli araç ve 43 elektrikli araç park yeri olmak üzere toplam 429 araçlık 4 bodrum katlı zeminaltı otopark olan tesiste, 4.bodrum katta; 230 m2 sac su deposu ve pompa odası, pano odası, yangın güvenlik holü ve merdiveni, 3. ve 2. bodrum katta; pano odası, yangın güvenlik holü ve merdiveni, 1.bodrum katta; 368 pazar tezgâhı kapasiteli 3.109 m2 pazar alanı, ödeme ofisi, personel odası, İspark ofis, idari ofis, engelli-bayan-bay wc'ler, depo-teknik hacim, ses-görüntü odası, 818 m2 salon,265 m2 fuaye alanı, idari ofis, gelin odası, pano odaları, mutfak-servis alanı, soğuk hava deposu, giriş terası, zemin katta; 71 m2 takım giyinme soyunma odaları, 87 m2 kafeterya, mutfak, wc'ler, idari ofis, depolar, bebek bakım odası, 61 m2 teras alanı, zemin üzerinde sentetik çim kaplı (62x37) mt. boyutlarında futbol sahası ve 180 koltuklu tribün, 55 m2 dökme epdm kaplı çocuk oyun alanı, 120 m2 ısıl işlem görmüş ahşap kaplama, toplam 1.355 m2 yeşil alan, 1430 m2 asfalt kaplı alan ve toplam​ 3.105 m2 sert zemin alanı bulunmaktadır.</t>
  </si>
  <si>
    <t>41.0724206, 28.9921601</t>
  </si>
  <si>
    <t>Mecidiyeköy Meydanı Yakın Çevresi II. Etap Düzenleme İnşaatı</t>
  </si>
  <si>
    <t>​Yol-Kaldırım Düzenleme,Cadde Düzenleme,Peyzaj Düzenleme, Çocuk Oyun Alanı,Meydan Düzenleme</t>
  </si>
  <si>
    <t>41.0616470, 28.9882823</t>
  </si>
  <si>
    <t>03712aa7-37e8-ea11-b85a-005056b0156e</t>
  </si>
  <si>
    <t>Mecidiyeköy Meydanı ve Yakın Çevresi Düzenleme Projesi</t>
  </si>
  <si>
    <t>Mecidiyeköy Halaskar Gazi Gençlik ve Yaşam Merkezi</t>
  </si>
  <si>
    <t>Müşavirlik hizmeti verilmektedir. Kiptaş tarafından Yükleniciye herhangi bir hakediş düzenlemediği için bütçe hesabı yapılamamıştır.</t>
  </si>
  <si>
    <t>41.0514835, 28.9888479</t>
  </si>
  <si>
    <t>Şişli İlçesi Meşrutiyet Mahallesi Belediye Hizmet Binası İnşaatı</t>
  </si>
  <si>
    <t>41.0549377, 28.9875024</t>
  </si>
  <si>
    <t>a870cfae-4e65-eb11-b86c-005056b0156e</t>
  </si>
  <si>
    <t>Şişli İlçesi Meşrutiyet Mahallesi Belediye Hizmet Binası Projesi</t>
  </si>
  <si>
    <t>Teşvikiye Mahallesi Rumeli Caddesi ve Vali Konağı Caddesi; Valikonağı Caddesi,</t>
  </si>
  <si>
    <t>1.800 m atık su ile 1200 m yağmur suyu planlaması buluınmakta olup, yeni ihale kapsamında yapılacaktır.</t>
  </si>
  <si>
    <t>41.0547224, 28.9951907</t>
  </si>
  <si>
    <t>Şişli İlçesi Altyapı Yatırımları</t>
  </si>
  <si>
    <t>6.2 km atıksu şebeke ve kolektör kanalı 6.3 km yağmursuyu şebeke ve kollektör kanalı, 0.5 km dere ıslahı, 5 km içmesuyu hattı,</t>
  </si>
  <si>
    <t>3,82 km atık su, yağmur suyu ve dere ıslahı imalatı tamamlanmış olup, çalışmalar devam etmektedir.</t>
  </si>
  <si>
    <t>41.0601134, 28.9887012</t>
  </si>
  <si>
    <t>Tuzla İlçesi Farabi İlkokulu Girişinin Düzenlenmesi</t>
  </si>
  <si>
    <t>Tuzla</t>
  </si>
  <si>
    <t>40.8338728, 29.3073094</t>
  </si>
  <si>
    <t>Bina Cepheleri</t>
  </si>
  <si>
    <t>Tuzla Ali Aba Cemevi Onarım ve Tadilatı</t>
  </si>
  <si>
    <t>Mevcut cemevinin bakım onarım işleri</t>
  </si>
  <si>
    <t>40.837878, 29.304632</t>
  </si>
  <si>
    <t>Tuzla Kafkale Spor Kompleksi</t>
  </si>
  <si>
    <t>Çatı imalatı sonrası Kapalı Spor Salonu aktif edilmiştir. Yüzme havuzunda temizlik devam etmektedir. Su doldurulduktan sonra tesi aktif edilecektir.</t>
  </si>
  <si>
    <t>40.832950, 29.298678</t>
  </si>
  <si>
    <t>Spor Kompleksi</t>
  </si>
  <si>
    <t>Tuzla İstasyon Mahallesi Çocuk Etkinlik Merkezi İnşaatı</t>
  </si>
  <si>
    <t>40.82681206, 29.31424443</t>
  </si>
  <si>
    <t>Tuzla Aydıntepe Mahallesi Çocuk Etkinlik Merkezi İnşaatı</t>
  </si>
  <si>
    <t>40.85777319, 29.30065388</t>
  </si>
  <si>
    <t>Tuzla Yayla Mahallesi Çocuk Etkinlik Merkezi İnşaatı (Kafkale)</t>
  </si>
  <si>
    <t>40.83347064, 29.29882538</t>
  </si>
  <si>
    <t>Tuzla Hal Binası İnşaatı</t>
  </si>
  <si>
    <t>A Blok Mescid-3.277,62 M2, B Blok-İdari Bina-42.771,64 M2, C Blok Lojistik Depo Ve Soğuk Hava Depoları-113.890,14 M2, D Blok Gıda Kontrol Binası- 450 M2, E1 Blok Giriş Kontrol 56,70 M2, E2 Blok Giriş Kontrol 2-49,33 M2, E3 Blok Giriş Kontrol 3-106,02 M2, F Blok İtfaiye Binası-3.334,05 m2, G Blok 240 Adet Dükkanlar-109.967,16 M2, H Blok Temizlik Birimi-190 M2, I Blok Ürün Paketleme-17.611,51 m2, J Blok Kasa Yıkama-Depolama-Organik Atık-9.949,32 M2, K1 Blok Satış Birimleri-170,75 M2, K2 Blok Satış Birimleri-170,75 M2, L1 Blok Otopar Saçakları Ve Enerji Merkezleri-5.838,40 m2, L2 Blok Otopar Saçakları Ve Enerji Merkezleri-5.838,40 m2, L3 Blok Otopar Saçakları Ve Enerji Merkezleri-5.838,39 m2</t>
  </si>
  <si>
    <t>40.86212306, 29.35524677</t>
  </si>
  <si>
    <t>ea5f8ee0-4c2c-4da3-9c33-03df5b76f9f9</t>
  </si>
  <si>
    <t>Tuzla Aydınlı Meyve Sebze Hali Projesi</t>
  </si>
  <si>
    <t>Sebze Meyve Hali</t>
  </si>
  <si>
    <t>Kemiklidere 6. Yankol Dere Islahı</t>
  </si>
  <si>
    <t>1,6 km dere ıslahı</t>
  </si>
  <si>
    <t>40.86842657748365, 29.2824999956047</t>
  </si>
  <si>
    <t>Tuzla İlçesi Sosyal Yaşam Merkezi İnşaatı</t>
  </si>
  <si>
    <t>120 Öğrenci Kapasiteli Kreş, 3191 M2 Sosyal Tesis, 554 Kişi Kapasiteli Barınma Merkezi, Açık Çocuk Oyun Ve Etkinlik Alanları, 51 M2 Seyir Terası, 68 Araçlık Açık Otopark</t>
  </si>
  <si>
    <t>40.859092, 29.347393</t>
  </si>
  <si>
    <t>1b891d99-c5be-eb11-b87a-005056b0336f</t>
  </si>
  <si>
    <t>İBB Anadolu Yakası Sosyal Yaşam Merkezi Projesi</t>
  </si>
  <si>
    <t>Topçayır Deresi</t>
  </si>
  <si>
    <t>2,3 km dere ıslahı​</t>
  </si>
  <si>
    <t>40.8914808, 29.3678665</t>
  </si>
  <si>
    <t>Esenkent Mahallesi Çocuk Etkinlik Merkezi İnşaatı</t>
  </si>
  <si>
    <t>41.000839, 29.187684</t>
  </si>
  <si>
    <t>Dudullu Meydanı Düzenleme İnşaatı</t>
  </si>
  <si>
    <t>23.728 m2 proje alanı olan kent meydanı ve yakın çevresinin düzenlenmesi işi.</t>
  </si>
  <si>
    <t>41.015842, 29.163856</t>
  </si>
  <si>
    <t>3230fddd-6a6c-ec11-b89e-005056b0106f</t>
  </si>
  <si>
    <t>Ümraniye Dudullu Meydanı Düzenleme Projesi</t>
  </si>
  <si>
    <t>Atatürk Mahallesi, Alemdağ Caddesi Ara Sokaklar Düzenleme İnşaatı</t>
  </si>
  <si>
    <t>41.023998, 29.087636</t>
  </si>
  <si>
    <t>bec32110-17ba-eb11-b87a-005056b0336f</t>
  </si>
  <si>
    <t>Ümraniye İlçesi, Atatürk Mahallesi, Alemdağ Caddesi Düzenleme Projesi</t>
  </si>
  <si>
    <t>Ümraniye İlçesi Altyapı Yatırımları</t>
  </si>
  <si>
    <t>41,7 km atık su,şebeke kollektör kanalı ve yağmur suyu imalatları</t>
  </si>
  <si>
    <t>Asya Bölgesi 10.Kısım Müteferrik Atıksu, Yağmursuyu Kanalı ve Dere Islahi inşaatı işi kapsamında imalatlar devam etmektedir.</t>
  </si>
  <si>
    <t>41.0223723, 29.1319102</t>
  </si>
  <si>
    <t>Acısu Dere Islahı</t>
  </si>
  <si>
    <t>-1.280 metre dere ıslahı</t>
  </si>
  <si>
    <t>Asya Bölgesi 10.Kısım Müteferrik Atık su, Yağmursuyu Kanalı ve Dere Islahı inşaatı işi kapsamında imalatı devam etmektedir.​</t>
  </si>
  <si>
    <t>41.012369, 29.148817</t>
  </si>
  <si>
    <t>Des Deresi Islahı</t>
  </si>
  <si>
    <t>70 metre dere iyileştirme çalışması</t>
  </si>
  <si>
    <t xml:space="preserve">İŞ İPTAL
</t>
  </si>
  <si>
    <t>41.009707, 29.179419</t>
  </si>
  <si>
    <t>Salacak Sahil Çevre Düzenleme İnşaatı</t>
  </si>
  <si>
    <t>Üsküdar</t>
  </si>
  <si>
    <t>41.0202849, 29.0079264</t>
  </si>
  <si>
    <t>c05721dc-bafd-ec11-b8a9-005056b0106f</t>
  </si>
  <si>
    <t>İstanbul Geneli Kıyı ve Deniz Yapıları Onarım,Tadilat ve Güçlendirme İnşaatı</t>
  </si>
  <si>
    <t>Sahil Düzenleme (Rekreatif Amaçlı)</t>
  </si>
  <si>
    <t>D-100 Göztepe Kavşağı Örnek Mah. Libadiye Cad. Göztepe Köprüsü İETT Durağı YÜG EEUHG</t>
  </si>
  <si>
    <t>Mevcuttaki yaya üst geçidine asansör eklenerek engelli erişimine uygun hale getirilmektedir.</t>
  </si>
  <si>
    <t>40.993545787804536, 29.073891173760106</t>
  </si>
  <si>
    <t>c27bb807-a8a4-e911-8127-005056a51de0</t>
  </si>
  <si>
    <t>Üsküdar ve Ataşehir, Libadiye Cad Göztepe Kavşağı Göztepe Köprüsü İETT Durağı Yaya Üst Geç Eng Eriş Uyg Hale Get Proj</t>
  </si>
  <si>
    <t>Üsküdar Dr. Fahri Atabey Cadde Düzenleme İnşaatı</t>
  </si>
  <si>
    <t>41.0215000, 29.0167000</t>
  </si>
  <si>
    <t>Üsküdar Küçüksu Mahallesi Kapalı Spor Salonu 2. Tamamlama İnşaatı</t>
  </si>
  <si>
    <t>Proje alanı 7.000,00m2 olup toplam inşaat alanı 12.500,00 m2'dir.Tesis; 115 araçlık 3 katlı kapalı otopark, yarı olimpik yüzme havuzu ve kapalı spor salonu ile zemin üstü açık spor tesisleri ve park düzenlemesinden oluşmaktadır. ,&amp;nbsp; Destek Hizmetleri Alanları (5000 m2) Kapalı spor alanları (790 m2) Yarı Olimpik Kapalı Yüzme Havuzu (312.5 m2) Zeminaltı Otopark ( 117 Araç kapasiteli) Fitness Odası (200 m2)Zemin Üstü Açık Spor Tesisleri ve Park  Düzenlemesi (6000 m2)</t>
  </si>
  <si>
    <t>41.0682000, 29.0666000</t>
  </si>
  <si>
    <t>6c187c55-4296-ed11-b8c7-005056b0106f</t>
  </si>
  <si>
    <t>Üsküdar Küçüksu Mahallesi Kapalı Spor Salonu 2 Tamamlama İnşaatı</t>
  </si>
  <si>
    <t>Üsküdar İlçesi Altyapı Yatırımları</t>
  </si>
  <si>
    <t>9,7 km atık su şebeke ve kolektör kanalı</t>
  </si>
  <si>
    <t>4,3 km hat tamamlanmıştır.</t>
  </si>
  <si>
    <t>41.0303374, 29.0552298</t>
  </si>
  <si>
    <t>D-100 Güney Yanyol Trafik Sirkülasyon ve Geometrik Düzenleme Çalışması</t>
  </si>
  <si>
    <t>Zeytinburnu</t>
  </si>
  <si>
    <t>​Çalışma tamamlanmıştır.</t>
  </si>
  <si>
    <t>41.0093347, 28.9003504</t>
  </si>
  <si>
    <t>Zeytinburnu İlçesi Altyapı Yatırımları</t>
  </si>
  <si>
    <t>7.7 km atıksu şebeke ve kolektör kanalı</t>
  </si>
  <si>
    <t>Tamamlandı.</t>
  </si>
  <si>
    <t>40.998555325479366, 28.909134711436955</t>
  </si>
  <si>
    <t>Zeytinburnu 10. Yıl Deresi Dere Islah Çalışması</t>
  </si>
  <si>
    <t>500 metre</t>
  </si>
  <si>
    <t>İGDAŞ doğalgaz deplase imalatı devam etmekte olup, söz konusu deplasenin tamamlanmasına müteakip dere ıslah çalışmalarına başlanacaktır.</t>
  </si>
  <si>
    <t>40.99066080706133, 28.896136491628493</t>
  </si>
  <si>
    <t>Kazlıçeşme Mahallesi Prof. Dr. Muammer Aksoy Caddesi;</t>
  </si>
  <si>
    <t>50m Atıksu, 620m yağmursuyu imalatı tamamlanmış olup, çalışmalar devam etmektedir.</t>
  </si>
  <si>
    <t>40.9948638, 28.9154045</t>
  </si>
  <si>
    <t>Merkezefendi Anadolu Lisesi Kapalı Spor Salonu İnşaatı</t>
  </si>
  <si>
    <t>​Çelik strüktür olarak projelendirilen Tip-1 Spor Salonunun toplam inşaat alanı 780 m2dir. Bunun 517 m2'si kapalı spor salonu olarak tasarlanmıştır. Bunun dışında Eğitmen Odası, Salon Görevli Odası, Spor Malzemeleri Odası, Temizlik Malzemeleri Odası, Mekanik ve Elektrik Odası, Soyunma Odası (2 Adet) ve Soyunma Kabini (2 Adet) ve WC (2 Adet Erkek, 2 Adet Kadın ve 1 Adet Engelli) fonksiyonlarını içermektedir.</t>
  </si>
  <si>
    <t>41.0156791, 28.9151536</t>
  </si>
  <si>
    <t>Zeytinburnu Çırpıcı Endüstri Parkı Hizmet Binaları Renovasyonu ve Çevre Düzenleme İnşaatı</t>
  </si>
  <si>
    <t>sergi salonu(728,4m2), çok amaçlı salon(1544m2), tasarım müzesi(1022m2),kreş(723,64m2),kafeterya(740m2), ofisler(400m2), atölyeler(1334m2)ve kütüphane(240m2) ve 92 araçlık açık otopark</t>
  </si>
  <si>
    <t>40.9999066, 28.8923979</t>
  </si>
  <si>
    <t>f0e544bb-5c35-eb11-b863-005056b0156e</t>
  </si>
  <si>
    <t>Çırpıcı Eski Tekstil Fabrikası Renovasyon Projesi</t>
  </si>
  <si>
    <t>Müzecilik ve Tarihi Alan Hizmetleri</t>
  </si>
  <si>
    <t>İstanbul Kent Müzesi Tamamlama İnşaatı</t>
  </si>
  <si>
    <t>Kalıcı Sergi Alanları: 5.600 m² 
Geçici Sergi Alanları: 1.300 m² 
Fuaye Alanı: 780 m² 
Restoran: 460 m² 
Oditoryum: 375 m² 
Kütüphane: 760 m² 
Atölyeler: 1.070 m² 
Ofisler: 550 m² 
Restoran: 460 m² 
Kapalı Otopark: 271 Araçlık 
Kafe: 425 m² 
Eser Depoları: 1.900 m² 
Çocuk Atölyesi: 415 m²​</t>
  </si>
  <si>
    <t>41.0180698, 28.9187042</t>
  </si>
  <si>
    <t>0bcd119f-8529-ef11-b8eb-005056b0106f</t>
  </si>
  <si>
    <t>Müze</t>
  </si>
  <si>
    <t>Şeyhli Su Deposu</t>
  </si>
  <si>
    <t>10.000 m3 Kapasiteli İçme Suyu Deposu</t>
  </si>
  <si>
    <t>Yeni Eklenmiş.</t>
  </si>
  <si>
    <t>40.9077603, 29.2866757</t>
  </si>
  <si>
    <t>Silahtarağa Parkı Çocuk Oyun Alanı Ve Spor Alanları Çevre Düzenlemesi</t>
  </si>
  <si>
    <t>Proje Alanı : 38.960 m² 
Yeşil Alan : 27.527 m²
Sert Zemin : 11.433 m²
Bisiklet Yolu : 600 m
Bina, Kafeterya : 1 Adet (179 m²)
Çocuk Oyun Alanı : 2 Adet
Spor Sahaları : 3 Adet
Fitness : 3 Adet
WC : 1 Adet
Bank : 60 Adet
Çöp Kovası : 26 Adet​</t>
  </si>
  <si>
    <t>Alan tesviyesi devam etmektedir.
Sulama tesisatı imalatı&amp;nbsp; devam etmektedir.</t>
  </si>
  <si>
    <t>YENİ EKLENMİŞ.</t>
  </si>
  <si>
    <t>41.0625600, 28.9446320</t>
  </si>
  <si>
    <t>7855bfac-7921-ee11-b8db-005056b0106f</t>
  </si>
  <si>
    <t>Silahtarağa Parkı</t>
  </si>
  <si>
    <t>Ayamama Yaşam Vadisi 2. Etap Yapım İşi</t>
  </si>
  <si>
    <t>Proje Alanı: 396.000m², Yeşil Alan: 188.333m², Sert Zemin: 87.524m², Dere: 1664 m (35.861m²), Yol, Refüj ve Tretuvar: 84.282m², Otopark: 2 Adet, Köpek Parkı: 1 Adet, Çocuk Oyun Alanı: 3 Adet, Fitness Alanı: 1 Adet, Kafeterya: 1 Adet, Futbol Sahası: 2 Adet, Basketbol Sahası: 4 Adet, Tenis Kortu: 4 Adet, Voleybol Sahası: 4 Adet, Plaj Voleybolu: 2 Adet, Büfe: 2 Adet, Festival Alanı Çim Alan + Sahne, Açık Yeşil Alan Macera Parkuru: 1 Adet, Açık Alan Piknik Masaları, Yapay Gölet, Aromatik Bitkiler Bahçesi, Lavanta Bahçesi.</t>
  </si>
  <si>
    <t>Çoklu İlçe; Bakırköy; Bahçelievler
- Yol çalışması devam etmektedir.
- Alt yapı çalışması devam etmektedir.
- Basketbol sahaları zemin tesviyesi devam etmektedir.
- Voleybol sahaları zemin tesviyesi devam etmektedir.
- Basketbol voleybol sahası kalıp yapımı devam etmektedir.
- Basketbol sahası kiriş donatı montajı devam etmektedir.
- Oyun alanı kalıp imalatı devam etmektedir.
- Oyun alanı zemin hazırlığı devam etmektedir.</t>
  </si>
  <si>
    <t>41.00113440594506, 28.812773995291924</t>
  </si>
  <si>
    <t>1b8ad798-4b3b-ee11-b8dd-005056b0106f</t>
  </si>
  <si>
    <t>Ayamama Yaşam Vadisi 2 Etap</t>
  </si>
  <si>
    <t>Ayamama Yaşam Vadisi 1. Etap 2. Kısım Yapım İşi</t>
  </si>
  <si>
    <t>Proje Alanı: 56.340m², Yeşil Alan: 22.700m², Sert Zemin: 33.640m², Otopark: 2 Adet, Bisiklet Yolu: 315 mt, Çocuk Oyun Alanı: 2 Adet, Futbol Sahası: 1 Adet, Büfe: 1 Adet, Zipline: 2 Adet, WC: 1 Adet, Açık Alan Piknik Masaları.</t>
  </si>
  <si>
    <t>Halı saha direklerinin boyanması işi devam etmektedir.
Oyun grubu montajı devam etmektedir.</t>
  </si>
  <si>
    <t>40.9821270, 28.8407262</t>
  </si>
  <si>
    <t>a8bf2e9f-a3cd-ef11-b90e-005056b0106f</t>
  </si>
  <si>
    <t>Ayamama Yaşam Vadisi 3_ Etap (Meydan)</t>
  </si>
  <si>
    <t>Kentsel Dönüşüm Uygulama Şube Müdürlüğü</t>
  </si>
  <si>
    <t>Kentsel Dönüşüm Uygulama Faaliyetleri</t>
  </si>
  <si>
    <t>İstanbul İli Eyüpsultan İlçesi Akşemsettin Mahallesi 122 Ada 494 Parsel Sayılı (K3) Riskli Alana İlişkin  Kentsel Dönüşüm Uygulaması İşi</t>
  </si>
  <si>
    <t>471 Adet Konut, 12 Adet Ticaret, 1 Adet Kreş</t>
  </si>
  <si>
    <t>29.12.2023 tarihinde Kiptaş ile imzalanan protokol kapsamında çalışmalara devam edilmektedir.‎ Fiziki ilerleme yüzdesi %23,24'tür. İşin süresi 1200 gündür.</t>
  </si>
  <si>
    <t>41.0894241, 28.9303710</t>
  </si>
  <si>
    <t>İstanbul ili, Eyüpsultan ilçesi, Akşemsettin Mahallesi 854 ada 8 parsel sayılı (K4) Riskli Alana İlişkinKentsel Dönüşüm Uygulaması İşi</t>
  </si>
  <si>
    <t>259 adet konut 1 adet ticaret</t>
  </si>
  <si>
    <t>29.12.2023 tarihinde Kiptaş ile imzalanan protokol kapsamında çalışmalara devam edilmektedir.‎Fiziki ilerleme yüzdesi %26'dır. İşin süresi 1080 gündür.</t>
  </si>
  <si>
    <t>41.0882251, 28.9324023</t>
  </si>
  <si>
    <t>İstanbul İli Sultangazi İlçesi Yunus Emre Mahallesi 1187 Ada 19 Parsel Sayılı Rezerv Yapı Alanına İlişkin Kentsel Dönüşüm Uygulaması İşi 1. Etap</t>
  </si>
  <si>
    <t>488 Adet Konut, 21 Adet Ticaret</t>
  </si>
  <si>
    <t>29.12.2023 tarihinde Kiptaş ile imzalanan protokol kapsamında çalışmalara devam edilmektedir.‎Fiziki ilerleme yüzdesi %42,96'dir. İşin süresi 900 gündür.</t>
  </si>
  <si>
    <t>41.0983838, 28.8972313</t>
  </si>
  <si>
    <t>Maltepe Mürüvvet Hanım İlkokulu İstinat Duvarı</t>
  </si>
  <si>
    <t>50 adet Fore Kazık İmalatı, 30 m İstinat Duvarı ve Yol imalat çalışmaları yapılacaktır.</t>
  </si>
  <si>
    <t>İstinat Duvarı İmalatına başlandı.</t>
  </si>
  <si>
    <t>40.9657330, 29.1261122</t>
  </si>
  <si>
    <t>İstinat Duvarı</t>
  </si>
  <si>
    <t>EMAAR YAN YOL DERZ DEĞİŞİMİ (Anadolu Yakası)</t>
  </si>
  <si>
    <t>Toplam 27 m uzunluğunda 160 lık derz değişimi</t>
  </si>
  <si>
    <t>utk kararı alındı . 08.09.2024 tarihinde</t>
  </si>
  <si>
    <t>41.005316, 29.070760</t>
  </si>
  <si>
    <t>Silivri Piri Mehmet Paşa Mahallesi YÜG Yapım</t>
  </si>
  <si>
    <t>Üst Geçit Yeniden Yapım</t>
  </si>
  <si>
    <t>41.0755344, 28.2427664</t>
  </si>
  <si>
    <t>fa49394f-9a24-ef11-b8eb-005056b0106f</t>
  </si>
  <si>
    <t>Silivri İlçesi Piri Mehmetpaşa Mahallesi Üstgeçidi Yeniden Yapım Projesi</t>
  </si>
  <si>
    <t>Cebeci Mah. Sultançiftliği Anadolu Lisesi Önü YÜG Yapım</t>
  </si>
  <si>
    <t>41.1211815, 28.8474010</t>
  </si>
  <si>
    <t>02008c35-1e9d-eb11-b876-005056b0336f</t>
  </si>
  <si>
    <t>Sultangazi İlçesi,Cebeci Mahallesi, Selçuklu Bulvarı Yaya Üst geçit Projesi</t>
  </si>
  <si>
    <t>Şile Karamandere Mahallesi Tuğrul Bey Sokak Heyelan Önleme İnşaatı</t>
  </si>
  <si>
    <t>160 m taş duvar</t>
  </si>
  <si>
    <t>41.1457459, 29.5929182</t>
  </si>
  <si>
    <t>Avcılar Denizköşkler Arası İstinat Duvarı Yapım (Heyelen Önleme)</t>
  </si>
  <si>
    <t>200 m fore kazık istinat duvarı</t>
  </si>
  <si>
    <t>Planlanandan Devam edene alındı</t>
  </si>
  <si>
    <t>40.977656637660665, 28.723833419535058</t>
  </si>
  <si>
    <t>İncirli Metrobüs İstasyonu Yaya Üstgeçidi Yeniden Yapım İnşaatı İşi</t>
  </si>
  <si>
    <t>​Turnike alanı, 2 adet asansör, rampa ve merdivenden oluşan engelli erişimine ve kullanım yoğunluğuna uygun ölçülerde projelendirilmiş yaya üstgeçidi yapılacaktır.</t>
  </si>
  <si>
    <t>40.99796652, 28.87424902</t>
  </si>
  <si>
    <t>5c87b1d1-fdb4-ee11-b8e6-005056b0106f</t>
  </si>
  <si>
    <t>Bakırköy İlçesi İncirli Yaya Sirkülasyonu ve Yaya Üst Geçit Projesi</t>
  </si>
  <si>
    <t>Sağmalcılar Kavşağı ile Bayrampaşa Sanayi Sitesi Arası İstinat Duvarı İnşaatı</t>
  </si>
  <si>
    <t>25 m Taş Duvar İmalatı tamamlandı, Projeye göre; 62 m uzunluğunda taş duvar zemin çivisi ile güçlendirilecek.</t>
  </si>
  <si>
    <t>Zemin çivisinin sahada teknik açıdan Uygulaması zorluğu (Zemin çivi makinası için yeteli alan yok) sebebiyle proje revize edilecek.</t>
  </si>
  <si>
    <t>41.04065457957819, 28.9123730294444</t>
  </si>
  <si>
    <t>a004afa6-e795-eb11-b876-005056b0336f</t>
  </si>
  <si>
    <t>Bayrampaşa İlçesi, Sağmalcılar Kavşağı ile Bayrampaşa Sanayi Sitesi Arası İstinat Duvarı Projesi</t>
  </si>
  <si>
    <t>Oruç Reis Mah. YÜG Yeniden Yapım</t>
  </si>
  <si>
    <t>Yeniden yapım. Engelli erişimine uygun üstgeçit</t>
  </si>
  <si>
    <t>41.0557659, 28.8596963</t>
  </si>
  <si>
    <t>71599c5c-1860-ed11-b8be-005056b0106f</t>
  </si>
  <si>
    <t>Esenler, Oruçreis Mahallesi Yaya Üstgeçidi</t>
  </si>
  <si>
    <t>Seyrantepe İtfaiye İstasyonu Hizmet Binası Yanı İstinat Duvarı İnşaatı</t>
  </si>
  <si>
    <t>( 15 adet ağaç deplase işlemi yapılacaktır. ) (Q100cm Çapında 18m derinliğinde 61 adet kazık ve istinat duvar imalatı</t>
  </si>
  <si>
    <t>Ağustos ayı itibariyle Çalışma Yapılacak alanda Ağaç Deplaseleri imalatları başladı.</t>
  </si>
  <si>
    <t>41.0958691, 28.9888600</t>
  </si>
  <si>
    <t>7779eeb2-e6e7-ec11-b8a6-005056b0106f</t>
  </si>
  <si>
    <t>Kağıthane İlçesi, Seyrantepe İtfaiye İstasyonu Hizmet Binası Yanı İstinat Duvarı Uygulama Projesi</t>
  </si>
  <si>
    <t>Şehit Aydın Çelik Caddesi YÜG Yapım</t>
  </si>
  <si>
    <t>1 Adey Yeni Yaya köprüsü ve 1 adet engelli asansörü yapılacaktır; bir tarafın yaya inişi rampalı olacaktır.</t>
  </si>
  <si>
    <t>40.92431000, 29.21037766</t>
  </si>
  <si>
    <t>000ea204-7954-ea11-b84c-005056b0156e</t>
  </si>
  <si>
    <t>Kartal İlçesi Şehit Aydın Çelik Caddesi Üstgeçidi Projesi</t>
  </si>
  <si>
    <t>Mahmutbey Kavşağı İbrahim Tatlıses Yaya Üst Geçidi Güçlendirilmesi</t>
  </si>
  <si>
    <t>Mevcut Yaya Üstgeçidigüçlendirilecek</t>
  </si>
  <si>
    <t>41.0614347, 28.8050854</t>
  </si>
  <si>
    <t>Selimpaşa Kavşağı Selimpaşa Kocadere Köprüsü</t>
  </si>
  <si>
    <t>41.0548821, 28.3666090</t>
  </si>
  <si>
    <t>a1bc8e8c-3b51-ed11-b8b6-005056b0106f</t>
  </si>
  <si>
    <t>Selimpaşa Kocadere Köprü Yenileme ve Güçlendirme İnşaatı</t>
  </si>
  <si>
    <t>ETÜD VE PROJELER DAİRESİ BAŞKANLIĞI</t>
  </si>
  <si>
    <t>Altyapı Projeler Şube Müdürlüğü</t>
  </si>
  <si>
    <t>Burgazada Gezinti Caddesi Sahil Düzenleme Projesi</t>
  </si>
  <si>
    <t>​Sahil Yolunu Tutan Anroşmanların Denize Doğru Kaymasıyla Asfalt Kaplamanın Altındaki Malzeme Boşalmış Olduğundan Yolu Tutabilecek Deniz Yapısının Güçlendirilmesi</t>
  </si>
  <si>
    <t>40.88524041, 29.06506598</t>
  </si>
  <si>
    <t>cdf59224-ffc3-ee11-b8e7-005056b0106f</t>
  </si>
  <si>
    <t>Sahil Yolu Düzenleme</t>
  </si>
  <si>
    <t>Büyükada Gülistan Caddesi Rıhtım Güçlendirme Projesi 120 Ada         8 Parsel</t>
  </si>
  <si>
    <t>Rıhtım Güçlendirme ​120 Ada ​​8 Parsel​​</t>
  </si>
  <si>
    <t>40.8740, 29.1268</t>
  </si>
  <si>
    <t>9f09f79f-9ac1-ee11-b8e6-005056b0106f</t>
  </si>
  <si>
    <t>Büyükada Gülistan Caddesi Rıhtım Düzenleme Projesi</t>
  </si>
  <si>
    <t>Adalar İlçesi Heybeliada Mahallesi Yük İskelesi Onarım ve Güçlendirme Projesi</t>
  </si>
  <si>
    <t>100 m uzunluğunda 5 m genişliğinde rıhtım.​​</t>
  </si>
  <si>
    <t>40.87935180, 29.09986308</t>
  </si>
  <si>
    <t>83b75993-d4e4-ed11-b8d6-005056b0106f</t>
  </si>
  <si>
    <t>KÜLTÜR DAİRESİ BAŞKANLIĞI</t>
  </si>
  <si>
    <t>Orkestralar Şube Müdürlüğü</t>
  </si>
  <si>
    <t>Turizm Planı Hazırlanması; Turizm Ofisi Kurulması, Turistik Rotaların Belirlenmesi, Bilgilendirme Ve Tanıtım Materyalleri İle Mobil Uygulama Vb. Hazırlanması</t>
  </si>
  <si>
    <t>Her Adaya Turizm Enformasyon Bürolarının Kurulması, Tanıtıcı Materyallerin Hazırlanması, Elektronik Tabanlı Program Geliştirilmesi, Vasıflı Personel Görevlendirilmesi</t>
  </si>
  <si>
    <t>40.87437720954383, 29.13273594001834</t>
  </si>
  <si>
    <t>Büyükada Veteriner Hizmetleri Ahır Bölgesi İstinat Duvarı Projesi (290/101)</t>
  </si>
  <si>
    <t>474 m2 İstinat Duvarı Güçlendirme Projesi​</t>
  </si>
  <si>
    <t>40.84373934, 29.12339271</t>
  </si>
  <si>
    <t>30ed9204-5660-ef11-b8ee-005056b0106f</t>
  </si>
  <si>
    <t>Adalar İlçesi, Büyükada Veteriner Hizmetleri Ahır Bölgesi İstinat Duvarı Deformasyon Önlem Projesi</t>
  </si>
  <si>
    <t>Kentsel Tasarım Şube Müdürlüğü</t>
  </si>
  <si>
    <t>Adalar Kentsel Tasarım Rehberi</t>
  </si>
  <si>
    <t>Kentsel Tasarım Rehberi</t>
  </si>
  <si>
    <t>Yapım işi bulunmamaktadır.</t>
  </si>
  <si>
    <t>Maliyet Girilemiyor</t>
  </si>
  <si>
    <t>40.87441800935876, 29.132763330064297</t>
  </si>
  <si>
    <t>3ac75779-0c2c-ec11-b882-005056b0336f</t>
  </si>
  <si>
    <t>Kentsel Tasarım</t>
  </si>
  <si>
    <t>Büyükada Fayton Meydanı Kentsel Tasarımına Yönelik Uygulama Projesi Temini İşi</t>
  </si>
  <si>
    <t>​Meydan Düzenleme, Zemin Rehabilitasyonu</t>
  </si>
  <si>
    <t>Kurul Süreci Devam Etmektedir.</t>
  </si>
  <si>
    <t>40.874208195676786, 29.12838705522131</t>
  </si>
  <si>
    <t>2b68d296-ef2b-ec11-b882-005056b0336f</t>
  </si>
  <si>
    <t>Heybeliada, Burgazada ve Kınalıadada Cephe, Zemin ve Meydan Rehabilitasyonu Kentsel Tasarım Projesi</t>
  </si>
  <si>
    <t>​Meydan Düzenleme, Sahil Şer​idi Düzenleme, Plaj Alanları, Fest​​​ival Alanı, Rekreasyon Alanı​</t>
  </si>
  <si>
    <t>40.87904076426421, 29.099815509239328</t>
  </si>
  <si>
    <t>a0db41d1-0d2c-ec11-b882-005056b0336f</t>
  </si>
  <si>
    <t>Üstyapı Projeler Şube Müdürlüğü</t>
  </si>
  <si>
    <t>Adalar İlçesi Heybeliada Mahallesi,181 ada 1 parselde Kreş Projesi</t>
  </si>
  <si>
    <t>2 Derslikli Kreş.</t>
  </si>
  <si>
    <t>40.8757935, 29.0943154</t>
  </si>
  <si>
    <t>20696337-bfae-ee11-b8e6-005056b0106f</t>
  </si>
  <si>
    <t>Adalar İlçesi Heybeliada Mahallesi 181 Ada 1 Parsel Kreş Projesi</t>
  </si>
  <si>
    <t>ULAŞIM DAİRESİ BAŞKANLIĞI</t>
  </si>
  <si>
    <t>Ulaşım Planlama Şube Müdürlüğü</t>
  </si>
  <si>
    <t>Bisiklet Yolu Çalışmaları</t>
  </si>
  <si>
    <t>Örnek Bisiklet Kiralama Sisteminin Kurulması</t>
  </si>
  <si>
    <t>İspark Vb. Yoluyla Örnek Bisiklet Kiralama Sisteminin Kurulması</t>
  </si>
  <si>
    <t>İstanbul Geneli Yeni bisiklet paylaşım sistemiyle birlikte, İstanbul Büyükşehir Belediyesi’nin İstanbul İklim Değişikliği Eylem Planı’nda hedeflenmiş olan 2050 karbon nötr vizyonuna doğrultusunda,  bir sistem oluşturulacaktır. Elektrikli bisikletler ve istasyonsuz işletme modelinin uygulanacağı yeni bisiklet paylaşım sistemi, lisans verilecek şirketler tarafından İBB denetiminde işletilecektir.
Sistemin yatırım maliyeti, firmalar tarafından karşılanacaktır. Bu da Belediyemiz bütçesine herhangi bir yük oluşturmaması bakımından önemlidir.
İstanbul Büyükşehir Belediye Meclisi’nin 12.03.2025 tarihli ve 298 sayılı kararı ile onaylanan İstanbul Büyükşehir Belediye Başkanlığı Paylaşımlı Bisiklet Yönetmeliği Revizyonu; bahsedilen sistemin hayata geçirilmesi, sistemdeki detayların belirlenmesi ve uygulanması açısından esas teşkil etmektedir.                                           
Söz konusu İstanbul Geneli Paylaşımlı Bisiklet Sistemi, Adalar İlçesinde ar-ge çalışmaları devam eden Bisiklet Kiralama Sistemine örnek teşkil etmesi bakımından önemli olacaktır.
İlçe belediyesi talebi olan paylaşımlı bisiklet sistemi Adalar ilçesi için uygundur. UKOME’nin 2022/4-1 sayılı kararında belirtilen (Adalar İlçesi bisiklet paylaşım ve kiralama hizmeti yönergesi) içindeki maddeler yeterli düzeydedir. İstanbul genelinde sürdürdüğümüz paylaşımlı bisiklet sistemi projemiz pilot bölge seçimi noktasına gelmiştir. Adalar ilçesinin bu pilot bölge adaylarından biri olması adına, Adalardaki bu yönergeyi dayanak göstererek Adalar genelinde paylaşımlı bisiklet sistemi&amp;nbsp; çalışmalarımız,&amp;nbsp; katılımcı bir süreç ile devam ediyor.&lt;/div&gt;</t>
  </si>
  <si>
    <t>40.87447479727825, 29.132784787735996</t>
  </si>
  <si>
    <t>Adalar İlçesi Altyapı Yatırımları</t>
  </si>
  <si>
    <t xml:space="preserve">8.9 km atıksu şebeke ve kolektör kanalı
</t>
  </si>
  <si>
    <t xml:space="preserve">İlerki Yatırım Programında Değerlendirilecektir.
</t>
  </si>
  <si>
    <t>40.874527528874175, 29.132548753347358</t>
  </si>
  <si>
    <t>Arnavutköy İlçesi, Arnavutköy Devlet Hastanesi Bölgesi Kaya Düşmesi Önlem İnşaatı İşi</t>
  </si>
  <si>
    <t>​19500 m2 Kaya Düşmesi Önlem Projesi</t>
  </si>
  <si>
    <t>41.1762294, 28.7455612</t>
  </si>
  <si>
    <t>d4b5e4c2-5260-ef11-b8ee-005056b0106f</t>
  </si>
  <si>
    <t>Arnavutköy İlçesi, Arnavutköy Devlet Hastanesi Bölgesi Kaya Düşmesi Önlem Projesi</t>
  </si>
  <si>
    <t>Şirin Deresi ıslahı</t>
  </si>
  <si>
    <t>100 metre</t>
  </si>
  <si>
    <t>41.2314104, 28.6777351</t>
  </si>
  <si>
    <t>Karaburun Mahallesi, Terkos-Karaburun Caddesi İstinat Duvarı İnşaatı</t>
  </si>
  <si>
    <t>Yaklaşık 185 m uzunluğunda duvar.​​​</t>
  </si>
  <si>
    <t>41.3007355, 28.6740995</t>
  </si>
  <si>
    <t>7168402e-b086-ed11-b8c4-005056b0106f</t>
  </si>
  <si>
    <t>Arnavutköy İlçesi, Karaburun Mahallesi, Terkos-Karaburun Caddesi, İstinat Duvarı Projesi</t>
  </si>
  <si>
    <t>41.18036858712689, 28.734099651377395</t>
  </si>
  <si>
    <t>Terkos Köşk binasının restorasyonu</t>
  </si>
  <si>
    <t>Terkos Tarihi Pompa İstasyonu'na hizmet etmiş olan Fabrika Genel Müdürü'ne ait köşk binasının (Rölöve-Restitüsyon-Restorasyon) proje ve uygulama ihaleleri planlanmaktadır.</t>
  </si>
  <si>
    <t>41.30098205314953, 28.673586687678508</t>
  </si>
  <si>
    <t>Ulaşım Koordinasyon Şube Müdürlüğü</t>
  </si>
  <si>
    <t>Ataşehir İlçesi, Aksekili Mehmet Uslu Caddesi-Necip Fazıl Bulvarı-Barajyolu Kesişimi Revize Yol Ve Kavşak Uygulama Projesi</t>
  </si>
  <si>
    <t>317.50 Metre Köprü Bulunmaktadır.</t>
  </si>
  <si>
    <t>15.08.2024 tarihli 2024/31-14 nolu UTK kararı alınmıştır.
Bütçesi Fen İşleri Dairesi Başkanlığı tarafından verilmelidir.
Talebe ilişkin &amp;quot;Ataşehir İlçesi, Aksekili Mehmet Uslu Caddesi - Dudullu Caddesi - Baraj Yolu Kesişimi Yol Kavşak Revize Projesi&amp;quot; revize çalışması tamamlanmış olup, UTK aşamasındadır. UTK alındıktan sonra uygulama projelerinin hazırlanması için Etüt ve Projeler Dairesi Başkanlığı’na gönderilecektir.</t>
  </si>
  <si>
    <t>40.99094866962045, 29.15026576762508</t>
  </si>
  <si>
    <t>Kayışdağı ve Dudullu Caddesi Kentsel Tasarım Uygulama Projesi</t>
  </si>
  <si>
    <t>40.9890100, 29.1462440</t>
  </si>
  <si>
    <t>8561ecba-2a44-ef11-b8eb-005056b0106f</t>
  </si>
  <si>
    <t>İçerenköy Hal Çevresi Projesi</t>
  </si>
  <si>
    <t>Park Alanı, Kültürel Tesis Alanı, Ticaret+Konut Alanı, Belediye Hizmet Alanı, Mesleki Eğitim Alanı, İtfaiye Alanı, Dini Tesis Alanı​</t>
  </si>
  <si>
    <t>(3395 Ada 1 Parsel 3396 Ada 1-2 Parsellerİçerenköy)</t>
  </si>
  <si>
    <t>40.9782098, 29.1038746</t>
  </si>
  <si>
    <t>90a2c777-c0ae-ee11-b8e6-005056b0106f</t>
  </si>
  <si>
    <t>Ataşehir İçerenköy Hal ve Yakın Çevresi Renovasyon Projesi</t>
  </si>
  <si>
    <t>Kayışdağı Caddesi Tramvay</t>
  </si>
  <si>
    <t>2500 M Tramvay Hattı</t>
  </si>
  <si>
    <t>Cadde Düzenlemesi kapsamında yapılacaktır. Daire Başkanlığımız tarafından araç alımı gereçkelşetirilecektir.</t>
  </si>
  <si>
    <t xml:space="preserve">6.000.000,00 Euro
 (Sadece Araç Maliyeti)
</t>
  </si>
  <si>
    <t>40.9782879, 29.1409211</t>
  </si>
  <si>
    <t>Tramvay</t>
  </si>
  <si>
    <t>Hayvan Sağlığı Hizmetleri</t>
  </si>
  <si>
    <t>Ataşehir Hayvan Bakımevi ve Bahçeli Yaşam Alanı Projesi</t>
  </si>
  <si>
    <t>Tedavi Merkezi, Aşılama Birimi, Kedi ve Köpek Barınak/ Serbest Dolaşım Alanları, Kedi ve Köpek Hasta Bakım, Güvenlik Kulübesi, ​Soğuk Hava- Teknik- Mama Deposu</t>
  </si>
  <si>
    <t>40.9862887, 29.1275291</t>
  </si>
  <si>
    <t>f7dfe7cb-64c7-ef11-b90e-005056b0106f</t>
  </si>
  <si>
    <t>1,6 km atıksu boru itme</t>
  </si>
  <si>
    <t>Yaşam Vadileri İBB listesindedir.
Yeni ihale kapsamında değerlendirilecektir.</t>
  </si>
  <si>
    <t>40.98722240135295, 29.13187272865104</t>
  </si>
  <si>
    <t>Ataşehir Şube Binası</t>
  </si>
  <si>
    <t>Ataşehir Hizmet Binası</t>
  </si>
  <si>
    <t>40.99771528245034, 29.100792939077298</t>
  </si>
  <si>
    <t>Çamaşırcıdere Yaşam Vadisi</t>
  </si>
  <si>
    <t>Ataşehir – Maltepe Çamaşırcı Deresi Yaşam Vadisi</t>
  </si>
  <si>
    <t>İBB Yaşam Vadileri listesine eklendi</t>
  </si>
  <si>
    <t>40.98660689540164, 29.133117273609333</t>
  </si>
  <si>
    <t>Kayışdağı Tarihi Su Yolları Doğa Gözlem Alanı</t>
  </si>
  <si>
    <t>Kent Yaşam Alanı İçinde Doğal Ve Kültürel Peyzajı İçinde Barındıran Kayışdağı Memba Suları Alanı; Özgün Ve Öncü Bir Proje Konsepti</t>
  </si>
  <si>
    <t>40.97474174300512, 29.15356224966702</t>
  </si>
  <si>
    <t xml:space="preserve">Ataşehir İmes Kavşağı ile Sancaktepe Samandıra Köprülü Kavşağı Arası TEM Kuzey-Güney Yanyolları Düzenleme Revize Projesi </t>
  </si>
  <si>
    <t>​15 Km Yol, 6 Adet Araç Üst Geçidi,2 Adet Alt Geçit, ​​3 Adet Köprü Projesi Planlanmaktadır. Yenişehir, Yeni Çamlıca, Ferhatpaşa, Eyüp Sultan (Sancaktepe), Esenkent (Ümraniye), Dudullu OSB (Ümraniye), Esenşehir (Ümraniye), Şerifali (Ümraniye) Mahalleleri</t>
  </si>
  <si>
    <t>Ataşehir; Sancaktepe; Ümraniye</t>
  </si>
  <si>
    <t>40.989995, 29.180576</t>
  </si>
  <si>
    <t>8b2fe59d-5f27-ec11-b882-005056b0336f</t>
  </si>
  <si>
    <t>Ataşehir İmes Kavşağı ile Sancaktepe Samandıra Köprülü Kavşağı Arası TEM Kuzey-Güney Yanyolları Düzenleme Revize Projesi</t>
  </si>
  <si>
    <t>Ambarlı Mahallesi Öğretmenler Caddesi Ve Ihlamur Yolu Sokak</t>
  </si>
  <si>
    <t>40.97500916916246, 28.720013320438575</t>
  </si>
  <si>
    <t>Ambarlı İleri Biyolojik Atıksu Arıtma Tesisi 2.Kademe İnşaatı ve Deniz Deşarj İşi</t>
  </si>
  <si>
    <t xml:space="preserve">600 bin m3/gün kapasiteli İleri Biyolojik Atıksu Arıtma Tesisi 2. Kademe İnşaatı ve Deniz Deşarjı
</t>
  </si>
  <si>
    <t>İleri Biyolojik Atıksu Arıtma Tesisi&amp;nbsp; ve Deniz deşarjı
*İHALE SÜRECİNDE</t>
  </si>
  <si>
    <t>40.99029018431943, 28.6811595357065</t>
  </si>
  <si>
    <t>Avcılar Reşitpaşa Caddesi Zeminaltı Otopark İnşaatı</t>
  </si>
  <si>
    <t>3325,67 m2 alana sahip Avcılar İlçesi, Cihangir Mahallesi 23616 parselde inşa edilmesi öngörülmekte olup, Proje 5 kattan oluşmaktadır, toplam inşaat alanı 9.798 m2, toplam araç kapasitesi 236 araçtır. Zeminaltı Otoparkta 12 adet engelli araç, 12 adet elektrikli araç ve 106.7 m2 bisiklet ve motorsiklet park alanı bulunmaktadır. Otopark üzerinde yer alan meydanda 1484 m2 yeşil alan, 1842 m2 sert zemin bulunmaktadır. Ayrıca meydanda çocuk oyun alanı, pergole ve oturma birimleri yer almaktadır.</t>
  </si>
  <si>
    <t>40.98244376, 28.71200436</t>
  </si>
  <si>
    <t>afb1ddb0-1038-ee11-b8dd-005056b0106f</t>
  </si>
  <si>
    <t>Avcılar Reşitpaşa Caddesi Zeminaltı Otopark Revize Projesi (AVC-20)</t>
  </si>
  <si>
    <t>Avcılar (Menekşe Sahili ) Sahil Parkı Önü Kıyı Yapısı Düzenleme İşi</t>
  </si>
  <si>
    <t>Yaklaşık 200 metre uzunluğundaki şeritte 200 adet Ø 812,8 /14 mm çelik kazık ve betonarme imalatları ile alanın güçlendirilerek, onarılması ile
2 adet iskelenin çelik strüktürlerinde çürüme,kopma ve korozyonlar meydana geldiği, güçlendirmesi gerektiği tespit edilmiştir.</t>
  </si>
  <si>
    <t>40.9803850, 28.7563933</t>
  </si>
  <si>
    <t>856daba3-b711-ef11-b8ea-005056b0106f</t>
  </si>
  <si>
    <t>İstanbul Geneli Kıyı ve Deniz Yapıları Onarım,Tadilat ve Güçlendirme 3 Grup İnşaatı</t>
  </si>
  <si>
    <t>Kıyı Yapı Elemanı</t>
  </si>
  <si>
    <t>Avcılar Haydar Akın Lisesi İstinat Duvarı</t>
  </si>
  <si>
    <t>40.99765608947087, 28.703313105135454</t>
  </si>
  <si>
    <t>Gümüşpala Mahallesi Paşaeli Kent Parkı</t>
  </si>
  <si>
    <t>99.957,52 M2</t>
  </si>
  <si>
    <t>40.98572468240705, 28.735401330717124</t>
  </si>
  <si>
    <t>Avcılar Nikah Salonu Projesi</t>
  </si>
  <si>
    <t>22.176 M² Cihangir (İnş.Alanı)  (0 Ada 22452 Parsel)</t>
  </si>
  <si>
    <t>40.976727298271555, 28.744114789398715</t>
  </si>
  <si>
    <t>85a73a74-85f2-ef11-b90e-005056b0106f</t>
  </si>
  <si>
    <t>Evlendirme Dairesi (Nikah Salonu)</t>
  </si>
  <si>
    <t>Hizmet Binası 13.000 m² (0 Ada 23467 Parsel Merkez Mahallesi)</t>
  </si>
  <si>
    <t>13.000 M² Merkez (İnş. Alanı) (0 Ada 23467 Parsel Merkez Mahallesi)</t>
  </si>
  <si>
    <t>Değerlendirmede</t>
  </si>
  <si>
    <t>40.9782577, 28.7214715</t>
  </si>
  <si>
    <t>Barış Manço Kültür Merkezi Yıkılıp Yeniden Yapılması</t>
  </si>
  <si>
    <t>17.500 M² İnşaat Alanı</t>
  </si>
  <si>
    <t>40.980352, 28.720562</t>
  </si>
  <si>
    <t>b3f5ede4-85f2-ef11-b90e-005056b0106f</t>
  </si>
  <si>
    <t>Şht.Astğm. Mustafa Burcu Parkı Revizyonunun Yapılması</t>
  </si>
  <si>
    <t>20.325,57 M2</t>
  </si>
  <si>
    <t>40.97187470180362, 28.718267814268135</t>
  </si>
  <si>
    <t>NIKAH SARAYI VE HALIDE EDIP ADIVAR PARKI ZEMIN ALTI KATLI OTOPARK</t>
  </si>
  <si>
    <t>3.778 M² (İnş.Alanı) 15.866 M² (İnş.Alanı) 5.861 m² Yeşil Alan</t>
  </si>
  <si>
    <t>********Avcılar Belediye Başkanlığına AVC-01 kodlu otopark alanı ile ilgili görüş sorulmuş,  Avcılar Belediye Başkanlığı Plan ve Proje Müdürlüğünün cevabi yazısında "Söz konusu 4081 parselinde içerisinde bulunduğu meydan ve çevresi donatı alanlarının düzenlenmesi için 1/5000 ve 1/1000 ölçekli imar planı değişikliği çalışmalarının yapıldığı ve İBB Meclisine iletilmek üzere Planlama Şube Müdürlüğüne iletildiği, çalışmalarımızda bu konunun dikkate alınması gerektiği" belirtilmiştir. Plan tadilat süreci tamamlandıktan sonra değerlendirilecektir.********
Bütçesi projesi için Etüd ve Projeler DB imalat için Fen İşleri Dairesi Başkanlığı tarafından verilmelidir.
ulaşım dairesi başkanlığı tarafından denizköşkler caddesi üzerinde 4081 parselin bir kısmında avc-01 kodlu zemin altı otopark alanı planlanmıştır. söz konusu alan ile ilgili olarak; mülkiyet sorununun çözümlenmesi amacıyla ilçe belediyesi ile görüşülecek olup sonrasında konu emlak şube müdürlüğü’ne resmi yazı ile iletilecektir.</t>
  </si>
  <si>
    <t>Uygulama Proje aşamasında</t>
  </si>
  <si>
    <t>40.97905437498136, 28.721379658245034</t>
  </si>
  <si>
    <t>4 km atıksu şebeke ve kolektör kanalı</t>
  </si>
  <si>
    <t>Avcılar Şube Binası yapımı</t>
  </si>
  <si>
    <t>40.9810853, 28.7216573</t>
  </si>
  <si>
    <t>1.Değirmendere Yaşam Vadisi 2.Ihlamuryolu Yaşam Vadisi 3.Sazlıdere Yaşam Vadisi</t>
  </si>
  <si>
    <t>41.0767452, 28.7192643</t>
  </si>
  <si>
    <t>Matbaacılar Sitesi Yanı Parkı</t>
  </si>
  <si>
    <t>41.062022, 28.849280</t>
  </si>
  <si>
    <t>a9a34e1b-581e-ef11-b8eb-005056b0106f</t>
  </si>
  <si>
    <t>Bağcılar Eğitim ve Araştırma Hastanesi Yakın Çevre Yol Kavşak Düzenleme İnşaatı</t>
  </si>
  <si>
    <t>Hastane çevre yolları yapılacak ve sirkülasyon yönleri değiştirilecek</t>
  </si>
  <si>
    <t>41.030572, 28.870647</t>
  </si>
  <si>
    <t>c0b43af8-0048-ef11-b8eb-005056b0106f</t>
  </si>
  <si>
    <t>Bağcılar İlçesi, Bağcılar Eğitim ve Araştırma Hastanesi Çevresi, Yol - Kavşak Uygulama Projesi</t>
  </si>
  <si>
    <t>Kavşak Yapımı</t>
  </si>
  <si>
    <t>Fatih Caddesinin Düzenlemesi</t>
  </si>
  <si>
    <t>Fatih Caddesi Arsa Alanı 9.641 M² Fatih Caddesi Uzunluğu 791,80 M²</t>
  </si>
  <si>
    <t>41.0403184, 28.8608687</t>
  </si>
  <si>
    <t>Güngören Caddesinin Düzenlemesi</t>
  </si>
  <si>
    <t>Güngören Cad. Arsa Alanı 12.031 M² Güngören Cad. Uzunluğu&amp;#58; 730,71 M²</t>
  </si>
  <si>
    <t>41.0308875, 28.8629671</t>
  </si>
  <si>
    <t>14,5 km atıksu şebeke ve kolektör kanalı</t>
  </si>
  <si>
    <t>41.0323292, 28.8332291</t>
  </si>
  <si>
    <t>Mahmutbey Metro İstasyonu-İstanbul Bölge İdare Mahkemesi-İstoç Metro İstasyonu Arası Yaya Sirkülasyon Projesi</t>
  </si>
  <si>
    <t>​34.469 M² (Cadde Düzenleme Alanı), 720 M² (Yaya Üst Geçidi Alanı)​</t>
  </si>
  <si>
    <t>41.06240716, 28.82936663</t>
  </si>
  <si>
    <t>fa47e4f6-baae-ee11-b8e6-005056b0106f</t>
  </si>
  <si>
    <t>Zemin Düzenlemeleri</t>
  </si>
  <si>
    <t>Bağcılar, Batışehir Cd, H Karaaslan Cd, Matbaacılar Cd, Yan Yol, Veysel Karani Cd Kesişimi Yol, Kavşak Düzenleme Revize Projesi</t>
  </si>
  <si>
    <t>​1450 M Uzunluğunda Yol Ve Kavşak Projesi</t>
  </si>
  <si>
    <t>41.0614897, 28.8479626</t>
  </si>
  <si>
    <t>afc08f4d-60d8-ed11-b8d4-005056b0106f</t>
  </si>
  <si>
    <t>100. Yıl Mahallesi Kütüphane ve Yüzme Havuzu Projesi</t>
  </si>
  <si>
    <t>Bodrum Kat 915,35 M² , Zemin Kat 901,18 M² 1.Normal Kat 941,46 M² , 2.Normal Kat 941,46 M² Toplam İnşaat Alanı 3700,00 M². Söz Konusu Proje İçeriğinde; 1578,63 M² Kütüphane Alanı Ve 1205,00 M² Havuz Ve Fitness Salonu Bulunmaktadır.</t>
  </si>
  <si>
    <t>Uygulama projesini ilçe belediyesi çalışmıştır.</t>
  </si>
  <si>
    <t>Toplam İnşaat Alanı: 3700,00 M² (2239 Ada)</t>
  </si>
  <si>
    <t>41.0585499, 28.8544115</t>
  </si>
  <si>
    <t>b1a67577-86f2-ef11-b90e-005056b0106f</t>
  </si>
  <si>
    <t>100 Yıl Mahallesi Kütüphane ve Yüzme Havuzu Projesi</t>
  </si>
  <si>
    <t>Yüzme Havuzu</t>
  </si>
  <si>
    <t>Yüzyıl Köprüsü Güçlendirme Projesi</t>
  </si>
  <si>
    <t>​1365 M2 Alanlı Köprü​</t>
  </si>
  <si>
    <t>Çoklu İlçe; Bağcılar; Esenler</t>
  </si>
  <si>
    <t>41.0547712, 28.8548476</t>
  </si>
  <si>
    <t>4c4642ed-82b0-ee11-b8e6-005056b0106f</t>
  </si>
  <si>
    <t>Bağcılar İlçesi, Yüzyıl Köprüsü Güçlendirme Projesi</t>
  </si>
  <si>
    <t>Bahçelievler İlçesi, Mahmutbey Yeşilköy Bağlantı Yolu Değirmenbahçe Caddesi Araç Üst Geçidi Güçlendirme Projesi</t>
  </si>
  <si>
    <t>​Yaklaşık 1080 m² köprü</t>
  </si>
  <si>
    <t>41.009576146843074, 28.813388644943753</t>
  </si>
  <si>
    <t>74d55687-5f7a-ef11-b8f1-005056b0106f</t>
  </si>
  <si>
    <t>Bahçelievler İlçesi, Adnan Kahveci Bulvarı Haznedar Altgeçidi Güçlendirme Projesi</t>
  </si>
  <si>
    <t>2364 m2 altgeçit güçlendirme projesi.</t>
  </si>
  <si>
    <t>Yıkım kararı alınmış olup Altyapı Projeler Şube Müdürlüğü tarafından proje çalışmaları devam etmektedir.</t>
  </si>
  <si>
    <t>41.00626211172856, 28.870512804835617</t>
  </si>
  <si>
    <t>811963f1-4a0a-ec11-b87e-005056b0336f</t>
  </si>
  <si>
    <t>Bahçelievler İlçesi, Adnan Kahveci Bulvarı, Haznedar Altgeçidi Güçlendirme Projesi</t>
  </si>
  <si>
    <t>Yenibosna Fidanlık Borsası Ve Rekreasyon Alanı Yapılması Projesi (179.500 m² lik 11220 parselde Fidanlık Borsası)</t>
  </si>
  <si>
    <t>Yeşil Alan Proje alanı olarak Ayamama Yaşam Vadisi 2. Etap kapsamında çalışmalarımız devam etmektedir.</t>
  </si>
  <si>
    <t>Ayamama Yaşam Vadisi 2. Etap kapsamında &amp;quot;Devam Eden&amp;quot; projeler listesinde tutarlar girilmiştir.</t>
  </si>
  <si>
    <t>Maliyet Ayamama YV de girilmiştir.</t>
  </si>
  <si>
    <t>40.9996011, 28.8157855</t>
  </si>
  <si>
    <t>Şirinevler Meydanı Cephe Rehabilitasyonu Kentsel Tasarım Projesi (1341/2 )</t>
  </si>
  <si>
    <t>(1341/2 )</t>
  </si>
  <si>
    <t>Proje çalışmaları tamamlanmış olup meclis kararı için yazı yazılmıştır.</t>
  </si>
  <si>
    <t>40.99263752203929, 28.848146018172077</t>
  </si>
  <si>
    <t>0eab0334-2c44-ef11-b8eb-005056b0106f</t>
  </si>
  <si>
    <t>Şirinevler Meydanı Cephe Rehabilitasyonu Kentsel Tasarım Projesi</t>
  </si>
  <si>
    <t>Bahçelievler Kocasinan İtfaiye Projesi</t>
  </si>
  <si>
    <t>12 araçlık itfaiye binası ve Spor Salonu (0 ada 5156 parsel)</t>
  </si>
  <si>
    <t>(0 ada 5156 parsel)</t>
  </si>
  <si>
    <t>41.01420381960647, 28.837416762159542</t>
  </si>
  <si>
    <t>74637c89-43fe-ee11-b8e8-005056b0106f</t>
  </si>
  <si>
    <t>Çavuşpaşa Durağı (Bahçelievler Devlet Hastanesi) Önü YÜG EEUHG</t>
  </si>
  <si>
    <t>41.005214854507976, 28.849175612120764</t>
  </si>
  <si>
    <t>Adnan Kahveci Bulvarı Boyunca Kaldırımlara Parklanmanın Önlenebilmesi İçin Çalışma Yapılması</t>
  </si>
  <si>
    <t>Yol-Kaldırım Düzenleme</t>
  </si>
  <si>
    <t xml:space="preserve">2023 yılında asfaltlama çalışması yapılmıştır. 
</t>
  </si>
  <si>
    <t>41.0022608896531, 28.863734406421525</t>
  </si>
  <si>
    <t>Bahçelievler Haznedar Otopark Ve Yeşil Alan Yapılması Projesi</t>
  </si>
  <si>
    <t>Otopark Ve Yeşil Alan</t>
  </si>
  <si>
    <t>Güngören Belediye Başkanlığına GUN-61 kodlu otopark alanı ile ilgili olarak görüş sorulmuş olup Güngören Belediye Başkanlığının cevabi yazısında; "Haznedar Mahallesi'nde yer alan 223 ada 1 sayılı parselin Zemin Altı Mekanik Otopark alanı olarak çalışıldığı, fiiliyatta park alanı olarak kullanıldığı, cephe aldığı Bağcılar Caddesi boyunca yer alan ticari birimler ve park alanının çevresinde yer alan mevcut yapı stoğunun 5 kat irtifalı ve yüksek nüfus yoğunluklu olması sebebiyle otopark ihtiyacının bulunduğu; yer seçimi yapılan zemin altı mekanik otopark çalışmasının uygun görüldüğü" belirtilmiştir. Güngören Belediye Başkanlığının uygun görüşü doğrultusunda Raylı Sistem Dairesi Başkanlığına görüş sorulacak olup Etüd ve Projeler Dairesi Başkanlığına iletilecektir.
Bütçesi projesi için Etüd ve Projeler DB imalat için Fen İşleri Dairesi Başkanlığı tarafından verilmelidir.
ulaşım dairesi başkanlığı tarafından bahçe sokak ve parmak sokak arasında kalan alan gun-61 kodlu zemin altı mekanik otopark alanı olarak planlanmış olup, imar planında kısmen raylı sistem koruma kuşağında, kısmen park alanında kalmaktadır. söz konusu alan mevcutta çocuk parkı olup, yaklaşık 640 m² büyüklüğündedir. söz konusu alan ile ilgili olarak zemin etütlerine ilişkin raylı sistem dairesi başkanlığı’nın görüşü istenecek olup, uygun bulunması durumunda mekanik otopark projesi çalışılması hususunda etüd ve projeler dairesi başkanlığı’na resmi yazı ile iletilecektir.</t>
  </si>
  <si>
    <t>41.0074007, 28.8737428</t>
  </si>
  <si>
    <t>Efes Pilsen in Üstü Koruluk Projesi</t>
  </si>
  <si>
    <t>Efes Pilsen’İn Üstü Koruluk; 44 Dönüm; Ortak Proje Alanı</t>
  </si>
  <si>
    <t>41.00896329301826, 28.87833191370519</t>
  </si>
  <si>
    <t>4,75 km atıksu şebeke ve kolektör kanalı</t>
  </si>
  <si>
    <t>40.99983762203707, 28.85003989459309</t>
  </si>
  <si>
    <t>Kemal Sunal Caddesi, Mimar Sinan Caddesi, Yıldırım Beyazıt Caddesi</t>
  </si>
  <si>
    <t>41.01388803577691, 28.84416490222157</t>
  </si>
  <si>
    <t>Ataköy Kavşağı D100 Üzeri Asfalt Kot Düzenleme Projesi</t>
  </si>
  <si>
    <t>36.000 M2 Yol Düzenlemesi, 1500M Yağmursuyu Hattı Deplasesi</t>
  </si>
  <si>
    <t>Çoklu İlçe; Bahçelievler; Bakırköy</t>
  </si>
  <si>
    <t>40.99169289767914, 28.84724479033252</t>
  </si>
  <si>
    <t>fcaee66d-c9ed-ee11-b8e8-005056b0106f</t>
  </si>
  <si>
    <t>D100 Ataköy Kavşağı Köprüsü Güçlendirme Projesi</t>
  </si>
  <si>
    <t>​850 M2 Alanlı Köprü​</t>
  </si>
  <si>
    <t>40.99181055724353, 28.84960940567206</t>
  </si>
  <si>
    <t>df024e2e-ffb4-ee11-b8e6-005056b0106f</t>
  </si>
  <si>
    <t>Bakırköy İlçesi, D100 Ataköy Kavşağı Köprüsü Güçlendirme Projesi</t>
  </si>
  <si>
    <t>Nurettin Bayraktar Köprüsü Güçlendirme Projesi</t>
  </si>
  <si>
    <t>​1625 M2 Alanlı 3 Adet Altgeçit​</t>
  </si>
  <si>
    <t>41.00131639415945, 28.88465011028858</t>
  </si>
  <si>
    <t>401c7eb4-ffb4-ee11-b8e6-005056b0106f</t>
  </si>
  <si>
    <t>Bakırköy İlçesi, Nurettin Bayraktar Köprüsü Güçlendirme Projesi</t>
  </si>
  <si>
    <t>Adnan Kahveci Bulvarı - Naci Kasım Sokak Kesişimi (Haznedar Altgeçidi) Yol, Kavşak Uygulama Projesi</t>
  </si>
  <si>
    <t>1600 m2 altgeçit 1700 m2 ıstınat yaklaşım duvarları</t>
  </si>
  <si>
    <t>Çoklu İlçe= Bahçelievler; Güngören</t>
  </si>
  <si>
    <t>41.00630002912234, 28.870610367510867</t>
  </si>
  <si>
    <t>259d2239-cb3d-ef11-b8eb-005056b0106f</t>
  </si>
  <si>
    <t>Bahçelievler İlçesi, Adnan Kahveci Bulvarı - Naci Kasım Sokak Kesişimi (Haznedar Altgeçidi) Yol, Kavşak Uygulama Projesi</t>
  </si>
  <si>
    <t>Baruthane Millet Bahçesi Önü Üst Geçit Revize-2 Projesi</t>
  </si>
  <si>
    <t>2 Adet Asansörlü Yaya Üst Geçidi</t>
  </si>
  <si>
    <t>40.97602834, 28.86250001</t>
  </si>
  <si>
    <t>5d837e1d-caed-ee11-b8e8-005056b0106f</t>
  </si>
  <si>
    <t>Bakırköy İlçesi, Baruthane Millet Bahçesi Önü Üst Geçit Revize-2 Projesi</t>
  </si>
  <si>
    <t>Yeşilyurt Marmaray Önü Yaya Üst Geçit Projesi</t>
  </si>
  <si>
    <t>​Mevcut Üst Geçidin Çelik Kiriş Ve Döşeme Tabliyesinin Yenilenmesi Veya Güçlendirilmesi</t>
  </si>
  <si>
    <t>40.96514401, 28.83586048</t>
  </si>
  <si>
    <t>29fb7daa-6250-ee11-b8de-005056b0106f</t>
  </si>
  <si>
    <t>Bakırköy İlçesi, Yeşilyurt Marmaray Önü Yaya Üst Geçit Projesi</t>
  </si>
  <si>
    <t>Adnan Kahveci Bulvarı Kurp Düzeltme ve Köprü Revize Uygulama Projesi</t>
  </si>
  <si>
    <t>​1758 M2 Köprü, 200 M Yol</t>
  </si>
  <si>
    <t>40.98013896, 28.85063501</t>
  </si>
  <si>
    <t>f0ed6a13-c93d-ee11-b8dd-005056b0106f</t>
  </si>
  <si>
    <t>Bakırköy İlçesi, Adnan Kahveci Bulvarı Kurp Düzeltme ve Köprü Revize Uygulama Projesi</t>
  </si>
  <si>
    <t>Bakırköy İlçesi, Osmaniye Mahallesi, 192 Ada 9, 20 ve 21 Parselde Belediye Hizmet Birimleri Projesi</t>
  </si>
  <si>
    <t>​Söz konusu alanda Belediye hizmet binaları ve bir adet kreş projesi tasarlanmıştır.</t>
  </si>
  <si>
    <t>40.99470294, 28.89237660</t>
  </si>
  <si>
    <t>c998bef2-e18d-ee11-b8e3-005056b0106f</t>
  </si>
  <si>
    <t>D-100 İncirli Kavşağı Köprüsü Güçlendirme Projesi</t>
  </si>
  <si>
    <t>40.99706154, 28.86972130</t>
  </si>
  <si>
    <t>f4317480-7384-ee11-b8e1-005056b0106f</t>
  </si>
  <si>
    <t>Bakırköy İlçesi D100 İncirli Kavşağı Köprüsü Güçlendirme Projesi</t>
  </si>
  <si>
    <t>İBB L Motel Güçlendirme Projesi</t>
  </si>
  <si>
    <t>3 katlı bahçeli motel, otopark</t>
  </si>
  <si>
    <t>40.9724943, 28.7869378</t>
  </si>
  <si>
    <t>3bbe1717-85b0-ef11-b90d-005056b0106f</t>
  </si>
  <si>
    <t>Bakırköy Şenlikköy 1237 ada 1 parsel L Motel Güçlendirme Projesi</t>
  </si>
  <si>
    <t>Cadde Düzenlemeleri (Fahri Korutürk, Ebuziya Çevre Sokakların Yenilenmesi,Yeraltı Çarşısı, Bina Cepheleri Ve Depreme Dayanıklılığı)</t>
  </si>
  <si>
    <t>Fahri Korutürk Cad., Ebuziya Cad. Düzenleme; Çevre Sokakların Yenilenmesi, Yeraltı Çarşısı, Bina Cepheleri Ve Depreme Dayanıklılığı .</t>
  </si>
  <si>
    <t>40.996317395618654, 28.88334207604025</t>
  </si>
  <si>
    <t>Yücetarla Caddesi Düzenlenmesi</t>
  </si>
  <si>
    <t>Yücetarla Caddesi Düzenleme .</t>
  </si>
  <si>
    <t xml:space="preserve">İSKİ tarafından altyapı çalışmalarına başlanmıştır.
</t>
  </si>
  <si>
    <t>40.98763234361511, 28.868959510467025</t>
  </si>
  <si>
    <t>İBB Florya Güneş Motel Güçlendirme Projesi</t>
  </si>
  <si>
    <t>40.972064183764196, 28.788688825809082</t>
  </si>
  <si>
    <t>382cbe66-85b0-ef11-b90d-005056b0106f</t>
  </si>
  <si>
    <t>Bakırköy Basınköy 1238 ada 1 parsel Güneş Motel Güçlendirme Projesi</t>
  </si>
  <si>
    <t>Huzurevi Yapılması İşi (936 ada 611 parsel Kartaltepe Mahallesi Yunus Nadi Sokak)</t>
  </si>
  <si>
    <t>Ortalama Toplam İnşaat Alanı 3700 M² 936 ada 611 parsel</t>
  </si>
  <si>
    <t xml:space="preserve">İlçe Belediyesi huzurevi talebinden vazgeçtiği için iptal edilmiştir. </t>
  </si>
  <si>
    <t>Daha önce girilen maliyet: 84.574.800 . İptale çekildiği için maliyet bilgisi kaldırıldı.</t>
  </si>
  <si>
    <t>40.991015931448736, 28.873324910467204</t>
  </si>
  <si>
    <t>Katlı Otopark Ve Kültür Merkezi Yapılması İşi (Halit Ziya Uşaklıgil caddesi 90 ada, 29 parsel)</t>
  </si>
  <si>
    <t>Ortalama İnşaat Alanı 10.000 M² 90 ada, 29 parsel</t>
  </si>
  <si>
    <t>*****BAK-23 kodlu alan ile ilgili olarak Bakırköy Belediyesi Başkanlığına 11.11.2024 tarih ve 2087825 sayılı yazımız ile görüş sorulmuş olup cevap beklenmektedir.*****
Bütçesi projesi için Etüd ve Projeler DB imalat için Fen İşleri Dairesi Başkanlığı tarafından verilmelidir.
ulaşım dairesi başkanlığı tarafından halit ziya uşaklıgil caddesi üzerinde yer alan 90 ada, 29 parselin tamamında yer alan bak-23 kodlu zemin altı otopark alanı projesi devam etmektedir.&amp;nbsp;&amp;nbsp;&amp;nbsp;&amp;nbsp;&amp;nbsp;&amp;nbsp;&amp;nbsp;&amp;nbsp; söz konusu alan ile ilgili olarak; ilçe belediyesi ile görüşülecek olup, sonrasında alanda projesi çalışılması hususunda etüd ve projeler dairesi başkanlığı’na resmi yazı ile iletilecektir.</t>
  </si>
  <si>
    <t>40.976832871446575, 28.872351839302215</t>
  </si>
  <si>
    <t>Yücetarla Caddesi ve Yakın Çevresi Kentsel Tasarım Projesi</t>
  </si>
  <si>
    <t>Rehabilitasyon</t>
  </si>
  <si>
    <t>Proje çalışmaları devam etmektedir.</t>
  </si>
  <si>
    <t>40.98728790051697, 28.868970466265566</t>
  </si>
  <si>
    <t>8debe225-684a-ef11-b8eb-005056b0106f</t>
  </si>
  <si>
    <t>Ataköy 5. Kısım Adnan Kahveci Bulvarı İstinat Duvarı İnşaatı</t>
  </si>
  <si>
    <t>40.982600113386695, 28.853585550400503</t>
  </si>
  <si>
    <t>Bakırköy İlçesi, Atatürk Caddesi, Osman Hamdi Bey Bulvarı Arası Yol ve Geometrik Düzenleme İnşaatı</t>
  </si>
  <si>
    <t>​Dere Geçiş Köprüsü ve Sİrkülasyon ve Geometrik Düzenleme Projesi</t>
  </si>
  <si>
    <t>40.98859974, 28.83380555</t>
  </si>
  <si>
    <t>6c9f9be6-6e14-ec11-b87e-005056b0336f</t>
  </si>
  <si>
    <t>Bakırköy Atatürk Cd Osman Hamdi Bey Bulvarı Arası Yol ve Ayamama Deresi Geçiş Köprüsü Sirkülasyon ve Geometrik Düzenleme Projesi</t>
  </si>
  <si>
    <t>Metin Oktay Spor Tesisi İstinat Duvarı İnşaatı</t>
  </si>
  <si>
    <t>40.97583997431677, 28.79822441046652</t>
  </si>
  <si>
    <t>Şenlikköy Mah Saruhan Sokak Hilal Ap. Lojman Duvarı İnşaatı</t>
  </si>
  <si>
    <t>40.97196388464283, 28.80106582580903</t>
  </si>
  <si>
    <t>Sahilin Halka Açılması Ve Düzenleme</t>
  </si>
  <si>
    <t>Ataköy Marina-Baruthane-Hava Harp Okulu Arası Sahilin Halka Açılması Ve Düzenleme.</t>
  </si>
  <si>
    <t>Fen İşleri DB çalışmaları ve İmarla ilgili hukuki problemleri nedeniyle henüz tutar girilecek seviyede değildir.</t>
  </si>
  <si>
    <t>40.97184542693315, 28.874507811170076</t>
  </si>
  <si>
    <t>4,2 km atıksu şebeke ve kolektör kanalı.</t>
  </si>
  <si>
    <t>40.99619942752706, 28.88350254735901</t>
  </si>
  <si>
    <t>Bakırköy Hizmet Binası</t>
  </si>
  <si>
    <t>40.998842731807464, 28.884879534447453</t>
  </si>
  <si>
    <t>Yeşilköy Sahili Düzenleme Projesi</t>
  </si>
  <si>
    <t>​Sahil Düzenleme</t>
  </si>
  <si>
    <t>40.95565459, 28.83006470</t>
  </si>
  <si>
    <t>f0fd2926-b182-ed11-b8c3-005056b0106f</t>
  </si>
  <si>
    <t>Bakırköy İtfaiye Projesi</t>
  </si>
  <si>
    <t>Garaj(12 adet-881,9m2), Sığınak(142,6m2), Depo(10 * 45,1m2), Kadın Personel Soyunma Odası(2 * 19,2m2), Erkek Personel Soyunma Odası(20 * 22,7m2), Misafirhane(2 * 19,2m2)​, Mutfak(71,6m2), Yemekhane(76,6m2), Lokal(93.5m2), Seminer/Toplantı Salonu(76,1m2), Spor Salon7u(142,1m2), Mescit(26,9m2)</t>
  </si>
  <si>
    <t>(835 ada 15 parsel Kartaltepe Mahallesi Koşuyolu Caddesi)</t>
  </si>
  <si>
    <t>40.98746157, 28.88159144</t>
  </si>
  <si>
    <t>741b5fe8-42fe-ee11-b8e8-005056b0106f</t>
  </si>
  <si>
    <t>Bakırköy İtfaiye Binası Projesi</t>
  </si>
  <si>
    <t>Florya Kavşağı Köprüsü Güçlendirme Projesi</t>
  </si>
  <si>
    <t>3155 m2 köprü güçlendirmesi projesi</t>
  </si>
  <si>
    <t>Çoklu İlçe; Bakırköy; Küçükçekmece</t>
  </si>
  <si>
    <t>40.98916522, 28.79245790</t>
  </si>
  <si>
    <t>08596561-0eb9-ee11-b8e6-005056b0106f</t>
  </si>
  <si>
    <t>Bakırköy İlçesi, Florya Kavşağı Köprüsü Güçlendirme Projesi</t>
  </si>
  <si>
    <t>Başakşehir İlçesi, Yunus Emre Caddesi Köprüsü Güçlendirme Projesi</t>
  </si>
  <si>
    <t>​6925 M2 Köprü Güçlendirme Projesi</t>
  </si>
  <si>
    <t>41.10315465, 28.80610898</t>
  </si>
  <si>
    <t>39b13873-bcc5-ee11-b8e7-005056b0106f</t>
  </si>
  <si>
    <t>İkitelli-1 Borsa İstanbul Lisesi Spor Salonu Kaya Düşmesi Önleme Projesi  (1300/13)</t>
  </si>
  <si>
    <t>1720 m2 Şev Stabilite Projesi​</t>
  </si>
  <si>
    <t>41.0893980, 28.8049453</t>
  </si>
  <si>
    <t>1f9b0890-5560-ef11-b8ee-005056b0106f</t>
  </si>
  <si>
    <t>Başakşehir İlçesi, İkitelli-1 Borsa İstanbul Lisesi Spor Salonu Bölgesi Şev Stabilitesi Projesi</t>
  </si>
  <si>
    <t>Başakşehir İlçesi, İBB Kültür Merkezi ve Çevresi Heyelan Önlem Projesi</t>
  </si>
  <si>
    <t>​18000 m2 Heyelan Önleme Projesi​</t>
  </si>
  <si>
    <t>41.1045886102217, 28.785365439308013</t>
  </si>
  <si>
    <t>a2aaa231-5460-ef11-b8ee-005056b0106f</t>
  </si>
  <si>
    <t>Metrokent istasyonu önü otopark üzeri transfer merkezi ve çevre düzenleme  inşaatı</t>
  </si>
  <si>
    <t>41.10765910, 28.80107357</t>
  </si>
  <si>
    <t>78b1f625-c5d7-ee11-b8e8-005056b0106f</t>
  </si>
  <si>
    <t>Başakşehir Metrokent İstasyonu Otopark Üzeri Transfer Merkezi ve Çevre Düzenlemesi Revize Projesi</t>
  </si>
  <si>
    <t>Başakşehir İlçesi Ali Soylu Caddesi Sular Vadisi Araç Üst Geçidi Güçlendirme İnşaatı</t>
  </si>
  <si>
    <t>1623 ​m² Köprü Güçlendirme Projesi</t>
  </si>
  <si>
    <t>41.11340092, 28.80755964</t>
  </si>
  <si>
    <t>efe0ca25-9211-ee11-b8d7-005056b0106f</t>
  </si>
  <si>
    <t>Başakşehir İlçesi Ali Soylu Caddesi Sular Vadisi Araç Üst Geçidi Güçlendirme Projesi</t>
  </si>
  <si>
    <t>Yarımburgaz  Nehir Köprüsü Sismik Takviye İnşaatı</t>
  </si>
  <si>
    <t>41.062649, 28.756751</t>
  </si>
  <si>
    <t>Başakşehir İleri Biyolojik Atıksu Arıtma Tesisi İnşaatı</t>
  </si>
  <si>
    <t>Mevcutta Atık su Arıtma tesisi bulunmamaktadır.400.000 m³/gün kapasiteli Atıksu Arıtma Tesisi planlanmaktadır.</t>
  </si>
  <si>
    <t>41.127311448226294, 28.769579559850026</t>
  </si>
  <si>
    <t>Başakşehir İlçesi Kayabaşı Mahallesi 973 Ada 2 ve 7 Parsel Sosyal Tesis ,Yurt, gençlik merkezi Projesi</t>
  </si>
  <si>
    <t>1000 Kişilik Konferans Salonu, 300 Kişilik Kütüphane, 160 Araçlık Açık​ ​Otopark, 340 Araçlık ZeminAltı Otopark​, 4 Cafe,4 Restoran, Çözüm Masası, İstanbul Kitapçısı, Bahçe Market, Kiralık Dükkanlar</t>
  </si>
  <si>
    <t>41.12416348, 28.77379237</t>
  </si>
  <si>
    <t>855dd802-288d-ee11-b8e3-005056b0106f</t>
  </si>
  <si>
    <t>Başakşehir Kayabaşı Mahallesi 973 ada 2 ve 7 Parseller Sosyal Yaşam Merkezi ve Gençlik Kampüsü Projesi</t>
  </si>
  <si>
    <t>Eşkinoz Yaşam Vadisi</t>
  </si>
  <si>
    <t>41.106254, 28.690120</t>
  </si>
  <si>
    <t>8b303242-413b-ee11-b8dd-005056b0106f</t>
  </si>
  <si>
    <t>Hasanoğlu Deresi Yaşam Vadisi</t>
  </si>
  <si>
    <t>41.084505, 28.762152</t>
  </si>
  <si>
    <t>70ab0dbb-4a3b-ee11-b8dd-005056b0106f</t>
  </si>
  <si>
    <t>Kayaşehir Yaşam Vadisi</t>
  </si>
  <si>
    <t>41.110631, 28.759473</t>
  </si>
  <si>
    <t>b21b9d5a-4a3b-ee11-b8dd-005056b0106f</t>
  </si>
  <si>
    <t>Menekşe Deresi Yaşam Vadisi</t>
  </si>
  <si>
    <t>41.116998, 28.781345</t>
  </si>
  <si>
    <t>a4e77af5-493b-ee11-b8dd-005056b0106f</t>
  </si>
  <si>
    <t>Kayabaşı İtfaiye Revize Projesi (1003 ada 1,2,3 parselKayabaşı Mahallesi)</t>
  </si>
  <si>
    <t>Sığınak (165,45 m2), Kadın Personel Soyunma (14,94 m2), Erkek Personel Soyunma (14,94 m2), Mutfak (50,71 m2), Yemekhane (64,73 m2), Lokal (79,94 m2), Garaj (7 Araçlık, 599,49 m2)​, Erkek Personel Yatakhane (11 Adet), Kadın Personel Yatakhane (2 Adet), Mescit (23,70 m2), Misafirhane (2 Adet), Seminer/Toplantı Salonu (75,32 m2), Spor Salonu (103,61​ m2), Kapalı Spor Salonu (2.264,56 m2)</t>
  </si>
  <si>
    <t>41.11007369, 28.76030497</t>
  </si>
  <si>
    <t>9f3a4e8a-fed3-eb11-b87b-005056b0336f</t>
  </si>
  <si>
    <t>Başakşehir Kayabaşı İtfaiye İstasyonu Projesi</t>
  </si>
  <si>
    <t>6,3 km atıksu şebeke ve kolektör kanalı</t>
  </si>
  <si>
    <t>41.12398383811019, 28.771419499237773</t>
  </si>
  <si>
    <t>Başakşehir Olimpik ve Paralimpik Sporcu Yetiştirme Merkezi Projesi</t>
  </si>
  <si>
    <t>​Kamp Eğitim Merkezi (24.500 m2), Sporcu Sağlık Merkezi (15.000 m2), Bireysel Spor Salonları (28.350 m2), Kapalı Olimpik Yüzme Havuzu (16.000 m2, 1 adet), Takım Sporları Salonu (15.200 m2, 5000 kişi kapasiteli), Veledrom Tesisi (22.000 m2), Atletizm Pisti (3.800 m2), Ortak Kullanım Saha (7.800 m2), Etkinlik Alanları (6.700 m2), Açık Otopark (6.400 m2)​</t>
  </si>
  <si>
    <t>Başakşehir Olimpik ve Paralimpik Sporcu Yetiştirme Merkezi Projesi (0 ada 2127, 2130, 2131, 2132, 2134, 2135, 3542, 3543, 3875, 4081, 4082, 6207, 6208 parseller ile  6226 parselin bir kısmı Ziyagökalp Mahallesi)</t>
  </si>
  <si>
    <t>41.08284555, 28.76680225</t>
  </si>
  <si>
    <t>cf545582-b5b1-ec11-b8a4-005056b0106f</t>
  </si>
  <si>
    <t>Bayrampaşa İlçesi, Otogar Kuzey Köprüleri Güçlendirme Projesi</t>
  </si>
  <si>
    <t>​6600 M2 Alanlı 5 Köprü​</t>
  </si>
  <si>
    <t>41.041925210704676, 28.894833582393055</t>
  </si>
  <si>
    <t>fb9638b6-fdbf-ee11-b8e6-005056b0106f</t>
  </si>
  <si>
    <t>Büyük İstanbul Otogarına Ait Yapıların Güçlendirilmesi İnşaatı</t>
  </si>
  <si>
    <t>7 BLOĞUN GÜÇLENDİRİLİMESİ PLANLANMAKTA OLUP KALAN 17 BLOK İÇİN ETÜD VE PROJELER DAİRESİ BAŞKANLIĞINCA PROJE ÇALIŞMALARI DEVAM ETMEKTEDİR</t>
  </si>
  <si>
    <t>41.0400559315706, 28.894543903829973</t>
  </si>
  <si>
    <t>172a7241-ee40-ee11-b8dd-005056b0106f</t>
  </si>
  <si>
    <t>Büyük İstanbul Otogarına Ait Yapıların Güçlendirme Projelerinin Hazırlanması</t>
  </si>
  <si>
    <t>Bayrampaşa Muhittin Üstündağ Kavşağı Köprüsü Güçlendirme Projesi</t>
  </si>
  <si>
    <t>1900 m² Güçlendirme Projesi</t>
  </si>
  <si>
    <t>41.030710204919856, 28.915034168254202</t>
  </si>
  <si>
    <t>97b5d298-9211-ee11-b8d7-005056b0106f</t>
  </si>
  <si>
    <t>Bayrampaşa İlçesi,Çamlık Mezarlığı Kazıklı Duvar Toprak Kayması Önlem Projesi</t>
  </si>
  <si>
    <t>​1440 m2 İstinat Duvarı Güçlendirme Projesi​</t>
  </si>
  <si>
    <t>41.02555793, 28.92204670</t>
  </si>
  <si>
    <t>849a06cc-5560-ef11-b8ee-005056b0106f</t>
  </si>
  <si>
    <t>Muratpaşa Mah. Kapalı Spor Tesisi Güçlendirme Projesi</t>
  </si>
  <si>
    <t>​kapalı spor kompleksi, otopark</t>
  </si>
  <si>
    <t>(0/399 Bayrampaşa - Muratpaşa mah.)</t>
  </si>
  <si>
    <t>41.04463312143985, 28.91046948348365</t>
  </si>
  <si>
    <t>4b725ed0-85b0-ef11-b90d-005056b0106f</t>
  </si>
  <si>
    <t>Bayrampaşa Muratpaşa 0 ada 399 parsel Spor Salonu Güçlendirme Projesi</t>
  </si>
  <si>
    <t>Bayrampaşa Engelliler Merkezi Güçlendirme Projesi</t>
  </si>
  <si>
    <t>41.04774443589652, 28.914115524424055</t>
  </si>
  <si>
    <t>ea4432eb-93ac-ef11-b90d-005056b0106f</t>
  </si>
  <si>
    <t>Bayrampaşa İlçesi Topçular Mahallesi 264 Ada 47 Parsel Engelliler Merkezi Güçlendirme Projesi</t>
  </si>
  <si>
    <t>Sosyal Destek Binalarının Güçlendirme ve Bakım ve Onarımı</t>
  </si>
  <si>
    <t>OTOGAR 2. ETAP GÜÇLENDİRME PROJESİ</t>
  </si>
  <si>
    <t>41.04037152787672, 28.89461900567967</t>
  </si>
  <si>
    <t>ae9cc181-2969-ef11-b8f0-005056b0106f</t>
  </si>
  <si>
    <t>Büyük İstanbul Otogarına Ait Yapıların Güçlendirme Projelerinin Hazırlanması Danışmanlık Hizmet Alım İşi (2_Etap)</t>
  </si>
  <si>
    <t>Kent Parkı Projesi</t>
  </si>
  <si>
    <t>(İmar planı açısından alan uygun olup İBB parseli üzerinde bir çok sayıda işletmenin bulunduğu ve İBB kurumlarına tahsis olduğu bilgisi İBB Emlak Müdürlüğünden şifaen alınmıştır.Bayrampaşa Kent Parkı ile ilgili Bayrampaşa Belediyesi ile ortak bir masada görüşülmesi sonrasında talep olması halinde tarafımızca alana yeni uygulama projesi hazırlanabilecektir.)</t>
  </si>
  <si>
    <t>41.06527267121991, 28.886265169915696</t>
  </si>
  <si>
    <t>5d0d1a37-7710-ec11-b87e-005056b0336f</t>
  </si>
  <si>
    <t>Bayrampaşa Kent Parkı</t>
  </si>
  <si>
    <t>Şehir Parkı</t>
  </si>
  <si>
    <t>5 km atıksu şebeke ve kolektör kanalı</t>
  </si>
  <si>
    <t>Şehit Kamil BALKAN Caddesi</t>
  </si>
  <si>
    <t>41.0636027120215, 28.893799903235156</t>
  </si>
  <si>
    <t>Bayrampaşa Fatih Parkı Zeminaltı Otopark Projesi</t>
  </si>
  <si>
    <t>​882 (748 Araç+44 Engelli+90 Elektrikli) Araçlık 4 Katlı Betonarme Zeminaltı Otopark, 9582 M2 Yeşil Alan+3738 M2 Sert Zemin, 50 M2 Kafeterya, Tek Pota 148 M2 Basketbol Sahası, 290 M2 Çocuk Oyun Alanı, Ahşap Teras Deck Alanı 335 M2, 212 M2 Kuru Havuz</t>
  </si>
  <si>
    <t>41.035205184404354, 28.918260829052354</t>
  </si>
  <si>
    <t>b02bfd3d-aaa7-ed11-b8ce-005056b0106f</t>
  </si>
  <si>
    <t>Tem Üstü Meydan; Mimari Yaklaşım Ve Kent Estetiği</t>
  </si>
  <si>
    <t>Tem Üstü Meydan; Mimari Yaklaşım Ve Kent Estetiği Önemli</t>
  </si>
  <si>
    <t>41.04008628727238, 28.912377673880464</t>
  </si>
  <si>
    <t>7bf1add9-b48e-ee11-b8e3-005056b0106f</t>
  </si>
  <si>
    <t>Bayrampaşa Tem Bağlantı Yolu Üzeri Oluşturulan Köprü Yapısı Alanında Peyzaj Düzenleme Projesi</t>
  </si>
  <si>
    <t>Karayolu Sistemleri Planlama Çalışmaları</t>
  </si>
  <si>
    <t>İsmetpaşa Ayancık Sk. Kreş Yerine Ulaşım Odaklı Proje</t>
  </si>
  <si>
    <t>İsmetpaşa Ayancık Sk. Kreş Yerine Ulaşım Odaklı Başka Bir Proje</t>
  </si>
  <si>
    <t>41.04719072968174, 28.90073071124479</t>
  </si>
  <si>
    <t>Esenler Bayrampaşa İlçesi, Kışla Atışalanı Caddesi ile Eski Edirne Asfaltı Caddesi Geometrik Düzenleme Uygulama Projesi</t>
  </si>
  <si>
    <t>Proje Kapsamında Toplamda 1.5 Km Uzunluğunda Yol İle 320M Uzunluğunda Duvar Planlanmaktadır.</t>
  </si>
  <si>
    <t>Çoklu İlçe; Bayrampaşa; Esenler</t>
  </si>
  <si>
    <t>41.05357437353889, 28.874988484261216</t>
  </si>
  <si>
    <t>dfce60b9-dc68-ee11-b8e1-005056b0106f</t>
  </si>
  <si>
    <t>Esenler – Bayrampaşa İlçesi, Kışla Atışalanı Caddesi ile Eski Edirne Asfaltı Caddesi Geometrik Düzenleme Uygulama Projesi</t>
  </si>
  <si>
    <t>Zeytinburnu ve Bayrampaşa İlçe Sınırı D100 Karayolu ile Topkapı Caddesi Kesişimi Araç Üst Geçidi (25 AU 001-25 AU 005) Güçlendirme Projesi</t>
  </si>
  <si>
    <t>Yaklaşık 1700 M² Mevcut Köprünün Yapısal Analizleri Yapılarak,Analiz Sonucuna Göre Gerekli Güçlendirme Projesi Hazırlanacak.</t>
  </si>
  <si>
    <t>Çoklu İlçe; Bayrampaşa; Zeytinburnu</t>
  </si>
  <si>
    <t>41.024395576265256, 28.92131109471022</t>
  </si>
  <si>
    <t>67a917b0-021c-ef11-b8ea-005056b0106f</t>
  </si>
  <si>
    <t>Barbaros Bulvarı, Ihlamur Yıldız ve Ihlamur Dere Caddeleri Düzenlemesi</t>
  </si>
  <si>
    <t>​Çalışma tamamlanmıştır. Barbaros Bulvarı 2. Etap planlanmaktadır.</t>
  </si>
  <si>
    <t>41.04663410072617, 29.002380306506858</t>
  </si>
  <si>
    <t>Deniz Ulaşımına Yönelik Planlama ve Projelendirme Çalışmaları</t>
  </si>
  <si>
    <t>Beşiktaş İlçesi Arnavutköy İskelesi Projesi</t>
  </si>
  <si>
    <t>​İskele Bakım Onarım</t>
  </si>
  <si>
    <t>41.0668822, 29.0434152</t>
  </si>
  <si>
    <t>ca544111-0faa-ee11-b8e3-005056b0106f</t>
  </si>
  <si>
    <t>Beşiktaş İlçesi Arnavutköy Akıntıburnu Rıhtım Güçlendirme Projesi</t>
  </si>
  <si>
    <t>​Beşiktaş Arnavutköy Akıntıburnu Sahil Yürüyüş Yolunun Statik Ve Dinamik Güçlendirme Projesi</t>
  </si>
  <si>
    <t>41.0705414, 29.0456361</t>
  </si>
  <si>
    <t>e10f0270-a48a-ee11-b8e3-005056b0106f</t>
  </si>
  <si>
    <t>Beşiktaş İlçesi, Ortaköy Mezarlığı İstinat Duvarı Projesi (1759/8)</t>
  </si>
  <si>
    <t>​200 m2 İstinat Duvarı Projesi​</t>
  </si>
  <si>
    <t>41.0602955, 29.0192217</t>
  </si>
  <si>
    <t>cb9036a9-5860-ef11-b8ee-005056b0106f</t>
  </si>
  <si>
    <t>Ortaköy Mezarlığı İstinat Duvarı Deformasyon Önlem Projesi</t>
  </si>
  <si>
    <t>Beşiktaş İlçesi Gayrettepe Mahallesi 1398 Ada 43 Parsel Belediye Hizmet Birimleri Projesi</t>
  </si>
  <si>
    <t>​Belediye Hizmet Birimleri840 Kişi Kapasiteli Belediye Hizmet Birimleri (Ofis)525 Kişi Kapasiteli Eğitim Salonları İçeren İsmek4000 M2 Peyzaj Düzenleme Alanı</t>
  </si>
  <si>
    <t>41.063096786595615, 29.006056752915526</t>
  </si>
  <si>
    <t>40be1683-e28d-ee11-b8e3-005056b0106f</t>
  </si>
  <si>
    <t>Akatlar İBB lojmanları  (performans analizii)</t>
  </si>
  <si>
    <t>Kiptaş yapacak.</t>
  </si>
  <si>
    <t xml:space="preserve">kiptaş sorumlu​
</t>
  </si>
  <si>
    <t>41.08568421461673, 29.024409564368092</t>
  </si>
  <si>
    <t>Beşiktaş Dikilitaş 17 Ada 50 Parsel Cami Projesi</t>
  </si>
  <si>
    <t>Cami hocasıyla görülmüş olup, bağışçı bulunduğundan dolayı iptal edilmiştir. Bağışçı yapacak.</t>
  </si>
  <si>
    <t>bağışçı</t>
  </si>
  <si>
    <t>41.05602711592799, 29.003767118521324</t>
  </si>
  <si>
    <t>Beşiktaş Denizcilik Müzesi Çatı Revizyonu İnşaatı</t>
  </si>
  <si>
    <t>41.04130222996558, 29.00566040331008</t>
  </si>
  <si>
    <t>Deniz Müzesi Arkası Kıyı Yapısı Güçlendirme İnşaatı</t>
  </si>
  <si>
    <t>41.04076815057502, 29.00611101442467</t>
  </si>
  <si>
    <t>Nispetiye Caddesi Koç Köprüsü Güçlendirme Projesi</t>
  </si>
  <si>
    <t>441,26 m2 Köprü güçlendirme işi</t>
  </si>
  <si>
    <t>41.07786592318248, 29.02422508426202</t>
  </si>
  <si>
    <t>60944eab-c00f-ec11-b87e-005056b0336f</t>
  </si>
  <si>
    <t>Beşiktaş İlçesi, Nispetiye Caddesi Koç Köprüsü Güçlendirme Projesi</t>
  </si>
  <si>
    <t>Ortaköy Yaşam Vadisi</t>
  </si>
  <si>
    <t>62.000 m² 750 mt</t>
  </si>
  <si>
    <t>41.0509205, 29.0279529</t>
  </si>
  <si>
    <t>Yahya Kemal Parkı</t>
  </si>
  <si>
    <t>41.04795980919951, 29.008544753572696</t>
  </si>
  <si>
    <t>d3912fce-581e-ef11-b8eb-005056b0106f</t>
  </si>
  <si>
    <t>Beşiktaş İlçesi, Barbaros Bulvarı Yıldız Üst Geçidi Güçlendirme Projesi</t>
  </si>
  <si>
    <t>​Yaklaşık 1060 m² köprü.</t>
  </si>
  <si>
    <t>41.0511541235715, 29.00869061260925</t>
  </si>
  <si>
    <t>25492fa4-617a-ef11-b8f1-005056b0106f</t>
  </si>
  <si>
    <t>Barbaros Bulvarı Cephe Rehabilitasyonu Kentsel Tasarım Projesi</t>
  </si>
  <si>
    <t>Proje çalışmaları tamamlanmış olup arşive kaldırılmışrtır.</t>
  </si>
  <si>
    <t>41.04913766088925, 29.00831210657055</t>
  </si>
  <si>
    <t>3d8b2664-2644-ef11-b8eb-005056b0106f</t>
  </si>
  <si>
    <t>Adnan Saygun Cad. Düzenleme</t>
  </si>
  <si>
    <t>41.06861731183989, 29.030082171811078</t>
  </si>
  <si>
    <t>41.07647529335734, 29.01881009940764</t>
  </si>
  <si>
    <t>Ortaköy Mahallesi Okul Yolu Sokak, Kuruçeşme Mahallesi Çağrı Sokak, Akat Mahallesi Cebeci Caddesi, Arnavutköy Mahallesi Sekbanlar Caddesi, Etiler Mahallesi Geylani 2 Sitesi Emin Sokak</t>
  </si>
  <si>
    <t>41.06228746151434, 29.027876455425474</t>
  </si>
  <si>
    <t>Beykoz İlçesi, Kanlıca Mahallesi, Barış Manço Caddesi Kanlıca Mezarlığı Bölgesi Kaya Düşmesi Önlem Projesi</t>
  </si>
  <si>
    <t>​11400 m2 Kaya Düşmesi Önlem Projesi​</t>
  </si>
  <si>
    <t>Beykoz İlçesi, Kanlıca Barış Manço Caddesi (Kanlıca Mezarlığı Altı) Kaya Düşmesi Önleme Projesi (108/25)</t>
  </si>
  <si>
    <t>41.09109259498177, 29.06631983214773</t>
  </si>
  <si>
    <t>423ad28f-5760-ef11-b8ee-005056b0106f</t>
  </si>
  <si>
    <t>Beykoz İlçesi, Mahmutşevketpaşa Mahallesi Toprak Kayması/Kaya Düşmesi Önleme Projesi (2218/ 728 - 731 - 732)</t>
  </si>
  <si>
    <t>​14.700 m2 Kaya Düşmesi Önlem Projesi​</t>
  </si>
  <si>
    <t>41.1483691, 29.1828632</t>
  </si>
  <si>
    <t>cdb7d42f-5260-ef11-b8ee-005056b0106f</t>
  </si>
  <si>
    <t>Beykoz İlçesi, Mahmutşevketpaşa Mahallesi Kaya Düşmesi Önlem Projesi</t>
  </si>
  <si>
    <t>Beykoz İlçesi, Kaynarca Mahallesi Şehit Kenan İETT Durağı Toprak Kayması/Kaya Düşmesi Önleme Projesi (2706/1)</t>
  </si>
  <si>
    <t>​Kaya düşmesi problemi önlem projeleri hazırlanacaktır. </t>
  </si>
  <si>
    <t>41.1650146, 29.1417074</t>
  </si>
  <si>
    <t>cddfaccf-5460-ef11-b8ee-005056b0106f</t>
  </si>
  <si>
    <t>Beykoz İlçesi, Kaynarca Mahallesi Şehit Kenan İETT Durağı Bölgesi Kaya Düşmesi Önlem Projesi</t>
  </si>
  <si>
    <t>Beykoz İlçesi, Anadolu Hisarı Mahallesi Körfez Caddesi Kaya Düşmesi</t>
  </si>
  <si>
    <t>41.087734812506895, 29.066541497145742</t>
  </si>
  <si>
    <t>Göksu Deresi ve Yakın Çevresi Kentsel Tasarım Projesi</t>
  </si>
  <si>
    <t>Projenin önceki aşaması olan fizibilite raporu tamamlanmış olup kentsel tasarım projesi çalışılması planlanmaktadır.</t>
  </si>
  <si>
    <t>41.08205520544249, 29.068580580458566</t>
  </si>
  <si>
    <t>d77abe9c-b645-ef11-b8eb-005056b0106f</t>
  </si>
  <si>
    <t>Beykoz Gümüşsuyu Şahin Köktürk Kapalı Spor Tesisi ( 3 blok)(Güçlendirme)</t>
  </si>
  <si>
    <t>41.12521086129721, 29.100441625982803</t>
  </si>
  <si>
    <t>f1c03715-a1ac-ef11-b90d-005056b0106f</t>
  </si>
  <si>
    <t>Beykoz İlçesi Gümüşsuyu Mahallesi 348 Ada 24-25 Parseller Spor Tesisi Güçlendirme Projesi</t>
  </si>
  <si>
    <t>Göksu Yağmur suyu Tüneli</t>
  </si>
  <si>
    <t>Planlanan tünel Ø3600 Çaplı 1655 m uzunluğunda olup Beykoz ilçesine hizmet verecektir</t>
  </si>
  <si>
    <t>Asya 1. Kısım Tünel İnşaatı işi kapsamında yapılması planlanmakta olup, ihale aşamasında</t>
  </si>
  <si>
    <t>41.08766903337578, 29.06700313455671</t>
  </si>
  <si>
    <t>Göksu Cansuyu Tüneli</t>
  </si>
  <si>
    <t xml:space="preserve">Planlanan tünel&amp;nbsp; Ø2200 Çaplı 1496 m uzunluğunda olup Beykoz ilçesine hizmet verecektir
</t>
  </si>
  <si>
    <t>41.07931191706041, 29.069965465115406</t>
  </si>
  <si>
    <t>İBB Şahin Köktürk Spor Kompleksi Ve Kreş Yapım İşi (348/24-25Gümüşsuyu mah.)</t>
  </si>
  <si>
    <t>8.000 M² İnşaat Alanı</t>
  </si>
  <si>
    <t>Mevcut spor kompleksinin yanına kreş yapılması</t>
  </si>
  <si>
    <t>41.12519049238768, 29.100476245296644</t>
  </si>
  <si>
    <t>8f10db04-e286-ef11-b8f1-005056b0106f</t>
  </si>
  <si>
    <t>İstanbul Geneli Modüler Özellikli Tip Çocuk Etkinlik Merkezi ve Tip Spor Salonu Projelerine Ait Teknik Tespit ve Arazi Çalışması</t>
  </si>
  <si>
    <t>Beykoz İlçesi, Riva Caddesi Hekimoğlu İsmail Caddesi Kesişimi Kavşak Düzenleme Projesi</t>
  </si>
  <si>
    <t>​Toplamda 465 m yol ve 198m revize edilecek duvar​ (Yol Kısmı (2*1) olmak üzere 2 Akstan oluşmaktadır; 230 m uzunluğunda 10 m genişliğinde (değişken) ve 215 m uzunlugunda 8 m genişliğinde )</t>
  </si>
  <si>
    <t>41.20824324260302, 29.217358381793982</t>
  </si>
  <si>
    <t>21dc9b31-f03d-ef11-b8eb-005056b0106f</t>
  </si>
  <si>
    <t>Beykoz İlçesi, Riva Caddesi – Hekimoğlu İsmail Caddesi Kesişimi Kavşak Düzenleme Projesi</t>
  </si>
  <si>
    <t>Beykoz Çubuklu Arabalı Feribot İskelesi Rıhtım Onarım Projesi</t>
  </si>
  <si>
    <t>​Rıhtım Onarım Ve Güçlendirme</t>
  </si>
  <si>
    <t>41.10793496465736, 29.08244512247965</t>
  </si>
  <si>
    <t>f4d7be7f-f881-ee11-b8e1-005056b0106f</t>
  </si>
  <si>
    <t>Beykoz Yeni Riva Yolu Yaya Üst Geçit Projesi</t>
  </si>
  <si>
    <t>261.35 M² Çelik Yaya Üst Geçidi, 2 Asansör</t>
  </si>
  <si>
    <t>41.1088140, 29.1115835</t>
  </si>
  <si>
    <t>f80c1f40-d9d1-ec11-b8a5-005056b0106f</t>
  </si>
  <si>
    <t>Beykoz Yeni Mahalle Heyelan Önleme İnşaatı</t>
  </si>
  <si>
    <t>41.06834780220306, 29.09019078398887</t>
  </si>
  <si>
    <t>d974cc2f-8ecb-4107-81c7-a11f17399738</t>
  </si>
  <si>
    <t>Beykoz Yeni Mahalle Heyelan Önleme Projesi</t>
  </si>
  <si>
    <t>Beykoz Cevizli Bahçe Cami Etrafı İstinat Duvarı</t>
  </si>
  <si>
    <t>41.14739060935588, 29.099193365834957</t>
  </si>
  <si>
    <t>Beykoz İlçesi, Örnekköy Mahallesi İstinat Duvarı Projesi</t>
  </si>
  <si>
    <t>41.14232024201054, 29.143912646060173</t>
  </si>
  <si>
    <t>f71f0366-49bc-e611-80e3-005056a5354a</t>
  </si>
  <si>
    <t>Beykoz İlçesi Örnekköy Mahallesi İstinat Duvarı Projesi</t>
  </si>
  <si>
    <t>Metruk Yapıların Projelerinin Hazırlanarak Can Ve Mal Güvenliği Açısından Gerekli Güvenlik Önlemlerinin Alınması</t>
  </si>
  <si>
    <t>Rölöve Ve Raporların Hazırlanması</t>
  </si>
  <si>
    <t>Tamamının İBB tarafından gerçekleştirilmesi mümkün değildir. Ancak gerekli ödenek talepleri onaylanırsa ilçe belediyesiyle koordineli şekilde önlemler alınabilir.  İstanbul geneli bir problem olduğu için 40 bin tane tescilli eser bulunan bir metropolde güvenlik önlemlerinin alınması çok büyük bir ekonomik kaynak gerektirmektedir.</t>
  </si>
  <si>
    <t>41.09201629854314, 29.087267652675493</t>
  </si>
  <si>
    <t>Poyrazköy Cezayirli Hasan Paşa Kulesi Rölöve, Restitüsyon Ve Restorasyon Projesi Ve Yapım İşi</t>
  </si>
  <si>
    <t>Rölöve, Restitüsyon Ve Restorasyon Projesi</t>
  </si>
  <si>
    <t>Alanın mülkiyeti ilçe belediyesine ait olduğu için Beykoz Miras Protokolü'nün meclisten geçmesi beklenmektedir. Projelendirme aşaması tamamlandıktan sonra ilçe belediyesiyle koordineli şekilde uygulamaya geçilecektir.</t>
  </si>
  <si>
    <t>41.2076006399668, 29.133131211204137</t>
  </si>
  <si>
    <t>Ali Bahadır Mah. Riva Cad ile Cumhuriyet Cad. Kesişimi YÜG Yapım</t>
  </si>
  <si>
    <t>​Yaya Üst Geçit Projesi</t>
  </si>
  <si>
    <t>41.17863122709709, 29.205754354623036</t>
  </si>
  <si>
    <t>8bfea4e9-1d68-ea11-b84c-005056b0156e</t>
  </si>
  <si>
    <t>Beykoz Ali Bahadır Mahallesi Riva Caddesi ile Cumhuriyet Caddesi Kesişimi Yaya Üstgeçit Projesi</t>
  </si>
  <si>
    <t>15,9 km atıksu boru itme</t>
  </si>
  <si>
    <t>41.12712547995898, 29.097310448023457</t>
  </si>
  <si>
    <t>Anadolu Hisarı Küçüksu Mesire Alanı Kentsel Tasarım Projesi (5 ada/8 parselAnadolu Hisarı Mesire Alanı)</t>
  </si>
  <si>
    <t>41.07976437, 29.06735834</t>
  </si>
  <si>
    <t>505052cd-0b2c-ec11-b882-005056b0336f</t>
  </si>
  <si>
    <t>Anadolu Hisarı Küçüksu Mesire Alanı Kentsel Tasarım Projesi</t>
  </si>
  <si>
    <t>Atletizm Pisti ve Spor Yaşam Merkezi İnşaatı</t>
  </si>
  <si>
    <t>40.99503232, 28.64365375</t>
  </si>
  <si>
    <t>baa379d8-cba5-ec11-b8a3-005056b0106f</t>
  </si>
  <si>
    <t>Beylikdüzü Atletizm Pisti ve Spor Yaşam Merkezi</t>
  </si>
  <si>
    <t>Gürpınar Su Ürünleri Hali ile Ambarlı Limanı Arası Sahil Düzenleme İnşaatı</t>
  </si>
  <si>
    <t>40.96677611, 28.60461737</t>
  </si>
  <si>
    <t>80cd6450-0254-eb11-b86b-005056b0156e</t>
  </si>
  <si>
    <t>Gürpınar Su Ürünleri Hali ile Ambarlı Limanı Arası Sahil Düzenleme Projesi</t>
  </si>
  <si>
    <t>Güzelyurt Metrobüs Üstgeçidi Güçlendirme İnşaatı</t>
  </si>
  <si>
    <t>570 m2 Üst Geçit Ayakları (Kolonları) değiştirilmesi</t>
  </si>
  <si>
    <t>41.00649592 , 28.66443515</t>
  </si>
  <si>
    <t>3f249754-74b6-ec11-b8a4-005056b0106f</t>
  </si>
  <si>
    <t>Beylikdüzü İlçesi, Güzelyurt Metrobüs İstasyonu Yaya Üst Geçit Güçlendirme Projesi</t>
  </si>
  <si>
    <t>Ambarlı Liman Yolu Yağmur Suyu Hattı (Heyelan Önleme)</t>
  </si>
  <si>
    <t>40.97306339, 28.68429728</t>
  </si>
  <si>
    <t>630a4650-4c15-ec11-b87e-005056b0336f</t>
  </si>
  <si>
    <t>Beylikdüzü İlçesi, Ambarlı Liman Yolu Heyelan Önleme Projesi</t>
  </si>
  <si>
    <t>Beylikdüzü Gürpınar İtfaiye İstasyonu Projesi</t>
  </si>
  <si>
    <t>​Sığınak (102,79 m2), Garaj (308,26 m2, 4 araçlık), Yemekhane (34,56 m2), Erkek Personel Odası (6 adet), Kadın Personel Odası (1 adet), Seminer/Toplantı Salonu (75,34 m2), Spor Salonu (117,45 m2).</t>
  </si>
  <si>
    <t>(1918 ada 4 parselGürpınar Mahallesi Kamelya Sk.)</t>
  </si>
  <si>
    <t>40.98196698, 28.61260812</t>
  </si>
  <si>
    <t>240711d2-47d5-ee11-b8e8-005056b0106f</t>
  </si>
  <si>
    <t>Beylikdüzü Devlet Hastanesi Önü YÜG Yapım</t>
  </si>
  <si>
    <t>Yeniden yapım prekast üst geçit</t>
  </si>
  <si>
    <t>41.01435284, 28.62598284</t>
  </si>
  <si>
    <t>55493ab3-6571-ed11-b8c3-005056b0106f</t>
  </si>
  <si>
    <t>Beylikdüzü Devlet Hastanesi Önü Yaya Üst Geçit Projesi</t>
  </si>
  <si>
    <t>41.00161954858941, 28.64111842995946</t>
  </si>
  <si>
    <t>Gürpınar Deresi Yaşam Vadisi</t>
  </si>
  <si>
    <t>180.000 m² 2.500 mt</t>
  </si>
  <si>
    <t>40.98765411642866, 28.603501811962165</t>
  </si>
  <si>
    <t>Beylikdüzü Şube Müdürlüğü Hizmet Binası Proje Çalışması</t>
  </si>
  <si>
    <t>Plan tadilatları bekleniyor</t>
  </si>
  <si>
    <t>40.97453390738976, 28.667925341094552</t>
  </si>
  <si>
    <t>Hacıahmet Parkı</t>
  </si>
  <si>
    <t>41.043444353242116, 28.972868510636754</t>
  </si>
  <si>
    <t>130b8817-9b91-ed11-b8c7-005056b0106f</t>
  </si>
  <si>
    <t>Piyalepaşa Bostan</t>
  </si>
  <si>
    <t>41.038785278176704, 28.976330075985928</t>
  </si>
  <si>
    <t>17c72577-5f1e-ef11-b8eb-005056b0106f</t>
  </si>
  <si>
    <t>Beyoğlu İlçesi, Evliya Çelebi Caddesi Alt Geçidi Güçlendirme Projesi</t>
  </si>
  <si>
    <t>550 M2 Köprü Güçlendirme</t>
  </si>
  <si>
    <t>41.0279225, 28.9702606</t>
  </si>
  <si>
    <t>a9f6c8b9-ac16-ef11-b8ea-005056b0106f</t>
  </si>
  <si>
    <t>Beyoğlu İlçesi, Halıcıoğlu Köprüsü Güçlendirme Projesi</t>
  </si>
  <si>
    <t>​1080 M2 Alanlı Köprü​</t>
  </si>
  <si>
    <t>41.05206860, 28.95173068</t>
  </si>
  <si>
    <t>675f8d9c-4db1-ee11-b8e6-005056b0106f</t>
  </si>
  <si>
    <t>Beyoğlu İstiklal Mahallesi Muhtarlığı Önü YÜG Yeniden Yapım İşi</t>
  </si>
  <si>
    <t>​Yeni Yaya Üstgeçit</t>
  </si>
  <si>
    <t>41.03940452038391, 28.967430734547687</t>
  </si>
  <si>
    <t>3954ba7b-9471-ee11-b8e1-005056b0106f</t>
  </si>
  <si>
    <t>Beyoğlu İlçesi İstiklal Mahallesi Muhtarlığı Önü Yaya Üst Geçidi Projesi</t>
  </si>
  <si>
    <t>Beyoğlu Sütlüce Parkı Rıhtım ve Sahil Yaya Yolu Onarım Projesi</t>
  </si>
  <si>
    <t>1450 M2 Sahil Yolu Taşıyıcı Sistem Ve Altyapı Onarım İşleri.</t>
  </si>
  <si>
    <t>Mobilizasyon kurulumu beklenmekte olup ardından ivedilikle imalat çalışmalarına başlanacaktır.</t>
  </si>
  <si>
    <t>41.0477800, 28.9402800</t>
  </si>
  <si>
    <t>c30cbf98-e835-ee11-b8dd-005056b0106f</t>
  </si>
  <si>
    <t>Dolapdere Caddesi Odak Noktaları Kentsel Tasarım Projesi</t>
  </si>
  <si>
    <t>41.040727952765934, 28.978875754421</t>
  </si>
  <si>
    <t>15a39036-b645-ef11-b8eb-005056b0106f</t>
  </si>
  <si>
    <t>Kanser Vakfı Güçlendirme Projesi</t>
  </si>
  <si>
    <t>​Rehabilitasyon merkezi, konferans salonu, hasta bakım  üniteleri.</t>
  </si>
  <si>
    <t>41.02896159295822, 28.970783481446155</t>
  </si>
  <si>
    <t>c256e0c1-28b9-ef11-b90d-005056b0106f</t>
  </si>
  <si>
    <t>Beyoğlu İlçesi Bedrettin Mahallesi 931 Ada 1 Parsel Türk Kanser Vakfı Güçlendirme Projesi</t>
  </si>
  <si>
    <t>İBB Hizmet Binası Güçlendirme Projesi</t>
  </si>
  <si>
    <t>41.03892685824957, 28.971476996808466</t>
  </si>
  <si>
    <t>Beyoğlu İlçesi, Halıcıoğlu Metrobüs Yaya Üst Geçidi Güçlendirme Projesi</t>
  </si>
  <si>
    <t>​Kenar ayak güçlendirme</t>
  </si>
  <si>
    <t>41.04932892699297, 28.947023208873897</t>
  </si>
  <si>
    <t>3ea7693c-d152-ee11-b8e0-005056b0106f</t>
  </si>
  <si>
    <t>Beyoğlu İlçesi Halıcıoğlu Metrobüs Yaya Üst Geçidi Güçlendirme Projesi</t>
  </si>
  <si>
    <t>Firuzağa Mahallesi,Defterdar Yokuşu Yol Yenileme Projesi</t>
  </si>
  <si>
    <t>Alt Ve Üst Yapılarının Yenilenmesi</t>
  </si>
  <si>
    <t>41.029015401636116, 28.981874563755884</t>
  </si>
  <si>
    <t>İstiklal Caddesi Cephe Düzenleme Ve Rehabilitasyon Projesi</t>
  </si>
  <si>
    <t>İstiklal Caddesi Üzerindeki Kültür Varlıkları, Bina Cepheleri</t>
  </si>
  <si>
    <t>Planlama çalışmaları devam etmektedir.</t>
  </si>
  <si>
    <t>41.03379668911869, 28.97795004768384</t>
  </si>
  <si>
    <t>Sıraselviler Caddesi ve Yakın Çevresi Kentsel Tasarım Projesi</t>
  </si>
  <si>
    <t>İlçe belediyesinin talep etmiş olduğu proje değerlendirme aşamasında.</t>
  </si>
  <si>
    <t>41.03377890598677, 28.984324953339616</t>
  </si>
  <si>
    <t>Cihangir Sanatkarlar Parkı</t>
  </si>
  <si>
    <t>​Çocuk Oyun Alanı, Spor Alanı, Seyir Terası, Köpek Parkı, Wc, Güvenlik.</t>
  </si>
  <si>
    <t>41.02843637462219, 28.982947811379415</t>
  </si>
  <si>
    <t>f1f05afe-b60f-ec11-b87e-005056b0336f</t>
  </si>
  <si>
    <t>Sütlüce Mah. Halıcıoğlu Sok. Mahmut Dayı Sok. Duvarı İnşaatı</t>
  </si>
  <si>
    <t>Yaklaşık olarak 80 m uzunluğa ve ortalama 5 m yüksekliğe sahip istinat duvarı projesi.</t>
  </si>
  <si>
    <t>41.0497275991763, 28.945387539083917</t>
  </si>
  <si>
    <t>2c6fe177-9fc0-ec11-b8a4-005056b0106f</t>
  </si>
  <si>
    <t>Beyoğlu İlçesi, Sütlüce Mahallesi, Halıcıoğlu Okmeydanı Caddesi ile Mahmut Dayı Sokak Arası İstinat Duvarı Projesi</t>
  </si>
  <si>
    <t>Halıcıoğlu Mahallesi Çıksalın Spor Tesisleri Otopark Ve Kapalı Spor Alanı Projesi (2892/1Halıcıoğlu)</t>
  </si>
  <si>
    <t>Halıcıoğlu Mahallesinde Bulunan Çıksalın Spor Tesislerinin Altına Otopark, Üstüne Kapalı Spor Alanı Yapılması Projesinin Hazırlanarak İmalatının Yapılması</t>
  </si>
  <si>
    <t>41.04933183702059, 28.951142939171177</t>
  </si>
  <si>
    <t>2e30ced3-bd5c-e711-80f0-005056a5354a</t>
  </si>
  <si>
    <t>Beyoğlu İlçesi Halıcıoğlu Mahallesi Kapalı Spor Tesisi Projesi</t>
  </si>
  <si>
    <t>10.750 mt atıksu</t>
  </si>
  <si>
    <t>41.03883684071503, 28.96743645990431</t>
  </si>
  <si>
    <t>Demirkıran Cad., Hayriye Cad., Bahçeli Hamam Cad., Abdülhak Hamit Cad., Lamartin Cad. , Yeni Çarşı Cad., Kuzey Cad., Talip Paşa Cad., Derka Cad.,  Hakem Cad.,</t>
  </si>
  <si>
    <t>41.044800803383424, 28.958195934927442</t>
  </si>
  <si>
    <t>Taksim Maksemi ve Çeşmeleri Restorasyonu</t>
  </si>
  <si>
    <t>Taksim Makseminin ve çevresinin restorasyon uygulamasının yapılması planlanmaktadır.</t>
  </si>
  <si>
    <t>41.036404862844435, 28.984343806523206</t>
  </si>
  <si>
    <t>Cihangir Lojman</t>
  </si>
  <si>
    <t>Cihangir Lojmanının Projelerinin Hazırlanması Planlanmaktadır</t>
  </si>
  <si>
    <t>41.0301775, 28.9868347</t>
  </si>
  <si>
    <t>Beyoğlu Hizmet Binası</t>
  </si>
  <si>
    <t>(Planlama aşamasında)</t>
  </si>
  <si>
    <t>41.03003953513343, 28.975545120925112</t>
  </si>
  <si>
    <t>Büyükçekmece Pınartepe Mahallesi Spor Kompleksi İnşaatı</t>
  </si>
  <si>
    <t>40.99641166447408, 28.60843295820928</t>
  </si>
  <si>
    <t>0d5717a4-6e2f-ee11-b8db-005056b0106f</t>
  </si>
  <si>
    <t>Büyükçekmece Spor Kompleksi Projesi</t>
  </si>
  <si>
    <t>Büyükçekmece İlçesi TEM Hadımköy Kavşağı D-100 Tüyap Kavşağı Arası Yol ve Kavşak İnşaatı</t>
  </si>
  <si>
    <t>15754.64 m yol ve toplam 3800 M2 alana sahip 4 adet sanat yapısı ile 112244.27 m2 duvar​.</t>
  </si>
  <si>
    <t>41.027161773800444, 28.622967016136588</t>
  </si>
  <si>
    <t>933cd8d6-d713-ed11-b8ac-005056b0106f</t>
  </si>
  <si>
    <t>Büyükçekmece İlçesi, TEM Hadımköy Kavşağı-D-100 TÜYAP Kavşağı Arası Hadımköy Yolu Caddesi (Alkent Kavşağı) Revize Yol, Kavşak Uygulama Projesi</t>
  </si>
  <si>
    <t>Yol Talepleri</t>
  </si>
  <si>
    <t>Yol Talepleri; Hadımköy Yolu Cad., Güvercinlik, Fatih Ve Bağdatlı Cad., İstanbul Cad., Türkoba Cad., Kutlukhan Cad., Eski Silivri Cad., Cengiz Topel Cad., Turgut Özal Cad., Karaağaç Türker Cad., Aksaray Cad., 100.Yıl Cad., Dr Hasan Akgün Cad. Mustafa Kemal Bulvarı, Gazi Mustafa Kemal Atatürk Cad., Atatürk Cad. , Kervansaray Sok., Enver Paşa Cad., Kemal Atatürk Cad.</t>
  </si>
  <si>
    <t>Bütçesi Yol Bakım ve Altyapı Koordinasyon Dairesi Başkanlığı tarafından verilmelidir.</t>
  </si>
  <si>
    <t>41.0244289, 28.5777882</t>
  </si>
  <si>
    <t>Büyükçekmece ve Tuzla Çamur Kurutma Tesisi</t>
  </si>
  <si>
    <t xml:space="preserve">( 300 Ton /Gün) , Büyükçekmece Kurutma Ünitesi 450 ton/gün, Tuzla Kurutma Ünitesi 800 ton/gün
</t>
  </si>
  <si>
    <t xml:space="preserve">Atık Su Arıtma Tesisi Ek Ünite İnşaatı (2) kapsamında ihale sürecinde
</t>
  </si>
  <si>
    <t>41.03809409639654, 28.598703261470384</t>
  </si>
  <si>
    <t>Büyükçekmece Pınartepe Mahallesi Atatürk Caddesi İstinat Duvarı İnşaatı</t>
  </si>
  <si>
    <t>120 metre uzunlukta betonarme istinat duvarı</t>
  </si>
  <si>
    <t>41.0052696121316, 28.60167985481416</t>
  </si>
  <si>
    <t>1a40a2dc-01db-eb11-b87b-005056b0336f</t>
  </si>
  <si>
    <t>Büyükçekmece İlçesi, Pınartepe Mahallesi Atatürk Caddesi İstinat Duvarı Uygulama Projesi</t>
  </si>
  <si>
    <t>Çevre Laboratuvar ve Kapasite Geliştirme Faaliyetleri</t>
  </si>
  <si>
    <t>Büyükçekmece İlçesi Hava Kalitesi Ölçüm İstayonu</t>
  </si>
  <si>
    <t>Büyükçekmece İlçesi Hava Kalitesi Ölçüm İstasyonu Yapım İşi Projesi</t>
  </si>
  <si>
    <t xml:space="preserve">1876-2009-2115&amp;#160;numaralı satırlarda bulunan Büyükçekmece, Gaziosmanpaşa ve Pendik ilçeleri Hava Kalitesi Ölçüm İstasyonları için fiyat araştırması yapılmış&amp;#160; olup, toplam ihale bedeli 31.991.000,00 TL olarak tespit edilmiştir. İhale için üst yönetimin onayı beklenmektedir.​ Toplam bedel satır 1876' da&amp;#160;belirtilmiştir.
​
</t>
  </si>
  <si>
    <t>41.02265950108624, 28.544530564606383</t>
  </si>
  <si>
    <t>100 km atıksu şebeke ve kolektör kanalı, yağmursuyu kanalı, dere ıslahı,</t>
  </si>
  <si>
    <t>41.01956504659116, 28.545108008808352</t>
  </si>
  <si>
    <t>Büyükçekmece Rıdvan Yavuzbilge Yaşam Vadisi  2. Etap</t>
  </si>
  <si>
    <t>26.000 m² 650 mt</t>
  </si>
  <si>
    <t>41.03764596926467, 28.560203577005502</t>
  </si>
  <si>
    <t>Büyükçekmece Güzelce Yaşam Vadisi</t>
  </si>
  <si>
    <t>150.000 m²</t>
  </si>
  <si>
    <t>40.99973066108556, 28.51917614980494</t>
  </si>
  <si>
    <t>Büyükçekmece İlçesi Mustafa Kemal Bulvarı Kentsel Tasarım Projesi</t>
  </si>
  <si>
    <t>Estetik, sağlıklı, ergonomik ve sürdürülebilir mekânsal gelişmeyi sağlamak, yaşam kalitesini yükseltmek ve kente kimlik kazandıracak prestij caddesi oluşturmak amacıyla zemin düzenlemesine yönelik konsept tasarım projelerinin hazırlanması işidir.</t>
  </si>
  <si>
    <t>Konsept proje çalışmaları tamamlanmıştır.</t>
  </si>
  <si>
    <t>41.00411012213087, 28.542049239363887</t>
  </si>
  <si>
    <t>c488ca65-2a44-ef11-b8eb-005056b0106f</t>
  </si>
  <si>
    <t>Atatürk Spor Kompleksi Renovasyon Projesi</t>
  </si>
  <si>
    <t>Mevcut Tribün Üzerinin Kapatılması (1500M²) Ve Vip Loca Yapılması (330M²)
Atatürk Spor Kompleksi Mevcut Tribünün Kapatılması Ve Vip Loca Yapılması Proje + Uygulama İşi (0/146-145-2456-2421-264 Merkez)</t>
  </si>
  <si>
    <t>41.02858905785099, 28.587678383058105</t>
  </si>
  <si>
    <t>5dcd3522-8df2-ef11-b90e-005056b0106f</t>
  </si>
  <si>
    <t>Nakkaş, Kalfaköy, Celepköy, Kızılcaali</t>
  </si>
  <si>
    <t>41.28904198661864, 28.43848803934772</t>
  </si>
  <si>
    <t>3 adet içmesuyu deposu,</t>
  </si>
  <si>
    <t>Çatalca 2 x 5.000 m3 depolar, İhsaniye, Oklalı, Çiftlikköy, Karacaköy Hallaçlı Binkılıç Danamandıra İAT deposu Hallaçlı İAT deposu toplam 20.000 metreküp içme suyu deposu</t>
  </si>
  <si>
    <t>41.1493022, 28.4590955</t>
  </si>
  <si>
    <t>2 adet paket atıksu arıtma tesisi</t>
  </si>
  <si>
    <t>41.1460781, 28.4629360</t>
  </si>
  <si>
    <t>V Kanalları Yapım Projesi (SULTAN SÜLEYMAN CADDESİ 2.250m, OSMANLI CADDESİ 3.000m, KALFAKÖY CADDESİ- DAĞYENİCE CADDESİ 1.300m, YETKİN SOKAK 2.500m BAHŞAYİŞ CADDESİ 1.500m, ŞEHİT MUSTAFA ALTINAN CADDESİ 850m)</t>
  </si>
  <si>
    <t>115 Cm Genişliğinde 50 Cm Derinliğinde 15 Cm Kalında V Formunda Betonarme Kanal İmalatının Yapılmasıihtiyaç bulunan cadde ve sokaklarda yol yüzeyinde oluşan yağmurların v kanalları ile dere akslarına ulaşımının sağlanması ve yol yüzeylerinde oluşan taşkınların önüne geçilmesi</t>
  </si>
  <si>
    <t>41.335022, 28.431876</t>
  </si>
  <si>
    <t>7,4; km atıksu şebeke ve kolektör kanalı</t>
  </si>
  <si>
    <t>41.14597601483752, 28.458523619809746</t>
  </si>
  <si>
    <t>2 adet modern atıksu biriktirme yapısı,</t>
  </si>
  <si>
    <t>Çekmeköy Çamlık Mahallesi Kültür Merkezi</t>
  </si>
  <si>
    <t>41.01653923748181, 29.191914130947474</t>
  </si>
  <si>
    <t>963a71c5-82b0-ef11-b90d-005056b0106f</t>
  </si>
  <si>
    <t>Çekmeköy Çamlık Kültür Merkezi Güçlendirme Projesi</t>
  </si>
  <si>
    <t>Ezgi Sokak Geçici Trafik Sirkülasyon Projesi</t>
  </si>
  <si>
    <t>Asfalt-Betonarme</t>
  </si>
  <si>
    <t>*******İmar sorunları nedeniyle çalışma askıya alınmıştır.********
Bütçesi Fen İşleri Dairesi Başkanlığı tarafından verilmelidir.
söz konusu ezgi sokak üzerinde 21.12.2017 tarihli ve utk2017/47-38 sayılı utk kararı alınmıştır. fakat yerinde yapılan incelemelerde söz konusu utk kararı ve eki projeye uygun imalatların yapılmadığı tespit edilmiştir. ağaoğlu firması tarafından tarafımıza iletilen yeni projeye ilişkin yeni utk kararı alınması talep edilmektedir. 1. ezgi sokağın duvar ile gidiş geliş yönlerinin bölünerek ağaoğlu tarafındaki yolun kotu aşağıya alınmıştır. 2. kubilay caddesi ile ezgi sokak bileşiminde imar planına uygun olmayan dönel ada yapılması 3. parsele 1 adet ilave giriş eklenmiştir. 4. şantiye ofisleri parsel dışı alanda (kadastral boşlukta) konumlandırılmıştır.(ecrimisil ödenmesi gerekmektedir.) 5. geçici trafik sirkülasyon projesi kararı alınmadan imalatlar devam etmektedir.</t>
  </si>
  <si>
    <t>41.01853787967661, 29.184005998304652</t>
  </si>
  <si>
    <t>Çekmeköy İlçesi Taşdelen Mahallesi 0 Ada 884 Parsel Belediye Hizmet Alanı Projesi</t>
  </si>
  <si>
    <t>Olimpik Yüzme Havuzu (3.967m2), Çok Amaçlı Salon(718,20m2) , Kreş(927,70m2/6 derslik) ve Sağlıklı Yaş Alma Merkezi(927.70 m2), Kütüphane&amp;Sergi(1.200m2), İSMEK+Bölgesel İstihdam+PDM(2.100m2 , 700 Tezgahlık Pazar Alanı ile birlikte kapalı Otopark(356 araçlık/) alanı, meydan.</t>
  </si>
  <si>
    <t>41.02706577554159, 29.185232638989817</t>
  </si>
  <si>
    <t>e3e842a8-1094-ee11-b8e3-005056b0106f</t>
  </si>
  <si>
    <t>Çekmeköy İlçesi Taşdelen Mahallesi 0 Ada 884 Parsel Belediye Hizmet Alanı Uygulama Projesi</t>
  </si>
  <si>
    <t>Taşdelen Sultançiftliği Mah. Vatan Cad. Durağı YÜG EEUHG</t>
  </si>
  <si>
    <t>DEVAM EDEN HERHANGİ BİR İŞİN MAHAL LİSTESİNDE BULUNMUYOR. PROJESİ 2024 YILI İÇERİSİNDE MÜDÜRLÜĞÜMÜZE ALTYAPI PROJELER MD TARAFINDAN GÖNDERİLDİ. YÜG YENİDEN YAPIM PROJESİ</t>
  </si>
  <si>
    <t>41.02384242056301, 29.227957253187956</t>
  </si>
  <si>
    <t>05a2637a-8d20-ee11-b8da-005056b0106f</t>
  </si>
  <si>
    <t>Çekmeköy Taşdelen Sultançiftliği Mah (Şile Otoyolu Sultançiftliği Cad ile Sultan Murat Cad Kes) Yaya Üst Geçidi Projesi</t>
  </si>
  <si>
    <t>Ulaşım Projeleri Şube Müdürlüğü</t>
  </si>
  <si>
    <t>Kirazlıdere-Güngören Taşdelen Kavşağı Alt Geçit Ve Meydan Genişletme Projesi</t>
  </si>
  <si>
    <t>Betonarme</t>
  </si>
  <si>
    <t>****Fen İşleri Dairesi Başkanlığı*****
Bütçesi Fen İşleri Dairesi Başkanlığı tarafından verilmelidir.
talebe ilişkin ön proje çalışmalarına başlanmıştır.</t>
  </si>
  <si>
    <t>İmalat aşamasında</t>
  </si>
  <si>
    <t>41.01543914097602, 29.204952068693505</t>
  </si>
  <si>
    <t>14 Km 2500 Çapında İsale Hattı</t>
  </si>
  <si>
    <t>41.033081471347046, 29.16882072291215</t>
  </si>
  <si>
    <t>Çekmeköy Şube Binası</t>
  </si>
  <si>
    <t>Çekmeköy Hizmet Binası</t>
  </si>
  <si>
    <t>41.03314521751328, 29.181403070026715</t>
  </si>
  <si>
    <t>Muhsin Yazıcıoğlu Deresi ıslahı</t>
  </si>
  <si>
    <t>1.320 Metre Dere Islahı</t>
  </si>
  <si>
    <t>İleriki Yatırım Programlarında Değerlendirilecektir.</t>
  </si>
  <si>
    <t>41.03255451377171, 29.185836466015076</t>
  </si>
  <si>
    <t>Serindere Islahı</t>
  </si>
  <si>
    <t>1.950 Metre Dere Islahı</t>
  </si>
  <si>
    <t>41.0337569, 29.1658304</t>
  </si>
  <si>
    <t>Köyiçi Deresi Islahı</t>
  </si>
  <si>
    <t>450 Metre Dere Islahı</t>
  </si>
  <si>
    <t>41.03530375103106, 29.176944108684296</t>
  </si>
  <si>
    <t>Utuk Deresi Islahı</t>
  </si>
  <si>
    <t>1.230 Metre Dere Islahı</t>
  </si>
  <si>
    <t>41.10458843640219, 29.317694349892495</t>
  </si>
  <si>
    <t>Esenler İlçesi, O-3 Fatih Sultan Mehmet Caddesi Köprü Güçlendirme Projesi</t>
  </si>
  <si>
    <t>​Yaklaşık 1200 M2 Köprü Güçlendrime Projesi.</t>
  </si>
  <si>
    <t>41.0495939, 28.8739559</t>
  </si>
  <si>
    <t>a87facd6-d3e5-ee11-b8e8-005056b0106f</t>
  </si>
  <si>
    <t>Esenler Nostaljik Tramvay Hattı Cadde Düzenleme Projesi</t>
  </si>
  <si>
    <t>41.047629267478186, 28.875181583082885</t>
  </si>
  <si>
    <t>Esenler Kent Lokantası (1532 Ada / 1 Parsel Atışalanı Mahallesi)</t>
  </si>
  <si>
    <t>Kent Lokantası</t>
  </si>
  <si>
    <t>41.05765730289795, 28.869869391419154</t>
  </si>
  <si>
    <t>Esenler İlçesi, Dumlupınar Caddesi Ayvalıdere Araç Üst Geçidi Güçlendirme Projesi</t>
  </si>
  <si>
    <t>2984 m² Güçlendirme Projesi</t>
  </si>
  <si>
    <t>41.02696641596626, 28.899146427829752</t>
  </si>
  <si>
    <t>cbc81c22-8e11-ee11-b8d7-005056b0106f</t>
  </si>
  <si>
    <t>Esenler İlçesi Dumlupınar Caddesi Ayvalıdere Araç Üst Geçidi Güçlendirme Projesi</t>
  </si>
  <si>
    <t>Fatih Caddesinin Yenilenmesi</t>
  </si>
  <si>
    <t>990 Metre</t>
  </si>
  <si>
    <t>41.04039704701311, 28.860727937603162</t>
  </si>
  <si>
    <t>Osmangazi Caddesinin Yenilenmesi</t>
  </si>
  <si>
    <t>1315 Metre</t>
  </si>
  <si>
    <t xml:space="preserve">2022 yılında asfaltı yapılmıştır. (9.455 Ton)
</t>
  </si>
  <si>
    <t>41.04390525607474, 28.859548725979856</t>
  </si>
  <si>
    <t>Esenler Çocuk Parkı (Namık Kemal Caddesi  0/231 Parsel)</t>
  </si>
  <si>
    <t>​Sert Zemin 422M2​​ Yeşil Alan 254M2</t>
  </si>
  <si>
    <t>41.03055575930068, 28.896481810636253</t>
  </si>
  <si>
    <t>fb347ea5-542b-ec11-b882-005056b0336f</t>
  </si>
  <si>
    <t>Esenler Çocuk Parkı</t>
  </si>
  <si>
    <t>Esenler Güney Yanyol Güzergahı Zeminaltı Otopark Revize Projesi (ESE-20)</t>
  </si>
  <si>
    <t>310 Araçlık Zeminaltı 4 Kat Toplam17.158,58 M²​</t>
  </si>
  <si>
    <t>41.049105713910194, 28.875720291157712</t>
  </si>
  <si>
    <t>6427f3e7-9371-ee11-b8e1-005056b0106f</t>
  </si>
  <si>
    <t>Hakkı Başar Spor Tesisleri Bahçe Duvarları İnşaatı</t>
  </si>
  <si>
    <t>41.04541532824147, 28.86636743947252</t>
  </si>
  <si>
    <t>Battal Gazi Caddesi ile O-3 Yolu Kesişimi Düzenleme İnşaatı</t>
  </si>
  <si>
    <t>41.048242862759466, 28.87844653804189</t>
  </si>
  <si>
    <t>6895061d-66ca-42bf-97dd-36c273cc10d8</t>
  </si>
  <si>
    <t>Esenler Battal Gazi Caddesi ile O-3 Yolu Kesişimi Düzenleme Projesi</t>
  </si>
  <si>
    <t>Esenler Bilal-i Habeşi Cami Yenileme ve Zeminaltı Otopark Projesi</t>
  </si>
  <si>
    <t>284 Araç Kapasiteli 16000 M2 Kapalı Alan 3000 M2 Park Alanı</t>
  </si>
  <si>
    <t>(882/2Birlik Mah. Ulubatlı Sk.)</t>
  </si>
  <si>
    <t>41.04810840448543, 28.868962692904432</t>
  </si>
  <si>
    <t>9429f992-8ef2-ef11-b90e-005056b0106f</t>
  </si>
  <si>
    <t>Raylı Sistem Yapımı ve Araç Temini</t>
  </si>
  <si>
    <t>Nostaljik Tren (Yıldız Teknik Üniversitesi İle Metro Bağlantısı)</t>
  </si>
  <si>
    <t>9 İstasyon Ve 2.241 M</t>
  </si>
  <si>
    <t>3 araca ihtiyaç  araç maliyeti araç başı 1,6 milyon euro ile alındı. Hattın kilometresi 2,2 kilometre olup Kilometre başı yapım maliyeti  2,8 milyon euro baz alındı.</t>
  </si>
  <si>
    <t>11.110.000,00 EURO 
(ARAÇ DAHİL)</t>
  </si>
  <si>
    <t>41.02085404373052, 28.900126686174097</t>
  </si>
  <si>
    <t>2 km atıksu şebeke ve kolektör kanalı</t>
  </si>
  <si>
    <t>41.05314878142691, 28.879149410692957</t>
  </si>
  <si>
    <t>Osmangazi caddesi ve Fatih caddeleri</t>
  </si>
  <si>
    <t>Osmangazi caddesi ve Fatih caddelerinde isale hattı planlamamız bulunmaktadır.</t>
  </si>
  <si>
    <t>41.05423860218837, 28.856693047668983</t>
  </si>
  <si>
    <t>Üçyüzlü Kavşağı Düzenleme Projesi</t>
  </si>
  <si>
    <t>4 Kollu Kavşak Alanı</t>
  </si>
  <si>
    <t>Uygulama Proje Aşamasında
******Ulaşım Projeleri Şube Müdürlüğü  uhdesindedir. 4. Revize Kararı alınmıştır. 17.04.2025 tarihinde gerçekleştirilen UTK toplantısında revize karar alınmıştır. ******
Bütçesi Fen İşleri Dairesi Başkanlığı tarafından verilmelidir.
Bağcılar Devlet Hastanesi projesi kapsamında hemzemin projesi ele alınmıştır. İl Sağlık Müdürlüğü, İl Emniyet Müdürlüğü, Bağcılar Belediye Başkanlığı, Bağcılar Devlet Hastanesi Başhekimliği, Fen İşleri Daire Başkanlığı ve diğer ilgili birimlerle toplantı ve sahada incelemeler yapılmış, gelen taleplere ilişkin olarak imalat öncesi projenin son revizyonları tamamlanmış olup, 4 Temmuz 2024 tarihinde yapılacak olan UTK toplantısında karar altına alınması alınmıştır.</t>
  </si>
  <si>
    <t>41.03717698083795, 28.871147472540954</t>
  </si>
  <si>
    <t>Esenyurt İlçesi, Yeşilkent Mahallesi Kadın ve Çocuk Etkinlik Merkezi İnşaatı</t>
  </si>
  <si>
    <t>9 derslikli kreş ​ve Kadın Aile Merkezi. 2265 Ada 3 Parsel.</t>
  </si>
  <si>
    <t>41.02704876 , 28.66701557</t>
  </si>
  <si>
    <t>9ffef875-65d5-ee11-b8e8-005056b0106f</t>
  </si>
  <si>
    <t>Esenyurt İlçesi 2265 Ada 3 Parsel Düzenleme Projesi</t>
  </si>
  <si>
    <t>1654. Sokak Tem Yanyolu Projesi (Lise Kampüsü Önü)</t>
  </si>
  <si>
    <t>Uzunluk 1300 M, Genişlik 15 Metre</t>
  </si>
  <si>
    <t>-------Uygulama Proje Aşamasında-------
Bütçesi Fen İşleri Dairesi Başkanlığı tarafından verilmelidir.
ön projesi hazırlanmış olup, kgm protokol süreci devam etmektedir.</t>
  </si>
  <si>
    <t>41.03984677851915, 28.677623080488967</t>
  </si>
  <si>
    <t>Ahmet Arif Cad.-Erzurum Kongre Cad. Arası -1569. Sk (Esenyurt Devlet Hastanesi Kavşak) Yol Projesi</t>
  </si>
  <si>
    <t>Uzunluk 1300 M, Genişlik 20 Metre</t>
  </si>
  <si>
    <t>****21.12.2023 tarihli Revize 2 UTK 2023/50-7 nolu karar alınmış olup dağıtım yazısı Altyapı Projeler Şube Müdürlüğü'ne gönderilmiştir.
Bütçesi Fen İşleri Dairesi Başkanlığı tarafından verilmelidir.
ulaşım dairesi başkanlığımızca uygulama proje çalışmaları ağustos ayı sonunda tamamlanarak imalatı için fen işleri dairesi başkanlığına gönderilecektir.</t>
  </si>
  <si>
    <t>41.028649232760365, 28.66629051913894</t>
  </si>
  <si>
    <t>Demir Köprünün Yayalaştırılması</t>
  </si>
  <si>
    <t>Yayalaştırma</t>
  </si>
  <si>
    <t>41.02673552583336, 28.68445517794419</t>
  </si>
  <si>
    <t>Esenyurt İlçesi, Balıkyolu Köprüsü Güçlendirme Projesi</t>
  </si>
  <si>
    <t>​4700 M2 Alanlı 2 Köprü​</t>
  </si>
  <si>
    <t>41.03994614536054, 28.689550086310856</t>
  </si>
  <si>
    <t>ea160bda-0daa-ee11-b8e3-005056b0106f</t>
  </si>
  <si>
    <t>Muhsin Yazıcıoğlu Parkı Spor Komplekslerinin Yenilenmesi</t>
  </si>
  <si>
    <t>41.04846709019968, 28.66447935481575</t>
  </si>
  <si>
    <t>Turgut Özal Mah. 1048  Sok. Tretuvar Ve  Asfalt Yol Yapımı</t>
  </si>
  <si>
    <t>Uzunluk 720 M,Alan 11.520&amp;nbsp; M2 Asfalt Tonaj 3.594,24 Ton</t>
  </si>
  <si>
    <t xml:space="preserve">2024 yılında asfaltı yapılmıştır.
</t>
  </si>
  <si>
    <t>41.00463875972296, 28.695684578602865</t>
  </si>
  <si>
    <t>Asfaltlama</t>
  </si>
  <si>
    <t>Yunus Emre Mah Mandıra Cad.  Prestij Cadde Yapımı</t>
  </si>
  <si>
    <t>Uzunluk 610 M,Alan 6.100 M2 Kaldırım 2.440 M2 Asfalt Tonaj 1.024,8 Ton</t>
  </si>
  <si>
    <t>41.02802340519808, 28.693290661907312</t>
  </si>
  <si>
    <t>Haramidere (Evren Oto Sanayi Bölgesi)  ıslahı</t>
  </si>
  <si>
    <t>1.000 metre</t>
  </si>
  <si>
    <t>41.06076431674639, 28.662247110637313</t>
  </si>
  <si>
    <t>Haramidere Kıraç Deresi ıslahı</t>
  </si>
  <si>
    <t>2.550 metre</t>
  </si>
  <si>
    <t>41.031399726156415, 28.640374701216377</t>
  </si>
  <si>
    <t>Esenyurt  Depo ve Terfi Merkezi</t>
  </si>
  <si>
    <t>30.000 metreküp içme suyu deposu ve 9+1 terfi merkezi</t>
  </si>
  <si>
    <t>41.068576854302115, 28.6666712551982</t>
  </si>
  <si>
    <t>Esenyurt Köprüsü ve Doğan Araslı Bulvarı Düzenleme Projesi</t>
  </si>
  <si>
    <t>Cadde Düzenleme -Üst Geçit</t>
  </si>
  <si>
    <t>41.02884272226046, 28.68336048617934</t>
  </si>
  <si>
    <t>66c84f16-411a-ee11-b8da-005056b0106f</t>
  </si>
  <si>
    <t>Esenyurt İlçesi, TEM Haramidere Bağlantı Yolu Üstü Doğan Araslı Bulvarı Köprüsü Güçlendirme Projesi</t>
  </si>
  <si>
    <t>​Yaklaşık 2820 m² köprü</t>
  </si>
  <si>
    <t>41.02672257602159, 28.684409366528296</t>
  </si>
  <si>
    <t>6a0a33b2-627a-ef11-b8f1-005056b0106f</t>
  </si>
  <si>
    <t>Balıkyolu Mahallesi Okul-Cami-Kapalı Otopark-Pazar Yeri Projesi (591 Ada / 10-11-12 ParselBalıkyolu Mahallesi)</t>
  </si>
  <si>
    <t>​Cami, İlköüretim Okulu, Kapalı Pazar Alanı, Taziye Evi, Kapalı Otopark.</t>
  </si>
  <si>
    <t>41.03262263374461, 28.68904524496309</t>
  </si>
  <si>
    <t>44421309-e670-ef11-b8f0-005056b0106f</t>
  </si>
  <si>
    <t>Esenyurt Balıkyolu Okul ve Cami Konsept Projesi</t>
  </si>
  <si>
    <t>Ambarlı Mah. Ambarlı Mezarlığı İstinat Duvarı İnşaatı</t>
  </si>
  <si>
    <t>​​Yaklaşık 20 metre uzunluğunda, 7-8 metre yüksekliğinde kuyu temel imalatı yöntemiyle yapılacak istinat duvarı.</t>
  </si>
  <si>
    <t>40.97850285 , 28.71275152</t>
  </si>
  <si>
    <t>c0e57d42-e795-eb11-b876-005056b0336f</t>
  </si>
  <si>
    <t>Avcılar İlçesi, Ambarlı Mezarlığı İstinat Duvarı Projesi</t>
  </si>
  <si>
    <t>Esenyurt Haramidere Erzurum Kongre Caddesi - Hastane Kavşağı Arası Yol Kavşak İnşaatı</t>
  </si>
  <si>
    <t>41.04488581272624, 28.664661424129452</t>
  </si>
  <si>
    <t>İncirtepe Mah Atalay Cad. Tretuvar Ve Asfalt Yol Yapımı</t>
  </si>
  <si>
    <t>Uzunluk 966 M,Alan 11.592 M2 Kaldırım 3.864 M2 Asfalt Tonaj 1.622,88 Ton</t>
  </si>
  <si>
    <t>41.02255980650769, 28.694694529244213</t>
  </si>
  <si>
    <t>İncirtepe Mah/ Kemal Paşa Cad. Prestij Cadde Yapımı</t>
  </si>
  <si>
    <t>Uzunluk 742 M2 Alan 8.904 M2 Kaldırım 2.968 M2 Asfalt Tonaj 1246,56 Ton</t>
  </si>
  <si>
    <t>41.023502196196354, 28.69090132451568</t>
  </si>
  <si>
    <t>Orhan Gazi Mahallesi Tunç Caddesi Beton Kaldırım Uygulaması</t>
  </si>
  <si>
    <t>Uzunluk 600 M, Genişlik 4 Metre</t>
  </si>
  <si>
    <t>41.091564891285635, 28.643412757592557</t>
  </si>
  <si>
    <t>Yenikent Mah/ Aşık Şenlik Cad.Prestij Cadde Yapımı</t>
  </si>
  <si>
    <t>Uzunluk 905 M,Alan 10.860 M2 Kaldırım 3.620 M2 Asfalt Tonaj 1.520,4 Ton</t>
  </si>
  <si>
    <t>41.0381327064155, 28.684094463020166</t>
  </si>
  <si>
    <t>120 km atıksu şebeke ve kolektör kanalı ile yağmursuyu şebeke ve kollektör kanalı,</t>
  </si>
  <si>
    <t>41.034783177851835, 28.67953269631426</t>
  </si>
  <si>
    <t>Haramidere Yaşam Vadisi 3.Etap</t>
  </si>
  <si>
    <t>41.02893237117818, 28.665940257718272</t>
  </si>
  <si>
    <t>Esenyurt Çınar Mahallesi Barış ve Kardeşlik Projesi</t>
  </si>
  <si>
    <t>Semt Konağı, Kapalı Otopark</t>
  </si>
  <si>
    <t>Çınar Mahallesinde Bulunan Nikah Sarayı Ve Çok Amaçlı Salon Projesinin Tamamlama İşi/Kardeşlik Merkezi (1223 Ada / 18-19-22 ParselÇınar Mahallesi )</t>
  </si>
  <si>
    <t>41.040004597509416, 28.67250291693775</t>
  </si>
  <si>
    <t>df8d3863-d5b3-ef11-b90d-005056b0106f</t>
  </si>
  <si>
    <t>Esenyurt Belediyesi Barış ve Kardeşlik Merkezi Hizmet Binası</t>
  </si>
  <si>
    <t>Gaziler Parkı Spor Kompleksi</t>
  </si>
  <si>
    <t>5250M2 Halı Saha</t>
  </si>
  <si>
    <t>Gaziler Parkı Spor Kompleksi (Mehterçeşme)</t>
  </si>
  <si>
    <t>41.02630587117112, 28.665388699298035</t>
  </si>
  <si>
    <t>0266df26-90f2-ef11-b90e-005056b0106f</t>
  </si>
  <si>
    <t>İSTAÇ A.Ş.</t>
  </si>
  <si>
    <t>İştirakler Koordinasyon Şube Müdürlüğü</t>
  </si>
  <si>
    <t>Hasdal Atık Yakma ve Enerji Geri Kazanım Tesisi</t>
  </si>
  <si>
    <t>550.000.000 Euro</t>
  </si>
  <si>
    <t>çevre korumada geçişi istaç olmadı</t>
  </si>
  <si>
    <t>41.22462959195641, 28.8147664548223</t>
  </si>
  <si>
    <t>Sütlüce Nuri Killigil Parkı Deniz Yapısı Bakım Onarım ve Güçlendirme İnşaatı</t>
  </si>
  <si>
    <t>1854 numaralı iş ile aynı iş olduğundan iptale alınmıştır. (Maliyet: 150.000.000 TL)</t>
  </si>
  <si>
    <t>41.05485127980835, 28.948261110637056</t>
  </si>
  <si>
    <t>Tekkeparkı Peyzaj Düzenleme İnşaatı 2.etap</t>
  </si>
  <si>
    <t>Yapılmayacak
(Listeden Çıkartılmalı)</t>
  </si>
  <si>
    <t>41.057229760941595, 28.945686189935724</t>
  </si>
  <si>
    <t>Ağaçlı Köy Yolu İnşaatı (Gavuzoğlu Ağaçlı Yaşlı Bakımevi ve Rehabilitasyon Merkezi)</t>
  </si>
  <si>
    <t>​200 metre yol</t>
  </si>
  <si>
    <t>41.26721376332513, 28.875838026018425</t>
  </si>
  <si>
    <t>043c5b35-a006-ee11-b8d7-005056b0106f</t>
  </si>
  <si>
    <t>Eyüpsultan İlçesi, Ağaçlı Köy Yolu Projesi</t>
  </si>
  <si>
    <t>Emniyettepe Bölge Parkı</t>
  </si>
  <si>
    <t>Bölgeye Hizmet Verecek Donatı Alanları Oluşturmak</t>
  </si>
  <si>
    <t>41.06881078594686, 28.951288590521365</t>
  </si>
  <si>
    <t>Göktürk İstanbul Ve Göktürk Caddeleri Prestij Cadde Düzenlenmesi</t>
  </si>
  <si>
    <t>45000M2</t>
  </si>
  <si>
    <t>41.1853618, 28.8866483</t>
  </si>
  <si>
    <t>Haliç Üniversitesi Önü Köprülü Kavşak Düzenlemesi</t>
  </si>
  <si>
    <t>Erişilebilirliği Arttırmak</t>
  </si>
  <si>
    <t>********09.03.2023 tarihinde UTK2023/10-2 nolu karar alınmış olup kararın dağıtım yazısı imalat için  Fen İşleri Dairesi Başkanlığı'na iletilmiştir**************
Bütçesi Fen İşleri Dairesi Başkanlığı tarafından verilmelidir.
eyüpsultan ilçesi, mareşal fevzi çakmak caddesi, fatih sultan mehmet bulvarı kesişiminde bulunan kavşak alanı, ilçede en yoğun olarak araç sirkülasyonun gerçekleştiği alanlardan biridir. söz konusu alanda hasdal kemerburgaz yolu, istanbul çevre yolu ve alibeyköy yönlerine doğru akan trafik sebebi ile trafiğin yoğun saatlerinde büyük problemler yaşanmakta iken, bahse konu alanda haliç üniversitesinin açılması, alibeyköy cep otogarı’nın kullanımı ve yakın zamanda açılan, alibeyköy lojistik merkezi ile birlikte kavşakta çözümlenmesi gereken trafik sorunları artmıştır. projesi tamamlanmış olup, imalat çalışmaları için fen işleri dairesi başkanlığına iletilmiştir.</t>
  </si>
  <si>
    <t>Ulaşım Dairesi Başkanlığı tarafından tamamlandı</t>
  </si>
  <si>
    <t>41.08571618624809, 28.952608225392304</t>
  </si>
  <si>
    <t>Tarihi Miras Konularında Müşterek Ve Münhasıran Yapılacak İşlerin Planlanması</t>
  </si>
  <si>
    <t>Eyüpsultan Meydanı, Aşevi, Cülus Yolu, Mezarlıklar, Piyer Loti, Çömlekçiler Hamamı, Balçık Tekkesi Vb. Tarihi Miraskonularında Müşterek Ve Münhasıran Yapılacak İşleri Planlamak</t>
  </si>
  <si>
    <t>Eyüp'te miras birimi kurmak üzere protokol çalışmaları başlamış olup, bu çalışmalar ile eş zamanlı olarak Eyüp Meydan ve Kemerburgaz Sivil Savunma Binasının projelendirme çalışmaları için ödenek talebinde bulunulacaktır.</t>
  </si>
  <si>
    <t xml:space="preserve">Proje Niteliği Taşımıyor İş Planlaması dır </t>
  </si>
  <si>
    <t>41.04808009078345, 28.93387759823081</t>
  </si>
  <si>
    <t>Araştırma ve Raporlama</t>
  </si>
  <si>
    <t>Ulaşım Ve Sirkülasyon Projeleri</t>
  </si>
  <si>
    <t>Ulaşım Ve Sirkülasyon Taleplerini Karşılamak (Göktürk İstanbul Caddesi Vb.)​</t>
  </si>
  <si>
    <t>41.04909957984903, 28.935529838943154</t>
  </si>
  <si>
    <t>Kazım Karabekir Caddesi (Bilgi Üniversitesi) Toprak Kayması/Kaya Düşmesi Önleme Projesi</t>
  </si>
  <si>
    <t>​2400 m2 Kaya Düşmesi Önlem Projesi​</t>
  </si>
  <si>
    <t>41.0683752027023, 28.94675966830928</t>
  </si>
  <si>
    <t>da3f2342-5860-ef11-b8ee-005056b0106f</t>
  </si>
  <si>
    <t>Eyüpsultan İlçesi Kazım Karabekir Caddesi Şev Stabilitesi Deformasyon Önlem Projesi</t>
  </si>
  <si>
    <t>Tevfik Aydeniz Spor Tesisi Güçlendirme Projesi</t>
  </si>
  <si>
    <t>kapalı basketbol sahası, tribün, otopark, soyunma odaları, branş derslikleri, idari bölüm</t>
  </si>
  <si>
    <t>41.08153516415301, 28.938309147145386</t>
  </si>
  <si>
    <t>96755821-86b0-ef11-b90d-005056b0106f</t>
  </si>
  <si>
    <t>Eyüpsultan Çırçır Tevfik Aydeniz Spor Tesisi Güçlendirme Projesi</t>
  </si>
  <si>
    <t>İBB Hizmet binası Güçlendirme Projesi (Orkestralar Müd)</t>
  </si>
  <si>
    <t>​Prova odaları,endistrüman depoları,müdür yardımcısı odaları,toplantı odası,teknik hacimler,erkek wc, kadın wc,depo, arşiv odası.</t>
  </si>
  <si>
    <t>41.08402706065314, 28.926103470160307</t>
  </si>
  <si>
    <t>16c23a35-29b9-ef11-b90d-005056b0106f</t>
  </si>
  <si>
    <t>Eyüpsultan İlçesi Alibeyköy Mahallesi 134 Ada 2 Parsel İBB Hizmet Binası Güçlendirme Projesi</t>
  </si>
  <si>
    <t>Alibeyköy 5 Levent Parkı</t>
  </si>
  <si>
    <t>41.09144946019623, 28.949148304674534</t>
  </si>
  <si>
    <t>0887674e-7321-ee11-b8db-005056b0106f</t>
  </si>
  <si>
    <t>Topçular Mah Eyüp Sultan Bulvarı İstinat Duvarı İnşaatı</t>
  </si>
  <si>
    <t>41.04182347999824, 28.927992197144068</t>
  </si>
  <si>
    <t>Eyüpsultan Güzeltepe Mah. Fevzi Çakmak Cad. FSM Bulvarı Kesişimi Yol Kavşak İnşaatı İşi</t>
  </si>
  <si>
    <t>​Yolun uzunluğu 2,80 km Yolun genişliği 25 m Köprü Sayısı 4 Kayşak Sayısı 3</t>
  </si>
  <si>
    <t>41.080258068074016, 28.951342697145456</t>
  </si>
  <si>
    <t>4dc17c5e-0fc6-e711-80fd-005056a5354a</t>
  </si>
  <si>
    <t>Eyüp İlçesi, Mareşal Fevzi Çakmak Cad Fatih Sultan Mehmet Bulvarı Kesişimi Yol, Kavşak Projesi</t>
  </si>
  <si>
    <t>Alibeyköy Mahallesi Atatürk Caddesi Prestij Cadde Uygulaması</t>
  </si>
  <si>
    <t>41.07996197164509, 28.947802217376875</t>
  </si>
  <si>
    <t>Darvadi Sokak Parkı</t>
  </si>
  <si>
    <t>2153M2</t>
  </si>
  <si>
    <t>41.07662736297295, 28.952593852966295</t>
  </si>
  <si>
    <t>Eyüpsultan Karadolap (Teneke) Mahallesi Kentsel Dönüşüm Projesi</t>
  </si>
  <si>
    <t>Konut</t>
  </si>
  <si>
    <t>Kentsel Dönüşüm Amaçlı Tasarım Projesi, Hak Sahipliği Tespiti ve Mimari Ön Proje çalışmaları tamamlanmıştır.
14.11.2022 tarihinde Şehir Planlama Müdürlüğü proje alanı kapsayan 1/5000 ölçekli nazım imar planı teklifini İ.B.B. Meclisine iletmiş olup teklif plan Temmuz 2024’te Müdürlüğüne iade edilmiştir.
1/5000 ölçekli N.İ.Planı onaylandıktan sonra 1/1000 ölçekli Uygulama İmar Planı ve bu doğrultuda imar uygulamasının hazırlanması gerekmektedir. Bu süreçler tamamlandıktan sonra rezerv yapı alanı teklifi Bakanlığa sunulması ve dönüşüm süreçlerinin yürütülmesi planlanmaktadır. 
Planlama alanının bir kısmında mimari kesin proje çalışması yapılması planlanmaktadır. Proje ilerleme oranı %20 dir</t>
  </si>
  <si>
    <t>41.071423, 28.93177662</t>
  </si>
  <si>
    <t>Kemerburgaz Yol Genişletme</t>
  </si>
  <si>
    <t>553 Adadaki Tarihi Eser Yapının Yol Genişletmesi İçin Kaydırılması</t>
  </si>
  <si>
    <t>41.16133034122327, 28.89868440955637</t>
  </si>
  <si>
    <t>Namık Kemal Caddesi Düzenlemesi</t>
  </si>
  <si>
    <t>41.07698976221473, 28.94393122598099</t>
  </si>
  <si>
    <t>Otakçılar Caddesi Düzenleme</t>
  </si>
  <si>
    <t>7000M2</t>
  </si>
  <si>
    <t>41.03862919280438, 28.930591794419225</t>
  </si>
  <si>
    <t>Pierre Loti Katlı Otopark Projesi</t>
  </si>
  <si>
    <t>4.124 M² (4 Kat-162 Araç)</t>
  </si>
  <si>
    <t>*********Ulaşım Dairesi Başkanlığı tarafından söz konusu alana hizmet edecek  EYU-19 kodlu zemin altı otopark alanı planlanmıştır. Söz konusu alan ile ilgili olarak; arazi çalışmalarının yanı sıra alanın imar durumu, mülkiyet bilgisi, büyüklüğü ve geometrisi, erişilebilirliği vb. kriterler ile ilgili olarak değerlendirmelerimiz devam etmektedir. Bu çalışmalar sonucunda Kamulaştırma Şube Müdürlüğüne resmi yazımız ile iletilecektir.*******
Bütçesi projesi için Etüd ve Projeler DB imalat için Fen İşleri Dairesi Başkanlığı tarafından verilmelidir.
ulaşım dairesi başkanlığı tarafından söz konusu alana hizmet edecek&amp;nbsp; 200 kapasiteli eyu-19 kodlu zemin altı otopark alanı planlanmıştır.söz konusu alan ile ilgili olarak; mülkiyet sorununun çözümlenmesi&amp;nbsp; amacıyla konu kamulaştırma şube müdürlüğüne resmi yazımız ile iletilecektir.</t>
  </si>
  <si>
    <t>41.049833864830006, 28.933994376542127</t>
  </si>
  <si>
    <t>Talimhane Caddesi Düzenleme</t>
  </si>
  <si>
    <t>8000M2</t>
  </si>
  <si>
    <t>41.04740863574118, 28.918328220503547</t>
  </si>
  <si>
    <t>Veysel Karani Ve Adnan Menderes Caddesi Düzenleme İşi</t>
  </si>
  <si>
    <t>20000M2</t>
  </si>
  <si>
    <t>41.07602805504343, 28.930087467247148</t>
  </si>
  <si>
    <t>24 km atıksu şebeke ve kolektör kanalı 10 km yağmursuyu şebeke ve kollektör kanalı,11 km dere ıslahı, 37 km içmesuyu hattı planlanmaktadır. (1.6 km akşemsettin tüneli)</t>
  </si>
  <si>
    <t>41.071174406346216, 28.942326107519413</t>
  </si>
  <si>
    <t>Dolphinarium'un Projelendirilmesi</t>
  </si>
  <si>
    <t>Gençlik ve Sanat Akademisi-Spor Merkezi-Ortak Ofisler-Video Stüdyo-Aktivite, Etkinlik, Performans Alanı-Serbest Okuma ve Çalışma Salonu, Teknik Mekanlar, Sirkülasyon ve Servis Mekanları</t>
  </si>
  <si>
    <t>41.061984324945236, 28.943253654816477</t>
  </si>
  <si>
    <t>0109f74e-74ad-ef11-b90d-005056b0106f</t>
  </si>
  <si>
    <t>Eyüpsultan İlçesi Silahtarağa Mah 18 Ada 6 ve 16 Parsel Sosyal ve Kültürel Tesis Projesi</t>
  </si>
  <si>
    <t>Eyüpsultan İlçesi Silahtarağa Mahallesi Geçit ve Eyüpsultan Kültür Sanat Merkezi Çevre Düzenleme Projesi İşi</t>
  </si>
  <si>
    <t>Haliç kıyısı Silahtarağa Parkı rekreasyon alanlarına üst yoldan erişimin güçlendirilerek ulaşımın sağlanması için gerekli çevre düzenlemesine ait çalışmanın yapılması​</t>
  </si>
  <si>
    <t>Eyüpsultan Kültür Sanat Merkezi (EKSM) Revizyonu (18 ada 21 parselGümüşsuyu mah.)</t>
  </si>
  <si>
    <t>41.06135186920704, 28.943364437575926</t>
  </si>
  <si>
    <t>af57738b-d3b3-ef11-b90d-005056b0106f</t>
  </si>
  <si>
    <t>Eyüpsultan İlçesi, Kemerburgaz Yolu İle Cendere Yolu Arası Bağlantı Yolu Kavşak Projesi</t>
  </si>
  <si>
    <t>​3,71 Km Yol, 2.692,18 M2 Köprü Alanı</t>
  </si>
  <si>
    <t>Çoklu İlçe; Eyüpsultan; Sarıyer</t>
  </si>
  <si>
    <t>41.099514815086344, 28.980658470160822</t>
  </si>
  <si>
    <t>279f590a-9837-ef11-b8eb-005056b0106f</t>
  </si>
  <si>
    <t>Hava Şehitleri Parkı</t>
  </si>
  <si>
    <t>41.0160571, 28.9530550</t>
  </si>
  <si>
    <t>eb2ed52b-7032-ed11-b8ae-005056b0106f</t>
  </si>
  <si>
    <t>Macar Kardeşler Parkı</t>
  </si>
  <si>
    <t>41.0154675766474, 28.952757854814685</t>
  </si>
  <si>
    <t>9f0eb957-6b32-ed11-b8ae-005056b0106f</t>
  </si>
  <si>
    <t>Oruçgazi Ortaokulu Yanı Parkı</t>
  </si>
  <si>
    <t>Fen İşleri şantiyesi nedeni ile park yapılamamaktadır. Listeden çıkarılması gerekmektedir.</t>
  </si>
  <si>
    <t>41.01465066215523, 28.945734653821745</t>
  </si>
  <si>
    <t>c6560f9d-7132-ed11-b8ae-005056b0106f</t>
  </si>
  <si>
    <t>Oruçgazi Parkı</t>
  </si>
  <si>
    <t>41.01318477355529, 28.95271126645658</t>
  </si>
  <si>
    <t>c06d0419-7132-ed11-b8ae-005056b0106f</t>
  </si>
  <si>
    <t>Özel Balat Musevi Hastanesi Önü Rıhtım Onarım Projesi</t>
  </si>
  <si>
    <t>​Rıhtım Düzenleme​</t>
  </si>
  <si>
    <t>41.0386923, 28.9459062</t>
  </si>
  <si>
    <t>4e3acede-7b00-ef11-b8e8-005056b0106f</t>
  </si>
  <si>
    <t>Özel Balat Musevi Hastanesi Önü Rıjtım Onarım Projesi</t>
  </si>
  <si>
    <t>Fatih İlçesi, Unkapanı Yaya Altgeçidi Güçlendirme Projesi</t>
  </si>
  <si>
    <t>​235 M2 Lik Yaya Altgeçit Güçlendirme Projesi</t>
  </si>
  <si>
    <t>41.021131484418994, 28.963184597143243</t>
  </si>
  <si>
    <t>56706f22-bdc5-ee11-b8e7-005056b0106f</t>
  </si>
  <si>
    <t>Fatih İlçesi Eminönü Tramvay Altgeçidi Rıhtım Güçlendirme Projesi</t>
  </si>
  <si>
    <t>​Rıhtım Güçlendirme</t>
  </si>
  <si>
    <t>41.0181142, 28.9732111</t>
  </si>
  <si>
    <t>e8a16bc3-55b0-ee11-b8e6-005056b0106f</t>
  </si>
  <si>
    <t>Saraçhane Meydanı Düzenleme Kentsel Tasarım Projesi</t>
  </si>
  <si>
    <t>Proje Fen İşlerine iletilmiştir.</t>
  </si>
  <si>
    <t>41.0144207226955, 28.956603559358527</t>
  </si>
  <si>
    <t>c4bed3dc-a645-ef11-b8eb-005056b0106f</t>
  </si>
  <si>
    <t>Aksaray Meydan Köprüsü Beyazıt Yönü Yaklaşım Duvarının Kaldırılmasına Yönelik Statik Rapor ve Kentsel Tasarım Uygulama Projelerinin Hazırlanması İşi</t>
  </si>
  <si>
    <t>Seyir terası, kentsel ögeler, peyzaj alanları tasarımı</t>
  </si>
  <si>
    <t>41.009542298875694, 28.954000314503716</t>
  </si>
  <si>
    <t>0987fa72-2544-ef11-b8eb-005056b0106f</t>
  </si>
  <si>
    <t>Aksaray Meydan Köprüsü Beyazıt Yönü Yaklaşım Duvarının Kaldırılmasına Yönelik Statik Rapor ve Kentsel Tasarım Uyg Proj Haz İşi</t>
  </si>
  <si>
    <t>Vatan Caddesi Kentsel Tasarım Projesi</t>
  </si>
  <si>
    <t>​Cadde Düzenleme, Kent Mobilyaları, Peyzaj Alanları</t>
  </si>
  <si>
    <t>Konsept proje tamamlanmış olup Kurul süreci devam etmektedir.</t>
  </si>
  <si>
    <t>41.01469741051899, 28.943314704762567</t>
  </si>
  <si>
    <t>eac12e63-5c2b-ec11-b882-005056b0336f</t>
  </si>
  <si>
    <t>Aksaray Yeraltı Çarşısı Renovasyon ve Meydan Tasarım Projesi</t>
  </si>
  <si>
    <t>Vatan Caddesi, Ordu Caddesi, Atatürk Bulvarı Ve Gazi Mustafa Kemal Caddesi Kesişiminde Yer Alan Aksaray Meydanı İçin Zemin Rehabilitasyonu Ve Aynı Alandaki Yer Altı Çarşısının Geometrik Ve Mühendislik Düzenlemelerini Kapsamaktadır.</t>
  </si>
  <si>
    <t>41.01049097962491, 28.95024521912163</t>
  </si>
  <si>
    <t>9f1a78d9-8756-ec11-b89c-005056b0106f</t>
  </si>
  <si>
    <t>Fatih Yenikapı Kültür Parkı Konsept Projesi ve 1nci Bölgeye Ait Yenileme Avan Projesi (845 ada 18,19,20,23,24,25,26,27,28,29,31 parsellerAksaray Mahallesi)</t>
  </si>
  <si>
    <t>​1. Bölgeye Ait Yenileme Avan Projesinde; Kafe,İstanbul Kitapçısı, Mutfak Atölyesi,Sera Restoran, Kültür Merkezi (Kütüphane, Konferans Salonu, Kafe)​</t>
  </si>
  <si>
    <t>41.000068491799894, 28.94585205224721</t>
  </si>
  <si>
    <t>d540950f-e61e-ed11-b8ac-005056b0106f</t>
  </si>
  <si>
    <t>Fatih İlçesi Yenikapı Kültür Parkı 1nci Bölgeye Ait Uygulama Projesi</t>
  </si>
  <si>
    <t>Yenikapı Avrasya Gösteri Merkezi (Tescil Dışı alanDolgu Alan)</t>
  </si>
  <si>
    <t>Toplantı salonları ve ofisler</t>
  </si>
  <si>
    <t>40.998691962472215, 28.94681764746871</t>
  </si>
  <si>
    <t>2f9a5ad1-cd48-ef11-b8eb-005056b0106f</t>
  </si>
  <si>
    <t>Yenikapı Avrasya Gösteri ve Sanat Merkezi Rehabilitasyon Uygulama Projesi</t>
  </si>
  <si>
    <t>Unkapanı Atatürk Köprüsü Güçlendirme İnşaatı</t>
  </si>
  <si>
    <t>Yaklaşık 12.000 m² olan Unkapanı (Atatürk) Köprüsünün Mevcut Durum Tespit Raporları ile Onarım, Yenileme ve Bakım Projelerinin Hazırlanması İşi​</t>
  </si>
  <si>
    <t>41.025474, 28.967942</t>
  </si>
  <si>
    <t>757020b0-dcb3-ec11-b8a4-005056b0106f</t>
  </si>
  <si>
    <t>Unkapanı (Atatürk) Köprüsü Mevcut Durum Tespit Raporları ile Onarım, Yenileme ve Bakım Projelerinin Hazırlanması İşi</t>
  </si>
  <si>
    <t>Fatih Akdeniz Caddesi Kentsel Tasarım Projesi</t>
  </si>
  <si>
    <t>Yaklaşık Uzunlukları 700 M Olan Caddelerin Tamamında Düzenleme Yapılması</t>
  </si>
  <si>
    <t>41.01795856397495, 28.94438110915347</t>
  </si>
  <si>
    <t>ec8d8f84-a745-ef11-b8eb-005056b0106f</t>
  </si>
  <si>
    <t>Tarihi Kara Surları'nın Restorasyonu Uygulama İşi</t>
  </si>
  <si>
    <t xml:space="preserve">Tarihi Kara Surlarının Tamamı 13 etaptan oluşmaktadır. Etapların bitiminde tekrardan başa dönülerek  1. Etaptan işlere devam edildiğinden tahmini bitiş tarihi verilmesi Kültür Varlıkları Başkanlığı tarafından uygun bulunmuyor. </t>
  </si>
  <si>
    <t>İlk 3 etap çalışmaları tamamlanmış olup, geri kalan kısımların etaplar halinde restorasyon çalışaları devam etmektedir.</t>
  </si>
  <si>
    <t>Maliyet başka bir iş kapsamında girilmiştir.</t>
  </si>
  <si>
    <t>41.0149267, 28.9223866</t>
  </si>
  <si>
    <t>Sur Duvarı Restorasyonu</t>
  </si>
  <si>
    <t>Kara Surları Yenileme Alanı Yedikule Bostan Projesi</t>
  </si>
  <si>
    <t>1166 Ve 2454 Adalar Üzerinde Yer Alan Yaklaşık 58.000 M2'Lik Alanın Rekreasyon Ve Kentsel Tarım Alanı Olarak Düzenlenmesi</t>
  </si>
  <si>
    <t>Daire Başkanlığımızın yapmakta olduğu bir proje değildir. Sadece, proje kapsamında 7 dönümlük bir alanın bize tahsis edilerek bostan oluşturulması söz konusudur. Bu nedenle, projeyi hayata geçiren Park Bahçe ve Yeşil Alanlar Dairesi Başkanlığı tarafından yapım maliyetlerinin belirlenmesi doğru olacaktır.</t>
  </si>
  <si>
    <t>40.9945226, 28.9250697</t>
  </si>
  <si>
    <t>Lojistik Yönetimi Ve Terminaller Şube Müdürlüğü</t>
  </si>
  <si>
    <t>Lojistik Ve Mal Hareketliliğinin Planlanması</t>
  </si>
  <si>
    <t>Fatih İlçesi Geneli</t>
  </si>
  <si>
    <t>*****Bütçe Beklenmektedir*******
Tarihi Yarımada’daki 1. 2. ve 3.cül mal hareketliliği planlanma talebi ve bölgede tonaj/saat kısıtlamalarının hayata geçirilmesi istenmektedir.Mal hareketliliği planlamasının yapılabilmesi için ihale çalışmaları başlanmıştır. Tarihi Yarımada’da lojistik faaliyetlerden kaynaklanan yük hareketliliğinin odak noktaları, hareketlilik yönü ve yükün türel dağılımı gibi verilerin temin edilerek mevcut durumun analiz edilmesi, işyeri türlerine göre mekansal lojistik kümelenmelerin tespiti, lojistik faaliyetlerle ilgili paydaş görüşlerinin alınması, çalışma alanına yönelik lojistik vizyon ve eylem planı önerilerinin tanımlanması hedeflenmektedir.2020/2-3.B sayılı UKOME Kararı ile revize edilen İBB Karayolu Yük Taşımacılığı Yönergesi kapsamında; İstanbul İl Sınırları içerisinde 5 ton ve üzeri araçların 06.00 – 10.00 ve 16.00 – 22.00 saatleri arasında trafiğe çıkması ile N3/O4 sınıfı (azami yüklü ağırlığı 40 ton üstü) araçların «Fatih İlçe Sınırları» içerisinde girmesi yasaklanmıştır. Kolluk kuvvetlerinin sahada yapacakları çalışmalarla tır ve kamyon girişleri denetim altına alınabilecektir.</t>
  </si>
  <si>
    <t>Bütçe Beklenmektedir</t>
  </si>
  <si>
    <t>41.0113674, 28.9548905</t>
  </si>
  <si>
    <t>Süleymaniye Kentsel Yenileme Projesi</t>
  </si>
  <si>
    <t>Süleymaniye Yenileme Alanı İçerisinde Başkanlığımız Ve Kiptaş Arasında Protokole Bağlanan 39 Adadaki Uygulamaların Tamamlanması, Meclis Kararıyla İbb'Ye Yetki Devri Yapılan Alandaki Yenileme Avan Proje Çalışmalarının Tamamlanması</t>
  </si>
  <si>
    <t>Kültür Varlıkları Dairesı Başkanlığı tarafından Süleymaniye'de 3 etap halinde ada avan projeleri alınmıştır. İmar ve Şehircilik Dairsi Başkanlığınca eş zamanı revize edilen 5000 Nazım İmar Planları İBB Meclisindedir. Plan onayının akabinde plan kararı ile birlikte ada avanar kurula iletilecektir. Ada avan projelerin onay süreçlernin akabinde uygulamanın başlayabilmesi için projeler mülk sahibi KİPTAŞ ile de paylaşılmıştır.</t>
  </si>
  <si>
    <t xml:space="preserve"> 41.016200843427484, 28.96407467998342 </t>
  </si>
  <si>
    <t>da12041e-1ab8-e911-8129-005056a51de0</t>
  </si>
  <si>
    <t>Süleymaniye Yenileme Alanı Projeleri</t>
  </si>
  <si>
    <t>Yenileme Alanı Restorasyonu</t>
  </si>
  <si>
    <t>Otopark Projesi (Vatan Caddesi Eski Migros)</t>
  </si>
  <si>
    <t>11.189 M2 Yüzölçümlü Alanın Düzenlenmesi</t>
  </si>
  <si>
    <t>*******Ulaşım Dairesi Başkanlığı tarafından söz konusu alanda FTH-68 kodlu zemin altı otoparkı planlanmış olup Fatih ilçesinde trafik yoğunluğunu ve özel araç kullanımını azaltmak, toplu taşıma kullanımını teşvik etmek amacıyla yapılan "Park Et Devam Et Sisteminin Geliştirilmesi" işi kapsamında 3 Şubat 2025  tarihi itibariyle  Vatan Caddesi PD Açık Otoparkı kampanya kapsamındaki otoparklara dahil edilmiştir. Bu kampanya ile istanbulkart kullanarak toplu taşıma ile yolculuk gerçekleştirildiğinde, dönüşte otopark ücretinde %50 indirim uygulanmaktadır. Alanın açık otopark olarak değerlendirilmesi orta vadede devam edecek bir kullanım olarak öngörülmektedir.*******
Bütçesi projesi için Etüd ve Projeler DB imalat için Fen İşleri Dairesi Başkanlığı tarafından verilmelidir.
ulaşım dairesi başkanlığı tarafından eski migros önünde fth-68 kodlu&amp;nbsp; zemin altı otopark alanı planlanmıştır.&amp;nbsp; söz konusu alan ile ilgili olarak; kamulaştırma çalışmaları büyük oranda tamamlanmış olup kamulaştırmanın bitmesinin ardından proje yapılması için etüd ve projeler dairesi başkanlığı’na resmi yazı ile iletilecektir.</t>
  </si>
  <si>
    <t>41.0160450, 28.9404014</t>
  </si>
  <si>
    <t>Kapalıçarşı Yağmursuyu Tüneli; (1.261 m)</t>
  </si>
  <si>
    <t>(1.261 m)</t>
  </si>
  <si>
    <t>41.010887167104016, 28.96803591124369</t>
  </si>
  <si>
    <t>Samatya Aya Yorgi Rum Ortodoks Kilisesi Bahçesi</t>
  </si>
  <si>
    <t>41.00070863570262, 28.933486618817927</t>
  </si>
  <si>
    <t>ced511bc-6c21-ee11-b8da-005056b0106f</t>
  </si>
  <si>
    <t>Samatya Aya Yorgi Rum Ortodoks  Kilisesi Bahçesi</t>
  </si>
  <si>
    <t>Fatih Haliç Caddesi Kentsel Tasarım Projesi</t>
  </si>
  <si>
    <t>41.025017589819754, 28.95254418945322</t>
  </si>
  <si>
    <t>c7cd1dd0-a745-ef11-b8eb-005056b0106f</t>
  </si>
  <si>
    <t>Haliç Caddesi ve Yakın Çevresi Kentsel Tasarım Projesi</t>
  </si>
  <si>
    <t>Büyükçekmece İlçesi Gazi Mustafa Kemal Atatürk Caddesi Kentsel Tasarım Projesi</t>
  </si>
  <si>
    <t>​Proje Alanı, İstanbul'Un Fatih İlçesinde Yer Almakta Olup, İlçenin En Önemli Caddelerinden Biri Olan Gazi Mustafa Kemal Caddesi'Nin Zemin Rehabilitasyonunu Kapsamaktadır.Vatan Caddesi, Atatürk Bulvarı, Ordu Caddesi Kesişiminde Yer Alan Yaklaşık 645 M Uzunluğundaki Gazi Mustafa Kemal Caddesi İçin Proje Alanı 36500 M2'Dir. Bu Kapsamda Söz Konusu Caddenin Zemin Rehabilitasyonu Kentsel Tasarım Uygulama Projesinin Hazırlanması İşi Olup, Alan Ve Çevresinin Tespiti, Raporlanması, Yapısal Ve Bitkisel Peyzaj Düzenleme Önerilerinin Getirilmesi, Onaylanan Önerilerin Uygulama Projelerinin Çizilmesi İşini Kapsamaktadır.​</t>
  </si>
  <si>
    <t>41.00665971652194, 28.953550687351196</t>
  </si>
  <si>
    <t>9614a6dc-5c2b-ec11-b882-005056b0336f</t>
  </si>
  <si>
    <t>Gazi Mustafa Kemal Caddesi ve Yakın Çevresi Kentsel Tasarım Projesi</t>
  </si>
  <si>
    <t>8 Nolu Aile Sağlık Merkezi Heyelan Önleme İnşaatı</t>
  </si>
  <si>
    <t>41.0085185092217, 28.953858911409807</t>
  </si>
  <si>
    <t>07d11ab1-a66a-e611-80de-005056a5354a</t>
  </si>
  <si>
    <t>Fatih 8 Nolu Aile Sağlık Merkezi Heyelan Önleme Projesi</t>
  </si>
  <si>
    <t>1890 Ada, 51 Parsel İstinat Duvarı Düzenleme İnşaatı</t>
  </si>
  <si>
    <t>​1 adet istinat duvarı</t>
  </si>
  <si>
    <t>41.01452021908763, 28.94950059557555</t>
  </si>
  <si>
    <t>1d8be84d-128c-e911-8126-005056a51de0</t>
  </si>
  <si>
    <t>Fatih İlçesi 1890 Ada 51 Parsel İstinat Duvarı Düzenleme Projesi</t>
  </si>
  <si>
    <t>Hacı Süleyman Bey İlköğretim Okulu Arkası Heyelan Önleme İnşaatı</t>
  </si>
  <si>
    <t>41.0224513162147, 28.955408680725387</t>
  </si>
  <si>
    <t>d9300e91-a56a-e611-80de-005056a5354a</t>
  </si>
  <si>
    <t>Fatih Hacı Süleyman Bey İlköğretim Okulu Arkası Heyelan Önleme Projesi</t>
  </si>
  <si>
    <t>Hayriye Tüccarı Cd  Düzenlemesi</t>
  </si>
  <si>
    <t>Caddenin Tamamında Trafik Akışını, Yol Üstü Parklanmayı Düzenleyecek, Cadde Boyunca Yaya Alanlarını Arttıracak Düzenlemeler Yapılması</t>
  </si>
  <si>
    <t>41.007108882515745, 28.95626999606722</t>
  </si>
  <si>
    <t>Türkeli Cd  Düzenlemesi</t>
  </si>
  <si>
    <t>41.006105285744255, 28.960568982574113</t>
  </si>
  <si>
    <t>Vezneciler-Sultangazi Metro Hatt</t>
  </si>
  <si>
    <t>Metro Hatlarının İnşa Edilmesi</t>
  </si>
  <si>
    <t>4 dk lik headway ile yedek dahil 44 araca ihtiyaç var araç maliyeti araç başı 2,75 milyon euro ile alındı. Hattın kilometresi 12,5 kilometre olup Kilometre başı yapım maliyeti 65 milyon euro baz alındı.</t>
  </si>
  <si>
    <t>932,500,000,00 EURO 
(ARAÇ DAHİL)</t>
  </si>
  <si>
    <t>41.01225382790222, 28.959174990519045</t>
  </si>
  <si>
    <t>Orgeneral Nafiz Gürman Cd  Düzenlemesi</t>
  </si>
  <si>
    <t>41.002348229052096, 28.937857718571156</t>
  </si>
  <si>
    <t xml:space="preserve">18 km atıksu şebeke ve kolektör kanalı- 20km atıksu şebeke ve kolektör kanalı
</t>
  </si>
  <si>
    <t>41.016064, 28.941655</t>
  </si>
  <si>
    <t>Edirnekapı Su Deposu ve Köşkü Restorasyonu</t>
  </si>
  <si>
    <t>Tarihi Terkos Suyoluna Bağlı olan Edirnekapı Su Deposu ve Köşkü'nün restorasyon uygulama ihalesi planlanmaktadır</t>
  </si>
  <si>
    <t>Edirnekapı Su Deposu ve Binalarının onarım proje çalışmaları tamamlanmış olup kabul aşamasındandır.</t>
  </si>
  <si>
    <t>41.013015376930724, 28.9852536136848</t>
  </si>
  <si>
    <t>Su Deposu</t>
  </si>
  <si>
    <t>Yenimahalle Metro Çıkışı Park Ve Meydan Tasarımı</t>
  </si>
  <si>
    <t>41.082826362569435, 28.89371333470093</t>
  </si>
  <si>
    <t>b901ec3a-561e-ef11-b8eb-005056b0106f</t>
  </si>
  <si>
    <t>Gaziosmanpaşa İlçesi, Akşemsettin İtfaiye İstasyonu Kaya Düşmesi Önleme Projesi</t>
  </si>
  <si>
    <t>​3000 m2 Kaya Düşmesi Önlem Projesi​</t>
  </si>
  <si>
    <t>41.0918076, 28.9169410</t>
  </si>
  <si>
    <t>83fcc408-5760-ef11-b8ee-005056b0106f</t>
  </si>
  <si>
    <t>Gaziosmanpaşa İlçesi,Akşemsettin İtfaiye İstasyonu Kaya Düşmesi Önlem Projesi</t>
  </si>
  <si>
    <t>Gaziosmanpaşa Hizmet Binası</t>
  </si>
  <si>
    <t>04/12/2024 TARİHİNDE YER TESLİMİ YAPILDI</t>
  </si>
  <si>
    <t>AVRUPA BÖLGESİ İSKİ HİZMET BİNALARI İNŞAATI (5)</t>
  </si>
  <si>
    <t>41.059959342880134, 28.916605997919437</t>
  </si>
  <si>
    <t>Gaziosmanpaşa Karadeniz Mahallesi Spor Pazar Yeri Mescit Ve Zeminaltı Otopark Projesi  (0 Ada 15467-15468-15469-15470 ParselKaradeniz Mahallesi)</t>
  </si>
  <si>
    <t>Futbol Sahası 7502,18 M2, Tribün 2851,46 M2 , Cami 907,96 M2 Spor Merkezi 9579,53 M2 , Otopark -Pazar Yeri 26.771,56 M2 Pazar Kurulan Günler (453 Araç) (829 Adet Pazar Tahtası)Pazar Olmayan Günler 618 Araç kapasiteli Otopark</t>
  </si>
  <si>
    <t>41.08058936571728, 28.8833409542512</t>
  </si>
  <si>
    <t>540a4a3b-2c5a-e611-80dc-005056a5354a</t>
  </si>
  <si>
    <t>Gaziosmanpaşa Karadeniz Mahallesi Spor,Pazar Yeri, Mescit Ve Zeminaltı Otopark Projesi (Gop-59)</t>
  </si>
  <si>
    <t>Karadeniz Mahallesi İstasyonu Çelik YÜG Yapım</t>
  </si>
  <si>
    <t>41.08116878725998, 28.875078732341073</t>
  </si>
  <si>
    <t>Hava Kalitesi Ölçüm İstayonu</t>
  </si>
  <si>
    <t>Gaziosmanpaşa İlçesi Hava Kalitesi Ölçüm İstasyonu Yapım İşi Projesi</t>
  </si>
  <si>
    <t xml:space="preserve">1876-2009-2115&amp;#160;numaralı satırlarda bulunan Büyükçekmece, Gaziosmanpaşa ve Pendik ilçeleri Hava Kalitesi Ölçüm İstasyonları için fiyat araştırması yapılmış&amp;#160; olup, toplam ihale bedeli 31.991.000,00 TL olarak tespit edilmiştir. İhale için üst yönetimin onayı beklenmektedir.​ Toplam bedel satır 1876' da&amp;#160;belirtilmiştir.​
​
</t>
  </si>
  <si>
    <t>41.06420476589133, 28.914232788880128</t>
  </si>
  <si>
    <t>20 km atıksu şebeke ve kolektör kanalı</t>
  </si>
  <si>
    <t>41.09409588381551, 28.91474777299079</t>
  </si>
  <si>
    <t>Gaziosmanpaşa Spor ve Yaşam Vadisi</t>
  </si>
  <si>
    <t>41.06042598145128, 28.908475598505706</t>
  </si>
  <si>
    <t>Güngören Merter Tekstil Sitesi Zeminaltı Otopark Revize Projesi (GUN-36)</t>
  </si>
  <si>
    <t>10 Katlı Katlı Otopark ( Zeminüstü 6 Kat,Zeminaltı 4 Kat) Toplam 13232 M2 Alan Ve 298 Araç Park Yeri Kapasitelidir.</t>
  </si>
  <si>
    <t>41.00960082972676, 28.88699670162929</t>
  </si>
  <si>
    <t>78c2405d-9371-ee11-b8e1-005056b0106f</t>
  </si>
  <si>
    <t>Tozkoparan Tıp Merkezi Güçlendirme Projesi</t>
  </si>
  <si>
    <t>41.014989404185506, 28.892508696067697</t>
  </si>
  <si>
    <t>3ecf12b5-86b0-ef11-b90d-005056b0106f</t>
  </si>
  <si>
    <t>Güngören Tozkoparan 1123 ada 3 parsel İBB Tıp Merkezi Güçlendirme Projesi</t>
  </si>
  <si>
    <t>Nadide Cad. İstinat Duvarı İnşaatı</t>
  </si>
  <si>
    <t>41.0118362842577, 28.890945396067426</t>
  </si>
  <si>
    <t>Güngören Merter Kentsel Dönüşüm Odaklı Planlama Çalışması</t>
  </si>
  <si>
    <t>Mevcut Durum Analizleri tamamlanmıştır.
Beklenti ve Talep Analizinde sahada anketler tamamlanmıştır. 
Kentsel Tasarım Projesi çalışmaları devam etmektedir. Proje ilerleme oranı %50 dir.</t>
  </si>
  <si>
    <t>41.0062694, 28.88763878</t>
  </si>
  <si>
    <t>3 km atıksu şebeke ve kolektör kanalı</t>
  </si>
  <si>
    <t>41.02236170485933, 28.880687672328037</t>
  </si>
  <si>
    <t>Aydınlatma Faaliyetleri</t>
  </si>
  <si>
    <t>İstanbul Genelinde 15 Adet Caminin Aydınlatma Projesinin Uygulanması</t>
  </si>
  <si>
    <t>​Hazırlanan Aydınlatma Projeleri İle, Dini Mekanların Gece Görünümünü Anlamlandırmak Ve Tanımlamak, Gece Ve Gündüz Kullanımını Dengelemek, Hem Kent Kullanıcılarının Hem De Ziyaretçilerin Kenti Keşfetmelerine Olanak Sağlamak Açısından, Kenti Güzelleştiren, Kentsel Değerleri Ortaya Çıkararak Kenti Çekici Kılan, Özgün Yapıların Ve Kentsel Obje Haline Gelmiş Olan Dini Mekanların Önemini Vurgulayan, Tarihi, Mimari, Estetik, Sosyal Ve Sanatsal Değerleri İle Kentsel Öğeleri Anlamlandıran Aydınlatmaların Yapılması, Özgün Bir Kent Kimliği Oluşturması Amaçlanmaktadır.</t>
  </si>
  <si>
    <t>Hz.Ali Camii ve Bademlik Camiilerinin uygulamaları bitirilerek devreye alınmıştır. Kalan 8 caminin uygulanması planlanmamaktadır.</t>
  </si>
  <si>
    <t>fb8cf07e-ce2f-e711-80ef-005056a5354a</t>
  </si>
  <si>
    <t>İstanbul Genelinde 34 Adet Caminin Aydınlatma Projesinin Uygulanması</t>
  </si>
  <si>
    <t>Hazırlanan Aydınlatma Projeleri İle, Dini Mekanların Gece Görünümünü Anlamlandırmak Ve Tanımlamak, Gece Ve Gündüz Kullanımını Dengelemek, Hem Kent Kullanıcılarının Hem De Ziyaretçilerin Kenti Keşfetmelerine Olanak Sağlamak Açısından, Kenti Güzelleştiren, Kentsel Değerleri Ortaya Çıkararak Kenti Çekici Kılan, Özgün Yapıların Ve Kentsel Obje Haline Gelmiş Olan Dini Mekanların Önemini Vurgulayan, Tarihi, Mimari, Estetik, Sosyal Ve Sanatsal Değerleri İle Kentsel Öğeleri Anlamlandıran Aydınlatmaların Yapılması, Özgün Bir Kent Kimliği Oluşturması Amaçlanmaktadır.</t>
  </si>
  <si>
    <t>İstoç Camii, Masko Camii, Yeşilvadi Camii, Hacı Eyüp Saadet Çarmıklı Camii, Maltepe Merkez Camii, Basınköy Camii, Kartal Köy Hizmetleri Camii, Bağcılar Merkez Camii, Silivri Mimar Sinan Camii, Hz.Halid Camii, Merter Veysel Karani Camii, Yenimahalle Camii, Hz.Hüseyin Camii ve Otogar Cumhuriyet Camiilerinin uygulamaları bitirilerek devreye alınmıştır. Kalan 19 caminin uygulanması planlanmamaktadır.</t>
  </si>
  <si>
    <t>9c84fcc8-c445-e711-80f0-005056a5354a</t>
  </si>
  <si>
    <t>SECAP Enerji Verimliliği Programı</t>
  </si>
  <si>
    <t>SECAP Enerji Verimliliği Programı (Dış Kredili Proje)​</t>
  </si>
  <si>
    <t>Projenin 2025-2027 yılları arasında Cumhurbaşkanlığı Yatırım Programına dahil edilmesi talebinde bulunulmuştur.​ Belediyemiz binalarında enerji verimliliğinin sağlanması ve enerji ihtiyacının azaltılması için yapılacak çalışmaları kapsamaktadır. Proje talebimizin olumlu sonuçlanması durumunda gerçekleştirilebilecektir.​​</t>
  </si>
  <si>
    <t>Uzunçayır Kavşağı Yaya Sirkülasyon Düzenleme Projesi</t>
  </si>
  <si>
    <t>​1800 M2 Çeilik Yaya Üst Geçidi 23600 M2 Peyzaj Düzenleme​</t>
  </si>
  <si>
    <t>1490 nolu iş ile aynı iş olduğundan iptale çekilmiştir. Fen işleri kapsamında yapımına devam edilmektedir.</t>
  </si>
  <si>
    <t>1490 nolu iş ile aynı iş olduğundan iptale çekilmiştir. Fen işleri kapsamında yapımına devam edilmektedir. maliyet : 251.173.429</t>
  </si>
  <si>
    <t>40.99828796, 29.05778938</t>
  </si>
  <si>
    <t>Kadıköy Meydanı Düzenleme İnşaatı</t>
  </si>
  <si>
    <t>Büfe (2Adet/ Büfe1 112m2, Büfe2 66m2), Kafe ( 2 Adet/ Kafe 1 112m2, Kafe2 66m2), Kalkhedon Seyir Kulesi (1626m2, Kat4), İBB Zabıta Birimi (66m2), Kadıköy Belediyesi Zabıta Birimi (42m2), Kızılay (66m2), Çözüm Merkezi (66m2), İETT Hareket Amirliği (97 m2), Piknik Alanı (3533 m2), Çiçek Bahçesi (1594m2), Dolmuş Hatları Peronu (940 m2),Çocuk Oyun Alanı (411 m2)​</t>
  </si>
  <si>
    <t>40.9910600, 29.0235000</t>
  </si>
  <si>
    <t>665f01c5-6353-ec11-b89c-005056b0106f</t>
  </si>
  <si>
    <t>Kadıköy Meydanı Kentsel Tasarım Yarışması Uygulama Projelerinin Hazırlanması</t>
  </si>
  <si>
    <t>Kadıköy Marmara Yelken Kulübü Önü Bakım Onarım ve Güçlendirme İnşaatı İşi</t>
  </si>
  <si>
    <t>40.9630804, 29.0681227</t>
  </si>
  <si>
    <t>Kadıköy Bağdat Caddesi Düzenleme İnşaatı</t>
  </si>
  <si>
    <t>​160.000 m2 cadde düzenleme projesi</t>
  </si>
  <si>
    <t>40.96669389, 29.06879931</t>
  </si>
  <si>
    <t>e8714803-4b87-ed11-b8c4-005056b0106f</t>
  </si>
  <si>
    <t>Kadıköy Bağdat Caddesi Düzenleme Uygulama Projesi</t>
  </si>
  <si>
    <t>Kadıköy İlçesi, D-100 Göztepe Kavşağı Şair Arşi Caddesi Araç Üst Geçidi Güçlendirme Projesi</t>
  </si>
  <si>
    <t>1208 m² ​Güçlendirme Projesi</t>
  </si>
  <si>
    <t>40.99027823, 29.07347277</t>
  </si>
  <si>
    <t>afff8299-8e11-ee11-b8d7-005056b0106f</t>
  </si>
  <si>
    <t>Kadıköy İlçesi D100 Göztepe Kavşağı Şair Arsi Caddesi Araç Üst Geçidi Güçlendirme Projesi</t>
  </si>
  <si>
    <t>Uzunçayır Kavşağı K509 ve K510 Köprüleri Sismik Takviye İşi</t>
  </si>
  <si>
    <t>40.99828796, 29.0577893</t>
  </si>
  <si>
    <t>Balıkesir Caddesi, Araç Altgeçidi Güçlendirme Projesi</t>
  </si>
  <si>
    <t>40.98569415882015, 29.028054928368707</t>
  </si>
  <si>
    <t>Kadıköy İlçesi, D-100 Bostancı Kavşağı Köprüsü Güçlendirme Projesi</t>
  </si>
  <si>
    <t>40.96478792, 29.10534515</t>
  </si>
  <si>
    <t>15dfca7a-8605-ec11-b87e-005056b0336f</t>
  </si>
  <si>
    <t>Hızırbey Caddesi Araç ve Yaya Alt Geçidi Güçlendirme Projesi</t>
  </si>
  <si>
    <t>Yaklaşık 665m2 lik köprü uygulama projesi.</t>
  </si>
  <si>
    <t>40.99323155, 29.04519882</t>
  </si>
  <si>
    <t>5134e811-8805-ec11-b87e-005056b0336f</t>
  </si>
  <si>
    <t>Kadıköy İlçesi, Hızırbey Caddesi Araç ve Yaya Alt Geçidi Güçlendirme Projesi</t>
  </si>
  <si>
    <t>Yaya Alt Geçitler</t>
  </si>
  <si>
    <t>Göztepe Köprüsü Güçlendirme Projesi</t>
  </si>
  <si>
    <t>​Yaklaşık 40 metre genişliğinde 70 metre uzunluğunda araç üst geçidi.</t>
  </si>
  <si>
    <t>40.99250822, 29.07332290</t>
  </si>
  <si>
    <t>7500932c-6705-ec11-b87e-005056b0336f</t>
  </si>
  <si>
    <t>Kadıköy İlçesi, Göztepe Köprüsü Güçlendirme Projesi</t>
  </si>
  <si>
    <t>Caddebostan Bilim Sokak Cep Parkı</t>
  </si>
  <si>
    <t>40.9651668, 29.0744970</t>
  </si>
  <si>
    <t>9a0055c0-571e-ef11-b8eb-005056b0106f</t>
  </si>
  <si>
    <t>Bostancı Gemi Su Satış İskelesi Bakım, Onarım ve Kıyı Tahkimatı İşi</t>
  </si>
  <si>
    <t>40.952262339243546, 29.094468431477747</t>
  </si>
  <si>
    <t>Kıyı Tahkimatı</t>
  </si>
  <si>
    <t>Bostancı ve Altıntepe Mah. Çamaşırcı Deresi Üzeri YÜG Yapım</t>
  </si>
  <si>
    <t>Engelli erişimine uygun çelik yaya üst geçidi</t>
  </si>
  <si>
    <t>40.953747333966184, 29.096722112483878</t>
  </si>
  <si>
    <t>c2e40c30-8aae-ed11-b8ce-005056b0106f</t>
  </si>
  <si>
    <t>Bostancı ve Altıntepe Mahallesi Çamaşırcı Deresi Üzeri Yaya Üstgeçit Projesi</t>
  </si>
  <si>
    <t>Cephe Ve Tabela Tasarımlarının Yapılması (13 Hektar Cephe Tasarımı Kadıköy geneli)</t>
  </si>
  <si>
    <t>13 Hektar Cephe Tasarımı Yapılması</t>
  </si>
  <si>
    <t>Mahallerin netleşmesinden sonra maliyetler belirlenebilecektir. Proje ismi proje portalda yok ve şuan yürütülen ya da planlanan bir proje henüz yok.</t>
  </si>
  <si>
    <t>Fenerbahçe Parkı Düzenlenmesi İşi</t>
  </si>
  <si>
    <t>Toplam Park Alanı&amp;#58; Yaklaşık 46.000 M² Hamam Alanı&amp;#58; 50 M² Hamam Çevresi Düzenlenecek Alan&amp;#58;1240 M² +Sert Zemin Alanı &amp;#58;3000 M²</t>
  </si>
  <si>
    <t>Parkın genel düzenlemesi Park ve Bahçeler Daire Başkanlığı tarafından yapılması gerekmektedir.</t>
  </si>
  <si>
    <t>Daha önce girilmiş olan 10.000.000 TL Maliyet Durumu İptale alındığı için silinmiştir</t>
  </si>
  <si>
    <t>40.9679096, 29.0344398</t>
  </si>
  <si>
    <t>Kadıköy Hasanpaşa Kentsel Dönüşüm Projesi</t>
  </si>
  <si>
    <t xml:space="preserve">Hasanpaşa Gazhanesi ve çevresinde fikir projesi geliştirilmiştir.
Kentsel Dönüşüme yönelik kentsel tasarım projesi çalışılmıştır.
1/5000 Plan Şehir Planlama Müdürlüğünce hazırlanmış olup 30.11.2022 tarih 1516 sayılı İBB Meclis kararı ile  plan onaylanmıştır.  İlçe belediyesince hazırlanan 1/1000 ölçekli Kadıköy ilçesi Acıbadem, Koşuyolu, Hasanpaşa Mahalleleri Revizyon Uygulama İmar Planı 17.10.2024 tarih ve 1394 sayılı İBB Meclis Kararıyla kabul edilmiştir.   Kentsel Tasarım Projesi alan sınırları içinde pilot uygulama alanları belirlenerek detaylı alan  ve fizibilite çalışmaları sürdürülmektedir. Proje ilerleme oranı %80 dir.ArcGis StoryMaps ile oluşturulan değerlendirme raporlaştırılacak. </t>
  </si>
  <si>
    <t>Daire Başkanı tarafından maliyet bilgisi iletilecektir. Hatırladığı rakam girilmiştir.</t>
  </si>
  <si>
    <t>40.99704082, 29.04367163</t>
  </si>
  <si>
    <t>Söğütlüçeşme Ve Çevresinin, Gazhane ye Giden Bölge Dahil, Bütüncül Analizi</t>
  </si>
  <si>
    <t>25 Hektar Alanın Projelendirilmesi</t>
  </si>
  <si>
    <t>Analiz çalışması olduğu için yapım maliyeti yazılmamıştır.</t>
  </si>
  <si>
    <t>40.9919200, 29.0392100</t>
  </si>
  <si>
    <t>2dbee1eb-2544-ef11-b8eb-005056b0106f</t>
  </si>
  <si>
    <t>Söğütlüçeşme ve Yakın Çevresi Fizibilite Raporunun Hazırlanması İşi</t>
  </si>
  <si>
    <t>1,2 Km Atık Su Boru İtme,</t>
  </si>
  <si>
    <t xml:space="preserve">İleriki Yatırım Programlarında Değerlendirilecektir.
</t>
  </si>
  <si>
    <t>Etibank Caddesi Köprü Güçlendirme Projesi</t>
  </si>
  <si>
    <t>820 M² Mevcut Köprünün Yapısal Analizleri Yapılarak,Analiz Sonucuna Göre Gerekli&amp;#160;Güçlendirme Projesi Hazırlanacak.</t>
  </si>
  <si>
    <t>41.05416410, 28.95700846</t>
  </si>
  <si>
    <t>79088b4d-36bf-ee11-b8e6-005056b0106f</t>
  </si>
  <si>
    <t>Kağıthane İlçesi Etibank Caddesi Köprü Güçlendirme Projesi</t>
  </si>
  <si>
    <t>Kağıthane İlçesi, Mesken Blokları Bölgesi İstinat Duvarları Deformasyon Önlem Projesi</t>
  </si>
  <si>
    <t>​10000 m2 İstinat Duvarı Güçlendirme Projesi​</t>
  </si>
  <si>
    <t>Kağıthane İlçesi, Mesken Blokları İstinat Duvarı Projesi (6919/46, 6913/23 ve 6905/ 1-2-3-16-17)</t>
  </si>
  <si>
    <t>41.08923043794912, 28.9858211355773</t>
  </si>
  <si>
    <t>151eee6e-5660-ef11-b8ee-005056b0106f</t>
  </si>
  <si>
    <t>Eski Devlet Hastanesi Sağlık ve Sosyal Yaşam Merkezi İnşaatı</t>
  </si>
  <si>
    <t>41.068248785616404, 28.9652163188851</t>
  </si>
  <si>
    <t>3b3424fd-0f94-ee11-b8e3-005056b0106f</t>
  </si>
  <si>
    <t>Kağıthane Sağlık ve Sosyal Yaşam Merkezi Projesi</t>
  </si>
  <si>
    <t>Okmeydanı Metrobüs Durağı YÜG Yeniden Yapım</t>
  </si>
  <si>
    <t>​Yaya Üst Geçidi (65 m uzunluk 5 m genişlik)2 engelli rampası (70 m uzunluk 5 m genişlik %6,25 eğim 140 cm uzunluk 3,4 m genişlik %6,25 eğim)1 adet engelli asansörü (140x200 kabin boyutu)</t>
  </si>
  <si>
    <t>Okmeydanı Metrobüs Durağı Metrobüs İstasyonları Geneli Yüg dosya kapsamında yer almaktadır ancak İETT ile yapılan görüşmelerde yeni bir üst geçidi yapılması istenmediği söz konusu bölgede kısa mesafelerde çok sayıda metrobus Durağı olduğundan bahşedilmiş hattın optimizasyonu ile ilgili projelendirme çalışmalarının olacağı bilgisi tarafımıza sifahen iletilmiştir bu sebeple maliyet bilgisi girilmedi.</t>
  </si>
  <si>
    <t>41.06658327125131, 28.97468037726352</t>
  </si>
  <si>
    <t>fceeeb2e-5607-e811-8103-005056a5354a</t>
  </si>
  <si>
    <t>Kağıthane İlçesi, Okmeydanı Metrobüs İstasyonu Yaya Üst Geçidinin Engelli Erişimine Uygun Hale Getirilmesi Projesi</t>
  </si>
  <si>
    <t>28 Nisan Caddesi Araç Alt Geçidi Güçlendirme Projesi</t>
  </si>
  <si>
    <t>​665m2 Araç Altgeçidi Güçlendirme Projesi.</t>
  </si>
  <si>
    <t>41.06724082, 28.97463889</t>
  </si>
  <si>
    <t>63cd7d03-8f11-ee11-b8d7-005056b0106f</t>
  </si>
  <si>
    <t>Kağıthane İlçesi 28 Nisan Caddesi Araç Alt Geçidi Güçlendirme Projesi</t>
  </si>
  <si>
    <t>Yarınca Sokak Araç Alt Geçidi Güçlendirme Projesi</t>
  </si>
  <si>
    <t>577 m² Güçlendirme Projesi</t>
  </si>
  <si>
    <t>41.06669200, 28.97278698</t>
  </si>
  <si>
    <t>262b6f23-9011-ee11-b8d7-005056b0106f</t>
  </si>
  <si>
    <t>Kağıthane İlçesi Yarınca Sokak Araç Alt Geçidi Güçlendirme Projesi</t>
  </si>
  <si>
    <t>Talatpaşa Caddesi, Galata Deresi Caddesi Ve Etibank Caddesi'nde Asfaltlama Çalışmaları</t>
  </si>
  <si>
    <t>Asfaltlama Çalışmaları</t>
  </si>
  <si>
    <t xml:space="preserve">Galata Deresi Caddesi ve Etibank Caddesi Asfaltlama çalışmaları tamamlanmıştır.
</t>
  </si>
  <si>
    <t>41.078845396425784, 28.99805269607095</t>
  </si>
  <si>
    <t>Kağıthane İçme Suyu Deposu ve Terfi Merkezi</t>
  </si>
  <si>
    <t>50.000 m3 depo ve Terfi Merkezi</t>
  </si>
  <si>
    <t>Çoklu İlçe; Kağıthane; Bağcılar; Bayrampaşa; Eyüpsultan; Gaziosmanpaşa; Sultangazi</t>
  </si>
  <si>
    <t>41.09294869738721, 28.966389337292934</t>
  </si>
  <si>
    <t>Kağıthane Gürsel Mahallesi Çocuk Etkinlik Merkezi Avan Projesi</t>
  </si>
  <si>
    <t>M​uhtarlık, sağlık ocağı, 8 derslikli kreş, 2 kat 53 araçlık zeminaltı, 48 araçlık açık otopark.</t>
  </si>
  <si>
    <t>41.06934575, 28.97482075</t>
  </si>
  <si>
    <t>072ae945-ec0a-ec11-b87e-005056b0336f</t>
  </si>
  <si>
    <t>Çeliktepe İett Garaj Yerinin Yeşil Alan Ve Zemin Altının Otopark Olarak Kullanılması Ve Meydan Projesi</t>
  </si>
  <si>
    <t>Beton Yerine Yeşil Alan Gerekliliği.</t>
  </si>
  <si>
    <t>Bütçesi projesi için Etüd ve Projeler DB imalat için Fen İşleri Dairesi Başkanlığı tarafından verilmelidir.
Ulaşım Dairesi Başkanlığı tarafından trafik yoğunluğunu ve özel araç kullanımını azaltmak, toplu taşıma kullanımını teşvik etmek amacıyla yapılan "Park Et Devam Et Sisteminin Geliştirilmesi" işi kapsamında 19 Ağustos 2024  tarihi itibariyle 4. Levent PD Açık Otoparkı kampanya kapsamındaki otoparklara dahil edilmiştir. Bu kampanya ile istanbulkart kullanarak toplu taşıma ile yolculuk gerçekleştirildiğinde, dönüşte otopark ücretinde %50 indirim uygulanmaktadır. Alanın park et devam et amaçlı açık otopark olarak hizmet vermesi orta vadede devam edecek bir kullanım olarak öngörülmektedir.</t>
  </si>
  <si>
    <t>41.08417619027751, 29.006354837402366</t>
  </si>
  <si>
    <t>Kağıthane Talatpaşa Okmeydanı YÜG Yapım</t>
  </si>
  <si>
    <t>​190 m2 üstü yürüme alanına sahip asansör ve eğimli rampası olan üstgeçit bağlantısı Çelik Yapı Üst Geçit ile park alanı arası yaya bağlantısı</t>
  </si>
  <si>
    <t>41.05480637, 28.95997007</t>
  </si>
  <si>
    <t>e74e8016-e835-ee11-b8dd-005056b0106f</t>
  </si>
  <si>
    <t>Kâğıthane İlçesi, Talatpaşa Mahallesi, Okmeydanı Üstgeçit Düzenleme Projesi</t>
  </si>
  <si>
    <t>Kağıthane Galata deresi caddesi</t>
  </si>
  <si>
    <t>41.085597, 28.981654</t>
  </si>
  <si>
    <t>Kağıthane Galata Deresi ıslahı</t>
  </si>
  <si>
    <t>150 metre</t>
  </si>
  <si>
    <t>Kurbağadere Yaşam Vadisi</t>
  </si>
  <si>
    <t>46.000 m² 2.000 mt</t>
  </si>
  <si>
    <t>41.1026509, 28.9687910</t>
  </si>
  <si>
    <t>Kağıthane İ.A.T. -  Malkoçoğlu Depo Arası İletim Hattı</t>
  </si>
  <si>
    <t xml:space="preserve">10,4 km 2200 mm Çelik İsale Hattı Ve 2,3 km 3200 mm Tünel İnşaatı Yapılması Planlanmaktadır.
</t>
  </si>
  <si>
    <t>41.092549, 28.965534</t>
  </si>
  <si>
    <t>Gürsel Mahallesi Zemin Altı Katlı Otoparkı Ve Pazar Yeri Projesi</t>
  </si>
  <si>
    <t>Olabildiğince Fazla Araçlık Otoparkların Yapılması</t>
  </si>
  <si>
    <t>Merkez Mahallesi Cendere Caddesi-Anadolu Caddesi Bağlantısında Kaldırılan Yaya Köprüsünün Yeniden Yapılması.</t>
  </si>
  <si>
    <t>Dere Üzerine Yaya Köprüsü Yapımı</t>
  </si>
  <si>
    <t>41.09344218, 28.98191084</t>
  </si>
  <si>
    <t>Merkez Mahallesi'nde Cendere Deresi Üzerine İsmetpaşa Caddesi-Cendere Caddesi Arasına İki Gidiş İki Gelişli Bağlantı Köprüsü.</t>
  </si>
  <si>
    <t>Kağıthane Deresi Üzerine Köprü Yapımı</t>
  </si>
  <si>
    <t>Yahya Kemal Mahallesi Okul Caddesi İle Güzeldere Caddesi Arasına Altgeçit Yapılması</t>
  </si>
  <si>
    <t>Tünel Yapım İnşaatı</t>
  </si>
  <si>
    <t>41.0839518, 28.9863224</t>
  </si>
  <si>
    <t>Kartal İtfaiye Binası Projesi</t>
  </si>
  <si>
    <t>​Sığınak (178,21 m2), Garaj (631,20 m2, 10 araçlık), Lokal (101,78 m2), Yemekhane (47,70 m2), Mutfak (34,15 m2), Erkek Personel Odası (23 m2, 8 adet), Kadın Personel Odası (19,64 m2, 2 adet), Spor Salonu (79,59 m2), Seminer/Toplantı Odası (76,68 m2)</t>
  </si>
  <si>
    <t>(5762 ada 295,406 parsel Çavuşoğlu Mah.Akide Sk.) 5762 ada 295,406 parselÇavuşoğlu Mah.Akide Sk.</t>
  </si>
  <si>
    <t>40.8919771, 29.1954274</t>
  </si>
  <si>
    <t>1d5e5be9-8500-ef11-b8e8-005056b0106f</t>
  </si>
  <si>
    <t>Kartal Çavuşoğlu İtfaiye İstasyonu Projesi</t>
  </si>
  <si>
    <t>Kartal D-100 Köprülü Adnan Kahveci Araç Üst Geçidi Güçlendirme İşi</t>
  </si>
  <si>
    <t>2917 m² Güçlendirme Projesi</t>
  </si>
  <si>
    <t>40.895311987780374, 29.227853066367736</t>
  </si>
  <si>
    <t>72b2a285-9011-ee11-b8d7-005056b0106f</t>
  </si>
  <si>
    <t>Kartal İlçesi D100 Adnan Kahveci Araç Üst Geçidi Güçlendirme Projesi</t>
  </si>
  <si>
    <t>D-100 Karayolu Kartal Köprülü Kavşağı Güçlendirme Projesi</t>
  </si>
  <si>
    <t>2255 m² ​Güçlendirme Projesi</t>
  </si>
  <si>
    <t>40.90611913, 29.21101195</t>
  </si>
  <si>
    <t>c70e08c3-8d11-ee11-b8d7-005056b0106f</t>
  </si>
  <si>
    <t>Kartal İlçesi D 100 Karayolu Kartal Köprülü Kavşağı Güçlendirme Projesi</t>
  </si>
  <si>
    <t>Kartal İlçesi, D-100 Cevizli Kavşağı Araç Üst Geçidi Güçlendirme Projesi</t>
  </si>
  <si>
    <t>1427 m² Güçlendirme Projesi</t>
  </si>
  <si>
    <t>40.9191423, 29.1727937</t>
  </si>
  <si>
    <t>8a7a2805-7484-ee11-b8e1-005056b0106f</t>
  </si>
  <si>
    <t>Kartal İlçesi D100 Cevizli Kavşağı Araç Üst Geçidi Güçlendirme Projesi</t>
  </si>
  <si>
    <t>Aydos Orman Yolu Düzenlenmesi</t>
  </si>
  <si>
    <t>İBB İle Birlikte Koordineli Olarak İnceleme Yapılması, Neler Yapılabileceğinin Belirlenmesi Ve Konsept Projenin Hazırlanması Planlanmaktadır.</t>
  </si>
  <si>
    <t>40.91610433933312, 29.23845115260609</t>
  </si>
  <si>
    <t>Kartal Esentepe Lojman Güçlendirme Projesi</t>
  </si>
  <si>
    <t>12 adet daire, bir adet sığınak</t>
  </si>
  <si>
    <t>40.91485171, 29.18956902</t>
  </si>
  <si>
    <t>3037ca94-29b9-ef11-b90d-005056b0106f</t>
  </si>
  <si>
    <t>Kartal İlçesi Esentepe Mahallesi 1076 Ada 21 Parsel Lojman Güçlendirme Projesi</t>
  </si>
  <si>
    <t>Pir Sultan Abdal Cemevi</t>
  </si>
  <si>
    <t>Pir Sultan Cemevi; Davet Usulüyle Güzel Tasarım, Kiptaş Projesi Ve İbb Kreş Projesi İle Birlikte Değerlendirilerek Yapılacaktır.</t>
  </si>
  <si>
    <t>Pir Sultan Cemevi 12401 Ada 187 ParselYakacık Mahallesi</t>
  </si>
  <si>
    <t>40.9105133, 29.2267590</t>
  </si>
  <si>
    <t>Kartal Bulvar Stadyumu ve Kapalı Spor Salonu</t>
  </si>
  <si>
    <t>2027 Avrupa Oyunlarına Hazırlık Kapsamında, Anadolu Yakasında Eksik Branşlar Düşünülerek, Sultanbeyli 100. Yıl Spor Kompleksi Örneğinde Olduğu Gibi, Mevcut Spor Tesisinin Yenilenerek Çok Fonksiyonlu Bir Spor Kompleksi Yapılması Planlanmaktadır.</t>
  </si>
  <si>
    <t>Bulvar Stadyumu 11388/322-193Karlıktepe Mah.</t>
  </si>
  <si>
    <t>40.9005057, 29.1874485</t>
  </si>
  <si>
    <t>c71ddf36-9ef2-ef11-b90e-005056b0106f</t>
  </si>
  <si>
    <t>Dragos'tan Kumcular'a Sahil Projesi</t>
  </si>
  <si>
    <t>Büyükçekmece Sahili Örneğinde Olduğu Gibi, Dragos'Tan Kumcular'A Kadar Sahilin Yeniden Düzenlenerek, Vatandaşlarımıza Bütüncül Bir Hizmet Sunulması Planlanmaktadır.</t>
  </si>
  <si>
    <t>Başlanmayacak</t>
  </si>
  <si>
    <t>maliyet : 62.280.000</t>
  </si>
  <si>
    <t>40.8809671, 29.2106652</t>
  </si>
  <si>
    <t>1,8 Km Yağmur Suyu Tünel İmalatı,</t>
  </si>
  <si>
    <t>Savaklar Yağmur Suyu Tüneli</t>
  </si>
  <si>
    <t>3600 mm Çapında 1.804 Metre Yağmur Suyu Tüneli İmalatı Yapılması Planlanmaktadır</t>
  </si>
  <si>
    <t>Kartal Merkez Sahil Projesi</t>
  </si>
  <si>
    <t>Ankara Cad., Çarşı İçi, Rıhtım, Balıkçılar Çarşısı Ve Kumcular Bölgesinde Hizmetlerin Bütüncül Olarak Ele Alınması Ve Plaj, Yeşil Alan, Günübirlik Tesis Ve Diğer Sosyal Donatılar İle Birlikte Kentsel Tasarımın Yapılması Hedeflenmektedir.</t>
  </si>
  <si>
    <t>40.88927112997796, 29.17561268847739</t>
  </si>
  <si>
    <t>Küçükçekmece İlçesi, İkitelli Kavşağı Araç Üst Geçidi Güçlendirme Projesi</t>
  </si>
  <si>
    <t>​Yaklaşık 1900 m² köprü</t>
  </si>
  <si>
    <t>41.0458092, 28.8078529</t>
  </si>
  <si>
    <t>02edbcd1-657a-ef11-b8f1-005056b0106f</t>
  </si>
  <si>
    <t>Küçükçekmece İlçesi, D100 İstanbul Caddesi Geçiş Köprüsü Güçlendirme Projesi</t>
  </si>
  <si>
    <t>40.9871953, 28.7726683</t>
  </si>
  <si>
    <t>Küçükçekmece Mezarlıklar Müdürlüğü 2. Bölge Müdür Yardımcılığı İstinat Duvarı Projesi1451/1</t>
  </si>
  <si>
    <t>​195 m2 İstinat Duvarı Güçlendirme Projesi​</t>
  </si>
  <si>
    <t>40.9869737, 28.7697306</t>
  </si>
  <si>
    <t>4c82ebd6-5760-ef11-b8ee-005056b0106f</t>
  </si>
  <si>
    <t>Küçükçekmece Mezarlıklar Müdürlüğü 2 Bölge Müdür Yardımcılığı İstinat Duvarı Deformasyon Önlem Projesi</t>
  </si>
  <si>
    <t>Küçükçekmece İlçesi Halkalı Mahallesi Yaya Köprüsü Projesi</t>
  </si>
  <si>
    <t>.02.10.2024 tarihli ve TN:1780119 sayılı Başkanlık Oluru ile iş gelinen aşamada durdurulmuştur.</t>
  </si>
  <si>
    <t>41.03472048082458, 28.793171548780194</t>
  </si>
  <si>
    <t>bfce4fa0-5b4a-ef11-b8eb-005056b0106f</t>
  </si>
  <si>
    <t>Küçükçekmece İlçesi Halkalı Mahallesi 801 Ada 1 Parsel Çok Amaçlı Gençlik ve Eğitim Merkezi Uygulama Projesi</t>
  </si>
  <si>
    <t>Basketbol salonu, çok amaçlı salon, soyunma odası, havuz, jimnastik salonu, kreş, kafe​.</t>
  </si>
  <si>
    <t>41.04317108, 28.76221814</t>
  </si>
  <si>
    <t>4c2cce6c-0605-ee11-b8d7-005056b0106f</t>
  </si>
  <si>
    <t>Küçükçekmece İlçesi Halkalı Mahallesi 801 Ada 1 Parsel Çok Amaçlı Gençlik Merkezi ve Kreş Uygulama Projesi</t>
  </si>
  <si>
    <t>Gençlik Merkezi</t>
  </si>
  <si>
    <t>Küçükçekmece İlçesi, D-100 Karayolu ile 20 Temmuz Caddesi Düzenleme İnşaatı</t>
  </si>
  <si>
    <t>​3822,44 metre yol projesi altgeçit ve duvar uygulama projesi</t>
  </si>
  <si>
    <t>41.00415802, 28.80952949</t>
  </si>
  <si>
    <t>c31b870f-463d-ec11-b88f-005056b0336f</t>
  </si>
  <si>
    <t>Küçükçekmece İlçesi, D-100 Karayolu ile 20 Temmuz Caddesi Arası Yol, Kavşak Düzenleme Uygulama Projesi</t>
  </si>
  <si>
    <t>Küçükçekmece Metrobüs Durağı ile Marmaray İstasyonu Arası YÜG Yapım ve Meydan Düzenleme Projesi</t>
  </si>
  <si>
    <t>​3 adet asansör, 1 adet yaya köprüsü, 27.992,75 m2 cadde düzenleme, toplam alan 47.000m2</t>
  </si>
  <si>
    <t>40.98699891449943, 28.76892469253822</t>
  </si>
  <si>
    <t>1709b2cc-81fb-ec11-b8a9-005056b0106f</t>
  </si>
  <si>
    <t>Küçükçekmece Metrobüs Durağı ile Marmaray İstasyonu Arası Yaya Erişimi ve Meydan Düzenleme Projesi</t>
  </si>
  <si>
    <t>Halkalı- Güneşli Kavşağı Basın Ekspres Caddesi Alt Geçidi Güçlendirme Projesi</t>
  </si>
  <si>
    <t>​372 m2 altgeçit güçlendirme projesi.</t>
  </si>
  <si>
    <t>41.0270486, 28.8131933</t>
  </si>
  <si>
    <t>d1b4ca36-420a-ec11-b87e-005056b0336f</t>
  </si>
  <si>
    <t>Küçükçekmece İlçesi, Halkalı-Güneşli Kavşağı, Basın Ekspres Caddesi Altgeçidi Güçlendirme Projesi</t>
  </si>
  <si>
    <t>Kaynarca Deresi ıslahı</t>
  </si>
  <si>
    <t>2.000 metre</t>
  </si>
  <si>
    <t>41.040155639231926, 28.80802591180696</t>
  </si>
  <si>
    <t>Beşiktaş Ek, Küçükçekmece ve Sağlık Hizmet Binası</t>
  </si>
  <si>
    <t>04/11/2024 TARİHİNDE YER TESLİMİ YAPILDI. ÇALIŞMALAR DEVAM EDİYOR</t>
  </si>
  <si>
    <t>AVRUPA BÖLGESİ İSKİ HİZMET BİNALARI&amp;nbsp; İNŞAATI (3) İŞİ KAPSAMINDA YAPILACAKTIR</t>
  </si>
  <si>
    <t>41.03713079797098, 28.785600120686222</t>
  </si>
  <si>
    <t>Küçükçekmece İlçesi, Halkalı Mahallesi 219Sokak-220Sokak Bağlantısı İmar Yolu Projesi</t>
  </si>
  <si>
    <t>​Yaklaşık;1 Km Yol, 500 M² İksa Ve İstinat Duvarı, 180 M² Köprü Projesi Hazırlanması İşidir.</t>
  </si>
  <si>
    <t>41.04349740260448, 28.761231218074318</t>
  </si>
  <si>
    <t>b3b4db62-cc02-ef11-b8e8-005056b0106f</t>
  </si>
  <si>
    <t>Küçükçekmece İlçesi Nikah Salonu Yaya Üst Geçidi</t>
  </si>
  <si>
    <t>41.001485008004856, 28.807409209013247</t>
  </si>
  <si>
    <t>Küçükçekmece İlçesi, Atatürk Mahallesi, Marmara Sanayi Sitesi Yan Yol Caddesine Cephe İstinat Duvarı İnşaatı</t>
  </si>
  <si>
    <t>​Yaklaşık 200m uzunluğunda ve 5m yüksekliğinde istinat duvarı</t>
  </si>
  <si>
    <t>41.053094821817375, 28.799335499209484</t>
  </si>
  <si>
    <t>01f3ba46-106f-ed11-b8c3-005056b0106f</t>
  </si>
  <si>
    <t>Küçükçekmece İlçesi, Atatürk Mahallesi, Marmara Sanayi Sitesi Yan Yol Caddesine Cephe İstinat Duvarı Projesi</t>
  </si>
  <si>
    <t>Küçükçekmece Safra Mahallesi 710 Ada 20 Parsel Cemevi Projesi</t>
  </si>
  <si>
    <t>12398,38 Metrekare</t>
  </si>
  <si>
    <t>41.0017978, 28.8078004</t>
  </si>
  <si>
    <t>ca86f600-dccf-ee11-b8e7-005056b0106f</t>
  </si>
  <si>
    <t>Küçükçekmece İlçesi Safra Mahallesi 710 Ada 20 Parsel Teknik Tespit Çalışmalarının Yapılması</t>
  </si>
  <si>
    <t>9,5 km atıksu şebeke ve kolektör kanalı 1 adet yaşam vadisi çalışmaları, 25,8 km içmesuyu hattı,</t>
  </si>
  <si>
    <t>41.0195288, 28.8047897</t>
  </si>
  <si>
    <t>Küçükçekmece Ayamama Yaşam Vadisi 2. Etap</t>
  </si>
  <si>
    <t>41.0009563, 28.8128491</t>
  </si>
  <si>
    <t>Küçükyalı Tünel Üstü Parkı</t>
  </si>
  <si>
    <t>40.9468900, 29.1081500</t>
  </si>
  <si>
    <t>ba61ff3b-7232-ed11-b8ae-005056b0106f</t>
  </si>
  <si>
    <t>Maltepe Zümrüt Evler Manolya Sitesi İstinat Duvarı Deformasyon Önlem Projesi</t>
  </si>
  <si>
    <t>​840 m2 İstinat Duvarı Güçlendirme Projesi​</t>
  </si>
  <si>
    <t>15568/2</t>
  </si>
  <si>
    <t>40.94771921, 29.16065254</t>
  </si>
  <si>
    <t>379bbd0e-5760-ef11-b8ee-005056b0106f</t>
  </si>
  <si>
    <t>D100 Karayolu Maltepe Kavşağı Köprüsünün Güçlendirilmesi</t>
  </si>
  <si>
    <t>40.93603955, 29.13863061</t>
  </si>
  <si>
    <t>37fad241-8d11-ee11-b8d7-005056b0106f</t>
  </si>
  <si>
    <t>Maltepe İlçesi D100 Maltepe Köprülü Kavşağı Güçlendirme Projesi</t>
  </si>
  <si>
    <t>Maltepe Zümrütevler Kiptaş Blokları Büyükbakkal Köy Yolu İstinat Duvarı Deformasyon Önlem Projesi</t>
  </si>
  <si>
    <t>15678/3</t>
  </si>
  <si>
    <t>40.94973557, 29.15914089</t>
  </si>
  <si>
    <t>cf82476f-5160-ef11-b8ee-005056b0106f</t>
  </si>
  <si>
    <t>Esenkent Kavşak Düzenlemesi Ve E-5 Üzeri Viyadük Yapılması</t>
  </si>
  <si>
    <t>İlgili Müdürlükten Teknik Kapsam Bildirimi Yapılmamıştır.</t>
  </si>
  <si>
    <t>Bütçesi Fen İşleri Dairesi Başkanlığı tarafından verilmelidir.
söz konusu kavşak talebine ilişkin &amp;quot;kadıköy ilçesi, göztepe kavşağı ile tuzla ilçesi, çayırova kavşağı arası d-100 karayolu kuzey-güney yanyollar revize projesi ( gülsuyu metro istasyonu ile esenkent metro istasyonu arası)&amp;quot; proje çalışması tamamlanmak üzeredir.</t>
  </si>
  <si>
    <t>Ön Projesi Tamamlandı</t>
  </si>
  <si>
    <t>40.922368011244195, 29.160145149259513</t>
  </si>
  <si>
    <t>Orhangazi Şehir Parkı içinde Doğa,Bilim,Sanat Parkı</t>
  </si>
  <si>
    <t>40.9365106, 29.1134556</t>
  </si>
  <si>
    <t>Maltepe İlçesi, Orhangazi Şehir Parkı Önü Tekne Parkı ve Teknik Birimler Projesi</t>
  </si>
  <si>
    <t>Teknik Birimler, Yüzer İskele​</t>
  </si>
  <si>
    <t>40.94141601, 29.10755730</t>
  </si>
  <si>
    <t>2ad48db1-14e8-ee11-b8e8-005056b0106f</t>
  </si>
  <si>
    <t>İskele Binası</t>
  </si>
  <si>
    <t>Girne Mah. Nezahat Aslan Ekşioğlu Durağı YÜG Yeniden Yapım</t>
  </si>
  <si>
    <t>​Yeni yaya üst geçidi, 2 adet engelli asansörü</t>
  </si>
  <si>
    <t>40.93896477, 29.13499106</t>
  </si>
  <si>
    <t>f425b96a-5507-e811-8103-005056a5354a</t>
  </si>
  <si>
    <t>Maltepe Girne Mah Nezahat Aslan Ekşioğlu Durağı Yaya Üst Geçidinin Engelli Erişimine Uygun Hale Get Proj</t>
  </si>
  <si>
    <t>Maltepe Hayvan Bakımevi ve Bahçeli Yaşam Merkezi</t>
  </si>
  <si>
    <t>Tedavi Merkezi, Aşılama Birimi, Kedi ve Köpek Barınak/ Serbest Dolaşım Alanları, Kedi ve Köpek Hasta Bakım, Güvenlik Kulübesi, ​Soğuk Hava- Teknik- Mama Deposu 16961 ada 1 parsel</t>
  </si>
  <si>
    <t>40.96974705, 29.18967346</t>
  </si>
  <si>
    <t>f6717e01-849a-ee11-b8e3-005056b0106f</t>
  </si>
  <si>
    <t>Beşçeşmeler Meydan Düzenlemesi</t>
  </si>
  <si>
    <t>Teknik Kapsam Bildirimi Yapılmamıştır.</t>
  </si>
  <si>
    <t>40.92206518126708, 29.129002584656824</t>
  </si>
  <si>
    <t>5,5 Km Atık Su Şebeke Ve Kolektör Kanalı</t>
  </si>
  <si>
    <t>Yaşam Vadisi</t>
  </si>
  <si>
    <t>Ataşehir – Maltepe Çamaşırcı Deresi</t>
  </si>
  <si>
    <t>Maltepe Küçükyalı Sosyal Merkez (15882 ada 15-16 parsel)</t>
  </si>
  <si>
    <t>40.9468932, 29.1081538</t>
  </si>
  <si>
    <t>d7fb6efc-63d2-ef11-b90e-005056b0106f</t>
  </si>
  <si>
    <t>Maltepe Küçükyalı 15882 Ada 37 Parsel Sosyal Merkez Konsept Projesi</t>
  </si>
  <si>
    <t>Pendik Yaşam Vadisi 2 Etap 1 Kısım</t>
  </si>
  <si>
    <t>40.9369370, 29.3011361</t>
  </si>
  <si>
    <t>852916b2-623b-ee11-b8dd-005056b0106f</t>
  </si>
  <si>
    <t>Pendik-Kurtköy İETT Otobüs Bekleme Alanı Düzenleme Projesi</t>
  </si>
  <si>
    <t>​170 Adet Körüklü Otobüs Park Alanı</t>
  </si>
  <si>
    <t>40.92813803, 29.31487656</t>
  </si>
  <si>
    <t>eff0bca7-95aa-e811-810f-005056a5354a</t>
  </si>
  <si>
    <t>Pendik İlçesi, Orhanlı Caddesi ile Havaalanı 4 _Kavşağı Arası Yol ve Kavşak Projesi</t>
  </si>
  <si>
    <t>​1.531m yol, 350 m² menfez, 2000 m²​ duvar.</t>
  </si>
  <si>
    <t>40.91418675, 29.31214664</t>
  </si>
  <si>
    <t>c7c64731-5c3f-ef11-b8eb-005056b0106f</t>
  </si>
  <si>
    <t>Pendik İlçesi Tersane Kavşağı Köprüsü Güçlendirme Projesi</t>
  </si>
  <si>
    <t>​2220 M² Mevcut Köprünün Yapısal Analizleri Yapılarak,Analiz Sonucuna Göre Gerekli Güçlendirme Projesi Hazırlanacak.</t>
  </si>
  <si>
    <t>40.86688632, 29.27232458</t>
  </si>
  <si>
    <t>ff348c28-37bf-ee11-b8e6-005056b0106f</t>
  </si>
  <si>
    <t>Pendik Çınardere Park Düzenleme Projesi</t>
  </si>
  <si>
    <t>Mahalle Parkı Sayısı: 1 Adetmahalle Parkı Alanı: 11860 M² Halı Saha Sayısı: 1 Adethalı Saha Ebatları: 1950 M²  (30*65)Sosyal Tesis Sayısı: 1 Adetsosyal Tesis Alanı: 150m² Çocuk Oyun Alanı Sayısı: 2 Adetçocuk Oyun Alanı : 150 M² Fitness Alanı Sayısı: 1 Adetfitness Alanı: 65 M².</t>
  </si>
  <si>
    <t>40.89665833, 29.24964211</t>
  </si>
  <si>
    <t>44f61d2c-fdb8-ee11-b8e6-005056b0106f</t>
  </si>
  <si>
    <t>Pendik İlçesi, E80 Havaalanı Bağlantı Yolu Pendik Sanayi U Dönüşü Köprüsü Güçlendirme Projesi</t>
  </si>
  <si>
    <t>​Yaklaşık 510 m² köprü</t>
  </si>
  <si>
    <t>40.91632017, 29.33303413</t>
  </si>
  <si>
    <t>178b957b-667a-ef11-b8f1-005056b0106f</t>
  </si>
  <si>
    <t>Pendik Velibaba 10415 Ada 1 Parsel Sosyal Tesis Konsept Projesi10415/1Velibaba - Sezer Sokak</t>
  </si>
  <si>
    <t>Proje kapsamında; Bodrum katta 44 araçlık otopark, Yuvamız İstanbul, İBB Kadın, Kafeterya, Halksüt ve 100 yataklı Darülaceze bulunmaktadır.​​</t>
  </si>
  <si>
    <t>40.91164589, 29.24939735</t>
  </si>
  <si>
    <t>fab977ea-baae-ee11-b8e6-005056b0106f</t>
  </si>
  <si>
    <t>Pendik Velibaba 10415 Ada 1 Parsel Sosyal Tesis Kesin ve Uygulama Projesi</t>
  </si>
  <si>
    <t>D-100 Karayolu Pendik Kavşağı Araç Üst Geçidi Güçlendirme Projesi</t>
  </si>
  <si>
    <t>​1772 m² Güçlendirme Projesi</t>
  </si>
  <si>
    <t>40.88844251, 29.23829272</t>
  </si>
  <si>
    <t>6d8092bf-8f11-ee11-b8d7-005056b0106f</t>
  </si>
  <si>
    <t>Pendik İlçesi D100 Pendik Kavşağı Araç Üst Geçidi Güçlendirme Projesi</t>
  </si>
  <si>
    <t>Pendik İlçesi, Ankara Caddesi Değirmendere Deresi Köprüsü Güçlendirme İşi</t>
  </si>
  <si>
    <t>2280.05 M² Alana Sahip Köprü</t>
  </si>
  <si>
    <t>40.90424866, 29.27730794</t>
  </si>
  <si>
    <t>cd168045-7705-ec11-b87e-005056b0336f</t>
  </si>
  <si>
    <t>Pendik İlçesi, Ankara Caddesi Değirmendere Deresi Köprü Güçlendirme Projesi</t>
  </si>
  <si>
    <t>Pendik İlçesi, İlhami Soysal Bulvarı ile Raylı Sistem Hattı Kesişimi Mostar Köprüsü Güçlendirme Projesi</t>
  </si>
  <si>
    <t>3909.17 M² Alana Sahip Köprü.</t>
  </si>
  <si>
    <t>40.87969242, 29.23818089</t>
  </si>
  <si>
    <t>b31644b3-7605-ec11-b87e-005056b0336f</t>
  </si>
  <si>
    <t>Toplu Ulaşım Hizmetleri Şube Müdürlüğü</t>
  </si>
  <si>
    <t>Pendik Gar Toplu Ulaşım  Merkezi</t>
  </si>
  <si>
    <t>Minibüs Ve Otobüs Durakları,Zemin Altı Otopark</t>
  </si>
  <si>
    <t>Bütçesi projesi için Etüd ve Projeler DB imalat için Fen İşleri Dairesi Başkanlığı tarafından verilmelidir.
ulaşım dairesi başkanlığı tarafından, pendik minibüs durakları alanında 756 ada, 60 parselin bir kısmında pen-02 kodlu katlı otopark alanı planlanmıştır.söz konusu alan şahıs ve hazine mülkiyetinde olup mülkiyet sorunlarının çözümüne ilişkin konu, emlak şube müdürlüğü ve kamulaştırma şube müdürlüğü’ne resmi yazı ile iletilecektir.</t>
  </si>
  <si>
    <t>40.8799475, 29.2318177</t>
  </si>
  <si>
    <t>Pendik Kurtköy Mahallesi Cimnastik Salonu ve Spor Kompleksi Projesi</t>
  </si>
  <si>
    <t>JimnastikSalonu,Buz Pisti; 2 kat Zeminaltı Otopark (600 araç kapasiteli) 3964/5</t>
  </si>
  <si>
    <t>40.93111977, 29.31866579</t>
  </si>
  <si>
    <t>50a6f0bf-fe79-ed11-b8c3-005056b0106f</t>
  </si>
  <si>
    <t>Pendik Kurtköy Mahallesi Jimnastik Salonu ve Spor Kompleksi Projesi</t>
  </si>
  <si>
    <t>Pendik Pazar Alanı ve Çevre Düzenlemesi Projesi</t>
  </si>
  <si>
    <t>Talep doğrultusunda şekillenecektir.</t>
  </si>
  <si>
    <t>İETT GARAJI YANI</t>
  </si>
  <si>
    <t>40.9288529, 29.3159532</t>
  </si>
  <si>
    <t>Pendik İlçesi 11496 Ada 6-7 ve 9 Parsellerde Yer Alan Otogar Projesi</t>
  </si>
  <si>
    <t>Pendik İlçesi 11496 Ada 6-7 ve 9 Parsellerde Yer Alan Otogar Projesi11496 Ada / 6-7-9 ParselKurna Mahallesi</t>
  </si>
  <si>
    <t>40.9412862, 29.3194214</t>
  </si>
  <si>
    <t>Pendik Spor Park</t>
  </si>
  <si>
    <t>Antrenman Sahaları,Halı Sahaları,Tenis Sahaları,Üstü Kapalı Tribün,Kafeterya, Soyunma Odası, Okçuluk,Hentbol,Basketbol,Voleybol,Spor Aktivite,Alanları, Yürüyüş Ve Koşu,Parkurları,,Bisiklet Yarışı Yolları,355 Otopark</t>
  </si>
  <si>
    <t>Yeşil Alan Proje Şefliği&amp;#58; Proje talep edilen alan UİP de park alanı ve kadastral boşluktur.Anaarter üzerinde değildir.Kamuya ait olduğundan proje çalışması yapılacaktır.Uygulanması değerlendirilecektir. Hesaplanan maliyet park yapım maliyetidir.</t>
  </si>
  <si>
    <t>Pendik İlçesi Hava Kalitesi Ölçüm İstayonu</t>
  </si>
  <si>
    <t>Pendik İlçesi Hava Kalitesi Ölçüm İstasyonu Yapım İşi Projesi</t>
  </si>
  <si>
    <t xml:space="preserve">1876-2009-2115&amp;#160;numaralı satırlarda bulunan Büyükçekmece, Gaziosmanpaşa ve Pendik ilçeleri Hava Kalitesi Ölçüm İstasyonları için fiyat araştırması yapılmış&amp;#160; olup, toplam ihale bedeli 31.991.000,00 TL olarak tespit edilmiştir. İhale için üst yönetimin onayı beklenmektedir.​ Toplam bedel satır 1876' da&amp;#160;belirtilmiştir.​
</t>
  </si>
  <si>
    <t>1,13 Km Atık Su Boru İtme İmalatı</t>
  </si>
  <si>
    <t xml:space="preserve">Yeni yapılacak İhale kapsamında planlanmaktadır.
</t>
  </si>
  <si>
    <t>Papatya Yağmur Suyu Tüneli</t>
  </si>
  <si>
    <t>4500 mm Çapında 3 Km Uzunluğunda Yağmur Suyu Tüneli</t>
  </si>
  <si>
    <t>40.8788036, 29.2366036</t>
  </si>
  <si>
    <t>Kemiklidere kolları üzerinde 3 adet yaşam vadisi çalışmaları pşanlanmaktadır</t>
  </si>
  <si>
    <t>40.8681407, 29.2825709</t>
  </si>
  <si>
    <t>Batı Mahallesi Kent Meydanı</t>
  </si>
  <si>
    <t>3 Bodrum Katlı Zemin Altı Kapalı Otopark( 500 Araç), Şehir Parkı, Spor Ve Oyun Alanları,Çocuk Bahçeleri, Açık Gösteri Alanları, İbadethane,Kafeterya, Süs Havuzları, Skate Park,Astronomi Parkı, Yürüyüş Ve Dinlenme Alanları</t>
  </si>
  <si>
    <t>40.8777651, 29.2237702</t>
  </si>
  <si>
    <t>Eyüp Sultan Mahallesi Bahçeşehir Koleji Eksik Alan U Dönüşü Projesi</t>
  </si>
  <si>
    <t>Ulaşımın Kolaylaştırılması Ve Trafiğin Azaltılması</t>
  </si>
  <si>
    <t>Bütçesi Fen İşleri Dairesi Başkanlığı tarafından verilmelidir.
her iki talebinde çözümü olan söz konusu projenin tem otoyolu geçişi altgeçit yerine köprü olacak şekilde revize edilmiş olup, revize projenin kgm ile yapılacak proje onayı ve imalata ilişkin protokol ibb meclisine gönderilmekte üzere başkanlık onayına sunulmuştur.</t>
  </si>
  <si>
    <t>40.97869909815837, 29.22649592909519</t>
  </si>
  <si>
    <t>Fatih Mahallesi Otoban Alt Geçit Projesi</t>
  </si>
  <si>
    <t>Bütçesi Fen İşleri Dairesi Başkanlığı tarafından verilmelidir.
söz konusu projenin tem otoyolu geçişi altgeçit yerine köprü olacak şekilde revize edilmiş olup, revize projenin kgm ile yapılacak proje onayı ve imalata ilişkin protokol ibb meclisine gönderilmek üzere başkanlık onayına sunulmuştur.</t>
  </si>
  <si>
    <t>40.96680884099926, 29.21847852486695</t>
  </si>
  <si>
    <t>Sancaktepe Abdurrahmangazi Mahallesi Çocuk Etkinlik Merkezi İnşaatı (İSADEM Dönüşüm)</t>
  </si>
  <si>
    <t>8743 ada 2 parsel</t>
  </si>
  <si>
    <t>41.0054097, 29.2308620</t>
  </si>
  <si>
    <t>Eyüp Sultan Mahallesi Ferhatpaşa Kavşak Projesinin Yapımı</t>
  </si>
  <si>
    <t>Proje çalışmaları devam eden ‘Ataşehir İmes Kavşağı ile Sancaktepe Samandıra Köprülü Kavşağı Arası TEM Kuzey-Güney Yan yolları Düzenleme Revize Projesi kapsamında uygulama projesi çalışılmaktadır. Karayolları Genel Müdürlüğü onay süreci devam etmektedir.</t>
  </si>
  <si>
    <t>40.98891099131423, 29.195656349310127</t>
  </si>
  <si>
    <t>Atatürk Caddesi Kentsel Tasarım Projesi</t>
  </si>
  <si>
    <t>41.00900062658803, 29.227910115867115</t>
  </si>
  <si>
    <t>Demokrasi Caddesi Kentsel Tasarım Projesi</t>
  </si>
  <si>
    <t>İlçe belediyesi talebi olarak gelmişti. İlçe Belediyesi bu projeyi gerçekleştirdiğinden mükerrer olmaması adına bu proje kaldırılacaktır. maliyet  : 99.990.000</t>
  </si>
  <si>
    <t>41.012328, 29.218923</t>
  </si>
  <si>
    <t>Ankara Caddesi Prestij Cadde Düzenleme Projesi</t>
  </si>
  <si>
    <t>41.00961623907243, 29.212222539076148</t>
  </si>
  <si>
    <t>25649cb3-f8b2-ef11-b90d-005056b0106f</t>
  </si>
  <si>
    <t>Sancaktepe İlçesi Ankara Caddesi Prestij Cadde Düzenleme Kentsel Tasarım Projesi</t>
  </si>
  <si>
    <t>Fatih Mah. Yakacık Cad. Cam Deposu YÜG Yeniden Yapım</t>
  </si>
  <si>
    <t>3,5 m genişliğinde 43 m uzunluğunda öngermeli betonarme prekast yaya üstgeçidi ve bir adet asansör</t>
  </si>
  <si>
    <t>40.97720156, 29.22619890</t>
  </si>
  <si>
    <t>c3328e5d-f945-e711-80f0-005056a5354a</t>
  </si>
  <si>
    <t>Sancaktepe Samandıra Fatih Mah Yakacık Cad Cam Deposu Yaya Üst Geçidi</t>
  </si>
  <si>
    <t>Sancaktepe İlçesi Samandıra Mahallesi 6565 Ada 3 Parselde Abdurrahman Gazi Cami Projesi</t>
  </si>
  <si>
    <t>İbadethane Yapımı</t>
  </si>
  <si>
    <t>Abdurrahmangazi Cami Yenilenmesi6565/3 Abdurrahmangazi Mah. Karamanoğlu cad.</t>
  </si>
  <si>
    <t>40.99890232542649, 29.250852483775894</t>
  </si>
  <si>
    <t>da018bff-53f0-ef11-b90e-005056b0106f</t>
  </si>
  <si>
    <t>70 metre atıksu boru itme</t>
  </si>
  <si>
    <t>Yeni ihale kapsamında değerlendirilecektir.</t>
  </si>
  <si>
    <t>40.9939160842915, 29.229143515168328</t>
  </si>
  <si>
    <t>Sancaktepe Ayazma Deresi Yaşam Vadisi</t>
  </si>
  <si>
    <t>Sancaktepe Ayazma Deresi Yaşam Vadisi  80.000 m²</t>
  </si>
  <si>
    <t>41.0125543, 29.2641261</t>
  </si>
  <si>
    <t>Sarıyer İlçesi, Şehit Mithat Yılmaz Caddesi Kentsel Tasarım Projesi</t>
  </si>
  <si>
    <t>41.16954475246732, 29.05505854668349</t>
  </si>
  <si>
    <t>c001ec8b-a8d1-ef11-b90e-005056b0106f</t>
  </si>
  <si>
    <t>Sarıyer İlçesi, Ayazağa Mahallesi, Mimar Sinan Sokağı İstinat Duvarı Projesi</t>
  </si>
  <si>
    <t>​100 M2 Fore Kazıklı İstinat Perdesi​</t>
  </si>
  <si>
    <t>41.111038991666696, 28.995284354971066</t>
  </si>
  <si>
    <t>7a3f6f21-6e08-ef11-b8e8-005056b0106f</t>
  </si>
  <si>
    <t>Aşiyan Füniküler İstasyonu Deniz Yapısı</t>
  </si>
  <si>
    <t>​Rıhtım Onarım Ve Bakım Projeleri</t>
  </si>
  <si>
    <t>41.08154840 , 29.05525508</t>
  </si>
  <si>
    <t>67e9f28f-c6f0-ee11-b8e8-005056b0106f</t>
  </si>
  <si>
    <t>Sarıyer İlçesi Piyasa Caddesi Kıyı Şeridi İETT Büyükdere-Beyaz Park Durakları ArasıSahil Yürüyüş Yolu Yenilenmesi Projesi</t>
  </si>
  <si>
    <t>​Sahil Yolunun Güçlendirilerek Yenilenmesi</t>
  </si>
  <si>
    <t>41.1626491, 29.0481573</t>
  </si>
  <si>
    <t>e7b70e51-07c0-ee11-b8e6-005056b0106f</t>
  </si>
  <si>
    <t>Ayazağa Köprülü Kavşağı Güçlendirme Projesi</t>
  </si>
  <si>
    <t>​1250 M2 Alanlı 2 Viyadük​</t>
  </si>
  <si>
    <t>41.106915015724894, 29.01443394475749</t>
  </si>
  <si>
    <t>3d6b6eb3-feb4-ee11-b8e6-005056b0106f</t>
  </si>
  <si>
    <t>Sarıyer İlçesi, Ayazağa Köprülü Kavşağı Güçlendirme Projesi</t>
  </si>
  <si>
    <t>Sarıyer İlçesi, Aytekin Kotil Köprüsü Güçlendirme Projesi</t>
  </si>
  <si>
    <t>​1635 M2 Alanlı Viyadük​</t>
  </si>
  <si>
    <t>41.1085656, 29.0222498</t>
  </si>
  <si>
    <t>5f18c117-73b4-ee11-b8e6-005056b0106f</t>
  </si>
  <si>
    <t>Aşiyan Mezarlığı Önü Deniz Yapısı Projesi</t>
  </si>
  <si>
    <t>​Alandaki Yol Çökmesinin Sebepleri Dalgıç Raporlarıyla Belirlendikten Sonra Rıhtım Yapısı Olarak Projelendirilecektir.</t>
  </si>
  <si>
    <t>41.0826720, 29.0563308</t>
  </si>
  <si>
    <t>8a5b50bb-039f-ee11-b8e3-005056b0106f</t>
  </si>
  <si>
    <t>Sarıyer İlçesi, Aşiyan Mezarlığı Kaya Düşmesi Önlem Projesi</t>
  </si>
  <si>
    <t>​1500 m2 Kaya düşmesi Önlem Projesi​</t>
  </si>
  <si>
    <t>73/66</t>
  </si>
  <si>
    <t>41.0833411, 29.0562576</t>
  </si>
  <si>
    <t>37bb7736-5260-ef11-b8ee-005056b0106f</t>
  </si>
  <si>
    <t>Sarıyer İlçesi Rumeli İskele Caddesi Kaya Düşmesi Önlem Projesi</t>
  </si>
  <si>
    <t>849/ 3 - 60</t>
  </si>
  <si>
    <t>41.1860282, 29.0771520</t>
  </si>
  <si>
    <t>ce2c5e11-5160-ef11-b8ee-005056b0106f</t>
  </si>
  <si>
    <t>Sarıyer Kazım Karabekir Paşa Mahallesi Kaya Düşmesi Önlem Projesi</t>
  </si>
  <si>
    <t>10716/ 16 - 17</t>
  </si>
  <si>
    <t>41.1659566, 29.0306532</t>
  </si>
  <si>
    <t>d2099360-5060-ef11-b8ee-005056b0106f</t>
  </si>
  <si>
    <t>Sarıyer Meydanı ve Kıyı Kenarı Düzenleme Uygulama Projesi73 Ada -75 ParselRumeli Hisarı Mahallesi</t>
  </si>
  <si>
    <t>41.167039, 29.057451</t>
  </si>
  <si>
    <t>ad365d06-2344-ef11-b8eb-005056b0106f</t>
  </si>
  <si>
    <t>Sarıyer Meydanı ve Kıyı Kenarı Düzenleme Uygulama Projesi</t>
  </si>
  <si>
    <t>Sarıyer İlçesi, İstinye Mahallesi, 394 ada 18, 19 parselde Yüzme Havuzu Projesi</t>
  </si>
  <si>
    <t>Yarı Olimpik Yüzme Havuzu, Fitness Salonu, Stüdyolar, Aerobik Salonu, 5 Derslikli Kreş​</t>
  </si>
  <si>
    <t>41.11604865286802, 29.04906368398265</t>
  </si>
  <si>
    <t>a65e4a0d-839a-ee11-b8e3-005056b0106f</t>
  </si>
  <si>
    <t>Sarıyer İlçesi, İstinye Mahallesi, 394 Ada 18, 19 Parselde Yüzme Havuzu Projesi</t>
  </si>
  <si>
    <t>Sarıyer Ayazağa 7348 ada 4 Parsel Kreş Projesi</t>
  </si>
  <si>
    <t>​Kreş Ve İsmek Olarak Kurgulanması Beklenen Proje Kapsamında Her Bir Program İçin 4’Er Derslik Alanı, İdari Ofis Alanları, Öğretmenler Odası, Mutfak, Depo Alanları Beklenmektedir. Geliştirilen Projede Bu İşlevlere Ek Kreş Serbest Oyun Alanı Ve Kreş İle İsmek’İn Ortak Olarak Kullanabileceği Esnek Bir Etkinlik Katı Kurgulanmıştır​</t>
  </si>
  <si>
    <t>41.12229051062735, 29.003123949484305</t>
  </si>
  <si>
    <t>ca0700d1-73e2-ec11-b8a6-005056b0106f</t>
  </si>
  <si>
    <t>Sarıyer Ayazağa 7348 Ada 4 Parsel Kreş Projesi</t>
  </si>
  <si>
    <t>Yeniköy Mahallesi Spor Tesisi (10 blok) Güçlendirme Projesi (Metin Oktay)</t>
  </si>
  <si>
    <t>41.1285511, 29.0492601</t>
  </si>
  <si>
    <t>e8b1a448-a1ac-ef11-b90d-005056b0106f</t>
  </si>
  <si>
    <t>Sarıyer İlçesi Yeniköy Mahallesi 394 Ada 19 Parsel Spor Tesisi Güçlendirme Projesi</t>
  </si>
  <si>
    <t>Sarıyer Tarabya Rıhtım onarım inşaatı</t>
  </si>
  <si>
    <t>41.138049, 29.055014</t>
  </si>
  <si>
    <t>Sarıyer Ayazağa Deresi ıslahı</t>
  </si>
  <si>
    <t xml:space="preserve">2.300 m dere ıslahı
770 metre Ø1400 mm ve 570 metre Ø1600 mm çaplarında atık su kuşaklama.
</t>
  </si>
  <si>
    <t>İstanbul İli Sarıyer İlçesi 2.300 metre dere ıslahı ile 770 metre Ø1400 mm ve 570 metre Ø1600 mm çaplarında atık su kuşaklama kollektörü yapılacaktır.</t>
  </si>
  <si>
    <t>41.1186757849272, 29.005247382064425</t>
  </si>
  <si>
    <t>Gümüşdere İleri Biyolojik Arıtma Tesisi ihale aşamasındadır. Demirciköy, Rumelifeneri, Garipçe Arıtma Tesisleri</t>
  </si>
  <si>
    <t>Tahsisi tamamlanmıştır.İhale süreci devam etmektedir.15.000 m3 kapasiteli İleri Biyolojik Atıksu Arıtma Tesisi planlanmaktadır.</t>
  </si>
  <si>
    <t>41.236890, 28.984484</t>
  </si>
  <si>
    <t>Hacıosman ve Büyükdere depo ve terfi merkezleri</t>
  </si>
  <si>
    <t>10.000 m³ + 10.000 m³</t>
  </si>
  <si>
    <t>41.138733, 29.030262</t>
  </si>
  <si>
    <t>Sarıyer İlçesi Ferahevler Mahallesi Spor Merkezi Projesi</t>
  </si>
  <si>
    <t>​2376 Kişilik Spor Sahası 2180 M², Toplam Otopark Alanı 8254 M², ​Toplam Araç Sayısı 327 Kamusal Yeşil Alan 7051M²</t>
  </si>
  <si>
    <t>393 ada 13 parsel</t>
  </si>
  <si>
    <t>41.1277723, 29.0375044</t>
  </si>
  <si>
    <t>767d79a7-c7be-eb11-b87a-005056b0336f</t>
  </si>
  <si>
    <t>Altınkum Heyelan Önleme İnşaatı</t>
  </si>
  <si>
    <t>41.1873768, 29.0802536</t>
  </si>
  <si>
    <t>e66bc4a2-4c39-4586-8313-67430965666c</t>
  </si>
  <si>
    <t>Sarıyer Altınkum Heyelan Önleme Projesi Hazırlanması</t>
  </si>
  <si>
    <t>Maden Mahallesi Kilyos Caddesi Rumeli Feneri Yolu Otobüs Durağı Ark. Taş Duvar</t>
  </si>
  <si>
    <t>41.231671, 29.039448</t>
  </si>
  <si>
    <t>Tarabya TED Kulübü İstinat Duvarı İnşaatı</t>
  </si>
  <si>
    <t>​225 M2 Alana sahip betonarme istinat duvarı</t>
  </si>
  <si>
    <t>41.139307547077074, 29.032766906255866</t>
  </si>
  <si>
    <t>1ec43241-a614-ed11-b8ac-005056b0106f</t>
  </si>
  <si>
    <t>Sarıyer İlçesi, Tarabya Mahallesi Tarabya Bayırı Caddesi Tenis Eskrim Dağcılık Spor Kulübü İstinat Duvarı Uygulama Projesi</t>
  </si>
  <si>
    <t>Sarıyer İlçesi, Kilyos Yolu ve Köprülü Kavşak İnşaatı</t>
  </si>
  <si>
    <t>41.176875, 29.036022</t>
  </si>
  <si>
    <t>Sarıyer İlçesi, Huzur Mahallesi, Barbaros Cadddesi - Fatih Caddesi Geometrik Düzenleme</t>
  </si>
  <si>
    <t>​​​​​​Proje kapsamında yaklaşık 780m yol, 160m duvar planlanacaktır.​</t>
  </si>
  <si>
    <t>41.095805, 29.005546</t>
  </si>
  <si>
    <t>8ea99c87-54a1-ed11-b8c8-005056b0106f</t>
  </si>
  <si>
    <t>Sarıyer İlçesi, Huzur Mahallesi, Barbaros Caddesi, Fatih Caddesi Geometrik Düzenleme Uygulama Projesi</t>
  </si>
  <si>
    <t>Tarihi Mirasın Korunması (Su Terazileri, Su Kemeri, Çeşmeler, )</t>
  </si>
  <si>
    <t>Tarihi Mirasın Korunması</t>
  </si>
  <si>
    <t>Sarıyer Miras protokolü meclisten geçtikten sonra ilgili ilçe belediyesiyle beraber koordineli çalışmalar başlayacaktır.</t>
  </si>
  <si>
    <t>41.103971, 29.056312</t>
  </si>
  <si>
    <t>10 km atıksu şebeke ve kolektör kanalı</t>
  </si>
  <si>
    <t>41.181393, 29.038466</t>
  </si>
  <si>
    <t>Zekeriyaköy Deresi Deresi ıslahı</t>
  </si>
  <si>
    <t>41.2021445, 29.0226403</t>
  </si>
  <si>
    <t>Zekeriyaköy Deresi Yaşam Vadisi</t>
  </si>
  <si>
    <t>192.000 m² 850 mt</t>
  </si>
  <si>
    <t>41.2048564, 29.0284032</t>
  </si>
  <si>
    <t>Sultan Mahmud Bendi</t>
  </si>
  <si>
    <t>Sultan Mahmud Bendinin onaylı rölöve, restitüsyon ve restorasyon projeleri kapsamında uygulamasının yapılması planlanmaktadır.</t>
  </si>
  <si>
    <t>41.189869561515174, 28.986241998982724</t>
  </si>
  <si>
    <t>Selimpaşa Kavşağı Selimpaşa A1 Altgeçidi</t>
  </si>
  <si>
    <t>41.061461, 28.376000</t>
  </si>
  <si>
    <t>Selimpaşa Kavşağı Selimpaşa A4 Altgeçidi</t>
  </si>
  <si>
    <t>d8267035-3551-ed11-b8b6-005056b0106f</t>
  </si>
  <si>
    <t>Silivri Selimpaşa D-100 Karayolu Üzeri Kocadere Köprüsü ve Altgeçit-4 Köprüsü İnşaatı</t>
  </si>
  <si>
    <t>Silivri Çamurdere ıslahı</t>
  </si>
  <si>
    <t>41.096539, 28.167915</t>
  </si>
  <si>
    <t>Silivri Çamurludere ıslahı</t>
  </si>
  <si>
    <t>Silivri Gümüşyaka Çanta Atıksu Tüneli</t>
  </si>
  <si>
    <t xml:space="preserve">12.500 metre atık su tüneli
</t>
  </si>
  <si>
    <t>41.066217, 28.098190</t>
  </si>
  <si>
    <t>Silivri İlçesi, Falezler Kaya Düşmesi Önleme ProjesiTesis Kısmı Parselsiz - 151 Ada 1-26-4-5-8-32-10-27-11-12-13-14 Parseller/5764 Ada 42-43 Parseller</t>
  </si>
  <si>
    <t>​21000 m2 Kaya Düşmesi Önlem Projesi​</t>
  </si>
  <si>
    <t>41.0694959, 28.2468152</t>
  </si>
  <si>
    <t>ed501c54-5660-ef11-b8ee-005056b0106f</t>
  </si>
  <si>
    <t>Silivri İlçesi,Fatih Mahallesi, Falezler Bölgesi Kaya Düşmesi Önlem Projesi</t>
  </si>
  <si>
    <t>Fener (Tuzla) Deresi Islahı Ve D100 Karayolu Güneyi 32Gözlü Köprü Çevresi Rekreasyon Düzenlemesi</t>
  </si>
  <si>
    <t>Sahil Ve Park Düzenlemesi</t>
  </si>
  <si>
    <t>41.079912, 28.231146</t>
  </si>
  <si>
    <t>İlçe Genelinde İbb Tarafından Yapılan Parkların Revizesi (Silivri Genelinde listesi hazır 20 Adet Parkın Yenilenmesi)</t>
  </si>
  <si>
    <t>Silivri Genelinde Ekli Listede Belirtilen, 20 Adet Parkın Yenilenmesi</t>
  </si>
  <si>
    <t>41.063369, 28.103969</t>
  </si>
  <si>
    <t>İlçe Genelinde Yeni Yapılan, Yenilenen Alanlarda Kullanılmak Üzere Kent Mobilyası Temini  (Silivri Genelinde listesi hazır)</t>
  </si>
  <si>
    <t>Ekli Listedeki Kent Mobilyaların Temini</t>
  </si>
  <si>
    <t>Muhtelif Kaldırımlar, Refüjler Ve Yeşil Alanlarda Kullanılmak Üzere 5000 Adet Ağaç, 50.000 Adet Çalı Grubu Bitki Ve Malzeme Temini</t>
  </si>
  <si>
    <t>Muhtelif Kaldırımlar, Refüjler Ve Yeşil Alanlarda Kullanılmak Üzere Çeşitli Tür Ve Ebatlarda 5000 Adet Ağaç, 50.000 Adet Çalı Grubu Bitki Ve Çeşitli Malzeme Temini</t>
  </si>
  <si>
    <t>Tarihi Sarnıç Ve Fetih Cami Proje Hazırlanması</t>
  </si>
  <si>
    <t>1036,18 M2 Arsa Üzerinde Tamamının Sarnıç Olarak Tasarlanmış Ve Üst Kısımda Minare Ve Fetih Cami Olarak Tescil Edilmiş Olup, Yapının Sarnıc Kısmının Güçlendirilmesi, Minare Kısmının Restorasyonu Ve Cami Kısmının Rekonstrüksiyonunun Yapılması</t>
  </si>
  <si>
    <t>Vakıflara ait mülkiyet, ilgili ilçe belediyesi protokol çalışmalarını tamamlarsa projelendirme çalışmalarına başlanacaktır.</t>
  </si>
  <si>
    <t>Protokol</t>
  </si>
  <si>
    <t>41.071414, 28.247884</t>
  </si>
  <si>
    <t>Sarnıç Restorasyonu</t>
  </si>
  <si>
    <t>Tarihi Yoğurthane Binası Restorasyonu Uygulama İşi</t>
  </si>
  <si>
    <t>1123,16 M2 Arsa Üzerine Tek Katlı Yığma Kagir Bina Ve Toplam İnşaat Alanı 1100 M2</t>
  </si>
  <si>
    <t>İlçe belediyesi mülkiyetidir. Protokol çalışmaları yapılması gerekmektedir.</t>
  </si>
  <si>
    <t>41.05539578254818, 28.38515162659769</t>
  </si>
  <si>
    <t>Bina Restorasyonu</t>
  </si>
  <si>
    <t>Silivri Otogar Yenileme Projesi Mevcut Otogarın , İki Etap Halinde İşletmeye Kapanmadan Yeniden İnşa Edilmesi</t>
  </si>
  <si>
    <t>Mevcut Otogarın Artan Nufus Artışı Ve Yoğunluğu Sonucunda İhtiyaca Cevap Vermemesi</t>
  </si>
  <si>
    <t>****Gelişme bulunmamaktadır.****
Bütçesi projesi için Etüd ve Projeler DB imalat için Fen İşleri Dairesi Başkanlığı tarafından verilmelidir.
silivri otogarı için alipaşa mahallesi 427 ada 1 parsel'de yeni otogar alanı yapılması planlanmakta olup, söz konusu alanla ilgili silivri kaymakamlığı ilçe jandarma komutanlığı'ndan emniyet ve asayiş açısından uygunluk görüşü alınmıştır. ayrıca ilgili parselin &amp;quot;oto terminal alanı&amp;quot; olarak kullanılması için kamulaştırması değerlendirilmektedir. konuyla ilgili süreçler devam etmekte olup, tarafımızca ilgili işlemler tamamlandıktan sonra projesi için etüd ve projeler dairesi başkanlığı ve yapımı için fen işleri dairesi başkanlığı tarafından ihalesi gerçekleştirilecektir.</t>
  </si>
  <si>
    <t>41.072717, 28.264275</t>
  </si>
  <si>
    <t>200 km atıksu şebeke ve kolektör kanalı</t>
  </si>
  <si>
    <t>41.073593, 28.248247</t>
  </si>
  <si>
    <t>Silivri Fener Deresi ıslahı</t>
  </si>
  <si>
    <t>41.0834909, 28.2334839</t>
  </si>
  <si>
    <t>Silivri Kula Deresi ıslahı</t>
  </si>
  <si>
    <t>41.0631352, 28.1093132</t>
  </si>
  <si>
    <t>Fenerdere Yaşam Vadisi</t>
  </si>
  <si>
    <t>35.000 m²</t>
  </si>
  <si>
    <t>41.149850, 28.236840</t>
  </si>
  <si>
    <t>Kuzey Yanyolun Kmo Mecidiye Gişeleri Üzerinden Osmangazi Mezarlığına Uzatılması</t>
  </si>
  <si>
    <t>Proje İle İlgili Kararlar Alınmış Çalışmalara Başlanmıştı. Fakat Yüklenici Firma Çalışmalarını Tamamlamayıp Yarıda Bırakmıştır.</t>
  </si>
  <si>
    <t>Bütçesi Fen İşleri Dairesi Başkanlığı tarafından verilmelidir.
söz konusu talep ulaşım dairesi başkanlığı tarafından değerlendirilecektir.</t>
  </si>
  <si>
    <t>40.94809927433876, 29.3126428279809</t>
  </si>
  <si>
    <t>Bosna Bulvarı Selçukhan Caddesi Trafik Sirkülasyon Ve Geometrik Düzenleme Projesi</t>
  </si>
  <si>
    <t>UTK 2022/9-2 Kararı Alındı Ve Uygulama Bekliyor</t>
  </si>
  <si>
    <t>40.976757, 29.265189</t>
  </si>
  <si>
    <t>Sancaktepe - Sultanbeyli Aydos Orman Kenarı Yol Kavşak Düzenleme Projesi</t>
  </si>
  <si>
    <t>Sancaktepe'Den Başalayıp Aydos Orman Kenarı Boyunca Devam Eden Caddenin Gerekli Genişletme Ve Kavşak Düzenleme İşlerinin Yapılması Sosyal Tesislere Ve Aydos Kalesine Ulaşım Açısından Önem Arzetmektedir.</t>
  </si>
  <si>
    <t>****Ön projesi tamamlandı*****
Bütçesi Fen İşleri Dairesi Başkanlığı tarafından verilmelidir.
ön proje çalışması tamamlanarak utk kararı alınmış olup, orman arazisi tahsis süreci devam etmektedir.</t>
  </si>
  <si>
    <t>Ön projesi tamamlandı</t>
  </si>
  <si>
    <t>40.95376923778674, 29.264414349573467</t>
  </si>
  <si>
    <t>Sultanbeyli YÜG Yapım</t>
  </si>
  <si>
    <t xml:space="preserve">Sultanbeyli Fatih Caddesi, Sultanbeyli Tem Bağlantı Yolu Üzeri YÜG </t>
  </si>
  <si>
    <t>40.968579, 29.261526</t>
  </si>
  <si>
    <t>62f40d10-6424-e911-811e-005056a5354a</t>
  </si>
  <si>
    <t>Hasanpaşa Mahallesi, Fatih Bulvarı Tem Gişeleri Dönüşü Yaya Üst Geçidi Projesi</t>
  </si>
  <si>
    <t>Akabe Caddesi Prestij Cadde Uygulaması</t>
  </si>
  <si>
    <t>1.100 M Uzunluğundaki Caddede Prestij Caddesi Kapsamında Kaldırımların Yenilenmesi Talep Edilmektedir.</t>
  </si>
  <si>
    <t>40.95736731776618, 29.26347646430115</t>
  </si>
  <si>
    <t>Sultanbeyli Atatürk Caddesi Makber Sokak Kesişimi Ve Sultanbeyli Yanyol 24y Yaya Üst Geçit Projesi</t>
  </si>
  <si>
    <t>Engelli Erişimine Uygun Hale Getirme</t>
  </si>
  <si>
    <t>40.95141968, 29.30276689</t>
  </si>
  <si>
    <t>27f2170e-1e7a-ee11-b8e1-005056b0106f</t>
  </si>
  <si>
    <t xml:space="preserve">945 m Atık Su Şebeke Ve Kolektör Kanalı
</t>
  </si>
  <si>
    <t>40.96349217231206, 29.27249058614007</t>
  </si>
  <si>
    <t>Sokak Hayvanları Rehabilitasyon Ve Tedavi  Merkezi</t>
  </si>
  <si>
    <t>500 Adet Köpek, 200 Adet Kedi Barınabilecek Kapasiteli</t>
  </si>
  <si>
    <t>Yer belirtilmediği için gerçekleştirilememiştir.</t>
  </si>
  <si>
    <t>40.969783, 29.259492</t>
  </si>
  <si>
    <t>Sanko Önü Köprü Ve Yol İle Tem Kavşak Düzenlemesi</t>
  </si>
  <si>
    <t>Ulaşım Ve Yol Düzenleme İşi</t>
  </si>
  <si>
    <t>*****Bahse konu proje ile ilgili Ulaşım Koordinasyon Şube Müdürlüğü tarafından yapılan bir çalışma bulunmamaktadır.******
Bütçesi Fen İşleri Dairesi Başkanlığı tarafından verilmelidir.
söz konusu talep ulaşım dairesi başkanlığı tarafından değerlendirmeye alınmıştır.</t>
  </si>
  <si>
    <t>41.092816, 28.884393</t>
  </si>
  <si>
    <t>Yayla Mahallesi Çitlenbik Sokak İstinat Duvarı İnşaatı</t>
  </si>
  <si>
    <t>41.094283, 28.903007</t>
  </si>
  <si>
    <t>1.Cebeci Caddesinin Asfaltlanması</t>
  </si>
  <si>
    <t>41.10797422373489, 28.86306221500748</t>
  </si>
  <si>
    <t>Ordu Caddesinin Asfaltlanması</t>
  </si>
  <si>
    <t>41.104509753459695, 28.859274699896353</t>
  </si>
  <si>
    <t>11 km atıksu şebeke ve kolektör kanalı</t>
  </si>
  <si>
    <t>41.1066482425926, 28.869811962094275</t>
  </si>
  <si>
    <t>Sultangazi İlçesi, Gazi Parkı Şev Stabilite Projesi</t>
  </si>
  <si>
    <t>​500 M2 Şev Stabilite Projesi</t>
  </si>
  <si>
    <t>41.0933277, 28.9001450</t>
  </si>
  <si>
    <t>914537a3-26e5-ee11-b8e8-005056b0106f</t>
  </si>
  <si>
    <t>Toplu Ulaşım Hizmetlerinin Planlanması ve Düzenlenmesi</t>
  </si>
  <si>
    <t>İhtiyaç Duyulan Köylere Toplu Ulaşım Planlaması</t>
  </si>
  <si>
    <t>Ulaşım</t>
  </si>
  <si>
    <t>Taslak durumdaki hatlara göre 51 araç için yaklaşık bütçe sunulmuştur
ulaşım dairesi başkanlığı tarafından 06.06.2024 tarihinde konu kapsamında iett işletmeleri genel müdürlüğü ile toplantı yapılmış olup görüş alınmıştır. elektronik ücret ödeme sistemi entegrasyonu projesi kapsamında şile ilçesi optimizasyon (ücret-zaman-fiziki) çalışmalarına başlanmıştır. şile ilçesindeki ulaşım hatlarının revizyonu ve minibüs hatlarının istanbulkarta entegrasyonuna ilişkin 07.06.2024 tarihinde şile ilçesi esnaf odaları, kooperatifleri ve istanbul ulaşım a.ş ile toplantı gerçekleştirilmiştir.&amp;nbsp; şile belediye başkanımız sn. özgür kabadayı toplantıya katılmıştır. hat planlamaları; şile belediyesi ve&amp;nbsp; iett ile birlikte eşgüdümlü olarak devam etmektedir. ödeme yöntemleri üzerine ise hat planlamaları tamamlandıktan sonra senaryo geliştirilecektir.projenin 2025 yılı içerisinde uygulamaya geçirilmesi planlanmaktadır.</t>
  </si>
  <si>
    <t>Proje Niteliği Taşımamaktadır Ulaşım Hizmetidir</t>
  </si>
  <si>
    <t>41.17755780886062, 29.611068956040832</t>
  </si>
  <si>
    <t>Kömürcüoda Atık Yakma ve Enerji Geri Kazanım Tesisi</t>
  </si>
  <si>
    <t>41.1425966, 29.3688286</t>
  </si>
  <si>
    <t>Yeniköy Deresi Yaşam Vadisi</t>
  </si>
  <si>
    <t>Yeniköy Deresi Yaşam Vadisi 12.000 m2</t>
  </si>
  <si>
    <t>Islahı tamamlanan Yeniköy Deresinde 1. Etap 10.000 m2 peyzaj çalışmaları tamamlanmış olup 2. Etap kısmında 12.000 m2 peyzaj çalışması planlanıyor.</t>
  </si>
  <si>
    <t>41.1643953, 29.5938995</t>
  </si>
  <si>
    <t>Pot Deresi Islahı</t>
  </si>
  <si>
    <t>1.860 m 55.00 m x 4.00 m kesitinde dere ıslahı</t>
  </si>
  <si>
    <t>41.1535576, 29.5917429</t>
  </si>
  <si>
    <t>Şile Demokrasi Meydanı Atıksu Tüneli</t>
  </si>
  <si>
    <t>2200mm çaplı 241 m Atıksu Tüneli planlanmaktadır</t>
  </si>
  <si>
    <t xml:space="preserve">Asya 1. Kısım Tünel İnşaatı işi kapsamında yapılması planlanmakta olup, ihale aşamasında
</t>
  </si>
  <si>
    <t>41.1775760, 29.6128772</t>
  </si>
  <si>
    <t>Şile Kumbaba İleri Biyolojik Atıksu Arıtma Tesisi</t>
  </si>
  <si>
    <t>40.000m3/gün kapasiteli</t>
  </si>
  <si>
    <t>41.1693271, 29.5798709</t>
  </si>
  <si>
    <t>Ağva Meydan Projesi3747 Ada- 65 ParselAğva Merkez Mahallesi</t>
  </si>
  <si>
    <t>Yatırım Projesi</t>
  </si>
  <si>
    <t>41.1391121, 29.8542309</t>
  </si>
  <si>
    <t>1abe6fbf-a6c1-ee11-b8e6-005056b0106f</t>
  </si>
  <si>
    <t>Ağva Meydan Düzenleme Projesi</t>
  </si>
  <si>
    <t>Çocuk ve Gençlere Yönelik Hizmetler</t>
  </si>
  <si>
    <t>Ders Atölyeleri</t>
  </si>
  <si>
    <t>Eğitim Projesi</t>
  </si>
  <si>
    <t>41.1777330, 29.6125837</t>
  </si>
  <si>
    <t>Kayıkhane Binası Teşhir Tanzim ve Çevre Düzenleme İşi</t>
  </si>
  <si>
    <t>Kültür Projesi</t>
  </si>
  <si>
    <t>Şile Belediyesi ile yapılan görüşmeler sonucunda kayıkhane binasının kendilerinin mülkiyetinde olmadığı anlaşılmıştır. İlçe belediye tarafından mülk sahibiyle kira sözleşmesinin uzatılmasına yönelik görüşmeler devam etmektedir. Sonrasında projelendirme çalışmalarına başlanılacaktır.</t>
  </si>
  <si>
    <t xml:space="preserve"> 41.179085701819496, 29.60935132009134 </t>
  </si>
  <si>
    <t>50 km atıksu şebeke ve kolektör kanalı</t>
  </si>
  <si>
    <t>Şile Bölgesinde bulunan koylerin atıksu hatlarının yapılarak foseptik yapılarına bağlanması planlanmaktadır. İhale çalışmaları devam etmektedir.</t>
  </si>
  <si>
    <t>41.1777969, 29.6128028</t>
  </si>
  <si>
    <t>Habitat Parkı</t>
  </si>
  <si>
    <t>41.04826014502396, 28.991023682408784</t>
  </si>
  <si>
    <t>dc6d6269-5c11-ec11-b87e-005056b0336f</t>
  </si>
  <si>
    <t>Deprem Duyarlı Parklar (405 ada 77 parsel)</t>
  </si>
  <si>
    <t>1 Adet  (405 ada 77 parsel)</t>
  </si>
  <si>
    <t>41.06459127242728, 28.99228861680268</t>
  </si>
  <si>
    <t>Büyükdere Caddesi Düzenleme Avan Projelerinin Hazırlanması (Hatboyu Caddesi)</t>
  </si>
  <si>
    <t>9230 m2 alan üzerinde 650 m uzunluğunda 15 metre genişliğinde cadde düzenleme projesi​ olup toplam 755 m2 alana sahip 25 adet ticari birim bulunmaktadır.</t>
  </si>
  <si>
    <t>41.0786799, 29.0128541</t>
  </si>
  <si>
    <t>dc745e70-319f-ee11-b8e3-005056b0106f</t>
  </si>
  <si>
    <t>Büyükdere Caddesi Düzenleme Avan Projelerinin Hazırlanması</t>
  </si>
  <si>
    <t>Şişli İlçesi, Abide-i Hürriyet Caddesi Köprü Güçlendirme Projesi</t>
  </si>
  <si>
    <t>​1300 m'lik alanda cadde düzenleme ve Mecidiyeköy Meydan Düzenleme Projesi ile entegrasyon sağlanması.</t>
  </si>
  <si>
    <t>41.06715797, 28.98538359</t>
  </si>
  <si>
    <t>89fc7e4d-677a-ef11-b8f1-005056b0106f</t>
  </si>
  <si>
    <t>Şişli İlçesi, O-1 Çağlayan Kavşağı Şehit Şenol Sağman Alt Geçidi Güçlendirme Projesi</t>
  </si>
  <si>
    <t>​Yaklaşık 2480 m² köprü</t>
  </si>
  <si>
    <t>41.06741573,28.97848633</t>
  </si>
  <si>
    <t>f228ed2b-697a-ef11-b8f1-005056b0106f</t>
  </si>
  <si>
    <t>Şişli İlçesi, Büyükdere Caddesi Üzeri Gayrettepe Üst Geçidi Güçlendirme Projesi</t>
  </si>
  <si>
    <t>​Yaklaşık 1440 m² köprü</t>
  </si>
  <si>
    <t>41.0698633841783, 29.014523435502845</t>
  </si>
  <si>
    <t>c918b8e8-697a-ef11-b8f1-005056b0106f</t>
  </si>
  <si>
    <t>Şişli İlçesi, Piyalepaşa-Kağıthane Tüneli İBB Tünel İşletim Merkezi İstinat Duvarı Deformasyon Önlem Projesi</t>
  </si>
  <si>
    <t>​300 m2 İstinat Duvarı Güçlendirme Projesi​</t>
  </si>
  <si>
    <t>41.05473291, 28.96877565</t>
  </si>
  <si>
    <t>d4a972b5-5860-ef11-b8ee-005056b0106f</t>
  </si>
  <si>
    <t>Şişli İlçesi Kent Oyuncuları (Kenter) Tiyatrosu Avan Projesi</t>
  </si>
  <si>
    <t>Tiyatro yapısı</t>
  </si>
  <si>
    <t>637 ada 59,61,62 parseller.
Şişli İlçesi Kent Oyuncuları (Kenter) Tiyatrosu Projesi (eski adı)</t>
  </si>
  <si>
    <t>41.048927547427304, 28.98703473452359</t>
  </si>
  <si>
    <t>d5883316-9905-ec11-b87e-005056b0336f</t>
  </si>
  <si>
    <t>Tiyatro Salonu</t>
  </si>
  <si>
    <t>Şehir Planlama Çalışmaları</t>
  </si>
  <si>
    <t>Maçka Vadisi, Gazhane, Çiftlikpark, Tünelin Üstü, Şişli Evlendirme, Açıkhava Tiyatrosu, Hilton, Lütfi Kırdar Vb. Bölgenin Plan Ve Proje Süreçlerinin Güncellenmesi (Maçka Sanat ve Yaşam Vadisi) Dolmabahçe'den Kadırgalar Caddesi boyu</t>
  </si>
  <si>
    <t>Kentsel düzenleme alanı: 90.000 m² (yaklaşık), Eski beton santralinin olduğu alana: 3 kat 320 araç kapasiteli Zemin​altı otopark üstü Kültür Tesisi, Tünel çıkışının olduğu alan 2 katlı kültürel tesis, G-MALL yapısının sanat atolyesi olarak düzenlenmesi</t>
  </si>
  <si>
    <t>41.04299733883984, 28.992573030818537</t>
  </si>
  <si>
    <t>4438cb52-c5ae-ee11-b8e6-005056b0106f</t>
  </si>
  <si>
    <t>Maçka Yaşam ve Sanat Vadisi Projesi</t>
  </si>
  <si>
    <t>Yol Yayalaştırma (Halaskargazi ve Meşrutiyet Mahalleleri)</t>
  </si>
  <si>
    <t>1 Adet</t>
  </si>
  <si>
    <t>41.05177737799663, 28.98915811521221</t>
  </si>
  <si>
    <t>Zincirlikuyu Üstgeçit Köprüsü Sismik Takviye İnşaatı</t>
  </si>
  <si>
    <t>41.06684411802329, 29.01267213331991</t>
  </si>
  <si>
    <t>Şişli Harbiye Mah., Kadırgalar Cad., Maçka Demokrasi Parkı Duvar İnşaatı</t>
  </si>
  <si>
    <t>41.04453288778619, 28.993251673686967</t>
  </si>
  <si>
    <t>Zincirlikuyu Bulut Projesi</t>
  </si>
  <si>
    <t>PROJE MÜDÜRLÜĞÜMÜZE GELMEDİ</t>
  </si>
  <si>
    <t>41.06736752771342, 29.011671853965407</t>
  </si>
  <si>
    <t>İski Su Şatosu Kütüphane Ve Kültürel Miras Merkezi</t>
  </si>
  <si>
    <t>Şişli belediyesi tarafından uygulama çalışmalarına başlanmıştır.</t>
  </si>
  <si>
    <t>Şişli Belediyesi Yapacak</t>
  </si>
  <si>
    <t xml:space="preserve"> 41.05731012736113, 28.984967295642683 </t>
  </si>
  <si>
    <t>Kütüphane</t>
  </si>
  <si>
    <t>4.6 km atıksu şebeke ve kolektör kanalı</t>
  </si>
  <si>
    <t>41.0638875069512, 28.991580513622615</t>
  </si>
  <si>
    <t>Feriköy Pompa İstasyonu</t>
  </si>
  <si>
    <t>Feriköy Pompa İstasyonunun onaylı rölöve, restitüsyon ve restorasyon projeleri kapsamında uygulamasının yapılması planlanmaktadır.</t>
  </si>
  <si>
    <t>41.04913889596033, 28.978654770769364</t>
  </si>
  <si>
    <t>15 Temmuz Şehitleri (Tersane Caddesi Ve Rauf Orbay Caddesi Keşisimi) Battı Çıktı Kavşağı Yapılması</t>
  </si>
  <si>
    <t>Ulaşıma Alternatif Çözüm Kazandırmak Hedeflenmektedir.</t>
  </si>
  <si>
    <t>------Uygulama Proje Aşamasında-------
Bütçesi Fen İşleri Dairesi Başkanlığı tarafından verilmelidir.
söz konusu talep ulaşım dairesi başkanlığı tarafından değerlendirilecektir.</t>
  </si>
  <si>
    <t>40.841805002588806, 29.291972601340817</t>
  </si>
  <si>
    <t>Kuzey Güney Hattında Yeni Bir Aks Oluşturulması</t>
  </si>
  <si>
    <t>********Bahse konu proje ile ilgili Ulaşım Koordinasyon Şube Müdürlüğü tarafından yapılan bir çalışma bulunmamaktadır.********
Bütçesi Fen İşleri Dairesi Başkanlığı tarafından verilmelidir.
söz konusu talep ulaşım dairesi başkanlığı tarafından değerlendirilecektir.</t>
  </si>
  <si>
    <t>40.84408463120603, 29.300653302270398</t>
  </si>
  <si>
    <t>Tuzla Aydınlı Bölge Parkı Spor Yapıları İnşaatı</t>
  </si>
  <si>
    <t>40.86289422, 29.34698397</t>
  </si>
  <si>
    <t>5f2f11d7-4dbf-ee11-b8e6-005056b0106f</t>
  </si>
  <si>
    <t>Tuzla Aydınlı Bölge Parkı Spor Yapıları Projesi</t>
  </si>
  <si>
    <t>Açık Spor Tesisleri</t>
  </si>
  <si>
    <t>Tuzla Hal Kompleksi İle Anadolu Yakası Lojistik Merkezi Tamamlama İnşaatı</t>
  </si>
  <si>
    <t>40.86083446941177, 29.35683682924132</t>
  </si>
  <si>
    <t>4ba280c6-9133-ef11-b8eb-005056b0106f</t>
  </si>
  <si>
    <t>Tuzla İlçesi, D-100 İçmeler Köprüsü Güçlendirme Projesi</t>
  </si>
  <si>
    <t>​1435&amp;#160;m² Güçlendirme Projesi</t>
  </si>
  <si>
    <t>40.84942532, 29.29804603</t>
  </si>
  <si>
    <t>c91acc19-7384-ee11-b8e1-005056b0106f</t>
  </si>
  <si>
    <t>Tuzla İlçesi D100 İçmeler Köprüsü Güçlendirme Projesi</t>
  </si>
  <si>
    <t>Tuzla Yaşam Vadisi</t>
  </si>
  <si>
    <t>Kültür Ve Sosyal Alan Oluşturmak Hedeflenmektedir.</t>
  </si>
  <si>
    <t>40.82975119764108, 29.322016937744433</t>
  </si>
  <si>
    <t>Tuzla Orhanlı İleri Biyolojik Atıksu Arıtma Tesisi</t>
  </si>
  <si>
    <t>250.000m3/gün kapasiteli</t>
  </si>
  <si>
    <t>40.895835250905634, 29.357863858634857</t>
  </si>
  <si>
    <t>Tuzla İlçesi, 15 Temmuz Kavşağı ve Tersaneler Bölgesi Düzenleme Revize Projesi</t>
  </si>
  <si>
    <t>​Yaklaşık 105 metre uzunluğunda 881 m² (125x7) altgeçit, 2 km uzunluğunda yol, yaklaşık 1700 m² (500x3.5) yaklaşım duvarı.</t>
  </si>
  <si>
    <t>40.84256095, 29.29292534</t>
  </si>
  <si>
    <t>dfb90499-f55d-ef11-b8ee-005056b0106f</t>
  </si>
  <si>
    <t>Tuzla İlçesi Hatboyu Caddesi Kentsel Tasarım Uygulama Projesi</t>
  </si>
  <si>
    <t>Tuzla İlçesi Hatboyu Caddesi Kentsel Tasarım Uygulama Projesi, yaşam kalitesini yükseltmek ve kente kimlik kazandıracak birprestij cadde oluşturmak amacıyla zemin düzenlemesine yönelik projelerin hazırlanması işidir</t>
  </si>
  <si>
    <t>40.84368517, 29.30049090</t>
  </si>
  <si>
    <t>37725ab8-2b44-ef11-b8eb-005056b0106f</t>
  </si>
  <si>
    <t>D100 Tuzla Aydıntepe Bahar İş Merkezi (Şahsuvaroğlu) YÜG Yeniden Yapım</t>
  </si>
  <si>
    <t>​2 adet engelli asansörü eklenmiş 32,85 m ve 29,50 açıklığında 3.5 m genişliğinde​ yeni üst geçit</t>
  </si>
  <si>
    <t>D-100 Tuzla Aydıntepe Yaya Üst Geçit İnşaatı İşi</t>
  </si>
  <si>
    <t>40.85275582, 29.29423191</t>
  </si>
  <si>
    <t>0a848663-f945-e711-80f0-005056a5354a</t>
  </si>
  <si>
    <t>D100 Tuzla Aydıntepe Bahar İş Merkezi (Şahsuvaroğlu) Yaya Üst Geçidi</t>
  </si>
  <si>
    <t>Tuzla Aydıntepe İtfaiye İstasyonu İstinat Duvarı</t>
  </si>
  <si>
    <t>100 m İstinat Duvarı</t>
  </si>
  <si>
    <t>40.85736603, 29.29334148</t>
  </si>
  <si>
    <t>a2fe33d4-0d6f-ed11-b8c3-005056b0106f</t>
  </si>
  <si>
    <t>Tuzla İlçesi, Aydıntepe İtfaiye İstasyonu İstinat Duvarı Projesi</t>
  </si>
  <si>
    <t>Aydıntepe Mah. Menzil Sok. Yol Yapım İnşaatı İşi</t>
  </si>
  <si>
    <t>40.853737518867796, 29.303158578225325</t>
  </si>
  <si>
    <t>D-100 Şifa Mah. YÜG Yapım</t>
  </si>
  <si>
    <t>40.82282094, 29.35358275</t>
  </si>
  <si>
    <t>e5daffe9-bdcf-ee11-b8e7-005056b0106f</t>
  </si>
  <si>
    <t>Tuzla Şifa Mahallesi Mevcut Üst Geçidi Yenileme Projesi</t>
  </si>
  <si>
    <t>Tuzla Dolgu Alanı Park Projesi</t>
  </si>
  <si>
    <t>Sosyal Etkinlikler Yapılabilecek Alanlar Oluşturmak Hedeflenmektedir.</t>
  </si>
  <si>
    <t>40.8154197076578, 29.33330760387099</t>
  </si>
  <si>
    <t>Tuzla İlçesi Altyapı Yatırımları</t>
  </si>
  <si>
    <t>5,7 km atıksu kollektör imalatı,</t>
  </si>
  <si>
    <t>Yeni yapılacak İhale kapsamında planlanmaktadır.</t>
  </si>
  <si>
    <t>40.87063665345552, 29.33324282990777</t>
  </si>
  <si>
    <t>Hacet Deresi Yaşam Vadisi 3. Etap</t>
  </si>
  <si>
    <t>Hacet Deresi 3. Etap</t>
  </si>
  <si>
    <t>40.87802410218433, 29.330866441032196</t>
  </si>
  <si>
    <t>Tuzla Kafkale Gençlik Merkezi Projesi</t>
  </si>
  <si>
    <t>7535/6</t>
  </si>
  <si>
    <t>Tuzla Kafkale Gençlik Merkezi Projesi 7535/6 Rauf Orbay Caddesi</t>
  </si>
  <si>
    <t>40.83338714577997, 29.29840917563125</t>
  </si>
  <si>
    <t>7acb36f2-2969-ef11-b8f0-005056b0106f</t>
  </si>
  <si>
    <t>Alemdağ Ve Petrol Yolu Caddeleri Tek Yön Trafik Sirkülasyon Projesi</t>
  </si>
  <si>
    <t>Alemdağ Ve Petrol Yolu Caddeleri Tek Yön Trafik Sirkülasyon Projesi Kapsamında; Kaldırım, Servis Yolu Ve Petrolyolu Caddesi Alemdağ Caddesi Bağlantı Yolu İmalatı</t>
  </si>
  <si>
    <t>41.016823158811896, 29.13900652489018</t>
  </si>
  <si>
    <t>Çakmak Köprüsü Güçlendirme Projesi</t>
  </si>
  <si>
    <t>323 m2 Alanlı Köprü</t>
  </si>
  <si>
    <t>41.02079129, 29.12072819</t>
  </si>
  <si>
    <t>cb490e80-7d05-ec11-b87e-005056b0336f</t>
  </si>
  <si>
    <t>Ümraniye İlçesi, Çakmak Köprüsü Güçlendirme Projesi</t>
  </si>
  <si>
    <t>Kemerdere Islahı</t>
  </si>
  <si>
    <t>106 metre dere ıslahı</t>
  </si>
  <si>
    <t>İBB TARAFINDAN YAPILACAK.</t>
  </si>
  <si>
    <t>41.019086, 29.180165</t>
  </si>
  <si>
    <t>Ümraniye İleri Biyolojik Atıksu Arıtma Tesisi</t>
  </si>
  <si>
    <t>150.000m3/gün kapasiteli</t>
  </si>
  <si>
    <t>Kaymakamlık Binası Çevresi Trafik Ve Peyzaj DüzenlemeAlemdağ Caddesi</t>
  </si>
  <si>
    <t>Yeni Yapılan Kaymakamlık Binasının Çevresi Trafik Ve Peyzaj Düzenleme</t>
  </si>
  <si>
    <t>41.029681, 29.098958</t>
  </si>
  <si>
    <t>Atakan Caddesi İle Yaya Sokak Bağlantı Köprü Projesi</t>
  </si>
  <si>
    <t>Bağlantı Köprü Projesi</t>
  </si>
  <si>
    <t>Bütçesi Fen İşleri Dairesi Başkanlığı tarafından verilmelidir.
Yeni yapılacak İhale kapsamında planlanmaktadır.</t>
  </si>
  <si>
    <t>41.01674708647412, 29.107485785298124</t>
  </si>
  <si>
    <t>Atakent Mahallesi Akdeniz Caddesi İle Ulubey Sokak Bağlantı Projesi</t>
  </si>
  <si>
    <t>Bağlantı Yolu Projesi</t>
  </si>
  <si>
    <t>41.01397261701507, 29.10592505919057</t>
  </si>
  <si>
    <t>İstiklal Mah Finanskent e İnen İmar Yolu</t>
  </si>
  <si>
    <t>İstiklal Mah. Finanskent’E İnen İmar Yolu</t>
  </si>
  <si>
    <t>41.002746, 29.119113</t>
  </si>
  <si>
    <t>Ümraniye İnkılap Mahallesi Şehit Sevgi Yeşilyurt İlköğretim Okulu Kapalı Spor Salonu İnşaatı</t>
  </si>
  <si>
    <t>41.048777, 29.101380</t>
  </si>
  <si>
    <t xml:space="preserve">942 m atıksu şebeke ve kolektör kanalı,
</t>
  </si>
  <si>
    <t>41.025937589856035, 29.08820533025687</t>
  </si>
  <si>
    <t>Alemdağ Caddesi Düzenleme 2. Etap Projesi</t>
  </si>
  <si>
    <t>Proje çalışmaları devam etmektedir. (UTK kararı bekleniyor. Kararı müteakip uygulama çalışmaları yapılacaktır.)</t>
  </si>
  <si>
    <t>41.01623429880368, 29.153351928592137</t>
  </si>
  <si>
    <t>fdfb9dcb-f9b2-ef11-b90d-005056b0106f</t>
  </si>
  <si>
    <t>Ümraniye Alemdağ Caddesi Kentsel Tasarım Projesi</t>
  </si>
  <si>
    <t>Ümraniye Exen İtfaiye Binası</t>
  </si>
  <si>
    <t>Ümraniye Exen İtfaiye Binası787 ada 67 parselAtatürk Mahallesi</t>
  </si>
  <si>
    <t>41.01618962342802, 29.12793877753927</t>
  </si>
  <si>
    <t>7f2b6e59-19f8-ef11-b911-005056b0106f</t>
  </si>
  <si>
    <t>Ümraniye Exen İtfaiye Binası Projesi</t>
  </si>
  <si>
    <t>Harem Otogarının Kaldırılması</t>
  </si>
  <si>
    <t>Proje çalışmaları devam etmekte olup planlanan çalışmalar aşamasındadır.
Bütçesi Fen İşleri Dairesi Başkanlığı tarafından verilmelidir.
ulaşım bağlantıları, toplu ulaşım imkanları, erişilebilirlik durumu, büyük oranda kamu mülkiyetinde olması, mimari ihtiyaçlara uygun yeterli ve genişleme imkanına sahip yüzölçümü, çevre arazi kullanım kararları ile uyumlu olması kriterleri göz önünde bulundurularak pendik'te yeni bir otogar yapılması planlanmakta olup, harem ve sultanbeyli otogarlarının bu otogara taşınması düşünülmektedir. konuyla ilgili süreçler devam etmekte olup, tarafımızca ilgili işlemler tamamlandıktan sonra projesi için etüd ve projeler dairesi başkanlığı ve yapımı için fen işleri dairesi başkanlığı tarafından ihalesi gerçekleştirilecektir.</t>
  </si>
  <si>
    <t>41.0110897, 29.0112179</t>
  </si>
  <si>
    <t>Üsküdar İlçesi Paşa Limanı Su İskelesi Önü Rıhtım Onarım Projesi</t>
  </si>
  <si>
    <t>Yol ile Deniz arasındaki peyzaj alanının altında malzeme boşaldığından, mevcut deniz yapısının güçlendirilmesi</t>
  </si>
  <si>
    <t>41.03201051, 29.02213058</t>
  </si>
  <si>
    <t>0b4345fc-58b4-ee11-b8e6-005056b0106f</t>
  </si>
  <si>
    <t>Üsküdar İlçesi, Kandilli Mahallesi Kandilli İskelesi ve Rıhtımı Düzenleme Projesi</t>
  </si>
  <si>
    <t>​Mevcut Rıhtım Onarım Ve Güçlendirme, Sahil Bandı Düzenleme</t>
  </si>
  <si>
    <t>41.07434536, 29.05827638</t>
  </si>
  <si>
    <t>44162f63-3fda-eb11-b87b-005056b0336f</t>
  </si>
  <si>
    <t>Üsküdar İlçesi, D100 İsfalt Kavşağı Köprüsü Güçlendirme Projesi</t>
  </si>
  <si>
    <t>41.0060421, 29.0266462</t>
  </si>
  <si>
    <t>Üsküdar İlçesi, O-1 Acıbadem Üst Geçidi Güçlendirme Projesi</t>
  </si>
  <si>
    <t>​Yaklaşık 790 m² k​​​​öprü​</t>
  </si>
  <si>
    <t>41.01521587, 29.05642711</t>
  </si>
  <si>
    <t>96955aa5-6a7a-ef11-b8f1-005056b0106f</t>
  </si>
  <si>
    <t>Üsküdar İlçesi, O-1 Altunizade Üst Geçidi Güçlendirme Projesi</t>
  </si>
  <si>
    <t>Yaklaşık ​1880 m² köprü​​</t>
  </si>
  <si>
    <t>41.02278089, 29.04784396</t>
  </si>
  <si>
    <t>a35e762b-6b7a-ef11-b8f1-005056b0106f</t>
  </si>
  <si>
    <t>Üsküdar İlçesi, İhsaniye(Salacak) 11 Pafta 1335 Ada 53 Parsel Kaya Düşmesi Önlem Projesi</t>
  </si>
  <si>
    <t>​4500 m2 Kaya Düşmesi Önlem Projesi​</t>
  </si>
  <si>
    <t>Üsküdar İlçesi, İhsaniye(Salacak) 11 Pafta 1335 Ada 53 Parsel Kaya Düşmesi Önleme Projesi1335/53 ve 367/33</t>
  </si>
  <si>
    <t>41.0156027, 29.0110764</t>
  </si>
  <si>
    <t>644ce264-5460-ef11-b8ee-005056b0106f</t>
  </si>
  <si>
    <t>Üsküdar İlçesi Kuzguncuk Paşalimanı Caddesi Kaya Düşmesi Önlem Projesi</t>
  </si>
  <si>
    <t>1311/129</t>
  </si>
  <si>
    <t>41.03548439348983, 29.027936777611526</t>
  </si>
  <si>
    <t>c9669bfe-5060-ef11-b8ee-005056b0106f</t>
  </si>
  <si>
    <t>Üsküdar Bahçelievler Mahallesi Çocuk Etkinlik Merkezi İnşaatı</t>
  </si>
  <si>
    <t>Bağışçı yapacak. Maliyet 1 TL girildi</t>
  </si>
  <si>
    <t>41.05981302, 29.07813111</t>
  </si>
  <si>
    <t>06902e9d-ad2f-eb11-b863-005056b0156e</t>
  </si>
  <si>
    <t>Üsküdar İlçesi Çengelköy Mahallesi 1004 Ada 16 Parsel Kreş Projesi</t>
  </si>
  <si>
    <t>Üsküdar-Harem Nostaljik Tramvay Hattı ve Çevre Düzenlenmesi</t>
  </si>
  <si>
    <t>41.0101475, 29.0116131</t>
  </si>
  <si>
    <t>Ünalan Mahallesi İtfaiye Binası Güçlendirme Projesi</t>
  </si>
  <si>
    <t>41.0018002, 29.0723408</t>
  </si>
  <si>
    <t>3e95d04d-94ac-ef11-b90d-005056b0106f</t>
  </si>
  <si>
    <t>Üsküdar İlçesi Ünalan Mahallesi 70 Ada 9-10 Parseller İtafiye İstasyonu Güçlendirme Projesi</t>
  </si>
  <si>
    <t>Altunizade Ve Uzunçayır Bulut Projesi</t>
  </si>
  <si>
    <t>41.02162621, 29.04866398</t>
  </si>
  <si>
    <t>fd1f7e6a-79a5-ef11-b90d-005056b0106f</t>
  </si>
  <si>
    <t>Altunizade Köprüsü Yaya Sirkülasyonu Düzenleme Uygulama Projesi</t>
  </si>
  <si>
    <t>Bilfen Kavşağı Düzenlenmesi</t>
  </si>
  <si>
    <t>Kavşak Ve Çevre Düzenleme</t>
  </si>
  <si>
    <t>Bütçesi Fen İşleri Dairesi Başkanlığı tarafından verilmelidir.
projesi bulunmakta olup, güncel durumlar dikkate alınarak revize edilecektir.</t>
  </si>
  <si>
    <t>41.021825061899584, 29.046516910293864</t>
  </si>
  <si>
    <t>Bulgurlu Kavşağı Düzenlenmesi</t>
  </si>
  <si>
    <t>UTK kararı alınması için Ulaşım Koordinasyon Şube Müdürlüğü tarafından revize çalışmalar devam etmektedir. 
Bütçesi Fen İşleri Dairesi Başkanlığı tarafından verilmelidir.
talep ulaşım dairesi başkanlığı tarafından değerlendirmeye alınacaktır.</t>
  </si>
  <si>
    <t>Ön Proje Aşamasında %90 ilerleme</t>
  </si>
  <si>
    <t>41.0162736, 29.0741798</t>
  </si>
  <si>
    <t>Üsküdar Ünalan Park, Meydan, Yol Düzenleme Projesi</t>
  </si>
  <si>
    <t>Park Düzenleme Alanı 7170 m2​ Yol Uzunluğu 1000 m2 yol Sayısı 1 Adet peyzaj Alanı 22.240 m2</t>
  </si>
  <si>
    <t>41.0007837, 29.0617132</t>
  </si>
  <si>
    <t>82c26c01-03c0-ee11-b8e6-005056b0106f</t>
  </si>
  <si>
    <t>Üsküdar Meydanı ve Yakın Çevresi  Fizibilite Raporunun Hazırlanması</t>
  </si>
  <si>
    <t>41.02664508488354, 29.014583087287015</t>
  </si>
  <si>
    <t>2436fcb5-05f8-ef11-b911-005056b0106f</t>
  </si>
  <si>
    <t>Üsküdar Meydan Bölgesel Ölçekte Kentsel Analiz Çalışmasının Hazırlanması</t>
  </si>
  <si>
    <t>Üsküdar İlçesi Çengelköy Mahallesi Afet Eğitim Merkezi Projesi</t>
  </si>
  <si>
    <t>​Kültürel Tesis Ve Afet&amp;#160;Eğitim Merkezi</t>
  </si>
  <si>
    <t>1336 da 20 parselÇengelköy Mahallesi Rasathane Cad.</t>
  </si>
  <si>
    <t>41.06284299, 29.06655930</t>
  </si>
  <si>
    <t>47e1b493-93f1-ee11-b8e8-005056b0106f</t>
  </si>
  <si>
    <t>Üsküdar İlçesi 809 Ada 35, 36, 37, 38, 39, 40, 41, 42, 43 Parsellerde Sosyal Tesis ve Çevre Düzenleme Projesi</t>
  </si>
  <si>
    <t>Sosyal tesis ve 452 araç kapasiteli zeminaltı otopark ve çevre düzenleme​​​​​</t>
  </si>
  <si>
    <t>41.04840849, 29.05343058</t>
  </si>
  <si>
    <t>2003ddc3-ffb6-e611-80e3-005056a5354a</t>
  </si>
  <si>
    <t>Üsküdar İlçesi Psikoterapi Merkezi İnşaatı</t>
  </si>
  <si>
    <t>​2 Adet Psikometri Odası (16,4 m², 18,8 m²). 2 adet Ergen Odası (15,1 m²,16,7 m²). Grup Terapi Odası (13,3 m²), Sosyal Alan (22,4 m²), Fuaye/Bekleme Alanı (33,7 m²). 3 adet Yetişkin Odası (21,7 m², 20,2 m², 17,6 m²). 3 adet Çocuk Odası (16,4 m², 18,2 m², 18 m²). Çocuk Oyun Odası (13,2 m²), Psikiyatri Odası ( 18,3 m²). Veri Ölçek Odası (16,7 m²).</t>
  </si>
  <si>
    <t xml:space="preserve">​Yaklaşık Maliyet çalışması istenen projenin yapılacağı alanda mevcutta Sağlık Bakanlığına bağlı Sağlık ocağı binası mevcut olup Emlak Şube müdürlüğünün takibinde mahkeme süreçleri devam etmekte olup, Alanın akıbeti belli olduktan sonra  proje yaklaşık maliyet çalışması tamamlanacaktır.
</t>
  </si>
  <si>
    <t>İptale alındı. Maliyet: 50.000.000 TL</t>
  </si>
  <si>
    <t>41.02345423, 29.01151183</t>
  </si>
  <si>
    <t>9582b35e-9752-ec11-b89c-005056b0106f</t>
  </si>
  <si>
    <t>Üsküdar İlçesi 428 Ada 3 Parsel Psikoterapi Merkezi Projesi</t>
  </si>
  <si>
    <t>Toplum Sağlık Merkezleri</t>
  </si>
  <si>
    <t>Üsküdar Zeynep Kamil Mahallesi Psikolojik Destek ve Evde Sağlık Hizmetleri Merkezi İnşaatı</t>
  </si>
  <si>
    <t>​Psikolojik Danışmanlık Merkezi, Evde Sağlık Hizmetleri Merkezi, 4 Ambulans + 11 Araç kapasiteli Otopark</t>
  </si>
  <si>
    <t>41.01404728, 29.02496165</t>
  </si>
  <si>
    <t>8485ef75-036e-e711-80f3-005056a5354a</t>
  </si>
  <si>
    <t>Üsküdar Zeynep Kamil Mahallesi PDM ve Evde Sağlık Merkezi Projesi</t>
  </si>
  <si>
    <t>Kısıklı Cad. Millet Parkı Önü YÜG EEUHG</t>
  </si>
  <si>
    <t>2 Adet Engelli Asansörü</t>
  </si>
  <si>
    <t>41.02373918, 29.05373088</t>
  </si>
  <si>
    <t>4e4be441-b74a-e711-80f0-005056a5354a</t>
  </si>
  <si>
    <t>Üsküdar İlçesi, Kısıklı Caddesi, Millet Parkı Yaya Üst Geçidi</t>
  </si>
  <si>
    <t>10,9 km atıksu şebeke ve kolektör kanalı</t>
  </si>
  <si>
    <t>Vakıf Sulara ait alanlarda peyzaj çalışması planlanmaktadır</t>
  </si>
  <si>
    <t>Üsküdar İlçesi Bulgurlu Mahallesi 1119 Ada 145 Parsel Sağlık Merkezi Projesi</t>
  </si>
  <si>
    <t>​Sağlık Tesisi Yapısı Kapsamında Kreş, Acil Sağlık Hizmeti, İgdaş Ofisleri, İbb Kadın ,Engelliler Merkezi, Psikolojik Danışma Merkezi Ve İbb Ofisleri Bulunmaktadır.​ 1119 Ada 145 Parse</t>
  </si>
  <si>
    <t>41.00100301, 29.06122805</t>
  </si>
  <si>
    <t>a4b4fe1f-2aae-ee11-b8e6-005056b0106f</t>
  </si>
  <si>
    <t>Zeytinburnu İlçesi Topkapı Kavşağı D100 Bağlantı Yolu Köprü Güçlendirme Projesi</t>
  </si>
  <si>
    <t>1600 M² Mevcut Köprünün Yapısal Analizleri Yapılarak,Analiz Sonucuna Göre Gerekli Güçlendirme Projesi Hazırlanacak.</t>
  </si>
  <si>
    <t>41.0187156, 28.9227698</t>
  </si>
  <si>
    <t>1196ffc9-36bf-ee11-b8e6-005056b0106f</t>
  </si>
  <si>
    <t>Zeytinburnu İlçesi, Osmaniye Kavşağı Köprüsü Güçlendirme Projesi</t>
  </si>
  <si>
    <t>1940 M2 Lik Köprü Güçlendirme Projesi</t>
  </si>
  <si>
    <t>41.01235222342754, 28.905690797142896</t>
  </si>
  <si>
    <t>fd2de4fe-0db9-ee11-b8e6-005056b0106f</t>
  </si>
  <si>
    <t>Beştelsiz Mahallesi İtfaiye İstasyonu İnşaatı</t>
  </si>
  <si>
    <t>40.9931296, 28.9121835</t>
  </si>
  <si>
    <t>ab904343-73c0-ec11-b8a4-005056b0106f</t>
  </si>
  <si>
    <t>Zeytinburnu İlçesi Beştelsiz Mahallesi İtfaiye İstasyonu Projesi</t>
  </si>
  <si>
    <t>Mevlana Caddesi Düzenleme İnşaatı</t>
  </si>
  <si>
    <t>41.00582352102383, 28.904684239276953</t>
  </si>
  <si>
    <t>f92c2dcb-98da-ed11-b8d4-005056b0106f</t>
  </si>
  <si>
    <t>Zeytinburnu Mevlana Caddesi Düzenleme Projesi</t>
  </si>
  <si>
    <t>D100 Karayolu Topkapı Metrobüs Dönüş Köprüsünün Sökülmesi İnşaatı</t>
  </si>
  <si>
    <t>41.020400381336316, 28.917790939440682</t>
  </si>
  <si>
    <t>a8d7f8e6-af8d-4901-bfdb-a445f9897eac</t>
  </si>
  <si>
    <t>Metrobüs Topkapı Dönüş Köprüsü Söküm Projesi</t>
  </si>
  <si>
    <t>Çırpıcı Parkının Devamı</t>
  </si>
  <si>
    <t>Çırpıcı Parkının Veliefendi'Ye Kadar Devam Ettirilerek Proje Bütünlüğünün Sağlanması</t>
  </si>
  <si>
    <t>41.000825786333145, 28.892728295830644</t>
  </si>
  <si>
    <t>Kazlıçeşme Mah.İBB Sosyal Tesis Güçlendirme Projesi</t>
  </si>
  <si>
    <t>40.9850544, 28.9062492</t>
  </si>
  <si>
    <t>584b55a6-94ac-ef11-b90d-005056b0106f</t>
  </si>
  <si>
    <t>Zeytinburnu İlçesi Kazlıçeşme Mahallesi 774 Ada 72 Parsel İBB Sosyal Tesisi Güçlendirme Projesi</t>
  </si>
  <si>
    <t>Dursun Kılıç Caddesi Kentsel Tasarım Projesi</t>
  </si>
  <si>
    <t>41.00309464426365, 28.910393742230198</t>
  </si>
  <si>
    <t>Zeytinburn Çırpıcı Parkı ve Çırpıcı Mahallesi Arası Yaya Geçit Köprüsü Projesi</t>
  </si>
  <si>
    <t>Çırpıcı Parkı ve Çırpıcı Mahallesi Arası Yaya Geçit Köprüsü</t>
  </si>
  <si>
    <t>41.00036542808163, 28.892929111997326</t>
  </si>
  <si>
    <t>857a6c6f-241c-ef11-b8ea-005056b0106f</t>
  </si>
  <si>
    <t>Topkapı Şehit Mehmet Cambaz Metrobüs Durağı Yaya Üst Geçiti</t>
  </si>
  <si>
    <t xml:space="preserve">Topkapı Şehit Mustafa Cambaz-Bayrampaşa Maltepe Metrobüs İstasyonları Yaya Üst Geçidi Projesi (eski adı)
</t>
  </si>
  <si>
    <t>41.020508000219834, 28.917631411006056</t>
  </si>
  <si>
    <t>Buzpisti Çırpıcı Deresi YÜG Yapım</t>
  </si>
  <si>
    <t>98 m2 yaya köprüsü</t>
  </si>
  <si>
    <t>40.996119906318995, 28.895031266004437</t>
  </si>
  <si>
    <t>387a22d3-fa81-ed11-b8c3-005056b0106f</t>
  </si>
  <si>
    <t>Zeytinburnu İlçesi, Zeytinburnu Buz Pisti ile Çırpıcı Şehir Parkı Arası Yaya Geçit Köprüsü Projesi</t>
  </si>
  <si>
    <t>Yaya Geçitleri</t>
  </si>
  <si>
    <t>Prestij Caddeler Düzenlenmesi</t>
  </si>
  <si>
    <t>Prof. Muammer Aksoy Caddesi, Mevlana Caddesi, Rauf Denktaş Caddesi, Merv Caddesi, Dursun Kılıç Sokak, 48 Sokakta Prestij Cadde Düzenleme</t>
  </si>
  <si>
    <t>Prof. Muammer Aksoy Caddesi, Mevlana Caddesi (Fen İşleri tarafından yapılacaktır), Rauf Denktaş Caddesi, Merv Caddesi, Dursun Kılıç Sokak, 48 Sokakta Prestij Cadde Düzenleme</t>
  </si>
  <si>
    <t>40.9948907, 28.9127640</t>
  </si>
  <si>
    <t>Zeytinburnu İlçesi,Osmaniye Kavşağı Taş Duvar Deformasyon Önlem ve Şev Stabilitesi Projesi</t>
  </si>
  <si>
    <t>​2.248 m2 Şev Stabilte Projesi</t>
  </si>
  <si>
    <t>41.0140585, 28.9037821</t>
  </si>
  <si>
    <t>d9bf3e6b-ea40-ee11-b8dd-005056b0106f</t>
  </si>
  <si>
    <t>Tuzla Sahil İtfaiye İstasyonu Güçlendirme Projesi</t>
  </si>
  <si>
    <t>4.8 km atıksu şebeke ve kolektör kanalı</t>
  </si>
  <si>
    <t>Seyitnizam Mahallesi Mevlana Caddesi; Beştelsiz Mahallesi Rauf Denktaş Caddesi; Sümer Mahallesi Merv Caddesi; Telsiz Mahallesi Dursun Kılıç Caddesi; Yenidoğan Mahallesi 48. Sokak;</t>
  </si>
  <si>
    <t>41.00850656279491, 28.905588627290456</t>
  </si>
  <si>
    <t>Zeytinburnu 1617 ada 10.11.12.13 parsel Spor Tesisleri Projesi</t>
  </si>
  <si>
    <t>İlçemizin En Önemli Simgelerinden Biri Olan Zeytinburnu Stadyumunun Yenilenerek, Stadyum, Spor Salonu, Sosyal Tesis, Otel, Ticaret Birimleri Ve Ticari Katlı Otopark Ve Pazar Yeri Kazandırılması 1617/10-11-12-13</t>
  </si>
  <si>
    <t>c7262802-4cdd-ef11-b90e-005056b0106f</t>
  </si>
  <si>
    <t>Zeytinburnu Stadyumu Ve Yanındakı Spor Salonu Projesi 1617/10-11-12-13 Zübeyde Hanım caddesi</t>
  </si>
  <si>
    <t>40.994064766811924, 28.912050638531166</t>
  </si>
  <si>
    <t>Çırpıcı ve Yakın Çevresi Fizibilite Raporunun Hazırlanması 2713 Ada-20 Parel Çırpıcı ve Yakın Çevresi</t>
  </si>
  <si>
    <t>2713 Ada-20  2713 Ada-20 Parel</t>
  </si>
  <si>
    <t>Çoklu İlçe; Zeytinburnu; Bakırköy
Proje çalışmaları devam etmektedir.</t>
  </si>
  <si>
    <t>41.00011927499616, 28.890235939113808</t>
  </si>
  <si>
    <t>04f61739-a745-ef11-b8eb-005056b0106f</t>
  </si>
  <si>
    <t>Çırpıcı ve Yakın Çevresi Fizibilite Raporunun Hazırlanması</t>
  </si>
  <si>
    <t>Terkos Tarihi Köşk Binası</t>
  </si>
  <si>
    <t>Arnavutköy'de Bulunan Terkos Tarihi Köşk Binası'nın Projelerinin Hazırlanması Planlanmaktadır</t>
  </si>
  <si>
    <t>Yeni eklendi</t>
  </si>
  <si>
    <t>41.31024521411764, 28.66898228538148</t>
  </si>
  <si>
    <t>Levent Su Deposu Renovasyonu</t>
  </si>
  <si>
    <t>Levent Su Deposu'nun Renovasyon Uygulama Çalışmalarının Yapılması Planlanmaktadır.</t>
  </si>
  <si>
    <t>41.0755397, 29.0165855</t>
  </si>
  <si>
    <t>Mağlova Kemeri</t>
  </si>
  <si>
    <t>Mağlova Kemeri'nin Esaslı Onarım Projelerinin Hazırlanması Planlanmaktadır.</t>
  </si>
  <si>
    <t>Çoklu İlçe; Sultangazi; Eyüpsultan</t>
  </si>
  <si>
    <t>41.1368462, 28.8935069</t>
  </si>
  <si>
    <t>Valide ve Topuzlu Bend</t>
  </si>
  <si>
    <t>Valide ve Topuzlu Bend'in Esaslı Onarım Projelerinin Hazırlanması Planlanmaktadır.</t>
  </si>
  <si>
    <t>41.1954860, 28.9897400</t>
  </si>
  <si>
    <t>Kömürcü ve Büyük Bend</t>
  </si>
  <si>
    <t>Kömürcü ve Büyük Bend'in Esaslı Onarım Projelerinin Hazırlanması Planlanmaktadır.</t>
  </si>
  <si>
    <t>41.2025675, 28.9611880</t>
  </si>
  <si>
    <t>Ayvad ve Kirazlı Bent Uygulalama İşi</t>
  </si>
  <si>
    <t>Ayvad ve Kirazlı Bentin Restorasyon Uygulamasının Yapılması Planlanmaktadır.</t>
  </si>
  <si>
    <t>41.1691800, 28.9644300</t>
  </si>
  <si>
    <t>Sultan I. Mahmud Kemeri</t>
  </si>
  <si>
    <t>Sultan I. Mahmud Kemeri'nin Esaslı Onarım Projelerinin Hazırlanması Planlanmaktadır.</t>
  </si>
  <si>
    <t>Melen Suyunun dağıtımı projesi kapsamında Bahçelievler Terfi Merkezi Mahmutbey Su Deposu arası 2600 mm 5,8 km tünel inşaatı</t>
  </si>
  <si>
    <t>40.998499, 28.858370</t>
  </si>
  <si>
    <t>İkitelli İ.A.T - Esenyurt Depo arası isale hattı inşaatı</t>
  </si>
  <si>
    <t xml:space="preserve">6+2 ikitelli İçme Suyu Arıtma Tesisi Terfi Merkezi, İkitelli İçme Suyu Arırıtma Tesisi - Esenyurt İçme Suyu Deposu Arası 15,6 km Ø1600 mm Çaplı İsale Hattı  
</t>
  </si>
  <si>
    <t xml:space="preserve">Çoklu İlçe; Başakşehir; Avcılar; Beylikdüzü; Esenyurt
</t>
  </si>
  <si>
    <t>41.0870548, 28.7692776</t>
  </si>
  <si>
    <t>Avcılar Hz. Ali Camii - Zemin Mermer Döşeme İşi</t>
  </si>
  <si>
    <t>Zemin mermer döşeme imalatı yapılacaktır.
2024 YILI İSTANBUL GENELİ BELEDİYE MÜLKLERİ VE KAMU BİNALARININ BAKIM VE ONARIMI İŞİ ihalesi ile yapılacaktır.</t>
  </si>
  <si>
    <t>41.00178215165426, 28.705650166395873</t>
  </si>
  <si>
    <t>Spor Tesisleri Bakım ve Onarımı</t>
  </si>
  <si>
    <t>Şişli Yusuf  Tunaoğlu Stadı</t>
  </si>
  <si>
    <t>Stad çim değişimi yapılacaktır. 2024 YILI İSTANBUL GENELİ BELEDİYE MÜLKLERİ VE KAMU BİNALARININ BAKIM VE ONARIMI İŞİ ihalesi ile yapılacaktır.</t>
  </si>
  <si>
    <t>41.061178, 28.987601</t>
  </si>
  <si>
    <t>Çilekli Spor Tesisi</t>
  </si>
  <si>
    <t>Çim Söküm ve Çatı onarımı yapılmaktadır.</t>
  </si>
  <si>
    <t>41.0883069, 29.0186415</t>
  </si>
  <si>
    <t>İstanbul İli Sultangazi İlçesi Yunus Emre Mahallesi 1187 Ada 19 Parsel Sayılı Rezerv Yapı Alanına İlişkin  Kentsel Dönüşüm Uygulaması İşi 2. Etap</t>
  </si>
  <si>
    <t>346 Adet Konut, 21 Adet Ticaret Yapımı</t>
  </si>
  <si>
    <t>Yeni Eklenmiştir. Protokol yolu ile yapılması için Başkanlık oluru alınmıştır.</t>
  </si>
  <si>
    <t>41.0958046, 28.8964025</t>
  </si>
  <si>
    <t>Çağlayan Meydanı ve Çevresi Kentsel Dönüşüm Uygulama Projesi İşi ve  İnşaat Yapım İşleri</t>
  </si>
  <si>
    <t>384 Adet Konut, 44 Adet Ticaret Öncelikli olarak uygulamaya yönelik  projelerin hazırlanması planlanmaktadır.</t>
  </si>
  <si>
    <t>İstanbul ili, Kağıthane ilçesi, Gürsel Mahalle sınırları içerisinde kalan 2.36 hektar yüz ölçümüne sahip eski 8483 ve 8486 adalara (yeni 10315 ada) ilişkin Kentsel Dönüşüme Yönelik Uygulama İşinin Kat Karşılığı Yapılması İstanbul ili, Kağıthane ilçesi, Gürsel Mahalle sınırları içerisinde kalan 2.36 hektar yüz ölçümüne sahip eski 8483 ve 8486 adalara (yeni 10315 ada) ilişkin Kentsel Dönüşüme Yönelik Uygulama Projelerinin Hazırlanması İşinin akabinde de inşaat uygulamasının yapılması  planlanmaktadır.</t>
  </si>
  <si>
    <t>41.0707226, 28.9790793</t>
  </si>
  <si>
    <t>“Beykoz İlçesi, Çubuklu Mahallesi, 102 Ada 1 Parsel (E:835 Ada 10 Parsel) Sayılı Riskli Alanda Kentsel Dönüşüme Yönelik Ön Proje Revizyonu ve Kesin (Ruhsat) Projeleri ile İlave Zemin ve Temel Etüdü Raporlarının Hazırlanması İşi</t>
  </si>
  <si>
    <t>339 Adet Konut, 120 Adet Ofis, 30 Adet Dükkan
Öncelikli olarak uygulamaya yönelik projelerin hazırlanması planlanmaktadır.</t>
  </si>
  <si>
    <t>Beykoz İlçesi, Çubuklu Mahallesi, (Yeni 102 Ada 1 Parsel) 823, 833, 834 Ve 835 Adaların Tamamı İle Bir Kısım Kadastral Boşluğa İlişkin Ön Proje Tadilatı-zemin iyileştirme ve Kat Karşılığı Yapılması</t>
  </si>
  <si>
    <t>41.103118338061975, 29.086101481603993</t>
  </si>
  <si>
    <t>Kartal Kentsel Dönüşüm Projesi</t>
  </si>
  <si>
    <t>350 bağımsız birim olarak uygulamaya yönelik  projelerin hazırlanması ve sonrasında yapım işi planlanmaktadır</t>
  </si>
  <si>
    <t>Uygulama Projesi İşinin 2025 Yılı İçinde Başlanarak  2026 Yılında Tamamlanması Planlanmaktadır.</t>
  </si>
  <si>
    <t>Sultangazi Esentepe Mahallesi 20136 ada 3 parsel Kesin ve Uygulama Projesi İşi ve Uygulama İşi</t>
  </si>
  <si>
    <t>862 adet bağımsız birim olarak uygulamaya yönelik projelerin hazırlanması ve sonrasında yapım işi planlanmaktadır</t>
  </si>
  <si>
    <t>Sultangazi İlçesi, Esentepe Mahallesi, 20136 ada, 3 parselde Kentsel Dönüşüme Yönelik Kesin Proje ve Uygulama Projelerinin Hazırlanması İşinin akabinde de inşaat uygulamasının yapılması  planlanmaktadır.</t>
  </si>
  <si>
    <t>KDU-Yeni dönemde projesi hazır 12.000 konutun, yeni projelerle 20.000 sosyal konutun tamamlanması KDM-2024-2029 arasında ilk etapta 2/3 uzlaşma sağladığımız, projesine çalıştığımız her şeyi hazır olan 22.000 konutun dönüştürrülmesi. Hedef 50.000 konutu dönüştürmek.</t>
  </si>
  <si>
    <t>41.0999028, 28.8832184</t>
  </si>
  <si>
    <t>Sultangazi Esentepe ve Cebeci (Taş Ocağı) Mahallesi 20134 ada 5 parsel Kesin Proje Revizyonu ve Uygulama Projesi İşi</t>
  </si>
  <si>
    <t>771 bağımsız birim olarak
uygulamaya yönelik projelerin hazırlanması ve sonrasında yapım işi planlanmaktadır.</t>
  </si>
  <si>
    <t>Sultangazi İlçesi, Esentepe-Cebeci Mahallesi, 20134 ada, 5 parselde Kentsel Dönüşüme Yönelik Kesin Proje Revizyonları ve Uygulama Projelerinin Hazırlanması İşinin akabinde de inşaat uygulamasının yapılması  planlanmaktadır.</t>
  </si>
  <si>
    <t>41.1123696, 28.8584041</t>
  </si>
  <si>
    <t>Aydınlatma Üniteleri, Tabela, Durak, Kent Mobilyaları Vb. İçin Adalar'a Özgü Bir Tasarım Yapılması</t>
  </si>
  <si>
    <t>7000 M2 Adalar ilçesi bayrak duraklar Adalar insiyatif grubu ile görüşülerek tasarım süreci tamamlanmıştır. İhale süreci tamamlanarak 05.08.2024 tarihinde başlanılması planlanmaktadır.</t>
  </si>
  <si>
    <t>40.87363175653384, 29.130565654831152</t>
  </si>
  <si>
    <t>Toplu Ulaşım Hattı</t>
  </si>
  <si>
    <t>Büyükada Mimoza Peyzaj Projesi Maden Mahallesi 298 Ada / 50 parsel</t>
  </si>
  <si>
    <t>Projenin uygulaması; bütçe ve ihale sürecine bağlı olduğundan planlanan olarak durumu güncellenmelidir.</t>
  </si>
  <si>
    <t>40.866399971370754, 29.132199996454347</t>
  </si>
  <si>
    <t>82f4a9d8-dba5-ec11-b8a3-005056b0106f</t>
  </si>
  <si>
    <t>Büyükada Mimoza Peyzaj Projesi</t>
  </si>
  <si>
    <t>Arnavutköy İlçesi, Boğazköy İstiklal Mahallesi, Eski Edirne Asfaltı Caddesi Geometrik Düzenleme ve Yaya Üstgeçit Projesi</t>
  </si>
  <si>
    <t>​2 Adet Rampalı Yaya Üst Geçidi</t>
  </si>
  <si>
    <t>41.1459303, 28.7938544</t>
  </si>
  <si>
    <t>50a75ecd-4304-ee11-b8d7-005056b0106f</t>
  </si>
  <si>
    <t>Arnavutköy Çiftlik Park Projesi</t>
  </si>
  <si>
    <t>Yürüyüş/Koşu Parkuru, Çiftlik Hayvanları Alanı, Sebze Ekim Alanı, Biyolojik Gölet, Piknik Alanı, Etkinlik Alanı, Aromatik Bitki Ekim Alanı,Ticari Alanlar, Otopark</t>
  </si>
  <si>
    <t>41.22768055323041, 28.754030830775722</t>
  </si>
  <si>
    <t>Arnavutköy Merkez Cami Ve Meydanı İle Zemin Altı Otopark</t>
  </si>
  <si>
    <t>Otopark Alanları, Cami, Oturma Alanları, Dinlenme Alanları, Bekleme Alanları, Yeşil Alanlar</t>
  </si>
  <si>
    <t>41.183925382108924, 28.74133149750205</t>
  </si>
  <si>
    <t>Taşoluk Bölge Parkı</t>
  </si>
  <si>
    <t>Sosyal Tesis, Restoran, Çay Bahçesi, Spor Alanları, Mini Amfi, Çocuk Oyun Alanı, Süs Havuzu, Park İçi Yürüyüş Yolları, Kameriye/Pergola, Otopark</t>
  </si>
  <si>
    <t>41.195221612789034, 28.709060502918987</t>
  </si>
  <si>
    <t>Arnavutköy İlçesi Taşoluk Mahallesi 5864 ada 1 parsel Kapalı Spor Tesisi Projesi</t>
  </si>
  <si>
    <t>Stadyum Yüzme Havuzu Ve Saglık Kulübü Sosyal Tesis Antrenman Sahası Kapalı Spor Salonu Açık Spor Alanları Ticari Alanlar Buz Pisti</t>
  </si>
  <si>
    <t>Taşoluk Kapalı Spor Kompleksi (5864/1Taşoluk Mah. Egemen Cad.) (eski adı)</t>
  </si>
  <si>
    <t>41.192750149412966, 28.71446465963054</t>
  </si>
  <si>
    <t>dd97a183-84f2-ef11-b90e-005056b0106f</t>
  </si>
  <si>
    <t>Arnavutköy-Hadımköy Yol Düzenlemesi</t>
  </si>
  <si>
    <t>Yol Düzenlemesi</t>
  </si>
  <si>
    <t>söz konusu talep ulaşım dairesi başkanlığı tarafından değerlendirmeye alınmıştır.</t>
  </si>
  <si>
    <t>41.16935830138243, 28.60100169709521</t>
  </si>
  <si>
    <t>Arnavutköy-Karaburun Arası Yol Düzenlemesi</t>
  </si>
  <si>
    <t>Yol Genişletilmesi, Mevcut Yolun Projesine Uygun Hale Getirilmesi</t>
  </si>
  <si>
    <t>41.24997826339842, 28.68084193375645</t>
  </si>
  <si>
    <t>Boğazköy Katlı Otopark</t>
  </si>
  <si>
    <t>Otopark</t>
  </si>
  <si>
    <t>Ulaşım Dairesi Başkanlığı tarafından 30 Ağustos Caddesi üzerinde 4781 ada, 1 parselin tamamında ARN-06 kodluckatlı otopark alanı planlanmış olup şahıs mülkiyetindedir. Söz konusu alanın kuzeybatı komşuluğunda Arnavutköy Zeminaltı Otoparkı (ARN-03) hizmet vermekte olduğundan ve ARN-06 kodlu alana ilişkin kamulaştırma süreci bulunduğundan alanın uzun vadede değerlendirilmesi uygun görülmüştür.</t>
  </si>
  <si>
    <t>41.18102862781847, 28.770764617966222</t>
  </si>
  <si>
    <t>Terkos 3. Terfi Merkezi</t>
  </si>
  <si>
    <t>güçlendirme çalışmalarından sonra karar verilecektir</t>
  </si>
  <si>
    <t>41.30510323342141, 28.660101681819857</t>
  </si>
  <si>
    <t>İlçe Girişi Eski Edirne Asfaltı Kuzey By-Pass Yolu</t>
  </si>
  <si>
    <t>İlçe Girişi Eski Edirne Asfaltı Kuzey By-Pass Yolun Da Açılması…</t>
  </si>
  <si>
    <t>İlçe Görüşmeleri Devam Ediyor</t>
  </si>
  <si>
    <t>41.1885951, 28.6762026</t>
  </si>
  <si>
    <t>Avrupa Yakası Raylı Sistem Şube Müdürlüğü</t>
  </si>
  <si>
    <t>Arnavutköy Merkez İle Mescid-İ Selam Arasına Tramvay Yapılması</t>
  </si>
  <si>
    <t>41.11838044411466, 28.848052808132056</t>
  </si>
  <si>
    <t>Çiftyol Yapılması</t>
  </si>
  <si>
    <t>Haraççı-Hadımköy Yolu; Kalan 7 Km.Lik Kısmın Çiftyol Yapılması</t>
  </si>
  <si>
    <t>41.15954069758754, 28.651249481456595</t>
  </si>
  <si>
    <t>Tünel (3004-Cahar Dudayev Cd. Tünel)</t>
  </si>
  <si>
    <t>3004-Cahar Dudayev Cd. Tünel</t>
  </si>
  <si>
    <t>Utk2024/6-16 Sayılı Kararlı &amp;Quot;Ataşehir İlçesi, Mustafa Kemal Mahallesi, 3001. Cadde, 3004. Cadde Ve 3061. Cadde Kesişimi Sinyalize Kavşak, Geometrik Düzenleme Ve Trafik Sirkülasyon Revize 2 Projesi&amp;Quot; Ataşehir Hçesi, Mustafa Kemal Mahallesi, 3001. Cadde, 3004. Cadde Ve 3061. Cadde Kesişiminde Uygulanan İlgi Utk Kararlı Projede 3056 Sokak Tek Yön Olarak Revize Edilmiştir. Trafik Şube Müdürlüğüne Ve Anadolu Yakası Yol Bakım Ve Onarım Şube Müdürlüğüne Dağıtımı Yapılmıştır.</t>
  </si>
  <si>
    <t>40.9954663, 29.0802207</t>
  </si>
  <si>
    <t>Ataşehir İlçesi Kayışdağı Mahallesi Darülaceze Yaşlı Bakımevi İnşaatı</t>
  </si>
  <si>
    <t>​19.000 m2 açık alan, 2 adet mescit, 5 adet mutfak, 428 yatak kapasiteli konaklama tesisi.​</t>
  </si>
  <si>
    <t>40.9781607, 29.1217904</t>
  </si>
  <si>
    <t>0704ccbd-2c8e-ec11-b89f-005056b0106f</t>
  </si>
  <si>
    <t>Ataşehir İlçesi Kayışdağı Mahallesi Darülaceze Yaşlı Bakımevi Uygulama Projesi</t>
  </si>
  <si>
    <t>Küçükbakkalköy Mahallesi, Halk Caddesi Trio Köprüsü Derz Değişim İnşaatı İşi</t>
  </si>
  <si>
    <t>40.9883538349026, 29.102794196217637</t>
  </si>
  <si>
    <t>Barbaros Mahallesi, Ataşehir Finans Merkezi 8 Notu Köprüsü Derz Değişim İnşaatı İşi</t>
  </si>
  <si>
    <t>41.0016554, 29.1046724</t>
  </si>
  <si>
    <t>Metro İstasyonları Üstü Alanların Düzenlenmesi</t>
  </si>
  <si>
    <t>Metro İstasyonlarının Üstünde Bulunan Alanların Düzenlenmesi Projesinin Teknik Kapsamı, Altyapı İyileştirmeleri, Mimari Tasarım Ve Peyzaj Planlaması, Ticari Ve Kültürel Alanların Oluşturulması, Ulaşım Entegrasyonu Ve Erişilebilirlik, Çevresel Dostuluk Ve Sürdürülebilirlik Gibi Unsurları İçerir. Bu Kapsamda, İstasyonların Çevresindeki Altyapının Güçlendirilmesi, Yeşil Alanların Oluşturulması, Ticari İşletmelerin Ve Kültürel Mekanların Planlanması, Toplu Taşıma Entegrasyonunun Sağlanması Ve Çevresel Etkilerin Azaltılması İçin Önlemler Alınması Gerekmektedir. Bu Unsurların Başarılı Bir Şekilde Planlanması Ve Uygulanması, Şehirlerin Yaşam Kalitesini Artırmak Ve Sürdürülebilir Kentsel Gelişimi Desteklemek İçin Önemlidir.</t>
  </si>
  <si>
    <t>40.997437, 29.098866</t>
  </si>
  <si>
    <t>Yeşil Kuşak Proje Önerisi (1.Etabı Bostancı sahili tamamlanmış,2.Etabın uygulanması kamulaştırma sorununun çözülmesi ile derhal başlanabilecektir)</t>
  </si>
  <si>
    <t>Yeşil Kuşak Projesi'Nin Teknik Kapsamı, Şehirlerdeki Yeşil Alanları Artırmak Ve Korumak İçin Çeşitli Adımları İçerir. Bu Kapsamda, Yeşil Kuşakların Belirlenmesi Ve Planlanması, Mevcut Yeşil Alanların İyileştirilmesi Ve Yeni Yeşil Alanların Oluşturulması İçin Stratejilerin Geliştirilmesi Önemlidir. Proje Kapsamında Ayrıca, Ağaçlandırma Çalışmaları, Park Ve Bahçelerin Düzenlenmesi, Bisiklet Ve Yürüyüş Yollarının İnşası, Sulama Ve Drenaj Sistemlerinin Kurulması Gibi Altyapı Çalışmaları Da Yer Alır. Ek Olarak, Doğal Yaşamın Desteklenmesi İçin Habitat Restorasyonu Ve Biyoçeşitlilik Koruma Projeleri De Teknik Kapsamın Bir Parçasıdır. Bu Çalışmaların Başarılı Bir Şekilde Yürütülmesiyle, Şehirlerdeki Yeşil Alan Miktarı Artacak, Doğal Yaşamın Korunması Sağlanacak Ve Şehir Sakinlerinin Yaşam Kalitesi Artırılacaktır</t>
  </si>
  <si>
    <t>Necip Fazıl Bulvarı Köprü Ve Viyadük Çalışmaları</t>
  </si>
  <si>
    <t>Necip Fazıl Bulvarı Köprü Ve Viyadük</t>
  </si>
  <si>
    <t>******Uygulama Proje aşamasında*******
Talebe ilişkin &amp;quot;Ataşehir İlçesi, Aksekili Mehmet Uslu Caddesi - Dudullu Caddesi - Baraj Yolu Kesişimi Yol Kavşak Revize Projesi&amp;quot; revize çalışması tamamlanmış olup, UTK aşamasındadır. UTK alındıktan sonra uygulama projelerinin hazırlanması için Etüt ve Projeler Dairesi Başkanlığı’na gönderilecektir.</t>
  </si>
  <si>
    <t>40.99113153277511, 29.149466444958787</t>
  </si>
  <si>
    <t>Turgut Özal Bulvarı Tünel</t>
  </si>
  <si>
    <t>780 M Tünel Bağlantısı</t>
  </si>
  <si>
    <t>Söz Konusu Talep Ulaşım Dairesi Başkanlığı Tarafından Değerlendirmeye Alınmıştır.</t>
  </si>
  <si>
    <t>40.9916422, 29.1269832</t>
  </si>
  <si>
    <t>Kütüphanecilik Hizmetleri</t>
  </si>
  <si>
    <t>İçerenköy Kütüphane Ve Meydan</t>
  </si>
  <si>
    <t>Yeni Nesil Kütüphane</t>
  </si>
  <si>
    <t>Fen İşleri Daire Başkanlığı tarafından takibi yapılmaktadır.</t>
  </si>
  <si>
    <t>40.9625021, 29.1124494</t>
  </si>
  <si>
    <t>Yenisahra Metro Şantiyesi Belediye Hizmet Alanı Gelişim Projesi (Gelir Getirici Proje)</t>
  </si>
  <si>
    <t>Yeni Sahra Bha Alanında Gelir Getirici Proje</t>
  </si>
  <si>
    <t>40.98825689473758, 29.08672342545314</t>
  </si>
  <si>
    <t>Öğretmenler Caddesi ve Yakın Çevresi Kentsel Tasarım Projesi</t>
  </si>
  <si>
    <t>40.9743945, 28.7196402</t>
  </si>
  <si>
    <t>6728abe0-674a-ef11-b8eb-005056b0106f</t>
  </si>
  <si>
    <t>Avcılar Ekolojik Ve Afete Dayanıklı Park Projesi (Ambarlı Mahallesi Ihlamur Yolu sokak 0/6339, 0/4655, 0/6338,0/18694 parseller)</t>
  </si>
  <si>
    <t>20325,57 M2</t>
  </si>
  <si>
    <t>40.973201470024925, 28.71606368364892</t>
  </si>
  <si>
    <t>Yeşilkent Mahallesi Değirmendere Kent Parkı</t>
  </si>
  <si>
    <t>44.000 M2</t>
  </si>
  <si>
    <t>41.03357317741416, 28.70695982297416</t>
  </si>
  <si>
    <t>Bahçeşehir Ispartakule Viyadük ve Yol Çalışmaları</t>
  </si>
  <si>
    <t>Ispartakule Viyadük; Bütüncül Değerlendirme</t>
  </si>
  <si>
    <t>Etüt ve Projeler Dairesi Başkanlığında</t>
  </si>
  <si>
    <t>41.059401997751, 28.699538897144677</t>
  </si>
  <si>
    <t>Sahil Parkı Spor Alanı</t>
  </si>
  <si>
    <t>Sahil Parkında Spor Alanında Etkin Neler Yapılabilir?</t>
  </si>
  <si>
    <t>40.970692820597286, 28.74100215104457</t>
  </si>
  <si>
    <t>Tükenmez Camii Konusu</t>
  </si>
  <si>
    <t>Tükenmez Camii Konusunda Müftü İle Görüşülerek Yapımına Başlanması</t>
  </si>
  <si>
    <t>40.9842635, 28.7230649</t>
  </si>
  <si>
    <t>2c2b703f-5ccd-ed11-b8d4-005056b0106f</t>
  </si>
  <si>
    <t>Avcılar Cami Kesin ve Uygulama Projeleri</t>
  </si>
  <si>
    <t>ŞEHİR HATLARI A.Ş.</t>
  </si>
  <si>
    <t>Yeşilkent te Örnek Dönüşüm</t>
  </si>
  <si>
    <t>Yeşilkent’Te Örnek Dönüşüm Uygulaması; Kiptaş</t>
  </si>
  <si>
    <t>41.02670528568021, 28.70159608180019</t>
  </si>
  <si>
    <t>Bağcılar 42 Evler Yaya Üst Geçidinin Engelli Erişimine Uygun Hale Getirilmesi Projesi</t>
  </si>
  <si>
    <t>245 M2 Yaya Geçiş Köprüsü, Bir Asansör, Bir Rampa</t>
  </si>
  <si>
    <t>41.06553184, 28.85301170</t>
  </si>
  <si>
    <t>8b0bd5d0-f976-ee11-b8e1-005056b0106f</t>
  </si>
  <si>
    <t>Bağcılar İlçesi Yol Ve Kavşak Düzenleme Projeleri (36 Adet Anaarter Güzergah Kavşakları) (Utk Kararı Alanın 25 Nokta, Süreci Devam Eden 11 Nokta Bulunmaktadır.)</t>
  </si>
  <si>
    <t>36 Noktadan Oluşan Ulaşım Master Planında; Utk Kararı Alanın 25 Nokta, Süreci Devam Eden 11 Nokta Bulunmaktadır.</t>
  </si>
  <si>
    <t>37 Noktadan Oluşan Ulaşım Master Planında; UTK Kararı Alanın 27 Nokta, Süreci Devam Eden 9 Nokta Bulunmaktadır.
hazırlanan projelerde kamulaştırma sorunları vb. nedenler ile revize çalışmaları proje firması tarafından yapılacak olup düzenlemeler sonrasında ilçe belediyesi ile hareket ederek utk kararı alınacaktır.</t>
  </si>
  <si>
    <t>41.034458, 28.856546</t>
  </si>
  <si>
    <t>Bağlar Mahallesi Kapalı Pazar Yeri Üzeri Park Projesi</t>
  </si>
  <si>
    <t>10.000,00 M² Kapalı Alan Öngörülmektedir</t>
  </si>
  <si>
    <t>Bağcılar Belediye Başkanlığına görüş sorulmuş olup Bağcılar Belediyesinin cevabi yazısında "BAG-60; Bağlar Mahallesi, 2842 ada içerisinde spor tesis alanı lejantına sahip alan olup, kuzeyinde bulunan park alanı ile birlikte Tarım Okulu projemiz mevcuttur. Otopark alanlarında Başkanlığımızla istişareli bir şekilde ve mevcut projelerimizle entegre edilerek tasarlanmak suretiyle, zemin altı otopark yapılmasında tarafımızca bir sakınca bulunmadığı anlaşılmaktadır." denilmektedir. Planlama çalışmaları için yapılan arazi gezisi ve Bağcılar Belediye Başkanlığı görüşü değerlendirilmesi sonucunda, alanda şahıs mülkiyeti olduğundan Emlak Müdürlüğünden görüş alınacak olup uzun vadede değerlendirilmesi  uygun görülmüştür.
ulaşım dairesi başkanlığı tarafından bağlar mahallesi mehmet akif caddesi üzerinde yer alan 2842 ada, 1-2-3-4-29-30 parseller ile 3134 ada, 4-6-10 parseller, 3138 ada, 4 parsel ve tescil dışı alanda bag-60 kodlu zemin altı otopark alanı planlanmıştır.söz konusu alan ile ilgili olarak; mülkiyet ve imar sorununun çözümlenmesi amacıyla ilçe belediyesi ile görüşülecek olup, konu planlama şube müdürlüğü ve emlak şube müdürlüğü’ne resmi yazı ile iletilecektir.</t>
  </si>
  <si>
    <t>41.0311755, 28.8252250</t>
  </si>
  <si>
    <t>Çiftlik Kavşağı Düzenlenmesi</t>
  </si>
  <si>
    <t>Çiftlik Kavşağı</t>
  </si>
  <si>
    <t>Köprülü Kavşak çözümüne yönelik ön proje çalışması devam etmektedir.</t>
  </si>
  <si>
    <t>41.043387, 28.848878</t>
  </si>
  <si>
    <t>Mahmutbey Cad. Üzerinde Katlı Kavşak Projeleri</t>
  </si>
  <si>
    <t>Mahmutbey Cad. Üzerinde Katkı Kavşak Projeleri; C.Başkanlığı Yatırım Programında</t>
  </si>
  <si>
    <t>Bağcılar İlçesi, Ateştuğla Köprülü Kavşağı Projesi kapsamında Bağcılar İlçesi, Mahmutbey ve Kirazlı Mahalleleri sınırları içerisinde yer alan Mahmutbey-İnönü Caddesi üzerinde Kuzey - Güney aksı boyunca devam eden ve Maslak Caddesi ve Bağcılar Asfaltı arası planlanan imar yoluna uygun hazırlanan projeler kapsamında yapılan çalışmalar ele alınmıştır. Projesi hazırlanan kavşak çevresinde konut, sosyal donatı alanları ve ticari faaliyetlerin bulunduğu alanlar planlanmaktadır. Belirtilen alanda yapımı planlanan Ateştuğla Kavşağı, Mahmutbey İnönü Caddesi’nin TEM Otoyolu ile bağlantısına yönelik planlanan alanda; yol güzergahı kent içerisinde sıkışmış, eğimli bir yüzeye sahiptir. Ayrıca kent içerisinde bulunan önemli ulaşım güzergahları üstünde yer almasından dolayı Mahmutbey İnönü Caddesi birçok kez sinyaller ile bölünmektedir. Bu sinyaller faz sayıları fazla ve süreleri uzun olduğu için bölge trafik akışında olumsuzluklara sebep olmaktadır. 25.04.2024 tarihli ve UTK2024/16-13 sayılı UTK kararı alınarak ön proje çalışmaları tamamlanmıştır. Proje kapsamında gereken kamulaştırmalar için kamulaştırma dosyası hazırlanmaktadır.</t>
  </si>
  <si>
    <t>Ön Projesi tamamlandı</t>
  </si>
  <si>
    <t>41.030813, 28.834491</t>
  </si>
  <si>
    <t>Bağcılar-Bakırköy-Bahçelievler Tavukçu Atıksu Tüneli;</t>
  </si>
  <si>
    <t>(9.931 m)</t>
  </si>
  <si>
    <t>41.027064, 28.847300</t>
  </si>
  <si>
    <t>Mehmet Akif Bulvarı, Şehit Teğmen Hüseyin Aksoy Caddesi, Hoca Ahmet Yesevi Caddeleri</t>
  </si>
  <si>
    <t>3,82 km isale hattı yapılması planlanmaktadır.</t>
  </si>
  <si>
    <t>41.029494, 28.847254</t>
  </si>
  <si>
    <t>15 Temmuz Mahallesi 1379.Sokak Zemin Altı Otopark Üzeri Park Projesi</t>
  </si>
  <si>
    <t>10.000,00 M² Kapalı Alan Öngörülmektedir.</t>
  </si>
  <si>
    <t>41.032519, 28.821650</t>
  </si>
  <si>
    <t>15 Temmuz Mahallesi Katlı Otopark Ve Pazar Yeri (3401 Ada / 23 Parsel)</t>
  </si>
  <si>
    <t>Parsel Alanı 4.261,25 M² Toplam İnşaat Alanı 13.184,00 M² 
Toplam Otopark Adeti 116 Araç</t>
  </si>
  <si>
    <t>41.0391, 28.8204</t>
  </si>
  <si>
    <t>Bağcılar Caddesi Prestij Cadde Düzenlemesi</t>
  </si>
  <si>
    <t>Bağcılar Caddesi Uzunluğu&amp;#58; 1924,14 M</t>
  </si>
  <si>
    <t>41.0303779, 28.8565249</t>
  </si>
  <si>
    <t>Barbaros Mahallesi Zeminaltı Otopark Ve Pazar Yeri (1245 Ada 2 Parsel211.Sokak)</t>
  </si>
  <si>
    <t>Arsa Alanı&amp;#58; 2.920 M² Oturum Alanı&amp;#58;2.293 M² Toplam İnşaat Alanı&amp;#58;9.606 M2 Toplam Otopark Adedi&amp;#58; 175 Araç</t>
  </si>
  <si>
    <t>İmar ve Şehircilik Daire Başkanlığı tarafından yapılan değerlendirmede Genel Sekreterlik Makamı Oluru doğrultusunda iptal edilmesi karara bağlanmış işler listesinde yer almaktadır. Bu sebeple İPTAL'e alınmıştır</t>
  </si>
  <si>
    <t>41.0242536, 28.8423274</t>
  </si>
  <si>
    <t>56fcff13-bf76-e711-80f3-005056a5354a</t>
  </si>
  <si>
    <t>Bağcılar Barbaros Mahallesi 211 Sokak ZOP (BAG-75)</t>
  </si>
  <si>
    <t>Dündar Uçar Lisesi Kapalı Spor Salonu</t>
  </si>
  <si>
    <t>Basketbol, Voleybol Sahaları, Soyunma Odaları Ve Islak Hacimler Bulunmaktadır.</t>
  </si>
  <si>
    <t>41.0391144, 28.8227432</t>
  </si>
  <si>
    <t>80059dc0-0805-ee11-b8d7-005056b0106f</t>
  </si>
  <si>
    <t>Modüler Özellikli Tip Kapalı Spor Salonu Projelerinin Hazırlanması</t>
  </si>
  <si>
    <t>Genç Osman Parkı Otopark Ve Pazar Alanı (1500 Ada 31 Parsel + Kadastral Boşluk Kemalpaşa Mahallesi)</t>
  </si>
  <si>
    <t>Arsa Alanı&amp;#58; 3.860 M² Oturum Alanı&amp;#58; 2.094 M² Toplam İnşaat Alanı&amp;#58; 8.755 M2 Toplam Otopark Adedi&amp;#58; 170 Araç</t>
  </si>
  <si>
    <t>​ilçe belediyesine yatırım programımızda olmadığı yazısı yazıldı.</t>
  </si>
  <si>
    <t>41.0478422, 28.8514600</t>
  </si>
  <si>
    <t>1edaada7-0646-e711-80f0-005056a5354a</t>
  </si>
  <si>
    <t>Bağcılar Gençosman Parkı Zeminaltı Otopark ve Pazar Alanı Projesi (BAG-49)</t>
  </si>
  <si>
    <t>Kirazlı Metro Zeminaltı Katlı Otopark Projesi</t>
  </si>
  <si>
    <t>Parsel Alanı&amp;#58; 35.000 M² Toplam İnşaat Alanı&amp;#58; 41.869 M² Toplam Otopark Adeti&amp;#58; 1003 Araç</t>
  </si>
  <si>
    <t>41.0323476, 28.8427843</t>
  </si>
  <si>
    <t>Sancaktepe Mahallesi Kapalı Pazar Yeri, Otopark Ve Kreş Projesi</t>
  </si>
  <si>
    <t>8.000,00 M² Kapalı Alan Öngörülmektedir</t>
  </si>
  <si>
    <t>plan olarak alanda taleplerden sadece zeminaltı otopark yapılabilir. kamulaştırma yapılması gerekmektedir</t>
  </si>
  <si>
    <t>41.0402960, 28.8610140</t>
  </si>
  <si>
    <t>Kirazlı-Güneşli Ve Kirazlı-Çiftlik Meydanı Hat Uzatma</t>
  </si>
  <si>
    <t>Raylı Sistem Talepleri. Kirazlı-Güneşli Ve Kirazlı-Çiftlik Meydanı Hat Uzatma Önerisi</t>
  </si>
  <si>
    <t>41.0323137, 28.8427708</t>
  </si>
  <si>
    <t>Yenibosna Sabit Pazar Ve Otopark Yapılması Projesi</t>
  </si>
  <si>
    <t>Otopark Ve Çevre Düzenlemesi</t>
  </si>
  <si>
    <t>ada parsel bilgisi olmadığından dolayı konum tespit edilememiştir. gerekli bilgilerin paylaşılması durumunda talep değerlendirilebilecektir.</t>
  </si>
  <si>
    <t>Soğanlı Meydan Trafiğine Çözüm</t>
  </si>
  <si>
    <t>Soğanlı Meydan Trafiğine Çözüm; Altında Tünel Yapılması</t>
  </si>
  <si>
    <t>*******Ulaşım Koordinasyon Şube Müdürlüğü tarafından Geometrik ve sirkülasyon çalışması devam etmektedir.*******
Bahse konu bölgede projelendirme çalışmaları devam etmekte olup alternatif proje ve kavşak sayımları gerçekleştirilmiştir. Alternatif proje kapsamında sirkülasyon ve geometrik düzenleme çalışmaları gerçekleştirilmiş olup trafikte yaşanan sorunların çözümlenmesi hedeflenmiştir. Mevcut durum ve alternatif proje simülasyon çalışmaları devam etmektedir.Tünel talep edilen imar yolunun plandaki 20 m. genişliğindeki yol kesitinin, altgeçit ve ayrıca üzerinde yapılacak servis yolları için yetersiz olacağı ön görülmekte olup, talep ön inceleme aşamasındadır.</t>
  </si>
  <si>
    <t>Progress %60</t>
  </si>
  <si>
    <t>41.01438601934697, 28.85673685417693</t>
  </si>
  <si>
    <t>Komik Hasan Efendi Otopark Projesi</t>
  </si>
  <si>
    <t>11.11.2024 tarihli 2083616 sayılı yazımız ile Bahçelievler  Belediye Başkanlığına, 11.11.2024 tarih ve 2083775 sayılı yazımız ile Raylı Sistem Dairesi Başkanlığına görüş sorulmuş, Raylı Sistem Dairesi Başkanlığının 06.12.2024 tarihli yazısında "yapılan inceleme neticesinde söz konusu parsel ve yakın çevresinin mevcut veya planlanan raylı sistem hatlarıyla bir etkileşimi bulunmamaktadır" denilmiştir. Bahçelievler  Belediye Başkanlığının görüşü beklenmektedir.</t>
  </si>
  <si>
    <t>40.99864351799216, 28.863344850574176</t>
  </si>
  <si>
    <t>Şirinevler Ataköy Tevfik Fikret Caddesi Bağlantı Yolu Yapılması Projesi</t>
  </si>
  <si>
    <t>şirinevler mithatpaşa caddesi’nden ataköy kavşağına bağlantı yolu yapılması projesi talebine ilişkin, ön proje çalışmaları devam eden ‘’d-100 karayolu ataköy kavşağı projesi’’ kapsamında çözüm sağlanacaktır.</t>
  </si>
  <si>
    <t>40.99399716580618, 28.84990728979498</t>
  </si>
  <si>
    <t>Yenibosna  Değirmenbahçe Kavşağı Bağlantı Kolu Genişletilmesi</t>
  </si>
  <si>
    <t>Kamulaştırma Ve Yol Açılması</t>
  </si>
  <si>
    <t>bahse konu olan bölge karayolları genel müdürlüğünün sorumluluğunda kalmakta olup ulaşım dairesi başkanlığının 30.07.2018 tarihli ve 2266 sayılı yazısı gereği değirmenbahçe kavşağında köprünün her iki yanında yapılan ilave köprülerle genişletilerek ayrılma katılma şeritlerinin ve yaya geçişlerinin sağlanması için 02.08.2018 tarihinde utk2018/30-87 sayılı karar alınmıştır. ulaşım dairesi başkanlığı tarafından projenin güncel duruma göre revize edilme ve karayolları genel müdürlüğü ile ihale süreci devam etmektedir.</t>
  </si>
  <si>
    <t>41.00968458345853, 28.813481905926615</t>
  </si>
  <si>
    <t>Yenibosna Merkez Mahallesi Katlı Otopark Yapılması Projesi</t>
  </si>
  <si>
    <t>*****11.11.2024 tarihli ve 2083616 tarihli yazımız ile Bahçelievler Belediyesine görüş sorulmuş olup cevap beklenmektedir.*****
ulaşım dairesi başkanlığı tarafından çeşme 3 sokak üzerinde tescil dışı alanda bah-36 kodlu zemin altı otopark alanı planlanmıştır.söz konusu alan ile ilgili olarak; ilçe belediyesi ile görüşülecek olup, alan etüd ve projeler dairesi başkanlığı’na resmi yazı ile proje yapılması için iletilecektir.</t>
  </si>
  <si>
    <t>41.0113469, 28.8183956</t>
  </si>
  <si>
    <t>Yayla Kültür Merkezi Alanına Katlı Otopark Talebi; Nikah Salonu Yanı, İlçe Mülkiyeti, (Piramit)</t>
  </si>
  <si>
    <t>41.00021419773862, 28.86187441807724</t>
  </si>
  <si>
    <t>Sahil Çukur Parkı Yenileme İşi</t>
  </si>
  <si>
    <t>3900 M²</t>
  </si>
  <si>
    <t>40.976638, 28.881772</t>
  </si>
  <si>
    <t>Rönepark  Yenileme İşi</t>
  </si>
  <si>
    <t>10.000 M²</t>
  </si>
  <si>
    <t>40.957355, 28.832032</t>
  </si>
  <si>
    <t>Naima Sokak Parkı Yenileme İşi</t>
  </si>
  <si>
    <t>1451 M²</t>
  </si>
  <si>
    <t>40.958164, 28.814658</t>
  </si>
  <si>
    <t>Hüdaverdi Parkı Yenileme İşi</t>
  </si>
  <si>
    <t>1681 M²</t>
  </si>
  <si>
    <t>40.991959, 28.868390</t>
  </si>
  <si>
    <t>Halit Ziya Uşaklıgil Parkı Yenileme İşi</t>
  </si>
  <si>
    <t>3443 M²</t>
  </si>
  <si>
    <t>40.957830, 28.822662</t>
  </si>
  <si>
    <t>Maliye Lojmanları Parkı Yenileme İşi</t>
  </si>
  <si>
    <t>390 M²</t>
  </si>
  <si>
    <t>40.982798, 28.854124</t>
  </si>
  <si>
    <t>A1 Blok Parkı Yenileme İşi</t>
  </si>
  <si>
    <t>164 M²</t>
  </si>
  <si>
    <t>40.987361, 28.845204</t>
  </si>
  <si>
    <t>Bakırköy İlçesi Osmaniye Mahallesi, 192 ada 9, 20 ve 21 parselde Belediye Hizmet Birimleri Giriş Takları Projesi, İç Mimari Projesi, Yönlendirme, Bilgilendirme Elemanlarının ve Kurumsal Kimlik Tasarımları</t>
  </si>
  <si>
    <t>​Söz konusu alanda Belediye hizmet binaları ve bir adet kreş projesi tasarlanmıştır.</t>
  </si>
  <si>
    <t>Bakırköy Florya Kapalı Spor Salonu ve Yüzme Havuzu Projesi</t>
  </si>
  <si>
    <t>(540/11Florya caddesi)</t>
  </si>
  <si>
    <t>40.9598387, 28.8341207</t>
  </si>
  <si>
    <t>81e8d5ea-89f2-ef11-b90e-005056b0106f</t>
  </si>
  <si>
    <t>Bakırköy 1082 ada 85 parsel Sosyal ve Kültürel Tesis Alanı( yurt )</t>
  </si>
  <si>
    <t>Ortalama Toplam İnşaat Alanı 1628 M²</t>
  </si>
  <si>
    <t>İlçe Görüşmeleri Devam Ediyor
Kreş Ve Kültür Merkezi Yapılması İşi (1082 ada 85 parsel Kartaltepe Mahallesi Yanık Ses sk.)</t>
  </si>
  <si>
    <t>40.980802, 28.881240</t>
  </si>
  <si>
    <t>7f2ff618-d7f8-ef11-b911-005056b0106f</t>
  </si>
  <si>
    <t>Bakırköy İlçesi Yenimahalle Mahallesi 1082 Ada 85 Parsel Yurt ve Otopark Projesi</t>
  </si>
  <si>
    <t>Asm Ve Gençlik Merkezi Yapılması İşi</t>
  </si>
  <si>
    <t>Ortalama İnşaat Alanı 3500 M²</t>
  </si>
  <si>
    <t>imar planı uyumsuzluğunun giderilmesi gerekmekte olup ilçe belediyesinden gelen ihtiyaç programına göre proje çalışmasına başlanacaktır</t>
  </si>
  <si>
    <t>40.981081, 28.873722</t>
  </si>
  <si>
    <t>Diğer İdari Kurumlar</t>
  </si>
  <si>
    <t>Metrokent Arac Üstgeçidi (Kanuni Sultan Suleyman Cad.) Köprü Derz Değişimi İşi</t>
  </si>
  <si>
    <t>41.1054233, 28.8015653</t>
  </si>
  <si>
    <t>Depozito Kavşağı Köprü Derz Değişimi İşi</t>
  </si>
  <si>
    <t>41.069928, 28.810084</t>
  </si>
  <si>
    <t>Hasanoğlu Deresi Peyzaj Tasarım Projesi</t>
  </si>
  <si>
    <t>41.0621398, 28.7570399</t>
  </si>
  <si>
    <t>Başakşehir İlçesi İkitelli-1 Mahallesi Otogar Konsept Projesi</t>
  </si>
  <si>
    <t>​Peronlar, Hizmet Birimle​​ri, Yolcu Konaklama Tesisi, Otopark, İdari Birimler, Destek Hizmet Birimleri, Teknik hacimler, Depo ​</t>
  </si>
  <si>
    <t>Başakşehir İlçesi İkitelli-1 Mahallesi Otogar Konsept Projesi (2125-3635-3637-6354 parsellerin bir kısmıBaşakşehir İlçesi, İkitelli-1 Mahallesi, 06 07 Bağlantı Kavşağı Yanı)</t>
  </si>
  <si>
    <t>41.11973286, 28.82454426</t>
  </si>
  <si>
    <t>9bdcc7c3-29ae-ee11-b8e6-005056b0106f</t>
  </si>
  <si>
    <t>Ispartakule-Bahçeşehir Viyadük Ve Yol Düzenlenmesi</t>
  </si>
  <si>
    <t>Ispartakule-Bahçeşehir Viyadük Ve Yol</t>
  </si>
  <si>
    <t>41.059373, 28.698579</t>
  </si>
  <si>
    <t>K8 Kavşağı Düzenlenmesi</t>
  </si>
  <si>
    <t>K8 Kavşağı</t>
  </si>
  <si>
    <t>41.1134123, 28.7910434</t>
  </si>
  <si>
    <t>Kayaşehir-Şamlar Bağlantı Yolu Düzenlenmesi</t>
  </si>
  <si>
    <t>Kayaşehir-Şamlar Bağlantı Yolu</t>
  </si>
  <si>
    <t>41.104676, 28.760949</t>
  </si>
  <si>
    <t>Mudanya Caddesi Düzenlenmesi</t>
  </si>
  <si>
    <t>Mudanya Caddesi Vb.</t>
  </si>
  <si>
    <t>41.120869, 28.792559</t>
  </si>
  <si>
    <t>Mustafa Kemal Paşa-Oyakkent Bağlantı Yolu</t>
  </si>
  <si>
    <t>41.1244939, 28.8029952</t>
  </si>
  <si>
    <t>Akıllı Kavşak Sistemi İle Akıllı Duraklar Yapılması</t>
  </si>
  <si>
    <t>6 Adet Kavşak, 20 Adet Durak Mevcutta 9 adet Akıllı durak olup, devam eden ihale kapsamında 2 adet yeni nesil akıllı durağın montajı planlanmaktadır. Bu kapsamda Ön Keşif, Alt yapı ve Montaj işlemleri gerçekleştirilecektir.</t>
  </si>
  <si>
    <t>Bayrampaşa İlçemizde 9 adet akıllı durağımız mevcutta bulunmakta olup 2 adet Yeni nesil Akıllı durak için Alt yapı ve Montaj işlemleri 2025 yılı içerisinde planlanmaktadır.</t>
  </si>
  <si>
    <t>41.035404, 28.910939</t>
  </si>
  <si>
    <t>100. Yıl Caddesi İle Millet Caddesi Kesişimine Ulaştırma Kavşağı Yapılması İşi</t>
  </si>
  <si>
    <t>Kavşak Yapılması</t>
  </si>
  <si>
    <t>----------Bahse konu proje Ulaşım Koordinasyon Şube Müdürlüğü tarafından çalışılmamaktadır.-------
bölgenin trafik sirkülasyonunu sağlamak adına millet caddesi ve 100. yıl caddesi kesişimi kısmında sanat yapılı ön proje çalışması tamamlanmıştır. projenin uygulaması konusunda gerekli olan kamulaştırma süreçleri taraflarca hukuk mecrasına taşınmıştır. bu süreç tamamlanana kadar geçici bir hemzemin sirkülasyon projesi temmuz ayı sonuna kadar tamamlanacaktır. ön proje, uygulama projesi, varsa kamulaştırma, imalatla birlikte projenin tamamlanması tahmini olarak 2029 yılına kadar sürecektir.</t>
  </si>
  <si>
    <t>41.06875404656956, 28.886534200073015</t>
  </si>
  <si>
    <t>Altıntepsi Mah. Atölye Ve Garajlar Alanına Zeminaltı Otopark Ve Bilim Parkı Yapılması</t>
  </si>
  <si>
    <t>Tüm Kapsamlarıyla Zeminaltı Otopark Yapılması</t>
  </si>
  <si>
    <t>***13.11.2024 tarih ve 2088276 sayılı yazımız ile Bayramapaşa Belediye Başkanlığına görüş sorulmuş olup cevap beklenmektedir.  Bayramapaşa Belediye Başkanlığı görüşü doğrultusunda değerlendirilerek, proje çalışmaları için Etüd ve Projeler Dairesi Başkanlığına iletilmesi yönünde süreç başlatılacaktır.
ulaşım dairesi başkanlığı tarafından özkan caddesi üzerinde yer alan 347 parselin bir kısmında ve 23198 parselde bay-28 kodlu zemin altı otopark alanı planlanmıştır.&amp;nbsp;&amp;nbsp;&amp;nbsp;&amp;nbsp;&amp;nbsp;&amp;nbsp;&amp;nbsp;&amp;nbsp; söz konusu alan ile ilgili olarak;&amp;nbsp; ilçe belediyesi ile görüşülecek olup, sonrasında alanda projesi çalışılması hususunda etüd ve projeler dairesi başkanlığı’na resmi yazı ile iletilecektir.</t>
  </si>
  <si>
    <t>41.0358002, 28.9002654</t>
  </si>
  <si>
    <t>Bayrampaşa Sebze Hali İdari Binası Yaya Üst Geçit Projesi</t>
  </si>
  <si>
    <t>41.0523499, 28.8875929</t>
  </si>
  <si>
    <t>Sağmalcılar Metro İstasyonu Yaya Girişinin Yeniden Düzenlenerek Engelliye Uygun Hale Getirilmesi</t>
  </si>
  <si>
    <t>Yaya Geçidinin Yenilenmesi</t>
  </si>
  <si>
    <t>41.0408019, 28.9073224</t>
  </si>
  <si>
    <t>Bayrampaşa Kocatepe Mahallesi 0 ada 1116 parsel Spor Kompleksi Projesi</t>
  </si>
  <si>
    <t>Sosyal Tesis Ve Hizmet Binası Yapmak</t>
  </si>
  <si>
    <t>41.0382223, 28.9153183</t>
  </si>
  <si>
    <t>f56a0bf2-8af2-ef11-b90e-005056b0106f</t>
  </si>
  <si>
    <t>Ikea Arkası Belediye Hizmet Birimleri Binası İnşaatı Ve Üzeri Park İnşaatı-Tamamlanması</t>
  </si>
  <si>
    <t>Kaba İnşaatı İle Temizlik İşleri Müdürlüğüne Ait Birimler Tamamlanmış Olup, Fen İşleri Müdürlüğü İle Ulaşım Hizmetleri Müdürlüğünün Tamamlanması Ve Bina Üzerinin Peyzaj Projesine Göre Park, Otopark Ve Spor Sahalarının Tamamlanarak Hizmete Alınması</t>
  </si>
  <si>
    <t>41.0451542, 28.8978164</t>
  </si>
  <si>
    <t>İston Arazisine Bayrampaşa Kültür Merkez Yapılması İşi (Mevcut Proje Revizesi) (3279 ada 4 parsel)</t>
  </si>
  <si>
    <t>Tüm Detayları İle Kültür Merkezi İnşaatı</t>
  </si>
  <si>
    <t>proje alanı kültür tesis alanında kalmakta olup; iston’un başka bir alana taşınması halinde, toplam inşaat alanı yaklaşık 35.000 m² olmak üzere kütüphane, halk eğitim merkezi, sergi salonu, sanat galerisi, müze, konser, konferans, kongre salonları, sinema, tiyatro ve opera gibi fonksiyonların yer aldığı proje çalışması yapılabilir.</t>
  </si>
  <si>
    <t>41.0297992, 28.9209593</t>
  </si>
  <si>
    <t>Otogar Alanının Teknoloji Üssü Yapılması</t>
  </si>
  <si>
    <t>Teknoloji Merkezi İnşaatı</t>
  </si>
  <si>
    <t>otogarın taşınması ve plan sorununun çözülmesi sonucunda projelendirilebilir.</t>
  </si>
  <si>
    <t>41.03996484106537, 28.894484179371158</t>
  </si>
  <si>
    <t>Bilim Merkezi</t>
  </si>
  <si>
    <t>Ali Paşa Su Kemerinin Restore Edilmesi</t>
  </si>
  <si>
    <t>Tarihi Dokunun Aslına Uygun Olarak Restorasyonu</t>
  </si>
  <si>
    <t>İski mülkiyetindedir. Protokol yapılması kapsamında çalışmalara başlanabilir.</t>
  </si>
  <si>
    <t>41.0571734, 28.8883150</t>
  </si>
  <si>
    <t>36e62bc6-14d7-ea11-b857-005056b0156e</t>
  </si>
  <si>
    <t>Ali Paşa Su Kemeri Rölöve Projesi</t>
  </si>
  <si>
    <t>Su Kemeri</t>
  </si>
  <si>
    <t>İMAR VE ŞEHİRCİLİK DAİRESİ BAŞKANLIĞI</t>
  </si>
  <si>
    <t>Şehir Planlama Şube Müdürlüğü</t>
  </si>
  <si>
    <t>Adapark ın Geleceği Konusu</t>
  </si>
  <si>
    <t>Adapark’In Geleceği Konusunda Tüm Hukuki İmkanların Masaya Yatırılması; Seçeneklerin Ve İzlenecek Yol Haritasının Belirlenmesi</t>
  </si>
  <si>
    <t>Konu Hakkında Daire Başkanlığımız tarafından girillmiş bir bilgi bulunmamaktadır Ada Parkın bulunduğu alanlarda plan çalışmamız bulunmamaktadır</t>
  </si>
  <si>
    <t>41.0645794, 28.8874091</t>
  </si>
  <si>
    <t>Cevatpaşa 100. Yıl Kavşağı Düzenlenmesi</t>
  </si>
  <si>
    <t>Cevatpaşa 100. Yıl Kavşağı</t>
  </si>
  <si>
    <t>Ön Proje Aşamasında</t>
  </si>
  <si>
    <t>41.06797757657468, 28.883024669257118</t>
  </si>
  <si>
    <t>Muhtelif Projelerin Bütüncül Ele Alınması</t>
  </si>
  <si>
    <t>Tem Üstü Meydan, Belediye Önü Altgeçit Ve Meydan Düzenleme, İsmetpaşa Dönüşüm Alanı 2. Etap Vb. Bütüncül Ele Alınması</t>
  </si>
  <si>
    <t>Atıl Alanların Dönüşümü Atölyeleri  Projesi (Gaziosmanpaşa İlçesi Küçükköy Mahallesi Ş.Sezer Öncel Caddesi üzeri İBB mülkiyeti parseller (3166/1,3177/11,3178/4,3176/1,3176/11 parseller) Bayrampaşa İlçesi Sağmacılar Mahallesi Ayancık Sokak İBB mü</t>
  </si>
  <si>
    <t>Çoklu İlçe; Bayrampaşa; Gaziosmanpaşa</t>
  </si>
  <si>
    <t>41.076918481309484, 28.90998279905351</t>
  </si>
  <si>
    <t>d7b1cdc3-9991-ed11-b8c7-005056b0106f</t>
  </si>
  <si>
    <t>Atıl Alanların Dönüşümü Atölyeleri  Projesi</t>
  </si>
  <si>
    <t>Beşiktaş İlçesi Levazım Mahallesi Engelli Rehabilitasyon Merkezi Avan Projesi</t>
  </si>
  <si>
    <t>​Yüzme Havuzu (91,4&amp;#160;M2), Hidroterapi Havuzu (29,7&amp;#160;M2), Atölye (6&amp;#160;Adet), Jimnastik Salonu (21,14 M2), İdari Ofis (4 Adet, 11 M2), Etkinlik Salonu (120 M2), Yemek Salonu (165 M2),&amp;#160;Kafe (68,8 M2)​, Sınıf (4 Adet, 20 M2), Oyun Alanı (2 Adet), Duyu Bütünleme Sınıfı (22,2 M2), Fizik Tedavi Odası (32,4 M2), Öğretmen Odası (22,8 M2), Danışma/Sergi (148,7 M2),&amp;#160;Danışma/Sergi (108,2&amp;#160;M2)</t>
  </si>
  <si>
    <t>(1570 ada 37 parsel)</t>
  </si>
  <si>
    <t>41.0640612, 29.0190191</t>
  </si>
  <si>
    <t>2da80975-0182-ee11-b8e1-005056b0106f</t>
  </si>
  <si>
    <t>Beşiktaş İlçesi Levazım Mahallesi Engelli Rehabilitasyon Yaşam Merkezi Projesi</t>
  </si>
  <si>
    <t>Ulus Parkı</t>
  </si>
  <si>
    <t>Projenin uygulamasına başlandı, ancak kurul süreci ile birimimize bağlı olmayan nedenlerden dolayı tahimini bitiş tarihi verilememektedir.</t>
  </si>
  <si>
    <t>41.0638915, 29.0324664</t>
  </si>
  <si>
    <t>125e0684-5211-ec11-b87e-005056b0336f</t>
  </si>
  <si>
    <t>Cumartesi Pazarı Projesi</t>
  </si>
  <si>
    <t>Cumartesi Pazarı Projesi; Gayrettepe İstasyonu Üstü Yapı</t>
  </si>
  <si>
    <t>41.069223698331534, 29.011020303240773</t>
  </si>
  <si>
    <t>Mezarlık Alanlarının Yapım ve Bakım-Onarımı</t>
  </si>
  <si>
    <t>Elmalı Toygar Mezarlığı Onarım ve Tadilatı</t>
  </si>
  <si>
    <t>41.1292120, 29.1504498</t>
  </si>
  <si>
    <t>Elmalı Merkez Mezarlığı Onarım ve Tadilatı</t>
  </si>
  <si>
    <t>41.14122158765303, 29.12336873720137</t>
  </si>
  <si>
    <t>Dereseki Mahallesi Mezarlığı Onarım ve Tadilatı</t>
  </si>
  <si>
    <t>41.1509113285085, 29.119932767633575</t>
  </si>
  <si>
    <t>Beykoz İlçesi Yuşa Mezarlığı Duvar Projesi</t>
  </si>
  <si>
    <t>​1565 m uzunluğunda mezarlık etrafı duvar projesidir. Duvar yüzey alanı 2093 m2'dir</t>
  </si>
  <si>
    <t>41.1579952638066, 29.086815697541653</t>
  </si>
  <si>
    <t>7e29beb2-3899-4be1-94c7-b417a8437cb7</t>
  </si>
  <si>
    <t>Beykoz İlçesi Paşabahçe Mezarlığı Duvar Projesi</t>
  </si>
  <si>
    <t>​307 m uzunluğunda mezarlık etrafı duvar projesidir. Duvar yüzey alanı 816,62 m2'dir.</t>
  </si>
  <si>
    <t>41.114465729479, 29.098075595239226</t>
  </si>
  <si>
    <t>5f2127ff-167f-4344-89fe-f33e5f829294</t>
  </si>
  <si>
    <t>BİLGİ İŞLEM DAİRESİ BAŞKANLIĞI</t>
  </si>
  <si>
    <t>Akıllı Şehir Şube Müdürlüğü</t>
  </si>
  <si>
    <t>Akıllı Şehir Uygulamaları</t>
  </si>
  <si>
    <t>4D Akıllı Tarım Teknolojileri Sistemi</t>
  </si>
  <si>
    <t>İstanbul Büyükşehir Belediyesi İş Birliği İle, Beykoz Pilot Bölgesinde Üreticilerin Tarımsal Üretim Süreçlerinde Olumsuz Meteorolojik Koşullar, Hastalık-Zararlılar Ve Sulamaya Karşı Tedbir Önlemleri Konusunda Uyarılacakları Ve Bilgilendirilecekleri ‘’Tarımsal Teknoloji Bilgi Sistemleri’’ Veri Tabanını Kurmak.</t>
  </si>
  <si>
    <t>İlçe Belediyesinin talebinin net olarak anlaşılması ve ihtiyaç analizinin yapılaması sonucunda, nesnelerin İnterneti (IoT) teknolojileri kullanılarak tarımsal üretim süreçlerine dair verilerin elde edilerek bir veritabanı platformunda işlenerek görüntülenmesi sağlanabilir. Tarımsal Hizmetler DB ve ilçe belediyesi ile koordinasyon halinde süreç yönetimi gerçekleştirilebilir.&amp;#160;​</t>
  </si>
  <si>
    <t>41.12677793227008, 29.097540466048144</t>
  </si>
  <si>
    <t>MUHTARLIK İŞLERİ DAİRESİ BAŞKANLIĞI</t>
  </si>
  <si>
    <t>Muhtarlıklar Destek Hizmetleri Şube Müdürlüğü</t>
  </si>
  <si>
    <t>5 Muhtarlık Binasının Yeniden Yapılması /Tadilatı</t>
  </si>
  <si>
    <t>30 M² X 5 = 150 M²</t>
  </si>
  <si>
    <t xml:space="preserve">İlçe Yatırım Teklifleri aracılığıyla iletilen, Beykoz sınırlarındaki "5 Muhtarlık Binasının Yeniden Yapılması / Tadilatı" projesinde bahse konu muhtarlık yerleri Çiğdem, Paşamandıra, Polonezköy, Elmalı ve Örnekköy Mahallerine aittir. 
Çiğdem Mahallesine yapılan ön keşifte hafif bakım onarım işleri olduğu gözlemlenmiş, tarafımızca yeniden yapılmasına gerek olmadığına kanaat getirilmiştir. Ancak 2025 yılı içerisinde muhtarın, yeni hizmet binası talebi devam etmektedir. Talep 2025 yılı için planlama aşamasındadır.
Elmalı, Örnekköy ve Pşamandıra mahallelerinin muhtarlık binalarının keşif çalışması tamamlanmış, yeni hizmet binası yapımı uygun görülmemiştir. Bakım onarım talebi, 2025 yılı planlamasına alınmıştır.
Polonezköy Mahallesi muhtarlık yeri ve muhtarlık binası yapımı talebi 2025 yılı planlamasına alınmıştır. </t>
  </si>
  <si>
    <t>41.13727822015305, 29.094127181658756</t>
  </si>
  <si>
    <t>Afis Konteyneri</t>
  </si>
  <si>
    <t>Mahalle Afet İstasyonu</t>
  </si>
  <si>
    <t>41.1339460, 29.0917275</t>
  </si>
  <si>
    <t>Ahmet Mithat Efendi Kültür Merkezinin Sağlıklaştırılması.</t>
  </si>
  <si>
    <t>1.000 Kişilik Gösteri Merkezi Oluşturulması</t>
  </si>
  <si>
    <t>41.08092625191445, 29.078216618249225</t>
  </si>
  <si>
    <t>Baruthane Parkı Revizesi</t>
  </si>
  <si>
    <t>Saha Tanzim İşleri</t>
  </si>
  <si>
    <t>41.0773736, 29.0756392</t>
  </si>
  <si>
    <t>SAĞLIK DAİRESİ BAŞKANLIĞI</t>
  </si>
  <si>
    <t>Bağımlılıkla Mücadele ve Rehabilitasyon Şube Müdürlüğü</t>
  </si>
  <si>
    <t>Beykoz Bahar</t>
  </si>
  <si>
    <t>6.000M2 – 8.000M2 Si Kapalı Alan, Geri Kalanı Açık Alan Olmak Üzere Toplam 15.000M2 - 20.000M2’Lik Bir Alanın Gerekli Olduğu Düşünülmektedir. Bu Alanda İdari Bölüm, Tedavi Bölümü, Sosyal Alanlar, Rehabilitasyon Alanları, Spor Alanları, Yürüyüş Alanları Gibi Birimler olması planlanmaktadır.</t>
  </si>
  <si>
    <t>Beykoz BAHAR projesi, tıbbi tedavi merkezlerinin Sağlık Bakanlığı yetkisinde olması nedeniyle gerçekleştirilemeyecektir. Proje ilerleyen süreçlerde yer tahsisi yapılırsa Beykoz SUDEM olarak revize edilebilir</t>
  </si>
  <si>
    <t>iptal</t>
  </si>
  <si>
    <t>41.1333831, 29.1052745</t>
  </si>
  <si>
    <t>Akbaba Sosyal Ve Kültürel Tesis Projesi</t>
  </si>
  <si>
    <t>Kentsel Tasarım Ve Mimari Proje</t>
  </si>
  <si>
    <t>41.1524054, 29.1168810</t>
  </si>
  <si>
    <t>Beykoz Çocuk Kreşi - 10 Adet (Çubuklu Mahallesi, Çengeldere Mahallesi, Yavuz Selim Mahallesi, Görele Mahallesi,Çiftlik Mahallesi)</t>
  </si>
  <si>
    <t>5000 M2   (500 X10 Adet) 184 ada 45 parsel1471 ada 30-33 parsel1745 ada 38 parsel1690 ada 30-32 parsel1637 ada 32 parsel1745 ada 36-39 parsel119 ada 20 parsel142 ada 56 parsel1611 ada 34 parsel184 ada 81 parsel1624 ada 3 parsel</t>
  </si>
  <si>
    <t>41.101564518108404, 29.085075280356964</t>
  </si>
  <si>
    <t>Beykoz Engelsiz Yaşam Merkezi</t>
  </si>
  <si>
    <t>3000 M2</t>
  </si>
  <si>
    <t>41.122752941543396, 29.10020318421734</t>
  </si>
  <si>
    <t>Beykoz Kadın El Sanatları Merkezi</t>
  </si>
  <si>
    <t>500 M2</t>
  </si>
  <si>
    <t>41.13441107133307, 29.097818796468562</t>
  </si>
  <si>
    <t>Sanat Merkezi</t>
  </si>
  <si>
    <t>Beykoz Kadın Konukevi</t>
  </si>
  <si>
    <t>1000 M2</t>
  </si>
  <si>
    <t>41.1341294748045, 29.094254232164026</t>
  </si>
  <si>
    <t>Beykoz Pazarının Kapalı Yeraltı Otoparkı Yapılıp Üzerine Pazar Yapılması.</t>
  </si>
  <si>
    <t>9.000 M² İnşaat Alanı</t>
  </si>
  <si>
    <t>41.14015629099194, 29.085387996468942</t>
  </si>
  <si>
    <t>Beykoz Süt Toplama Tesisi</t>
  </si>
  <si>
    <t>İstanbul Büyükşehir Belediyesi İş Birliği İle, Beykoz’Daki Küçükbaş Ve Büyükbaş Hayvanları Olan Üreticilerden Çiğ Sütlerin Toplanarak Gıda Güvenliğine Uygun Olanların İbb Halk Süt Tesisine Ulaştırılmasını Sağlamak</t>
  </si>
  <si>
    <t>41.11906791730656, 29.10425844007775</t>
  </si>
  <si>
    <t>Ekolojik Tarım</t>
  </si>
  <si>
    <t>Beykoz Yaşlı Gündüz Bakımevi</t>
  </si>
  <si>
    <t>41.0964711, 29.0724049</t>
  </si>
  <si>
    <t>Coğrafi Bilgi Sistemleri Ve Akıllı Şehir Uygulamaları Geliştirme Platformu</t>
  </si>
  <si>
    <t>Bir Çok Veri Setinin Birleştirilmesi</t>
  </si>
  <si>
    <t>Söz konusu talebe dair ihtiyaç analizi yapılarak, sonuçlarının değerlendirilmesi sonrasında süreç planlaması yapılabilir.​</t>
  </si>
  <si>
    <t>41.1253766, 29.0983977</t>
  </si>
  <si>
    <t>Beykoz da Teknopark Yapılması</t>
  </si>
  <si>
    <t>2.000 M² Alan</t>
  </si>
  <si>
    <t>İBB bünyesinde faaliyet gösteren Tech Istanbul Girişimcilik ve Teknoloji Merkezlerinin önümüzdeki dönemde sayısının arttırılması planlanmakta olup; ilçe belediyesi tarafından uygun bir alan tahsis edilmesi sonrasında hayata geçirilecek merkezde ilçe belediyesi ile ortaklaşa çalışmalar yürütülebilir.</t>
  </si>
  <si>
    <t>41.1237559, 29.1018404</t>
  </si>
  <si>
    <t>Atık Yönetimi Şube Müdürlüğü</t>
  </si>
  <si>
    <t>Çevre Bilincinin Geliştirilmesi</t>
  </si>
  <si>
    <t>Gezici Sıfır Atık Eğitim Merkezi</t>
  </si>
  <si>
    <t>Otobüs Tipi Bir Araç Tedarik Edilerek Bu Araç Projeye Hizmet Edecek Şekilde Tasarlanacaktır.</t>
  </si>
  <si>
    <t>Çevre Koruma ve Kontrol Dairesi Başkanlığımız tarafından tüm ilçelere yerinde hizmet verebilmek için mobil, ayrıca yapılacak olan fizibilite çalışmaları sonucuna göre belirlenecek lokasyonda sabit olmak üzere iklim değişikliği ve sıfır atık eğitim merkezi kurulması planlanmaktadır.2423, 2425 ve 2790 kimlik numaralı projelerin hepsi için geçerlidir.</t>
  </si>
  <si>
    <t>41.1979929, 29.1680409</t>
  </si>
  <si>
    <t>Göksu Evleri Girişi Ve Medipol Üniversitesi Kavşağı Çevre Düzenlemesi</t>
  </si>
  <si>
    <t>Çevre Düzenlemesi</t>
  </si>
  <si>
    <t>41.082417004001805, 29.085941987887853</t>
  </si>
  <si>
    <t>İklim Değişikliği Ve Sıfır Atık Merkezi</t>
  </si>
  <si>
    <t xml:space="preserve">"İlçe Merkezine Yakın Bir Mevkide Hayata Geçirilecek Olan Projede, İlçe Genelindeki Tüm Öğrencilere Eğitim Verilecek, Teknik Geziler Düzenlenecek, Çeşitli Atölyeler Kurularak Gençlerin Sürekli Vakit Geçirebileceği Alanlar Oluşturulacaktır. 
Merkezde Yer Alacak Tüm Yapı Ve Ekipmanlar Geri Dönüştürülmüş Atıklar Kullanılacak Şekilde Tasarlanıp Üretilecektir."
</t>
  </si>
  <si>
    <t>Çevre Koruma ve Kontrol Dairesi Başkanlığımız tarafından tüm ilçelere yerinde hizmet verebilmek için mobil, ayrıca yapılacak olan fizibilite çalışmaları sonucuna göre belirlenecek lokasyonda sabit olmak üzere iklim değişikliği ve sıfır atık eğitim merkezi kurulması planlanmaktadır. 2423, 2425 ve 2790 kimlik numaralı projelerin hepsi için geçerlidir.</t>
  </si>
  <si>
    <t>41.088808265857715, 29.088622267024547</t>
  </si>
  <si>
    <t>İnşaat Atıkları Geri Kazanım Merkezi</t>
  </si>
  <si>
    <t>Çevre Kirliliğine Neden Olmayacak Ve İlçe Sakinlerini Olumsuz Yönde Etkilemeyecek Olan Bir Alanda Kurulacak Olan Tesis İle Kentsel Dönüşüm Ve Diğer İnşaat Faaliyetleri Neticesinde Oluşan Bu Atıkların Tekrar Kullanımı Sağlanacaktır.</t>
  </si>
  <si>
    <t>İl Mahalli Çevre Kurulu Kararı alınması,&amp;#160; Fizibilite Raporunun hazırlanması ve ÇED Kararı alınması süreciyle ilgili teknik şartname hazırlanmış, ilgili firmalardan teklif alınmıştır. Yapılan teklif Mali Hizmetler Daire Başkanlığına sunulmuş ve bütçe onayı alınmıştır.​</t>
  </si>
  <si>
    <t>41.047889796931294, 28.934085183651572</t>
  </si>
  <si>
    <t>Tarihi Çeşmelerin İhya Projesi</t>
  </si>
  <si>
    <t>Rölöve, Restitüsyon, Restorasyon</t>
  </si>
  <si>
    <t>Beykoz Belediyesi ile yapılacak İBB Miras protokolünün tamamlanmasının ardından çalışmalara başlanılacaktır.</t>
  </si>
  <si>
    <t xml:space="preserve"> 41.117057848658405, 29.099438466525378 </t>
  </si>
  <si>
    <t>Çeşme</t>
  </si>
  <si>
    <t>Ortaçeşme Meydanı Düzenlemesi Revizyonu</t>
  </si>
  <si>
    <t>Yaya Meydanı Ve Yapıların Tadilatı</t>
  </si>
  <si>
    <t>Utk2012/39-22 Kararlı Projesi Bulunmaktadır. Ancak 'Revize' Talep İçin Projelendirmeler Yapıldıktan Ve Ulaşım Dairesi Başkanlığına İletildikten Sonra Dairemiz Tarafından Revize Utk Kararı Alınacaktır.</t>
  </si>
  <si>
    <t>41.14789267133135, 29.087234767633344</t>
  </si>
  <si>
    <t>Tekke Mevkii Yol Ve Çevre Düzenlemesi</t>
  </si>
  <si>
    <t>Cadde Ve Yol Düzenleme</t>
  </si>
  <si>
    <t>Ulaşım Koordinasyon Şube Müdürlüğü tarafından Çalışma Devam etmektedir. Devam etmektedir Progress %10</t>
  </si>
  <si>
    <t>41.0972031, 29.0758012</t>
  </si>
  <si>
    <t>Çiftlik Meydan Düzenlemesi 2.Etap</t>
  </si>
  <si>
    <t>41.08129878406417, 29.141962147342067</t>
  </si>
  <si>
    <t>Yoros Kalesine Ait Rölövenin Hazırlanması</t>
  </si>
  <si>
    <t>Mahkeme süreci devam etmektedir.</t>
  </si>
  <si>
    <t>41.1778524, 29.0958370</t>
  </si>
  <si>
    <t>3a73dc5f-b58b-eb11-b875-005056b0156e</t>
  </si>
  <si>
    <t>Vektör Mücadele Şantiyesi</t>
  </si>
  <si>
    <t>313 Km² Alanda Vektör Mücadelesi İçin 300 M²’Lik Hizmet Binası Ve Minimum 10 Araçlık Şantiye Kurulumu Gerekmektedir. Tahmini Gerçekleşme Süresi 6 Aydır.</t>
  </si>
  <si>
    <t>41.1165443, 29.1370692</t>
  </si>
  <si>
    <t>Beykoz Çubuklu Mahallesi Kentsel Dönüşüm Projesi</t>
  </si>
  <si>
    <t>Hak sahiplerinin %90’ ı ile ön sözleşme imzalanmıştır.
İmar uygulaması 10.07.2024 tarihi itibarıyla Çevre, Şehircilik ve İklim Değişikliği Bakanlığı tarafından onaylandı. 15.01.2025 tarihinde tapu tescil işlemleri tamamlandı.
09.06.2023 tarihinde İmar Müdürlüğü’ne ruhsat başvurusu yapılmış,  ÇŞB Tabiat Varlıkları Koruma Bölge Komisyonu’nun 30.11.2023 tarihli yazısı  ile imar uygulaması onandıktan sonra değerlendirmeye alınacağı bildirilmiştir.
Riskli Alan sınırları içerisindeki tüm hak sahiplerini kapsayan Matematiksel ve Finansal Model 27.11.2023 tarihli Meclis Kararı ile uygun bulunmuştur. 
Ruhsat alındıktan sonra kesin sözleşmelerin imzalanması aşamasına geçilecektir.
18.10.2024 tarihli yazı ile uygulama adımına ilişkin iş ve işlemlerin yürütülmesi işlemleri Kentsel Dönüşüm Uygulama Şube Müdürlüğüne devredilmiştir. Proje ilerleme oranı %70 dir</t>
  </si>
  <si>
    <t>41.10362975, 29.09402934</t>
  </si>
  <si>
    <t>Anadolu Hisarı-Göksu Yayalaştırma Ve Tünel Projesi</t>
  </si>
  <si>
    <t>41.0827557, 29.0711944</t>
  </si>
  <si>
    <t>Beykoz Merkez Otopark</t>
  </si>
  <si>
    <t>41.1258243, 29.0981009</t>
  </si>
  <si>
    <t>Hülagü Caddesi Fsm Köprüsü Kavşak Vb Düzenlenmesi</t>
  </si>
  <si>
    <t>Hülagü Caddesi Fsm Köprüsü Kavşak Vb</t>
  </si>
  <si>
    <t>41.09185507133894, 29.080323681122906</t>
  </si>
  <si>
    <t>Tem Üzerinde Beykoz a Giriş Bağlantıları</t>
  </si>
  <si>
    <t>41.093952, 29.096720</t>
  </si>
  <si>
    <t>Gürpınar Camii Arkası Çürük Yapıların Dönüştürülmesi</t>
  </si>
  <si>
    <t>Gürpınar Camii Arkası Çürük Yapıların Dönüştürülmesi; Kiptaş’In İncelemesi/Değerlendirmesi</t>
  </si>
  <si>
    <t>40.991121253560614, 28.61430197893046</t>
  </si>
  <si>
    <t>Yakuplu Mah. Romanlar İçin Sosyal Konutlar</t>
  </si>
  <si>
    <t>Yakuplu Mah. Romanlar İçin Sosyal Konutlar Meselesi</t>
  </si>
  <si>
    <t>40.989690, 28.680795</t>
  </si>
  <si>
    <t>Kasımpaşa Sinema Evi Uygulama İşi</t>
  </si>
  <si>
    <t xml:space="preserve">Mimari uygulamalar tamamlandı. Teşhir tanzim ve sanatsal ilaveler hazırlanıyor. </t>
  </si>
  <si>
    <t xml:space="preserve">Emlak Şube Müdürlüğün izin ve çalışmaları bekleniyor </t>
  </si>
  <si>
    <t xml:space="preserve"> 41.03376944683194, 28.973798864155032 </t>
  </si>
  <si>
    <t>Sinema Salonu</t>
  </si>
  <si>
    <t>İstiklal Caddesi Onarım ve Tadilat İnşaatı</t>
  </si>
  <si>
    <t>41.0313877, 28.9759667</t>
  </si>
  <si>
    <t>Meşrutiyet Caddesi ve Yakın Çevresi Kentsel Tasarım Projesi</t>
  </si>
  <si>
    <t>41.0280274, 28.9726344</t>
  </si>
  <si>
    <t>Haliç Tersanesi Müzik Müzesi Proje Temini</t>
  </si>
  <si>
    <t>1890 ada 53 parsel İstanbul II Numaralı Yenileme Alanları Kültür Varlıklarını Koruma Bölge Kurulu Müdürlüğünün 30.07.2019 tarih ve 3360 sayılı kurul kararı ile; 56 parsel 30.07.2019 tarih ve 3361 sayılı kurul kararı ile; 60 parsel 30.07.2019 tarih ve 3362 sayılı kurul kararı; 65 parsel 30.07.2019 tarih ve 3363 sayılı kurul kararı ile; rölöve ve analitik rölöve projelerinin uygun olduğuna karar verilmiştir. 1890 ada, 53, 56, 61, 62, 64 parsel Restitüsyon Paftası                1890 ada, 53, 56, parsel Restorasyon projesi, 1890 ada, 61, 62, 64 parsel Rekonstrüksiyon projesi koruma kurulu tarafından onaylanmıştır.1890 ada 60 ve 65 parsellerin Restitüsyon ve Restorasyon projeleri İmar Müdürlüğü onayı ile koruma kuruluna iletilmiş ve 1890 ada 60 parsel ilgili koruma kurulundan 3.03.2020 tarih ve 3866 sayılı kararı ile onaylanmıştır. 1890 ada 65 parsel  ilgili koruma kurulundan 03.03.2020 tarih ve 3867  sayılı kararı ile onaylanmıştır.​
1890 ada 63 parsel 24.12.2019 tarih ve 2568 sayılı Başkanlık Oluru ile kapsamdışına alınmıştır. İş tamamlandı</t>
  </si>
  <si>
    <t>41.0287374, 28.9674302</t>
  </si>
  <si>
    <t>e8e61379-14d7-ea11-b857-005056b0156e</t>
  </si>
  <si>
    <t>Beyoğlu Hasköy İtfaiye Hizmet Binası Projesi</t>
  </si>
  <si>
    <t>Garaj -Garaj İle Bağlantılı Mekanlar -Santral Odası -Sistem Odası -Spor Salonu -Yatakhaneler -Wc -Duşlar -Mescit -Lokal - Mutfak ve Yemekhane -Grup Amiri Odası  -Ekip Amiri Odası -Başşoför Odası -Yazı İşleri -Teknik Ofisler ​</t>
  </si>
  <si>
    <t>(247 ada 14 parsel Pirimehmetpaşa Mahallesi Hasköy Caddesi)</t>
  </si>
  <si>
    <t>41.0434851, 28.9480081</t>
  </si>
  <si>
    <t>ec1197de-8fe9-ed11-b8d6-005056b0106f</t>
  </si>
  <si>
    <t>Beyoğlu Hasköy İtfaiye Hizmet Binası Uygulama Projesi</t>
  </si>
  <si>
    <t>Etibank Prestij Caddesi Cephe Düzenleme Projesi</t>
  </si>
  <si>
    <t>Trafik, Cephe Düzenleme, Peyzaj Tasarım Projelerinin Hazırlanması</t>
  </si>
  <si>
    <t>41.0604604, 28.9525384</t>
  </si>
  <si>
    <t>Elektronik Sistemler Şube Müdürlüğü</t>
  </si>
  <si>
    <t>İhtiyaç Tespit Edilen 15 Noktaya İbb Wifi Kurulması Projesi</t>
  </si>
  <si>
    <t>15 Noktaya Wifi İnternet Ağı Kurulumu</t>
  </si>
  <si>
    <t>İBB tarafından ücretsiz olarak sağlanan ibbWiFi hizmeti ilçe belediyeleri bünyesinde yer alan merkez, park vb. alanlarda genişletilerek devam ettirilebilir. Bununla beraber 2024 yılı bütçe kısıtlamaları nedeniyle çalışmalar 2025 yılında hayata geçirilebilecektir. 2025 yılı WİFİ ihalesi için henüz bütçe onayı alınamamıştır. Bütçe onay tarihine göre proje 2026 yılına sarkabilir.</t>
  </si>
  <si>
    <t>41.0287938, 28.9748447</t>
  </si>
  <si>
    <t>Sosyal Donatı Binalarının Güçlendirme ve Bakım ve Onarımı</t>
  </si>
  <si>
    <t>Katipmustafa Çelebi Mahallesi, Büyük Parmak Sokak Yol Yenileme Projesi</t>
  </si>
  <si>
    <t>41.03494878854674, 28.982296584468333</t>
  </si>
  <si>
    <t>Katipmustafa Çelebi Mahallesi, Hasnun Galip Sokak Yol Yenileme Projesi</t>
  </si>
  <si>
    <t>41.034761150218635, 28.98156452042135</t>
  </si>
  <si>
    <t>Katipmustafa Çelebi Mahallesi, Küçük Parmak Sokak Yol Yenileme Projesi</t>
  </si>
  <si>
    <t>41.03527814048515, 28.982467076492394</t>
  </si>
  <si>
    <t>Kuloğlu Mahallesi, Fuat Uzkınay Sokak Yol Yenileme Projesi</t>
  </si>
  <si>
    <t>41.0343857, 28.9797701</t>
  </si>
  <si>
    <t>Kuloğlu Mahallesi, Gazeteci Erol Dernek Sokak Yol Yenileme Projesi</t>
  </si>
  <si>
    <t>41.0339582, 28.9800711</t>
  </si>
  <si>
    <t>Park Ve Yeşil Alanların Yapılması (Beyoğlu Tersane İstanbul arkası Kasımpaşa Kabristanı Sokak)</t>
  </si>
  <si>
    <t>1100 M2</t>
  </si>
  <si>
    <t>41.0359068, 28.9595660</t>
  </si>
  <si>
    <t>Tomtom Mahallesi, Eski Çiçekçi Sokak Yol Yenileme Projesi</t>
  </si>
  <si>
    <t>41.0320463, 28.9768929</t>
  </si>
  <si>
    <t>Tomtom Mahallesi, Nuri Ziya Sokak Yol Yenileme Projesi</t>
  </si>
  <si>
    <t>41.031600010580775, 28.97745184444482</t>
  </si>
  <si>
    <t>Tomtom Mahallesi, Postacılar Sokak Yol Yenileme Projesi</t>
  </si>
  <si>
    <t>41.0304417, 28.9760485</t>
  </si>
  <si>
    <t>Beyoğlu-Kütüphane Troleybüs'ün Rölöve, Restitüsyon ve Restorasyon Projesi</t>
  </si>
  <si>
    <t>Nadir Eserler Kütüphanesi</t>
  </si>
  <si>
    <t>Kütüphane Troleybüs olarak projelendirme çalışmaları devam etmektedir.</t>
  </si>
  <si>
    <t xml:space="preserve"> 41.0391410171749, 28.990927901097997 </t>
  </si>
  <si>
    <t>2a15cc36-3387-e711-80f5-005056a5354a</t>
  </si>
  <si>
    <t>Beyoğlu İlçesi,  755 Ada, 5 Parselde Yer Alan Tescilli Kültür Varlığı  Yapının Rölöve, Restitüsyon ve Restorasyon Projesi</t>
  </si>
  <si>
    <t>Ekonomi ve İstihdama Yönelik Ofis ve Enstitü Çalışmaları</t>
  </si>
  <si>
    <t>Kasımpaşa- Kızılay Bölgesel İstihdam Merkezi Açılması Projesi</t>
  </si>
  <si>
    <t>Bölgesel İstihdam Merkezi</t>
  </si>
  <si>
    <t>41.0341876, 28.9663801</t>
  </si>
  <si>
    <t>Kemerdere Yaşam Vadisi Projesi</t>
  </si>
  <si>
    <t>Proje Alanı 13.045,76 M2</t>
  </si>
  <si>
    <t>41.02041004495535, 28.603928011809987</t>
  </si>
  <si>
    <t>Büyükçekmece Ahmediye Atıksu Tüneli (7.700 m) Büyükçekmece Karaağaç Atıksu Tüneli; (4.772 m) Büyükçekmece Arıtılmış Atıksu Tüneli; (6.152 m) Büyükçekmece Arıtılmış Atıksu Tüneli; (2.541m)</t>
  </si>
  <si>
    <t>41.0938509, 28.5190744</t>
  </si>
  <si>
    <t>Büyükçekmece D100 Karayolu Yenimahalle Muhtarlığı Önü Yaya Üst Geçidi Projesi</t>
  </si>
  <si>
    <t>Yaya Üst Geçit yeniden yapım</t>
  </si>
  <si>
    <t>41.0221676, 28.4745938</t>
  </si>
  <si>
    <t>8a7022a8-0a39-ef11-b8eb-005056b0106f</t>
  </si>
  <si>
    <t>Büyükçekmece İlçesi Hürriyet Mahallesi Çatalca Yolu-Menekşe 2 Caddesi Kesişimi Yaya Üst Geçidi Revize Projesi</t>
  </si>
  <si>
    <t>Engelli erişimine uygun asansörlü çelik yaya üst geçidi</t>
  </si>
  <si>
    <t>Söz  konusu proje alanının yaklaşık 130 metre ilerisinde KGM 1. Bölge Müdürlüğü tarafından yeni bir üst geçit imalatı yapıldığı tespit edilmiş olduğundan projenin durdurulması kararlaştırılmıştır.</t>
  </si>
  <si>
    <t>41.0482326, 28.5434863</t>
  </si>
  <si>
    <t>42120d08-0b39-ef11-b8eb-005056b0106f</t>
  </si>
  <si>
    <t>Büyükçekmece D100 Karayolu Işık Sitesi Durağı Yaya Üst Geçidi Projesi</t>
  </si>
  <si>
    <t>2 asansörlü üst geçit</t>
  </si>
  <si>
    <t>41.0346651, 28.4469772</t>
  </si>
  <si>
    <t>7a112157-0b39-ef11-b8eb-005056b0106f</t>
  </si>
  <si>
    <t>Beylikdüzü Metrobüs Son Durak Park Alanı Genişletme Projesi</t>
  </si>
  <si>
    <t>​Toplam 8141 M2 Proje Alanı İçerisinde 53 Araç Kapasiteli​&amp;#160;7200M2 Lik&amp;#160;Metrobüs Parklanma Alanı, Güvenlik Ve Dinlenme Alanı İle&amp;#160;Ana Parklanma Alanına Bağlantıyı Sağlayan Yaklaşık 400M2 Lik Bir Alt Geçit Öngörülmektedir.</t>
  </si>
  <si>
    <t>17/05/2024 tarihli ve 32549 sayılı Resmi Gazete'de yayımlanan Cumhurbaşkanlığının 2024/7 sayılı ve "Tasarruf Tedbirleri" konulu Genelgesi gereği "Beylikdüzü Metrobüs Son Durak Park Alanı Genişletme Projesi Yapım İşi"  izni talebi için; ÇEVRE, ŞEHİRCİLİK VE İKLİM DEĞİŞİKLİĞİ BAKANLIĞINA üst yazı yazılmış olup, cevap beklenmektedir.</t>
  </si>
  <si>
    <t>41.0221373, 28.6255241</t>
  </si>
  <si>
    <t>76b5a456-d7f0-ee11-b8e8-005056b0106f</t>
  </si>
  <si>
    <t>Açık Otopark</t>
  </si>
  <si>
    <t>Büyükçekmece İlçesi Cengiz Topel Caddesi Kentsel Tasarım Projesi</t>
  </si>
  <si>
    <t>Cengiz Topel Caddesinin estetik, sağlıklı, ergonomik ve sürdürülebilir mekânsal gelişmesini&amp;#160;sağlamak, yaşam kalitesini yükseltmek ve kente kimlik kazandıracak bir prestij caddesi olarak projelendirilmesi için zemin düzenlemesine yönelik konsept tasarım projelerinin hazırlanması işidir.</t>
  </si>
  <si>
    <t>41.0195196272392, 28.592831979398827</t>
  </si>
  <si>
    <t>11dc6571-2944-ef11-b8eb-005056b0106f</t>
  </si>
  <si>
    <t>Gazi Mustafa Kemal Paşa Caddesi ve Yakın Çevresi Kentsel Tasarım Uygulama Projesi</t>
  </si>
  <si>
    <t>Büyükçekmece İlçesi Gazi Mustafa Kemal Atatürk Caddesi?nde estetik, sağlıklı, ergonomik ve sürdürülebilir mekânsal gelişmeyi sağlamak, yaşam kalitesini yükseltmek ve kente kimlik kazandıracak prestij caddesi oluşturmak amacıyla zemin düzenlemesine yönelik konsept tasarım projelerinin hazırlanması işidir.</t>
  </si>
  <si>
    <t>41.01749543757632, 28.59058957490814</t>
  </si>
  <si>
    <t>a4f0510e-2944-ef11-b8eb-005056b0106f</t>
  </si>
  <si>
    <t>Büyükçekmece Sinanoba Mahallesi 100.yıl Cumhuriyet Kültür Merkezi</t>
  </si>
  <si>
    <t>100.Yıl Cumhuriyet Kültür Merkezi Toplam İnşaat Alanı 39.600 M² Dir. 4 Bodrum Kat + Zemin Kat + 2 Normal Kattan Oluşmaktadır. Yapı 800 Kişilik Tiyatro Salonu 6 Adet Sinema Salonu, Derslikler, Atölyeler, Çocuk Kütüphanesi, Restaurant, İdari Birimler, Teknik Birimler, Otopark Ve Depolardan Oluşmaktadır. (Projesi Belediyemiz Tarafından Yapılan Kültür Merkezi Projesinde Değişiklik Yapılabilir.)</t>
  </si>
  <si>
    <t>40.9882669, 28.5402261</t>
  </si>
  <si>
    <t>830ecd3d-0af8-ef11-b911-005056b0106f</t>
  </si>
  <si>
    <t>Büyükçekmece Sinanoba Mahallesi 100 Yıl Cumhuriyet Kültür Merkezi Projesi</t>
  </si>
  <si>
    <t>Üstyapı PBilgi İşlem Şube Müdürlüğü</t>
  </si>
  <si>
    <t>Mimaroba İnovasyon, Teknoloji Ve Gençlik Merkezi</t>
  </si>
  <si>
    <t>Toplam 5.000 M2 İnşaat Alanına Sahip Merkezde Fikir Atölyeleri, Kuluçka Merkezi, Toplantı Odaları, Living Lab. Birimleri Bulunmaktadır.</t>
  </si>
  <si>
    <t>projenin yapılacağı arazi özel mülkiyet olması nedeniyle kamulaştırma sorunu vardır.</t>
  </si>
  <si>
    <t>41.0089270, 28.5360882</t>
  </si>
  <si>
    <t>Büyükçekmece Lagün Çevresi Bisiklet Ve Yaya Yolu Projesi</t>
  </si>
  <si>
    <t>41.000378, 28.613436</t>
  </si>
  <si>
    <t>620f3fcf-18bb-ec11-b8a4-005056b0106f</t>
  </si>
  <si>
    <t>Cumhuriyet Kent Meydanı (2767 Ada 1 Parsel)</t>
  </si>
  <si>
    <t>Proje Alanı 34.000 M2'Dir.</t>
  </si>
  <si>
    <t>41.0192800, 28.5835631</t>
  </si>
  <si>
    <t>Cumhuriyet Mahallesi Çocuk Eğitim Merkezi Proje + Uygulama İşi</t>
  </si>
  <si>
    <t>Proje Değerlendirme Sonucunda Karar Verilecektir.</t>
  </si>
  <si>
    <t>41.0200730, 28.5858766</t>
  </si>
  <si>
    <t>Çakmaklı Mahallesi Çocuk Eğitim Merkezi Proje + Uygulama İşi</t>
  </si>
  <si>
    <t>41.0516855, 28.6169728</t>
  </si>
  <si>
    <t>Gürpınar Turgut Özal Parkı Ve Yaşam Merkezi Proje + Uygulama İşi</t>
  </si>
  <si>
    <t>Gürpınar’Da 10.156 M2 Park Alanı İçerisinde Yapılacak 1200 M2 Sosyal Tesistir.</t>
  </si>
  <si>
    <t>40.9952280, 28.6069511</t>
  </si>
  <si>
    <t>Kent Ormanı</t>
  </si>
  <si>
    <t>Hürriyet Mahallesi Çocuk Eğitim Merkezi Proje + Uygulama İşi</t>
  </si>
  <si>
    <t>41.0296074, 28.5384053</t>
  </si>
  <si>
    <t>Mimaroba Fuar Ve Sergi Alanı</t>
  </si>
  <si>
    <t>Toplam 13.300M² İnşaat Alanına Sahip Projemizde, 160 Araçlık Kapalı Otopark, 6.300M² Kapalı Pazar Alanı, Yük Asansörleri, Yürüyen Bantlar, Teknik Ve Islak Hacimler Bulunmaktadır.</t>
  </si>
  <si>
    <t>41.0045401, 28.5336525</t>
  </si>
  <si>
    <t>Mimarsinan Sahil Düzenlemesi Meydanlar (4 Meydan Düzenlemesi)</t>
  </si>
  <si>
    <t>Proje Alanı Toplam 8.800 M2Dir.</t>
  </si>
  <si>
    <t>41.0138706, 28.5624278</t>
  </si>
  <si>
    <t>Muratçeşme Çocuk Eğitim Merkezi Proje + Uygulama İşi</t>
  </si>
  <si>
    <t>%99 oranında şahıs mülkiyetinde bulunan parselin 2.608 m²'sinin kamulaştırılması gerekmektedir.</t>
  </si>
  <si>
    <t>41.0204575, 28.5402790</t>
  </si>
  <si>
    <t>D100 Kumburgaz-Tem Kavşağının Hemzemin Çözümü</t>
  </si>
  <si>
    <t>41.0294604, 28.4597629</t>
  </si>
  <si>
    <t>Güzelce Ve Karaağaç ta Mezarlık Yapılması</t>
  </si>
  <si>
    <t>41.0634983, 28.4001982</t>
  </si>
  <si>
    <t>Mimar Sinan-Çatalca Kavşağı Düzenlenmesi</t>
  </si>
  <si>
    <t>Mimar Sinan-Çatalca Kavşağı</t>
  </si>
  <si>
    <t>41.014632, 28.562031</t>
  </si>
  <si>
    <t>Muratbey Mezarlık Yapılması</t>
  </si>
  <si>
    <t>Muratbey Kapatılan Taş Ocaklarının Mezarlık Yapılması</t>
  </si>
  <si>
    <t>41.065029, 28.507560</t>
  </si>
  <si>
    <t>Sivaslı Mah, Akçansa, Kumburgaz</t>
  </si>
  <si>
    <t>En Önemli; Sivaslı Mah, Akçansa, Kumburgaz</t>
  </si>
  <si>
    <t>41.0204619, 28.5583296</t>
  </si>
  <si>
    <t>Yeşil Alan Projeleri</t>
  </si>
  <si>
    <t>Parklar Kemerdere Yaşam Vadisi; Plan Geçtikten Sonra; Tepekent 100.Yıl Cumhuriyet Parkı; Yeni Arboretum; Güzelce Yaşam Vadisi</t>
  </si>
  <si>
    <t>41.0230445, 28.6121058</t>
  </si>
  <si>
    <t>Çatalca Yaylacık Mahallesi Mezarlığı Onarım ve Tadilatı</t>
  </si>
  <si>
    <t>41.3582873, 28.2191205</t>
  </si>
  <si>
    <t>Çatalca Binkılıç-Fatih Mezarlığı Çevre Duvarları ve Muhtelif Düzenlemeler Yapılması</t>
  </si>
  <si>
    <t>41.4098358, 28.1899279</t>
  </si>
  <si>
    <t>Çatalca Belediye Tarihi Hamam Restorasyonu</t>
  </si>
  <si>
    <t>450 M² Kapalı Alana Sahip Tarihi Hamam</t>
  </si>
  <si>
    <t>İlçe belediyelerden gelen basit bakım onarım, restorasyon ve projelendirme talepleri toplu şekilde değerlendirilmektedir. Çatalca Belediyesi özelinde ilk etapta 2 çeşmede basit bakım onarım desteği sağlanmıştır ve Çatalca Miras kurulmuştur. Restorasyon talepleriyle ilgili konu imalat bütçesi kapsamında İstanbul genelinde değerlendirilecektir.</t>
  </si>
  <si>
    <t>41.1384947, 28.4638843</t>
  </si>
  <si>
    <t>Hamam Restorasyonu</t>
  </si>
  <si>
    <t>Münif Sevi Caddesi  ve Yakın Çevresi Kentsel Tasarım Projesi</t>
  </si>
  <si>
    <t>41.14443780, 28.46137831</t>
  </si>
  <si>
    <t>b111bbf5-684a-ef11-b8eb-005056b0106f</t>
  </si>
  <si>
    <t>Katı Atık Aktarma İstasyonu</t>
  </si>
  <si>
    <t>Katı Atık Aktarma İstasyonu; İstaç’In Desteği.</t>
  </si>
  <si>
    <t>41.1420783, 28.4558334</t>
  </si>
  <si>
    <t>Kent İçi Dönüşüm</t>
  </si>
  <si>
    <t>Kent İçi Dönüşümde Örnek Bir Ada Belirlenmesi.</t>
  </si>
  <si>
    <t>41.1427733, 28.4590176</t>
  </si>
  <si>
    <t>Çavuşbaşı Caddesi Kavşak Projesi Ve Trafik Düzenlemesi</t>
  </si>
  <si>
    <t>Ulaşım Koordinasyon Şube Müdürlüğü tarafından Çalışma Devam etmektedir. 
Söz Konusu Çavuşbaşı Caddesi Üzerinde 11.10.2017 Tarihli Ve Utk2017/37-46 Sayılı Çekmeköy İlçesi, Çavuşbaşı Caddesi Revize Geometrik Düzenleme Projesi Bulunmaktadır. Söz Konusu Projenin Dağıtımı 20.10.2017 Tarihinde Ulaşım Planlama Müdürlüğü'ne Yapılmıştır. Fakat Projede Çeşitli Nedenlerden Dolayı(Mülkiyet V.S.) İlerleme Sağlanamamıştır. Müdürlüğümüzce Revize Proje Çalışmalarına Devam Edilmektedir.</t>
  </si>
  <si>
    <t>Progress- %70</t>
  </si>
  <si>
    <t>41.04144487134588, 29.1764504676278</t>
  </si>
  <si>
    <t>Sultanbeyli Kurtköy Hızlı Tren İstasyon Metro Hattı</t>
  </si>
  <si>
    <t>​İstasyon Sayısı; 4 Hat Uzunluğu 5.41 Km</t>
  </si>
  <si>
    <t>Raylı sistem hatlarının depreme dayanıklı hale getirilmesi Sultanbeyli- Kurtköy metro hattı projesinin yapımı</t>
  </si>
  <si>
    <t>41.029764790859424, 29.1921027996289</t>
  </si>
  <si>
    <t>Doğa Park Orman İçindeki Yolun Asfaltlanması</t>
  </si>
  <si>
    <t>Asfalt</t>
  </si>
  <si>
    <t>41.029352001679875, 29.192059881119615</t>
  </si>
  <si>
    <t>Ömerli Anadoluköy Projesi</t>
  </si>
  <si>
    <t>Betonarme, Ahşap</t>
  </si>
  <si>
    <t>41.08611793245729, 29.32928029041404</t>
  </si>
  <si>
    <t>Madenler Meydanı Genişleme Projesi</t>
  </si>
  <si>
    <t>Söz Konusu Talep Ulaşım Dairesi Başkanlığı Tarafından Değerlendirilecektir.</t>
  </si>
  <si>
    <t>41.014759, 29.187682</t>
  </si>
  <si>
    <t>Çekmeköy Kent Parkı Üst Geçit Projesi</t>
  </si>
  <si>
    <t>​Yeni Üst Geçit Projesi</t>
  </si>
  <si>
    <t>41.0314553, 29.1681594</t>
  </si>
  <si>
    <t>e168bb47-3e38-ef11-b8eb-005056b0106f</t>
  </si>
  <si>
    <t>Çekmeköy Nişantepe Sosyal Tesis Projesi (559 ada 9 parsel batısıNişantepe Mahallesi,Handegül Sk.)</t>
  </si>
  <si>
    <t>41.02839187768207, 29.258278538791266</t>
  </si>
  <si>
    <t>Turgut Özal Caddesi Prestij Cadde Uygulaması</t>
  </si>
  <si>
    <t>41.02901552417573, 29.22418014008053</t>
  </si>
  <si>
    <t>Belediye Önü Kapalı Otopark Üzeri Park Düzenlemesi</t>
  </si>
  <si>
    <t>Betonarme-Ahşap Yapılar</t>
  </si>
  <si>
    <t>41.03342131307674, 29.168144769478243</t>
  </si>
  <si>
    <t>Hamidiye Mahallesi Mecidiye Parkı Zemin Altı Otopark Ve Meydan Projesi</t>
  </si>
  <si>
    <t>41.02725188373705, 29.1887366387911</t>
  </si>
  <si>
    <t>Çekmeköy Geçici Hayvan Bakımevi</t>
  </si>
  <si>
    <t>24 adet tekli, 6 adet çoklu kafes kapasiteli kedi barınağı, 48 kulübelik tedavi bölümü- 21 kulübelik tedavi-barınak bölümü, 8 adet kedi kafesi, 12 adet köpek kafesi kapasiteli müşahade bölümü, 20 bölümlük at barınağı, 72 kişilik yemekhane, 90 kişilik eğitim salonu</t>
  </si>
  <si>
    <t>41.08649027060485, 29.324251888871938</t>
  </si>
  <si>
    <t>6ad055a3-e7f8-ef11-b911-005056b0106f</t>
  </si>
  <si>
    <t>Çekmeköy Geçici Hayvan Bakımevi Projesi</t>
  </si>
  <si>
    <t>Betonarme-Ahşap</t>
  </si>
  <si>
    <t>41.04459002897371, 29.178632737099832</t>
  </si>
  <si>
    <t>Sosyal Tesis Restorasyonu</t>
  </si>
  <si>
    <t>Kreş Ve Gündüz Bakımevi (603 Ada / 1 ParselÇekmeköy Mahallesi)</t>
  </si>
  <si>
    <t>4 derslik kreş</t>
  </si>
  <si>
    <t>41.042809836419494, 29.17395496457698</t>
  </si>
  <si>
    <t>2c262ced-c5ae-ee11-b8e6-005056b0106f</t>
  </si>
  <si>
    <t>Çekmeköy İlçesi Çekmeköy Mahallesi 603 ada 1 Parsel Çocuk Etkinlik Merkezi Projesi</t>
  </si>
  <si>
    <t>Orman Okulu</t>
  </si>
  <si>
    <t>41.03207233928141, 29.202555243735947</t>
  </si>
  <si>
    <t>Reşadiye Gençlik Ve Eğitim Kamp Merkezi</t>
  </si>
  <si>
    <t>Ahşap-Betonarme</t>
  </si>
  <si>
    <t>41.0771401849358, 29.254649466692026</t>
  </si>
  <si>
    <t>Sırapınar Gölü Çevresi Yürüyüş Ve Bisiklet Yolu</t>
  </si>
  <si>
    <t>orman genel müdürlüğünden veya orman işletme müdürlüğünden gelişim planı ve gelişim raporu alınarak talep değerlendirilmelidir. planda yer almıyorsa tadilat yapılmalıdır, planda yer alıyorsa tahsis işlemleri sonrasında proje onaya sunulmalıdır.</t>
  </si>
  <si>
    <t>41.10274755523578, 29.328778749707777</t>
  </si>
  <si>
    <t>Sırapınar Sosyal Tesisleri (0 ada 532 parsel)</t>
  </si>
  <si>
    <t>milli emlak müdürlüğünden alınan alan için kullanım hakkı talep edildikten sonra projeye konu edilebilir.</t>
  </si>
  <si>
    <t>Kemerdere Deresi, Şile Otoyolu Menfez Gecişi (BJK Nevzat Demir Tesisleri Yanı) Uygulama Projesi işi</t>
  </si>
  <si>
    <t>​1200 M2 Alan En Kesitinde Kutu Menfez</t>
  </si>
  <si>
    <t>Çoklu İlçe; Çekmeköy; Ümraniye</t>
  </si>
  <si>
    <t>41.0349576, 29.1419086</t>
  </si>
  <si>
    <t>5cabbeed-5e8f-ee11-b8e3-005056b0106f</t>
  </si>
  <si>
    <t>Esenler İlçesi, Hal Önü Yaya Üst Geçidi Projesi</t>
  </si>
  <si>
    <t>​Yeniden Yapım Yaya Üst Geçidi</t>
  </si>
  <si>
    <t>41.0495696, 28.8851058</t>
  </si>
  <si>
    <t>02e51ac6-cf52-ee11-b8e0-005056b0106f</t>
  </si>
  <si>
    <t>Atatürk Caddesinin Yenilenmesi</t>
  </si>
  <si>
    <t>670 Metre</t>
  </si>
  <si>
    <t>41.03400142455343, 28.889387609790532</t>
  </si>
  <si>
    <t>Geçit Park Projesi (O3 Otobanın Üstünün Kapatılması Meydan Oluşturulması)</t>
  </si>
  <si>
    <t>37.850 M2 ’Lik Bir Meydan Oluşturulması.</t>
  </si>
  <si>
    <t>41.058480030241846, 28.87397377626784</t>
  </si>
  <si>
    <t>Güney Yan Yol Güzergahı Mahalle Yaşam Alanı</t>
  </si>
  <si>
    <t>36000 M2 Proje Alanı</t>
  </si>
  <si>
    <t>41.05646483539748, 28.877736448727102</t>
  </si>
  <si>
    <t>İnönü Caddesi Su Terazisi Restorasyonu Ve Çevresi</t>
  </si>
  <si>
    <t>430 M2 Proje Alan</t>
  </si>
  <si>
    <t>İş programına alınmıştır ancak öncelikli iş değildir.</t>
  </si>
  <si>
    <t xml:space="preserve"> 41.03894210932119, 28.875736109296614 </t>
  </si>
  <si>
    <t>İstanbul Caddesinin Yenilenmesi</t>
  </si>
  <si>
    <t>1270 Metre</t>
  </si>
  <si>
    <t>41.03595180305124, 28.888454201071497</t>
  </si>
  <si>
    <t>Katlı Otopark (Kazım Karabekir 1040 Sokak)</t>
  </si>
  <si>
    <t>400 Araç Kapasiteli Otopark</t>
  </si>
  <si>
    <t>Ulaşım Dairesi Başkanlığı tarafından Esenler ilçesi genelinde, “İstanbul Sürdürülebilir Kentsel Ulaşım Planı” ve bu planın vizyonu doğrultusunda “İstanbul Otopark Ana Planı” kapsamında, arazi kullanımı ve ulaşım planlarındaki ilkeler ve kısıtlar kapsamında politika ve eylemler ile otoparkın yönetilmesine ilişkin çalışmalar gerçekleştirilmektedir. Otopark alanları ile ilgili arazi çalışmaları ve ilçe belediyeleri ile toplantıların yanı sıra otopark alanlarının mevcut durumu, imar durumu, mülkiyet bilgisi, alanın büyüklüğü ve geometrisi, erişilebilirliği vb. kriterler incelenerek veri tabanında revizyonlar gerçekleştirilmektedir. Revizyon çalışmaları kapsamında mülkiyet sorunları sebebiyle orta vadede değerlendirilmeleri ve bu süreçte Emlak ve Kamulaştırma Şube Müdürlüklerine resmi yazı ile iletilmeleri öngörülmektedir.</t>
  </si>
  <si>
    <t>41.0462918559707, 28.871630183151765</t>
  </si>
  <si>
    <t>Katlı Otopark (Kazım Karabekir Caddesi)</t>
  </si>
  <si>
    <t>450 Araç Kapasiteli Otopark (61 nolu proje)</t>
  </si>
  <si>
    <t>Ulaşım Dairesi Başkanlığı tarafından Esenler ilçesi genelinde, “İstanbul Sürdürülebilir Kentsel Ulaşım Planı” ve bu planın vizyonu doğrultusunda “İstanbul Otopark Ana Planı” kapsamında, arazi kullanımı ve ulaşım planlarındaki ilkeler ve kısıtlar kapsamında politika ve eylemler ile otoparkın yönetilmesine ilişkin çalışmalar gerçekleştirilmektedir. Otopark alanları ile ilgili arazi çalışmaları ve ilçe belediyeleri ile toplantıların yanı sıra otopark alanlarının mevcut durumu, imar durumu, mülkiyet bilgisi, alanın büyüklüğü ve geometrisi, erişilebilirliği vb. kriterler incelenerek veri tabanında revizyonlar gerçekleştirilmektedir. Revizyon çalışmaları kapsamında mülkiyet sorunu sebebiyle orta vadede değerlendirilmesi ve bu süreçte  Kamulaştırma Şube Müdürlüğüne resmi yazı ile iletilmesi öngörülmektedir.</t>
  </si>
  <si>
    <t>41.043794002221176, 28.879861134769786</t>
  </si>
  <si>
    <t>Köprü Projesi (O2 Otoyol Üzeri 42 Evler Köprüsü Paraleli Köprü)</t>
  </si>
  <si>
    <t>130 Mt Uzunluğunda Köprü Ve Kavşak Yapılması</t>
  </si>
  <si>
    <t>Ulaşım Koordinasyon Şube Müdürlüğü ile ilçe belediyesi ortak olarak çalışmaları yürütmektedir.</t>
  </si>
  <si>
    <t>Progress 30%</t>
  </si>
  <si>
    <t>41.072166198617886, 28.85757668637373</t>
  </si>
  <si>
    <t>Metris Önü Eski Edirne Asfaltı-Otogar Bağlantı Yolu Kavşak</t>
  </si>
  <si>
    <t>130 Mt Uzunluğundan Bağlantı Yolu</t>
  </si>
  <si>
    <t>******Avrupa Yakası Yol Bakım ve Onarım Şube Müdürlüğü'nün 13.03.2025 tarihli ve E-40268941-160.03-2025.551977 sayılı yazısı ile 2025 yılı yatırım
ve imalat programı çerçevesinde uygulanmasının planlandığı belirtilmiştir. ******
bayrampaşa ulaştırma kavşağı projesi ile birlikte yeniden ele alınarak, projenin revize edilmesine yönelik ön proje çalışmalarına başlanmıştır.</t>
  </si>
  <si>
    <t>Ön Proje aşamasında</t>
  </si>
  <si>
    <t>41.072361700193575, 28.877328919924626</t>
  </si>
  <si>
    <t>Taş Ocağı - Atışalan Caddesi Arasındaki Bulvarın Açılması</t>
  </si>
  <si>
    <t>500 Mt Uzunluğunda Ve 25 Mt Genişliğinde Plan Yolu</t>
  </si>
  <si>
    <t>******Ulaşım Projeleri Şube Müdürlüğü tarafından şekillendirilen ve projelendirilen ’Esenler ilçesi, Mehmet akif inan caddesi - Atışalanı caddesi arası imar yolu projesi olarak Ulaşım Koordinasyon Şube Müdürlüğü'ne görüş sorulmuş ve arkasında UTK Kararı için yazı yazılmıştır. Ulaşım Koordinasyon Şube Müdürlüğüde  21.03.2024 tarih ve utk2024/12-25 sayılı utk kararı alınmıştır. proje kapsamında kalan kamulaştırmalara yönelik olarak kamulaştırma dosyası hazırlanacaktır.Proje ile ilgili en son çalışma Ulaşım Projeleri uhdesindedir.******</t>
  </si>
  <si>
    <t>41.05810097181358, 28.86963392658934</t>
  </si>
  <si>
    <t>Avrupa Yakası Yol Bakım Ve Onarım Şube Müdürlüğü</t>
  </si>
  <si>
    <t>Tekstilkent Önü Kavşak Düzenlemesi</t>
  </si>
  <si>
    <t>Söz konusu talep Avrupa Yakası Yol Bakım ve Onarım Şube Müdürlüğü'ne iletilmiş olup, imalatı yapılacaktır.</t>
  </si>
  <si>
    <t>41.07018469552978, 28.865203728006648</t>
  </si>
  <si>
    <t>Barbaros Cad. Projesi Durdurularak Yeniden Değerlendirilmesi</t>
  </si>
  <si>
    <t>Ulaşım Dairesi Başkanlığı tarafından çalışmaları yürütülen “İstanbul Sürdürülebilir Kentsel Ulaşım Planı (SKUP) Aşama II. Uygulama Planı” projesi faaliyetleri arasında yer alan Sağlıklı Sokak uygulamaları  kapsamında çalışılan pilot alanlar arasında yer almakta olup, konsept projesi tamamlanmıştır.</t>
  </si>
  <si>
    <t>41.056925266983875, 28.855139593105545</t>
  </si>
  <si>
    <t>Esenyurt Geneli Planlanan Bisiklet Yolu Projesi</t>
  </si>
  <si>
    <t>Uzunluk 26 000 M, Genişlik 2.5 Metre</t>
  </si>
  <si>
    <t>İlçe genelindeki bisiklet yolları “İstanbul SKUP: Aşama II-Uygulama Planı” projesi kapsamında etüd edilmektedir.
esenyurt geneli bisiklet yolu projeleri 2016-2019 yılları arasında &amp;quot;istanbul geneli bisiklet yolları ana planı&amp;quot; hazırlanması işi kapsamında projelendirilip utk kararları alınmıştır. bu projelerden yeşil alanlar içerisinde kalan kısımları uygulanmış olup geriye kalan kısımlar proje aşamasında kalmıştır. daha sonradan çevre şehircilik ve iklim değişikliği bakanlığı tarafından 2015 yılındaki bisiklet yolları yönetmeliği aralık 2019 yılında revize edilmiştir. bu yönetmeliğin revizesi sonucunda, daha önceden projelendirilen bisiklet yollarının yeniden projelendirilip utk kararının alınması gerekmektedir. bahse konu ilçe genelinde bisiklet yolu projeleri kısa vade planlama çalışmalarımız arasına alınmıştır.</t>
  </si>
  <si>
    <t>41.036825267600435, 28.674911340486</t>
  </si>
  <si>
    <t>Esenyurt İlçesi, Hadımköy E5 Bağlantı Yolu İle Gazi Caddesi Arası 591. Sokak İmar Yolu Geometrik Düzenleme Projesi</t>
  </si>
  <si>
    <t>Uzunluk 2500 M, Genişlik 30 Metre</t>
  </si>
  <si>
    <t>28.06.2018 tarihli UTK 2018/25-11 nolu karar alınmış olup dağıtım yazısı Ulaşım Projeleri Şube Müdürlüğü'ne gönderilmiştir.
söz konusu talep ulaşım dairesi başkanlığı tarafından değerlendirmeye alınmıştır.</t>
  </si>
  <si>
    <t>41.038697, 28.661176</t>
  </si>
  <si>
    <t>Esenyurt İlçesi, Tem -D100 Bağlantı Yolu Üzeri, Bahçeyolu Caddesi Köprü Projesi</t>
  </si>
  <si>
    <t>Uzunluk 120 M, Genişlik 12 Metre</t>
  </si>
  <si>
    <t>27.07.2023 tarihli UTK 2023/29-3 nolu karar alınmış olup dağıtım yazısı Altyapı Projeler Şube Müdürlüğü'ne gönderilmiştir.
söz konusu talep ulaşım dairesi başkanlığı tarafından değerlendirmeye alınmıştır.</t>
  </si>
  <si>
    <t>41.02978298262018, 28.68189932346535</t>
  </si>
  <si>
    <t>Güzelyurt Mah Fatih Cad.    Tretuvar Ve Asfalt Yol Yapımı</t>
  </si>
  <si>
    <t>Uzunluk 678 M,Alan 6.780 M2 Kaldırım 2.712 M2 Asfalt Tonaj Ton 1.139,04 Ton</t>
  </si>
  <si>
    <t>41.01049257962353, 28.663414790342184</t>
  </si>
  <si>
    <t>İnönü Mah Belde  Cad.  Tretuvar Ve Asfalt Yol Yapımı</t>
  </si>
  <si>
    <t>Uzunluk 581 M,Alan 5.810 M2 Kaldırım 2.324 M2 Asfalt Tonaj 976,08 Ton</t>
  </si>
  <si>
    <t>41.01088931679024, 28.66229869244454</t>
  </si>
  <si>
    <t>Piri Reis  Mah 1993 Sok.  Tretuvar Ve Asfalt Yol Yapımı</t>
  </si>
  <si>
    <t>Uzunluk 600 M,Alan 12000 M2 Kaldırım 3000 M2 Asfalt Tonaj 1440 Ton</t>
  </si>
  <si>
    <t>41.01973903385378, 28.646886668508543</t>
  </si>
  <si>
    <t>Bağlarçeşme Mah.Bağlarçeşme Caddesi Kaldırım Ve Asfalt Yol Yapımı</t>
  </si>
  <si>
    <t>Uzunluk 847 M, Alan 101.64,00 M2 Asfalt Tonaj 3.171,17 Ton</t>
  </si>
  <si>
    <t>41.03650318708733, 28.668835345526613</t>
  </si>
  <si>
    <t>Ders Atölyesi</t>
  </si>
  <si>
    <t>Değerlendirme Yapılacaktır</t>
  </si>
  <si>
    <t>41.03655011762, 28.67276557327367</t>
  </si>
  <si>
    <t>Saadetdere Mah.Abdi İpekçi Cad.Prestij Cadde Yapımı</t>
  </si>
  <si>
    <t>Esenyurtta Yaşayan Vatandaşlarımızın Ulaşımını Kolaylaştırılması</t>
  </si>
  <si>
    <t>41.009926206920326, 28.694243753044567</t>
  </si>
  <si>
    <t>Talatpaşa Mah. Pazaryolu Cad. Tretuvar Ve  Asfalt Yol Yapımı</t>
  </si>
  <si>
    <t>Uzunluk 1200 M,Alan 12.000 M2 Asfalt Tonaj 3.744 Ton</t>
  </si>
  <si>
    <t>41.02205456045533, 28.680289226588283</t>
  </si>
  <si>
    <t>Haramidere Atıksu Tüneli</t>
  </si>
  <si>
    <t>(2.541 m)</t>
  </si>
  <si>
    <t>41.007211580735145, 28.672965105284547</t>
  </si>
  <si>
    <t>Sefaköy Esenyurt Arası İçmesuyu Tünel İnşaatı (Melen Tünelinin Devamı)</t>
  </si>
  <si>
    <t>15.5km uzunluğunda 3000 mm çapında tünel yapılması planlanmaktadır.</t>
  </si>
  <si>
    <t>41.03598362874478, 28.6729801499949</t>
  </si>
  <si>
    <t>Akçaburgaz Mahallesi Halil Fahri Orman Caddesi Prestij Cadde Uygulaması</t>
  </si>
  <si>
    <t>Uzunluk 1350 M, Genişlik 5 Metre</t>
  </si>
  <si>
    <t>41.07650306539646, 28.632889795901434</t>
  </si>
  <si>
    <t>Doğum Hastanesi (738 ada 2 parselYakuplu Mahallesi Akşemseddin Caddesi)</t>
  </si>
  <si>
    <t>41.01316099120149, 28.66089974008001</t>
  </si>
  <si>
    <t>Süleymaniye Mah. Tem-D100 Bağlantı Yolundan Ispartakule Cad. Çıkış Kavşak Düzenleme Projesi</t>
  </si>
  <si>
    <t>Uzunluk 500 M, Genişlik 10 Metre</t>
  </si>
  <si>
    <t>41.042205756562296, 28.677090453541325</t>
  </si>
  <si>
    <t>Tem D100 Haramidere Bağlantı Yolları Güney Kuzey Yan Yolları Ve Kavşak Düzenleme Projesi</t>
  </si>
  <si>
    <t>Uzunluk 12 Km, Alan 130.000 M2</t>
  </si>
  <si>
    <t>41.00688772917137, 28.67442422698892</t>
  </si>
  <si>
    <t>Üçevler Mah. 955. Sokak Yol Genişletme Ve Doğan Araslı Bulv. Sinyalize Kavşak Geometrik Düzenleme Projesi</t>
  </si>
  <si>
    <t>Uzunluk 100 M, Genişlik 15 Metre</t>
  </si>
  <si>
    <t>41.02815807238646, 28.68159857012369</t>
  </si>
  <si>
    <t>Ayvansaray-Alibeyköy Bisiklet Yolu Projesi</t>
  </si>
  <si>
    <t>7.000</t>
  </si>
  <si>
    <t>Sahil bandında kesintisiz bisiklet yolu çalışmaları devam etmekte olup, söz konusu bisiklet yolları “İstanbul SKUP: Aşama II-Uygulama Planı”  projesi kapsamında etüd edilmektedir.
eyüpsultan ilçesindeki bisiklet yolu projeleri haliç çevresinde yoğunlaşmaktadır. 2018 yılında haliç kıyısı (eminönü-alibeyköy sahil bandı arası) bisiklet yolu çalışmaları ulaşım dairesi başkanlığı tarafından yapılıp, projenin utk kararı alınmıştır. daha sonradan&amp;nbsp; park bahçe ve yeşil alanlar dairesi başkanlığı tarafından haliç kıyısı kentsel tasarım yarışmasına açılmış olup, yarışma sonucunda seçilen projenin uygulaması park bahçe ve yeşil alanlar dairesi başkanlığı tarafından yapılmıştır. seçilen projenin içerisindeki bisiklet yollarının bir kısmı uygulanmış olup, geriye kalan kısımlar uygulama zorluklarından dolayı yerinde uygulanmamıştır. ulaşım dairesi başkanlığı tarafından, uygulanmayan kısımlar için alanın arazi çalışmaları bitmiştir. ulaşım dairesi başkanlığı sahil bandı kesintisiz bisiklet yolu çalışmalarına devam etmektedir.</t>
  </si>
  <si>
    <t>Devam Ediyor</t>
  </si>
  <si>
    <t>41.03889803169969, 28.937700126851137</t>
  </si>
  <si>
    <t>Balçık Tekkesi Kent Müzesi</t>
  </si>
  <si>
    <t>618,00 M²Eyüpsultan’In Kimliğine Katkıda Bulunacak Mekanlar Oluşturmak</t>
  </si>
  <si>
    <t>Tarihi Miras Konularında Müşterek Ve Münhasıran Yapılacak İşlerin Planlanması işi içinde değerlendirilecektir.</t>
  </si>
  <si>
    <t>41.04311404279349, 28.936936376298785</t>
  </si>
  <si>
    <t>Çiftalan İmar Planı</t>
  </si>
  <si>
    <t>40 Hektar</t>
  </si>
  <si>
    <t>Eyüpsultan İlçesinde Öncelikli alanların plan çalışmalarının tamamlanmasına müteakip&amp;#160; ele alınacaktır.</t>
  </si>
  <si>
    <t>41.2532600, 28.9084500</t>
  </si>
  <si>
    <t>Eyüp Merkez Çevresi İmar Planı</t>
  </si>
  <si>
    <t>124.3 Hektar</t>
  </si>
  <si>
    <t>İ​lçe ile görüşmeler yapılmakta olup plan&amp;#160;çalışmalarının başlaması için gerekli altlıklar belirlenmektedir.​</t>
  </si>
  <si>
    <t>41.0477108, 28.9335626</t>
  </si>
  <si>
    <t>Mareşal Fevzi Çakmak Caddesi Yeşilalan Düzenlemesi</t>
  </si>
  <si>
    <t>1210M2</t>
  </si>
  <si>
    <t>41.0724726, 28.9485615</t>
  </si>
  <si>
    <t>Vardar Bulvarı Parkı</t>
  </si>
  <si>
    <t>4090M2</t>
  </si>
  <si>
    <t>41.0721444, 28.9382112</t>
  </si>
  <si>
    <t>Rami Bölge Parkı, Cami Ve Otoparklar</t>
  </si>
  <si>
    <t>118.872,00 M²Bölgeye Hizmet Verecek Donatı Alanları Oluşturmak, Yeni Otopark Yönetmeliğine Göre Bölgesel Otoparklar Planlamak</t>
  </si>
  <si>
    <t>ulaşım dairesi başkanlığı tarafından eyüpsultan ilçesi, rami yeni mahallesinde; yaklaşık 350 araç kapasiteli eyu-17 katlı otopark alanı&amp;nbsp; planlanmıştır.söz konusu alan ile ilgili olarak; mülkiyet sorununun çözümlenmesi&amp;nbsp; amacıyla konu kamulaştırma şube müdürlüğüne resmi yazımız ile iletilecektir.</t>
  </si>
  <si>
    <t>41.0482538, 28.9176527</t>
  </si>
  <si>
    <t>Yeşilpınar Otopark</t>
  </si>
  <si>
    <t>5.000,00 M²Bölgenin Otopark İhtiyacına Karşılık Vermek</t>
  </si>
  <si>
    <t>*******Ulaşım Dairesi Başkanlığı tarafından Eyüpsultan ilçesi, Yeşilpınar mahallesinde, EYU-01 kodlu zemin altı otopark alanı planlanmıştır.  Söz konusu alan ile ilgili olarak; arazi çalışmaları ve ilçe belediyeleri toplantıların yanı sıra alanın imar durumu, mülkiyet bilgisi,  büyüklüğü ve geometrisi, erişilebilirliği vb. kriterler ile ilgili olarak revizyon çalışmaları ve değerlendirmelerimiz devam etmektedir. Bu çalışmalar sonucunda Kamulaştırma Şube Müdürlüğüne resmi yazımız ile iletilecektir.*******
ulaşım dairesi başkanlığı tarafından eyüpsultan ilçesi, yeşilpınar mahallesinde; yaklaşık 300 araç kapasiteli eyu-01 zemin altı otopark alanı&amp;nbsp; planlanmıştır.söz konusu alan ile ilgili olarak; mülkiyet sorununun çözümlenmesi&amp;nbsp; amacıyla konu emlak şube müdürlüğüne resmi yazı ile iletilecektir.</t>
  </si>
  <si>
    <t>41.0714427, 28.9265104</t>
  </si>
  <si>
    <t>Eyüpsultan İlçesi Ayvansaray Metrobüs Durağı Yaya Üst Geçidi Kesit Değişikliği Projesi</t>
  </si>
  <si>
    <t>Engelli Erişimine Uygun Rampalar İle Birlikte Mevcut Yaya Üst Geçidinin Betonarme Kesit Değişikliği Projesi</t>
  </si>
  <si>
    <t>41.0384359, 28.9369778</t>
  </si>
  <si>
    <t>7a1bb9a6-6350-ee11-b8de-005056b0106f</t>
  </si>
  <si>
    <t>Eyüpsultan Kemerburgaz 338 ada 2 parsel ve 335 ada 35 parsel Özel Eğitim Alanı+BHA</t>
  </si>
  <si>
    <t>41.1591934, 28.9136212</t>
  </si>
  <si>
    <t>053262a5-0bf8-ef11-b911-005056b0106f</t>
  </si>
  <si>
    <t>Eyüpsultan Kemerburgaz 338 Ada 2 Parsel ve 335 Ada 35 Parsel Özel Eğitim Alanı ve BHA</t>
  </si>
  <si>
    <t>Eyüpsultan Alibeyköy 845 ada 4-5 parseller Kültür Kompleksi Projesi</t>
  </si>
  <si>
    <t>41.0804781, 28.9456365</t>
  </si>
  <si>
    <t>Eyüpsultan Alibeyköy 187 ada 3 parsel Cami Projesi</t>
  </si>
  <si>
    <t>Eyüpsultan Hayvan Barınağı Ve Rehabilitasyon Merkezi</t>
  </si>
  <si>
    <t>20.526,36 M²Sokak Hayvanlarının Beslenme, Barınma, Veterinerlik Hizmetlerini Karşılamak Ve Sahiplendirmek</t>
  </si>
  <si>
    <t>41.1384596, 28.9389435</t>
  </si>
  <si>
    <t>Akşemsettin Anaokulu</t>
  </si>
  <si>
    <t>1.900,00 M²Her Mahalleye Anaokulu Kazandırmak</t>
  </si>
  <si>
    <t>ilçeden uygun alanlar iletilmesi halinde talep değerlendirilecektir.</t>
  </si>
  <si>
    <t>41.0852977, 28.9253722</t>
  </si>
  <si>
    <t>Alibeyköy Kent Müzesi Ve Ders Atölyesi</t>
  </si>
  <si>
    <t>483,60 M²Eyüpsultan’In Kimliğine Katkıda Bulunacak Mekanlar Oluşturmak, Öğrencilerin Derslerine Ve Sınav Hazırlıklarına Yardımcı Alanlar Oluşturmak</t>
  </si>
  <si>
    <t>41.0840935, 28.9259595</t>
  </si>
  <si>
    <t>Alibeyköy Mahalle Lokantası</t>
  </si>
  <si>
    <t>Uygun Fiyatlı Ve Sağlıklı Yemekleri Halka Ulaştırmak</t>
  </si>
  <si>
    <t>41.0799264, 28.9465597</t>
  </si>
  <si>
    <t>Alibeyköy Meydan, Asm Ve Muhtarlık</t>
  </si>
  <si>
    <t>1.113,00 M²Eyüpsultan Meydanı'Nı Daha İşlevsel Hale Getirmek, Mahallelerin Sağlık Hizmetlerine Erişimini Arttırmak</t>
  </si>
  <si>
    <t>41.0767885, 28.9439954</t>
  </si>
  <si>
    <t>Alibeyköy Yaş Almış Vatandaşlar İçin Sosyal Mekan Ve Otopark</t>
  </si>
  <si>
    <t>2.800,00 M²Yaş Almış Vatandaşlar İçin Aktivite Mekanları Düzenlemek, Bölgenin Otopark İhtiyacına Karşılık Vermek</t>
  </si>
  <si>
    <t>41.0815343, 28.9454526</t>
  </si>
  <si>
    <t>Cengiz Topel Caddesi Düzenlemesi</t>
  </si>
  <si>
    <t>41.0816859, 28.9286074</t>
  </si>
  <si>
    <t>Çırçır Mola Evi (Engelli)</t>
  </si>
  <si>
    <t>3.200,00 M²Engelli Vatandaşların Sosyal Hayata Katılacağı Mekanlar Oluşturmak</t>
  </si>
  <si>
    <t>mülkiyeti maliye arazisi olan 35 ada 33 parsel sağlık tesis alanıdır. mülkiyeti ibb olan (ancak kişiler tahsis edilmiş olan) 34 ada 8 parsel ortaöğretim tesis alanıdır. bu nedenle plan tadilatı ve belediyemiz adına tahsis yapılması aşamasından sonra değerlendirilebilir.</t>
  </si>
  <si>
    <t>41.0813672, 28.9367083</t>
  </si>
  <si>
    <t>Engelli Kampı</t>
  </si>
  <si>
    <t>Çırçır Şelale Park Anaokulu</t>
  </si>
  <si>
    <t>6.006,37 M²Çırçır Şelale Park Anaokulu</t>
  </si>
  <si>
    <t>41.0861043, 28.9337454</t>
  </si>
  <si>
    <t>Defterdar Ders Atölyesi Ve Asm</t>
  </si>
  <si>
    <t>597,83 M²Öğrencilerin Derslerine Ve Sınav Hazırlıklarına Yardımcı Alanlar Oluşturmak, Mahallelerin Sağlık Hizmetlerine Erişimini Arttırmak</t>
  </si>
  <si>
    <t>41.0374183, 28.9336785</t>
  </si>
  <si>
    <t>Düğmeciler Anaokulu Ve Bölge Parkı</t>
  </si>
  <si>
    <t>30.779,00 M²Her Mahalleye Anaokulu Kazandırmak, Çocuklar Ve Ailelerinin Vakit Geçireceği Donatı Alanları Oluşturmak</t>
  </si>
  <si>
    <t>41.0453551, 28.9254901</t>
  </si>
  <si>
    <t>Göktürk Mahallesi 1858 Parsel zemin altı otopark</t>
  </si>
  <si>
    <t>8.711,20 M²</t>
  </si>
  <si>
    <t>Eyüpsultan Belediyesi Başkanlığına EYU-71 kodlu alan ile ilgili olarak   görüş sorulmuş, Eyüpsultan Belediyesi Başkanlığı Fen İşleri Müdürlüğünün cevabi yazısında: "EYU-71 alanları için herhangi bir projemiz bulunmamaktadır."  Emlak ve İstimlak Müdürlüğü'nün cevabi yazısında: "EYU-71 kodlu otopark alanlarına ilişkin müdürlüğümüzce herhangi bir sakınca bulunmamaktadır.", Park ve Bahçeler Müdürlüğünün cevabi yazısında: "EYU-71 kodlu otopark alanı Müdürlüğümüzce "Cumhuriyet Parkı" isimli parkımız olup park alanı olarak kullanımına devam edilecektir.", Etüt Projeler Müdürlüğü'nün cevabi yazısında: "EYU-71 kodlu otopark alanı mevcut Pazar Alanı işlevinin sürdürülmesi ve alanın otopark işlevi yanında "Meydan ve Odak Noktası" olarak projelendirilmesi Müdürlük görüşümüzdür." denilmiştir. Söz konusu görüş ile birlikte Etüd ve Projeler Dairesi Başkanlığına iletilecektir.</t>
  </si>
  <si>
    <t>41.1943940, 28.8791339</t>
  </si>
  <si>
    <t>Eyüpsultan Meydanı Düzenleme</t>
  </si>
  <si>
    <t>Eyüpsultan Meydanı'Nı Daha İşlevsel Hale Getirmek Ve İşgalleri Sonlandırmak</t>
  </si>
  <si>
    <t>41.0475276, 28.9336182</t>
  </si>
  <si>
    <t>Eyüpsultan Yaşam Merkezi</t>
  </si>
  <si>
    <t>4.312,84 M²Taziye Evi, Çok Amaçlı Salon</t>
  </si>
  <si>
    <t>mülkiyetiilçe belediyesine ve diğer şahıslara ait olup belediyemiz adına tahsis yapılması durumunda proje konusu olarak değerlendirilebilir.</t>
  </si>
  <si>
    <t>41.0742000, 28.9539019</t>
  </si>
  <si>
    <t>Eyüpsultan Göktürk mah.0 ada 1232 parsel Kültür Kompleksi Projesi</t>
  </si>
  <si>
    <t>1.920,52 M²Gençleri Kültür Ve Sanata Teşvik Etmek</t>
  </si>
  <si>
    <t>41.1799680, 28.8864504</t>
  </si>
  <si>
    <t>add0f050-1ff4-ef11-b90e-005056b0106f</t>
  </si>
  <si>
    <t>Eyüpsultan Göktürk Mah 0 ada 1232 parsel Kültür Kompleksi Projesi</t>
  </si>
  <si>
    <t>Göktürk Otopark</t>
  </si>
  <si>
    <t>8.711,20 M²Yeni Otopark Yönetmeliğine Göre Bölgesel Otoparklar Planlamak</t>
  </si>
  <si>
    <t>41.1810304, 28.8826149</t>
  </si>
  <si>
    <t>Göktürk Spor Salonu</t>
  </si>
  <si>
    <t>Spor Yapabilme Olanaklarını Arttırmak</t>
  </si>
  <si>
    <t>41.1838650, 28.8814034</t>
  </si>
  <si>
    <t>Göktürk Tiyatro Ve Sanat Akademisi</t>
  </si>
  <si>
    <t>5.438,57 M²Gençleri Kültür Ve Sanata Teşvik Etmek</t>
  </si>
  <si>
    <t>mülkiyeti maliye hazinesine ve diğer şahıs ve iş yerlerine ait olup belediyemiz adına tahsis veya kullanım hakkı talep edilmelidir. parsel belirli kullanıcılar tarafından 21 yıldır işgal altındadır.</t>
  </si>
  <si>
    <t>41.1793403, 28.8842763</t>
  </si>
  <si>
    <t>Haliç Kıyı Bandı Düzenleme</t>
  </si>
  <si>
    <t>Haliç Kıyı Bandını İyileştirerek Daha İşlevsel Hale Getirmek</t>
  </si>
  <si>
    <t>41.0540371, 28.9374300</t>
  </si>
  <si>
    <t>İslambey Anaokulu Ve Otopark</t>
  </si>
  <si>
    <t>1.100,00 M²Her Mahalleye Anaokulu Kazandırmak, Bölgenin Otopark İhtiyacına Karşılık Vermek</t>
  </si>
  <si>
    <t>41.0512075, 28.9268724</t>
  </si>
  <si>
    <t>Kemerburgaz Anaokulu Ve Otopark</t>
  </si>
  <si>
    <t>2.572,75 M²Her Mahalleye Anaokulu Kazandırmak, Bölgenin Otopark İhtiyacına Karşılık Vermek</t>
  </si>
  <si>
    <t>41.1575179, 28.9140205</t>
  </si>
  <si>
    <t>Kemerburgaz Kültür Köyü</t>
  </si>
  <si>
    <t>23.214,80 M²Kiralanabilir Ofis Ve Kafeterya Projesi Ve Uygulaması</t>
  </si>
  <si>
    <t>41.1586501, 28.9154798</t>
  </si>
  <si>
    <t>Kemerburgaz Spor Alanı Ve Otopark</t>
  </si>
  <si>
    <t>3.910,58 M²Spor Yapabilme Olanaklarını Arttırmak, Bölgenin Otopark İhtiyacına Karşılık Vermek</t>
  </si>
  <si>
    <t>41.1600153, 28.9156649</t>
  </si>
  <si>
    <t>Merkez Taziye Ve Ödev Evi</t>
  </si>
  <si>
    <t>150,00 M²Öğrencilerin Derslerine Ve Sınav Hazırlıklarına Yardımcı Alanlar Oluşturmak</t>
  </si>
  <si>
    <t>belirtilen yer bulunamamıştır, ilçe belediyesinden gelecek yer bilgisi ve ihtiyaç programı doğrultusunda yeniden değerlendirilebilir.</t>
  </si>
  <si>
    <t>41.0541925, 28.9332576</t>
  </si>
  <si>
    <t>Taziye Evi</t>
  </si>
  <si>
    <t>Nişancı Anaokulu</t>
  </si>
  <si>
    <t>228,00 M²Her Mahalleye Anaokulu Kazandırmak</t>
  </si>
  <si>
    <t>41.0416301, 28.9316876</t>
  </si>
  <si>
    <t>Sakarya Yetenek Akademisi Ve Otopark</t>
  </si>
  <si>
    <t>9.673,99 M²Çocukların Çeşitli Alanlarda Yeteneklerini Keşfedeceği Tesisleri Ve Yeni Otopark Yönetmeliğine Göre Bölgesel Otoparklar Planlamak</t>
  </si>
  <si>
    <t>41.0653597, 28.9402516</t>
  </si>
  <si>
    <t>Yeşilpınar Ders Atölyesi Ve Ödev Evi</t>
  </si>
  <si>
    <t>376,50 M²Öğrencilerin Derslerine Ve Sınav Hazırlıklarına Yardımcı Alanlar Oluşturmak</t>
  </si>
  <si>
    <t>41.0768119, 28.9211535</t>
  </si>
  <si>
    <t>Eyüpsultan Mevcut Nikah Dairesi Yeniden İşlevlendirme Projesi</t>
  </si>
  <si>
    <t>Nikah Sarayı’Nın Revizyonu; Tiyatro Salonu Olabilir Mi? (Protokol Gerekebilir).</t>
  </si>
  <si>
    <t>41.0604027, 28.9430011</t>
  </si>
  <si>
    <t>Cankurtaran İshak Paşa Caddesi Yayalaştırma Projesi</t>
  </si>
  <si>
    <t>İshakpaşa Caddesinin Yaklaık 250 M'Lik Bölümünün Yayalaştırılarak Cadde Ve Meydan Düzenlemesinin Yapılması</t>
  </si>
  <si>
    <t>*****Bahse konu proje ile ilgili Ulaşım Koordinasyon Şube Müdürlüğü tarafından yapılan bir çalışma bulunmamaktadır.*****</t>
  </si>
  <si>
    <t>41.0065133, 28.9816912</t>
  </si>
  <si>
    <t>Gülhane Parkı Anaaks Ve Gotlar Sütunu Düzenleme Projesi</t>
  </si>
  <si>
    <t>41.0130166, 28.9806775</t>
  </si>
  <si>
    <t>89a85444-db0f-ec11-b87e-005056b0336f</t>
  </si>
  <si>
    <t>Gülhane Parkı Türbeler Müdürlüğü Bahçesi Peyzaj Projesi (Kurul Paftası)</t>
  </si>
  <si>
    <t>41.0157937, 28.9718012</t>
  </si>
  <si>
    <t>33206d39-dd0f-ec11-b87e-005056b0336f</t>
  </si>
  <si>
    <t>Şehit Ahmet Kara Parkı</t>
  </si>
  <si>
    <t>41.0166378, 28.9557702</t>
  </si>
  <si>
    <t>4c1d95a1-7032-ed11-b8ae-005056b0106f</t>
  </si>
  <si>
    <t>Aksaray Meydanı Kentsel Tasarım Projesi Modellenmesi ve Mesh Modele Entegrasyonu</t>
  </si>
  <si>
    <t>Aksaray Meydan Projesi'nin 3 boyutlu modellemesi yapılarak animasyon ve mesh model hazırlanması işi.</t>
  </si>
  <si>
    <t>Proje çalışmaları tamamlanmış olup arşive kaldırılmıştır.</t>
  </si>
  <si>
    <t>93316d93-2444-ef11-b8eb-005056b0106f</t>
  </si>
  <si>
    <t>İstanbul Tarihi Yarımada Proje Alanlarının Mesh Modelinin Hazırlanması işi</t>
  </si>
  <si>
    <t>41.00878295603727, 28.953297718465585</t>
  </si>
  <si>
    <t>ce53c88f-2344-ef11-b8eb-005056b0106f</t>
  </si>
  <si>
    <t>Unkapanı Caddesi ile Aksaray Meydanı Arası Atatürk Bulvarı Kentsel Tasarım Uygulama  Projesi Modellenmesi ve Mesh Modele Entegrasyonu</t>
  </si>
  <si>
    <t>41.01651889411154, 28.956055940673153</t>
  </si>
  <si>
    <t>16cf2ee7-2444-ef11-b8eb-005056b0106f</t>
  </si>
  <si>
    <t>Vatan Caddesi Kentsel Tasarım Projesi Modellenmesi Ve Mesh Modele Entegrasyonu İşi</t>
  </si>
  <si>
    <t>40421c37-2444-ef11-b8eb-005056b0106f</t>
  </si>
  <si>
    <t>Fatih Vatan Caddesi İBB Lojman Projesi</t>
  </si>
  <si>
    <t>Planlanan
(3024 ada 1 parselVatan Caddesi)</t>
  </si>
  <si>
    <t>41.0158370, 28.9317888</t>
  </si>
  <si>
    <t>2b47b222-17f8-ef11-b911-005056b0106f</t>
  </si>
  <si>
    <t>Kamu Lojmanları</t>
  </si>
  <si>
    <t>Fatih Sitesi Ve Atılgan Sitelerinde İşbirliği</t>
  </si>
  <si>
    <t>Fatih Sitesi Ve Atılgan Sitelerinde İşbirliğinin Değerlendirilmesi</t>
  </si>
  <si>
    <t>41.0000461, 28.9240021</t>
  </si>
  <si>
    <t>Otopark Projesi (İett Garajı)</t>
  </si>
  <si>
    <t>17.567 M2 Yüzölçümlü Alanın Düzenlenmesi</t>
  </si>
  <si>
    <t>Ulaşım Dairesi Başkanlığı tarafından Fatih ilçesi, 3003 ada 68 parselde FTH-134 kodlu zeminaltı otopark alanı planlanmıştır. 04.07.2024 tarihli otopark koordinasyon toplantısında; söz konusu alan ile ilgili olarak Planlama Şube Müdürlüğü tarafından plan tadilat sürecinin devam ettiği ifade edilmiştir. Plan tadilat süreci tamamlandıktan sonra Etüd ve Projeler Dairesi Başkanlığına resmi yazımız ile iletilecektir.</t>
  </si>
  <si>
    <t>41.0164840, 28.9288694</t>
  </si>
  <si>
    <t>Otopark Projesi (Seyyid Ömer Mahallesi)</t>
  </si>
  <si>
    <t>Yaklaşık 840 M²'Lik Alanda Katlı Otopark İnşa Edilmesi</t>
  </si>
  <si>
    <t>******Ulaşım Dairesi Başkanlığı tarafından yapılmakta olan Tarihi Yarımada Ulaşım Eylem Planı kapsamında saha çalışmaları devam etmektedir. Nihai karar bu çalışmaların bitirilmesini müteakip verilecektir.*******
ulaşım dairesi başkanlığı tarafından fatih ilçesi, seyyid ömer mahallesinde; toplam 700 araç kapasiteli fth-108, fth-12, fth-30 ve fth-122 kodlu 4 adet otopark alanı planlanmıştır. söz konusu alanlar, istanbul otopark ana planı kapsamında değerlendirilecektir.</t>
  </si>
  <si>
    <t>41.0089056, 28.9317343</t>
  </si>
  <si>
    <t>Süleymaniye, Nişanca Ve Cankurtaran Bölgeleri Yayalaştırma Projeleri</t>
  </si>
  <si>
    <t>Yayalaştırılmış Bölgelerin Oluşturulması, Trafik Akışının Yeniden Düzenlenmesi</t>
  </si>
  <si>
    <t>******Bahse konu proje ile ilgili Ulaşım Koordinasyon Şube Müdürlüğü tarafından yapılan bir çalışma bulunmamaktadır.******
söz konusu talep ulaşım dairesi başkanlığı tarafından değerlendirilecektir.</t>
  </si>
  <si>
    <t>41.0091131, 28.9861756</t>
  </si>
  <si>
    <t>Trafik Sıkışıklığı Ücretlendirmesi/Düşük Emisyon Bölgeleri</t>
  </si>
  <si>
    <t>Ulaşım Dairesi Başkanlığı tarafından çalışmaları yürütülen  “İstanbul SKUP: Aşama II-Uygulama Planı” isimli projemizin faaliyetleri arasında kentin merkezi ve tarihi bölgelerinde Düşük Emisyon Alanı uygulamasına yönelik hazırlık çalışmaları yer almaktadır. Tüm sürecin vatandaş ve paydaş katılımı ile yürütüleceği çalışma kapsamındaki başlıca adımlar aşağıda özetlenmektedir:
• DEA uygulama çerçevesinin hazırlanması (Alan sınırının belirlenmesi, mevcut durum analizi-sosyo demografik, ulaşım, hava kalitesi vb. veri analizleri, modelleme çalışmaları),
• Teknik ve mali fizibilite çalışmaları,
• Uygulama plan ve projelerinin hazırlanması,
• Konuya dair bilgilendirme ve iletişim çalışmaları.
Diğer taraftan, DEA uygulamasına geçişi desteklemek amacıyla bölgede çok modlu ve entegre ulaşım sistemleri geliştirilerek özel araç kullanıcılarına alternatif ulaşım imkanlarının sağlanması, Park Et-Devam Et sisteminin yaygınlaştırılması, cadde ve yol düzenlemeleri gibi çalışmaların eş zamanlı olarak yürütülmesi planlanmakta olup, fizibilite çalışmaları devam etmektedir.
tarihi yarımada düşük emisyon bölgesi​istanbul sürdürülebilir kentsel ulaşım planı kapsamında katılımcı bir süreçle yürütülen çalışmalarda; eminönü bölgesi düşük emisyon alanı uygulaması konusunda öne çıkmıştır.25.03.2021 tarih ve 2021/3-5 sayılı ukome kararı ile “tarihi yarımada’da düşük emisyon alanı/düşük salım bölgesi” planlama çalışmalarının, alt komisyonda görüşülmesine karar verilmiştir. “düşük emisyon alanı”na geçiş süreci için toplu taşıma sistemleri, aktif ulaşım türleri ve yol/cadde düzenlemelerine ilişkin çalışmalar devam etmektedir. neden tarihi yarımada?bölgedeki hava kalitesinin artırılması; yaşam kalitesinin korunmasının yanı sıra binlerce yıllık kültür mirası tarihi eserlerin niteliklerinde hava kirliliği kaynaklı olası bozulmaları da önleyecektir.eminönü bölgesi sahip olduğu tarihi, kültürel ve doğal miras alanları nedeniyle yerli ve yabancı turist hareketliliğinin çok yoğun olarak yaşandığı, türkiye’nin iç ve dış turizminin en önemli destinasyon alanlarından birisidir. bu nedenle özel araç trafiğinin azaltılarak yaya odaklı hareketliliğin artırılması gerekmektedir.</t>
  </si>
  <si>
    <t>41.0122434, 28.9494550</t>
  </si>
  <si>
    <t>Yenikapı Arkeopark Alanı (Mülkiyet Ve Proje)</t>
  </si>
  <si>
    <t>843 Ada 2, 43,3,17 Parsellerde Ve Diğer Tüm Proje Alanındaki Şahıs Parsellerinin Haklarını Gözeten Yeni Bir Proje İle Alanın Ele Alınması,Alanın Kuzeyinde İmar Haklarının Tanımlanması İle Projenin Finanse Edileceği Bir Model Üzerinden Yenikapı Arkeoparkı Nın Kente Kazandırılması</t>
  </si>
  <si>
    <t>Etüd ve Projeler Daire Başkanlığı tarafından takip edilmektedir.</t>
  </si>
  <si>
    <t>41.0170389, 28.9851453</t>
  </si>
  <si>
    <t>Ayakapı Hamamına Yönelik Rölöve, Restitüsyon, Restorasyon ve Teşhir Tanzim Projeleri Temini</t>
  </si>
  <si>
    <t>Rölöve ve restitüsyon çalışmaları tamamlanmış, ancak özel mülkiyet durumu nedeniyle restorasyon çalışmaları aşamasına geçilememiştir.</t>
  </si>
  <si>
    <t>41.0281368, 28.9555332</t>
  </si>
  <si>
    <t>37187343-6317-ef11-b8ea-005056b0106f</t>
  </si>
  <si>
    <t>Gülhane Parkı Yıkılan Duvar Rölöve, Restitüsyon ve Restorasyon Projesi</t>
  </si>
  <si>
    <t>​Park Alanı İçindeki Tescilli Duvar</t>
  </si>
  <si>
    <t>Rölöve, restitüsyon ve rekonstrüksiyon projeleri İSTANBUL IV Numaralı KVK Bölge Kurulunda 03.07.2019 tarihinde onaylandı.</t>
  </si>
  <si>
    <t>41.0135534, 28.9812874</t>
  </si>
  <si>
    <t>d83496f4-4283-e811-810d-005056a5354a</t>
  </si>
  <si>
    <t>GOP İtfaiye</t>
  </si>
  <si>
    <t>Planlanan
(0 ada 15806,175 parselBarbaros Hayrettinpaşa Mahallesi)</t>
  </si>
  <si>
    <t>41.071786487563514, 28.889789812443958</t>
  </si>
  <si>
    <t>22926f30-44fe-ee11-b8e8-005056b0106f</t>
  </si>
  <si>
    <t>Gaziosmanpaşa İtfaiye Binası Projesi</t>
  </si>
  <si>
    <t>Gaziosmanpaşa Küçükköy 3067 Ada 3 Parsel Engelsiz Yaşam Hizmet Binası Projesi</t>
  </si>
  <si>
    <t>41.0732350, 28.9035632</t>
  </si>
  <si>
    <t>404ea2a9-e8f8-ef11-b911-005056b0106f</t>
  </si>
  <si>
    <t>Bağlarbaşı İstanbul Cad. 7A-7B Bölgesi Park Projesi</t>
  </si>
  <si>
    <t>Bağlarbaşı İstanbul Cad. 7A-7B Bölgesi Park Projesi.</t>
  </si>
  <si>
    <t>41.0679700, 28.9195225</t>
  </si>
  <si>
    <t>Gaziosmanpaşa Hekimsuyu Caddesi Tem Otoyolu Dönüş Cebi İstinat Duvarı Projesi</t>
  </si>
  <si>
    <t>​Uzunluk 112 M. Proje Üzerinde 334 M2 Yüzey Alını Olan Kazıklı Duvar Projesidir.</t>
  </si>
  <si>
    <t>41.0897477, 28.9067110</t>
  </si>
  <si>
    <t>678340c6-e17c-4c05-87c7-44a5ad6f573c</t>
  </si>
  <si>
    <t>Bağlarbaşı Destegül Sokak Park Düzenlemesi</t>
  </si>
  <si>
    <t>Bağlarbaşı Destegül Sokak Park Düzenlemesi (Mülkiyet Kimde).</t>
  </si>
  <si>
    <t>41.0670523, 28.9131794</t>
  </si>
  <si>
    <t>Gaziosmanpaşa Belediyesi Hizmet Binalarının Güçlendirilmesi</t>
  </si>
  <si>
    <t>Belediye Hizmet Binalarının Güçlendirilmesi.</t>
  </si>
  <si>
    <t>41.0601581, 28.9165116</t>
  </si>
  <si>
    <t>fda28f5e-82b0-ef11-b90d-005056b0106f</t>
  </si>
  <si>
    <t>Gaziosmanpaşa Belediyesi Ana Hizmet Binası Güçlendirme Projesi</t>
  </si>
  <si>
    <t>Engelli Koordinasyon Merkezi</t>
  </si>
  <si>
    <t>Engelli Koordinasyon Merkezi; Mülkiyeti İlçede.</t>
  </si>
  <si>
    <t>41.0697599, 28.9067205</t>
  </si>
  <si>
    <t>Küçükköy Meydanı Düzenleme</t>
  </si>
  <si>
    <t>Küçükköy Meydanı Düzenleme; Trafiğin Yer Altına Alınması</t>
  </si>
  <si>
    <t>41.0736459, 28.9031553</t>
  </si>
  <si>
    <t>Gaziosmanpaşa Karadeniz Mahallesi, Tekin Küçükali Spor Tesisinin Bakım Onarımının Yapılması</t>
  </si>
  <si>
    <t>41.0796500, 28.8808485</t>
  </si>
  <si>
    <t>Güngören İlçesi Kale Center Alışveriş Merkezinin Arkasında Bulunan Adnan Kahveci Bulvarı Üst Geçidinin Kaldırılması Veya Düzenlenmesi</t>
  </si>
  <si>
    <t>Trafik Yoğunluğu Nedeniyle Düzenleme Yapılması.</t>
  </si>
  <si>
    <t>Bahse konu proje ile ilgili Ulaşım Koordinasyon Şube Müdürlüğü tarafından yapılan bir çalışma bulunmamaktadır.</t>
  </si>
  <si>
    <t>41.0154208, 28.8772049</t>
  </si>
  <si>
    <t>Güngören İlçesi Kale Outlet Center Alışveriş Merkezi Önü (Karadeniz Caddesi Tarafı) Kamu Yararına Kamulaştırma Yapılarak Tesis Ve Meydan Olarak Düzenlenmesi Yapılması</t>
  </si>
  <si>
    <t>Bina Kamulaştırma İşlemi Ve Tramvay Hattının Deplase Edilmesi.</t>
  </si>
  <si>
    <t>Kamulaştırmalar devam etmektedir. Proje çalışması da sürdürülmektedir.</t>
  </si>
  <si>
    <t>41.0150960, 28.8775514</t>
  </si>
  <si>
    <t>Güngören İlçesi, Merter Metrobüs İstasyonu Yaya Üstgeçidi Projesi</t>
  </si>
  <si>
    <t>​Yeniden Yapım Öngermeli Prekast Üst Geçiti</t>
  </si>
  <si>
    <t>Üst geçit ile Metro istasyonunu birleştirmek için ön yerleşim çalışıldı.Raylı sistemlere görüş sorulmuş olup geçen süre zarfında herhangi bir geri bildirim olmamasından dolayı iş iptal edilmiştir</t>
  </si>
  <si>
    <t>41.0074649, 28.8963483</t>
  </si>
  <si>
    <t>cc07ed38-d052-ee11-b8e0-005056b0106f</t>
  </si>
  <si>
    <t>Güngören İlçesi, Merter Metrobüs İstasyonu Yaya Üstgeçidi Kesit Değişikliği Projesi</t>
  </si>
  <si>
    <t>Abdi İpekçi Caddesi Tramvay Çok Yavaşlıyor; Düzenlenmesi</t>
  </si>
  <si>
    <t>Abdi İpekçi Caddesi Üzerinde Araç Trafiğinin Tramvay İle Eklendiği Yerde Tramvay Çok Yavaşlıyor; Düzenlenmesi</t>
  </si>
  <si>
    <t>****Bahse konu noktada Tramvay yolu ve hemzemin araç bulunduğundan trafik yavaşlamakta olup araç yeni bir yol oluşturmak üzere kamu alanı bulunmadığı için proje çalışılamamaktadır.
Söz konusu talep Ulaşım Dairesi Başkanlığı tarafından değerlendirmeye alınmıştır.</t>
  </si>
  <si>
    <t>Bahse konu noktada Tramvay yolu ve hemzemin araç bulunduğundan trafik yavaşlamakta olup araç yeni bir yol oluşturmak üzere kamu alanı bulunmadığı için proje çalışılamamaktadır.</t>
  </si>
  <si>
    <t>41.0174985, 28.8708183</t>
  </si>
  <si>
    <t>Köyiçi Trafiğinin Yeraltına Alınması</t>
  </si>
  <si>
    <t>*******Bahse konu proje ile ilgili Ulaşım Koordinasyon Şube Müdürlüğü tarafından yapılan bir çalışma bulunmamaktadır.******
Talebe ilişkin Ulaşım Projeleri Şube Müdürlüğümüzce detaylı inceleme ve değerlendirme yapıldıktan sonra altgeçit ihtiyacı olup olmadığına karar verilecektir.</t>
  </si>
  <si>
    <t>41.0255734, 28.8703352</t>
  </si>
  <si>
    <t>İmar Şube Müdürlüğü</t>
  </si>
  <si>
    <t>Güngören Merter Ahmet Kutsi Tecer Caddesi'nin Yenilenmesi</t>
  </si>
  <si>
    <t>Söz Konusu Bölgenin Tekstil Ticareti Kapsamında Yoğun Olması Nedeniyle, Modernize Edilerek Daha Prestijli Bir Görünüme Ve Eski Binaların Yenilenmesi Anlamında Da Daha Güvenli Hale Getirmek.</t>
  </si>
  <si>
    <t>Bahse konu alanı kapsayan öncelikli olarak belirlenmiş bölgede plan çalışmaları İmar ve Şehircilik Db tarafından yürütülmektedir. Planlama süreçleri tamamalanması sonrası değerlendirilecektir.</t>
  </si>
  <si>
    <t>41.0058541, 28.8887474</t>
  </si>
  <si>
    <t>İstanbul Geneli Tip Muhtarlık Binaları Projesi</t>
  </si>
  <si>
    <t>Giriş Ve Sekreterya, Muhtar Ofisi, Arşiv, Hol Ve Muftak Nişi, Wc, Akıllı Geri Dönüşüm, Toplantı Odası​​​</t>
  </si>
  <si>
    <t>41.011218, 28.978178</t>
  </si>
  <si>
    <t>345a99ba-0828-ec11-b882-005056b0336f</t>
  </si>
  <si>
    <t>Trafik Eğitim ve Bilinçlendirme Çalışmaları</t>
  </si>
  <si>
    <t>Ulaşım Akademisi</t>
  </si>
  <si>
    <t>İstanbul’Umuza Mesleki Bilinç Ve Yeterliliğe Sahip Toplu Ulaşım Şoförleri Kazandırmak Adına Taksi, Minibüs, Taksi Dolmuş Ve Servis Şoförlerine Yönelik Kişisel Gelişim Farkındalık Eğitimlerinin Yanısıra Mevzuat Ve Temel Düzeyde İngilizce Eğitimleri Verilmektedir. Bu Kapsamda M4 Kadıköy-Sgh Metrosu Yenisahra İstasyonunda Yer Alan Özel Salonda İbb Ulaşım Akademi Anadolu Yakası Faaliyete Geçirilmiş Olup 60000'Den Fazla Şoföre Eğitim Verilmiştir.</t>
  </si>
  <si>
    <t>Halihazırda mevcuttaToplu Taşıma Aracı Kullanım Belgesi Sahibi olan şoförler 1 günlük, 8+1 şoförleri ise 10 günlük eğitim almıştır. Eğitim Verilen Şoför Sayısı&amp;#58; 69.362 30.05.2024 tarih ve 2024/4-12 sayılı UKOME Kararıyla&amp;#58;Toplu Taşıma Aracı Kullanım Belgesi almak isteyen kişilere 5 günlük (40 saat) zorunlu eğitim sonrası diğer şartları sağlamaları durumunda belge düzenlenmesine karar verilmiştir.İBB Ulaşım Akademisinin İşletilmesi İşi kapsamında 50.000 kişi/gün kadar eğitim verilmesi planlanmaktadır. İş kapsamında yapılacak eğitimlerin bedeli 3.250,00 TL kişi/gündür. Söz konusu iş kapsamında 15 personel İBB Ulaşım Akademinin işletilmesi, seminer ve etkinliklerin yürütülmesinde amacıyla görev alacaktır. Bütçe onayı beklenmektedir.</t>
  </si>
  <si>
    <t>Sahrayıcedit Mahallesi, D100 Üzeri Yenisahra Köprüsü Derz Değişim İnşaatı İşi</t>
  </si>
  <si>
    <t>40.9849193, 29.0898890</t>
  </si>
  <si>
    <t>19 Mayıs Mahallesi, Atatürk Caddesi Girişi Tuzcuoğlu Köprüsü Derz Değişim İnşaatı İşi</t>
  </si>
  <si>
    <t>40.9810577, 29.0893343</t>
  </si>
  <si>
    <t>Hürriyet Parkı Düzenlenmesi İşi</t>
  </si>
  <si>
    <t>Toplam Park Alanı Yaklaşık 8743 M²,Düzenlenecek Sert Zemin Alanı 2245M²</t>
  </si>
  <si>
    <t>40.9765105, 29.0918999</t>
  </si>
  <si>
    <t>Koşuyolu Büyük Park Düzenlenmesi İşi</t>
  </si>
  <si>
    <t>Toplam Park Alanı Yaklaşık 7884,10 M²,Düzenlenecek Sert Zemin Alanı 1279M²</t>
  </si>
  <si>
    <t>41.0087663, 29.0398778</t>
  </si>
  <si>
    <t>Mehmet Şevkipaşa Caddesi Yenileme</t>
  </si>
  <si>
    <t>416 M Yolun Yenilenmesi</t>
  </si>
  <si>
    <t>40.9580042, 29.1013860</t>
  </si>
  <si>
    <t>Rasimpaşa Mahallesi Orgeneral Şahap Gürler Caddesi'nde Kaldırımların Yenilenmesi</t>
  </si>
  <si>
    <t>520 M Kaldırım Yenileme</t>
  </si>
  <si>
    <t>40.9975515, 29.0273222</t>
  </si>
  <si>
    <t>Talatpaşa Mahallesi Acarsoy Sokak D-100 Karayolu (Darülaceze - PERPA Metrobüs Durağı Arası) Gürültü Bariyeri Tanıtımı</t>
  </si>
  <si>
    <t>Talatpaşa Mahallesi Acarsoy Sokak D-100 Karayolu (Darülaceze - Perpa Metrobüs Durağı Arası) Gürültü Bariyeri Tanıtımı</t>
  </si>
  <si>
    <t>Kağıthane ilçesi Talatpaşa Mahallesi Acarsoy Sokak mevkiinde D-100 Karayolu üzerinde (Darülaceze–Perpa Metrobüs Durağı ile Okmeydanı Metrobüs Durağı arasında kalan alan) yapılması planlanan gürültü bariyeri ile ilgili kurum ve kuruluşlardan geri dönüş beklenmektedir.​</t>
  </si>
  <si>
    <t>41.0607968, 28.9659940</t>
  </si>
  <si>
    <t>Hürriyet Mahallesi Kiptaş Dönüşüm Alanının Tamamlanması.</t>
  </si>
  <si>
    <t>Kentsel Dönüşümün Beklenmeksizin Yönetişimle Gerçekleşmesi</t>
  </si>
  <si>
    <t>41.0731543, 28.9853796</t>
  </si>
  <si>
    <t>Talatpaşa Mahallesi Cuma Pazarı Otopark Ve Pazar Yeri Projesi</t>
  </si>
  <si>
    <t>İrap Kapsamında Otoparklar Yaparak Yolların Açılması Ve Vatandaşlara Dirençli Pazar Alanları Sunmak.</t>
  </si>
  <si>
    <t>******* 11.11.2024 tarih ve 2081503 sayılı yazımız ile Etüd ve Projeler Dairesi Başkanlığına görüş sorulmuştur. 
* 27.11.2024 tarih ve 20192327 sayılı Kentsel Tasarım Şube Müdürlüğü yazısında proje alanında yürütülmekte olan herhangi bir proje çalışması bulunmadığı,
* Üstyapı Projeler Şube Müdürlüğü, 1/1000 ve 1/5000 ölçekli imar planlarına göre tescilli kayıp eser yer üstü kalıntı alanları olduğundan dolayı söz konusu alanda proje çalışması düşünülmediği,
*Altyapı Projeler Şube Müdürlüğü, otopark yapılması için uygun olmadığı, 
*Harita Müdürlüğü, "söz konusu bölgenin Kültür ve Turizm Bakanlığının yetki sahasında bulunması sebebiyle öncelikle muvafakat gerektiği ayrıca İBB adına ihdas işlemleri ve Park alanında bulunan parsellerde 15-16. madde imar uygulamasının yapılabilmesi için zeminaltı otopark yapılabileceğine ilişkin plan notu tadilatı gerektiği,
*Planlama ve Şehir Planlama Şube Müdürlükleri tarafından, bölge lanında Zeminaltı Otopark Alanı yapılabileceğine ilişkin ibarenin Park Alanlarına ilişkin bulunduğu Sosyal Kültürel Tesis Alanına ilişkin bu ibarenin yer almadığı, yalnızca Park Alanı için Zeminaltı Otopark Alanının uygun olduğu,
*Planlama ve Şehir Planlama Şube Müdürlükleri tarafından Bölge Planında Zeminaltı Otopark Alanı yapılabileceğine ilişkin ibarenin Park Alanlarına ilişkin bulunduğu Sosyal Kültürel Tesis Alanına ilişkin bu ibarenin yer almadığı, yalnızca Park Alanı için Zeminaltı Otopark Alanının uygun olduğu belirtilmiştir.********
ulaşım dairesi başkanlığı tarafından 4290 ada, 63 parselin bir kısmında ve 4382 ada, 2-3 parsellerin bir kısmında kag-55 kodlu zemin altı otopark alanı planlanmıştır. söz konusu alan, pazar alanı ve otopark alanı olarak&amp;nbsp; projelendirilmesi için etüd ve projeler dairesi başkanlığı’na resmi yazı ile iletilecektir.</t>
  </si>
  <si>
    <t>41.0622333, 28.9615744</t>
  </si>
  <si>
    <t>1963-1964 Parseller Peyzaj Projesi</t>
  </si>
  <si>
    <t>41.07759029, 28.97656912</t>
  </si>
  <si>
    <t>7e79081b-7a10-ec11-b87e-005056b0336f</t>
  </si>
  <si>
    <t>Kartal İlçesi Bektas Sokak ve Feraset Sokağı Arası Yaya Üst Geçidi Projesi</t>
  </si>
  <si>
    <t>​2 Asansörlü Yaya Üst Geçidi​</t>
  </si>
  <si>
    <t>40.91427294, 29.21300885</t>
  </si>
  <si>
    <t>f9b182ad-7213-ef11-b8ea-005056b0106f</t>
  </si>
  <si>
    <t>Anadolu Yakası Yol Bakım ve Onarım Şube Müdürlüğü 7 Bölge Kartal Yakacık Yerleşkesi Çelik Yapı Yapım İşi</t>
  </si>
  <si>
    <t>40.9132200, 29.1857154</t>
  </si>
  <si>
    <t>Etap-1 Ve Etap-2 Riskli Alanı (Tren Yolu Altı Ve Üstü Riskli Alanda Dönüşüm)</t>
  </si>
  <si>
    <t>6306 Sayılı Yasa Kapsamında, Kiptaş İle Koordineli Olarak Öncü Fikirler Doğrultusunda Farklı Mimari Gruplarla Çalışışarak Pilot Uygulama Yapılması Planlanmaktadır.</t>
  </si>
  <si>
    <t>40.8896177, 29.1890859</t>
  </si>
  <si>
    <t>Hasan Ali Yücel Kültür Merkezi</t>
  </si>
  <si>
    <t>5.000 M2 İnşaat Alanı</t>
  </si>
  <si>
    <t>40.8891024, 29.1895074</t>
  </si>
  <si>
    <t>Kartal Eski Stad Alanı Ve Yakın Çevresine İlişkin Uygulama Projesi</t>
  </si>
  <si>
    <t>Eski Stadın Bulunduğu Alanın, Neyzen Tevfik Meydanı İle Bütünleştirecek Proje Çalışması Tasarlanması Planlanmaktadır.</t>
  </si>
  <si>
    <t>40.8895581, 29.1898563</t>
  </si>
  <si>
    <t>Kartal İBB Yerleşkesi</t>
  </si>
  <si>
    <t>10384 ada 218 parsel Cevizli Mah.</t>
  </si>
  <si>
    <t>40.9133829, 29.1852450</t>
  </si>
  <si>
    <t>cf4d54b4-17f8-ef11-b911-005056b0106f</t>
  </si>
  <si>
    <t>Çavuşoğlu Çocuk Gelişim Merkezi</t>
  </si>
  <si>
    <t>Kreş Projesi İbb İle Koordineli Değerlendirilerek Yapılacaktır.</t>
  </si>
  <si>
    <t>40.8914530, 29.2010903</t>
  </si>
  <si>
    <t>Konsept Proje Hazırlanmasına Destek Verilmesi</t>
  </si>
  <si>
    <t>Fatih Mahallesi Çıkış Projesi Ve Uygulaması</t>
  </si>
  <si>
    <t>420M Uzunluk-Genişlik En Dar 6M En Geniş 15 M</t>
  </si>
  <si>
    <t>Söz konusu mahallede trafiğin rahatlatılması, düzenlenmesi ve güvenli yaya erişiminin sağlanması kapsamında alternatif geometrik düzenleme ve trafik sirkülasyonu projeleri için çalışmalarımız başlatılmıştır.</t>
  </si>
  <si>
    <t>40.9847373, 28.7693784</t>
  </si>
  <si>
    <t>Hasanoğlu Deresi Parkı</t>
  </si>
  <si>
    <t>41.0019065, 28.7686141</t>
  </si>
  <si>
    <t>5e7be336-591e-ef11-b8eb-005056b0106f</t>
  </si>
  <si>
    <t>Küçükçekmece Mehmet Akif Ersoy Bulvarı ve 1240. Sk. Kesişimi Üst Geçidi</t>
  </si>
  <si>
    <t>41.0637838, 28.7946844</t>
  </si>
  <si>
    <t>Atakent Kültür Merkezi512 ada 9 parsel</t>
  </si>
  <si>
    <t>425 Kişilik Tiyatro Salonu, 80 Kişilik Konferans Salonu, Millet Kıraathanesi (638 m2), Sergi Salonu (295 m2), İsmek Derslikleri, Çocuk Halk Kütüphanesi, Kafeterya, 110 araçlık otopark</t>
  </si>
  <si>
    <t>41.0549768, 28.7857473</t>
  </si>
  <si>
    <t>7a9822ca-5633-e811-8106-005056a5354a</t>
  </si>
  <si>
    <t>Küçükçekmece Atakent Kültür ve Sanat Merkezi Fikir Projesi</t>
  </si>
  <si>
    <t>Küçükçekmece İlçesi Fatih Mahallesi 107 Ada 2 Parsel Kültürel Tesis Projesi</t>
  </si>
  <si>
    <t>6097,32 Metrekare</t>
  </si>
  <si>
    <t>40.9865636, 28.7664393</t>
  </si>
  <si>
    <t>07c5ec5b-278d-ee11-b8e3-005056b0106f</t>
  </si>
  <si>
    <t>Halkalı Çamlık Piknik Alanı Ve Kent Ormanı Revize Yapım İşi</t>
  </si>
  <si>
    <t>Revizyon Prpjesi Ve Uygulamasının Kurumunuzca Yapılması Talep Edilmektedir.</t>
  </si>
  <si>
    <t>41.0313010, 28.7907963</t>
  </si>
  <si>
    <t>Söğütlüçeşme Huzur Cad Ana Arter Yol Açılması</t>
  </si>
  <si>
    <t>Söğütlüçeşme Huzur Cad. Ana Arter Yol Açılması; Plan Var, Kamulaştırma Gerekiyor</t>
  </si>
  <si>
    <t>Belirtilen kesimde Ulaşım Projeleri Şube Müdürlüğümüzce yol, kavşak ön proje çalışmaları devam etmekte olup, bu kapsamda değerlendirilecektir.</t>
  </si>
  <si>
    <t>41.0173683, 28.7855665</t>
  </si>
  <si>
    <t>Zeminaltı Otopark Ve Meydan</t>
  </si>
  <si>
    <t>Gültepe Mah. Zeminaltı Otopark Ve Meydan, Çevresiyle Birlikte</t>
  </si>
  <si>
    <t>Ulaşım Dairesi Başkanlığı tarafından KCK-73 kodlu zeminaltı otopark alanı planlanmış, Küçükçekmece Belediye Başkanlığına görüş sorulmuştur. Küçükçekmece Belediye Başkanlığının cevabi yazılarında Emlak ve İstimlak Müdürlüğü, Fen İşleri Müdürlüğü ve Park ve Bahçeler Müdürlüğü "KCK-73  kodlu  otopark  alanı  olarak  tespit  edilen  yer;  Safra,  Gültepe  Mahallesi  Şehit  Mahmut Ergül  Sokağa  cepheli Maliye  Hazinesi  mülkiyetindeki  12508  Parsel,  22.06.2005 tasdik tarihli  Sefaköy Revizyon Uygulama  İmar Planında Yeşil Alanında kalmakta olup, söz konusu taşınmaz üzerinde fiilen park alanı bulunduğundan Zemin Altı Otopark + Park Alanı olarak değerlendirilebileceğini, zemin  altı  otopark  imalat  çalışmaları  tamamlanması  halinde, tekrar  park  alanı olarak,  bölge  halkının  kullanımına  kazandırılması gerektiği belirtilmiştir. Küçükçekmece Belediye Başkanlığının görüşü doğrultusunda, Maliye Hazinesi mülkiyetinde olan alan ile ilgili olarak mülkiyet sorununun çözümüne ilişkin süreç başlatılacaktır.</t>
  </si>
  <si>
    <t>40.9952107, 28.7915364</t>
  </si>
  <si>
    <t>Küçükçekmece İçmesuyu Depoları</t>
  </si>
  <si>
    <t>Halkalı 20.000 m3, Sefaköy 20.000 m3 depo</t>
  </si>
  <si>
    <t>41.0342082, 28.7940879</t>
  </si>
  <si>
    <t>Arenapark Üst Geçit</t>
  </si>
  <si>
    <t>41.0537042, 28.7923842</t>
  </si>
  <si>
    <t>Metin Oktay Stadı</t>
  </si>
  <si>
    <t>Metin Oktay Stadı Vb; Bütüncül Bakış</t>
  </si>
  <si>
    <t>40.9872177, 28.7703351</t>
  </si>
  <si>
    <t>Mimar Sinan Köprüsüne Kadar Peyzaj Ve Işıklandırma</t>
  </si>
  <si>
    <t>40.990925, 28.771272</t>
  </si>
  <si>
    <t>Maltepe İlçesi Sani Malaz Yaya Üst Geçidi Projesi</t>
  </si>
  <si>
    <t>2 Asansörlü Yaya Üst Geçidi</t>
  </si>
  <si>
    <t>40.93902177, 29.11811106</t>
  </si>
  <si>
    <t>8bb4a408-a728-ef11-b8eb-005056b0106f</t>
  </si>
  <si>
    <t>İstanbul Şehircilik Atölyesi Şube Müdürlüğü</t>
  </si>
  <si>
    <t>Gülsuyu-Gülensu Planları Ve Örnek Dönüşüm</t>
  </si>
  <si>
    <t>Zümrütevler Mahallesi Emek Caddesi 2. Kısım Asfalt Serim İşi</t>
  </si>
  <si>
    <t>40.94242303742679, 29.163263039135195</t>
  </si>
  <si>
    <t>Maltepe Meydanı Cephe Rehabilitasyonu Kentsel Tasarım ProjesiAda:16443 Parsel:141Maltepe Meydanı</t>
  </si>
  <si>
    <t>40.9250960, 29.1310759</t>
  </si>
  <si>
    <t>Beşçeşmeler Ve Ceneviz Kalıntıları Arası Kültür Rotası Konuları; Sanatoryum İçinde Tarihi Köşk, Daver Baba Tekkesi, Arkeolojik Alanlar, Ceneviz Kalıntıları Vb. Değerlendirilmesi</t>
  </si>
  <si>
    <t>Maltepe Belediyesi ile öncelikle İBB Miras'ın İstanbul genelinde açmış olduğu kültür merkezleri ve müzelere geziler konusunda destek olunmuştur. Bunun dışındaki proje, imalat, basit bakım onarım ve plan konularındaki ihtiyaçlar bir takvim kapsamında değerlendirilmektedir.</t>
  </si>
  <si>
    <t xml:space="preserve"> 40.92192201086451, 29.129130259649017 </t>
  </si>
  <si>
    <t>D-100 Karayolu Pendik Yan Yolları</t>
  </si>
  <si>
    <t>6,5 Kilometre Pendik Köprüsü - Kuzey Yan Yol Genişletme Bağlantı Ve Kavşak Düzenlemeleri</t>
  </si>
  <si>
    <t>ön proje çalışmaları devam eden anadolu yakası d-100 kuzey-güney yan yolları projesi kapsamında bu kısım da yeniden değerlendirilerek gerekli revizyon çalışmaları yapılacaktır.</t>
  </si>
  <si>
    <t>40.8816450, 29.2490428</t>
  </si>
  <si>
    <t>Pendik Şeyhli Belediye Hizmet Alanı</t>
  </si>
  <si>
    <t>5548/10Şeyhli</t>
  </si>
  <si>
    <t>40.9116446, 29.2855136</t>
  </si>
  <si>
    <t>0ddeddae-a1f2-ef11-b90e-005056b0106f</t>
  </si>
  <si>
    <t>Pınar Tepesi Mahalle Bahçesi</t>
  </si>
  <si>
    <t>Cami, Meydan, Çocuk Oyun Alanı,Otopark,Süs Havuzu,Piknik Ve Dinlenme Alanı, Yürüyüş Ve Bisiklet Yolu</t>
  </si>
  <si>
    <t>40.9084289, 29.2657557</t>
  </si>
  <si>
    <t>TARIMSAL HİZMETLER DAİRESİ BAŞKANLIĞI</t>
  </si>
  <si>
    <t>Avrupa Yakası Hal Şube Müdürlüğü</t>
  </si>
  <si>
    <t>Sera Köyleri</t>
  </si>
  <si>
    <t>Sebze, Süs Bitkisi Ve Kesme Çiçek Seraları, Hidroponik Ve Aquaponik Tarım Uygulamaları, Mevcut Seraların Yenilemeleri, Çiftçi Plaza Kuruluşu</t>
  </si>
  <si>
    <t>Konuyla ilgili TARIMSAL HİZMETLER DAİRESİ BAŞKANLIĞI ve PARK BAHÇELER DBSleri ile görüşülüp proje fikir aşamasında kalmıştır iptale çekilmiştir.</t>
  </si>
  <si>
    <t>40.9432879, 29.3531679</t>
  </si>
  <si>
    <t>Kent Meydanları</t>
  </si>
  <si>
    <t>Yürüyüş Ve Bisiklet Yolları, Süs Havuzları Ve Çocuk Oyun Alanları,
 Zemin Altı Kapalı Otopark</t>
  </si>
  <si>
    <t>Uluslararası Fuar Alanı</t>
  </si>
  <si>
    <t>Fuar, Kongre Ve Toplantı Salonları, Etkinlik Ve Sergi Alanları,Konaklama Mekanları, Sosyal Donatılar</t>
  </si>
  <si>
    <t>Fuar Alanları</t>
  </si>
  <si>
    <t>Pendik Tem Yan Yollar Düzenlenmesi</t>
  </si>
  <si>
    <t>8,5 Kilometre Bağlantı Yolu, Ana Yol, Yan Yol Ve Kavşak Düzenlemeleri, Tem'E Konforlu Erişim</t>
  </si>
  <si>
    <t>Tem Yan Yollarının Pendik Kurtköy Kavşağı Bölgesi &amp;Quot;Tuzla İlçesi, Tem Otoyolu Kuzeyi İstanbul Park Kavşağı Revize Projesi&amp;Quot; Kapsamında Revize Edilerek 16.05.2024 Tarih Ve Utk2024/19-15 Sayılı Utk Kararı Alınarak Ön Projesi Hazırlanmıştır. Revize Projenin Kgm İle Yapılacak Proje Onayı Ve İmalata İlişkin Protokol İBB Meclisine Gönderilmekte Üzere Başkanlık Onayına Sunulmuştur.</t>
  </si>
  <si>
    <t>40.8902919, 29.2353296</t>
  </si>
  <si>
    <t>Sahil Yolu Üst Geçidi Düzenlenmesi</t>
  </si>
  <si>
    <t>Sahil Seyir Keyfi Sahile Konforlu Ulaşım</t>
  </si>
  <si>
    <t>******Bahse konu proje ile ilgili Ulaşım Koordinasyon Şube Müdürlüğü tarafından yapılan bir çalışma bulunmamaktadır.********
İlçe Belediyesi İle Talep Hakkında Görüşmeler Sağlanmıştır. İlçe Belediyesinden İletilecek Olan Projeler İncelenecek, Ardından Söz Konusu Talep Ulaşım Dairesi Başkanlığımızca Değerlendirilecektir.</t>
  </si>
  <si>
    <t>40.8757049, 29.2374675</t>
  </si>
  <si>
    <t>Yaya Ve Araç Köprüleri</t>
  </si>
  <si>
    <t>Adnan Menderes Bulvarı Araç Alt Geçidi,
Havalimanı Kavşağı Araç Alt Geçidi
Tersane Kavşağı Yaya Üst Geçitleri
 D-100 Araç Üst Geçitlerinin Engellilere 
Uygun Revizyonu&amp;lt;/div&amp;gt;</t>
  </si>
  <si>
    <t>Alternatif Bağlantı Yolu 2</t>
  </si>
  <si>
    <t>Kartal - Sancaktepe İstikametinde 
 2 Şerit Gidiş 2 Şerit Geliş 4 Şeritli 
 4 Kilometre Yol
 Yeni Kavşak Ve Kavşak Düzenlemeleri</t>
  </si>
  <si>
    <t>40.9223977, 29.3224668</t>
  </si>
  <si>
    <t>Pendik Alternatif Bağlantı Yolu Düzenlenmesi</t>
  </si>
  <si>
    <t>Tuzla Ve Kartal İstikametlerinde 2 Gidiş 2 Geliş 4 Şerit Bağlantı Yolu 11.100 Metre Yol Ve Köprülü Kavşak Yatırımı</t>
  </si>
  <si>
    <t>********UTK kararı bulunmakta olup Uygulayıcı Birim tarafından imalatının gerçekleştirilmesi gerekmektedir.********
Müdürlüğümüzce 02.07.2015 Tarihli Ve Utk2015/26-29 Sayılı Utk Kararı İle Tem Ve E-5 Bağlantı Yolu, Cumhuriyet Caddesi Revize Yol Kavşak Ön Projesi Kapsamında Fatih Mahallesi, Hürriyet Caddesi İle Kaynarca Caddesi Arasında 2×2 Şeritli Bölünmüş Bir Yol İle Planlanan Yolun E-80 Bağlantı Yolu Kesişiminde Köprülü Yonca Kavşak Planlanmıştır. Pendik Belediyesinden Gelen Talep Üzerine Ankara Caddesinin Trafik Yükünü Azaltacak Bir Trafik Yol Ağı Oluşturmak Amacıyla 24.06.2022 Tarihli Ve Utk2022/23-14 Sayılı Karar Alınmıştır. 2 Projenin Birleşimi İle D-100 Karayoluna Ve Tem Bağlantı Yoluna Alternatif Sağlayacaktır. Projenin İmalatı İçin Pendik Belediyesine Ve Trafik Şube Müdürlüğüne İletilmiştir. Proje İlçe Belediyesi Tarafından 9 Etaba Bölünmüş Olup 4. Etaba Kadar İmalat Tamamlanmıştır. 5. Ve 6. Etapta Dere Islahı Olduğundan Yol Aksını Karşılamadığı İçin İski Tarafından Derenin Islah Edilmesi Beklenmektedir. Dere Islahı İçin İski Tarafından Onaylı Proje Mevcuttur. Akabinde Yollar Ve Köprülü Kavşak İmalatı Yapılacaktır.</t>
  </si>
  <si>
    <t>40.8843307, 29.2449414</t>
  </si>
  <si>
    <t>Pendik İlçesi Dolayoba Mahallesi Camii İnşaatı</t>
  </si>
  <si>
    <t>40.88216659, 29.26358331</t>
  </si>
  <si>
    <t>187d7303-3f0f-ee11-b8d7-005056b0106f</t>
  </si>
  <si>
    <t>Pendik İlçesi Dolayoba Mahallesi 10738 ada 1 parsel Cami Projesi</t>
  </si>
  <si>
    <t>Abdurrahmangazi Mahallesi Ulubatlı Hasan Caddesi Dal-Çık Projesi</t>
  </si>
  <si>
    <t>Ulaşımın Kolaylaştırılması, Trafiğin Azaltılması</t>
  </si>
  <si>
    <t>*****Bahse konu proje Ulaşım Koordinasyon Şube Müdürlüğü tarafından çalışılmamaktadır.****
Söz Konusu Talep Ulaşım Dairesi Başkanlığımızca Değerlendirmeye Alınacaktır.</t>
  </si>
  <si>
    <t>40.98602119863176, 29.22370685671055</t>
  </si>
  <si>
    <t>Abdurrahmangazi Caddesi Prestij Cadde Projesi</t>
  </si>
  <si>
    <t>Caddenin Düzenlenmesi</t>
  </si>
  <si>
    <t>40.987953738109105, 29.228084326794193</t>
  </si>
  <si>
    <t>Abdurrahmangazi Mahallesi 20 Parsel Kentsel Dönüşüm Projesi</t>
  </si>
  <si>
    <t>Araştırma, Geliştirme, Analiz, Plan Çalışması, Yıkım Ve Yenileme</t>
  </si>
  <si>
    <t>40.9933312, 29.2367265</t>
  </si>
  <si>
    <t>Atatürk Caddesi (Sümer Caddesi-Güneştepe Sokak Arası) Prestij Cadde Projesi</t>
  </si>
  <si>
    <t>Caddenin Düzenlenerek Prestij Kazandırılması</t>
  </si>
  <si>
    <t>41.00470527477784, 29.222291797751883</t>
  </si>
  <si>
    <t>Bahçelievler Caddesi (Atatürk Caddesi-Ebubekir Caddesi Arası) Prestij Cadde Projesi</t>
  </si>
  <si>
    <t>41.00653689821639, 29.24048450675797</t>
  </si>
  <si>
    <t>Çiğdemlik Sokak Park Yapımı</t>
  </si>
  <si>
    <t>Park Alanı; Spor, Dinlenme, Yürüyüş</t>
  </si>
  <si>
    <t>40.97389349714861, 29.145504327872203</t>
  </si>
  <si>
    <t>Demokrasi Caddesi (Sultangazi Caddesi-Alper Sokak Arası) Prestij Cadde Projesi</t>
  </si>
  <si>
    <t>41.00998206276239, 29.214630840918787</t>
  </si>
  <si>
    <t>Fatih Mahallesi Çalılık Kentsel Dönüşüm Projesi</t>
  </si>
  <si>
    <t>40.96110123763499, 29.2171121637188</t>
  </si>
  <si>
    <t>Gazneli Sokak Park Yapımı</t>
  </si>
  <si>
    <t>Park Alanı; Spor, Dinlenme, Yürüyüş…</t>
  </si>
  <si>
    <t>41.0191937, 29.2679995</t>
  </si>
  <si>
    <t>Hızırbey Cad  No 24 Park Yapımı</t>
  </si>
  <si>
    <t>41.00484016791577, 29.232822897751838</t>
  </si>
  <si>
    <t>Hilal Mahallesi Kentsel Dönüşüm Projesi</t>
  </si>
  <si>
    <t>41.0240163, 29.2575046</t>
  </si>
  <si>
    <t>Keleşoğlu Caddesi Prestij Cadde Projesi</t>
  </si>
  <si>
    <t>Caddenin Düzenlenerek Estetik Hale Getirilmesi</t>
  </si>
  <si>
    <t>41.00949527135384, 29.24572332658801</t>
  </si>
  <si>
    <t>Kızılay Caddesi Prestij Cadde Projesi</t>
  </si>
  <si>
    <t>40.9821061, 29.2230101</t>
  </si>
  <si>
    <t>Merkez Caddesi Prestij Cadde Projesi</t>
  </si>
  <si>
    <t>40.98473336845539, 29.226190084171183</t>
  </si>
  <si>
    <t>Namık Kemal Cad. No 30 Park Yapımı</t>
  </si>
  <si>
    <t>41.006535875002506, 29.209282397751924</t>
  </si>
  <si>
    <t>Namık Kemal Caddesi (Atatürk Caddesi-Çeşme Sokak Arası) Prestij Cadde Projesi</t>
  </si>
  <si>
    <t>41.006545182767034, 29.212052137238945</t>
  </si>
  <si>
    <t>Namık Kemal Caddesi (Ordu Caddesi-Şems Caddesi Arası) Prestij Cadde Projesi</t>
  </si>
  <si>
    <t>Caddenin Yenilenmesi</t>
  </si>
  <si>
    <t>41.00497471395844, 29.19678032508845</t>
  </si>
  <si>
    <t>Okul Sokak  Park Yapımı</t>
  </si>
  <si>
    <t>40.9575438, 29.2133105</t>
  </si>
  <si>
    <t>Osman Paşa Cad.  Park Yapımı</t>
  </si>
  <si>
    <t>40.9886794, 29.2342560</t>
  </si>
  <si>
    <t>Safa Mahallesi Sancaktar Caddesi Prestij Cadde Projesi</t>
  </si>
  <si>
    <t>41.008555804583324, 29.250232591273647</t>
  </si>
  <si>
    <t>Seyit Çavuş Sokak No 2 Park Yapımı</t>
  </si>
  <si>
    <t>40.9794860, 29.2315373</t>
  </si>
  <si>
    <t>Seyit Çavuş Sokak Park Yapımı</t>
  </si>
  <si>
    <t>40.9789871, 29.2328180</t>
  </si>
  <si>
    <t>Tarım Ve Su Ürünleri Şube Müdürlüğü</t>
  </si>
  <si>
    <t>Paşaköy Sosyal Yaşam Parkı; Tarım Üretimi İçin Değerlendirilmesi</t>
  </si>
  <si>
    <t xml:space="preserve">"Teklifin etüd ve projeler db tarafından gerçekleştirilmesi sonrasında üretim kısmı ile ilgili işbirliği yapılabilir." şeklinde daha önce yanıt vermiştik. 
Çünkü projenin konusu park ve sosyal alanların yapılmasını içermekte olup, Daire Başkanlığı olarak böyle bir yetki ve çalışmamız mümkün değildir. Yapılacak park alanında tarımsal üretim için alan ayrılırsa, sadece tohum, fide vb. destek verebiliriz. </t>
  </si>
  <si>
    <t>41.0184301, 29.2788471</t>
  </si>
  <si>
    <t>Sarıgazi Meydanı Ve Alt Geçit Projesi</t>
  </si>
  <si>
    <t>Sarıgazi Araç Trafiğini Yeraltına Alarak Trafiği Rahatlatmak</t>
  </si>
  <si>
    <t>Atatürk Caddesi altında İSKİ'ye ait isale hatları bulunmakta olup deplasesi uygun görülmemiştir. Dolayısyla, kavşak noktasında katlı kavşak yapılamamaktadır. 
Ancak, araç ve yaya yoğunluğunun giderilmesi için bölgede projelendirme çalışmaları tamamlanmıştır. Bu kapsamda 2 adet alternatif çalışma yapılmış olup Sancaktepe Belediyesi'ne görüş sorulmuştur. 
Genel görüş, Müdürlğümüzce değerlendirilerek karar alınmak üzere UTK'ya iletilebilecektir.</t>
  </si>
  <si>
    <t>41.0085263, 29.2137607</t>
  </si>
  <si>
    <t>Acil Yardım Ve Can Kurtarma Şube Müdürlüğü</t>
  </si>
  <si>
    <t>İtfaiyenin Başka Bir Yere Taşınması</t>
  </si>
  <si>
    <t>1. Alternatif Yenidoğan 5 Ada 5 Parsel 4.350,30 M² Yüzölçüme Sahip Olup 3.454,86 M²’Si Maliye Hazinesi Mülkiyetinde,&amp;#160; 895,44 m2 lik kısmı Ortadoğu Mermer San. Aittir. 2. Alternatif Sarıgazi Mahallesi 682 Ada 31 Parsel 421,34 m2 lik alan Sancaktepe Belediye Başkanlığına aittir. 3. Alternatif Paşaköy Mahallesi 0 Ada 1400 Parsel 11.233,04 m2 lik alan İstanbul Büyükşehir Belediyesine aittir.​</t>
  </si>
  <si>
    <t>Sancaktepe Belediyesi tarafından önerilen 3 adet alternatif alanla alakalı ön inceleme yapılmıştır. 1. Alternatif önerilen Yenidoğan Mahallesi 5 Ada 5 Parsel ile ilgili Sancaktepe Belediyesi tarafından işlemler (İfraz, Plan Tadilatı ve Maliyeden Tahsis ) başlamış olup, sürecin tamamlanması beklenmektedir.</t>
  </si>
  <si>
    <t>41.01496108309679, 29.244442499866885</t>
  </si>
  <si>
    <t>Zekeriyaköy Uskumruköy Kavşak Arası Ana Yol Yapımı</t>
  </si>
  <si>
    <t>24 Mt Genişliğinde Ana Arter Statüsünde Olan Yol</t>
  </si>
  <si>
    <t>*****23.05.2024 tarihli UTK2024/20-10 karar alınmış olup 05.08.2024 tarihinde Altyapı Hizmetleri Şube Müdürlüğü'ne dağıtımı yapılmıştır. *****
altyapı hizmetleri şube müdürlüğünün teklifine istinaden, kilyos caddesi (1. cadde ile o6 bağlantı yolu arası) üzerindeki imar yolunun açılması hususunda utk kararı alınmıştır. kararın dağıtımı 31.07.2024 tarihine kadar altyapı hizmetleri şube müdürlüğüne yapılacaktır.</t>
  </si>
  <si>
    <t>41.2266400, 29.0209373</t>
  </si>
  <si>
    <t>Emirgan Doğru Muvakkithane Caddesi Parkı</t>
  </si>
  <si>
    <t>41.1049991, 29.0543966</t>
  </si>
  <si>
    <t>a6e381f8-9177-ed11-b8c3-005056b0106f</t>
  </si>
  <si>
    <t>EMİRGAN DOĞRU MUVAKKİTHANE CADDESİ PARKI</t>
  </si>
  <si>
    <t>Pir Sultan Abdal Kültür Derneği Cemevi  Peyzaj Projesi</t>
  </si>
  <si>
    <t>41.0936287, 29.0442568</t>
  </si>
  <si>
    <t>014c4dbb-3415-ec11-b87e-005056b0336f</t>
  </si>
  <si>
    <t>Sakıp Sabancı Caddesi Peyzaj Düzenleme Projesi</t>
  </si>
  <si>
    <t>41.1064374, 29.0573434</t>
  </si>
  <si>
    <t>3205b782-1fd1-ec11-b8a5-005056b0106f</t>
  </si>
  <si>
    <t>Sarıyer, 158 Ada 4 Parselde Yer Alan Emirgan Korusu İstinat Duvarının Yıkılan Bölümüne İlişkin Kazı Yapılması ve Kazı Rölövesinin Hazırlanması</t>
  </si>
  <si>
    <t>Tarihi Yeraltı Yapısı</t>
  </si>
  <si>
    <t>​20.09.2019-07.11.2019 tarihleri arasında kazı çalışması yapıldı ve çıkan buluntulara ilişkin rölöve ve rapor 25.06.2020 tarih 5587 sayılı Kurul Kararı ile onaylandı.  Aynı karar ile ve 08.10.2020 tarih 5835 sayılı Kurul Kararı ile açığa çıkan kalıntının orta kısmının sergilenmesi, diğer kalıntıların kapatılması istendiğinden, bu doğrultuda koruma ve sergileme projesi hazırlandı. Koruma ve sergileme projesi 06.07.2021 tarih ve 6344 sayılı Kurul Kararı ile uygun bulundu.​</t>
  </si>
  <si>
    <t>41.1092835, 29.0568423</t>
  </si>
  <si>
    <t>7a0a6e26-5325-e911-811e-005056a5354a</t>
  </si>
  <si>
    <t>İstinat Duvarı Restorasyonu</t>
  </si>
  <si>
    <t>Şair Nigar İlkokulu Çevresi Peyzaj Projesi</t>
  </si>
  <si>
    <t>41.0876743, 29.0544926</t>
  </si>
  <si>
    <t>8e835ff0-9277-ed11-b8c3-005056b0106f</t>
  </si>
  <si>
    <t>Emirgan Meydanı Ve Bağlantı Yollarının Düzenlenmesi Projesi</t>
  </si>
  <si>
    <t>Sarıyer’İn Tarihi Meydanlarından Emirgan Meydanı’Nı Ve Bağlantı Yollarının İstanbulluların Yoğun Kullanımına Uygun Olarak Erişilebilir Kılınması Bakımından Utk2022/22-22 Sayılı Ulaşım Ve Trafik Düzenleme Komisyonu Kararının Emirgan Mektebi Sokak Ve Hamam Çıkmazı Sokak’In Da Dahil Edilmesiyle Söz Konusu Proje Bütüncül Bir Yapıya Kavuşacaktır.</t>
  </si>
  <si>
    <t>41.1056090, 29.0489017</t>
  </si>
  <si>
    <t>Raylı Sistem Proje Talepleri</t>
  </si>
  <si>
    <t>İtü-Reşitpaşa-İstinye Koyu Füniküler Hattının Tamamlanarak Hizmete Açılması
Hacıosman Metro Hattının Sarıyer Merkez’E Uzatılması Ayazağa’Nın Şirintepe Kağıthane Metro Hattına Ve İtüayazağa İstasyonuna Bağlanması İçin Çalışmalara Başlanması</t>
  </si>
  <si>
    <t>41.1124567, 29.0278047</t>
  </si>
  <si>
    <t>Geometrik Düzenlemeler.</t>
  </si>
  <si>
    <t>Bahse konu alanda projelerndirme çalışmaları planlanmıştır.</t>
  </si>
  <si>
    <t>41.0763700, 28.2511600</t>
  </si>
  <si>
    <t>Fatih Mahallesi Çamlık Sosyal Tesis Ve Piknik Alanı Düzenlemesi-3.Etap</t>
  </si>
  <si>
    <t>Sosyal Tesis Ve Piknik Alanı Düzenlemesi</t>
  </si>
  <si>
    <t>41.0690396, 28.2516776</t>
  </si>
  <si>
    <t>İlçemizde Yoğun Olarak Kullanılan Sanayi Bölgelerinin Asfalt Çalışmalarının Yapılması Gerekmektedir.</t>
  </si>
  <si>
    <t>Asfalt Çalışmalarının Yapılması</t>
  </si>
  <si>
    <t>41.0825743, 28.2088667</t>
  </si>
  <si>
    <t>İlçemizdeki Ana Arter Yolların Ve Ana Arter Vasfında Olmasada Ana Arter Yolu Gibi Yoğun Olarak Kullanılan Yolların Asfaltlanması Gerekmektedir.</t>
  </si>
  <si>
    <t>Sürücülerin Daha Güvenli Yolları Kullanması Ve Olası Kazalara Sebebiyet Verilmeden Asfalt Yenileme Çalışmalarının Yapılması</t>
  </si>
  <si>
    <t>Yeni Mahalle Spor Kompleksi 30X50 Ebatlarında Kapalı Suni Çim Futbol Sahası, 19X32 Ebatlarında Basketbol Sahası, 2Adet Kapalı Tenis Kortu, 33X5 Soyunma Odası Yapımı</t>
  </si>
  <si>
    <t>41.0771400, 28.2606200</t>
  </si>
  <si>
    <t>Beylikdüzü den Silivri Çıkışına Kadar Sahil Bölgesine Bütüncül Bakış</t>
  </si>
  <si>
    <t>Beylikdüzü’Nden Silivri Çıkışına Kadar Sahil Bölgesine Bütüncül Bakış; Plajlar, Parklar, Ulaşım, Otopark, Kültür-Sanat Elemanları, Raylı Sistem Vb. ; Hızlıca Yapılabilir Kısımların Belirlenmesi.</t>
  </si>
  <si>
    <t>İstanbul Otopark Ana Planı kapsamında Silivri ilçesi genelinde planlanan otopark alanları ile ilgili arazi çalışmaları ve ilçe belediyesi ile toplantıların yanı sıra otopark alanlarının mevcut durumu, imar durumu, mülkiyet bilgisi, alanın büyüklüğü ve geometrisi, erişilebilirliği vb. kriterler incelenerek veri tabanında revizyonlar gerçekleştirilmektedir. Bu çalışmaların tamamlanmasının ardından nihai karar verilecektir.</t>
  </si>
  <si>
    <t>41.0775100, 28.2351000</t>
  </si>
  <si>
    <t>Viyadük Altı Tasarımı, Yaya Geçişi, Donatılar, Cephe Vb.</t>
  </si>
  <si>
    <t>Kumluk Ve Selimpaşa Plaj İyileştirme Projeleri</t>
  </si>
  <si>
    <t>Kumluk Ve Selimpaşa Plaj İyileştirme Projeleri; Duş, Büfe, Tuvalet</t>
  </si>
  <si>
    <t>41.0518806, 28.3782917</t>
  </si>
  <si>
    <t>Antalya Caddesi Asflalt Yenileme İşi</t>
  </si>
  <si>
    <t>Yoğun Sirkülasyonu Bulunan Ve Asfaltta Bölgesel Olarak Deformasyonların Oluştuğu Antalya Caddesi'Nde Asfalt Yenileme Çalışması Gerekmektedir.</t>
  </si>
  <si>
    <t>40.939505648607444, 29.284429966576287</t>
  </si>
  <si>
    <t>Barajyolu Caddesi Basra Caddesi Kesişimi Kavşak Projesi Ve Paşaköy Caddesi Cadde Düzenleme Projesi</t>
  </si>
  <si>
    <t>Utk2023/11-4 Kararı Alındı Ve Uygulama Bekliyor</t>
  </si>
  <si>
    <t>41.00357453659742, 29.2693181994665</t>
  </si>
  <si>
    <t>Bosna Bulvarı Yakuphan Caddesi Sinyalize Kavşak Düzenleme Projesi</t>
  </si>
  <si>
    <t>Utk2023/1-14 Kararı Alındı Ve Uygulama Bekliyor</t>
  </si>
  <si>
    <t>​Sinyalize Kavşak Düzenleme Projesi yapmıyoruz.</t>
  </si>
  <si>
    <t>40.9839870, 29.2649857</t>
  </si>
  <si>
    <t>Fatih Bulvarı 3. Etap Prestij Cadde Uygulaması</t>
  </si>
  <si>
    <t>Fatih Bulvarının 1450 M'Lik Kısmında Prestij Caddesi Kapsamında Kaldırımların Düzenlemesi Yapılması Talep Edilmektedir.</t>
  </si>
  <si>
    <t>40.9658807, 29.2754207</t>
  </si>
  <si>
    <t>Fatih Bulvarı Asfalt Yenileme İşi</t>
  </si>
  <si>
    <t>Komşu İlçeler İle İlçemizi Bağlayan Ve Yoğun Sirkülasyonu Bulunan Fatih Bulvarı'Nda Asfalt Yenileme Çalışması Gerekmektedir.</t>
  </si>
  <si>
    <t>Hamidiye Caddesi Ve Çevresi Geometrik Düzenleme Projesi</t>
  </si>
  <si>
    <t>Ulaşım Koordinasyon Şube Müdürlüğüne Öneri Proje İle Yazı Yazıldı. İlgili Utk Kararının Alınıp Çalışma Yapılması Beklenmektedir.</t>
  </si>
  <si>
    <t>40.982805011038984, 29.26029968160578</t>
  </si>
  <si>
    <t>Kaptan-I Derya Caddesi Prestij Cadde Uygulaması</t>
  </si>
  <si>
    <t>1.400 M Uzunluğundaki Caddede Prestij Caddesi Kapsamında Kaldırımların Yenilenmesi Talep Edilmektedir.</t>
  </si>
  <si>
    <t>40.9746478, 29.2726236</t>
  </si>
  <si>
    <t>Sultanbeyli - Kurtköy Metro Hattı</t>
  </si>
  <si>
    <t>Proje Uzunluğu 5,35 Km Olan Raylı Sistem Hattıdır. Çekmeköy-Sultanbeyli Metro Hattının Devamı Niteliğinde Olup Sultanbeyli Merkez Durağından Başlayarak Gölet, Akşemsettin, Fuar Alanı (Eşref Bitlis-Fatih Bulvarı Kesişimi) Ve Kurtköy Duraklarından Geçmektedir.</t>
  </si>
  <si>
    <t>40.9688310, 29.2550959</t>
  </si>
  <si>
    <t>Sultanbeyli Gölet - Aydos Kalesi Teleferik Projesi</t>
  </si>
  <si>
    <t>Sultanbeyli Gölet Parkı'ndan Aydos Kalesi'ne Teleferik Hattı Projesi Hazırlandı. Projenin Detayları Ve Güzergahı İBB Raylı Sistemler Daire Başkanlığı Projeler Müdürlüğü Tarafından Belirlenerek Anadolu Yakası Raylı Sistemler Müdürlüğü'ne Gönderildi.</t>
  </si>
  <si>
    <t>40.9523986, 29.2765908</t>
  </si>
  <si>
    <t>Teleferik</t>
  </si>
  <si>
    <t>Tem Yanyollar Tek Yön Olarak Düzenlenmesi</t>
  </si>
  <si>
    <t>4,9 Km Güney Yan yol, 5.5 Km Kuzey Yan yol Olmak Üzere Toplamda 10.4 Km Yan yolda Beton Kaldırım Ve Uygun Geometrik Düzenlemeler İle Tek Yön Uygulaması Yapılması Talep Edilmektedir. Bu Kapsamda Yan yollar Boyunca Bisiklet Yolu Yapılması Talep Edilmektedir.</t>
  </si>
  <si>
    <t>***Uygulama Proje Aşamasında****
Yerinde İnceleme Ve Proje Çalışmaları Devam Etmektedir.</t>
  </si>
  <si>
    <t>40.9609269, 29.2806248</t>
  </si>
  <si>
    <t>Sultanbeyli Kent Meydanı Yeniden Düzenlemesi8177 Ada-1 ParselMehmet Akif Mahallesi</t>
  </si>
  <si>
    <t>İlçemiz Meydanının Oluşan İhtiyaçlar Doğrultusunda Yeniden Düzenlenmesi Gerekmektedir</t>
  </si>
  <si>
    <t>40.9658948, 29.2665488</t>
  </si>
  <si>
    <t>f5254bc0-854a-ef11-b8eb-005056b0106f</t>
  </si>
  <si>
    <t>Sultanbeyli Kent Meydanı Düzenleme Projesi</t>
  </si>
  <si>
    <t>Güney - Kuzey Yanyollar  Arası Anadolu Otoyolu Üzerinden Araç Geçiş Köprüsü Projesi</t>
  </si>
  <si>
    <t>İlçemiz Kuzey Ve Güney Yan yollarını  Bağlayan Araç Geçiş Köprüleri Bulunmaktadır. Özellikle Sultanbeyli Merkez İle Sanayi Kavşağı Arasında Araç Geçişi İçin Herhangi Bir Sanat Yapısı Bulunmamaktadır. Yan yolların Tek Yön Olarak Düzenlenmesinden Sonra Bu Durum Çok Fazla Sorun Teşkil Edeceğinden Güney Yan yol Eyyübi Caddesi kesişiminden Kuzey Yan yola Araç Geçiş Köprüsünün Yapılması Gerekmektedir.</t>
  </si>
  <si>
    <t>40.9515581, 29.2990257</t>
  </si>
  <si>
    <t>Atatürk Bulvarı Kuşaklama Yolu Kavşak Düzenlemesi</t>
  </si>
  <si>
    <t>14.03.2024 tarihli ve utk2024/11-14 sayılı karar alınmış olup 25.03.2024 tarihli dağıtım yazısı ile Avrupa Yakası Yol Bakım ve Onarım Şube Müdürlüğü ve Trafik Şube Müdürlüğü'ne iletilmiştir.
153 çözüm merkezi sultangazi ilçesi, ismetpaşa mahallesi-sultançiftliği mahallesi arnavutköy istikametinden gelen araçların atatürk caddesi’nden mahmutbey caddesini kullanarak gazi mustafa kemal caddesi’ne katılım sağlarken örülme mesafesinin yetersiz olmasından dolayı sıkıntı yaşadığı ile ilgili talepler ulaşım dairesi başkanlığımıza iletilmiştir. söz konusu yerde proje çalışmaları yapılarak üst yazı ile esenler belediye başkanlığına kurum görüşü sorulmuş ve gelen görüş doğrultusunda 14.03.2024 tarihli ve utk2024/11-14 sayılı karar alınmış olup 25.03.2024 tarihli dağıtım yazısı ile avrupa yakası yol bakım ve onarım şube müdürlüğü ve trafik şube müdürlüğüne iletilmiştir.</t>
  </si>
  <si>
    <t>41.104753, 28.862876</t>
  </si>
  <si>
    <t>Cumhuriyet Mahallesi Pazar Alanı Ve Otopark Projesi</t>
  </si>
  <si>
    <t>Bina Yapım İşi</t>
  </si>
  <si>
    <t>Sultangazi Belediye Başkanlığına SLT-35 kodlu alanımızla ilgili görüş sorulmuş, Sultangazi Belediye Başkanlığı Plan ve Proje Müdürlüğünün cevabi yazısında: "SLT-35 kodlu Cumhuriyet Mahallesi 18101 parsel ve bir kısım tescil harici alana ilişkin zemin altı otopark uygulamasında herhangi bir mahsur bulunmamaktadır." denilmiştir. İGDAŞ'tan alınacak görüş ile birlikte Emlak Şube Müdürlüğüne iletilecektir.</t>
  </si>
  <si>
    <t>41.0879312, 28.8790565</t>
  </si>
  <si>
    <t>Atatürk Bulvarı Ve  Gazi Mustafa Kemal Caddesi Asfaltlanması</t>
  </si>
  <si>
    <t>41.1034830, 28.8577166</t>
  </si>
  <si>
    <t>B Caddesi  Asfaltlanması</t>
  </si>
  <si>
    <t>41.09093828751288, 28.873533152022766</t>
  </si>
  <si>
    <t>Orhangazi Caddesinin Asfaltlanması</t>
  </si>
  <si>
    <t>41.09670875538174, 28.869801501003938</t>
  </si>
  <si>
    <t>Topkapı-Mescid-İ Selam T4 Tranway Hattının Habipler Mahallesine Uzatılması</t>
  </si>
  <si>
    <t>Raylı Sistem İşi</t>
  </si>
  <si>
    <t>41.11661809196017, 28.851267723076667</t>
  </si>
  <si>
    <t>Sultangazi Caddesi Düzenleme Projesi</t>
  </si>
  <si>
    <t>41.1074349, 28.8600748</t>
  </si>
  <si>
    <t>Sultangazi Habibler Mahallesi 0 ada 912 parsel İdari Hizmet Birimleri Projesi</t>
  </si>
  <si>
    <t>41.13366682, 28.83959214</t>
  </si>
  <si>
    <t>87c0737f-cbd7-ee11-b8e8-005056b0106f</t>
  </si>
  <si>
    <t>Sultangazi Habipler Mah 0 Ada 912 Parsel İdari Hizmet Birimleri Projesi</t>
  </si>
  <si>
    <t>Sultangazi Yayla Mah 20156 Ada 6 Parsel  Çocuk etkinlik merkezi projesi20156 ada 6 parsel</t>
  </si>
  <si>
    <t>41.1473320, 28.8553219</t>
  </si>
  <si>
    <t>Esentepe Mah. Hizmet Tesisleri</t>
  </si>
  <si>
    <t>Bina Yapım İşi (Tamamlanması)</t>
  </si>
  <si>
    <t>1600 ID numaralı iş ile aynı iş. Mükerrer. Bu nedenle iptale çekildi. Maliyet : 87.000.000</t>
  </si>
  <si>
    <t>1600 ID numaralı iş ile aynı iş. Mükerrer. Bu nedenle iptale çekildi. Maliyet : 87.000.000. İlçe Görüşmeleri Devam Ediyor</t>
  </si>
  <si>
    <t>41.1007217, 28.8832865</t>
  </si>
  <si>
    <t>Gazi Mahallesi Katlı Otopark Ve Hizmet Tesisleri</t>
  </si>
  <si>
    <t>Bina Yapım İşi (Tamamlama)</t>
  </si>
  <si>
    <t>41.1054127, 28.8972965</t>
  </si>
  <si>
    <t>Yunus Emre Mahallesi Pazar Alanı, Otopark Ve Hizmet Tesisleri Projesi1121 ada 5 parsel</t>
  </si>
  <si>
    <t>6.600 m² üstyapı, 13.400 m² zeminaltı otopark projesi mülkiyet sorunu ve ilçe belediyesinden gelecek ihtiyaç programı çerçevesinde çalışılabilir.</t>
  </si>
  <si>
    <t>41.0957064, 28.8960365</t>
  </si>
  <si>
    <t>Şile Endüstriyel Atık Çamur Kurutma Tesisi</t>
  </si>
  <si>
    <t>41.1774891, 29.6127571</t>
  </si>
  <si>
    <t>Sofular Mezarlığı Onarım ve Tadilatı</t>
  </si>
  <si>
    <t>41.1737433, 29.4913567</t>
  </si>
  <si>
    <t>İhsanoğlu Mezarlığı Onarım ve Tadilatı</t>
  </si>
  <si>
    <t>41.0849804, 29.8051769</t>
  </si>
  <si>
    <t>Darlık Mezarlığı Onarım ve Tadilatı</t>
  </si>
  <si>
    <t>41.0462220, 29.5786805</t>
  </si>
  <si>
    <t>Şile Kaymakamlık Taş Duvar</t>
  </si>
  <si>
    <t>41.17253536, 29.60667091</t>
  </si>
  <si>
    <t>cdd2d359-9e47-ec11-b896-005056b0106f</t>
  </si>
  <si>
    <t>Şile İlçesi Üsküdar Caddesi Üzeri Şile Kaymakamlığı Binası Yanı Çocuk Parkı Duvarı Uygulama Projesi</t>
  </si>
  <si>
    <t>Şile Kalesi Restorasyonu</t>
  </si>
  <si>
    <t>Mülkiyetin İBB veya Şile Belediyesine ait olmaması nedeniyle uygulama mümkün değildir. Ancak, ilçe belediyesi tahsis işlemlerini tamamladığı takdirde, ortak bir protokol ile iş programına dahil edilebilir.</t>
  </si>
  <si>
    <t>41.17963316771737, 29.610054203016045</t>
  </si>
  <si>
    <t>Şile Ve Ağva da Modern Balıkçı Çarşısı</t>
  </si>
  <si>
    <t>41.1392551127547, 29.856556596203404</t>
  </si>
  <si>
    <t>Tarihi Evler İçin Örnek Uygulama</t>
  </si>
  <si>
    <t>41.1773720, 29.6128654</t>
  </si>
  <si>
    <t>Sofular Karavan Kampı Projesi</t>
  </si>
  <si>
    <t>Sofular Karavan Kampı Projesi; Ormandan İlçeye Kiralama Var</t>
  </si>
  <si>
    <t>41.1860278, 29.4873833</t>
  </si>
  <si>
    <t>Şile Bozgoca Mezarlığı Rölöve, Restitüsyon ve Restorasyon Projeleri Temini İşi</t>
  </si>
  <si>
    <t>Kurula iletildi. Rölöve Restitüsyon ve Restorasyon projeleri 18.12.2024 tarihinde onaylanmıştır.</t>
  </si>
  <si>
    <t>41.1417715, 29.7786444</t>
  </si>
  <si>
    <t>b45f48c2-6317-ef11-b8ea-005056b0106f</t>
  </si>
  <si>
    <t>Hazire Restorasyonu</t>
  </si>
  <si>
    <t>Şişli 1012 Ada 13 Parselde Yer Alan Tarihi Sarnıcın Rölöve Ve Restitüsyon Projelerine Yönelik Kazı Çalışmalarının Yapılması</t>
  </si>
  <si>
    <t>Şişli, 1012 Ada, 13 Parselde Yer Alan Tarihi Sarnıçta Araştırma Kazısı Yapılması Ve Rölöve, Restitüsyon Ve Restorasyon Projelerinin Hazırlanması Hedeflenmektedir.</t>
  </si>
  <si>
    <t>Şişli Belediyesi ile yapılacak İBB Miras protokolünün tamamlanmasının ardından başlatılacaktır.</t>
  </si>
  <si>
    <t>41.05789997134352, 28.98555708112105</t>
  </si>
  <si>
    <t>c8974cfa-8803-e911-8118-005056a5354a</t>
  </si>
  <si>
    <t>Ulaşım Koordinasyon Şube Müdürlüğü;</t>
  </si>
  <si>
    <t>Şişli nin Prestij Caddeleri (Yıldız Posta caddesi, Ortaklar Caddesi)</t>
  </si>
  <si>
    <t>2 Adet</t>
  </si>
  <si>
    <t>prestij cadde talepleri, etüd projeler ve yol bakım dairesi başkanlığı uhdesinde olup, utk kararı için proje tarafımıza gönderildiği takdirde değerlendirilme yapılabilecektir.</t>
  </si>
  <si>
    <t>41.0655216, 28.9956406</t>
  </si>
  <si>
    <t>Cadde / Meydan Düzenlemesi</t>
  </si>
  <si>
    <t>Valikonağı Cad., Osmanbey, Halaskargazi Cad., Dolapdere Caddesi Düzenlemeleri; Halaskar Meydanı; Tabela Ve Cephe Standartları İçin Pilot Alan Tespiti Vb.</t>
  </si>
  <si>
    <t>41.0548287, 28.9950515</t>
  </si>
  <si>
    <t>Şişli İlçesi Fulya Mahallesi Belediye Hizmet Binası Projesi418/82-83 Mevlüt Pehlivan Sk.</t>
  </si>
  <si>
    <t>​Ofis, Kapalı Katlı Otopark</t>
  </si>
  <si>
    <t>41.0602434, 28.9997679</t>
  </si>
  <si>
    <t>7c6ab3a5-dcaa-ee11-b8e3-005056b0106f</t>
  </si>
  <si>
    <t>Şişli İlçesi Fulya Mahallesi Belediye Hizmet Binası Projesi</t>
  </si>
  <si>
    <t>Açık-Kapalı Yeni Spor  Alanları405 Ada / 107 ParselTeşvikiye Mahallesi</t>
  </si>
  <si>
    <t>41.0519525, 28.9970043</t>
  </si>
  <si>
    <t>Şişli İlçesi Teşvikiye Mahallesi 845 Ada 121 Parsel Pazar Yeri ve Katlı Otopark Projesi</t>
  </si>
  <si>
    <t>İlçe Görüşmeleri Devam Ediyor
Şişli İlçesi Teşvikiye Mahallesi 845 Ada 121 Parsel Sosyal Tesis Pazar Alanı ve Zeminaltı Otopark Projesi (Beşiktaş Pazarı)845 ada 121 parsel</t>
  </si>
  <si>
    <t>41.0498690, 29.0009183</t>
  </si>
  <si>
    <t>45eb2a67-3192-e711-80f5-005056a5354a</t>
  </si>
  <si>
    <t>Şişli İlçesi Teşvikiye Mahallesi 845 Ada 121 Parsel Sosyal Tesis Pazar Alanı ve Zeminaltı Otopark Projesi</t>
  </si>
  <si>
    <t>Kariyer Ve Yetkinlik Yönetim Merkezi - Kayem</t>
  </si>
  <si>
    <t>41.0615291, 28.9881852</t>
  </si>
  <si>
    <t>Kreş29 Ada 88 ParselOrtaköy Mahallesi</t>
  </si>
  <si>
    <t>Kısa Vade 29 ada 88 parsel</t>
  </si>
  <si>
    <t>41.0682520, 29.0113336</t>
  </si>
  <si>
    <t>Kreş 2152 ada 153 parsel Kaptanpaşa Mahallesi</t>
  </si>
  <si>
    <t>Kısa Vade 2152 ada 153 parsel</t>
  </si>
  <si>
    <t>Kreş 2527 ada 6 parsel mecidiyeköy Mahallesi</t>
  </si>
  <si>
    <t>Kısa Vade 2527 ada 6 parsel</t>
  </si>
  <si>
    <t>41.0689174, 28.9891381</t>
  </si>
  <si>
    <t>Salgın Emekçileri Parkı</t>
  </si>
  <si>
    <t>e8cf5dfa-561e-ef11-b8eb-005056b0106f</t>
  </si>
  <si>
    <t>Salgın Ve Sağlık Emekçilerini Anma Mekanı Parkı Projesi</t>
  </si>
  <si>
    <t>Kurtuluş Meydanı Düzenlenmesi</t>
  </si>
  <si>
    <t>Park Meydan</t>
  </si>
  <si>
    <t>*******Ulaşım Koordinasyon Şube Müdürlüğü tarafından yapılan bir çalışma bulunmamaktadır.******
ulaşım dairesi başkanlığı tarafından söz konusu alanda sıs-30 kodlu&amp;nbsp; zemin altı otopark alanı planlanmıştır. söz konusu alanın bir kısmı vakıflar genel müdürlüğü mülkiyetinde olduğundan uzun vadede değerlendirilecektir.</t>
  </si>
  <si>
    <t>Beşiktaş Pazarı Projesi</t>
  </si>
  <si>
    <t>Beşiktaş Pazarı Projesinin Güncellenmesi.</t>
  </si>
  <si>
    <t>41.0497484, 29.0001070</t>
  </si>
  <si>
    <t>Feriköy İski Alanındaki Kent Parkı Projesinin Güncellenmesi.</t>
  </si>
  <si>
    <t>41.0516480, 28.9764250</t>
  </si>
  <si>
    <t>Şişli Eskişehir Mahallesi Çocuk Etkinlik Merkezi İnşaatı</t>
  </si>
  <si>
    <t>41.0462043, 28.9834637</t>
  </si>
  <si>
    <t>01b31d75-df77-ea11-b84e-005056b0156e</t>
  </si>
  <si>
    <t>Şişli Eskişehir Mahallesi 1318 Ada 57 Parsel Kreş Projesi</t>
  </si>
  <si>
    <t>Dolmabahçe Gazhane Restorasyonu Uygulama İşi</t>
  </si>
  <si>
    <t>Kamusal Alan</t>
  </si>
  <si>
    <t>Projelendirme süreci tamamlanmış olup, kurul onayından sonra uygulamaya geçilecektir.</t>
  </si>
  <si>
    <t>41.0416149, 28.9930749</t>
  </si>
  <si>
    <t>fef23b0c-bdf6-e711-8101-005056a5354a</t>
  </si>
  <si>
    <t>Dolmabahçe Gazhane Fikir Projesi</t>
  </si>
  <si>
    <t>Gençlik Gemisi'nin Haliç Tersanesi'nde Bakım Onarımı</t>
  </si>
  <si>
    <t>Gemi Bakım Onarım</t>
  </si>
  <si>
    <t>40.8496059, 29.2910021</t>
  </si>
  <si>
    <t>Tersane Restorasyonu</t>
  </si>
  <si>
    <t>İSTON A.Ş.</t>
  </si>
  <si>
    <t>İSTON'un Taşınması</t>
  </si>
  <si>
    <t>İston'un Taşınması</t>
  </si>
  <si>
    <t>40.8320612, 29.2976213</t>
  </si>
  <si>
    <t>İçmeler Meydan Parkı Ve Yeraltı Otopark5981 Ada- 24 Parselİçmeler Meydanı</t>
  </si>
  <si>
    <t>Sosyal Alan Oluşturmak Hedeflenmektedir.</t>
  </si>
  <si>
    <t>40.852068083116684, 29.315254773339397</t>
  </si>
  <si>
    <t>Postane Mahallesi Yeşil Koridor Projesi</t>
  </si>
  <si>
    <t>5 Etap Olarak Planlanmaktadır</t>
  </si>
  <si>
    <t>40.8176736466365, 29.30436542760291</t>
  </si>
  <si>
    <t>Tuzla Taksi Durakları</t>
  </si>
  <si>
    <t>Elverişli Ve Çağımıza Uygun Taksi Durak Alanları Oluşturmak</t>
  </si>
  <si>
    <t>ispark a.ş. ile birlikte mevcut taksi durakları değerlendirilip durak alanları ulaşım koordinasyon müdürlüğü ile belirlenip ilgili paydaşlar (emlak şube müdürlüğü, ilçe belediyesi, kentsel dönüşüm şube müdürlüğü, kentsel tasarım şube müdürlüğü,il emniyet müdürlüğü) görüşü alınarak planlaması yapılacaktır.</t>
  </si>
  <si>
    <t>40.8145461, 29.3071485</t>
  </si>
  <si>
    <t>Kapalı Spor Salonu Yapılması</t>
  </si>
  <si>
    <t>7037 M2 Toplam İnşaat Alanına Sahip Bodrum, Zemin Ve Asma Katı Bulunan Yapı</t>
  </si>
  <si>
    <t>40.8434775, 29.3005093</t>
  </si>
  <si>
    <t>5000 Lik Plan Yapımı Kentsel Dönüşüm</t>
  </si>
  <si>
    <t>Aydıntepe Ve İçmeler 5000’Lik Plan Yapımı, Ardından Aydıntepe Kentsel Dönüşüm</t>
  </si>
  <si>
    <t>40.8555523, 29.3020425</t>
  </si>
  <si>
    <t>Su Sporları Merkezi</t>
  </si>
  <si>
    <t>26.09.2020 Tarihinde Doğal Sit Alanı (Kesin Korunacak Hassas Alan) İlan Edilmiştir.</t>
  </si>
  <si>
    <t>D100 Araç Üstgeçidi</t>
  </si>
  <si>
    <t>Aydınlı Mahallesi Girişi D100 Araç Üstgeçidi</t>
  </si>
  <si>
    <t>40.8766832, 29.3174342</t>
  </si>
  <si>
    <t>Hünkar Çayırı Geçişi</t>
  </si>
  <si>
    <t>40.8169700, 29.3340400</t>
  </si>
  <si>
    <t>Ümraniye İSKİ Ek Hizmet Binası Proje Çalışması</t>
  </si>
  <si>
    <t>(İBB den Avan Onayı bekleniyor)</t>
  </si>
  <si>
    <t xml:space="preserve">Kesin Kabulü yapılmış olup, projeler yapım birimine gönderilmiştir.
</t>
  </si>
  <si>
    <t>41.02019545005157, 29.116676926657806</t>
  </si>
  <si>
    <t>3001 Caddesi İle O-4 Otoyolu Bağlantı Projesi</t>
  </si>
  <si>
    <t>İlçe Geneli Trafik Sirkülasyon Sorunları</t>
  </si>
  <si>
    <t>******Ataşehir İlçesi'nde 06.03.2025 tarihli UTK2025/9-3 karar nolu proje çalışıması yapılmış olup alınan bu kararın Ataşehir İlçe sınırında yer alan bahse konu bölgeye de fayda sağlayacağı öngörülmektedir.   
****ümraniye ilçesi ile ataşehir ilçesini etkileyen 3001 caddesinin ataşehir kısmından o4’e yapılan bağlantı kısmında oluşan trafik sıkışıklığının 3001 caddesi üzerinden ümraniye kısmını etkilediği tespit edilmiştir. ümraniye belediye başkanlığınca söz konusu o4 bağlantısıyla ilgili proje çalışması yapılmaktadır. ümraniye belediyesince yapılan proje çalışmalarına ilişkin şifahi görüşmeler yapılmış olup müdürlüğümüze yapılmış olan herhangi bir talep bulunmamaktır. söz konusu proje çalışması tamamlanıp tarafımıza iletilmesi durumunda proje utk gündemine taşınacaktır.</t>
  </si>
  <si>
    <t>**Ataşehir İlçesi'nde 06.03.2025 tarihli UTK2025/9-3 karar nolu proje çalışıması yapılmış olup alınan bu kararın Ataşehir İlçe sınırında yer alan bahse konu bölgeye de fayda sağlayacağı öngörülmektedir.</t>
  </si>
  <si>
    <t>41.008578, 29.098306</t>
  </si>
  <si>
    <t>Atakent Mahallesi Çevre Sokağı Hobi Bahçesi</t>
  </si>
  <si>
    <t>Peyzaj</t>
  </si>
  <si>
    <t>41.012010, 29.102970</t>
  </si>
  <si>
    <t>Şile Yolu Kemerdere Mevkii Park Düzenlemesi</t>
  </si>
  <si>
    <t>41.024007, 29.175329</t>
  </si>
  <si>
    <t>Tavukçuyolu Caddesi Düzenleme</t>
  </si>
  <si>
    <t>41.01043302601781, 29.13867740336837</t>
  </si>
  <si>
    <t>Tepeüstü Aktarma İstasyonu</t>
  </si>
  <si>
    <t>Tepeüstü Aktarma İstasyonu; Otopark Ve İett Garajı Vb.</t>
  </si>
  <si>
    <t>41.0204875543295, 29.129680891758678</t>
  </si>
  <si>
    <t>Yol Genişletme Ve Peyzaj</t>
  </si>
  <si>
    <t>Küçüksu Caddesine İnen İnönü Cad. Yol Genişletme Ve Peyzaj​</t>
  </si>
  <si>
    <t>41.0508922, 29.0883576</t>
  </si>
  <si>
    <t>Siteyolu Caddesi Bağlantıyolu Projesi</t>
  </si>
  <si>
    <t>1/5000 Lik İmar&amp;nbsp; Planlarına İşlenmiştir.</t>
  </si>
  <si>
    <t>41.023277716377095, 29.11527204431139</t>
  </si>
  <si>
    <t>Libadiye Kavşağı Düzenlenmesi</t>
  </si>
  <si>
    <t>talep ulaşım dairesi başkanlığı tarafından değerlendirmeye alınacaktır.</t>
  </si>
  <si>
    <t>41.0209133, 29.0747567</t>
  </si>
  <si>
    <t>Tophanelioğlu Caddesi Düzenlenmesi</t>
  </si>
  <si>
    <t>Yol Ve Çevre Düzenleme</t>
  </si>
  <si>
    <t>******Bahse konu proje ile ilgili Ulaşım Koordinasyon Şube Müdürlüğü tarafından yapılan bir çalışma bulunmamaktadır.*******
bahse konu talebe ilişkin ilçe belediyesi ve anadolu yakası yol bakım ve onarım şube müdürlüğü ile yapılan görüşmelerde tophanelioğlu caddesi'nin prestij caddesi olarak düzenleneceği bilgisi alınmış olup, projenin bitmesine müteakip ulaşım daire başkanlığı tarafından utk kararı alınacaktır.</t>
  </si>
  <si>
    <t>41.0141652, 29.0416169</t>
  </si>
  <si>
    <t>Ünalan Caddesi Düzenlenmesi</t>
  </si>
  <si>
    <t>****Bahse konu proje ile ilgili Ulaşım Koordinasyon Şube Müdürlüğü tarafından yapılan bir çalışma bulunmamaktadır.*****
talep ulaşım dairesi başkanlığı tarafından değerlendirmeye alınacaktır.</t>
  </si>
  <si>
    <t>40.9966469, 29.0718197</t>
  </si>
  <si>
    <t>Üsküdar İstanbul Büyükşehir Belediyesi  Çamlıca Sosyal Tesisleri Ve Yakın Çevresi Rekreasyon  Tamamlama Projesi</t>
  </si>
  <si>
    <t>​Büyük Çamlıca Rekreasyon (1., 2. Ve 3.Etap) Projeleri Kapsamında Önerilen Mimari Yapıların Uygulama Projelerinin Tamamlandığı Bir İştir.Bu Kapsamda Wc, Mescit, Kafeterya, Depo Ve İdari Bina Yapılarına Ait Uygulama Projeleri Temin Edilmiştir.</t>
  </si>
  <si>
    <t>41.02897378, 29.06733557</t>
  </si>
  <si>
    <t>a252617b-cee3-e711-80ff-005056a5354a</t>
  </si>
  <si>
    <t>Koru Düzenlemesi</t>
  </si>
  <si>
    <t>Acıbadem Mahallesi, O-4 Otoyolu Emaar AVM Yanyolu Derz Değişim İnşaatı İşi</t>
  </si>
  <si>
    <t>41.0053806, 29.0722320</t>
  </si>
  <si>
    <t>İBB Kültür ve Sanat Odağı Projesi</t>
  </si>
  <si>
    <t>İBB Kültür ve Sanat Odağı Projesi1119 ada 118,12 parsellerÜnalan Mahallesi Barajyolu Alt Sok.</t>
  </si>
  <si>
    <t>40.99877268, 29.06088823</t>
  </si>
  <si>
    <t>f5f21aaa-44fe-ee11-b8e8-005056b0106f</t>
  </si>
  <si>
    <t>Üsküdar İlçesi Ünalan Mahallesi İBB Kültür ve Sanat Odağı Projesi</t>
  </si>
  <si>
    <t>Konser Salonu</t>
  </si>
  <si>
    <t>Bosna Bulvarı-Kaldırım Cad-Zübeyde Hanım Cad.</t>
  </si>
  <si>
    <t>41.053760, 29.075645</t>
  </si>
  <si>
    <t>Güzeltepe Caddesi Düzenlenmesi</t>
  </si>
  <si>
    <t>41.049129, 29.058299</t>
  </si>
  <si>
    <t>Hakimiyeti Milliye Cad. Orta Refüj Peyzaj Düzenlemesi</t>
  </si>
  <si>
    <t>Peyzaj Düzenlemesi</t>
  </si>
  <si>
    <t>41.024275, 29.015682</t>
  </si>
  <si>
    <t>Sıfır Atık Eğitim Merkezi</t>
  </si>
  <si>
    <t>Balıkçılar Çarşısı Ve Atlas Çıkmazına Bağlı Sokakların Cephe Rehabilitasyonu446 Ada- 108 ParselBalıkçılar Çarşısı ve Atlas Çıkmazına Bağlı Sokak Bölgesi</t>
  </si>
  <si>
    <t>41.0244237, 29.0160452</t>
  </si>
  <si>
    <t>Sosyal Yaşam Merkezi Ve Taziye Evi</t>
  </si>
  <si>
    <t>2 adet taziye salonu, çay ocağı​</t>
  </si>
  <si>
    <t>41.058975, 29.075582</t>
  </si>
  <si>
    <t>6377a6db-8ff1-ee11-b8e8-005056b0106f</t>
  </si>
  <si>
    <t>Taziye Evi Tip Projesi</t>
  </si>
  <si>
    <t>Arakiyeci Mehmed Ağa Mescidi</t>
  </si>
  <si>
    <t>Cami-Tuvalet- Şadırvan - Müştemilat</t>
  </si>
  <si>
    <t>41.01378060, 29.02205886</t>
  </si>
  <si>
    <t>045a5ade-3604-e911-8118-005056a5354a</t>
  </si>
  <si>
    <t>Mescit Rekonstrüksiyonu</t>
  </si>
  <si>
    <t>Cephe Ve Kentsel Tasarım</t>
  </si>
  <si>
    <t>Çengelköy/Kuzguncuk Vb. Cephe Ve Kentsel Tasarım</t>
  </si>
  <si>
    <t>41.0334569, 29.0368154</t>
  </si>
  <si>
    <t>Çengelköy Meydan, Otopark, Cephe, Trafik</t>
  </si>
  <si>
    <t>Çengelköy Meydan, Otopark, Cephe, Trafik Vb. Bütüncül</t>
  </si>
  <si>
    <t>41.0510339, 29.0599829</t>
  </si>
  <si>
    <t>Kentaş-Kiptaş İşbirliği Dönüşüm</t>
  </si>
  <si>
    <t>Kentaş-Kiptaş İşbirliği Siteler, Kuzguncuk’ta Dönüşüm Vb.</t>
  </si>
  <si>
    <t>41.032009, 29.034682</t>
  </si>
  <si>
    <t>Marmaray Meydanı Düzenleme İhtiyacı</t>
  </si>
  <si>
    <t>41.0263482, 29.0147807</t>
  </si>
  <si>
    <t>Sağlık Merkezi</t>
  </si>
  <si>
    <t>Ünalan Kültür Merkezi Yanına Sağlık Merkezi</t>
  </si>
  <si>
    <t>40.99756537166182, 29.0643506849376</t>
  </si>
  <si>
    <t>Çengelköy Çocuk Sanat Merkezi</t>
  </si>
  <si>
    <t>Süreci Fen İşleri Daire Başkanlığı takip ediyor.</t>
  </si>
  <si>
    <t>Paşalimanı Caddesi Çeşme ve Kagir Yapıların Rölöve,Restitüsyon ve Restorasyon Projeleri Temini İşi</t>
  </si>
  <si>
    <t>​Çeşme Kagir Yapı</t>
  </si>
  <si>
    <t>Rölöve ve Restitüsyon projesi onaylandı. Restorasyon projesi kurula iletilmesi için Boğaziçi İmar'a gönderildi.</t>
  </si>
  <si>
    <t>41.0338555, 29.0257942</t>
  </si>
  <si>
    <t>ee3d44ac-b212-ef11-b8ea-005056b0106f</t>
  </si>
  <si>
    <t>Sivil Mimarlık Örneği Yapı Rekonstrüksiyonu</t>
  </si>
  <si>
    <t>Kara Surları Önündeki Caddenin Bütüncül Ele Alınması</t>
  </si>
  <si>
    <t>Kara Surları Önündeki Caddenin Bütüncül Ele Alınması, Tasarımı; Yaya Erişimi, Sur Kapıları, Zeytinburnu Ve Eyüpsultan İle İlişkisi Vb</t>
  </si>
  <si>
    <t>******Bahse konu proje ile ilgili Ulaşım Koordinasyon Şube Müdürlüğü tarafından yapılan bir çalışma bulunmamaktadır.*******
bahse konu caddeler ile ilgili gerekli saha incelemeleri ve araştırmalara başlanılacak olup, trafik sorunlarının çözüme kavuşması sağlanacaktır.</t>
  </si>
  <si>
    <t>41.014409239645275, 28.92128106927959</t>
  </si>
  <si>
    <t>Kuloğlu Mahallesi, Kartal Sokak Yol Yenileme Projesi</t>
  </si>
  <si>
    <t>Alt Ve Üst Yapılarının Yenilenmesi​</t>
  </si>
  <si>
    <t>​Planlanıyor</t>
  </si>
  <si>
    <t>41.03353308216298, 28.978329858153952</t>
  </si>
  <si>
    <t>Kurtköy Garajı  Hangar Binası Yapılması</t>
  </si>
  <si>
    <t>150 Adet Körüklü Otobüs Park Alanı</t>
  </si>
  <si>
    <t>Garaj Hangarlarının Uzatılması ve Tadilatı” işi kapsamında başlanılmış olup 01.07.2025 tarihinde bitirilmesi planlanmaktadır.
Kurtköy Garajının bitişiğindeki alanda 6 kanallı bakım hangarı ve ofislerin yapımına başlanılmıştır.</t>
  </si>
  <si>
    <t>Garaj Hangarlarının Uzatılması ve Tadilatı İşi (Bu iş kapsamında Kurtköy Garajı  Hangar Binası yapılmıştır.)</t>
  </si>
  <si>
    <t>40.927978, 29.315380</t>
  </si>
  <si>
    <t>Çatalca Ferhatpaşa Mahallesi Çocuk Etkinlik Merkezi İnşaatı</t>
  </si>
  <si>
    <t>41.13030033, 28.45572123</t>
  </si>
  <si>
    <t>0496ff8d-1293-ec11-b8a0-005056b0106f</t>
  </si>
  <si>
    <t>Çatalca İlçesi Ferhatpaşa Mahallesi 119 Ada 1 Parsel İlköğretim Atölye Projesi (KR213)</t>
  </si>
  <si>
    <t>Paşaköy 3.Kademe İleri Biyolojik Atık Su Arıtma Tesisi İnşaatı</t>
  </si>
  <si>
    <t>100 Bin m3/Gün Kapasiteli İleri Biyolojik Atık Su Arıtma Tesisi İnşaatı.</t>
  </si>
  <si>
    <t>İleri Biyolojik Atıksu Arıtma Tesisi</t>
  </si>
  <si>
    <t>41.0077000, 29.2808900</t>
  </si>
  <si>
    <t>Baltalimanı Biyolojik Atıksu Arıtma Tesisi</t>
  </si>
  <si>
    <t>Biyolojik Atıksu Arıtma Tesisi</t>
  </si>
  <si>
    <t>41.1005000, 29.0395600</t>
  </si>
  <si>
    <t>Esenler Su Terazisi</t>
  </si>
  <si>
    <t>Muafakat için Esenler Belediyesinden izin beklenmektedir.</t>
  </si>
  <si>
    <t>41.0390700, 28.8755200</t>
  </si>
  <si>
    <t>Terkos Su Medeniyetleri Müzesi</t>
  </si>
  <si>
    <t>19 yy. da artan nüfus ve yükselen binalarla mevcut su sistemi yetersiz kalmış olup, Terkos Su Yollarına ait Pompa İstasyonu ülkemizin ilk modern su tesisidir, restore edilerek müze fonksiyonu verilmiştir. Müzemizde çağdaş müzecilik anlayışıyla 2024 yılında SUYU anlatıyoruz.</t>
  </si>
  <si>
    <t>41.3009400, 28.6734200</t>
  </si>
  <si>
    <t>Muhtelif Yerlerde Bakım Onarım İşi-2</t>
  </si>
  <si>
    <t xml:space="preserve">Bu kapsamda Sineperver Çeşmesi, Azapkapı Saliha Sultan Çeşmesi, Kağıthane Su Deposu, Hatice Sultan Çeşmesi, Fener Patrikhane Çeşmesi ve III. Ahmet Çeşmesi’nin restorasyon çalışmaları tamamlanmıştır. Sineperver Çeşmesi ve Azapkapı Saliha Sultan Çeşmesi’nin kısmi geçici kabul çalışmaları devam etmektedir. Sarıyer Bahçeköy mahallesinde bulunan galeri imalatları için süre uzatımı alınmıştır. </t>
  </si>
  <si>
    <t>Çoklu İlçe; Beyoğlu; Fatih; Üsküdar
Söz konusu galeri ıslahı için İBB KUDEB denetiminde basit onarım çalışmalarına başlanılacaktır.</t>
  </si>
  <si>
    <t>41.0400381, 28.9662815</t>
  </si>
  <si>
    <t>Vakıf Atık Valide Su Sistemi</t>
  </si>
  <si>
    <t>Vakıf Atik Valide Su Sistemi’nin Yapısal Durumu, Hidrojeolojik, Hidrolik Yönünden Değerlendirilmesi Teknik Raporu“ nun hazırlanmasıyla  alakalı olarak işin uzmanı akademisyenler ile ayrıntılı çalışılmalar yapılmıştır. 10 ila 15 derinliğindeki galeri bacalarına girilerek görüntüler alınmıştır.</t>
  </si>
  <si>
    <t>Çoklu İlçe; Ümraniye; Üsküdar
Projelendirme çalışmalar devam etmektedir</t>
  </si>
  <si>
    <t>Levent İSKİ Su Kulesi</t>
  </si>
  <si>
    <t>Levent'teki İSKİ Su Kulesi´nin, modern Türkiye'nin tarihsel evrelerinden biri olan sanayi döneminin önemli kültürel peyzaj simgelerinden biri olarak vurgulanarak, yeni bir fonksiyonla kente entegre edilip edilemeyeceğine karar verilmek amacıyla güçlendirme amaçlı deprem risk analizi çalışmaları tamamlanmıştır</t>
  </si>
  <si>
    <t>Rölöve ve avan projelerinin ilgili Kurullardan onay süreçleri devam etmekte olup zemin etüdü yapılacaktır.</t>
  </si>
  <si>
    <t>41.0755600, 29.0163100</t>
  </si>
  <si>
    <t>Muhtelif Yerlerde Bakım Onarım İşi-2 (TAKSİM SU YOLLARINA AİT SU GALERİSİ)</t>
  </si>
  <si>
    <t>Bahçeköy mahallesi Doğanbey Caddesi’nde bulunan Taksim Su Yoluna ait su galerisinin bakım ve onarımı KUDEB denetiminde yapılmaktadır.</t>
  </si>
  <si>
    <t>Geçici kabul çalışmaları yapılmıştır.</t>
  </si>
  <si>
    <t>41.03981745892804, 28.984447922072743</t>
  </si>
  <si>
    <t>İski Şile Balibey Lojman Binasının Güçlendirme Ve Mekansal Rehabilitasyon Projesi Hazırlanması İşi</t>
  </si>
  <si>
    <t>Proje çalışmaları tamamlanmıştır.</t>
  </si>
  <si>
    <t>41.179074818271594, 29.613545110415</t>
  </si>
  <si>
    <t>İSKİ Kartal Hizmet Binası İçin Sahaya Özel Deprem Tehlikesi Analizi İşi</t>
  </si>
  <si>
    <t>Rapor çalışmaları tamamlanmıştır.</t>
  </si>
  <si>
    <t>40.91274837052841, 29.194254649920236</t>
  </si>
  <si>
    <t>İSKİ Kartal Hizmet Binası Tasarım Gözetmeni (Dtgua-1) Danışmanlık Hizmet Alımı</t>
  </si>
  <si>
    <t xml:space="preserve">Sözleşme Aşamasındadır. Sözleşme İmzalanmıştır. İş tamamlanmıştır.
</t>
  </si>
  <si>
    <t xml:space="preserve">İhale süreci tamamlanmış olup sözleşme aşamasına geçilmiştir.
Sözleşmesi imzalanmış olup iş başlamıştır.
</t>
  </si>
  <si>
    <t>İski Beşiktaş Refikosman Lojman Binasının Deprem Performansının Belirlenmesi Ve Onarım/Güçlendirme Projesi Hazırlatılması İşi</t>
  </si>
  <si>
    <t xml:space="preserve">İhale aşamasındadır. 
Proje çalışmaları tamamlanmıştır.
</t>
  </si>
  <si>
    <t xml:space="preserve">Proje çalışmalarına başlanmıştır. 
</t>
  </si>
  <si>
    <t xml:space="preserve">Proje çalışmaları tamamlanmış olup idare tarafından incelenmektedir.
</t>
  </si>
  <si>
    <t>41.04303764051406, 29.00066535194976</t>
  </si>
  <si>
    <t>İski Afet Ve Acil Durum Yönetimi Şube Müdürlüğü Hizmet Binası Proje Çalışmaları</t>
  </si>
  <si>
    <t>İhale aşamasındadır.</t>
  </si>
  <si>
    <t xml:space="preserve"> İhale dosyası hazırlanarak ihale birimine gönderilmiştir. 
</t>
  </si>
  <si>
    <t>41.08743574736247, 28.965407489182528</t>
  </si>
  <si>
    <t>Kemerburgaz Hizmet Binası Proje Çalışmaları</t>
  </si>
  <si>
    <t xml:space="preserve">İhale aşamasındadır.
</t>
  </si>
  <si>
    <t xml:space="preserve"> İhale dosyası hazırlanarak ihale birimine gönderilmiştir.
</t>
  </si>
  <si>
    <t>41.15331721979928, 28.91734645599939</t>
  </si>
  <si>
    <t>Müşavirlik Hizmetleri 3 (Melen İsale Hattı Güzergahındaki  Heyelanlar İçin Jeolojik-Jeoteknik Etüt Raporu, Heyelan Geoteknik  Etüt Raporu İle Heyelan Geoteknik İyileştirme Projesi Hazırlanması)</t>
  </si>
  <si>
    <t>İhale sona erdi.</t>
  </si>
  <si>
    <t>Zemin ve Temel Etürleri Yapılması İşi (2)</t>
  </si>
  <si>
    <t xml:space="preserve">Zemin raporlama işleri devam etmektedir.  İş, süre uzatımına gerek olmadan tamamlanmış olacaktır.
</t>
  </si>
  <si>
    <t xml:space="preserve">Tamamlandı 
</t>
  </si>
  <si>
    <t>Zemin ve Temel Etürleri Yapılması İşi (3)</t>
  </si>
  <si>
    <t>Zemin ve temel etüt çalışmaları devam etmektedir.</t>
  </si>
  <si>
    <t>Gelen talepler doğrultusunda yapılan zemin ve temel etüt işlerinden en son Ataköy İleri Biyolojik Atık Su Arıtma Tesisi 3. Kademe sahasındaki sondaj ve jeofizik çalışmaları tamamlanmıştır. Gümüşyaka Atık Su Tüneli proje sahasındaki sondaj çalışmalarına başlanmıştır. Bunun dışında muhtelif yerlerdeki şube ve lojman alanlarında sondaj ve jeofizik çalışmalar yapılmıştır.</t>
  </si>
  <si>
    <t>Riva, Kilyos, Bozhane İBAAT'leri İnşası ile Reşadiye ve Koçullu BAAT'sinin İBAAT'ine çevrilmesi ve Kapasite Artırımı yapılması</t>
  </si>
  <si>
    <t>Riva (15.000 m3/gün), Kilyos (15.000 m3/gün) Bozhane (1.500 m3/gün) İleri Biyolojik Atık Su Arıtma Tesisleri'nin inşası ile Reşadiye (3.000 m3/gün) ve Koçullu (3.500 m3/gün) Biyolojik Atık Su Arıtma Tesisleri'nin ileri biyolojiğe çevrilerek kapasite arttırılması işi.</t>
  </si>
  <si>
    <t>Çoklu İlçe; Beykoz; Sarıyer
Atıksu Arıtma Tesisi Ek Ünite İnşaatı (3) İşi</t>
  </si>
  <si>
    <t>41.225275828312924, 29.223819391743966</t>
  </si>
  <si>
    <t>Ataşehir İlçesi, Aksekili Mehmet Uslu Caddesi-Dudullu Caddesi-Baraj Yolu Kesişimi Yol, Kavşak Revize Projesi</t>
  </si>
  <si>
    <t>​Yaklaşık 5341 m2 Ardgerme Köprü, yaklaşık 2 km yol projesi,Yaklaşık 600 m bisiklet yolu,yaklaşık 800 m2 istinat duvarından oluşmaktadır.</t>
  </si>
  <si>
    <t>40.9910103, 29.1503120</t>
  </si>
  <si>
    <t>c91ebca9-cf86-ef11-b8f1-005056b0106f</t>
  </si>
  <si>
    <t>Avcılar İlçesi, İBB Avcılar Sosyal Tesisleri Bölgesi Heyelan Önleme Projesi</t>
  </si>
  <si>
    <t>​20000 m2 alanı içeren heyelan önlem projesi hazırlanması.</t>
  </si>
  <si>
    <t>40.9764938, 28.7440627</t>
  </si>
  <si>
    <t>71c76999-5b8c-ef11-b8f1-005056b0106f</t>
  </si>
  <si>
    <t>Avcılar İlçesi, Tahtakale Mah Yahya Kemal Beyatlı Cad-Başakşehir İlçesi, Bahçeşehir Mah Fırat 1_Cad Arası İmar Yolu Uygulama Projesi</t>
  </si>
  <si>
    <t>​380 metre uzunluğunda 11400 m² alana sahip özel köprü,85 metre uzunluğunda 2540 m² alana sahip köprü, 2,9 km uzunluğunda yol.</t>
  </si>
  <si>
    <t>41.0769538, 28.6973480</t>
  </si>
  <si>
    <t>bf9e4dfe-5e8c-ef11-b8f1-005056b0106f</t>
  </si>
  <si>
    <t>Esenyurt İlçesi, TEM Avcılar Gişeleri ile Haramidere D-100 Bağlantı Yolu Ispartakule Caddesi Bağlantı Yolu Düzenleme Projesi</t>
  </si>
  <si>
    <t>1 Km 656 Mt uzunluğunda ​​​3 şeritli 3.5 metre genişlikli ve kavşak bağlantılı yol projesi.</t>
  </si>
  <si>
    <t>41.049012, 28.685972</t>
  </si>
  <si>
    <t>2a7cc170-0fbd-ef11-b90d-005056b0106f</t>
  </si>
  <si>
    <t>Bahçelievler İlçesi, Çobançeşme Kavşağı, Ayamama Deresi Taş Duvarları Deformasyon Önlem Projesi</t>
  </si>
  <si>
    <t>​300 m2 duvar projesi.</t>
  </si>
  <si>
    <t>40.9953188, 28.8205213</t>
  </si>
  <si>
    <t>4c710998-35ae-ef11-b90d-005056b0106f</t>
  </si>
  <si>
    <t>Bahçelievler İlçesi, Kocasinan Yeni Mezarlığı İstinat Duvarı Deformasyon Önlem Projesi</t>
  </si>
  <si>
    <t>​450 m2 İstinat Duvarı Güçlendirme Projesi​</t>
  </si>
  <si>
    <t>41.0166381, 28.8339513</t>
  </si>
  <si>
    <t>8a838160-5360-ef11-b8ee-005056b0106f</t>
  </si>
  <si>
    <t>Bakırköy İlçesi, Osmaniye Mahallesi, 192 Ada, 9-20 ve 21 Parseller Üzerinde Yapılan Belediye Hizmet Binası Giriş Çıkışları ve Geometrik Düzenleme Projesi</t>
  </si>
  <si>
    <t>​2 şeritli 3.5 metre genişlikli, ve 12x15 ölçülü menfez köprü bağlantılı yol projesi.​​</t>
  </si>
  <si>
    <t>Çoklu İlçe; Bakırköy; Zeytinburnu</t>
  </si>
  <si>
    <t>40.9939990, 28.8908965</t>
  </si>
  <si>
    <t>d2977a8e-f6aa-ef11-b90d-005056b0106f</t>
  </si>
  <si>
    <t>Bayrampaşa İlçesi, D100 Vatan Caddesi Kavşak Kolu Üstgeçit Köprüsü-1 Güçlendirme Projesi</t>
  </si>
  <si>
    <t>​59,74 m uzunluk, 10 m genişlik, 597 m2 alan köprü.</t>
  </si>
  <si>
    <t>41.0278422, 28.9235887</t>
  </si>
  <si>
    <t>c123f205-4990-ef11-b8f1-005056b0106f</t>
  </si>
  <si>
    <t>Bayrampaşa İlçesi, Kocatepe Mahallesi, İBB Halk Süt Deposu İstinat Duvarı Deformasyon Önlem Projesi</t>
  </si>
  <si>
    <t>​270 m2 İstinat Duvarı Projesi</t>
  </si>
  <si>
    <t>41.0460213, 28.8905922</t>
  </si>
  <si>
    <t>592f3111-36b9-ef11-b90d-005056b0106f</t>
  </si>
  <si>
    <t>Bayrampaşa Şehit Kamil Balkan Caddesi Düzenleme Projesi</t>
  </si>
  <si>
    <t>​1,6 km uzunluğunda, 36.181 m2 cadde düzenleme projesidir.</t>
  </si>
  <si>
    <t>41.0638133, 28.8915103</t>
  </si>
  <si>
    <t>564490cf-21a3-ef11-b90d-005056b0106f</t>
  </si>
  <si>
    <t>Beşiktaş İlçesi, Gayrettepe Mahallesi, Ayazmadere Caddesi İstinat Duvarları Deformasyon Önlem Projesi</t>
  </si>
  <si>
    <t>​1000 m2 istinat duvarı güçlendirme projesi.</t>
  </si>
  <si>
    <t>41.0588206, 29.0038297</t>
  </si>
  <si>
    <t>5f931d5d-2aab-ef11-b90d-005056b0106f</t>
  </si>
  <si>
    <t>Beylikdüzü Gürpınar Sahili 2_Etap Düzenleme Projesi</t>
  </si>
  <si>
    <t>Kıyı yapıları, ​yürüyüş aksları, bisiklet yolu, koşu yolu, plaj, oturma-dinlenme alanları, açık otopark alanları</t>
  </si>
  <si>
    <t>Çoklu İlçe; Beylikdüzü; Büyükçekmece</t>
  </si>
  <si>
    <t>40.9770229245055, 28.59676296422712</t>
  </si>
  <si>
    <t>44c45c8f-46a3-ef11-b90d-005056b0106f</t>
  </si>
  <si>
    <t>Beyoğlu Galata Köprüsü ve Çevresi Düzenleme Avan Projesi</t>
  </si>
  <si>
    <t>​600m yol ve cadde düzenleme</t>
  </si>
  <si>
    <t>Çoklu İlçe; Beyoğlu; Fatih</t>
  </si>
  <si>
    <t>41.022231915081015, 28.97493846758486</t>
  </si>
  <si>
    <t>65b7b13c-10bd-ef11-b90d-005056b0106f</t>
  </si>
  <si>
    <t>Beyoğlu Tarlabaşı Bulvarı-Refik Saydam Caddesi ve Yakın Çevresi Düzenleme Projesi</t>
  </si>
  <si>
    <t>​2,4 km yol ve cadde düzenleme</t>
  </si>
  <si>
    <t>41.0330334, 28.9742703</t>
  </si>
  <si>
    <t>20e0ab5d-aba5-ef11-b90d-005056b0106f</t>
  </si>
  <si>
    <t>Çekmeköy ilçesi, Şile Otoyolu-Turgut Özal Caddesi Kesişimi (Taşdelen Kavşağı) Uygulama Projesi</t>
  </si>
  <si>
    <t>​​Yaklaşık 912 metre duvar, 2074 metre uzunluğunda yol ve kavşak düzenlemesi</t>
  </si>
  <si>
    <t>41.0229413, 29.2163384</t>
  </si>
  <si>
    <t>b27dcf08-ffc8-ef11-b90e-005056b0106f</t>
  </si>
  <si>
    <t>Esenyurt Orhangazi Mahallesi, 1568 Sokak - 1654 Sokak - 1584 Sokak Bağlantıları TEM Kuzey-Güney Yanyollar Uygulama Projesi</t>
  </si>
  <si>
    <t>​Proje kapsamında  (82mx15m) 1230m² köprü, 560m² duvar ve 5km yol planlanacaktır.</t>
  </si>
  <si>
    <t>41.0751793, 28.6478397</t>
  </si>
  <si>
    <t>39e47886-81c2-ef11-b90e-005056b0106f</t>
  </si>
  <si>
    <t>​2.520 m2 Şev Stabilite Projesi​</t>
  </si>
  <si>
    <t>41.053949, 28.928746</t>
  </si>
  <si>
    <t>Eyüpsultan İlçesi, D100 Vatan Caddesi Kavşağı Üstgeçit Köprüsü Güçlendirme Projesi</t>
  </si>
  <si>
    <t>​68,21 m uzunluk, ​37,7 m genişlik, 2571,517 m2 alan köprü.</t>
  </si>
  <si>
    <t>41.0288084, 28.9240571</t>
  </si>
  <si>
    <t>952bb970-4890-ef11-b8f1-005056b0106f</t>
  </si>
  <si>
    <t>Fatih İlçesi Şehit Nedim Parkı Deniz Yapısı Projesi</t>
  </si>
  <si>
    <t>41.0285352, 28.9563602</t>
  </si>
  <si>
    <t>d3dca423-fc7b-ef11-b8f1-005056b0106f</t>
  </si>
  <si>
    <t>Güngören Meydanı Ön Projesi Hazırlanması</t>
  </si>
  <si>
    <t>​Park ve Meydan</t>
  </si>
  <si>
    <t>41.015596, 28.878811</t>
  </si>
  <si>
    <t>0b1b592e-22a3-ef11-b90d-005056b0106f</t>
  </si>
  <si>
    <t>Kağıthane İlçesi, D100 Okmeydanı Kavşağı Üstgeçit Köprüsü Güçlendirme Projesi</t>
  </si>
  <si>
    <t>​62,52 m uzunluğu, 38 m genişlik, ​ 23​75,76 m2 köprü.</t>
  </si>
  <si>
    <t>41.055931, 28.960258</t>
  </si>
  <si>
    <t>2e7a0812-4890-ef11-b8f1-005056b0106f</t>
  </si>
  <si>
    <t>Kağıthane Talatpaşa Mahallesi Zeminaltı Otopark ve Üzeri Açık Spor Tesisi Projesi(KAG-18)</t>
  </si>
  <si>
    <t>​6.900 m2 proje alanı, 4.750 m2 taban alanına sahip 4 katlı 540 araç kapasiteli zeminaltı otopark(19.000 m2 inşaat alanı), 45x90 ebatlarında futbol sahası, 400 m2 giyinme soyunma yapısı.​​</t>
  </si>
  <si>
    <t>41.0672033, 28.9684384</t>
  </si>
  <si>
    <t>4813a0a2-0c65-ef11-b8ef-005056b0106f</t>
  </si>
  <si>
    <t>Küçükçekmece İlçesi, Fevzi Çakmak Mahallesi Sefaköy Kiptaş Konutları Yol ve Duvar Deformasyon Önlem Projesi</t>
  </si>
  <si>
    <t>​1000 m2 İstinat Duvarı Güçlendirme Projesi</t>
  </si>
  <si>
    <t>41.0130004, 28.7884986</t>
  </si>
  <si>
    <t>819d096a-e17b-ef11-b8f1-005056b0106f</t>
  </si>
  <si>
    <t>Maltepe İlçesi, Büyükyalı Caddesi Köprü Yaklaşım Duvarı Deformasyon Önlem Projesi</t>
  </si>
  <si>
    <t>​120 m2 İstinat Duvarı Güçlendirme Projesi​</t>
  </si>
  <si>
    <t>40.9376548, 29.1221549</t>
  </si>
  <si>
    <t>89211306-5860-ef11-b8ee-005056b0106f</t>
  </si>
  <si>
    <t>Maltepe İlçesi, Zümrütevler Mahallesi Handegül Sokak İstinat Duvarı Projesi</t>
  </si>
  <si>
    <t>​300 m2 İstinat Duvarı Projesi​</t>
  </si>
  <si>
    <t>40.9496651, 29.1581231</t>
  </si>
  <si>
    <t>983c8e12-5960-ef11-b8ee-005056b0106f</t>
  </si>
  <si>
    <t>Sancaktepe ilçesi, Emrah Sokak-Akın Caddesi Bağlantı Yolu Projesi</t>
  </si>
  <si>
    <t>2 şeritli 3.5 metre genişlikli, ve 12x15 ölçülü menfez köprü bağlantılı yol projesi.</t>
  </si>
  <si>
    <t>41.0117022, 29.2305687</t>
  </si>
  <si>
    <t>786db821-1fa3-ef11-b90d-005056b0106f</t>
  </si>
  <si>
    <t>Sarıyer İlçesi, Emirgan Mahallesi, Doğru Muvakkithane Caddesi Yol ve Duvar Deformasyon Önlem Projesi</t>
  </si>
  <si>
    <t>​Yol deformasyonunu önleme amaçlı duvar projesi.</t>
  </si>
  <si>
    <t>41.1050255, 29.0537004</t>
  </si>
  <si>
    <t>96514498-4db9-ef11-b90d-005056b0106f</t>
  </si>
  <si>
    <t>Sarıyer İlçesi, Ferahevler Mahallesi, Güngör Sokak - Darüşşafaka Caddesi Arası İmar Yolu Projesi</t>
  </si>
  <si>
    <t>0.5 km yol, öngörülen 160 m2 kanal menfezi</t>
  </si>
  <si>
    <t>41.1278903, 29.0363881</t>
  </si>
  <si>
    <t>5c3c1f0d-8379-ef11-b8f1-005056b0106f</t>
  </si>
  <si>
    <t>Sarıyer İlçesi, Maslak Ayazağa Caddesi Yol, Kavşak Projesi</t>
  </si>
  <si>
    <t>​​2.033 m yol ve 620 m2 menfez​</t>
  </si>
  <si>
    <t>41.1150852, 28.9987696</t>
  </si>
  <si>
    <t>81b41550-a063-ef11-b8ef-005056b0106f</t>
  </si>
  <si>
    <t>Sarıyer İlçesi, Maslak Ayazağa Caddesi-Hadım Koruyolu Caddesi Kesişimi Kavşak Revize Uygulama Projesi</t>
  </si>
  <si>
    <t>Sarıyer İlçesi, Zekeriyaköy Mahallesi, Kilyos Caddesi ile Zekeriyaköy Caddesi Kesişimi Geometrik Düzenleme Revize Uygulama Projesi</t>
  </si>
  <si>
    <t>​Proje kapsamında yaklaşık olarak 400m yol, 120m uzunluğunda ve 5m yükseklikte (600m²) duvar projelendirilecektir. </t>
  </si>
  <si>
    <t>Sarıyer İlçesi, Zekeriyaköy Mahallesi, Kilyos Caddesi (1.Cadde - O6 Bağlantı Yolu Arası) Yol, Kavşak Revize Projesi , (eski adı)</t>
  </si>
  <si>
    <t>41.1964837, 29.0352907</t>
  </si>
  <si>
    <t>8670306b-bc69-ef11-b8f0-005056b0106f</t>
  </si>
  <si>
    <t>Şişli Feriköy Kent Parkı ve Zeminaltı Otoparkı Revizyon Projesi</t>
  </si>
  <si>
    <t>​Kent Parkı (19.000 m²), 891 araç kapasiteli zeminaltı otopark 4 katlı​ (zeminaltı otoparkı bina taban alanı alanı; 8.000 m²)</t>
  </si>
  <si>
    <t>41.0515449, 28.9777099</t>
  </si>
  <si>
    <t>0175bbda-45a3-ef11-b90d-005056b0106f</t>
  </si>
  <si>
    <t>Şişli Maçka Parkı Yaya Üst Geçidinin Yenilenmesi Projesi</t>
  </si>
  <si>
    <t>​420 m2 yaya üstgeçidi</t>
  </si>
  <si>
    <t>41.0442288, 28.9918290</t>
  </si>
  <si>
    <t>b83a7636-88a5-ef11-b90d-005056b0106f</t>
  </si>
  <si>
    <t>Sultangazi İlçesi, Uğur Mumcu Mahallesi Kent Meydanı Ön Projesi Hazırlanması</t>
  </si>
  <si>
    <t>​17.600 m2 yeşil alan, 20.000 m2 meydan, toplam alan 40.641 m2</t>
  </si>
  <si>
    <t>41.1058193, 28.8693025</t>
  </si>
  <si>
    <t>58789951-21a3-ef11-b90d-005056b0106f</t>
  </si>
  <si>
    <t>Üsküdar İlçesi Kuleli Askeri Lisesi Önü Deniz Yapısı Projesi</t>
  </si>
  <si>
    <t>​4000 m2 Deniz Yapısı</t>
  </si>
  <si>
    <t>41.0604680, 29.0527925</t>
  </si>
  <si>
    <t>d3868160-f644-ef11-b8eb-005056b0106f</t>
  </si>
  <si>
    <t>Üsküdar İlçesi, Acıbadem Mahallesi, Hasan Tan İlköğretim Okulu İstinat Duvarı Deformasyon Önlem Projesi</t>
  </si>
  <si>
    <t>​400 m2 İstinat Duvarı Projesi</t>
  </si>
  <si>
    <t>41.0087137, 29.0532035</t>
  </si>
  <si>
    <t>6dfd2872-36b9-ef11-b90d-005056b0106f</t>
  </si>
  <si>
    <t>Zeytinburnu İlçesi, D100 Vatan Caddesi Kavşak Kolu Üstgeçit Köprüsü-2 Güçlendirme Projesi</t>
  </si>
  <si>
    <t>​60 m uzunluk, 10 m genişlik, 600 m2 alan köprü.</t>
  </si>
  <si>
    <t>41.02783310 , 28.92499005</t>
  </si>
  <si>
    <t>d97061b7-4890-ef11-b8f1-005056b0106f</t>
  </si>
  <si>
    <t>Beyoğlu İlçesi, Kaptanpaşa Mahallesi Türbe Sokak Duvar Deformasyon Projesi</t>
  </si>
  <si>
    <t>​300 m2 duvar projesi yapılması. </t>
  </si>
  <si>
    <t>41.0439866, 28.9653671</t>
  </si>
  <si>
    <t>c53bfd22-7ec3-ef11-b90e-005056b0106f</t>
  </si>
  <si>
    <t>Tuzla İlçesi, D-100 Karayolu İçmeler Kavşağı ile Şekerpınar Kavşağı Arası Kuzey-Güney Yan Yolları Uygulama Projesi</t>
  </si>
  <si>
    <t>Tuzla İlçesi, D-100 Karayolu İçmeler Kavşağı ile Şekerpınar Kavşağı Arası Kuzey-Güney Yan Yolları arasında araç alt geçitleri ile geçiş yapılması amaçlanmaktadır. Bu kapsamda yaklaşık 4,3 km uzunluğunda yol, 3900 m2 araç alt geçidi ve 6550 m2 duvar projelendirilmesi yapılacaktır</t>
  </si>
  <si>
    <t>40.8423807, 29.3108106</t>
  </si>
  <si>
    <t>7c6782fc-81c2-ef11-b90e-005056b0106f</t>
  </si>
  <si>
    <t>Küçükçekmece İlçesi, İkitelli İETT Garajı İstinat Duvarı Deformasyon Önlem Projesi</t>
  </si>
  <si>
    <t>​500 m2 İstinat Duvarı Güçlenirme Projesi</t>
  </si>
  <si>
    <t>41.0591400, 28.7911700</t>
  </si>
  <si>
    <t>00ffd67b-ce65-ef11-b8f0-005056b0106f</t>
  </si>
  <si>
    <t>Bağcılar İlçesi, Mahmutbey Mahallesi, Peyami Safa Caddesi - 2459 Sokak Arası İmar Yolu Uygulama Projesi</t>
  </si>
  <si>
    <t xml:space="preserve">Yaklaşık 837 metre uzunluğunda yol uygulama projesi </t>
  </si>
  <si>
    <t>41.0597204, 28.8279114</t>
  </si>
  <si>
    <t>de854db2-fec8-ef11-b90e-005056b0106f</t>
  </si>
  <si>
    <t>Beşiktaş Motor İskelesi Projesi</t>
  </si>
  <si>
    <t xml:space="preserve">Deniz yapısının yeniden yapılması işidir. Toplam 555m2 ​toplam üst örtü alanı ve 70m2 ​kapalı alandan oluşmaktadır. </t>
  </si>
  <si>
    <t>41.0415460, 29.0082034</t>
  </si>
  <si>
    <t>7527ada0-9fd1-ef11-b90e-005056b0106f</t>
  </si>
  <si>
    <t>Haliç Tersanesi Deniz Yapıları Projesi</t>
  </si>
  <si>
    <t>500 m uzunluğunda 11 m genişliğinde rıhtım.​</t>
  </si>
  <si>
    <t>41.0267580, 28.9667495</t>
  </si>
  <si>
    <t>555be8a0-87ce-ef11-b90e-005056b0106f</t>
  </si>
  <si>
    <t>Aşiyan Mezarlığı Önü Deniz Yapısı Projesi Etap 2</t>
  </si>
  <si>
    <t>​3600 metrekarelik rıhtım düzenleme</t>
  </si>
  <si>
    <t>41.0874835, 29.0570247</t>
  </si>
  <si>
    <t>46fbef0d-f6cc-ef11-b90e-005056b0106f</t>
  </si>
  <si>
    <t>Sarıyer İlçesi, Seyrantepe Cendere Yolu-TEM Otoyolu Bağlantısı Revize Uygulama Projesi</t>
  </si>
  <si>
    <t>​Proje kapsamında yaklaşık 1km yol, uzunluğu 200m ve yüksekliği ortalama 5m olan toplamda ​1000m² duvar planlanmaktadır. </t>
  </si>
  <si>
    <t xml:space="preserve">Avrupa Yakası Yol Bakım ve Onarım Şube Müdürlüğünün 18.11.2024 tarihli ve E-40268941-160.99-2024.2109009 sayılı yazısıyla UTK2024/43-18 sayılı UTK kararı ile gelen projenin uygulanabilmesi için; arazide mevcut kot farkları nedeniyle istinat duvarı yapılması gerekliliğinden bahsedilerek “Sarıyer İlçesi, Seyrantepe Cendere Yolu-TEM Otoyolu Bağlantısı Revize Projesi” için uygulama projeleri talep edilmektedir. Bahse konu iş ile ilgili olarak ilgi (b) yazıda UTK2024/43-18 sayılı UTK Kararı kapsamında; “Taş Duvar” imalatına Altyapı Yatırımları Şube Müdürlüğü tarafından, yol genişletme çalışmalarına ise Avrupa Yakası Yol Bakım ve Onarım Şube Müdürlüğünce başlandığı belirtilmiştir. Bu nedenle 06.03.2025 tarihli ve E-72583974-604.99-2025.485879 sayılı İş Oluru İptali yazısı ile proje sonlandırılmıştır. </t>
  </si>
  <si>
    <t>41.1097016, 28.9961826</t>
  </si>
  <si>
    <t>498a14da-f6cc-ef11-b90e-005056b0106f</t>
  </si>
  <si>
    <t>Sarıyer Kireçburnu Haydar Aliyev Parkı Önü Deniz Yapıları Onarım Projesi</t>
  </si>
  <si>
    <t>100 m uzunluğunda 10 m​​ genişliğinde rıhtım.​</t>
  </si>
  <si>
    <t>41.148912, 29.044834</t>
  </si>
  <si>
    <t>59933c1f-87ce-ef11-b90e-005056b0106f</t>
  </si>
  <si>
    <t>Beşiktaş İlçesi, Deniz Müzesi Arkası 2 Etap Rıhtım Güçlendirme Projesi</t>
  </si>
  <si>
    <t>​Beşiktaş İskelesi ile Deniz Kuvvetleri İskelesi arası mevcut durumu kötü olan rıhtım yapısının, Deniz Kuvvetleri İskelesinin, mevcut durum tespit raporuna göre İskelenin dahil olacağı rıhtım projesidir.</t>
  </si>
  <si>
    <t>41.0407009, 29.0060732</t>
  </si>
  <si>
    <t>46438e03-20d7-ef11-b90e-005056b0106f</t>
  </si>
  <si>
    <t>Tekke Parkı 2 Etap Sahil Deniz Yapıları Projesi</t>
  </si>
  <si>
    <t>Yaklaşık ​510.66 metre uzunlukta ve 3109.61 m2 lik alanda Sahil Deniz Yapıları Projesi</t>
  </si>
  <si>
    <t>41.0541792, 28.9375486</t>
  </si>
  <si>
    <t>67c6b2b6-96d1-ef11-b90e-005056b0106f</t>
  </si>
  <si>
    <t>Kömürcüoda Biyometanizasyon Tesisi</t>
  </si>
  <si>
    <t>Günlük 2.000 ton atık işleme kapasitesine sahip Kömürcüoda Mekanik Biyolojik Ayrıştırma Tesisi proses revizyonu yapılarak Ağustos 2021’de biyogazdan 18 MWh elektrik üretim kapasitesine sahip Kömürcüoda Biyometanizasyon Tesisine dönüştürülmüştür.
Tesiste, karışık evsel atıklar ön ayrıştırma sonrası anaerobik çürütücülerde işlenerek oluşan biyogazdan elektrik üretimi gerçekleştirilmektedir.</t>
  </si>
  <si>
    <t>41.146361, 29.378056</t>
  </si>
  <si>
    <t>Kömürcüoda Çöp Sızıntı Suyu Arıtma Tesisi</t>
  </si>
  <si>
    <t>İstanbul Anadolu Yakası’nda, Kömürcüoda Katı Atık Bertaraf ve Düzenli Depolama Tesisi’nde oluşan çöp sızıntı suyunun “dere” deşarj standartlarına uygun olarak arıtımı için ilave 4.000 m3/gün kapasiteli Sızıntı Suyu Arıtma Tesisi inşaa edilerek devreye alınmıştır.</t>
  </si>
  <si>
    <t>Endüstriyel (Tehlikeli) Atık Yakma Tesisi</t>
  </si>
  <si>
    <t>İstanbul oluşan endüstriyel (Tehlikeli) Atıkların bertarafı için günlük 100 ton kapasiteli Endüstriyel (Tehlikeli) Atık Yakma Tesisi inşasına başlanılmıştır. 2024 yılı ortalarında açılışı yapılmış olup devreye alınma süreci başlatılmıştır.</t>
  </si>
  <si>
    <t>41.14213446701285, 29.369203480605815</t>
  </si>
  <si>
    <t>Sultangazi İlçesi 50. Yıl Mahallesi, 2409 Ada, 4 Parselde Yer Alan Binaların Bakım ve Onarım İşi</t>
  </si>
  <si>
    <t>İstanbul Büyükşehir Belediyesi tarafından uygulaması yaptırılan ve maliklere teslim edilen 199 konut+2 kapıcı dairesinden oluşan sosyal konutların tüm bakım-onarım faaliyetleri yapılmıştır.</t>
  </si>
  <si>
    <t>41.104742262699375, 28.869065391765158</t>
  </si>
  <si>
    <t>Adalar At Barınakları</t>
  </si>
  <si>
    <t>40.881283428880074, 29.05721942962262</t>
  </si>
  <si>
    <t>Arnavutköy Boğazköy Kültür Merkezi</t>
  </si>
  <si>
    <t>41.18576078284721, 28.76558393207735</t>
  </si>
  <si>
    <t>Arnavutköy Kent Lokantası</t>
  </si>
  <si>
    <t>41.18359969841626, 28.7393210230102</t>
  </si>
  <si>
    <t>Aşevi</t>
  </si>
  <si>
    <t>Ataşehir Bütünleşik Halk Sağlığı Merkezi</t>
  </si>
  <si>
    <t>40.980728033612735, 29.150058440233632</t>
  </si>
  <si>
    <t>Kayışdağı Darülaceze</t>
  </si>
  <si>
    <t>40.977647225235415, 29.148496001298984</t>
  </si>
  <si>
    <t>Avcılar Kent Lokantası</t>
  </si>
  <si>
    <t>40.98149125102649, 28.72083373450207</t>
  </si>
  <si>
    <t>40.984106008373, 28.739056360534388</t>
  </si>
  <si>
    <t>Bağcılar Bağımlılıkla Mücadele Merkezi</t>
  </si>
  <si>
    <t>41.04122657869448, 28.81314670435049</t>
  </si>
  <si>
    <t>Bağcılar Kent Lokantası</t>
  </si>
  <si>
    <t>41.03737134196454, 28.859040571706952</t>
  </si>
  <si>
    <t>Bahçelievler Beyaz Masa</t>
  </si>
  <si>
    <t>40.99216120538593, 28.845104726056594</t>
  </si>
  <si>
    <t>Bakırköy Ek Hizmet Binası</t>
  </si>
  <si>
    <t>40.99932517134424, 28.884145495107813</t>
  </si>
  <si>
    <t>Florya Sosyal Tesisi İmalatanesi</t>
  </si>
  <si>
    <t>40.960638207933115, 28.808035073144545</t>
  </si>
  <si>
    <t>Sinan Erdem Spor Kompleksi</t>
  </si>
  <si>
    <t>40.98839986054828, 28.853918987222333</t>
  </si>
  <si>
    <t>Ataköy Olimpiyat Evi</t>
  </si>
  <si>
    <t>40.98686789321995, 28.853289850371397</t>
  </si>
  <si>
    <t>Spor Kulübü</t>
  </si>
  <si>
    <t>Florya L Motel</t>
  </si>
  <si>
    <t>40.97196488408772, 28.788869307925037</t>
  </si>
  <si>
    <t>İstanbul Planlama Ajansı</t>
  </si>
  <si>
    <t>40.97504069498008, 28.785971266204594</t>
  </si>
  <si>
    <t>Başakşehir Kültür Merkezi</t>
  </si>
  <si>
    <t>41.10441032342923, 28.785381546181757</t>
  </si>
  <si>
    <t>Esenler Büyük İstanbul Otogarı</t>
  </si>
  <si>
    <t>41.04017995248564, 28.89449731713849</t>
  </si>
  <si>
    <t>İstanbul Otogarı Spor Salonu</t>
  </si>
  <si>
    <t>41.039623676504725, 28.89444053899274</t>
  </si>
  <si>
    <t>Beşiktaş Kır Kahvesi Sosyal Tesisi</t>
  </si>
  <si>
    <t>41.04997276213572, 29.01282975926852</t>
  </si>
  <si>
    <t>Beşiktaş Ulus Kapalı Pazar Yeri ve Etkinlik Alanı</t>
  </si>
  <si>
    <t>41.05782229653851, 29.02234802024015</t>
  </si>
  <si>
    <t>Kavacık Spor Tesisi</t>
  </si>
  <si>
    <t>41.08804092317729, 29.076403848437856</t>
  </si>
  <si>
    <t>Beykoz Kır Bahçesi Sosyal Tesisi</t>
  </si>
  <si>
    <t>41.13447631139533, 29.100691510795325</t>
  </si>
  <si>
    <t>Beyoğlu Engelliler Merkezi</t>
  </si>
  <si>
    <t>41.027153198058, 28.978861211829617</t>
  </si>
  <si>
    <t>Atatürk Kitaplığı</t>
  </si>
  <si>
    <t>41.039116364702814, 28.989584926921466</t>
  </si>
  <si>
    <t>Tarihi Osmaniye Kışlası</t>
  </si>
  <si>
    <t>41.03893973008006, 28.987006875347358</t>
  </si>
  <si>
    <t>Askeri Lojmanlar</t>
  </si>
  <si>
    <t>Haliç Su Sporları Merkezi - İç tefrişat</t>
  </si>
  <si>
    <t>41.045082096506846, 28.94408564015201</t>
  </si>
  <si>
    <t>Büyükçekmece Metin Oktay Stadı</t>
  </si>
  <si>
    <t>41.02850010159083, 28.58699199757878</t>
  </si>
  <si>
    <t>Çatalca Kent Lokantası</t>
  </si>
  <si>
    <t>41.13951991854121, 28.464185089742944</t>
  </si>
  <si>
    <t>Adem Baştürk Kültür Merkezi</t>
  </si>
  <si>
    <t>41.04000075617516, 28.8839631028967</t>
  </si>
  <si>
    <t>Hakkı Başar Spor Kompleksi</t>
  </si>
  <si>
    <t>41.045261588144974, 28.86637816898591</t>
  </si>
  <si>
    <t>Edirnekapı Sosyal Hizmetler Müdürlüğü</t>
  </si>
  <si>
    <t>41.02877513528836, 28.930632417937222</t>
  </si>
  <si>
    <t>Edirnekapı Zabıta Daire Başkanlığı</t>
  </si>
  <si>
    <t>41.03015885183352, 28.927960534000018</t>
  </si>
  <si>
    <t>Şehzadebaşı Tıp Merkezi</t>
  </si>
  <si>
    <t>41.01625094715402, 28.956462286177345</t>
  </si>
  <si>
    <t>Fatih İtfaiyesi Güvenlik Binası</t>
  </si>
  <si>
    <t>41.016047132874306, 28.953608896101304</t>
  </si>
  <si>
    <t>Aksaray İş Sağlığı ve Güvenliği Müdürlüğü Hizmet Binası</t>
  </si>
  <si>
    <t>41.00894368400339, 28.951636265500696</t>
  </si>
  <si>
    <t>Çapa Kent Lokantası</t>
  </si>
  <si>
    <t>41.014404811092795, 28.934482541515862</t>
  </si>
  <si>
    <t>Altınboynuz Sosyal Tesisleri</t>
  </si>
  <si>
    <t>41.05785386138802, 28.94561009782329</t>
  </si>
  <si>
    <t>Sultanahmet Kent Lokantası</t>
  </si>
  <si>
    <t>41.009571179388196, 28.97746138439988</t>
  </si>
  <si>
    <t>Balat Spor Tesisleri</t>
  </si>
  <si>
    <t>41.0338624713468, 28.94859539597378</t>
  </si>
  <si>
    <t>Haliç Sosyal Tesisleri</t>
  </si>
  <si>
    <t>41.028145543951375, 28.95701336293354</t>
  </si>
  <si>
    <t>Şehzadebaşı Tıp Merkezi (2024)</t>
  </si>
  <si>
    <t>41.01620237618539, 28.956376455493043</t>
  </si>
  <si>
    <t>Bostancı Spor Tesisi</t>
  </si>
  <si>
    <t>40.95410875463431, 29.088768626655746</t>
  </si>
  <si>
    <t>Tarihi Kadıköy İskelesi</t>
  </si>
  <si>
    <t>40.978975, 29.025114</t>
  </si>
  <si>
    <t>Tbmm Parlamenterler Evi</t>
  </si>
  <si>
    <t>40.98006417404177, 29.055648590344486</t>
  </si>
  <si>
    <t>Kadıköy Kız Öğrenci Yurdu</t>
  </si>
  <si>
    <t>40.99784250496032, 29.04292502036127</t>
  </si>
  <si>
    <t>Yurt Binalarının Güçlendirme ve Bakım ve Onarımı</t>
  </si>
  <si>
    <t>Kartal Bölgesel İstihdam Ofisi</t>
  </si>
  <si>
    <t>40.88651703454901, 29.195603472990545</t>
  </si>
  <si>
    <t>Kartal Nerime Turan Sanatçı Yaşam Evi</t>
  </si>
  <si>
    <t>40.90525, 29.241038528835535</t>
  </si>
  <si>
    <t>Sanatçı Yaşam Evi</t>
  </si>
  <si>
    <t>Küçükçekmece Tedes Kontrol Merkezi</t>
  </si>
  <si>
    <t>41.00136020602013, 28.805820984656805</t>
  </si>
  <si>
    <t>Halkalı Etap Stadı</t>
  </si>
  <si>
    <t>41.05625798872204, 28.77423010798181</t>
  </si>
  <si>
    <t>İfa Spor Kulübü</t>
  </si>
  <si>
    <t>41.0297250406137, 28.80198213691344</t>
  </si>
  <si>
    <t>Küçükçekmece Kent Lokantası</t>
  </si>
  <si>
    <t>40.99472657135251, 28.79448740946597</t>
  </si>
  <si>
    <t>Maltepe Spor Tesisi</t>
  </si>
  <si>
    <t>40.94047758028846, 29.109463140148495</t>
  </si>
  <si>
    <t>Maltepe Sahil Halı Sahalar</t>
  </si>
  <si>
    <t>40.923888871356525, 29.126037145743496</t>
  </si>
  <si>
    <t>Halı Saha</t>
  </si>
  <si>
    <t>Maltepe Kısa Mola Merkezi</t>
  </si>
  <si>
    <t>40.929563499999986, 29.11585754232892</t>
  </si>
  <si>
    <t>Pendik Spor Tesisi</t>
  </si>
  <si>
    <t>40.87510251684135, 29.24393892226191</t>
  </si>
  <si>
    <t>Pendik Sahil Halı Sahalar</t>
  </si>
  <si>
    <t>40.87519674966047, 29.244058073085238</t>
  </si>
  <si>
    <t>Pendik Kent Lokantası</t>
  </si>
  <si>
    <t>40.87745539823999, 29.23013766898211</t>
  </si>
  <si>
    <t>Tepeören Sahipsiz Hayvan Barınağı</t>
  </si>
  <si>
    <t>40.96496417135659, 29.405517113162514</t>
  </si>
  <si>
    <t>Beyaz Köşk</t>
  </si>
  <si>
    <t>41.109777161309815, 29.052909266776584</t>
  </si>
  <si>
    <t>Kireçburnu Gençlik Merkezi</t>
  </si>
  <si>
    <t>41.14480651597633, 29.05063785364823</t>
  </si>
  <si>
    <t>Pembe Köşk</t>
  </si>
  <si>
    <t>41.109828844971716, 29.056967858511698</t>
  </si>
  <si>
    <t>Hisarüstü Kent Lokantası</t>
  </si>
  <si>
    <t>41.08552960454688, 29.047122168988626</t>
  </si>
  <si>
    <t>Selimiye Sosyal Hizmetler Müdürlüğü</t>
  </si>
  <si>
    <t>41.00920007930264, 29.020765022959786</t>
  </si>
  <si>
    <t>Sultanbeyli Kent Lokantası</t>
  </si>
  <si>
    <t>40.966071862127976, 29.272118630353567</t>
  </si>
  <si>
    <t>Sultanbeyli Gölet Spor Tesisi</t>
  </si>
  <si>
    <t>40.94996614500064, 29.274812024806593</t>
  </si>
  <si>
    <t>Ahmet Arif Kütüphanesi</t>
  </si>
  <si>
    <t>41.09383857204872, 28.90509309782446</t>
  </si>
  <si>
    <t>Sultangazi Kent Lokantası</t>
  </si>
  <si>
    <t>41.099976716760054, 28.874092353646844</t>
  </si>
  <si>
    <t>Şişli Bölgesel İstihdam Ofisi</t>
  </si>
  <si>
    <t>41.06769039367651, 28.986836784330357</t>
  </si>
  <si>
    <t>Şişli İBB Habitat Yaşam Merkezi</t>
  </si>
  <si>
    <t>41.06524039307431, 28.987052897823737</t>
  </si>
  <si>
    <t>Tuzla Engelliler Merkezi</t>
  </si>
  <si>
    <t>40.8203828260321, 29.31233151447493</t>
  </si>
  <si>
    <t>Tuzla Kent Lokantası</t>
  </si>
  <si>
    <t>40.8195278494991, 29.305687136956564</t>
  </si>
  <si>
    <t>Tuzla Su Sporları Merkezi</t>
  </si>
  <si>
    <t>40.82380810255686, 29.27783886899824</t>
  </si>
  <si>
    <t>Ümraniye İzci Kampı</t>
  </si>
  <si>
    <t>41.06008850951092, 29.10929048063258</t>
  </si>
  <si>
    <t>Ümraniye Bölgesel İstihdam Ofisi</t>
  </si>
  <si>
    <t>41.02321454856701, 29.109402511315604</t>
  </si>
  <si>
    <t>Ümraniye Haldun Alagaş Teknoloji Atölyesi</t>
  </si>
  <si>
    <t>41.024563588942286, 29.103857368986684</t>
  </si>
  <si>
    <t>Ümraniye Haldun Alagaş Spor Kompleksi</t>
  </si>
  <si>
    <t>41.024854248117876, 29.104747026657833</t>
  </si>
  <si>
    <t>Ümraniye Kent Lokantası</t>
  </si>
  <si>
    <t>41.00603875367136, 29.164348994124182</t>
  </si>
  <si>
    <t>Marko Paşa Konağı</t>
  </si>
  <si>
    <t>41.035004, 29.032221</t>
  </si>
  <si>
    <t>Selimiye Kışlası</t>
  </si>
  <si>
    <t>41.00828258418619, 29.015897190415895</t>
  </si>
  <si>
    <t>Üsküdar Kent Lokantası</t>
  </si>
  <si>
    <t>41.023874535151755, 29.017046363511536</t>
  </si>
  <si>
    <t>Paşalimanı İBB Kafe</t>
  </si>
  <si>
    <t>41.032299125109304, 29.0231613289296</t>
  </si>
  <si>
    <t>Balıklı Ermeni Mezarlığı</t>
  </si>
  <si>
    <t>41.00694577504917, 28.915282640150735</t>
  </si>
  <si>
    <t>Acil Yardım ve Cankurtarma Eğitim Merkezi</t>
  </si>
  <si>
    <t>40.99835473260531, 28.89381082744684</t>
  </si>
  <si>
    <t>Küçükçamlıca Sosyal Tesisleri</t>
  </si>
  <si>
    <t>41.0163180170071, 29.064032787755167</t>
  </si>
  <si>
    <t>AFET İŞLERİ DAİRESİ BAŞKANLIĞI</t>
  </si>
  <si>
    <t>Afet Koordinasyon Şube Müdürlüğü</t>
  </si>
  <si>
    <t>Afet Koordinasyon Merkezi (AKOM) Koordinasyon Salonu Sistemlerinin Yenilenmesi Projesi</t>
  </si>
  <si>
    <t>Afet Koordinasyon Merkezi (AKOM) Koordinasyon Salonunun Elektrik- Elektronik, Mekanik, Ses ve Görüntüleme Sistemlerinin Yenilenmesi ile Tefrişat İşleri Yapılmıştır.</t>
  </si>
  <si>
    <t>41.086870249133, 28.96292261180128</t>
  </si>
  <si>
    <t>İBB Bilişim Kontrol Merkezi</t>
  </si>
  <si>
    <t>300 gün 300 proje kapsamında açılışı yapılan İBB Bilişim Kontrol Merkezi; İstanbul Büyükşehir Belediyesi ve İştiraklerine ait bilişim altyapılarının daha güvenli, verimli, ve sürdürülebilir olması için kuruldu.
İBB Başakşehir Veri Merkezi bünyesinde kurulan Bilişim Kontrol Merkezi ile kurumların dijital altyapılarının ve güvenlik olgunluklarının artırılarak 365 gün, 7/24 tek noktadan izlenmesi hedefleniyor.
Uluslararası standartlarda 3.500 M2 alana sahip Türkiye’de yerel yönetimlere ait en büyük Veri Merkezlerinden biri olan İBB Veri Merkezi içerisinde kurulan Bilişim Kontrol Merkezi ile tüm sistem ağ ve güvenlik operasyonlarına ait izleme, analiz ve müdahalelerin uzman personel tarafından yapılması planlanıyor.</t>
  </si>
  <si>
    <t>41.108290, 28.802030</t>
  </si>
  <si>
    <t>Beşiktaş İlçesi Gürültü Bariyeri Projesi</t>
  </si>
  <si>
    <t>Beşiktaş’ta Anadolu Otoyolu ile Büyükdere Caddesi arasındaki O-2 Bağlantı Yolu kaynaklı gürültü karşısında mahalle sakinlerinin talebi üzerine gürültü bariyeri inşa edildi. Levent Mahallesi Sporcular Parkı karşısında kalan ve okul, kreş, sağlık kurumları ve konutların bulunması sebebiyle yönetmeliklere göre çok hassas alan olarak tanımlanan bölge, günün her saati yüksek gürültüye maruz kalıyordu. Karayoluna paralel 4,5 metre yüksekliğinde ve 630 metre uzunluğunda inşa edilen gürültü bariyeri ile 75 desibelin - dB(A) üzerinde olan gürültü seviyesi bu bariyer ile 11 desibele - dB(A) kadar azaltım sağlıyor.</t>
  </si>
  <si>
    <t>41.08782127173293, 29.017008574914936</t>
  </si>
  <si>
    <t>Deniz Hizmetleri Şube Müdürlüğü</t>
  </si>
  <si>
    <t>Göksu Deresi Geo-Tüp Uygulaması</t>
  </si>
  <si>
    <t>Dredger Tarama Aracı ile taranan dip çamuru pompa vasıtasıyla karada bulunan Geo-tüplere basılmaktadır. Dozajlama ünitesinden polimer katkısı yapılarak sedimanın karada bulunan Geo-tüp çuvalları içerisinde çökeltilmesi ile susuzlaştırılmaktadır.2022-2023-2024 yıllarında yürütülen çalışmada 35.864 m³ taranan çamur depolama sahasına taşınarak faaliyet tamamlanmıştır.</t>
  </si>
  <si>
    <t xml:space="preserve">Beykoz ilçesi Göksu Deresinde; mevcutta servis yollarının bulunmaması, denizden araç gereç girişinin olmaması, derede izinsiz bağlama yapan teknelerin bulunması, dere çevresindeki işletmeler tarafından dere yatağının işgal edilerek daraltılması gibi nedenlerden dolayı 2022 yılı Ağustos ayı itibariyle Göksu Deresi’ nde Geotüp yöntemi dip çamuru çıkarma çalışmaları 
 başlatılmıştır. 2024 yılı Mayıs ayı itibariyle Göksu Deresindeki dip çamuru tarama çalışmaları tamamlanmıştır. Toplam 35.864 m³ dip çamuru çıkarılarak bertaraf edilmiştir. </t>
  </si>
  <si>
    <t>2022-2023-2024</t>
  </si>
  <si>
    <t>41.074721576489665, 29.08367134305243</t>
  </si>
  <si>
    <t>Beylikdüzü Hava Kalitesi İzleme İstasyonu</t>
  </si>
  <si>
    <t>Hava kirliliği ile mücadelede çalışmaları kapsamında Hava Kalitesi İzleme İstasyonları artırılmaktadır.</t>
  </si>
  <si>
    <t>40.97175283572245, 28.612717655708856</t>
  </si>
  <si>
    <t>Atıktan Türetilmiş Yakıt Tesisi</t>
  </si>
  <si>
    <t>Çimento fabrikalarına fosil yakıta göre daha ucuz olan Atıktan Türetilmiş Yakıt üretimi sağlamak için ATY Hazırlama Tesisi üretim kapasitesi günlük 80 ton dan 100 tona çıkarıldı.
İlçe belediyeleri ve sanayiler tarafından getirilen hacimli atıklar ve endüstriyel nitelikli atıkların geri kazanımı arttırıldı.</t>
  </si>
  <si>
    <t>41.221750, 28.819222</t>
  </si>
  <si>
    <t>Döngüsel İşler Atölyesi</t>
  </si>
  <si>
    <t>Pop-Machina Projesi kapsamında «Döngüsel İşler Atölyesi» kurulup Haziran 2021’de faaliyete alınarak «Atma Üret Dönüştür» sloganı ile vatandaş ve üreticilerle atıklardan çeşitli tasarımlar üretilerek ileri dönüşüm etkinlikleri gerçekleştirilmeye başlanmıştır.</t>
  </si>
  <si>
    <t>41.03019493390461, 28.931590405217573</t>
  </si>
  <si>
    <t>Çöpkapar Projesi</t>
  </si>
  <si>
    <t>2020 yılında 25 Adet çöpkapar cihazı hibe olarak kurumumuza alınmış ve 3 ilçede kritik kirlilik noktalarına konumlandırılmıştır. Çöpkapar cihazlarının deniz yüzeyi atık toplama faaliyetlerine olan katkısının yanısıra, vatandaşların çevre ve deniz yüzeyi temizliği konusunda da farkındalığının artırılması noktasında dikkat çekici bir başarıya ulaşmıştır.</t>
  </si>
  <si>
    <t>Fatih;Beyoğlu;Beşiktaş;Kadıköy</t>
  </si>
  <si>
    <t>41.01926361, 28.96816842</t>
  </si>
  <si>
    <t>Kartal İlçesi Gürültü Bariyeri Projesi</t>
  </si>
  <si>
    <t>Kartal’da Uğur Mumcu Mahallesi Alt Tarafında Kalan D-100 Karayolu ile E-80 (Kartal-Samandıra) Bağlantı Yolu kaynaklı gürültü sebebiyle gürültü bariyeri inşa edildi. Bağlantı yolunun Tavşantepe deresi ile Yakacık İtfaiye İstasyonu arasında kalan ve çevresinde okul, park, spor salonu, sağlık kurumları ve konutların bulunması sebebiyle Yönetmeliğe göre çok hassas alan olarak tanımlanan bölge, günün her saati yüksek gürültüye maruz kalıyordu. Karayoluna paralel 4 metre yüksekliğinde ve 1460 metre uzunluğunda inşa edilen gürültü bariyeri ile 70 desibelin - dB(A) üzerinde olan gürültü seviyesi bu bariyer ile 11 ila 24 desibele - dB(A) kadar azaltım sağlamaktadır.</t>
  </si>
  <si>
    <t>40.936434, 29.209160</t>
  </si>
  <si>
    <t>Silivri Seymen Çöp Gazından Enerji Üretim Tesisi</t>
  </si>
  <si>
    <t>2020 yılı Eylül ayında 17 MW kapasite ile faaliyete alınan tek bir noktada kurulu dünyanın en büyük çöp gazından enerji üretim tesisi 2021 yılı itibariyle 25 MW kapasiteye, 2021 Eylül ayında ise 36,4 MW kapasiteye çıkartılmıştır. 
2040 yılı sonunda tam kapasite çalıştırılarak 90 MW güce çıkartılacaktır.</t>
  </si>
  <si>
    <t>41.21909174405641, 28.156546542782266</t>
  </si>
  <si>
    <t>Vega AVM İBB Kadın Atölyesi</t>
  </si>
  <si>
    <t>40.99257611033512, 28.904196394206558</t>
  </si>
  <si>
    <t>Mahmutbey İtfaiye İstasyonu</t>
  </si>
  <si>
    <t>41.053948871344275, 28.830546655494242</t>
  </si>
  <si>
    <t>Bayrampaşa İtfaiye İstasyonu</t>
  </si>
  <si>
    <t>41.04240072186413, 28.897587943585002</t>
  </si>
  <si>
    <t>Kuzey Marmara İtfaiye İstayonu</t>
  </si>
  <si>
    <t>41.165415, 28.373455</t>
  </si>
  <si>
    <t>İhsaniye Mahallesi Gönüllü İtfaiye İstasyonu</t>
  </si>
  <si>
    <t>41.32027340750871, 28.099423136920603</t>
  </si>
  <si>
    <t>Balat İtfaiye İstasyonu</t>
  </si>
  <si>
    <t>41.03078524412774, 28.95198020049929</t>
  </si>
  <si>
    <t>K-9 Köpekli Arama Kurtarma Eğitim Merkezi</t>
  </si>
  <si>
    <t>41.084503, 28.741233</t>
  </si>
  <si>
    <t>THSC Temiz Hava Solunum Cihazı Test ve Bakım Merkezi</t>
  </si>
  <si>
    <t>İBB Tesisler Bakım Onarım Şube Müdürlüğü uhdesinde inşaat çalışmaları tammalanmıştır.</t>
  </si>
  <si>
    <t>41.08576515211732, 28.96516748571542</t>
  </si>
  <si>
    <t>Orhanlı İtfaiye İstasyonu İlave Yaşam Alanı</t>
  </si>
  <si>
    <t>Tuzla Deri Organize Sanayi Bölgesi Müdürlüğü tarafından İlava Yaşam Alanı İnşaatı Tamamlanımıştır.</t>
  </si>
  <si>
    <t>40.895842799237286, 29.356689994559027</t>
  </si>
  <si>
    <t>MEZARLIKLAR DAİRESİ BAŞKANLIĞI</t>
  </si>
  <si>
    <t>Mezarlıklar Destek Hizmetleri Şube Müdürlüğü</t>
  </si>
  <si>
    <t>İstanbul Geneli Mezarlıkların Parselasyonu, Rehabilitasyonu, Lahit ve Mezar Üst Yapısı Yapım İşi (İKN:2018/661307)</t>
  </si>
  <si>
    <t>Cenaze hizmetlerinin yerine getrilmesi için gerekli olan yeni mezarlık alanlarının yapımı ile Lahit Mezar yapımı ve mevcut mezarlık alanlarında ihtiyaç duyulan yol, duvar, alt yapı v.b. İmalatların yapılması</t>
  </si>
  <si>
    <t>41.26810743, 28.69760034</t>
  </si>
  <si>
    <t>İstanbul Geneli Mezarlıkların Parselasyonu, Lahit ve Mezar Üst Yapısı Yapımı İşi (İKN:2021/432273)</t>
  </si>
  <si>
    <t>41.10629786, 29.08496787</t>
  </si>
  <si>
    <t>SOSYAL HİZMETLER DAİRESİ BAŞKANLIĞI</t>
  </si>
  <si>
    <t>Sosyal Hizmetler Şube Müdürlüğü</t>
  </si>
  <si>
    <t>Arnavutköy Mareşal Fevzi Çakmak Yuvamız İstanbul Çocuk Etkinlik Merkezi</t>
  </si>
  <si>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</si>
  <si>
    <t>41.19628889019086, 28.723462422529828</t>
  </si>
  <si>
    <t>Arnavutköy İsadem</t>
  </si>
  <si>
    <t>Açılışı yapıldı</t>
  </si>
  <si>
    <t>41.18640823040058, 28.765402820315785</t>
  </si>
  <si>
    <t>Aile Danışmanlık Merkezi</t>
  </si>
  <si>
    <t>Arnavutköy ÖZGEM Kısa Mola Merkezi</t>
  </si>
  <si>
    <t>Başkan vaadleri arasında yer alan Engelliler Gündüz Bakım Evi kapsamında hayata geçirillmiştir. İstanbul ‘da yaşayan, 15-35 yaş aralığındaki özel gereksinimli bireylere kısa mola hizmeti sunarak, ailelerinin yaşam kalitelerinin artırılması ve özel gereksinimi olan bireylerin psikososyal rehabilitasyonlarına destek olunması hedeflenmiştir.</t>
  </si>
  <si>
    <t>41.186454646891114, 28.764875185271027</t>
  </si>
  <si>
    <t>Mola (Dinlenme Yeri)</t>
  </si>
  <si>
    <t>Avcılar Yeşilkent Yuvamız İstanbul Çocuk Etkinlik Merkezi</t>
  </si>
  <si>
    <t>41.032179, 28.705512</t>
  </si>
  <si>
    <t>Bağcılar İBB Kadın</t>
  </si>
  <si>
    <t>41.02260063219071, 28.827467083693495</t>
  </si>
  <si>
    <t>Bahçelievler Kocasinan Yuvamız İstanbul Çocuk Etkinlik Merkezi</t>
  </si>
  <si>
    <t>41.004712412018726, 28.84337050496417</t>
  </si>
  <si>
    <t>Bahçelievler Mahalle Evi</t>
  </si>
  <si>
    <t>41.00405782470524, 28.83518793083594</t>
  </si>
  <si>
    <t>Bakırköy İBB Kadın</t>
  </si>
  <si>
    <t>40.9828062059128, 28.877859824009963</t>
  </si>
  <si>
    <t>Bakırköy ÖZGEM İrtibat Bürosu</t>
  </si>
  <si>
    <t>Engelli bireylere ve yakınlarına yönelik bilgilendirme, kurum içi ve dışı departmanlara yönlendirme ve kayıt işlemlerinin yapıldığı hizmet noktasıdır.</t>
  </si>
  <si>
    <t>40.99020177627202, 28.830151554236057</t>
  </si>
  <si>
    <t>Başakşehir Altınşehir Yuvamız İstanbul Çocuk Etkinlik Merkezi</t>
  </si>
  <si>
    <t>41.06826684290287, 28.752881129854273</t>
  </si>
  <si>
    <t>Bayrampaşa Geçici Barınma Merkezi</t>
  </si>
  <si>
    <t>41.040226100878435, 28.894352791903103</t>
  </si>
  <si>
    <t>Barınma Merkezi</t>
  </si>
  <si>
    <t>Beylikdüzü Kavaklı Muhammed Soytekin Yuvamız İstanbul Çocuk Etkinlik Merkezi</t>
  </si>
  <si>
    <t>40.978160371846506, 28.645111268985413</t>
  </si>
  <si>
    <t>Beyoğlu Mahalle Evi</t>
  </si>
  <si>
    <t>41.055328769066236, 28.955286596590334</t>
  </si>
  <si>
    <t>Türkiye Harp Malulü Gaziler Şehit Dul Ve Yetimleri Derneği İstanbul Şubesi</t>
  </si>
  <si>
    <t>AÇILIŞI GERÇEKLEŞTİRİLDİ</t>
  </si>
  <si>
    <t>41.05473801392381, 28.948304026658732</t>
  </si>
  <si>
    <t>Dernek Binası</t>
  </si>
  <si>
    <t>Çekmeköy İBB Kadın</t>
  </si>
  <si>
    <t>41.016028747290854, 29.18499551131555</t>
  </si>
  <si>
    <t>Esenyurt Yuvamız İstanbul Çocuk Etkinlik Merkezi</t>
  </si>
  <si>
    <t>41.06807736012899, 28.636216068988272</t>
  </si>
  <si>
    <t>Esenyurt İsadem</t>
  </si>
  <si>
    <t>41.03342963308558, 28.682735858092823</t>
  </si>
  <si>
    <t>Eyüpsultan Güzeltepe İski Yuvamız İstanbul Çocuk Etkinlik Merkezi</t>
  </si>
  <si>
    <t>41.075191, 28.929114</t>
  </si>
  <si>
    <t>Fatih Mahalle Evi - Cibali</t>
  </si>
  <si>
    <t>41.02294906568429, 28.959876268986573</t>
  </si>
  <si>
    <t>Fatih Mahalle Evi - Karagümrük</t>
  </si>
  <si>
    <t>41.02712327276797, 28.935416818403407</t>
  </si>
  <si>
    <t>Fatih İBB Kadın</t>
  </si>
  <si>
    <t>41.029648461090666, 28.937799771092177</t>
  </si>
  <si>
    <t>Güngören Mahalle Evi</t>
  </si>
  <si>
    <t>41.02902112898818, 28.87701589625718</t>
  </si>
  <si>
    <t>Kartal Karlıktepe Ali Gökbulut Yuvamız İstanbul Çocuk Etkinlik Merkezi</t>
  </si>
  <si>
    <t>40.89925154212442, 29.192506099565016</t>
  </si>
  <si>
    <t>Küçükçekmece Söğütlüçeşme Çocuk Etkinlik Merkezi (ÇEM)</t>
  </si>
  <si>
    <t>41.02332256035717, 28.78354597080443</t>
  </si>
  <si>
    <t>Maltepe Fındıklı Yuvamız İstanbul Çocuk Etkinlik Merkezi</t>
  </si>
  <si>
    <t>40.97257207293046, 29.130746170784324</t>
  </si>
  <si>
    <t>Maltepe Gülsuyu Yuvamız İstanbul Çocuk Etkinlik Merkezi</t>
  </si>
  <si>
    <t>40.931870093446136, 29.15571866898396</t>
  </si>
  <si>
    <t>Maltepe ÖZGEM Kısa Mola</t>
  </si>
  <si>
    <t>Başkan vaadleri arasında yer alan Engelliler Gündüz Bakım Evi kapsamında hayata geçirillmiştir. İstanbul ‘da yaşayan, 04- 14 yaş aralığındaki özel gereksinimli bireylere kısa mola hizmeti sunarak, ailelerinin yaşam kalitelerinin artırılması ve özel gereksinimi olan bireylerin psikososyal rehabilitasyonlarına destek olunması hedeflenmiştir.</t>
  </si>
  <si>
    <t>40.9297255872061, 29.116168676378905</t>
  </si>
  <si>
    <t>Maltepe Gülsuyu Fevzi Çakmak Yuvamız İstanbul Çocuk Etkinlik Merkezi</t>
  </si>
  <si>
    <t>40.92765293443765, 29.156973811929756</t>
  </si>
  <si>
    <t>Maltepe İBB Kadın</t>
  </si>
  <si>
    <t>40.92762868968291, 29.156875089107555</t>
  </si>
  <si>
    <t>Maltepe Fındıklı Özgem Kısa Mola</t>
  </si>
  <si>
    <t>Başkan vaadleri arasında yer alan Engelliler Gündüz Bakım Evi kapsamında hayata geçirillmiştir. İstanbul ‘da yaşayan, 14-35 yaş aralığındaki özel gereksinimli bireylere kısa mola hizmeti sunarak, ailelerinin yaşam kalitelerinin artırılması ve özel gereksinimi olan bireylerin psikososyal rehabilitasyonlarına destek olunması hedeflenmiştir.</t>
  </si>
  <si>
    <t>40.96843770628604, 29.123475002696058</t>
  </si>
  <si>
    <t>Pendik Velibaba Hümeyra Asım Pekmezci Yuvamız İstanbul Çocuk Etkinlik Merkezi</t>
  </si>
  <si>
    <t>40.89701258116099, 29.25449382665383</t>
  </si>
  <si>
    <t>Pendik İBB Kadın</t>
  </si>
  <si>
    <t>40.87692333460468, 29.261744841995494</t>
  </si>
  <si>
    <t>Sancaktepe Yunus Emre Yuvamız İstanbul Çocuk Etkinlik Merkezi</t>
  </si>
  <si>
    <t>41.0157734904888, 29.24506966713771</t>
  </si>
  <si>
    <t>Sancaktepe Abdurrahman Gazi Yuvamız İstanbul Çocuk Etkinlik Merkezi</t>
  </si>
  <si>
    <t>41.00312103911881, 29.232588484328243</t>
  </si>
  <si>
    <t>Sancaktepe Meclis Metro Çem Yuvamız İstanbul Çocuk Etkinlik Merkezi</t>
  </si>
  <si>
    <t>41.00957446331022, 29.19898611316403</t>
  </si>
  <si>
    <t>Sarıyer Ptt Evleri Yuvamız İstanbul Çocuk Etkinlik Merkezi</t>
  </si>
  <si>
    <t>41.155299035195455, 29.02689544487551</t>
  </si>
  <si>
    <t>Silivri Selimpaşa Çocuk Etkinlik Merkezi (ÇEM)</t>
  </si>
  <si>
    <t>41.05276706472733, 28.384457057368195</t>
  </si>
  <si>
    <t>Silivri Yeni Yuvamız İstanbul Çocuk Etkinlik Merkezi</t>
  </si>
  <si>
    <t>41.092230, 28.257540</t>
  </si>
  <si>
    <t>Silivri Mimar Sinan Kiptaş Çocuk Etkinlik Merkezi (ÇEM)</t>
  </si>
  <si>
    <t>41.087045, 28.193032</t>
  </si>
  <si>
    <t>Silivri İBB Kadın</t>
  </si>
  <si>
    <t>41.048360, 28.036249</t>
  </si>
  <si>
    <t>Sultanbeyli Mimar Sinan Yuvamız İstanbul Çocuk Etkinlik Merkezi</t>
  </si>
  <si>
    <t>40.99104878703013, 29.255767584879887</t>
  </si>
  <si>
    <t>Şile ÖZGEM Kısa Mola</t>
  </si>
  <si>
    <t>41.187409, 29.474182</t>
  </si>
  <si>
    <t>Tuzla Aydınlı Yuvamız İstanbul Çocuk Etkinlik Merkezi</t>
  </si>
  <si>
    <t>40.881532, 29.339462</t>
  </si>
  <si>
    <t>Tuzla Mahalle Evi</t>
  </si>
  <si>
    <t>40.84992596085818, 29.30270566452787</t>
  </si>
  <si>
    <t>Tuzla Meydanevler Yuvamız İstanbul Çocuk Etkinlik Merkezi</t>
  </si>
  <si>
    <t>40.838285, 29.368081</t>
  </si>
  <si>
    <t>Ümraniye Madenler-Ferah Sok. Yuvamız İstanbul Çocuk Etkinlik Merkezi</t>
  </si>
  <si>
    <t>41.011698375632605, 29.190702011315356</t>
  </si>
  <si>
    <t>Üsküdar İsadem</t>
  </si>
  <si>
    <t>41.05483403294889, 29.06940938062461</t>
  </si>
  <si>
    <t>Üsküdar Mahalle Evi</t>
  </si>
  <si>
    <t>41.054793919256035, 29.06933698248111</t>
  </si>
  <si>
    <t>Üsküdar İBB Kadın</t>
  </si>
  <si>
    <t>41.02912473292019, 29.08009121276467</t>
  </si>
  <si>
    <t>Üsküdar Yavuztürk Yuvamız İstanbul Çocuk Etkinlik Merkezi</t>
  </si>
  <si>
    <t>41.029143522788445, 29.07997033830244</t>
  </si>
  <si>
    <t>Tuzla - Adalar Deniz Seferleri</t>
  </si>
  <si>
    <t>Ulaşıma Alternatif Çözüm Kazandırarak Sosyal Alan Oluşturmak Hedeflenmektedir.</t>
  </si>
  <si>
    <t>40.81498443684218, 29.302785933841232</t>
  </si>
  <si>
    <t>Veteriner Hizmetleri Şube Müdürlüğü</t>
  </si>
  <si>
    <t>Güneş Enerji Sistemi&lt;br&gt;(Tepeören Sahipsiz Hayvan Geçici Bakımevi ve Bahçeli Yaşam Alanı)</t>
  </si>
  <si>
    <t>Hizmet binalarının enerji ihtiyacının yenilenebilir enerjiden karşılanabilmesi için Tepeören Sahipsiz Hayvan Geçici Bakımevi ve Bahçeli Yaşam Alanında çatılara güneş enerji sistemi kurdu. Enerjinin etkin kullanılması, israfının önlenmesi, enerji maliyetlerinin ekonomi üzerindeki yükünün hafifletilmesi ve çevrenin korunması için enerji kaynaklarının ve enerjinin kullanımında verimliliğin artırılması amacıyla kurulan sistem, enerji üretimine başladı. Güneş enerji sisteminin devreye alınmasıyla birlikte Tepeören Sahipsiz Hayvan Geçici Bakımevi ve Bahçeli Yaşam Alanının yıllık elektrik tüketiminin yüzde 95’i bu santralden temin edilecek. Çatı alanlarına 1.368 adet güneş paneli yerleştirilirken, bu sayede 341 ton karbondioksit salımı da engellenmiş olacak. 229 hanenin yıllık enerji üretimine denk gelen bu güneş enerji sisteminin devreye alınmasıyla, doğaya 831 ağacın dikilmesine eşdeğer katkı sağlandı.</t>
  </si>
  <si>
    <t>40.964996577179896, 29.405452740149283</t>
  </si>
  <si>
    <t>GES Kurulumu</t>
  </si>
  <si>
    <t>Kapalı Durak Üretim ve Montaj Çalışması</t>
  </si>
  <si>
    <t>Kapalı durakların arttırılması ile toplam durakların %47 'si kapalı olmuştur.</t>
  </si>
  <si>
    <t>İstanbul il sınırları içerisinde sahada bulunan tüm kapalı durakları kapsamakta olup belli tek bir noktada koordinatı bulunmamaktadır.</t>
  </si>
  <si>
    <t>41.02311247832666, 28.974644864978394</t>
  </si>
  <si>
    <t>SÜHA - Sürdürülebilir Hareketlilik Eğitim Merkezi</t>
  </si>
  <si>
    <t>İstka destekli projemizdir.
- Proje kapsamında bir İETT otobüsü, içerisinde toplu ulaşımın akıllı şehir, enerji, çevre ve sürdürülebilirlik konuları ile ilişkisini anlatan deney setlerinin ve görsel öğelerin yer aldığı bir mobil merkez haline dönüştürülmüştür. SÜHA aracı, ziyaret ettiği okullarda ve meydanlarda mini bir eğitim merkezi işlevi görerek, öğrencilere ve gençlere sürdürülebilir ulaşım, kentsel mobilite, alternatif ulaşım modları ve yaya olma bilinci ile ilgili bilgiler aktarılmasını sağlayarak, İETT’nin faaliyetlerini ve İstanbul halkının daha rahat yaşam sürmesi için gerçekleştirdiği projelerin anlatılmasına katkı sunmaktadır.</t>
  </si>
  <si>
    <t>41.05849882002603, 28.791183995898507</t>
  </si>
  <si>
    <t>Sultangazi Cebeci Garajı Yapımı</t>
  </si>
  <si>
    <t>İlçe Kartları takibinde</t>
  </si>
  <si>
    <t>41.11024715985275, 28.877934965709688</t>
  </si>
  <si>
    <t>Aktarma Merkezleri</t>
  </si>
  <si>
    <t>Sultaniye Aktarma Merkezi - Beykoz
Alibeyköy Aktarma Merkezi
Arnavutköy Aktarma Merkezi
Eminönü Peron Alanı Reorganizasyonu</t>
  </si>
  <si>
    <t xml:space="preserve">[15/04/2025]  Her biri farklı tarihlerde bitmiştir: 
Sultaniye Aktarma Merkezi –  14.11.2022
Alibeyköy Aktarma Merkezi – 22.03.2022
Arnavutköy Minibüs Entegrasyonu – 29.08.2022
Eminönü Peron Alanı Reorganizasyonu – 17.05.2023"
</t>
  </si>
  <si>
    <t>41.124341626025476, 29.098665388382685</t>
  </si>
  <si>
    <t>Toplu Ulaşım Sistemi Entegrasyonu</t>
  </si>
  <si>
    <t>Deniz Ulaşımı ile Entegrasyon Çalışmaları
T5 Tramvay Entegrasyonu
M4 Metro Hattı Sabiha Gökçen Uzatması
M5 Metro Hattı Samandıra Entegrasyonu
Sarıyer - Hat Entegrasyonu
Silivri - Hat Entegrasyonu
Üsküdar – Kadıköy – Maltepe Tramvayı Entegrasyon Çalışmaları</t>
  </si>
  <si>
    <t>41.003457381889326, 28.955661344907135</t>
  </si>
  <si>
    <t>Terkos İkitelli İsale Hattı İnşaatı</t>
  </si>
  <si>
    <t>Arnavutköy 
Çatalca</t>
  </si>
  <si>
    <t>41.14777566619943, 28.45626554724669</t>
  </si>
  <si>
    <t>Avrupa 2.Bölge 3.Kısım Müteferrik Atıksu, Yağmursuyu Kanalı Ve Dere Islahı İnşaatı</t>
  </si>
  <si>
    <t>16.06.2020 tarihi itibari ile işin Geçici ve Kesin Kabulleri yapılarak tamamlanmıştır.
Bu iş kapsamında Avcılar İlçesinde Ø 300-600 çaplar arası 29.906, Ø 800 lük 1431 m atıksu ile , Ø 2200 lük 1057 ysu ve 976 m dere ıslahı olmak üzere Avcılar ilçesi 33.370 m imalat
Başakşehir ilesinde Ø 300-600 çaplar arası 7295 , Ø 800-1400 çaplar arası 4938 m atıksu ile , Ø 800-1800 çaplar arası 560 m ysu
ve 2498 m dere ıslahı olmak üzere Başakşehir ilçesi 15.290 m imalat yapılmıştır.</t>
  </si>
  <si>
    <t>Avcılar Başakşehir</t>
  </si>
  <si>
    <t>41.032855529309906, 28.710218285526494</t>
  </si>
  <si>
    <t>Avrupa Bölgesi Müteferrik İçmesuyu İnşaatı (2)</t>
  </si>
  <si>
    <t>Avcılar 
Beşiktaş 
Silivri</t>
  </si>
  <si>
    <t>41.07401662482846, 28.249554831675457</t>
  </si>
  <si>
    <t>Avrupa 1.Bölge 4.Kısım Müteferrik Atıksu, Yağmursuyu Kanalı Ve Dere Islahı İnşaatı</t>
  </si>
  <si>
    <t>63 km atıksu ve yağmursuyu hattı ile 4.400 metre dere ıslahı tamamlanmıştır.
12.05.2023 tarihinde geçici kabul yapıldı.
12.05.2024 tarihinde kesin kabul yapıldı.
Beylikdüzü ilçesine açılış 29.07.2022&amp;#39;de yapıldı.
Bakırköy ilçesinde açılış 18.07.2023te yapıldı.</t>
  </si>
  <si>
    <t>Bakırköy 
Beylikdüzü</t>
  </si>
  <si>
    <t>40.98677858741782, 28.843295740693492</t>
  </si>
  <si>
    <t>Asya Bölgesi İSKİ Hizmet Binaları İnşaatı (1)</t>
  </si>
  <si>
    <t>41.108391692852194, 29.089330682284043</t>
  </si>
  <si>
    <t>Asya Bölgesi 4.Kısım Müteferrik İçmesuyu İnşaatı</t>
  </si>
  <si>
    <t>Beykoz 
Çekmeköy 
Maltepe 
Pendik 
Sultanbeyli 
Şile 
Tuzla 
Ümraniye 
Üsküdar</t>
  </si>
  <si>
    <t>41.08602307084231, 29.270148968274835</t>
  </si>
  <si>
    <t>Asya Bölgesi 2.Kısım Müteferrik İçmesuyu İnşaatı</t>
  </si>
  <si>
    <t>Beykoz 
Çekmeköy 
Pendik 
Şile 
Tuzla</t>
  </si>
  <si>
    <t>41.09326824544578, 29.26774570896689</t>
  </si>
  <si>
    <t>Asya Bölgesi Betonarme Boruları Yenileme İnşaatı (3)</t>
  </si>
  <si>
    <t>Beykoz-Çekmeköy 
Pendik-Sultanbeyli 
Ümraniye</t>
  </si>
  <si>
    <t>41.02388784060752, 29.133615338279807</t>
  </si>
  <si>
    <t>Boru Yenileme</t>
  </si>
  <si>
    <t>Avrupa 1.Bölge 2.Kısım Müteferrik Atıksu Kanalı, Yağmursuyu Kanalı Ve Dere Islahı İnşaatı</t>
  </si>
  <si>
    <t>125 km atıksu ve yağmursuyu hattı 4 adet atıksu terfi merkezi 500 metre boru itme imalatı ile 1,1 km boru çekme imalatı tamamlandı.
29.09.2021 tarihinde iş tamamlandı.</t>
  </si>
  <si>
    <t>Beyoğlu 
Sarıyer Arnavutköy 
Eyüpsultan 
Esenler 
Avcılar</t>
  </si>
  <si>
    <t>41.04019960205871, 28.97167098447848</t>
  </si>
  <si>
    <t>Avrupa 2.Bölge 1.Kısım Müteferrik Atıksu, Yağmursuyu Kanalı Ve Dere Islahı İnşaatı</t>
  </si>
  <si>
    <t>63.550 mt atıksu ve yağmursuyu kanal imalatı yapıldı.
2.915 mt dere ıslahı tamamlandı.
İŞİN BİTİŞ TARİHİ : 24.12.2020</t>
  </si>
  <si>
    <t>41.026252, 28.583923</t>
  </si>
  <si>
    <t>Avrupa Bölgesi Müteferrik İçmesuyu İnşaatı (4)</t>
  </si>
  <si>
    <t>Çatalca 
Silivri</t>
  </si>
  <si>
    <t>41.14447936189665, 28.457467176900664</t>
  </si>
  <si>
    <t>Ömerli İçmesuyu Arıtma Tesisi İnşaatı</t>
  </si>
  <si>
    <t>40.99804826396124, 29.324040550998316</t>
  </si>
  <si>
    <t>Asya Bölgesi 2014 Yılı 2. Kısım Müteferrik Atıksu Kanalı, Yağmursuyu Kanalı Ve Dere Islahı İnşaatı</t>
  </si>
  <si>
    <t>Çekmeköy 
Sancaktepe 
Sultanbeyli 
Şile</t>
  </si>
  <si>
    <t>40.97299608669862, 29.262178330360943</t>
  </si>
  <si>
    <t>Dere Islah Ve Peyzaj Projelendirme (1)</t>
  </si>
  <si>
    <t>Çekmeköy Serindere Y.V. Açılış Tarihi: 27.07.2023
Beylikdüzü Kavaklıdere Y.V. 3-4-5.Etaplar Açılış Tarihi: 23.09.2022
Tuzla Hacetdere Y.V. 1. Etap Açılış Tarihi: 12.11.2020
Büyükçekmece Serinpınar Yaşam Alanı Açılış Tarihi: 19.03.2024
Zeytinburnu Şht. Esra-Hakan TEKİN Parkı Açılış Tarihi : 23.10.2023
Sancaktepe Ayazma Y.V. Açılış Tarihi: 16.03.2024
Tuzla Hacetdere Y.V. 2. Etap Açılış Tarihi: 20.05.2024
Çekmeköy Muhsin Yazıcıoğlu Mesire Alanı Açılış Tarihi : 10.07.2024
Büyükçekmece Rıdvan Yavuzbilge Y.V. 1.Etap Temel Atma Tarihi : 19.03.2024
Şile Yeniköy Deresi Y.V. Temel Atma Tarihi : 11.08.2023</t>
  </si>
  <si>
    <t>Çekmeköy 
Tuzla 
Beylikdüzü Zeytinburnu 
Sancaktepe 
Büyükçekmece 
Şile</t>
  </si>
  <si>
    <t>41.11137768650267, 29.31958744546684</t>
  </si>
  <si>
    <t>Avrupa Yakası İSKİ Hizmet Binaları İnşaatı (7)</t>
  </si>
  <si>
    <t>41.05424102894698, 28.874967028836192</t>
  </si>
  <si>
    <t>Avrupa 1.Bölge 1.Kısım Atıksu Kanalı, Yağmursuyu Kanalı Ve Dere Islahı İnşaatı</t>
  </si>
  <si>
    <t>35.800 mt atıksu ve yağmursuyu kanal imalatı yapıldı.
5.600 mt dere ıslahı tamamlandı.
İŞİN BİTİŞ TARİHİ : 01.02.2022
AÇILIŞ TARİHİ: 31.10.2023.</t>
  </si>
  <si>
    <t>Esenler 
Eyüpsultan 
Kağıthane Büyükçekmece 
Arnavutköy 
Zeytinburnu</t>
  </si>
  <si>
    <t>41.20249684747343, 28.886441314814554</t>
  </si>
  <si>
    <t>Avrupa 1.Bölge 2015 Yılı 3.Kısım Müteferrik Atıksu, Yağmursuyu Kanalı İnşaatı</t>
  </si>
  <si>
    <t>1.300 metre atıksu kolektör
596 metre dere ıslahı tamamlandı.
10.07.2021 de iş tamamlandı
08.07.2020 temel atma yapıldı.
20.01.2021 basın gezisi yapıldı.</t>
  </si>
  <si>
    <t>41.0406520677319, 28.65950893620861</t>
  </si>
  <si>
    <t>Avrupa Bölgesi Depolar Ve Atölye İnşaatı</t>
  </si>
  <si>
    <t>41.08794453158967, 28.962683626982827</t>
  </si>
  <si>
    <t>Avrupa Bölgesi İSKİ Hizmet Binaları İnşaatı (2)</t>
  </si>
  <si>
    <t>41.03788419508886, 28.928285942327605</t>
  </si>
  <si>
    <t>Avrupa 1.Bölge 3.Kısım Müteferrik Atıksu, Yağmursuyu Kanalı Ve Dere Islahı İnşaatı</t>
  </si>
  <si>
    <t>Ø3000mm iç çapında 4.642m Ayvalı Yağmursuyu Tüneli, Ø3400mm iç çapında 1518 m Unkapanı Yağmursuyu Tüneli, Ø9,00mm iç çapında 71,58m Şaft, 216m Ø1400mm BA Boru İtme, 92m Ø1400 mm, 24m Ø2000mm, 13m Ø1800mm, 99m Ø3000mm BA Boru Döşeme, 11m Ø3000mm CTP Boru Döşeme, 85m 5.00 x 2.00 kutu kesit dere ıslahı ile Ayvalı Deresinde; 2.003m Mevcut Kapalı Kutu Kesit Dereye Beton/Betonarme Kaplama Yapılması, 231m İdare Malı Prefabrik Betonarme Dere Elemanları İle Dere Islahı ve 750m Derivasyon Kanalı ile Dere Islahı yapılmıştır. Ayvalı Yağmursuyu Tüneli, TBM Giriş Töreni : 14.09.2019 Yavedut Caddesi Abdülvedüt Parkı içi TBM Çıkış Töreni : 05.05.2021 Esenler Otogarı içerisi Unkapanı Yağmursuyu Tüneli, TBM Giriş Töreni : 19.01.2022 Unkapanı Kavşağı TBM Çıkış Töreni : 05.09.2023 Vatan Caddesi İSPARK içi</t>
  </si>
  <si>
    <t>Eyüpsultan 
Bayrampaşa 
Fatih 
Zeytinburnu</t>
  </si>
  <si>
    <t>41.06104021843938, 28.864778190692057</t>
  </si>
  <si>
    <t>Avrupa Bölgesi Müteferrik Su Deposu, Terfi Merkezi Ve Trafo Binası İnşaatı</t>
  </si>
  <si>
    <t>Eyüpsultan
Silivri</t>
  </si>
  <si>
    <t>41.07660475165664, 28.244061667543004</t>
  </si>
  <si>
    <t>Asya Bölgesi Betonarme Boruları Yenileme İnşaatı (1)</t>
  </si>
  <si>
    <t>40.88126445226672, 29.259340463549755</t>
  </si>
  <si>
    <t>Melen Projesi 3.Etap İsale Hattı İnşaatı (1)</t>
  </si>
  <si>
    <t>40.84182521704229, 31.162554859990045</t>
  </si>
  <si>
    <t>Altyapı Yenileme ve Bakım Onarım</t>
  </si>
  <si>
    <t>Asya Bölgesi 5.Kısım Müteferrik İçmesuyu İnşaatı</t>
  </si>
  <si>
    <t>40.83844864374638, 31.16066658481952</t>
  </si>
  <si>
    <t>Avrupa Bölgesi Müteferrik İçmesuyu İnşaatı (5)</t>
  </si>
  <si>
    <t>41.08791218621474, 28.96289820370675</t>
  </si>
  <si>
    <t>Avrupa Bölgesi Müteferrik İçmesuyu İnşaatı (3)</t>
  </si>
  <si>
    <t>41.08782323635163, 28.962790915344783</t>
  </si>
  <si>
    <t>Avrupa Bölgesi Müteferrik İçmesuyu İnşaatı (6)</t>
  </si>
  <si>
    <t>41.08797687694867, 28.96288747487055</t>
  </si>
  <si>
    <t>Asya Bölgesi 4.Kısım Müteferrik Atıksu, Yağmursuyu Kanalı Ve Tünel İnşaatı</t>
  </si>
  <si>
    <t>Kadıköy 
Ataşehir</t>
  </si>
  <si>
    <t>40.990749951462554, 29.12299178277319</t>
  </si>
  <si>
    <t>Asya Bölgesi 5.Kısım Yol Geçişleri İnşaatı</t>
  </si>
  <si>
    <t>Kadıköy 
Çekmeköy 
Beykoz 
Ataşehir 
Şile</t>
  </si>
  <si>
    <t>41.1116363566246, 29.317870831675453</t>
  </si>
  <si>
    <t>Asya Bölgesi Betonarme Boruları Yenileme İnşaatı (2)</t>
  </si>
  <si>
    <t>40.997629, 29.349310</t>
  </si>
  <si>
    <t>Asya Bölgesi İSKİ Hizmet Binaları İnşaatı (2)</t>
  </si>
  <si>
    <t>41.035131671866715, 29.29300320618872</t>
  </si>
  <si>
    <t>Avrupa 2.Bölge 2014 Yılı 4.Kısım Müteferrik Atıksu, Yağmursuyu Kanalı Ve Dere Islahı İnşaatı</t>
  </si>
  <si>
    <t>41.072981345565964, 28.244748313059567</t>
  </si>
  <si>
    <t>Avrupa 2.Bölge 2.Kısım Müteferrik Atıksu, Yağmursuyu Kanalı Ve Boru İtme İnşaatı</t>
  </si>
  <si>
    <t>Silivri İlçesi’nde 187.000 metre atıksu kanalı, 10.200 metre yağmursuyu kanalı imalatı tamamlanmıştır.
25.08.2023 tarihinde açılış yapılmıştır.
İşin bitim tarihi 20.06.2023&amp;#39;tür.</t>
  </si>
  <si>
    <t>41.083850964672514, 28.246121604092675</t>
  </si>
  <si>
    <t>Avrupa 2.Bölge 2014 Yılı 1.Kısım Müteferrik Atıksu, Yağmursuyu Kanalı Ve Dere Islahı İnşaatı</t>
  </si>
  <si>
    <t>Silivri 
Büyükçekmece</t>
  </si>
  <si>
    <t>41.07505188778745, 28.26603432407279</t>
  </si>
  <si>
    <t>Darlık Arıtma Tesisi İnşaatı</t>
  </si>
  <si>
    <t>41.155132385936035, 29.59720144377399</t>
  </si>
  <si>
    <t>Asya Bölgesi 8.Kısım Müteferrik Atıksu, Yağmursuyu Kanalı Ve Dere Islahı İnşaatı</t>
  </si>
  <si>
    <t>Şile 
Beykoz 
Çekmeköy 
Sancaktepe 
Sultanbeyli 
Kartal</t>
  </si>
  <si>
    <t>41.17695602555693, 29.609305593091882</t>
  </si>
  <si>
    <t>Tuzla İleri Biyolojik Atıksu Arıtma Tesisi 3.Kademe İnşaatı</t>
  </si>
  <si>
    <t>Nüfusun, sanayinin ve gemi yapım tersanelerinin yoğunlukta olduğu bölgede yer alan tesisin 3. kademesinin açılmasıyla kapasitesi 250.000 m³/gün'den 650.000 m³/gün'e çıkarılmıştır. 2.600.000 eşdeğer nüfusa hizmet edecek kapasiteye ulaşan bu tesis ile bölgedeki koku problemi çözülürken atıksuda bulunan kirletici maddelerin giderilmesiyle Marmara Denizi çevre ve halk sağlığı ve deniz yaşamı açısından korunmuş olacaktır. Tesisin 3. Kademesinin 25.10.2022 tarihinde 150 Günde 150 Proje kapsamında açılışı yapılmıştır.</t>
  </si>
  <si>
    <t>40.825400041455815, 29.292958401853365</t>
  </si>
  <si>
    <t>Asya Bölgesi 7.Kısım Müteferrik Atıksu, Yağmursuyu Kanalı Ve Dere Islahı İnşaatı</t>
  </si>
  <si>
    <t>Tuzla 
Pendik 
Kartal 
Maltepe 
Kadıköy 
Çekmeköy 
Sultanbeyli 
Beykoz</t>
  </si>
  <si>
    <t>41.00159772809184, 29.34723108966888</t>
  </si>
  <si>
    <t>Asya Bölgesi 5.Kısım Müteferrik Atıksu, Yağmursuyu Kanalı Ve Çavuşdere Bülbül Dere Tünel İnşaatı</t>
  </si>
  <si>
    <t>41.021392078337364, 29.05808913274834</t>
  </si>
  <si>
    <t>Asya Bölgesi İSKİ Hizmet Binaları İnşaatı (3)</t>
  </si>
  <si>
    <t>41.02216914831002, 29.05671584171522</t>
  </si>
  <si>
    <t>Asya Bölgesi 2014 Yılı 3.Kısım Müteferrik Atıksu Kanalı, Yağmursuyu Kanalı Ve Boru İtme İnşaatı</t>
  </si>
  <si>
    <t>Üsküdar 
Ümraniye</t>
  </si>
  <si>
    <t>41.02168617599571, 29.1282938355265</t>
  </si>
  <si>
    <t>Asya Bölgesi 6.Kısım Müteferrik Atıksu, Yağmursuyu Kanalı Ve Dere Islahı İnşaatı</t>
  </si>
  <si>
    <t>Üsküdar 
Ümraniye 
Kadıköy 
Çekmeköy 
Beykoz 
Sancaktepe 
Ataşehir 
Şile 
Pendik</t>
  </si>
  <si>
    <t>41.150601865781766, 29.179562578655666</t>
  </si>
  <si>
    <t>Avrupa Bölgesi İçmesuyu Tünel İnşaatı (2)</t>
  </si>
  <si>
    <t>Bu kısıma proje ile ilgili özellikle belirtilmesi gerek açıklamalar yazılmalıdır. Örneğin , son dönemdeki açılış listelerinde veya 300 gün 300 proje kapsamında açılışı yapılan ancak yapımı devam iş gibi durumlar mevcut ile özellikle belirtilmelidir.</t>
  </si>
  <si>
    <t>41.01006450241016, 28.912093293445363</t>
  </si>
  <si>
    <t>Su Kanalı</t>
  </si>
  <si>
    <t>Avrupa Bölgesi İSKİ Hizmet Binaları İnşaatı (1)</t>
  </si>
  <si>
    <t>40.998841679394594, 28.90925703603187</t>
  </si>
  <si>
    <t>Başakşehir Karanlık Deresi ıslahı</t>
  </si>
  <si>
    <t>Yeni eklendi (Eylül 2024)</t>
  </si>
  <si>
    <t>41.07650085692628, 29.16196566668021</t>
  </si>
  <si>
    <t>Rıdvan Yavuzbilge Yaşam Vadisi</t>
  </si>
  <si>
    <t>41.032112, 28.586095</t>
  </si>
  <si>
    <t>İSTANBUL ENERJİ A.Ş.</t>
  </si>
  <si>
    <t>Burgazada İett Peron Alanı Elektrikli Araç Şarj İstasyonu Projesi</t>
  </si>
  <si>
    <t>40.881713, 29.069002</t>
  </si>
  <si>
    <t>Büyükada İett Garaj Bakım Alanı Elektrikli Araç Şarj İstasyonu Projesi</t>
  </si>
  <si>
    <t>40.85801475738888, 29.118863386132094</t>
  </si>
  <si>
    <t>Heybeliada İett Garaj Bakım Alanı Elektrikli Araç Şarj İstasyonu Projesi</t>
  </si>
  <si>
    <t>40.87546769134642, 29.102469710845163</t>
  </si>
  <si>
    <t>Kınalıada İett Peron Alanı Elektrikli Araç Şarj İstasyonu Projesi</t>
  </si>
  <si>
    <t>40.91055444029986, 29.055433158009034</t>
  </si>
  <si>
    <t>BELTUR A.Ş.</t>
  </si>
  <si>
    <t>Adalar Beltur Tesisleri</t>
  </si>
  <si>
    <t>Sosyal donatı projesidir.</t>
  </si>
  <si>
    <t>40.869089856500466, 29.124161698717664</t>
  </si>
  <si>
    <t>Büyükada Otel</t>
  </si>
  <si>
    <t>40.874682897514816, 29.130687554541062</t>
  </si>
  <si>
    <t>Avcılar 1. Kız Öğrenci Yurdu</t>
  </si>
  <si>
    <t>40.99508895122377, 28.71435313253812</t>
  </si>
  <si>
    <t>Yetiştirme Yurdu</t>
  </si>
  <si>
    <t>Avcılar 2. Kız Öğrenci Yurdu</t>
  </si>
  <si>
    <t>40.99088323365016, 28.720869368039665</t>
  </si>
  <si>
    <t>İSTANBUL İMAR İNŞAAT A.Ş</t>
  </si>
  <si>
    <t>Avcılar Ambarlı Ve Deniz Köşkler Arası Sahil Düzenleme Projesi İşi</t>
  </si>
  <si>
    <t>40.974759978529434, 28.742791011701353</t>
  </si>
  <si>
    <t>Bağcılar Erkek Öğrenci Yurdu</t>
  </si>
  <si>
    <t>41.04280874666424, 28.8400035620719</t>
  </si>
  <si>
    <t>Kiraz Evler Kentsel Dönüşüm Projesi</t>
  </si>
  <si>
    <t>Temeli yeni yönetim tarafından atılarak bu dönemde tamamlanmıştır.</t>
  </si>
  <si>
    <t>41.03554461290638, 28.836838625712097</t>
  </si>
  <si>
    <t>Demircioğlu Apartmanı Kentsel Dönüşüm Projesi</t>
  </si>
  <si>
    <t>41.0039544984948, 28.871323255821036</t>
  </si>
  <si>
    <t>Referans Vadi Kaynak Geliştirme Projesi</t>
  </si>
  <si>
    <t>Eski yönetim tarafından temeli atılmış olup yeni yönetim tarafından tamamlanmıştır.</t>
  </si>
  <si>
    <t>41.11003407856692, 28.803836268590914</t>
  </si>
  <si>
    <t>Büyük İstanbul Otogarı</t>
  </si>
  <si>
    <t>41.04045076067231, 28.89468637044156</t>
  </si>
  <si>
    <t>Bayrampaşa Kentsel Dönüşüm Projesi</t>
  </si>
  <si>
    <t>41.046108675836166, 28.902417297424645</t>
  </si>
  <si>
    <t>Bayrampaşa Kız Öğrenci Yurdu</t>
  </si>
  <si>
    <t>41.04114795292968, 28.898720033674042</t>
  </si>
  <si>
    <t>AĞAÇ VE PEYZAJ A.Ş.</t>
  </si>
  <si>
    <t>Beşiktaş Aşiyan Parkı</t>
  </si>
  <si>
    <t>41.081345588964645, 29.05404602811555</t>
  </si>
  <si>
    <t>Erenler Apartmanı Kentsel Dönüşüm Projesi</t>
  </si>
  <si>
    <t>41.06128679148708, 29.003382697425163</t>
  </si>
  <si>
    <t>Tarihi Beşiktaş İskelesi Vapur Kafe</t>
  </si>
  <si>
    <t>300 Günde 300 Proje kapsamına girmektedir. Hizmet vermeye devam etmektedir.</t>
  </si>
  <si>
    <t>41.04143460255492, 29.007424641931316</t>
  </si>
  <si>
    <t>Çubuklu Arabalı Vapur İskelesi Vapur Kafe</t>
  </si>
  <si>
    <t>41.10808846162943, 29.082663055099538</t>
  </si>
  <si>
    <t>Kırlangıç Evler Kentsel Dönüşüm Projesi</t>
  </si>
  <si>
    <t>Temeli yeni yönetim tarafından atılmıştır. Etaplar halinde teslimine başlanmış olup inşaatı devam eden etapları bulunmaktadır.</t>
  </si>
  <si>
    <t>40.98787770045862, 28.607649986302178</t>
  </si>
  <si>
    <t>Okmeydanı Van Blokları Kentsel Dönüşüm Projesi</t>
  </si>
  <si>
    <t>41.052688, 28.956096</t>
  </si>
  <si>
    <t>KÜLTÜR A.Ş.</t>
  </si>
  <si>
    <t>Dijital Deneyim Müzesi</t>
  </si>
  <si>
    <t>Türkiye’nin ilk tam kapsamlı Dijital Deneyim Müzesi 
Proje kapsamında / 476. Proje</t>
  </si>
  <si>
    <t>41.05814370810923, 28.949478524737664</t>
  </si>
  <si>
    <t>İstanbul Geneli 3. Kısım Yeşil Alanlarının Onarımı Ve Yapım İşi - Çanakça Köy Parkı</t>
  </si>
  <si>
    <t>3.000 m² toplam imalat alanı, 1790 m² yeşil alan, 637 m² Yürüyüş Yolu, 95 m² Fitness alanı, 200 m² çocuk oyun alanı, 45 ağaç, 3525 Çalı</t>
  </si>
  <si>
    <t>41.24974244448896, 28.497776719073258</t>
  </si>
  <si>
    <t>İGDAŞ A.Ş.</t>
  </si>
  <si>
    <t>Çekmeköy Şebeke Şefliği</t>
  </si>
  <si>
    <t>İGDAŞ, İstanbul’da en yoğun nüfusun bölgelerden birinde hizmet kalitesini artırmak adına yeni bir şeflik binasını kullanıma açtı. Yaklaşık 210 bin abonenin bulunduğu Ümraniye, Çekmeköy ve Sancaktepe ilçelerine yönelik hizmete başlayan Çekmeköy Şebeke Şefliği, 7/24 kesintisiz ve güvenli doğal gaz arzının sürdürülmesi, abone memnuniyetinin maksimum seviyede sağlanabilmesi, gelişebilecek sorunlara anında ve yerinde müdahale edilebilmesini güvence altına alacak. Çekmeköy Şebeke Şefliği’nin kurulmasıyla Ataşehir ve Sancaktepe şebeke şefliklerinin doğal gaz dağıtım şebekesi işletme faaliyetleri yükleri daha dengeli dağıtılacak ve böylece üç şebekede birden hizmet kalitesini artacak.</t>
  </si>
  <si>
    <t>41.001023, 29.220677</t>
  </si>
  <si>
    <t>Yük Hayvanları Ameliyathanesi</t>
  </si>
  <si>
    <t>Türkiyenin ilk gönüllü yük hayvanları ameliyathanesi (İGDAŞ sponsorluğunda)
Türkiye’nin ilk gönüllü yük hayvanları ameliyathanesi İGDAŞ sponsorluğunda hizmete açıldı
“Can Dostlar” projesiyle, sokak hayvanlarının bulundukları yerlere barınak ve su tankı yerleştiren, mama desteği sağlayan İGDAŞ, engelli ve tedaviye muhtaç hayvanlara da kol kanat gerdi. Türkiye’nin ilk gönüllü yük hayvanları ameliyathanesi, İGDAŞ’ın sponsorluğunda 27 Ocak’ta hizmete girdi. 
Yük Hayvanlarını Koruma ve Kurtarma Derneği (YHKKD)’nin, İstanbul’un Riva yakınlarındaki Sırapınar Köyü’nde bulunan hayvan kurtarma çiftliğinin altyapı ve çeşitli ihtiyaçları için İGDAŞ, 2022 yaz aylarından bu yana bir dizi çalışma yürüttü. 
Yaklaşık 500 yaralı ve bakıma muhtaç hayvanın koruma altına alındığı derneğin, başta ameliyathane ve ameliyat sonrası uyandırma ünitesi; büyük ve küçükbaş hayvanlar için barınaklar, çitler, bakım onarım ve çevre temizlik ve çeşitli altyapı düzenlemeleri olmak üzere birçok temel ihtiyacı, İGDAŞ tarafından karşılandı. Köpek kulübelerinin üzeri örtüldü, atların ahırları boyandı, kapıları onarıldı, su tankları konuldu; bozulmuş yollarına mıcır döküldü, çatı çitler onarıldı.
Yürütülen çalışmalar arasında en acil ihtiyaç olan ameliyathanenin ise ilk kez hizmete açıldığı 27 Ocak tarihinde, davetlilerin katılımıyla bir açılış töreni organize edildi.</t>
  </si>
  <si>
    <t>41.105631, 29.307255</t>
  </si>
  <si>
    <t>Hayvan Yetiştiriciliği-Besi</t>
  </si>
  <si>
    <t>Esenyurt 1-2-3 RMS A Çıkış Hatları Düzenlemesi ve Kapasite Artırım Çalışması</t>
  </si>
  <si>
    <t>Şehri besleyen ana basınç düşürme ve ölçme istasyonları (RM/A) üzerinden çelik hatları ile iletim sağlanırken, artan hat yoğunluğu, şebeke düzenleme ihtiyacı oluşturmaktadır. Bu kapsamda Esenyurt 1-2-3- RM/A istasyonunda 2021 yılında tamamlanan proje ile RM-A kokulandırma sistemi ve istasyon çıkış vanaları en yeni teknolojiye sahip sistem ve vanalarla yenilendi. 4 adet 30’’ vana odası inşaatı ve vana grubu montajı ve toplam 186 m, 30’’ çelik hat imalatı yapıldı.
Bu değişim ile hem güvenli işletme koşulları sağlanmış hem de 1 milyon m3/h olan istasyon çıkış kapasitesi yaklaşık 1,6 milyon m3/h seviyesine çıkarılarak Avrupa Yakası’nın her geçen yıl artan doğal gaz talebine cevap verebilme kabiliyeti yüzde 60 gibi ciddi oranda yükseltildi.</t>
  </si>
  <si>
    <t>41.04110691361259, 28.674705568308145</t>
  </si>
  <si>
    <t>Esenyurt 4 RMS-A Kazan Sistemi Revizyonu</t>
  </si>
  <si>
    <t>Avrupa yakasına doğal gaz arzı sağlayan ikinci büyük istasyon olan Esenyurt-4 RM/A istasyonunun kazan sistemi, akıllı otomasyon içeren en son teknoloji ile yenilenerek; kesintisiz ve güvenli doğal gaz talebine cevap verebilme kabiliyetimiz en üst seviyeye yükseltildi.</t>
  </si>
  <si>
    <t>Esenyurt Erkek Öğrenci Yurdu</t>
  </si>
  <si>
    <t>Esenyurt Erkek öğrenci Yurdu</t>
  </si>
  <si>
    <t>41.01827919078799, 28.684976541925128</t>
  </si>
  <si>
    <t>Esenyurt Şebeke Şefliği</t>
  </si>
  <si>
    <t>Bir milyona yakın nüfusuyla (997 bin) Türkiye’nin en kalabalık ilçesi olan Esenyurt’un doğal gaz arzının kesintisiz olarak sürdürülmesi ve abone memnuniyetinin maksimum seviyede sağlanabilmesi, gelişebilecek sorunlara anında ve yerinde müdahale edilebilmesi için Esenyurt Şebeke Şefliği inşa edilerek, 26 Ağustos 2022&amp;#39;de törenle açılışı gerçekleştirildi. 
Türkiye’de 57 ilden daha yüksek nüfusa sahip Esenyurt’un doğal gaz arzı, Avcılar ve Beylikdüzü’ndeki şebeke şefliklerinden yönetilirken, yeni Şebeke Şefliğinin açılışı ile artık 29 mahallede 283.585 bin aboneye artık buradan hizmet veriliyor. Böylece acil durumlarda müdahale süresi kısaltılırken, yine müdahale etkinliği de buna paralel olarak arttı.</t>
  </si>
  <si>
    <t>41.052574987621554, 28.655950847165922</t>
  </si>
  <si>
    <t>Haramidere Islahı Projesi'nde İGDAŞ operatörlüğü</t>
  </si>
  <si>
    <t>İstanbul Büyükşehir Belediyesi’nin Esenyurt ilçesinde sel ve su taşkınlarına karşı gerçekleştirdiği Haramidere Islahı Projesi’nde İGDAŞ tarihinin en büyük operasyonlarından biri gerçekleştirildi. İGDAŞ’ın üst düzey uzman ve deneyimli kadrosuyla 24-28-30 inç çelik ve polietilen hat deplase (yer değiştirme) çalışmaları doğal gaz kesintisi olmaksızın güvenli bir şekilde tamamlandı. İGDAŞ’ın üst düzey uzman ve deneyimli kadrosuyla 24-28-30 inç çelik ve polietilen hat deplase (yer değiştirme) çalışmaları doğal gaz kesintisi olmaksızın güvenli bir şekilde tamamlandı.</t>
  </si>
  <si>
    <t>41.00652893451648, 28.673021715405447</t>
  </si>
  <si>
    <t>BOTAŞ Yedek Ana Hat Bağlantısı ile Afet anında alternatif arz güvenliği sağlama alındı</t>
  </si>
  <si>
    <t>Esenyurt 1-2-3 RMS-A BOTAŞ Yedek Hattına Bağlantı Projesi tamamlandı. İstanbul’un Avrupa Yakası’nda güvenli doğal gaz arzına herhangi bir doğal afet sürecinde de devam edebilmesi için kritik öneme sahip, “BOTAŞ Yedek Hattı - İGDAŞ Esenyurt 1-2-3 RMS-A Bağlantı Projesi” planlanarak, doğal gaz arz güvenliği için çok önemli büyük adım atıldı. 
Proje kapsamında BOTAŞ’ın yedek ana iletim hattından, İGDAŞ Basınç Düşürme ve Ölçüm İstasyonlarına (RMS-A) “hot-tap” (canlı bağlantı) operasyonu, 11 Kasım 2023’te gerçekleştirilerek başarıyla tamamlandı.</t>
  </si>
  <si>
    <t>Esenyurt Şube</t>
  </si>
  <si>
    <t>2022 verilerine göre 1.127.489 kayıtlı nüfusu ile 57 ilin nüfusundan daha fazla nüfusa sahip ve Türkiye'nin nüfus bakımından en büyük ilçesi konumunda olan Esenyurt’ta, ilçenin ihtiyaçlarını karşılayacak ölçekte ilk Müşteriler Hizmetleri Şubesi 2023 yılsonuna kadar devreye alındı. (Ancak resmi açılış henüz gerçekleştirilmedi İBB Başkanımız açılışa davet edilmişti.)</t>
  </si>
  <si>
    <t>41.03818466830142, 28.661568206574625</t>
  </si>
  <si>
    <t>Haliç Çamur Susuzlaştırma Tesisi</t>
  </si>
  <si>
    <t>Haliç çamurunu susuzlaştırmak için 500 m3/saat tesis kurulmuştur.</t>
  </si>
  <si>
    <t>41.047870, 28.935393</t>
  </si>
  <si>
    <t>Eyüpsultan Kız Öğrenci Yurdu</t>
  </si>
  <si>
    <t>41.06769493741326, 28.948546233157437</t>
  </si>
  <si>
    <t>Haliç 2. Etap Yapım, Onarım Ve Tadilat İşi - Bağcılar Farklı Renkliler Parkı</t>
  </si>
  <si>
    <t>981 m² alanda fitness alanı ve kurulan oyun gruplarıyla tematik park yapılmıştır.</t>
  </si>
  <si>
    <t>41.03456376289094, 28.868107682403725</t>
  </si>
  <si>
    <t>Haliç 2. Etap Yapım, Onarım Ve Tadilat İşi - Silivri Boğluca Parkı 2. Etap</t>
  </si>
  <si>
    <t>Silivri Boğluca Parkı 5100 m2 alan içerisinde 4075 m2 yeşil alan sahip ve 1 adet çocuk oyun alanından oluşmaktadır.</t>
  </si>
  <si>
    <t>41.078150334634145, 28.247733304239425</t>
  </si>
  <si>
    <t>İstanbul Geneli 2. Kısım Yeşil Alanlarının Onarımı Ve Yapım İşi - Şehit Hüseyin Çatalkaş Parkı</t>
  </si>
  <si>
    <t>6.000 m² toplam imalat alan, 4.600 m² yeşil alan, 858 m² Sert Zemin, 482 m² Yürüyüş Yolu, 100 m² Fitness Alanı, 445 m² Çocuk Oyun alanı, 6 ağaç</t>
  </si>
  <si>
    <t>41.08088699020616, 28.939354739753618</t>
  </si>
  <si>
    <t>Yeşilpınar Kentsel Dönüşüm Projesi (1., 2. Ve 3. Etap)</t>
  </si>
  <si>
    <t>Temeli yeni yönetim tarafından atılarak ilk 3 etabı tamamlanmıştır, 4. (son) etabın inşaası devam etmektedir.</t>
  </si>
  <si>
    <t>2023-2024</t>
  </si>
  <si>
    <t>41.073715350919606, 28.920715810551112</t>
  </si>
  <si>
    <t>Gaziosmanpaşa Erkek Öğrenci Yurdu</t>
  </si>
  <si>
    <t>41.07297357624953, 28.90322876858943</t>
  </si>
  <si>
    <t>Özel Yurtlar</t>
  </si>
  <si>
    <t>Doğakent Evleri Kentsel Dönüşüm Projesi</t>
  </si>
  <si>
    <t>41.027105880380944, 28.878415624406635</t>
  </si>
  <si>
    <t>İzmit Çınarevler Sosyal Konut Projesi</t>
  </si>
  <si>
    <t>40.796705935253385, 29.870692906681636</t>
  </si>
  <si>
    <t>Diyarbakır Sur İçi Kentsel Dönüşüm Projesi</t>
  </si>
  <si>
    <t>37.91266663304406, 40.23676399730409</t>
  </si>
  <si>
    <t>Hatay Geçici Yaşam Alanı</t>
  </si>
  <si>
    <t>36.51595020795417, 36.34118268417245</t>
  </si>
  <si>
    <t>Mihmandar Evler Kreş</t>
  </si>
  <si>
    <t>Kreş projesidir.</t>
  </si>
  <si>
    <t>38.94379679990738, 34.561721528482224</t>
  </si>
  <si>
    <t>Mihmandar Evler Vizyon Projesi</t>
  </si>
  <si>
    <t>Temeli yeni yönetim tarafından atılarak bu dönemde tamamlanmıştır. İştirakler İletişim Koordinatörlüğüne Haziran ayında iletilen listede bulunmaktadır.</t>
  </si>
  <si>
    <t>Boru İçi Denetleme Robotu Projesi nin ilk 3 fazı tamamlandı</t>
  </si>
  <si>
    <t>“Boru İçi Denetleme Robotu” muhtemel İstanbul depremi öncesinde ve sonrasında oluşabilecek risklerin analiz edilmesini sağlamak üzere TÜBİTAK RUTE iş birliği ile geliştirilmeye başlandı.Projeyle çelik dağıtım hatlarında kesintisiz olarak yürütülecek robotik izleme sonucunda, doğal gaz hatlarının çok hızlı bir şekilde taranarak hasarlı hatların tespiti ve erken müdahale imkânı amaçlandı.5 faz olarak tasarlanan projenin ilk 3 fazı tamamlanmış ve 4. fazına geçilmiş olup projenin 2024 sonunda tamamlanması planlandı.</t>
  </si>
  <si>
    <t>40.824587, 29.354760</t>
  </si>
  <si>
    <t>İbb Deniz Taksi</t>
  </si>
  <si>
    <t>2021 yılında seferlerine başlayan Deniz Taksi hizmeti devam etmektedir.</t>
  </si>
  <si>
    <t>41.03261440162675, 28.966579366540547</t>
  </si>
  <si>
    <t>Lisanslı İlk ve Tek Ar-Ge Merkezi Açıldı</t>
  </si>
  <si>
    <t>İGDAŞ Ar-Ge Merkezine sahip ilk ve tek doğal gaz dağıtım şirketi oldu. İGDAŞ’ın tarihinde ve sektöründe bir ilk olarak 3 yıl önce kuruluşunu gerçekleştirdiği lisanslı Ar-Ge Merkezi, bilim ve teknoloji dünyasında heyecan yaratan çalışmalarıyla öne çıkıyor. 
Spot1: Bugüne kadar 26 fikri mülkiyet hakkı başvurusunda bulunan İGDAŞ AR-Ge Merkezi’nin ve 17 başvurunun tescil işlemleri tamamlandı. Merkezin ayrıca ulusal ve uluslararası 18 kuruluş ile iş birliği ve 40 adet akademik yayını da dikkat çekiyor. 
Spot3: İGDAŞ Ar-Ge Merkezi’nin sürdürdüğü projeler arasında Marmara Denizi’nin tabanına yerleştirilmiş fiberoptik kablolar üzerinden yapay zeka teknolojisiyle deprem erken uyarı sensörleri geliştirmek de bulunuyor.</t>
  </si>
  <si>
    <t>41.071074474583654, 28.94476027044284</t>
  </si>
  <si>
    <t>İnovasyon ve Teknoloji Merkezi</t>
  </si>
  <si>
    <t>9 Yeni Hat Açılışı</t>
  </si>
  <si>
    <t>300 Günde 300 Proje kapsamına girmektedir. Açılan hatlar; Aşiyan – Anadoluhisarı – Küçüksu, Üsküdar – Aşiyan, Kadıköy – Kasımpaşa – Fener – Sütlüce – Eyüp, Avcılar – Bakırköy – Kadıköy, Avcılar – Bostancı, Maltepe – Büyükada – Heybeliada – Burgazada – Kınalıada, Çengelköy – Kabataş, Beşiktaş – Kabataş – Karaköy – Kasımpaşa – Sütlüce – Eyüp ve Bostancı – Moda – Kadıköy – Kabataş hattı. Ancak Avcılar Hatları UKOME kararı ile kapatılmıştır.</t>
  </si>
  <si>
    <t>41.0395531635625, 28.972025852725643</t>
  </si>
  <si>
    <t>Elektrik-Hibrit Deniz Taksi</t>
  </si>
  <si>
    <t>41.066901805969096, 29.042958628114988</t>
  </si>
  <si>
    <t>Paşabahçe Vapuru Restorasyonu</t>
  </si>
  <si>
    <t>300 Günde 300 Proje kapsamına girmektedir. Paşabahçe Vapuru hizmet vermeye devam etmektedir.</t>
  </si>
  <si>
    <t>41.035875, 28.994097</t>
  </si>
  <si>
    <t>FO Tabanlı Deprem Erken Uyarı ve İzleme Sistemi Projesi</t>
  </si>
  <si>
    <t>FO Tabanlı Deprem Erken Uyarı ve İzleme Sistemi Projesi ile şimdiye kadar 500’ün üzerinde deprem incelendi
Projenin amacı, deniz tabanına döşenecek veya mevcut Fiber Optik (F/O) kablolar ile depremin kaynağına daha yakın olarak deprem dalgaları karadaki mevcut ivmeölçerlere gelmeden önce, fiber optik kablo tarafından algılanarak önlem almak için zaman kazanılmasını içeriyor.</t>
  </si>
  <si>
    <t>41.05793215182493, 28.946239009881005</t>
  </si>
  <si>
    <t>Kızıltoprak Vapuru Restorasyonu</t>
  </si>
  <si>
    <t>40.98051867438498, 29.04165903561212</t>
  </si>
  <si>
    <t>Deniz Dolmuş</t>
  </si>
  <si>
    <t>4 Deniz Dolmuş'un 3 tanesi tamamlanarak seferlerine başlamıştır. 4. Deniz Dolmuş'un yüzde 95'i tamamlanmıştır. Kalan 3 Deniz Dolmuş'un üretimi Haliç Tersanesi'nde devam etmektedir. Toplamda 7 adet Deniz Dolmuş üretilecektir.</t>
  </si>
  <si>
    <t>41.135244644620535, 29.090952984897836</t>
  </si>
  <si>
    <t>İsmail Hakkı Durusu Vapuru Restorasyonu</t>
  </si>
  <si>
    <t>19 Mayıs 2024 tarihinde seferlerine başlamıştır, hizmet vermeye devam etmektedir.</t>
  </si>
  <si>
    <t>41.048093261490585, 29.025234499278103</t>
  </si>
  <si>
    <t>Bölge Reglaj İstasyonları Bariyer Optimizasyonu Projesi</t>
  </si>
  <si>
    <t>İGDAŞ Bölge Reglaj İstasyonları, genellikle ulaşım altyapısı yakınında bulunması nedeniyle olası araç çarpmaları doğal gaz arzı için bir risk teşkil etmektedir. 
Bu riski minimize etmek amacıyla, İGDAŞ Ar-Ge Merkezi tarafından geliştirilen projeyle, yüzeysel temelli sabit mantar bariyerler yerine, bölgedeki trafik hızı ve yoğunluğu da göz önünde bulundurularak 7,5 ve 18 tonluk ticari araçları şehir içi trafik hızında 1 metre mesafede durdurabilecek yüksek dayanımlı, kolay uygulanabilir ve modüler bir bariyer sistemi geliştirildi. Yeni tasarlanan bariyer sistemi trafik yoğunluğu ve kaza riski yüksek noktalarda kullanılmaya başlandı.</t>
  </si>
  <si>
    <t>İGDAŞ Deprem Erken Uyarı Sistemi Genişletildi ve Güncellendi</t>
  </si>
  <si>
    <t>Geliştirilen Deprem Risk Azaltım Sistemi kapsamında mevcut kuvvetli yer hareketi ivme ölçer cihazlarının sayıları artırılarak İGDAŞ’ın mevcut doğal gaz dağıtım sistemindeki 832 bölge regülatör istasyonunun tamamına montajı gerçekleştirildi. Böylelikle olası İstanbul depreminde ikincil felaketlerin önüne geçebilmek için bir adım daha atıldı. 
Yine mevcut cihazların teknolojik versiyonları yenilenerek daha yüksek hassasiyet ölçecek bir yapıya kavuşmaları sağlandı.</t>
  </si>
  <si>
    <t>2019 - 2022</t>
  </si>
  <si>
    <t>5 yılda 2.038 kilometre yeni hat döşendi.</t>
  </si>
  <si>
    <t>İstanbullulara güvenli doğal gaz arzı sürdürebilmek için göreve gelindiğinden bu yana, yaklaşık 5 yıl içerisinde 130,19 km çelik hat, 1.271,23 km polietilen hat ve 634,41 km servis hattı olmak üzere toplamda 2 milyon 36 kilometre yeni hat döşendi. Aynı dönemde şehrin çeşitli noktalarına 71 bin 701 adet servis kutusu, 84 adet de yeni bölge regülatörü yerleştirildi. *(29.07.2023 itibariyle)</t>
  </si>
  <si>
    <t>2019 - 2024</t>
  </si>
  <si>
    <t>İstanbul Geneli Ağaç AŞ Bitki Dikimi ve Çeşitli Peyzaj Düzenlemeleri (123 Mahal)</t>
  </si>
  <si>
    <t>41.061843752175946, 28.99449568208044</t>
  </si>
  <si>
    <t>İstanbul Geneli Aydınlatma Projeleri (253 Mahal)</t>
  </si>
  <si>
    <t>41.05912949463547, 28.945241231174812</t>
  </si>
  <si>
    <t>İstanbul Geneli Gazete Büfeleri Ve Büfeler (178 Mahal)</t>
  </si>
  <si>
    <t>41.0398470321526, 28.971608639752045</t>
  </si>
  <si>
    <t>İstanbul Geneli Geometrik Düzenleme, Yaya Yürüyüş Yolları Ve Parke Taşı İşleri (111 Mahal)</t>
  </si>
  <si>
    <t>41.02869690603243, 28.932231697423845</t>
  </si>
  <si>
    <t>İstanbul Geneli Ges Projeleri (112 Mahal)</t>
  </si>
  <si>
    <t>İstanbul Geneli İstanbul Kitapçısı Projeleri (22 Mahal)</t>
  </si>
  <si>
    <t>BOĞAZİÇİ YÖNETİM A.Ş.</t>
  </si>
  <si>
    <t>İstanbul Geneli Şehir Tuvaletleri Projesi (212 Mahal)</t>
  </si>
  <si>
    <t>WC</t>
  </si>
  <si>
    <t>İstanbul Geneli Tretuvar Yapım İşi (205 Mahal)</t>
  </si>
  <si>
    <t>İSTON Muhtelif Yapım İşleri (67 Mahal)</t>
  </si>
  <si>
    <t>Fikirtepe Vartaş-1 Kentsel Dönüşüm Projesi</t>
  </si>
  <si>
    <t>40.99182355542217, 29.062304313081704</t>
  </si>
  <si>
    <t>Kadıköy İlçesi Yoğurtçu Parkı</t>
  </si>
  <si>
    <t>40.985524452313605, 29.033726585784123</t>
  </si>
  <si>
    <t>Moda İskelesi Vapur Kafe</t>
  </si>
  <si>
    <t>40.979760, 29.024686</t>
  </si>
  <si>
    <t>İstanbul Geneli 1. Kısım Yeşil Alanlarının Onarımı Ve Yapım İşi - Şehit Kadir Yıldırım Parkı</t>
  </si>
  <si>
    <t>60.000 m² toplam alan, 51.000 m² yeşil alan, 4174 m² Sert Zemin, 4129 m² Bisiklet Yolu, 400 m² saha, 452 m² Fitness Alanı, 825 m² Çocuk Oyun Alanı, 617 adet ağaç</t>
  </si>
  <si>
    <t>40.965380, 29.065199</t>
  </si>
  <si>
    <t>Özden Apartmanı Kentsel Dönüşüm Projesi</t>
  </si>
  <si>
    <t>40.99009652165734, 29.061651584656826</t>
  </si>
  <si>
    <t>Tarihi Kadıköy İskelesi Vapur Kafe</t>
  </si>
  <si>
    <t>40.9917951530378, 29.022334883649535</t>
  </si>
  <si>
    <t>Bostancı Çamaşırcıdere Yaşam Vadisi 2. Etap Peyzaj Ve Çevre Düzenleme İşi</t>
  </si>
  <si>
    <t>110.000 m2 Toplam Alan, 33.243,71 m² Çim alan, 1257 Adet ağaç, 60.832 Adet çalı, 2 Adet çocuk oyun alanı, Fitness alanı, 2 Adet Basket Sahası, 252 m² Çelik Konstrüksiyon Kaktüs Evi, 3100 m2 bisiklet yolu, 1800 m2 yürüyüş yolu</t>
  </si>
  <si>
    <t>40.953837, 29.094502</t>
  </si>
  <si>
    <t>Nurcan Apartmanı Kentsel Dönüşüm Projesi</t>
  </si>
  <si>
    <t>40.981471, 29.061837</t>
  </si>
  <si>
    <t>İstanbul Geneli 2. Kısım Yeşil Alanlarının Onarımı Ve Yapım İşi - Sadabad Mesire Alanı</t>
  </si>
  <si>
    <t>20.000 m² toplam imalat alanı, 13.000 m² yeşil alan, 775 m² Sert Zemin, 554 m² Yürüyüş Yolu, 60 ağaç, 5000 Çalı</t>
  </si>
  <si>
    <t>41.081645213882176, 28.97335911433917</t>
  </si>
  <si>
    <t>İstanbul Geneli 1. Kısım Yeşil Alanlarının Onarımı Ve Yapım İşi - Adnan Kahveci Parkı</t>
  </si>
  <si>
    <t>19.000 m² toplam alan, 13.000 m² yeşil alan, 1766 m² Sert Zemin, 830 m² Yürüyüş Yolu, 92 m² Fitness Alanı, 241 m² Çocuk Oyun Alanı, 218 adet ağaç, 2079 Çalı</t>
  </si>
  <si>
    <t>40.938331785085005, 29.21849231248326</t>
  </si>
  <si>
    <t>İstanbul Geneli 3. Kısım Yeşil Alanlarının Onarımı Ve Yapım İşi - Küçükçekmece Kanarya Göl Parkı</t>
  </si>
  <si>
    <t>3.500 m² toplam imalat alanı, 2993 m² yeşil alan, 686 m² Yürüyüş Yolu, 10 ağaç, 2000 Çalı</t>
  </si>
  <si>
    <t>41.00357624181082, 28.770326631470226</t>
  </si>
  <si>
    <t>Maltepe Kız Öğrenci Yurdu</t>
  </si>
  <si>
    <t>40.91203926904426, 29.153589901850566</t>
  </si>
  <si>
    <t>Maltepe Sahil Parkı 2.Etap Yapım İşi</t>
  </si>
  <si>
    <t>40.92352917661512, 29.124571303256882</t>
  </si>
  <si>
    <t>Yeşilce Aydos Sosyal Konut Projesi</t>
  </si>
  <si>
    <t>40.91049844253916, 29.24921091248245</t>
  </si>
  <si>
    <t>Arkatlı Evler Kaynak Geliştirme Projesi (Etap Teslimi)</t>
  </si>
  <si>
    <t>Temeli yeni yönetim tarafından atılmıştır. Etaplar halinde teslimine başlanmış olup devam inşaatı devam eden etapları bulunmaktadır.</t>
  </si>
  <si>
    <t>40.86623100215032, 29.274924043167193</t>
  </si>
  <si>
    <t>Tarabya Şebeke Şefliği</t>
  </si>
  <si>
    <t>Büyükdere Fidanlığı içinde yer alan İGDAŞ Tarabya Şebeke Şefliğimizin mimari çalışmaları tamamlanmış olmakla birlikte, Fidanlık içinde yer almasından dolayı çevre düzenlemesi için İBB yetkililerimizin çalışmalarının sürmesi dolayısıyla daha önce verilen 2 Temmuz açılış tarihi daha ileri bir tarihe ertelendi. Yeni açılış tarihi henüz netleşmedi.</t>
  </si>
  <si>
    <t>41.14196600738952, 29.02920952413289</t>
  </si>
  <si>
    <t>Silivri 3.Etap Sosyal Konut Projesi</t>
  </si>
  <si>
    <t>41.1098211302235, 28.256673281803387</t>
  </si>
  <si>
    <t>Silivri 4. Etap Kreş</t>
  </si>
  <si>
    <t>41.08643908863066, 28.193372881802453</t>
  </si>
  <si>
    <t>Silivri 4. Etap Sosyal Konut Projesi</t>
  </si>
  <si>
    <t>Yeni yönetim tarafından temeli atılan ilk sosyal konut projesidir.</t>
  </si>
  <si>
    <t>Silivri Söğütlü Park</t>
  </si>
  <si>
    <t>41.085050605500776, 28.18927779714554</t>
  </si>
  <si>
    <t>Seymen Enerji Üretim Tesisi Kapasite Artışı</t>
  </si>
  <si>
    <t>41.21956788299686, 28.15536636989609</t>
  </si>
  <si>
    <t>İstanbul Geneli 1. Kısım Yeşil Alanlarının Onarımı Ve Yapım İşi - Şekerpınar Çamlıca Gişeler Arası Orta Refüj</t>
  </si>
  <si>
    <t>19000 m2&amp;#39;lik yeşil alanda 139.000 Çalı, 50.000 Yer örtücü,343 Ağaç
imalatı yapılmıştır.</t>
  </si>
  <si>
    <t>40.970143515839084, 29.253876253460497</t>
  </si>
  <si>
    <t>Sultangazi Alibey Baraj Üstü Parkı Og Hattı Projesi</t>
  </si>
  <si>
    <t>41.101837110226555, 28.916933239208714</t>
  </si>
  <si>
    <t>İlk Gaz Verme Projeleri</t>
  </si>
  <si>
    <t>İGDAŞ’ın 5 yıl içinde kamu görevi bilinciyle yürüttüğü alt yapı yatırımları, İstanbul sınırları içinde yer yer şehrin göbeğinde olduğu halde on yıllardır doğal gaz bekleyen birçok mahalle ve sokağın da bu temel ihtiyaca kavuşmasını sağladı. Özetle ilk kez gaz verilen mahalleler arasında en büyük çalışmalar özetle şöyle gerçekleşti:
• Sultangazi ilçesinin 16 yıldır doğal gaz bekleyen 3 mahallesi; Zübeyde Hanım, Cebeci ve Habipler mahalleleri, ilk kez doğal gaza kavuşturuldu. 
ü Zübeyde Hanım Mahallesi’nde toplamda 68 cadde ve sokak; 
ü Cebeci Mahallesi’nde toplamda 12 cadde ve sokak, 
ü Habibler Mahallesi’nde toplamda 43 cadde ve sokağa, 
ilk kez doğal gaz verildi. 
• Çatalca ilçesinin, “yatırımın ekonomik olarak değerlendirilmemesi” ve karayolu ve orman izinleri sorunları dolayısıyla çözüm 16 ila 18 yıldır doğal gaz bekleyen 5 mahallesine daha kamu yararı gözetilerek çözüm yolu üretildi ve hazırlanan yatırım projeleriyle doğal gaz verilmesi sağlandı.
ü 16 yıldır doğal gaz bekleyen Örcünlü Mahallesi’nde toplamda 20 cadde ve sokağa; 
ü 17 yıldır doğal gaz bekleyen Yalıköy Mahallesi’ne toplamda 70 cadde ve sokağa; 
ü 17 yıldır doğal gaz bekleyen Kızılcaali Mahallesi’nde toplamda 12 cadde ve sokağa; 
ü 18 yıldır doğal gaz bekleyen Yaylacık Mahallesi’nde toplamda 4 cadde ve sokağa doğal gaz verildi.
ü 18 yıldır doğal gaz bekleyen Gümüşpınar Mahallesi’nde toplamda 26 cadde ve sokağa doğal gaz verildi.
ü 18 yıldır doğal gaz bekleyen Karamandere Mahallesi’nde toplamda 14 cadde ve sokağa doğal gaz verildi.
• Benzer şekilde Eyüpsultan ilçesinin de Ağaçlı Mahallesi’nin karayolu ve orman izinleri sorunu uzun yıllar sonra doğal gaza kavuşturduk. Mahallede toplamda 11 cadde ve sokağa doğal gaz verildi.</t>
  </si>
  <si>
    <t>41.08700154033369, 28.872267054776422</t>
  </si>
  <si>
    <t>Şişli Erkek Öğrenci Yurdu</t>
  </si>
  <si>
    <t>41.06972883441496, 28.988479731255634</t>
  </si>
  <si>
    <t>Meydan Evler Sosyal Konut Projesi</t>
  </si>
  <si>
    <t>40.838488442940154, 29.36873211405774</t>
  </si>
  <si>
    <t>Aydınlıkevler Kreş</t>
  </si>
  <si>
    <t>40.88270241410361, 29.338000141047477</t>
  </si>
  <si>
    <t>Aydınlıkevler Sosyal Konut Projesi</t>
  </si>
  <si>
    <t>Ümraniye Erkek Öğrenci Yurdu</t>
  </si>
  <si>
    <t>40.999646230554944, 29.14666315346879</t>
  </si>
  <si>
    <t>Kuzguncuk İskelesi Vapur Kafe</t>
  </si>
  <si>
    <t>41.03693497234801, 29.029823423864762</t>
  </si>
  <si>
    <t>İskele Restorasyonu</t>
  </si>
  <si>
    <t>Ünalan Uygulamalı Eğitim Sahası</t>
  </si>
  <si>
    <t>İGDAŞ Ünalan İkmal Sahası içinde toplam 650 metrekarelik alanda kurulan İGDAŞ Ünalan Uygulamalı Eğitim Sahası, 2022 yılında kısa sürede tamamlanarak, hizmete alındı. Sahanın ilk öğrencileri, işe yeni başlayan 20 tekniker ve teknisyen oldu. İGDAŞ’ta işe yeni başlayan personelin oryantasyon süreci başta olmak üzere, mesleki eğitim veren liselilerin de yararlandığı saha, doğal gaz sektörünün ilk ve tek Uygulamalı Eğitim Sahası olarak kullanılıyor. Doğal gaz dağıtımı için gerçeğine uygun yeraltı ve yer üstü altyapı ve üstyapı ekipmanlarının bulunduğu alanda ayrıca eğitim sınıflarında da dersler yapılabiliyor. Saha içinde vana odası, bölge regülatörü istasyonu gibi büyük işletme ekipmanları ile servis kutuları, ana hat tipleri ve polietilen tüm bağlantı türlerinin yer aldığı tranşeler bulunuyor.</t>
  </si>
  <si>
    <t>41.00101953578716, 29.06103225454608</t>
  </si>
  <si>
    <t>Haliç 2. Etap Yapım, Onarım Ve Tadilat İşi - Acıbadem Yamaç Ve E5 Burhaniye – 15 Temmuz Korusu Arası Refüj</t>
  </si>
  <si>
    <t>iki alanda toplam 10.000m2'lik yeşil alan imalatı yapılmıştır.</t>
  </si>
  <si>
    <t>41.036770, 29.044656</t>
  </si>
  <si>
    <t>Küçükçekmece Gölü Sahil Parkı Ve Uskumruköy Parkı Yapım, Onarım Ve Tadilat İşi - Nakkaştepe Yamaç</t>
  </si>
  <si>
    <t>10500 m2'lik yeşil alan imalatı yapılmıştır.</t>
  </si>
  <si>
    <t>41.00353583207703, 28.770026239471004</t>
  </si>
  <si>
    <t>Locamahal Kentsel Dönüşüm Projesi</t>
  </si>
  <si>
    <t>40.99018654525559, 28.89412376803957</t>
  </si>
  <si>
    <t>İstanbul Geneli 2. Kısım Yeşil Alanlarının Onarımı Ve Yapım İşi - Çırpıcı Parkı</t>
  </si>
  <si>
    <t>30.000 m² toplam imalat alanı, 20.000 m² yeşil alan, 6400 m² Sert Zemin, 300 m² Yürüyüş Yolu, 381 ağaç, 15.000 Gül</t>
  </si>
  <si>
    <t>40.99984742345725, 28.888111402417668</t>
  </si>
  <si>
    <t>Adalar İlçesi Büyükada Nizam Camii</t>
  </si>
  <si>
    <t>40.8638450, 29.1165342</t>
  </si>
  <si>
    <t>6e2ffdf1-abd5-eb11-b87b-005056b0336f</t>
  </si>
  <si>
    <t>Adalar İlçesi Büyükada Nizam Camii Projesi</t>
  </si>
  <si>
    <t>Arnavutköy Hasan Tahsin İmam Hatip Ortaokulu Spor Salonu</t>
  </si>
  <si>
    <t>41.2157360, 28.7069571</t>
  </si>
  <si>
    <t>6e760301-f75d-e611-80dc-005056a5354a</t>
  </si>
  <si>
    <t>İstanbul Geneli Okul Bahçelerine 2_Grup Spor Salonu İnşaatı</t>
  </si>
  <si>
    <t>Boğazköy Cemevi Bakım Onarım</t>
  </si>
  <si>
    <t>41.1810987, 28.7730938</t>
  </si>
  <si>
    <t>Karlıbayır Cemevi Bakım Onarım</t>
  </si>
  <si>
    <t>41.1781472, 28.7138677</t>
  </si>
  <si>
    <t>Arnavutköy Boğazköy Kapalı Yüzme Havuzu</t>
  </si>
  <si>
    <t>41.1899073, 28.7283661</t>
  </si>
  <si>
    <t>Arnavutköy Boğazköy Yaşam Merkezi Otoparkı</t>
  </si>
  <si>
    <t>41.1771997, 28.7431088</t>
  </si>
  <si>
    <t>Arnavutköy Ahmet İSVAN Halk Ekmek Fabrikası</t>
  </si>
  <si>
    <t>41.1427521, 28.6277930</t>
  </si>
  <si>
    <t>Arnavutköy Boğazköy Cemil Meriç Kütüphanesi (Kütüphane kısmı Kültür Varlıkları Dairesi Başkanlığı tarafından yapıldı)</t>
  </si>
  <si>
    <t>41.1868055, 28.7640839</t>
  </si>
  <si>
    <t>Arnavutköy Yaşam Merkezi</t>
  </si>
  <si>
    <t>41.1899866, 28.7278398</t>
  </si>
  <si>
    <t>Arnavutköy Yaşam Merkezi İçerisinde Kreş</t>
  </si>
  <si>
    <t>Arnavutköy Hadımköy Çocuk Etkinlik Merkezi (ÇEM)</t>
  </si>
  <si>
    <t>41.1446422, 28.6273476</t>
  </si>
  <si>
    <t>Bisküvi Üretim Binası ve Glutensiz Üretim Binası (Halk Ekmek Fabrikası 2. Etap İnşaatı)</t>
  </si>
  <si>
    <t>Karaburun Durusu Jandarma Karargah Komutanlığı Hizmet Binası Güçlendirme, Altyapı ve Çevre Düzenlemesi</t>
  </si>
  <si>
    <t>41.303184, 28.676914</t>
  </si>
  <si>
    <t>Ataşehir İçerenköy Mahallesi Camii</t>
  </si>
  <si>
    <t>40.968644, 29.116217</t>
  </si>
  <si>
    <t>Ataşehir İlçesi, Mustafa Kemal Mah. 3075 Sk. No:22 Adresindeki "Mustafa Kemal Cemevi"nin Bakım ve Onarımı</t>
  </si>
  <si>
    <t>41.0037048, 29.0964986</t>
  </si>
  <si>
    <t>Ataşehir İbrahim Müteferrika Teknik Meslek Lisesi Spor Salonu</t>
  </si>
  <si>
    <t>40.9905435, 29.1582377</t>
  </si>
  <si>
    <t>Ataşehir İlçesi Deniz Gezmiş Deprem Parkı Bakım Onarım İşi</t>
  </si>
  <si>
    <t>40.9995710, 29.0947700</t>
  </si>
  <si>
    <t>Ataşehir İlçesi Halil Atamavcı İlkokulu İstinat Duvarı İşi</t>
  </si>
  <si>
    <t>40.9680258, 29.1085766</t>
  </si>
  <si>
    <t>Ataşehir Esatpaşa Emine Saadet Çarmıklı Çocuk Etkinlik Merkezi (ÇEM)</t>
  </si>
  <si>
    <t>40.9986031, 29.0876085</t>
  </si>
  <si>
    <t>Ataşehir Kayışdağı Çocuk Etkinlik Merkezi (ÇEM)</t>
  </si>
  <si>
    <t>40.979153, 29.146800</t>
  </si>
  <si>
    <t>Barbaros Mahallesi İBB Kadın</t>
  </si>
  <si>
    <t>40.992241, 29.094786</t>
  </si>
  <si>
    <t>Kadın Koordinasyon Merkezi</t>
  </si>
  <si>
    <t>Ataşehir Barbaros Çocuk Etkinlik Merkezi (ÇEM)</t>
  </si>
  <si>
    <t>40.989201, 29.100085</t>
  </si>
  <si>
    <t>Kayışdağı Girişimcilik ve Teknoloji Merkezi 1. Etap</t>
  </si>
  <si>
    <t>41.0058247, 29.0770152</t>
  </si>
  <si>
    <t>Avcılar Mustafa Kemalpaşa Ortaokulu Spor Salonu</t>
  </si>
  <si>
    <t>40.99579902882579, 28.71151055320736</t>
  </si>
  <si>
    <t>Er Mahmut Dede Cemevi Bakım Onarım</t>
  </si>
  <si>
    <t>41.0437275, 28.6952562</t>
  </si>
  <si>
    <t>Ispartakule- Hadımköy Arası Yol, TCDD Üstgeçit ve Bağlantı Yolları</t>
  </si>
  <si>
    <t>41.0601457508394, 28.69947623183639</t>
  </si>
  <si>
    <t>Avcılar Ambarlı Çocuk Etkinlik Merkezi (ÇEM)</t>
  </si>
  <si>
    <t>40.9744000, 28.7130600</t>
  </si>
  <si>
    <t>Avcılar İlçesi, Marmara Caddesi ve Çevresi Düzenleme</t>
  </si>
  <si>
    <t>40.9792793, 28.7215093</t>
  </si>
  <si>
    <t>Beylikdüzü İlçesi Ambarlı-Liman Caddesi Arası Yol, Kavşak ve Altyapı İnşaatı</t>
  </si>
  <si>
    <t>40.99235412 , 28.68365049</t>
  </si>
  <si>
    <t>Küçükçekmece-Avcılar İlçeleri Gümüşpala Mevkii D-100 Kuzey Yan Yolu D-100 Katılımı Düzenleme İnşaatı</t>
  </si>
  <si>
    <t>40.989189, 28.712061</t>
  </si>
  <si>
    <t>Avcılar Gümüşpala Mah. İstinat Duvarı İnşaatı</t>
  </si>
  <si>
    <t>40.9802772, 28.7376544</t>
  </si>
  <si>
    <t>Şükrübey Metrobüs Durağı YÜG Yeniden Yapım</t>
  </si>
  <si>
    <t>40.9802205, 28.7315924</t>
  </si>
  <si>
    <t>Avcılar Marmara Caddesi Bağlantı Yolları Düzenleme</t>
  </si>
  <si>
    <t>Avcılar Petrol Ofisi Caddesi Yol ve Altyapı İnşaatı</t>
  </si>
  <si>
    <t>40.9833421, 28.6985271</t>
  </si>
  <si>
    <t>Avcılar Tahtakale Özgürlük Naime Toprak Çocuk Etkinlik Merkezi (ÇEM)</t>
  </si>
  <si>
    <t>41.080630874362456, 28.70867584271645</t>
  </si>
  <si>
    <t>Bağcılar Çolakoğlu Sokak Zeminaltı Otoparkı</t>
  </si>
  <si>
    <t>41.0324382, 28.8345052</t>
  </si>
  <si>
    <t>Bağcılar Anafartalar İlköğretim Okulu Spor Salonu</t>
  </si>
  <si>
    <t>41.0265132, 28.8236273</t>
  </si>
  <si>
    <t>Bağcılar Ebubekir Parkı Zeminaltı Otoparkı</t>
  </si>
  <si>
    <t>41.034897, 28.867841</t>
  </si>
  <si>
    <t>Bağcılar Meydan Skatepark</t>
  </si>
  <si>
    <t>41.0349277, 28.8561136</t>
  </si>
  <si>
    <t>Bağcılar Meydan Zeminaltı Otoparkı</t>
  </si>
  <si>
    <t>41.0324704, 28.8346257</t>
  </si>
  <si>
    <t>Bağcılar Meydanı</t>
  </si>
  <si>
    <t>41.0343175, 28.8568036</t>
  </si>
  <si>
    <t>Bağcılar Hürriyet Mahallesi Parkı</t>
  </si>
  <si>
    <t>41.0226170, 28.8313104</t>
  </si>
  <si>
    <t>Bağcılar, Hürriyet Mahallesi Yıldırım Beyazıt Caddesi ile Aydın Sokak Kesişimi Zeminaltı Otoparkı</t>
  </si>
  <si>
    <t>41.0290280, 28.8327246</t>
  </si>
  <si>
    <t>Kirazlı Mahallesi Çocuk Kütüphanesi</t>
  </si>
  <si>
    <t>41.033577, 28.867970</t>
  </si>
  <si>
    <t>Bağcılar Cüneyt Arkın Öğrenci Yurdu</t>
  </si>
  <si>
    <t>41.0420851, 28.8390895</t>
  </si>
  <si>
    <t>Bağcılar Cüneyt Arkın Öğrenci Yurdu Kütüphanesi</t>
  </si>
  <si>
    <t>Bağcılar Cüneyt Arkın Öğrenci Yurdu Zeminaltı Otoparkı</t>
  </si>
  <si>
    <t>41.0418347, 28.8390908</t>
  </si>
  <si>
    <t>Bağcılar Ebubekir Meydanı Sosyal Tesis</t>
  </si>
  <si>
    <t>41.033536, 28.869472</t>
  </si>
  <si>
    <t>Bağcılar Ebubekir Parkı Zemin Altı Otopark Üzeri Spor Sahası</t>
  </si>
  <si>
    <t>41.032573, 28.870888</t>
  </si>
  <si>
    <t>Cüneyt Arkın Öğrenci Yurdu İçerisinde Kreş</t>
  </si>
  <si>
    <t>Ebubekir Meydanı</t>
  </si>
  <si>
    <t>41.034135, 28.868893</t>
  </si>
  <si>
    <t>Bağcılar İlçesi, O-3 Güney Yan Yol - Mehmet Akif Bulvarı Arası Toprak Kayması Önleme İnşaatı</t>
  </si>
  <si>
    <t>41.056195, 28.850381</t>
  </si>
  <si>
    <t>Bağcılar Sosyal Yaşam Merkezi Engelli Rehabilitasyon Merkezi</t>
  </si>
  <si>
    <t>41.0322338, 28.8695704</t>
  </si>
  <si>
    <t>Bağcılar Sosyal Yaşam Merkezi Kreş</t>
  </si>
  <si>
    <t>41.042595, 28.855016</t>
  </si>
  <si>
    <t>Bahçelievler Devlet Hastanesi Yanı Katlı Otoparkı</t>
  </si>
  <si>
    <t>41.006542, 28.844159</t>
  </si>
  <si>
    <t>Bahçelievler Devlet Hastanesi Açık Otoparkında Kreş</t>
  </si>
  <si>
    <t>41.006995, 28.844845</t>
  </si>
  <si>
    <t>Bahçelievler İlçesi, Ünverdi Köprüsü Söküm İşi</t>
  </si>
  <si>
    <t>41.0029839, 28.8652959</t>
  </si>
  <si>
    <t>Bahçelievler, Kocasinan Dört Halife Camii</t>
  </si>
  <si>
    <t>41.0182823, 28.8420262</t>
  </si>
  <si>
    <t>Bahçelievler, Zafer Mahallesi Eğitim Tesisi</t>
  </si>
  <si>
    <t>41.003683, 28.834703</t>
  </si>
  <si>
    <t>Bahçelievler, Zafer Mahallesi Eğitim Tesisi Zeminaltı Otoparkı</t>
  </si>
  <si>
    <t>Bahçelievler,Cumhuriyet Mahallesi Kıbrıs Caddesi Zeminaltı Otoparkı</t>
  </si>
  <si>
    <t>41.0152639, 28.8581677</t>
  </si>
  <si>
    <t>Bahçelievler Zafer Çocuk Etkinlik Merkezi (ÇEM)</t>
  </si>
  <si>
    <t>Bahçelievler Yenibosna Merkez Çocuk Etkinlik Merkezi (ÇEM)</t>
  </si>
  <si>
    <t>41.016919, 28.819074</t>
  </si>
  <si>
    <t>Sadettin Tantan Meydanı</t>
  </si>
  <si>
    <t>40.992343, 28.845423</t>
  </si>
  <si>
    <t>Yenibosna Katı Atık Aktarma Merkezi Tesis Binası Onarımı</t>
  </si>
  <si>
    <t>40.997196, 28.823956</t>
  </si>
  <si>
    <t>Bakırköy Sadi Konuk Devlet Hastanesi Önü Yaya Üst Geçidine Yürüyen Merdiven Yapılması</t>
  </si>
  <si>
    <t>40.9949209, 28.8638905</t>
  </si>
  <si>
    <t>Bakırköy Murat Kölük İlkokulu Spor Salonu</t>
  </si>
  <si>
    <t>40.9850112, 28.7880128</t>
  </si>
  <si>
    <t>Bakırköy Atatürk Spor ve Yaşam Köyü Bakım Onarımı</t>
  </si>
  <si>
    <t>40.9976068, 28.8822229</t>
  </si>
  <si>
    <t>Basınköy Mahallesi 275 Ada, 27 Parselde Kreş</t>
  </si>
  <si>
    <t>40.979665, 28.783424</t>
  </si>
  <si>
    <t>Florya Engelliler Kampı Rehabilitasyon Merkezi</t>
  </si>
  <si>
    <t>40.9619160, 28.8127651</t>
  </si>
  <si>
    <t>Florya Engelliler Yaz Kampı Otoparkı</t>
  </si>
  <si>
    <t>40.9625232, 28.8134080</t>
  </si>
  <si>
    <t>Bakırköy Ataköy 7.8.9.10.Kısım Çocuk Etkinlik Merkezi (ÇEM)</t>
  </si>
  <si>
    <t>40.9903502, 28.8361866</t>
  </si>
  <si>
    <t>Ayamama Yaşam Vadisi Çevre Düzenleme İnşaatı</t>
  </si>
  <si>
    <t>40.9815615, 28.8410391</t>
  </si>
  <si>
    <t>Yeşilyurt Eski Hava Alanı Cad., Havuzlu Kavşak ile MSB Hava Lojmanları Yanındaki Mevcut YÜG EEUHG</t>
  </si>
  <si>
    <t>40.968392, 28.835748</t>
  </si>
  <si>
    <t>Bakırköy Cumhuriyet (Özgürlük) Meydanı ve Çevre Yolları Düzenleme</t>
  </si>
  <si>
    <t>40.981258, 28.872903</t>
  </si>
  <si>
    <t>Baruthane Millet Bahçesi Önü YÜG Yapım</t>
  </si>
  <si>
    <t>40.976327, 28.859466</t>
  </si>
  <si>
    <t>Belediye Hekimi Sokak Çevre Düzenlemesi</t>
  </si>
  <si>
    <t>40.980936, 28.874334</t>
  </si>
  <si>
    <t>Florya Engelliler Yaz Kampı Kreş</t>
  </si>
  <si>
    <t>40.963260, 28.812002</t>
  </si>
  <si>
    <t>Gençler Caddesi Çevre Düzenlemesi</t>
  </si>
  <si>
    <t>40.980637, 28.870158</t>
  </si>
  <si>
    <t>General Şükrü Kanatlı Caddesi Çevre Düzenlemesi</t>
  </si>
  <si>
    <t>40.981747, 28.876052</t>
  </si>
  <si>
    <t>Mektupçu Sokak Çevre Düzenlemesi</t>
  </si>
  <si>
    <t>40.981720, 28.874797</t>
  </si>
  <si>
    <t>Başakşehir Kayabaşı Engelliler Merkezi Yüzme Havuzu</t>
  </si>
  <si>
    <t>41.107014, 28.769483</t>
  </si>
  <si>
    <t>Başakşehir Kayabaşı Mahallesi ÖZGEM Otoparkı</t>
  </si>
  <si>
    <t>41.105754, 28.768639</t>
  </si>
  <si>
    <t>Başakşehir Kayabaşı ÖZGEM</t>
  </si>
  <si>
    <t>İkitelli 1 Mahallesi, 1270 Ada, 4 Parsel Yanı Kreş</t>
  </si>
  <si>
    <t>41.105374, 28.768218</t>
  </si>
  <si>
    <t>Başakşehir Kayabaşı Çocuk Etkinlik Merkezi (ÇEM)</t>
  </si>
  <si>
    <t>Başakşehir Bahçeşehir İMKB Mesleki ve Teknik Anadolu Lisesi Spor Salonu</t>
  </si>
  <si>
    <t>41.0806551, 28.6628528</t>
  </si>
  <si>
    <t>Başakşehir Borsa İstanbul Mesleki Teknik Anadolu Lisesi Spor Salonu</t>
  </si>
  <si>
    <t>Başakşehir Katı Atık İstasyonu</t>
  </si>
  <si>
    <t>41.1463155, 28.7787348</t>
  </si>
  <si>
    <t>Şahintepe Veli Baba Cemevi Bakım Onarım</t>
  </si>
  <si>
    <t>41.0695692, 28.7298272</t>
  </si>
  <si>
    <t>Başakşehir İlçesi Ispartakule Mevkii TCDD Hattı Karayolu Üst Geçidi İşi İnşaatı</t>
  </si>
  <si>
    <t>41.076047, 28.686517</t>
  </si>
  <si>
    <t>Başakşehir Bahçeşehir 1.Kısım Çocuk Etkinlik Merkezi (ÇEM)</t>
  </si>
  <si>
    <t>41.0680006, 28.6959000</t>
  </si>
  <si>
    <t>Başakşehir TOKİ Osmangazi İlkokulu Spor Salonu</t>
  </si>
  <si>
    <t>41.1337432, 28.7884715</t>
  </si>
  <si>
    <t>Masko Sitesi Önü İstinat Duvarı Yeniden Yapım</t>
  </si>
  <si>
    <t>41.0665251, 28.7866183</t>
  </si>
  <si>
    <t>Bayrampaşa Belediye Başkanlığı Yanı Zeminaltı Otoparkı</t>
  </si>
  <si>
    <t>41.0413975, 28.8969775</t>
  </si>
  <si>
    <t>Bayrampaşa Şehit Büyükelçi İsmail Erez Mesleki ve Teknik Anadolu Lisesi Spor Salonu</t>
  </si>
  <si>
    <t>41.0707636, 28.8869459</t>
  </si>
  <si>
    <t>Bayrampaşa Bölgesel İstihdam Ofisi</t>
  </si>
  <si>
    <t>41.0455554, 28.9027745</t>
  </si>
  <si>
    <t>Bayrampaşa Enstitü İstanbul İsmek Sanat ve Meslek Eğitim Merkezi</t>
  </si>
  <si>
    <t>41.046091, 28.902548</t>
  </si>
  <si>
    <t>Bayrampaşa Murat Mahallesi Kapalı Yüzme Havuzu Zeminaltı Otoparkı</t>
  </si>
  <si>
    <t>41.056691, 28.897521</t>
  </si>
  <si>
    <t>Bayrampaşa, Murat Mahallesi Kapalı Yüzme Havuzu</t>
  </si>
  <si>
    <t>Bayrampaşa İsmetpaşa Çocuk Etkinlik Merkezi (ÇEM)</t>
  </si>
  <si>
    <t>41.0417178, 28.9079065</t>
  </si>
  <si>
    <t>Sağmalcılar Mahalle Evi</t>
  </si>
  <si>
    <t>41.0394864, 28.9046889</t>
  </si>
  <si>
    <t>İBB Suat Derviş Kütüphanesi (Kütüphane kısmı Kültür Varlıkları Dairesi Başkanlığı tarafından yapıldı)</t>
  </si>
  <si>
    <t>41.0463736, 28.9021206</t>
  </si>
  <si>
    <t>Bayrampaşa Yıldırım Çocuk Etkinlik Merkezi (ÇEM)</t>
  </si>
  <si>
    <t>41.066588, 28.891065</t>
  </si>
  <si>
    <t>Bayrampaşa Kartaltepe Meydanı</t>
  </si>
  <si>
    <t>41.0556959, 28.8967649</t>
  </si>
  <si>
    <t>Bayrampaşa Pazar Caddesi 26. Sokak Zeminaltı Otoparkı</t>
  </si>
  <si>
    <t>41.0540028, 28.8950605</t>
  </si>
  <si>
    <t>Bayrampaşa Şehit Kamil Balkan Camii</t>
  </si>
  <si>
    <t>41.0632181, 28.8961152</t>
  </si>
  <si>
    <t>Bebek Sahili Onarım ve Yenileme</t>
  </si>
  <si>
    <t>41.0802362, 29.0498479</t>
  </si>
  <si>
    <t>Bebek Sahili Türkan Saylan Parkı</t>
  </si>
  <si>
    <t>41.0731698, 29.0341187</t>
  </si>
  <si>
    <t>Bebek Su Sarnıcı Restorasyonu</t>
  </si>
  <si>
    <t>41.0787087, 29.0454471</t>
  </si>
  <si>
    <t>Çadır Köşkü Bakım Onarımı</t>
  </si>
  <si>
    <t>41.0476615, 29.0133019</t>
  </si>
  <si>
    <t>Beşiktaş Akaygen Sok. 1364 Ada 19 Parsel İstinat Duvarı İnşaatı</t>
  </si>
  <si>
    <t>41.0819013, 29.0463230</t>
  </si>
  <si>
    <t>Beşiktaş Barbaros Hayrettin Paşa Camii Etrafı Çevre Düzenleme</t>
  </si>
  <si>
    <t>41.078847, 29.013975</t>
  </si>
  <si>
    <t>Beşiktaş Dentur İskelesi Güçlendirme Ve Onarımı</t>
  </si>
  <si>
    <t>41.042074, 29.007874</t>
  </si>
  <si>
    <t>Kuruçeşme Parkı Sahili Onarım ve Güçlendirme</t>
  </si>
  <si>
    <t>41.0607261, 29.0373106</t>
  </si>
  <si>
    <t>Yıldız Teknik Üniversitesi Önü YÜG Yeniden Yapım</t>
  </si>
  <si>
    <t>41.05318251, 29.00955113</t>
  </si>
  <si>
    <t>Arnavutköy Sosyal Tesisleri Önü Güçlendirme ve Onarım İnşaatı</t>
  </si>
  <si>
    <t>41.0675019, 29.0447321</t>
  </si>
  <si>
    <t>Yuşa Tepesi Yolu Heyelan Önleme İnşaat</t>
  </si>
  <si>
    <t>41.161817, 29.085744</t>
  </si>
  <si>
    <t>Beykoz İlçesi, Zerzevatçı Mahallesi, Elmalı Yolu Caddesi Heyelan Önleme İnşaat</t>
  </si>
  <si>
    <t>41.135253, 29.163893</t>
  </si>
  <si>
    <t>Beykoz Alibahadır Mahallesi Heyelan Önleme İşi</t>
  </si>
  <si>
    <t>41.186157, 29.220861</t>
  </si>
  <si>
    <t>Beykoz Riva Yolu Üzeri İstinat Duvar İşi</t>
  </si>
  <si>
    <t>41.131974, 29.292636</t>
  </si>
  <si>
    <t>Beykoz Korusu Önü Sahil Yolu YÜG Kaldırılması ve Çevre Düzenlemesi Yapılması</t>
  </si>
  <si>
    <t>41.1323000, 29.1261000</t>
  </si>
  <si>
    <t>Poyrazköy Araç Üstgeçidinin Kaldırılması</t>
  </si>
  <si>
    <t>41.1905592, 29.1332009</t>
  </si>
  <si>
    <t>Beykoz Dereseki İstinat Duvarı</t>
  </si>
  <si>
    <t>41.1567072, 29.1486476</t>
  </si>
  <si>
    <t>Beykoz Elmalı Keser Caddesi İstinat Duvarı</t>
  </si>
  <si>
    <t>41.1415979, 29.1287572</t>
  </si>
  <si>
    <t>Onçeşmeler Meydanı Ve Yol Düzenleme İnşaatı</t>
  </si>
  <si>
    <t>41.1343744, 29.0925537</t>
  </si>
  <si>
    <t>Beylikdüzü İlçesi Aydın Örs Spor Salonu Mekanik İmalatlar Bakım Onarım Ve Ek İşler Yapılması</t>
  </si>
  <si>
    <t>40.9866142, 28.6478387</t>
  </si>
  <si>
    <t>Gürpınar Su Ürünleri Hali Denizden Su Alma Yapısı ve Su Soğutma Sisteminin Onarımı</t>
  </si>
  <si>
    <t>40.9673318, 28.5992460</t>
  </si>
  <si>
    <t>Büyükçekmece TÜYAP Metrobüs Durağı Yaya Üst Geçidi Tamamlama Yeni Yapım</t>
  </si>
  <si>
    <t>41.02298032 , 28.62398414</t>
  </si>
  <si>
    <t>Beylikdüzü Molla Gürani Camii Çok Amaçlı Salonu</t>
  </si>
  <si>
    <t>40.980258, 28.665984</t>
  </si>
  <si>
    <t>Beylikdüzü, Park ve Bahçeler Müdürlüğü Ek Hizmet Binası</t>
  </si>
  <si>
    <t>40.995934, 28.645617</t>
  </si>
  <si>
    <t>Kavaklı Deresi Park İçi 1 Adet Mescit 11 Adet Kioks Yapılması</t>
  </si>
  <si>
    <t>40.978999, 28.656168</t>
  </si>
  <si>
    <t>Mescit Yapımı</t>
  </si>
  <si>
    <t>Beylikdüzü Belediyesi Fen İşleri Müdürlüğü Prefabrik Hizmet Binaları</t>
  </si>
  <si>
    <t>41.010974, 28.649890</t>
  </si>
  <si>
    <t>Beylikdüzü İlçesi, İhlas Caddesi Yaya Üst Geçidinin Sökülmesi ve Yeniden Yapılması İşi</t>
  </si>
  <si>
    <t>40.981872, 28.671723</t>
  </si>
  <si>
    <t>Beylikdüzü Azem Yükseloğlu Anadolu İmam Hatip Lisesi Spor Salonu</t>
  </si>
  <si>
    <t>40.977442, 28.664561</t>
  </si>
  <si>
    <t>Beylikdüzü Mevlana Külliyesi (Müftülük) Tamamlama</t>
  </si>
  <si>
    <t>40.999339, 28.644495</t>
  </si>
  <si>
    <t>Beylikdüzü Yaşam Vadisi Yansıma Havuzu ve Kaykay Parkı</t>
  </si>
  <si>
    <t>41.0090113, 28.6352891</t>
  </si>
  <si>
    <t>Beylikdüzü Adnan Kahveci Kemal Şahin Çocuk Etkinlik Merkezi (ÇEM)</t>
  </si>
  <si>
    <t>40.999958, 28.628005</t>
  </si>
  <si>
    <t>Aşık Veysel Güzel Sanatlar Lisesi Çok Amaçlı Spor Salonu Tamamlama</t>
  </si>
  <si>
    <t>40.985255, 28.610012</t>
  </si>
  <si>
    <t>Beylikdüzü Adnan Kahveci Mahallesi Spor Tesisi</t>
  </si>
  <si>
    <t>40.9918733, 28.6173855</t>
  </si>
  <si>
    <t>Dereağzı Mahallesi Korukent Caddesi Yolu Üzerinde Depo Binası ve Çevre Düzenlemesi Yapılması</t>
  </si>
  <si>
    <t>40.9805770, 28.6172194</t>
  </si>
  <si>
    <t>Beykent Metrobüs (Kuzey) Asansör Yenileme İşi</t>
  </si>
  <si>
    <t>41.0163402, 28.6349597</t>
  </si>
  <si>
    <t>Beylikdüzü Fatih Sultan Mehmet Kültür Merkezi Otoparkı</t>
  </si>
  <si>
    <t>40.9868714, 28.6724840</t>
  </si>
  <si>
    <t>Fatih Sultan Mehmet Kültür Merkezi</t>
  </si>
  <si>
    <t>Fatih Sultan Mehmet Kültür Merkezi İçerisinde Kreş</t>
  </si>
  <si>
    <t>Fatih Sultan Mehmet Kültür Merkezi Kütüphanesi</t>
  </si>
  <si>
    <t>Güzelyurt Metrobüs (Güney) Asansör Yenileme İşi</t>
  </si>
  <si>
    <t>41.0065920, 28.6650574</t>
  </si>
  <si>
    <t>Haramidere Sanayi Peron Metrobüs (Güney) Asansör Yenileme İşi</t>
  </si>
  <si>
    <t>41.0035130, 28.6836653</t>
  </si>
  <si>
    <t>Haramidere U Dönüş Köprüsü Yaklaşım Duvarı Yeniden Yapım</t>
  </si>
  <si>
    <t>41.004233, 28.679286</t>
  </si>
  <si>
    <t>Beylikdüzü E5 Metrobüs Durağı Üzeri 100. Yıl Meydanı</t>
  </si>
  <si>
    <t>41.011781, 28.651014</t>
  </si>
  <si>
    <t>Beylikdüzü Vira Kavşağı</t>
  </si>
  <si>
    <t>40.985719, 28.647774</t>
  </si>
  <si>
    <t>Şişhane Meydanındaki Aydınlatma ve Süs Havuzu İmalatlarının Yapılması</t>
  </si>
  <si>
    <t>41.027152, 28.972362</t>
  </si>
  <si>
    <t>Beyoğlu İlçesi Kabataş Ticaret Meslek Lisesi Ve Hoca İshak Efendi İlköğretım Okulu Restorasyonu</t>
  </si>
  <si>
    <t>41.035609, 28.991861</t>
  </si>
  <si>
    <t>Beyoğlu Okçuluk Müzesi Yapım</t>
  </si>
  <si>
    <t>41.041455, 28.960130</t>
  </si>
  <si>
    <t>Beyoğlu Örnektepe Çocuk Etkinlik Merkezi (ÇEM)</t>
  </si>
  <si>
    <t>41.055010, 28.955010</t>
  </si>
  <si>
    <t>Beyoğlu Örnektepe Öğrenci Yurdu Zeminaltı Katlı Otoparkı</t>
  </si>
  <si>
    <t>Beyoğlu Örnektepe Yurdu</t>
  </si>
  <si>
    <t>Haliç Köprüsü Derz Tamir İşi</t>
  </si>
  <si>
    <t>41.045957, 28.942932</t>
  </si>
  <si>
    <t>Meşrutiyet Caddesi Düzenleme İnşaatı</t>
  </si>
  <si>
    <t>41.031202, 28.974140</t>
  </si>
  <si>
    <t>Halıcıoğlu Kavşağı E-5 Bağlantı Yolu İstinat Kuyu Temel Yapılması İşi</t>
  </si>
  <si>
    <t>41.047816, 28.942981</t>
  </si>
  <si>
    <t>PSAKD Beyoğlu Şubesi ve Cemevi Bakım Onarım</t>
  </si>
  <si>
    <t>41.05591739658418, 28.954384075711022</t>
  </si>
  <si>
    <t>Haliç Su Sporları Merkezi</t>
  </si>
  <si>
    <t>41.045519, 28.944976</t>
  </si>
  <si>
    <t>Beyoğlu Piyalepaşa Camii Önü Zeminaltı Otoparkı</t>
  </si>
  <si>
    <t>41.044812, 28.966291</t>
  </si>
  <si>
    <t>Beyoğlu Sururi Mah.Keramet Sokak</t>
  </si>
  <si>
    <t>41.036777, 28.972249</t>
  </si>
  <si>
    <t>Haliç Tersanesi Restorasyon Ve Güçlendirme</t>
  </si>
  <si>
    <t>41.029615, 28.968040</t>
  </si>
  <si>
    <t>Piyalepaşa Camii Önü Meydanı</t>
  </si>
  <si>
    <t>41.044095, 28.966139</t>
  </si>
  <si>
    <t>Kabataş Transfer Merkezi 1. Etap</t>
  </si>
  <si>
    <t>41.0339683465704, 28.992131099616792</t>
  </si>
  <si>
    <t>Transfer Merkezi</t>
  </si>
  <si>
    <t>Piyalepaşa Cad. İETT Kadınlar Çeşmesi Durağı YÜG EEUHG</t>
  </si>
  <si>
    <t>41.0452849, 28.9682457</t>
  </si>
  <si>
    <t>5a3cf936-6cc2-ed11-b8d1-005056b0106f</t>
  </si>
  <si>
    <t>Piyalepaşa Cad İETT Kadınlar Çeşmesi Durağı YÜG EEUHG</t>
  </si>
  <si>
    <t>Piyalepaşa Otobüs Durağı YÜG EEUHG (Piyalepaşa Bulv. Ağaç Köprü Sk- Derviş Gül Baba Sk Kesişimi)</t>
  </si>
  <si>
    <t>41.03923980104861, 28.967043138300514</t>
  </si>
  <si>
    <t>Büyükçekmece İlçesi Mimarsinan Devlet Hastanesi Önü YÜG Yeni Yapım</t>
  </si>
  <si>
    <t>41.0166784778595, 28.556053701281108</t>
  </si>
  <si>
    <t>Büyükçekmece, Tüyap Metrobüs Durağı Yanı Zeminaltı Otoparkı</t>
  </si>
  <si>
    <t>41.02545526635498, 28.62251414952514</t>
  </si>
  <si>
    <t>Alkent 2000 Mahallesi Hadımköy - İstanbul Caddesi - Yiğittürk Caddesi KesişimiYÜG Yeni Yapım</t>
  </si>
  <si>
    <t>Yiğittürk Caddesi bulunamamıştır.</t>
  </si>
  <si>
    <t>41.086551013210915, 28.629254837254862</t>
  </si>
  <si>
    <t>Büyükçekmece Rosvita Timur İmrağ Anadolu Meslek Lisesi</t>
  </si>
  <si>
    <t>41.01462191411759, 28.54124128739835</t>
  </si>
  <si>
    <t>Büyükçekmece Tepecik Çocuk Etkinlik Merkezi (ÇEM)</t>
  </si>
  <si>
    <t>41.03290633202197, 28.551945324451946</t>
  </si>
  <si>
    <t>Büyükçekmece- Beylikdüzü İlçesi Kordonboyu Otoparkı</t>
  </si>
  <si>
    <t>41.017033361121925, 28.589426172035243</t>
  </si>
  <si>
    <t>Büyükçekmece Beylikdüzü Kordonboyu Düzenleme</t>
  </si>
  <si>
    <t>Büyükçekmece Atatürk Çocuk Etkinlik Merkezi (ÇEM)</t>
  </si>
  <si>
    <t>41.01438367460119, 28.60459365415915</t>
  </si>
  <si>
    <t>Büyükçekmece D-100 Karayolu Üzeri Celaliye İETT Durağı YÜG Yeniden Yapım</t>
  </si>
  <si>
    <t>41.04414086834705, 28.413039250520534</t>
  </si>
  <si>
    <t>Büyükçekmece Pınartepe Çocuk Etkinlik Merkezi (ÇEM)</t>
  </si>
  <si>
    <t>40.99901013092119, 28.60456915532327</t>
  </si>
  <si>
    <t>D100 Karayolu Kordon Boyu Cad. (Atirus AVM Önü) YÜG Yeni Yapım</t>
  </si>
  <si>
    <t>41.02073357603673, 28.58249611362483</t>
  </si>
  <si>
    <t>D-100 Karayolu Üzeri Kamiloba İETT Durağı YÜG Yeniden Yapım</t>
  </si>
  <si>
    <t>41.0409804609569, 28.425204814244584</t>
  </si>
  <si>
    <t>Büyükçekmece İlçesi, Atirus İş Merkezi bağlantılı alt geçit ve merdivenlerin düzenlenmesi</t>
  </si>
  <si>
    <t>41.021912707741244, 28.584537987163174</t>
  </si>
  <si>
    <t>Çatalca Çok Programlı Lisesi Spor Salonu</t>
  </si>
  <si>
    <t>41.15127472183695, 28.461156802831155</t>
  </si>
  <si>
    <t>Çatalca İlçesi Çiftlikköy Futbol Sahası Tribün</t>
  </si>
  <si>
    <t>41.144767631152355, 28.46264822850418</t>
  </si>
  <si>
    <t>Tribün</t>
  </si>
  <si>
    <t>Çatalca Kaleiçi Çocuk Etkinlik Merkezi (ÇEM)</t>
  </si>
  <si>
    <t>41.22032669178919, 28.36737485416854</t>
  </si>
  <si>
    <t>Çekmeköy Hamidiye Mahallesi Kültür Merkezi</t>
  </si>
  <si>
    <t>41.02248867056312, 29.189667267139612</t>
  </si>
  <si>
    <t>Çekmeköy Hamidiye Mahallesi Kültür Merkezi Zeminaltı Otoparkı</t>
  </si>
  <si>
    <t>Sırapınar Köy Konağı</t>
  </si>
  <si>
    <t>41.10142779476092, 29.327537924814756</t>
  </si>
  <si>
    <t>Köy Evi</t>
  </si>
  <si>
    <t>Çekmeköy Metro İstasyonu Otoparkı</t>
  </si>
  <si>
    <t>41.0146415, 29.1888165</t>
  </si>
  <si>
    <t>Hacı Bektaşı Veli Derneği Çekmeköy Cemevi Bakım Onarım</t>
  </si>
  <si>
    <t>41.02581215721184, 29.18121529782228</t>
  </si>
  <si>
    <t>Sultançiftliği Nar Sokak YÜG EEUHG</t>
  </si>
  <si>
    <t>41.02411184777824, 29.222378646070858</t>
  </si>
  <si>
    <t>Şile Otobanı Plazalar Durağı EEUHG</t>
  </si>
  <si>
    <t>41.02350775 , 29.17779852</t>
  </si>
  <si>
    <t>8a6ff7c5-6a74-ec11-b89e-005056b0106f</t>
  </si>
  <si>
    <t>Çekmeköy, Narlıdere Sokak Plazalar Durağı Uzatma ve Yaya Üst Geçidinin Engelli Erişimine Uygun Hale Getirilmesi Projesi</t>
  </si>
  <si>
    <t>Çekmeköy Hamidiye Çocuk Etkinlik Merkezi (ÇEM)</t>
  </si>
  <si>
    <t>41.027703517774526, 29.186331757201664</t>
  </si>
  <si>
    <t>Çekmeköy İlçesi Nişantepe Mahallesi Mahalle Evi</t>
  </si>
  <si>
    <t>41.04228087492316, 29.258510224811406</t>
  </si>
  <si>
    <t>Çekmeköy Mehmet Akif Mahallesi İtfaiye Binası</t>
  </si>
  <si>
    <t>41.02142178329776, 29.180896626488337</t>
  </si>
  <si>
    <t>Esenler Katı Atık Aktarma İstasyonu</t>
  </si>
  <si>
    <t>41.06652493313552, 28.870221020008643</t>
  </si>
  <si>
    <t>Esenler Namık Kemal Melek Erman Köni Çocuk Etkinlik Merkezi (ÇEM)</t>
  </si>
  <si>
    <t>41.03261834647849, 28.895665948436857</t>
  </si>
  <si>
    <t>Esenler Havaalanı Mahallesi Zeminaltı Otoparkı</t>
  </si>
  <si>
    <t>41.053323585668586, 28.87873189372307</t>
  </si>
  <si>
    <t>Esenler Havaalanı Mahallesi Zeminüstü Parkı</t>
  </si>
  <si>
    <t>Esenler Yavuz Selim Çocuk Etkinlik Merkezi (ÇEM)</t>
  </si>
  <si>
    <t>41.039874373679986, 28.88433736544089</t>
  </si>
  <si>
    <t>Esenler Havaalanı Mahallesi Zeminaltı Otopark Üstü Sağlıklı Yaş Alma Merkezi ve Süt Dağıtım Merkezi</t>
  </si>
  <si>
    <t>41.05871084363101, 28.87096917195597</t>
  </si>
  <si>
    <t>Esenler İpekyolu Caddesi Tekstilkent Caddesi Kesişimi Yol ve Kavşak İnşaatı</t>
  </si>
  <si>
    <t>41.06712118915271, 28.8599559687928</t>
  </si>
  <si>
    <t>Yusuf Akdaş İlkokulu Çevre Duvarlarında Güvenlik Tedbiri Alınması</t>
  </si>
  <si>
    <t>41.01866148927191, 28.661514353645217</t>
  </si>
  <si>
    <t>Cem Vakfı Haramidere Şubesi ve Cemevi Bakım Onarım</t>
  </si>
  <si>
    <t>41.01530049117274, 28.660628538303964</t>
  </si>
  <si>
    <t>Erenler Cemevi - Erenler Eğitim ve Kültür Vakfı Bakım Onarım</t>
  </si>
  <si>
    <t>41.01804920562033, 28.695902067139397</t>
  </si>
  <si>
    <t>Esenyurt Belediye Altgeçidi ve Kıraç-Esenyurt Arası Yol Kavşak Tamamlama İnşaatı</t>
  </si>
  <si>
    <t>41.01995413069577, 28.68814105549261</t>
  </si>
  <si>
    <t>Güneş Cemevi Bakım Onarım</t>
  </si>
  <si>
    <t>41.01543465784655, 28.68967469782162</t>
  </si>
  <si>
    <t>Esenyurt Belediyesi Yanı Sosyal Tesis</t>
  </si>
  <si>
    <t>41.01982992351286, 28.687987893990343</t>
  </si>
  <si>
    <t>Esenyurt İsmail Hakkı Tonguç Kütüphanesi (Kütüphane kısmı Kültür Varlıkları Dairesi Başkanlığı tarafından yapıldı)</t>
  </si>
  <si>
    <t>41.03367082493106, 28.682938011316807</t>
  </si>
  <si>
    <t>Esenyurt Tıp Merkezi</t>
  </si>
  <si>
    <t>41.03367887308903, 28.682838982221693</t>
  </si>
  <si>
    <t>Esenyurt İlçesi Kıraç 1592.Sokak ile Alkop Caddesi Arası Yol, Kavşak ve Altyapı İnşaatı</t>
  </si>
  <si>
    <t>41.0724360519007, 28.640372326791866</t>
  </si>
  <si>
    <t>Esenyurt İlçesi, Avcılar-Haramidere Bağlantı Yolu Regnum-Solarkent Önü YÜG Yapım</t>
  </si>
  <si>
    <t>41.015867063968855, 28.678945445819682</t>
  </si>
  <si>
    <t>Esenyurt İstiklal Mezarlığı Heyelan Önleme İnşaatı</t>
  </si>
  <si>
    <t>41.07019370328269, 28.64433144221951</t>
  </si>
  <si>
    <t>Sultaniye Mahallesi Kreş</t>
  </si>
  <si>
    <t>41.03547598239966, 28.684829258071364</t>
  </si>
  <si>
    <t>Güzeltepe Mahallesi Alibeyköy Cep Otogarı Arası YÜG Yeni Yapım</t>
  </si>
  <si>
    <t>41.08336637010608, 28.948579293803135</t>
  </si>
  <si>
    <t>Biyometanizasyon Tesisi</t>
  </si>
  <si>
    <t>41.224919186129185, 28.81792115365731</t>
  </si>
  <si>
    <t>Eyüpsultan Şehit Furkan Doğan İmam Hatip Anadolu Lisesi Spor Salonu</t>
  </si>
  <si>
    <t>41.06911981265144, 28.918386738307166</t>
  </si>
  <si>
    <t>İBB Atık Yakma ve Enerji Üretim Tesisi</t>
  </si>
  <si>
    <t>41.22463766144914, 28.814777182492648</t>
  </si>
  <si>
    <t>Alibeyköy Evde Sağlık Ve İlaçlama Merkezi</t>
  </si>
  <si>
    <t>41.029893034683795, 28.92995641131657</t>
  </si>
  <si>
    <t>Eyüp Hasdal Katı Atık Aktarma İstasyonu</t>
  </si>
  <si>
    <t>41.13997770190727, 28.928368123977606</t>
  </si>
  <si>
    <t>Hasdal Katı Atık Aktarma İstasyonu Bağlantı Yolu 1. Etap İnşaatı</t>
  </si>
  <si>
    <t>41.140687709413235, 28.928803476784903</t>
  </si>
  <si>
    <t>Alibeyköy Lojistik Merkezi</t>
  </si>
  <si>
    <t>41.09238621453173, 28.921995354469047</t>
  </si>
  <si>
    <t>Yükleme İstasyonu</t>
  </si>
  <si>
    <t>Alibeyköy Lojistik Merkezi Otoparkı</t>
  </si>
  <si>
    <t>41.0846502, 28.9517576</t>
  </si>
  <si>
    <t>Alibeyköy Tramvay Hattı, Alibeyköy Merkez İstasyonu- Emniyettepe Arası Yaya Köprüsü İnşaatı</t>
  </si>
  <si>
    <t>41.07280303803952, 28.947899949527923</t>
  </si>
  <si>
    <t>Eyüpsultan Güzeltepe Çocuk Etkinlik Merkezi (ÇEM)</t>
  </si>
  <si>
    <t>41.081614729613705, 28.953357025326675</t>
  </si>
  <si>
    <t>Eyüpsultan İlçesi Tekke Parkı Sahil Bandı Onarım İnşaatı</t>
  </si>
  <si>
    <t>41.056403710601096, 28.941801716242534</t>
  </si>
  <si>
    <t>Eyüpsultan Karadolap Çocuk Etkinlik Merkezi (ÇEM)</t>
  </si>
  <si>
    <t>41.075304710843746, 28.92916798145915</t>
  </si>
  <si>
    <t>Hz. Abdullah El Ensari Türbesi Restorasyon Onarım ve Tadilatı</t>
  </si>
  <si>
    <t>41.03331842600714, 28.944347765995325</t>
  </si>
  <si>
    <t>Türbe Restorasyonu</t>
  </si>
  <si>
    <t>Recep Tayyip Erdoğan Anadolu İmamhatip Lisesi Çevre Duvarları Onarım ve Tadilatı</t>
  </si>
  <si>
    <t>41.030037625624296, 28.94624088145753</t>
  </si>
  <si>
    <t>Hüsam İbni Abdullah Türbesi Restorasyonu</t>
  </si>
  <si>
    <t>41.031777883686686, 28.940501467962033</t>
  </si>
  <si>
    <t>Davutpaşa Medresesi Avlu ve Çevre Düzenleme</t>
  </si>
  <si>
    <t>41.006866666885244, 28.93812067582937</t>
  </si>
  <si>
    <t>Medrese Restorasyonu</t>
  </si>
  <si>
    <t>Edirnekapı Metrobüs İstasyonu YÜG Yeni Yapım</t>
  </si>
  <si>
    <t>41.03356168767384, 28.929620796488994</t>
  </si>
  <si>
    <t>e37f9357-f945-e711-80f0-005056a5354a</t>
  </si>
  <si>
    <t>Edirnekapı Metrobüs İstasyonu Yaya Üst Geçit Projesi</t>
  </si>
  <si>
    <t>Edirnekapı Rum Ortodoks Mezarlığı Yıkılan Çevre Duvarının Yapılması</t>
  </si>
  <si>
    <t>41.0340846, 28.9393558</t>
  </si>
  <si>
    <t>Fatih 572 Ada 27 Parseldeki Tarihi Yapının Rekonstrüksiyonu</t>
  </si>
  <si>
    <t>41.00416661123435, 28.97762800643021</t>
  </si>
  <si>
    <t>Sivil Mimarlık Örneği Yapı Restorasyonu</t>
  </si>
  <si>
    <t>İstanbul Üniversitesi Tıp Tarihi Müzesi Restorasyon İkmal ve Teşhir Tanzim İşleri</t>
  </si>
  <si>
    <t>41.006252246084685, 28.94019875364455</t>
  </si>
  <si>
    <t>Nur-u Osmaniye Caddesi Düzenleme</t>
  </si>
  <si>
    <t>41.010253006748755, 28.97373267290642</t>
  </si>
  <si>
    <t>Ramazan Efendi Camii Hazire, Tuvalet ve Çevre Duvarları Restorasyonu</t>
  </si>
  <si>
    <t>41.0050413091574, 28.93154188247989</t>
  </si>
  <si>
    <t>Çevre Duvarı Restorasyonu</t>
  </si>
  <si>
    <t>Yavuz Selim Mahallesi Karabaş Mescidi Rekonstrüksiyonu</t>
  </si>
  <si>
    <t>41.023593366286235, 28.936634387250848</t>
  </si>
  <si>
    <t>Mescit Restorasyonu</t>
  </si>
  <si>
    <t>Yenikapı Avrasya Kültür Merkezi Spor Tesisi</t>
  </si>
  <si>
    <t>41.000202592681326, 28.94353340690668</t>
  </si>
  <si>
    <t>Fatih Sultanahmet Turşucuzade Konağı ve Sıbyan Mektebi</t>
  </si>
  <si>
    <t>41.00861523118662, 28.978089382820016</t>
  </si>
  <si>
    <t>Gülhane Parkı Çevre Duvarları Bakım Onarımı</t>
  </si>
  <si>
    <t>41.01347798156953, 28.98147152990326</t>
  </si>
  <si>
    <t>Gülüştu Valide Sultan Türbesi Restorasyon Onarım ve Tadilatı</t>
  </si>
  <si>
    <t>41.018826197846614, 28.95134139670111</t>
  </si>
  <si>
    <t>Beyazıt Meydanı</t>
  </si>
  <si>
    <t>41.00990224004373, 28.96403885038208</t>
  </si>
  <si>
    <t>Fatih Süleymaniye Camii Altı Sıra Dükkanların Kullanımına Yönelik Restorasyonu</t>
  </si>
  <si>
    <t>41.01608953657267, 28.96397556851871</t>
  </si>
  <si>
    <t>Fatih Tatbikat Camii (Sivasi Tekkesi)</t>
  </si>
  <si>
    <t>41.02489160887645, 28.949790319415047</t>
  </si>
  <si>
    <t>Cami Restorasyonu</t>
  </si>
  <si>
    <t>Samatya Aya Analipsi Rum Ortodoks Kilisesi Restorasyonu</t>
  </si>
  <si>
    <t>40.99907487140455, 28.931946324028154</t>
  </si>
  <si>
    <t>Unkapanı Kavşağı Köprü Yenileme ve Tramvay Altgeçidi İşi</t>
  </si>
  <si>
    <t>41.02249566065394, 28.96202070762189</t>
  </si>
  <si>
    <t>Yeni Galata Köprüsü Bakım Onarım ve Derz Değişimi İnşaatı</t>
  </si>
  <si>
    <t>41.020125353243955, 28.97320074614988</t>
  </si>
  <si>
    <t>Eminönü Meydanı ve Unkapanı Arası Çevre Düzenleme</t>
  </si>
  <si>
    <t>41.01753306659744, 28.97087885160999</t>
  </si>
  <si>
    <t>Fatih Kariye Çocuk Etkinlik Merkezi (ÇEM)</t>
  </si>
  <si>
    <t>41.03130501573742, 28.938827892598354</t>
  </si>
  <si>
    <t>Fatih İskenderpaşa Çocuk Etkinlik Merkezi (ÇEM)</t>
  </si>
  <si>
    <t>41.01216698032172, 28.952312311830124</t>
  </si>
  <si>
    <t>Kariye Yaşam Merkezi Kreş</t>
  </si>
  <si>
    <t>41.0298870345851, 28.938191856008537</t>
  </si>
  <si>
    <t>Ordu Caddesi ve Yakın Çevresi Düzenleme (Yayalaştırma)</t>
  </si>
  <si>
    <t>41.00960868997831, 28.958668543829553</t>
  </si>
  <si>
    <t>Gaziosmanpaşa Mehmet Niyazi Özdemir Parkı</t>
  </si>
  <si>
    <t>41.07946534443462, 28.885458511319563</t>
  </si>
  <si>
    <t>Gaziosmanpaşa Mehmet Niyazi Özdemir Zeminaltı Otoparkı</t>
  </si>
  <si>
    <t>41.07924052152111, 28.88549248440465</t>
  </si>
  <si>
    <t>Gaziosmanpaşa Barbaros Hayrettin Paşa Kapalı Spor Salonu Ve Gençlik Merkezi Otoparkı</t>
  </si>
  <si>
    <t>41.07616134977089, 28.89848077032989</t>
  </si>
  <si>
    <t>Gaziosmanpaşa Barbaros Hayrettin Paşa Kültür ve Spor Merkezi</t>
  </si>
  <si>
    <t>41.07643032756644, 28.898638890353617</t>
  </si>
  <si>
    <t>Gaziosmanpaşa Barbaros Çocuk Etkinlik Merkezi (ÇEM)</t>
  </si>
  <si>
    <t>41.076732733990994, 28.898995830762477</t>
  </si>
  <si>
    <t>Gaziosmanpaşa Barbaros Hayrettin Paşa Spor Merkezi</t>
  </si>
  <si>
    <t>41.07644001869775, 28.898269549588605</t>
  </si>
  <si>
    <t>Gaziosmanpaşa Emine Sabit Büyük Bayrak Ortaokulu Spor Salonu</t>
  </si>
  <si>
    <t>41.0858575692113, 28.896160536116046</t>
  </si>
  <si>
    <t>Gaziosmanpaşa Kardelen Mesleki ve Teknik Lisesi Spor Salonu</t>
  </si>
  <si>
    <t>41.08041349153546, 28.91136776699503</t>
  </si>
  <si>
    <t>Gaziosmanpaşa Halit Kıvanç Stadyumu İçerisinde Kreş</t>
  </si>
  <si>
    <t>41.08695303451464, 28.915895749466785</t>
  </si>
  <si>
    <t>Gaziosmanpaşa Halit Kıvanç Stadyumu ve Zeminaltı Otoparkı</t>
  </si>
  <si>
    <t>Gaziosmanpaşa Halit Kıvanç Şehir Stadyumu</t>
  </si>
  <si>
    <t>Gaziosmanpaşa Hürriyet Mahallesi Mahalle Evi</t>
  </si>
  <si>
    <t>41.06887494024391, 28.89976420773554</t>
  </si>
  <si>
    <t>Gaziosmanpaşa Hürriyet Mahallesi Parkı</t>
  </si>
  <si>
    <t>Gaziosmanpaşa Hürriyet Mahallesi Zeminaltı Otoparkı</t>
  </si>
  <si>
    <t>41.07955606257629, 28.885691620117793</t>
  </si>
  <si>
    <t>Gaziosmanpaşa Belediyesi Kültür Merkezi Zeminaltı Otopark Üzerindeki Meydanın Su Yalıtımım ve Döşeme Kaplaması İmalatının Yenilenmesi</t>
  </si>
  <si>
    <t>41.05757828731147, 28.91462908862723</t>
  </si>
  <si>
    <t>Gaziosmanpaşa Merkez Meydanı</t>
  </si>
  <si>
    <t>41.057719107622695, 28.913864032562678</t>
  </si>
  <si>
    <t>Gaziosmanpaşa Yaşam Merkezi</t>
  </si>
  <si>
    <t>41.061431093744204, 28.90847023155953</t>
  </si>
  <si>
    <t>Gaziosmanpaşa Yaşam Merkezi Kreş</t>
  </si>
  <si>
    <t>Gaziosmanpaşa Yaşam Merkezi Kütüphane</t>
  </si>
  <si>
    <t>Gaziosmanpaşa Yaşam Merkezi Spor Tesisi</t>
  </si>
  <si>
    <t>Hekimsuyu Cad.- İbrahim Hayırlıoğlu Cad. Kesişimi Mevcut YÜG EEUHG</t>
  </si>
  <si>
    <t>41.08662140695241, 28.90819201608106</t>
  </si>
  <si>
    <t>Güngören Nikah Salonu</t>
  </si>
  <si>
    <t>41.036351661775505, 28.87182241714042</t>
  </si>
  <si>
    <t>Güngören Nikah Salonu İçerisinde Kreş</t>
  </si>
  <si>
    <t>Güngören Nikah Salonu İçinde Spor Merkezi</t>
  </si>
  <si>
    <t>41.035933587848525, 28.872038936953537</t>
  </si>
  <si>
    <t>Güngören Nikah Salonu Otoparkı</t>
  </si>
  <si>
    <t>Güngören Tozkoparan Çocuk Etkinlik Merkezi (ÇEM)</t>
  </si>
  <si>
    <t>41.01519559127753, 28.892593182994712</t>
  </si>
  <si>
    <t>Güngören Kasım Sokak Meydanı</t>
  </si>
  <si>
    <t>41.00951497234305, 28.886881687271078</t>
  </si>
  <si>
    <t>Kahramanmaraş İl Emniyet Müdürlüğü Binası</t>
  </si>
  <si>
    <t>37.56577463596289, 36.93619775345085</t>
  </si>
  <si>
    <t>Erzurum 1000 Kişilik Çevik Kuvvet Hizmet Binaları</t>
  </si>
  <si>
    <t>39.873648502722986, 41.22040098483903</t>
  </si>
  <si>
    <t>Siirt İtfaiye İstasyonu</t>
  </si>
  <si>
    <t>37.92192194113404, 41.92542089263971</t>
  </si>
  <si>
    <t>Siirt Mezbahanesi</t>
  </si>
  <si>
    <t>37.927297337902694, 41.941619098224436</t>
  </si>
  <si>
    <t>Mezbaha</t>
  </si>
  <si>
    <t>Hakkari Yüksekova 700 Daireli Polis Lojmanı</t>
  </si>
  <si>
    <t>37.58024294673881, 43.73877356653528</t>
  </si>
  <si>
    <t>Amasra Anı Mekanı ve Cumhuriyet Meydanı</t>
  </si>
  <si>
    <t>41.747672743371254, 32.38584104210355</t>
  </si>
  <si>
    <t>Edirne İli İpsala Belediyesi Cumhuriyet Meydanı Düzenleme İnşaatı</t>
  </si>
  <si>
    <t>40.92184262419269, 26.38425923727665</t>
  </si>
  <si>
    <t>Kars Susuz Kazım Karabekir Mahallesi Hayvan Pazarı Yapımı</t>
  </si>
  <si>
    <t>40.78007206424818, 43.12831686599022</t>
  </si>
  <si>
    <t>Rize İli Fındıklı İlçesi Sosyal Yaşam Merkezi</t>
  </si>
  <si>
    <t>41.27432497522936, 41.14431221377023</t>
  </si>
  <si>
    <t>Siirt Mezbahane Arıtma Tesisi Yapım İşi</t>
  </si>
  <si>
    <t>Kadıköy Gazhane Binaları Restorasyonu</t>
  </si>
  <si>
    <t>40.996189654799686, 29.042630346029195</t>
  </si>
  <si>
    <t>Kadıköy İntaş Kız Anadolu İmam Hatip Lisesi Spor Salonu</t>
  </si>
  <si>
    <t>40.97902698908107, 29.080771987546978</t>
  </si>
  <si>
    <t>Salı Pazarı Arkası 3 Adet Yaya Köprüsü Yapılması</t>
  </si>
  <si>
    <t>40.997414184223224, 29.048516213897283</t>
  </si>
  <si>
    <t>Kadıköy Gazhane Binaları Otoparkı</t>
  </si>
  <si>
    <t>40.99647590109925, 29.04303658261688</t>
  </si>
  <si>
    <t>E5 Karayolu Üzeri Yenisahra YÜG EEUHG</t>
  </si>
  <si>
    <t>40.98623977 , 29.08807933</t>
  </si>
  <si>
    <t>Kadıköy Hüseyin Ayaz Ortaokulu Spor Salonu</t>
  </si>
  <si>
    <t>40.9891940696203, 29.058005725671645</t>
  </si>
  <si>
    <t>Kadıköy İlçesi, Fikirtepe Mandıra Köprüsü Sökümü ve Eksik Kalan İksa Sisteminin Tamamlanması</t>
  </si>
  <si>
    <t>40.997691487783555, 29.054379084891472</t>
  </si>
  <si>
    <t>Kadıköy Şener Birsöz Ortaokulu Spor Salonu</t>
  </si>
  <si>
    <t>40.98290771177726, 29.085931141323925</t>
  </si>
  <si>
    <t>Moda İskelesi Çevre Düzenleme</t>
  </si>
  <si>
    <t>40.979006006152986, 29.02505647766775</t>
  </si>
  <si>
    <t>Kadıköy Caferağa Etkinlik Meydanı</t>
  </si>
  <si>
    <t>40.99158446162387, 29.02264550210946</t>
  </si>
  <si>
    <t>D-100 Göztepe Medical Park Hastanesi Önü Yaya Üstgeçidi Asansör Yapım</t>
  </si>
  <si>
    <t>40.990770137194225, 29.07750366900603</t>
  </si>
  <si>
    <t>D-100 Karayolu Bostancı Altgeçidi ve Bağlantı Yolları İnşaatı</t>
  </si>
  <si>
    <t>40.96343810588952, 29.10457431058696</t>
  </si>
  <si>
    <t>Kemal Sunal Müzesi</t>
  </si>
  <si>
    <t>40.970884075759905, 29.0577717384446</t>
  </si>
  <si>
    <t>Salı Pazarı Muhtelif Onarım ve Tadilat İşleri</t>
  </si>
  <si>
    <t>40.99737514956171, 29.04868727419958</t>
  </si>
  <si>
    <t>D-100 Karayolu Uzunçayır Kavşağı Eksik Kalan Köprü ve Yol İnşaatı (Fikirtepe 2. Etap İnşaatı)</t>
  </si>
  <si>
    <t>40.997536455404, 29.057548672979856</t>
  </si>
  <si>
    <t>Cemal Kamacı Spor Kompleksi</t>
  </si>
  <si>
    <t>41.053748, 28.958702</t>
  </si>
  <si>
    <t>Cemal Kamacı Spor Kompleksi Otoparkı</t>
  </si>
  <si>
    <t>41.0533285, 28.9590342</t>
  </si>
  <si>
    <t>Kağıthane Yeşilce Mahallesi Spor Tesisi</t>
  </si>
  <si>
    <t>41.093447445068456, 29.002643503522723</t>
  </si>
  <si>
    <t>Kağıthane Yeşilce Mahallesi Spor Tesisi Zeminaltı Otoparkı</t>
  </si>
  <si>
    <t>41.09335465731806, 29.002553647136477</t>
  </si>
  <si>
    <t>Kağıthane İlçesi, 700. Yıl Parkı İbrahim Karaoğlu Caddesi Cephe İstinat Duvarı Yapım İşi</t>
  </si>
  <si>
    <t>41.09696148118312, 28.989903364628574</t>
  </si>
  <si>
    <t>Kağıthane Meydanı Büfe, Sanat Galerisi ve Ek Meydan Düzenlemesi</t>
  </si>
  <si>
    <t>41.08028192750354, 28.972029123988936</t>
  </si>
  <si>
    <t>Nurtepe Cemevi Bakım Onarım</t>
  </si>
  <si>
    <t>41.07587298307635, 28.964091197140792</t>
  </si>
  <si>
    <t>Kağıthane Gürsel Çocuk Etkinlik Merkezi (ÇEM)</t>
  </si>
  <si>
    <t>41.07147989711543, 28.971793575853656</t>
  </si>
  <si>
    <t>Kağıthane Gürsel Mahallesi Sultan Melik Camii</t>
  </si>
  <si>
    <t>41.06112973558345, 28.9631388865986</t>
  </si>
  <si>
    <t>Kartal İlçesi, Egemenlik Sokak – Soğanlık Sokak Kesişimi YÜG Yeni Yapım</t>
  </si>
  <si>
    <t>40.889913, 29.188474</t>
  </si>
  <si>
    <t>Kartal Hürriyet Çocuk Etkinlik Merkezi (ÇEM)</t>
  </si>
  <si>
    <t>40.91153624778256, 29.228699567647926</t>
  </si>
  <si>
    <t>Kartal Hürriyet İmam Hatip Ortaokulu Spor Salonu</t>
  </si>
  <si>
    <t>40.90054356624553, 29.233254015908226</t>
  </si>
  <si>
    <t>Kartal İlçesi Yakacık Eyüp Sultan Camii Tamamlama</t>
  </si>
  <si>
    <t>40.92484898113144, 29.22571229246195</t>
  </si>
  <si>
    <t>Kartal Kordonboyu Mahalle Muhtarlığı Binası</t>
  </si>
  <si>
    <t>40.887581413684316, 29.191142153785737</t>
  </si>
  <si>
    <t>Muhtarlık Binası</t>
  </si>
  <si>
    <t>Kartal Soğanlık Mahallesi Cami</t>
  </si>
  <si>
    <t>40.91721856224359, 29.19927324788619</t>
  </si>
  <si>
    <t>Kartal Şehit Koray Karaca Ortaokulu Spor Salonu</t>
  </si>
  <si>
    <t>40.903674632997834, 29.195144724950985</t>
  </si>
  <si>
    <t>Sancaktepe Yunus Çocuk Etkinlik Merkezi (ÇEM)</t>
  </si>
  <si>
    <t>40.89518980191828, 29.210116809976096</t>
  </si>
  <si>
    <t>Kartal Neyzen Tevfik Meydanı</t>
  </si>
  <si>
    <t>40.88930155119251, 29.190475892758453</t>
  </si>
  <si>
    <t>Neyzen Tevfik Meydanı Otoparkı</t>
  </si>
  <si>
    <t>40.88738025540037, 29.179891446789842</t>
  </si>
  <si>
    <t>Kartal Cemevi Bakım Onarım</t>
  </si>
  <si>
    <t>40.90157507288798, 29.18906112495097</t>
  </si>
  <si>
    <t>Kartal Esentepe Mahallesi Aşevi Depo Binası Tamamlama İnşaatı</t>
  </si>
  <si>
    <t>40.908131054581766, 29.19758130537961</t>
  </si>
  <si>
    <t>Kartal Yakacık Stadı</t>
  </si>
  <si>
    <t>40.91240802164485, 29.21422955378713</t>
  </si>
  <si>
    <t>Kartal Köprüsü Durağı YÜG EEUHG</t>
  </si>
  <si>
    <t>40.90711330677985, 29.2117587243714</t>
  </si>
  <si>
    <t>Küçükçekmece Cumhuriyet Çocuk Etkinlik Merkezi (ÇEM)</t>
  </si>
  <si>
    <t>40.99661032046095, 28.77253368114516</t>
  </si>
  <si>
    <t>Küçükçekmece Halkalı Çocuk Etkinlik Merkezi (ÇEM)</t>
  </si>
  <si>
    <t>41.02896962418769, 28.793972425324203</t>
  </si>
  <si>
    <t>Küçükçekmece Anadolu Lisesi Spor Salonu</t>
  </si>
  <si>
    <t>40.992543742412124, 28.775915153791686</t>
  </si>
  <si>
    <t>Küçükçekmece Sultan Abdulhamit İmam Hatip Ortaokulu Spor Salonu</t>
  </si>
  <si>
    <t>41.03680818401719, 28.798510546339536</t>
  </si>
  <si>
    <t>Küçükçekmece Cennet Mahallesi Zeminaltı Otoparkı</t>
  </si>
  <si>
    <t>40.99078258544493, 28.7831648762076</t>
  </si>
  <si>
    <t>Küçükçekmece Cennet Meydanı</t>
  </si>
  <si>
    <t>40.99018492549694, 28.782794407438555</t>
  </si>
  <si>
    <t>Küçükçekmece Cennet Meydanı Parkı</t>
  </si>
  <si>
    <t>40.99087842844158, 28.782554154158046</t>
  </si>
  <si>
    <t>Atakent Filenin Sultanları Öğrenci Yurdu</t>
  </si>
  <si>
    <t>41.04250854224687, 28.760073021261018</t>
  </si>
  <si>
    <t>İkitelli Cemevi Bakım Onarım</t>
  </si>
  <si>
    <t>41.05511538863487, 28.799527511466287</t>
  </si>
  <si>
    <t>Küçükçekmece Attilâ İlhan Kütüphanesi (Kütüphane kısmı Kültür Varlıkları Dairesi Başkanlığı tarafından yapıldı)</t>
  </si>
  <si>
    <t>40.99011567180026, 28.78353265626449</t>
  </si>
  <si>
    <t>Küçükçekmece Filenin Sultanları Kız ve Erkek Öğrenci Yurdu Kütüphanesi</t>
  </si>
  <si>
    <t>41.04236492225783, 28.760003567618885</t>
  </si>
  <si>
    <t>Küçükçekmece Filenin Sultanları Kız ve Erkek Öğrenci Yurdu Otoparkı</t>
  </si>
  <si>
    <t>Küçükçekmece Metrobüs Durağı YÜG EEUHG</t>
  </si>
  <si>
    <t>40.98651418665358, 28.769270964782045</t>
  </si>
  <si>
    <t>Mustafa Kemal Paşa Metrobüs (Kuzey) Asansör Yenileme İşi</t>
  </si>
  <si>
    <t>40.9952513, 28.7059854</t>
  </si>
  <si>
    <t>Beşyol Metrobüs Durağı YÜG ve Yol Yapımı</t>
  </si>
  <si>
    <t>40.99490681882694, 28.795332768792534</t>
  </si>
  <si>
    <t>Küçükçekmece Atakent Çocuk Etkinlik Merkezi (ÇEM)</t>
  </si>
  <si>
    <t>41.04504695659884, 28.798927914911744</t>
  </si>
  <si>
    <t>Küçükçekmece Sultan Murat Cahit Toprak Çocuk Etkinlik Merkezi (ÇEM)</t>
  </si>
  <si>
    <t>Safra Mahallesi Çocuk Etkinlik Merkezi</t>
  </si>
  <si>
    <t>41.00214498862486, 28.78696596173159</t>
  </si>
  <si>
    <t>Maltepe İSMEK Aşçılık Okulu Binası Bakım Onarım Tadilat İşleri</t>
  </si>
  <si>
    <t>40.95057812050155, 29.12321442518543</t>
  </si>
  <si>
    <t>İstanbul İtfaiye Simülasyon Merkezi Tamamlama İşi</t>
  </si>
  <si>
    <t>40.9726230170886, 29.205998361434176</t>
  </si>
  <si>
    <t>Maltepe Ertuğrulgazi Anadolu Lisesi Spor Salonu</t>
  </si>
  <si>
    <t>40.929294301161185, 29.166997303079796</t>
  </si>
  <si>
    <t>Maltepe Güzin Dinçkök Ortaokulu Spor Salonu</t>
  </si>
  <si>
    <t>40.92299675262726, 29.14882285570281</t>
  </si>
  <si>
    <t>Maltepe İlçesi, D-100 Karayolu Kadir Has Lisesi YÜG EEUHG</t>
  </si>
  <si>
    <t>40.9530888845906, 29.117220206655148</t>
  </si>
  <si>
    <t>Maltepe İmdat Vakfı Dumlupınar Ortaokulu Spor Salonu</t>
  </si>
  <si>
    <t>40.933617691197455, 29.123492933369953</t>
  </si>
  <si>
    <t>Maltepe İlçesi Başıbüyük-Samandıra Arası Yol, Kavşak ve Altyapı İnşaatı</t>
  </si>
  <si>
    <t>40.95345429842297, 29.138805276700722</t>
  </si>
  <si>
    <t>Maltepe Girne Çocuk Etkinlik Merkezi (ÇEM)</t>
  </si>
  <si>
    <t>40.94332005786566, 29.140692638813807</t>
  </si>
  <si>
    <t>Maltepe Bağdat Caddesi Altgeçit İnşaatı</t>
  </si>
  <si>
    <t>40.92385128720081, 29.132799343546342</t>
  </si>
  <si>
    <t>Maltepe Bakireler Anıtı Meydanı Otopark Düzenlemesi</t>
  </si>
  <si>
    <t>40.92637543056473, 29.123372655761077</t>
  </si>
  <si>
    <t>Maltepe Bakireler Anıtı ve Yakın Çevresi Meydanı</t>
  </si>
  <si>
    <t>40.926308969960104, 29.123688420141082</t>
  </si>
  <si>
    <t>Türkan Saylan Kültür Merkezi E-5 Kuzey Yolu Mah. YÜG EEUHG</t>
  </si>
  <si>
    <t>40.92385222199428, 29.15601684138694</t>
  </si>
  <si>
    <t>Maltepe Cemevi Bakım Onarımı</t>
  </si>
  <si>
    <t>40.932801577948396, 29.15534496781022</t>
  </si>
  <si>
    <t>Maltepe Cumhuriyet Meydanı</t>
  </si>
  <si>
    <t>40.924970854292106, 29.13094979360619</t>
  </si>
  <si>
    <t>Maltepe İlçesi Fındıklı Mahallesi Sosyal Merkez İnşaatı</t>
  </si>
  <si>
    <t>40.967947096661504, 29.12319945254073</t>
  </si>
  <si>
    <t>D-100 Altıntepe Durağı YÜG Yapım EEUHG</t>
  </si>
  <si>
    <t>40.95892735566881, 29.111229513984547</t>
  </si>
  <si>
    <t>Pendik Eğitim Ve Araştırma Hastanesine Çocuk Acil Servisinin Bakım Ve Onarımı, Koroner Yoğun Bakım Ünitesinin Yapılması,kreş Binasının Altyapısının Yapılması</t>
  </si>
  <si>
    <t>40.88658430411131, 29.263010592898514</t>
  </si>
  <si>
    <t>Pendik Kaynarca Şevket Sabancı Ticaret Meslek Lisesi Spor Salonu</t>
  </si>
  <si>
    <t>40.87909579908816, 29.26703258640984</t>
  </si>
  <si>
    <t>Pendik Tevfik ileri İmam Hatip Ortaokulu Spor Salonu</t>
  </si>
  <si>
    <t>40.87961761476111, 29.24767532342114</t>
  </si>
  <si>
    <t>Pendik Sahil Yeraltı Otoparkı</t>
  </si>
  <si>
    <t>40.875255300743724, 29.23543616231357</t>
  </si>
  <si>
    <t>Pendik İlçesi Şule Yüksel Şenler Kız Anadolu İmam Hatip Lisesi Duvar İşi</t>
  </si>
  <si>
    <t>40.935005175170616, 29.323278865635835</t>
  </si>
  <si>
    <t>Pendik İlçesi, Göçbeyli Deresi Üzeri Göçbeyli Bulvarı Köprü İnşaatı</t>
  </si>
  <si>
    <t>40.967786, 29.456169</t>
  </si>
  <si>
    <t>bfca7202-e247-ea11-b84a-005056b0156e</t>
  </si>
  <si>
    <t>Pendik İlçesi, Göçbeyli Deresi Üzeri Göçbeyli Bulvarı Köprü Deresi</t>
  </si>
  <si>
    <t>TEM-D100 Bağlantı Yolu Kavakpınar Kavşağı Tamamlama İnşaatı</t>
  </si>
  <si>
    <t>40.86699025041376, 29.2721945413531</t>
  </si>
  <si>
    <t>Pendik Çamlık Çocuk Etkinlik Merkezi (ÇEM)</t>
  </si>
  <si>
    <t>40.91981227633509, 29.28435646764823</t>
  </si>
  <si>
    <t>Pendik Harmandere Çocuk Etkinlik Merkezi (ÇEM)</t>
  </si>
  <si>
    <t>40.931327005593296, 29.317690923471133</t>
  </si>
  <si>
    <t>Seyit Seyfi Cemevi Bakım Onarım</t>
  </si>
  <si>
    <t>40.863862, 29.305057</t>
  </si>
  <si>
    <t>Pendik Güzelyalı Çocuk Etkinlik Merkezi (ÇEM)</t>
  </si>
  <si>
    <t>40.85720554084935, 29.280178870606125</t>
  </si>
  <si>
    <t>Pendik Sülüntepe Çocuk Etkinlik Merkezi (ÇEM)</t>
  </si>
  <si>
    <t>40.91653014169969, 29.277697418833203</t>
  </si>
  <si>
    <t>Sancaktepe İlçesi Atayolu Caddesi Yol, Kavşak ve Altyapı İnşaatı</t>
  </si>
  <si>
    <t>40.99971952934956, 29.255393976769227</t>
  </si>
  <si>
    <t>Samandıra Mah. Yunus Emre Cemevi Bakım Onarım</t>
  </si>
  <si>
    <t>41.00065503197243, 29.25764476245457</t>
  </si>
  <si>
    <t>Sancaktepe İlçesi, Emek Mah. Razi Sk. No:3 Adresindeki "HBVAK Emek Cemevi"nin Bakım ve Onarımı</t>
  </si>
  <si>
    <t>41.00643554867669, 29.19839067165562</t>
  </si>
  <si>
    <t>Sancaktepe İlçesi, Eyüp Sultan Mahallesi 7791 Ada, 12 Parselde Kreş</t>
  </si>
  <si>
    <t>40.98103026163794, 29.224873240664174</t>
  </si>
  <si>
    <t>Sancaktepe Hacı Ahmet Bıyık Cami Ve Kuran Kursu</t>
  </si>
  <si>
    <t>41.0002614159819, 29.192898886072427</t>
  </si>
  <si>
    <t>Yenidoğan Cemevi Bakım Onarım</t>
  </si>
  <si>
    <t>41.008489819338415, 29.23033094263005</t>
  </si>
  <si>
    <t>Safa Tepesi Sosyal Tesis Genişletme İnşaatı</t>
  </si>
  <si>
    <t>41.013742543415205, 29.2547943329036</t>
  </si>
  <si>
    <t>Sarıgazi Cemevi Bakım Onarım</t>
  </si>
  <si>
    <t>41.0112977917133, 29.212364505026933</t>
  </si>
  <si>
    <t>Sancaktepe Meclis Çocuk Etkinlik Merkezi (ÇEM)</t>
  </si>
  <si>
    <t>41.00952829920766, 29.198537704666794</t>
  </si>
  <si>
    <t>Safa Tepesi Spor Tesisleri Heyelan Önleme İnşaatı İşi</t>
  </si>
  <si>
    <t>41.01385361312025, 29.256586471002795</t>
  </si>
  <si>
    <t>Sancaktepe Osmangazi - Yakacık Caddeleri 1. Etap Yol İnşaatı (Resim İstanbul Önü)</t>
  </si>
  <si>
    <t>40.96492158736046, 29.219880600002732</t>
  </si>
  <si>
    <t>Boyacıköy Surp Yerits Mangants Ermeni Kilisesi Vakfı Müştemilat Binası Rekonstrüksiyonu</t>
  </si>
  <si>
    <t>41.102280969652064, 29.05125722049621</t>
  </si>
  <si>
    <t>Rumeli Kavağı Sahil Parkı Ve Deniz Yapısı</t>
  </si>
  <si>
    <t>41.181313109183925, 29.074130126339583</t>
  </si>
  <si>
    <t>Avrupa Otoyolu Avangart Sitesi ile Abacı Yokuşu Sokak Arası Yaya Üstgeçidi Onarım İşi</t>
  </si>
  <si>
    <t>41.100322827244014, 28.985082698996752</t>
  </si>
  <si>
    <t>PSAKD Sarıyer Şubesi Boğaziçi Cemevi Bakım Onarım</t>
  </si>
  <si>
    <t>41.09607470739141, 29.043903571867446</t>
  </si>
  <si>
    <t>Sarıyer İstinye Anadolu Lisesi Spor Salonu</t>
  </si>
  <si>
    <t>41.12507693399396, 29.032421182999848</t>
  </si>
  <si>
    <t>Ayazağa Meydan Düzenleme İnşaatı</t>
  </si>
  <si>
    <t>41.11541342669748, 28.99871568729598</t>
  </si>
  <si>
    <t>Katar Cad. ile Poligon Cad. Kesişimi İstinat Duvarı İnşaatı İşi</t>
  </si>
  <si>
    <t>41.1121403, 29.0401173</t>
  </si>
  <si>
    <t>Sarıyer Maden Çocuk Etkinlik Merkezi (ÇEM)</t>
  </si>
  <si>
    <t>41.18457076018757, 29.03914142348277</t>
  </si>
  <si>
    <t>Rumeli Hisarüstü Meydanı</t>
  </si>
  <si>
    <t>41.0855274, 29.0461158</t>
  </si>
  <si>
    <t>Sarıyer Darüşşafaka Cad. İstinat Duvarı İnşaatı</t>
  </si>
  <si>
    <t>41.1247670, 29.0390074</t>
  </si>
  <si>
    <t>Sarıyer Merkez Rıhtım Onarım ve Güçlendirme</t>
  </si>
  <si>
    <t>41.16754202 , 29.05776712</t>
  </si>
  <si>
    <t>Değirmenköy İtfaiye Binası</t>
  </si>
  <si>
    <t>41.09438686796969, 28.00165358299839</t>
  </si>
  <si>
    <t>Silivri Devlet Hastanesi YÜG Yeniden Yapım</t>
  </si>
  <si>
    <t>41.07821267245592, 28.249735865806954</t>
  </si>
  <si>
    <t>Selimpaşa Mahallesi, Duruman Durağı YÜG EEUHG</t>
  </si>
  <si>
    <t>41.05087679098522, 28.390081368207216</t>
  </si>
  <si>
    <t>Silivri İbrahim Yirik Sağlık Meslek Lisesi Spor Salonu</t>
  </si>
  <si>
    <t>41.09091556495001, 28.36880029649161</t>
  </si>
  <si>
    <t>Silivri Kız Anadolu İmam Hatip Lisesi Spor Salonu</t>
  </si>
  <si>
    <t>41.08986980739574, 28.256729913682328</t>
  </si>
  <si>
    <t>Selimpaşa Kavşağı Ortaköy Köprüsü</t>
  </si>
  <si>
    <t>41.0586638, 28.3687764</t>
  </si>
  <si>
    <t>Selimpaşa Kavşağı Selimpaşa A-2 Altgeçidi</t>
  </si>
  <si>
    <t>41.0564083, 28.3686713</t>
  </si>
  <si>
    <t>Selimpaşa Kavşağı Selimpaşa TEM A-3 Altgeçidi</t>
  </si>
  <si>
    <t>41.0566253, 28.3677143</t>
  </si>
  <si>
    <t>Selimpaşa Kavşak ve Altgeçit Uygulama Projesi KM:20+590 Yaya Üstgeçidi İnşaatı</t>
  </si>
  <si>
    <t>41.0522104, 28.3837160</t>
  </si>
  <si>
    <t>Silivri İBB İtfaiye İstasyonu Yanı İstinat Duvarı Yeniden Yapım</t>
  </si>
  <si>
    <t>41.07973983568678, 28.254481658645684</t>
  </si>
  <si>
    <t>Silivri İlçesi, Seymen Çöp Depolama Sahasında Arıtma Tesisi</t>
  </si>
  <si>
    <t>41.219640440346765, 28.1552805202864</t>
  </si>
  <si>
    <t>Silivri Gümüşyaka Fahriye-Hayrettin Başıbüyük Çocuk Etkinlik Merkezi (ÇEM)</t>
  </si>
  <si>
    <t>41.04887300144765, 28.034938593732868</t>
  </si>
  <si>
    <t>Gümüşyaka Mahallesi Sağlıklı Yaş Alma Merkezi</t>
  </si>
  <si>
    <t>41.04854728 , 28.03487090</t>
  </si>
  <si>
    <t>Selimpaşa Yanyol</t>
  </si>
  <si>
    <t>41.0583743, 28.3690986</t>
  </si>
  <si>
    <t>Sultanbeyli Anadolu Lisesi Spor Salonu</t>
  </si>
  <si>
    <t>41.00093759168048, 29.28330813881657</t>
  </si>
  <si>
    <t>Hubyar Sultan Cemevi Bakım Onarım</t>
  </si>
  <si>
    <t>40.974707275554074, 29.279774411828367</t>
  </si>
  <si>
    <t>Sultanbeyli Adil Çocuk Etkinlik Merkezi (ÇEM)</t>
  </si>
  <si>
    <t>40.974519275026104, 29.257433454157333</t>
  </si>
  <si>
    <t>Sultanbeyli 100. Yıl Spor Kompleksi</t>
  </si>
  <si>
    <t>40.98972822730347, 29.255928738815943</t>
  </si>
  <si>
    <t>Sultanbeyli 100.Yıl Spor Kompleksi Otoparkı</t>
  </si>
  <si>
    <t>Metris YÜG Yeni Yapım</t>
  </si>
  <si>
    <t>41.0872598, 28.8801742</t>
  </si>
  <si>
    <t>0444f1fc-768b-e911-8126-005056a51de0</t>
  </si>
  <si>
    <t>Metris Yaya Üst Geçidi İnşaatı İşi</t>
  </si>
  <si>
    <t>Kartal Uğur Mumcu Çocuk Etkinlik Merkezi (ÇEM)</t>
  </si>
  <si>
    <t>41.10795614899137, 28.87611804067</t>
  </si>
  <si>
    <t>Ertuğrul Gazi Camii Onarım ve Tadilatı</t>
  </si>
  <si>
    <t>41.09436060890811, 28.89030416001274</t>
  </si>
  <si>
    <t>Habipler Cemevi Bakım Onarım</t>
  </si>
  <si>
    <t>41.1338038647221, 28.84105838499314</t>
  </si>
  <si>
    <t>Sultangazi Alibey Baraj Üstü Parkı Spor Tesisi Bakım Onarımı</t>
  </si>
  <si>
    <t>41.10174979621358, 28.91695625851957</t>
  </si>
  <si>
    <t>Sultangazi Hacı Ayşe Ateş Anadolu Lisesi Spor Salonu</t>
  </si>
  <si>
    <t>41.12847145435137, 28.838526640670903</t>
  </si>
  <si>
    <t>Sultangazi Millet Bahçesi İçerisinde Bulunan Kafeteryanın Kalan İmalatlarının Tamamlanması, Tuvalet, Mescid, Şadırvan, Çeşme, Yönlendirme Ve İşaret Levhaları Yapılması</t>
  </si>
  <si>
    <t>41.101837110107596, 28.916965425327657</t>
  </si>
  <si>
    <t>50.Yıl Baştabya Tramvay Durağı YÜG Yeniden Yapım</t>
  </si>
  <si>
    <t>41.08842180645766, 28.8664010911022</t>
  </si>
  <si>
    <t>Sultangazi Cebeci Lojistik Merkezi</t>
  </si>
  <si>
    <t>41.12564433850403, 28.84849398274367</t>
  </si>
  <si>
    <t>Sultangazi Cebeci Lojistik Merkezi Otoparkı</t>
  </si>
  <si>
    <t>Sultangazi Cemevi Bakım Onarım</t>
  </si>
  <si>
    <t>41.10370238623834, 28.897441979110514</t>
  </si>
  <si>
    <t>Sultangazi İlçesi Habipler Mah. Ambar Binası Çevre Düzenleme İnşaatı</t>
  </si>
  <si>
    <t>41.1244566, 28.8490266</t>
  </si>
  <si>
    <t>Sultangazi Yunus Emre Çocuk Etkinlik Merkezi (ÇEM)</t>
  </si>
  <si>
    <t>41.09466973957632, 28.895848938820816</t>
  </si>
  <si>
    <t>Gazi Tuz Deposu Kırma-Yükleme Tesisi İnşaatı</t>
  </si>
  <si>
    <t>41.103112491930645, 28.885584182998695</t>
  </si>
  <si>
    <t>Şile Karamandere Şev Stabilesi Tasarımı ve İstinat Duvar İşi</t>
  </si>
  <si>
    <t>41.13316350 , 29.58792747</t>
  </si>
  <si>
    <t>Hacıkasım Mahallesi İBB Kadın İnşaatı</t>
  </si>
  <si>
    <t>41.17531873420402, 29.61079018300208</t>
  </si>
  <si>
    <t>Şile Kumbaba Çocuk Etkinlik Merkezi (ÇEM)</t>
  </si>
  <si>
    <t>41.16870429779106, 29.58347817300064</t>
  </si>
  <si>
    <t>Şişli Harbiye Orduevi (Otopark, Düğün Salonu, Giriş Bloğu) Güçlendirme</t>
  </si>
  <si>
    <t>41.04577916118796, 28.987727827173686</t>
  </si>
  <si>
    <t>Hacı Bektaş Veli Anadolu Kültür Vakfı – Okmeydanı Cemevi Bakım Onarım</t>
  </si>
  <si>
    <t>41.051242, 28.962807</t>
  </si>
  <si>
    <t>Mecidiyeköy Meydanı (1.Etap)</t>
  </si>
  <si>
    <t>41.066585361569985, 28.99555194859034</t>
  </si>
  <si>
    <t>Şişli Fuat Soylu Ortaokulu Spor Salonu</t>
  </si>
  <si>
    <t>41.04955921026378, 28.966844079702014</t>
  </si>
  <si>
    <t>Balmumcu Katlı Otopark Güçlendirme</t>
  </si>
  <si>
    <t>41.064117883994676, 29.011044013681154</t>
  </si>
  <si>
    <t>Balmumcu Mimar Seyfi Arkan Parkı Çevre Düzenleme</t>
  </si>
  <si>
    <t>41.06455569886673, 29.010459811832483</t>
  </si>
  <si>
    <t>Şişli İlçesi, Mecidiyeköy Metrobüs İstasyonu YÜG EEUHG</t>
  </si>
  <si>
    <t>41.06707857607559, 28.990812677859033</t>
  </si>
  <si>
    <t>Şişli, Piyalepaşa Bulvarı Halit Rıfat Paşa Durağı Odesa Bulvarı ile Arel Sokak Arası YÜG Yeniden Yapım</t>
  </si>
  <si>
    <t>41.05864157156197, 28.972339427191187</t>
  </si>
  <si>
    <t>Uğur Mumcu Anıtı Önü ve Şişli Camii Önü Meydan Düzenleme</t>
  </si>
  <si>
    <t>41.049267920068814, 28.987726467654223</t>
  </si>
  <si>
    <t>Kurtköy Kavşağı Şekerpınar Kavşağı Arası TEM Kuzey-Güney Yanyol İnşaatı Altgeçit 1</t>
  </si>
  <si>
    <t>40.9005153, 29.3668552</t>
  </si>
  <si>
    <t>Kurtköy Kavşağı Şekerpınar Kavşağı Arası TEM Kuzey-Güney Yanyol İnşaatı Köprü 4</t>
  </si>
  <si>
    <t>40.9036211, 29.3648645</t>
  </si>
  <si>
    <t>Kurtköy Kavşağı Şekerpınar Kavşağı Arası TEM Kuzey-Güney Yanyol İnşaatı Köprü 5</t>
  </si>
  <si>
    <t>40.8913851, 29.3716485</t>
  </si>
  <si>
    <t>Kurtköy Kavşağı Şekerpınar Kavşağı Arası TEM Kuzey-Güney Yanyol İnşaatı Köprü 6</t>
  </si>
  <si>
    <t>40.8918380, 29.3715274</t>
  </si>
  <si>
    <t>Aydınlı Eski Çöp Döküm Sahası Rehabilitasyon ve Bölge Parkında İşletmeye Yönelik Revizyonlar Yapılması</t>
  </si>
  <si>
    <t>40.86281610567815, 29.347879637744438</t>
  </si>
  <si>
    <t>Bölge Parkı</t>
  </si>
  <si>
    <t>Tuzla Aydınlı Eski Çöp Döküm Sahası Otoparkı</t>
  </si>
  <si>
    <t>Tuzla İlçesi, Mescit Mah. Ferahnaz Sk. No:44 Adresindeki "Hz. İmam Ali Cemevi"nin Bakım ve Onarımı</t>
  </si>
  <si>
    <t>40.887131092992966, 29.34400256885098</t>
  </si>
  <si>
    <t>Tuzla İlçesi, Mimar Sinan Mah. Emiroğlu Cad. Narin Sk. No:25 Adresindeki "Karacaahmet Şifa Cemevi"nin Bakım ve Onarımı</t>
  </si>
  <si>
    <t>40.840946914478636, 29.36110436429272</t>
  </si>
  <si>
    <t>Tuzla Kamil Abduş Gölü Otoparkı</t>
  </si>
  <si>
    <t>40.8237291, 29.2878411</t>
  </si>
  <si>
    <t>Tuzla Kamil Abdüş Gölü ve Çevre Düzenleme (1. Etap)</t>
  </si>
  <si>
    <t>40.824931, 29.285578</t>
  </si>
  <si>
    <t>Tuzla Muzaffer Güzide Pulur İmam Hatip Ortaokulu Spor Salonu</t>
  </si>
  <si>
    <t>40.85341877041376, 29.362710762448085</t>
  </si>
  <si>
    <t>Tuzla Orhanlı Akaryakıt Depolama Tesisi</t>
  </si>
  <si>
    <t>40.90042253 , 29.36192149</t>
  </si>
  <si>
    <t>Parlayıcı Patlayıcı Madde Deposu</t>
  </si>
  <si>
    <t>Tuzla Tahaffuzhane Caddesi Zeminaltı Otoparkı</t>
  </si>
  <si>
    <t>40.81842305957396, 29.3004508658197</t>
  </si>
  <si>
    <t>Tuzla Tahaffuzhane Caddesi Zeminaltı Otoparkı Meydanı</t>
  </si>
  <si>
    <t>Tuzla Tezer Taşkıran Ortaokulu Spor Salonu</t>
  </si>
  <si>
    <t>40.85685005126656, 29.299137333613665</t>
  </si>
  <si>
    <t>Tuzla Yayla Zekiye Emin Üstünel Çocuk Etkinlik Merkezi (ÇEM)</t>
  </si>
  <si>
    <t>40.830907473840675, 29.308997823466605</t>
  </si>
  <si>
    <t>Tuzla İlçesi İçmeler Mahallesi D-100 Karayolu Üzeri Yaya Üst Geçidinin Sökülerek Yeniden Yapılması İşi</t>
  </si>
  <si>
    <t>40.84423550769305, 29.306176982714554</t>
  </si>
  <si>
    <t>Tuzla İlçesi Yayla Mahallesi D-100 Karayolu Üzeri Yaya Üst Geçidinin Sökülerek Yeniden Yapılması İşi</t>
  </si>
  <si>
    <t>40.8387867, 29.3178135</t>
  </si>
  <si>
    <t>D100 Karayolu İçmeler Köprüsü Yeniden Yapım İşi</t>
  </si>
  <si>
    <t>40.85054121159747, 29.298795703019458</t>
  </si>
  <si>
    <t>Mimar Sinan Mahallesi Şehit İbrahim Doğan Parkı İdari Bina ve Kafeterya Onarımı</t>
  </si>
  <si>
    <t>40.82894831596243, 29.365188409973033</t>
  </si>
  <si>
    <t>Ümraniye Okan Sokak Yanı Zeminaltı Otoparkı</t>
  </si>
  <si>
    <t>41.028436922713944, 29.090872825483704</t>
  </si>
  <si>
    <t>Dudullu Metro İstasyonu Otoparkı</t>
  </si>
  <si>
    <t>41.01545616238942, 29.163653454159206</t>
  </si>
  <si>
    <t>Gülistan Şehit Selçuk Paker Cami</t>
  </si>
  <si>
    <t>41.01298415780099, 29.17909629318372</t>
  </si>
  <si>
    <t>Ümraniye 15 Temmuz Şehitler Meydanı</t>
  </si>
  <si>
    <t>41.02377212849873, 29.09323515696879</t>
  </si>
  <si>
    <t>Ümraniye, 15 Temmuz Şehitler Meydanı ve Zeminaltı Otoparkı</t>
  </si>
  <si>
    <t>41.026156912644424, 29.095418007305604</t>
  </si>
  <si>
    <t>Yukarı Dudullu Mahallesi 8573 Parselde Kreş</t>
  </si>
  <si>
    <t>41.01281866123472, 29.190963402797976</t>
  </si>
  <si>
    <t>Ümraniye Aşağı Dudullu Çocuk Etkinlik Merkezi (ÇEM)</t>
  </si>
  <si>
    <t>41.02987076061348, 29.167718952311265</t>
  </si>
  <si>
    <t>Ihlamurkuyu Cemevi Bakım Onarım</t>
  </si>
  <si>
    <t>41.017658852628415, 29.14346233551404</t>
  </si>
  <si>
    <t>Ümraniye Madenler Çocuk Etkinlik Merkezi (ÇEM)</t>
  </si>
  <si>
    <t>41.01186028967739, 29.190702009981443</t>
  </si>
  <si>
    <t>Ümraniye Ihlamurkuyu Mahallesi Alemdağ-Petrolyolu Caddesi İstinat Duvarı İşi</t>
  </si>
  <si>
    <t>41.019678618656584, 29.13449395415939</t>
  </si>
  <si>
    <t>Atatürk Mahallesi, Alemdağ Caddesi Düzenleme (Yayalaştırma Meydanı)</t>
  </si>
  <si>
    <t>41.02488107557459, 29.087784947938676</t>
  </si>
  <si>
    <t>Dudullu Meydanı</t>
  </si>
  <si>
    <t>41.01666953011865, 29.16034189313493</t>
  </si>
  <si>
    <t>Ümraniye Şerifali Mahallesi Kreş</t>
  </si>
  <si>
    <t>41.0052013, 29.1473059</t>
  </si>
  <si>
    <t>Çengelköy Caddesi</t>
  </si>
  <si>
    <t>41.05047918141501, 29.053229067654257</t>
  </si>
  <si>
    <t>Çengelköy Köy İçi Düzenleme</t>
  </si>
  <si>
    <t>Havuzbaşı Sokak Düzenleme</t>
  </si>
  <si>
    <t>41.04610366724837, 29.053651552311948</t>
  </si>
  <si>
    <t>Kalantor Sokak Düzenleme</t>
  </si>
  <si>
    <t>41.05093521658302, 29.057590794641158</t>
  </si>
  <si>
    <t>Kaldırım Caddesi Düzenleme</t>
  </si>
  <si>
    <t>41.05761202337811, 29.06548773881905</t>
  </si>
  <si>
    <t>Prof. Dr. Beynun Akyavaş Caddesi</t>
  </si>
  <si>
    <t>41.05228620450445, 29.066545682996477</t>
  </si>
  <si>
    <t>Üsküdar Bosna Bulvarı Küçüksu Bağlantı Yolu İnşaatı</t>
  </si>
  <si>
    <t>41.03687073073807, 29.079016828586937</t>
  </si>
  <si>
    <t>Yalıboyu Caddesi Düzenleme</t>
  </si>
  <si>
    <t>41.04599640146932, 29.048962854160656</t>
  </si>
  <si>
    <t>Üsküdar Çağrıbey Anadolu Lisesi Spor Salonu</t>
  </si>
  <si>
    <t>41.01982181862442, 29.079857822021502</t>
  </si>
  <si>
    <t>Üsküdar İlçesi, Şile Otoyolu Eski Kısıklı Yolu Arası Kuyulu Duvar İnşaat</t>
  </si>
  <si>
    <t>41.02379857774231, 29.058143409415685</t>
  </si>
  <si>
    <t>15 Temmuz Şehitler Köprüsü Metrobüs Durağı EEUHG</t>
  </si>
  <si>
    <t>41.037108238099464, 29.04360628484435</t>
  </si>
  <si>
    <t>Üsküdar Büyük Çamlıca Cami Mevki İstinat Duvarı İşi</t>
  </si>
  <si>
    <t>41.03409885019016, 29.07047994901291</t>
  </si>
  <si>
    <t>Üsküdar Çengelköy Çocuk Etkinlik Merkezi (ÇEM)</t>
  </si>
  <si>
    <t>41.05528828823603, 29.06905423881895</t>
  </si>
  <si>
    <t>Üsküdar Çengelköy Yaşam Merkezi Zeminaltı Otoparkı</t>
  </si>
  <si>
    <t>Üsküdar İlçesi, Mimar Sinan Çarşısı Zeminaltı Otoparkı</t>
  </si>
  <si>
    <t>41.02378892991662, 29.0173830230805</t>
  </si>
  <si>
    <t>Üsküdar Mimar Sinan Meydanı</t>
  </si>
  <si>
    <t>41.02309965776861, 29.016928454159647</t>
  </si>
  <si>
    <t>Üsküdar Şemsipaşa Cami Mevki Sahil Yürüme Yolu İnşaatı</t>
  </si>
  <si>
    <t>41.02599354218602, 29.011418205322943</t>
  </si>
  <si>
    <t>Kuzguncuk Parkı Sahili Güçlendirme ve Onarım İnşaatı</t>
  </si>
  <si>
    <t>41.036369, 29.029095</t>
  </si>
  <si>
    <t>Paşalimanı Sahili Onarım ve Güçlendirme</t>
  </si>
  <si>
    <t>41.03198366295657, 29.021660781146895</t>
  </si>
  <si>
    <t>Salacak Sahili Onarım ve Güçlendirme</t>
  </si>
  <si>
    <t>41.019825592300236, 29.008459577843865</t>
  </si>
  <si>
    <t>Üsküdar Mimar Sinan Anma Meydanı</t>
  </si>
  <si>
    <t>41.02305918617235, 29.016971369501732</t>
  </si>
  <si>
    <t>Üsküdar Kısıklı Çocuk Etkinlik Merkezi (ÇEM)</t>
  </si>
  <si>
    <t>41.028272982863406, 29.07248278114657</t>
  </si>
  <si>
    <t>Üsküdar Hakimiyeti Milliye Ve Selmanı Pak Caddeleri Düzenleme</t>
  </si>
  <si>
    <t>41.025251235946236, 29.01874151640494</t>
  </si>
  <si>
    <t>76d0f049-f0b6-eb11-b878-005056b0336f</t>
  </si>
  <si>
    <t>Üsküdar Hakimiyeti Milliye ve Selmanı Pak Caddeleri Düzenleme Projesi</t>
  </si>
  <si>
    <t>Zeytinburnu İlçesi, Cevizlibağ Metrobüs İstasyonu EEUHG</t>
  </si>
  <si>
    <t>41.01669665858095, 28.91120724900724</t>
  </si>
  <si>
    <t>156ec9e3-5507-e811-8103-005056a5354a</t>
  </si>
  <si>
    <t>Zeytinburnu İlçesi, Cevizlibağ Metrobüs İstasyonu Yaya Üst Geçidinin Engelli Erişimine Uygun Hale Getirilmesi Projesi</t>
  </si>
  <si>
    <t>Zeytinburnu İlçesi, Seyitnizam Mahallesi Büyük Balıklı Ermeni Mezarlığı ve Küçük Balıklı Ermeni Mezarlığı Çevre Duvarları</t>
  </si>
  <si>
    <t>41.007182226908554, 28.915573589031045</t>
  </si>
  <si>
    <t>Panorama 1453 Giriş Yapılarının Düzenlenmesi</t>
  </si>
  <si>
    <t>41.01843097433488, 28.920476827172465</t>
  </si>
  <si>
    <t>Zeytiburnu İlçesi, Mithatpaşa Tramvay Durağı YÜG Yeniden Yapım</t>
  </si>
  <si>
    <t>41.00374381520007, 28.902609882994255</t>
  </si>
  <si>
    <t>8f844f2a-6a90-e611-80e0-005056a5354a</t>
  </si>
  <si>
    <t>Zeytinburnu İlçesi Mithatpaşa Tramvay Durağı Yaya Üstgeçit Projesi</t>
  </si>
  <si>
    <t>Zeytinburnu Kazlıçeşme Marmaray İstasyonu Çevre Düzenleme</t>
  </si>
  <si>
    <t>40.992264816713146, 28.918439996487123</t>
  </si>
  <si>
    <t>8. Cumhurbaşkanı Turgut Özal Müze Binası İnşaatı</t>
  </si>
  <si>
    <t>41.02664761824771, 28.92564043366837</t>
  </si>
  <si>
    <t>c8ee1feb-1651-ed11-b8b6-005056b0106f</t>
  </si>
  <si>
    <t>Merhum Cumhurbaşkanı Turgut Özal Müze Binası İnşaatı</t>
  </si>
  <si>
    <t>Zeytinburnu İlçesi Yedikule Gençlik Spor Tesisi İnşaatı</t>
  </si>
  <si>
    <t>40.99202554493022, 28.92034282640174</t>
  </si>
  <si>
    <t>Merkez Mah. Murat Kölük Hast. Durağı YÜG EEUHG</t>
  </si>
  <si>
    <t>40.98201333887308, 28.729269564174462</t>
  </si>
  <si>
    <t>071363fb-5407-e811-8103-005056a5354a</t>
  </si>
  <si>
    <t>Avcılar İlçesi, Merkez Mahallesi Durağı Yaya Üst Geçidinin Engelli Erişimine Uygun Hale Getirilmesi Projesi</t>
  </si>
  <si>
    <t>Büyük İstanbul Otogarı Güney-Doğu Katlar Arası Geçiş Köprüsü</t>
  </si>
  <si>
    <t>41.040374165295965, 28.894583146489275</t>
  </si>
  <si>
    <t>Fenerli Hristo Sokak İBB Lojmanları Parkı Düzenlemesi</t>
  </si>
  <si>
    <t>41.090063073850764, 29.02740711620664</t>
  </si>
  <si>
    <t>Büyükdere Cad. Yavuz Sultan Selim Cad. Kesişimi Mevcut YÜG EEUHG</t>
  </si>
  <si>
    <t>41.09066025699307, 29.00521452861152</t>
  </si>
  <si>
    <t>Zeytinburnu Gökalp Mahallesi Çocuk Etkinlik Merkezi İnşaatı (İSADEM Dönüşüm)</t>
  </si>
  <si>
    <t>40.992802020599235, 28.904177967651652</t>
  </si>
  <si>
    <t>Göztepe Mahallesi, Mahmutbey İtfaiye İstasyonu İstinat Duvarı İnşaatı</t>
  </si>
  <si>
    <t>Yeni Eklendi (belediyenin başka bir birimi tarafından tamamlanmıştır.)</t>
  </si>
  <si>
    <t>41.05408633646598, 28.830568093196977</t>
  </si>
  <si>
    <t>Aydoğdu Parkı</t>
  </si>
  <si>
    <t>40.87113528835727, 29.129735583760667</t>
  </si>
  <si>
    <t>Büyükada Atatürk Meydanı</t>
  </si>
  <si>
    <t>40.87370813579475, 29.126122009975017</t>
  </si>
  <si>
    <t>İzzet Orbay Parkı</t>
  </si>
  <si>
    <t>40.867426393625095, 29.13358275415231</t>
  </si>
  <si>
    <t>Özgürlük Ve Demokrasi Parkı</t>
  </si>
  <si>
    <t>40.87460707107761, 29.134780668408293</t>
  </si>
  <si>
    <t>Tepeköy Parkı</t>
  </si>
  <si>
    <t>40.869365, 29.130549</t>
  </si>
  <si>
    <t>Büyükada Balıkçı Barınağı Sahil Parkı</t>
  </si>
  <si>
    <t>40.873534, 29.135626</t>
  </si>
  <si>
    <t>Arnavutköy Kreş Bahçesi</t>
  </si>
  <si>
    <t>41.196305, 28.722377</t>
  </si>
  <si>
    <t>Boğazköy Orta Refüj</t>
  </si>
  <si>
    <t>41.178805, 28.776885</t>
  </si>
  <si>
    <t>Arnavutköy Boğazköy Kültür ve Spor Tesisi</t>
  </si>
  <si>
    <t>41.18610417962665, 28.76501253566987</t>
  </si>
  <si>
    <t>Arnavutköy Sokulu Mehmet Caddesi</t>
  </si>
  <si>
    <t>41.195241548991206, 28.741307510803182</t>
  </si>
  <si>
    <t>Fındıklı Yolu</t>
  </si>
  <si>
    <t>40.96836603535576, 29.12221645300233</t>
  </si>
  <si>
    <t>Esatpaşa Spor Parkı</t>
  </si>
  <si>
    <t>41.00190712495158, 29.08544856385799</t>
  </si>
  <si>
    <t>Avcılar Kreş Bahçesi</t>
  </si>
  <si>
    <t>41.032230, 28.706111</t>
  </si>
  <si>
    <t>Avcılar Kavşak (Göl Panorama Evleri Önü)</t>
  </si>
  <si>
    <t>41.056084574607404, 28.689972076916185</t>
  </si>
  <si>
    <t>Beysan Alt Geçidi Çevresi</t>
  </si>
  <si>
    <t>40.993778742441336, 28.686426395451303</t>
  </si>
  <si>
    <t>Aydos Sokak Orta Refüj ve Kavşak Projesi</t>
  </si>
  <si>
    <t>41.07821349671312, 28.712832268470173</t>
  </si>
  <si>
    <t>İstanbul Üniversitesi Cerrahpaşa Avcılar Kampüsü</t>
  </si>
  <si>
    <t>40.989014593350404, 28.724431087434755</t>
  </si>
  <si>
    <t>M7- Mahmutbey Durağı Metro Çıkışı Peyzaj Düzenleme</t>
  </si>
  <si>
    <t>41.05513624276046, 28.83044334491623</t>
  </si>
  <si>
    <t>M7- Yüzyıl Durağı Acil Çıkış Peyzaj Düzenleme</t>
  </si>
  <si>
    <t>41.066190475319715, 28.85629069730574</t>
  </si>
  <si>
    <t>Bağcılar Meydan</t>
  </si>
  <si>
    <t>41.034407977825516, 28.856057621384515</t>
  </si>
  <si>
    <t>M7- Göztepe Durağı Metro Çıkışı Peyzaj Düzenleme</t>
  </si>
  <si>
    <t>41.0569946768951, 28.847994250845023</t>
  </si>
  <si>
    <t>Farklı Renkler Parkı</t>
  </si>
  <si>
    <t>41.03451527942642, 28.86812915497629</t>
  </si>
  <si>
    <t>Adnan Kahveci Bulvarı</t>
  </si>
  <si>
    <t>41.005428653924085, 28.868997110795593</t>
  </si>
  <si>
    <t>Bahçelievler Hastane Yanı Kreş Bahçesi</t>
  </si>
  <si>
    <t>41.006206157084755, 28.84505990309297</t>
  </si>
  <si>
    <t>Bahçelievler Kültür Merkezi Kreş Peyzaj Projesi</t>
  </si>
  <si>
    <t>41.00011862584828, 28.86149275312345</t>
  </si>
  <si>
    <t>Şehit Yarbay Cesur Parkı</t>
  </si>
  <si>
    <t>150 Günde 150 Proje</t>
  </si>
  <si>
    <t>40.99606883850263, 28.848222468467014</t>
  </si>
  <si>
    <t>Ataköy Orta Ve Yan Refüjler</t>
  </si>
  <si>
    <t>40.976395, 28.852352</t>
  </si>
  <si>
    <t>Şehit Gülşen Bahadır Parkı (Yeşilköy Sahil Parkı)</t>
  </si>
  <si>
    <t>40.96054747063675, 28.840766268771475</t>
  </si>
  <si>
    <t>Şenlikköy - Yeşilyurt Arası Orta Ve Yan R.</t>
  </si>
  <si>
    <t>40.96543331256682, 28.806796985515806</t>
  </si>
  <si>
    <t>Florya Atatürk Ormanı 1.Etap</t>
  </si>
  <si>
    <t>40.97696867134936, 28.78695152428663</t>
  </si>
  <si>
    <t>IPA Florya Yerleşkesi</t>
  </si>
  <si>
    <t>40.97505633699405, 28.785963892333182</t>
  </si>
  <si>
    <t>Bakırköy Alevi Kültür Merkezi Ve Cemevi</t>
  </si>
  <si>
    <t>40.99001324349571, 28.835019622455178</t>
  </si>
  <si>
    <t>Bakırköy İstanbul Caddesi</t>
  </si>
  <si>
    <t>40.97881626932768, 28.87980448381004</t>
  </si>
  <si>
    <t>Florya Atatürk Ormanı Sahalar</t>
  </si>
  <si>
    <t>300 Günde 300 Proje</t>
  </si>
  <si>
    <t>40.97826007655547, 28.786507893746833</t>
  </si>
  <si>
    <t>Yeni Mahalle Muhtarlık Çevresi</t>
  </si>
  <si>
    <t>40.981200403834116, 28.87903570180355</t>
  </si>
  <si>
    <t>Şamlar Mahallesi İstiklal Caddesi</t>
  </si>
  <si>
    <t>41.112071344543715, 28.7433103329483</t>
  </si>
  <si>
    <t>Davutpaşa Orta Refüj-Piyalepaşa Kavşak</t>
  </si>
  <si>
    <t>41.027271, 28.899051</t>
  </si>
  <si>
    <t>15 Temmuz Demokrasi Otogarı</t>
  </si>
  <si>
    <t>41.040096605922116, 28.8946319245554</t>
  </si>
  <si>
    <t>Tuna Caddesi Parkı</t>
  </si>
  <si>
    <t>41.045639278529414, 28.904171739633032</t>
  </si>
  <si>
    <t>Barbaros Bulvarı 15 Temmuz Şehitler Köprüsü Orta ve Yan Refüj</t>
  </si>
  <si>
    <t>41.05764984646683, 29.009930290742485</t>
  </si>
  <si>
    <t>Nisbetiye Caddesi</t>
  </si>
  <si>
    <t>41.08056204401152, 29.03389198196251</t>
  </si>
  <si>
    <t>Konaklar Parkı</t>
  </si>
  <si>
    <t>41.08863937914339, 29.00961662614243</t>
  </si>
  <si>
    <t>Beşiktaş Barbaros Meydanı 1. Etap</t>
  </si>
  <si>
    <t>Beykoz Riva Yolu Yan Refüjler</t>
  </si>
  <si>
    <t>41.190470, 29.207031</t>
  </si>
  <si>
    <t>Küçüksu Caddesi - Tem Çamlık Kavşağı Arası</t>
  </si>
  <si>
    <t>41.06383260101303, 29.097630405163123</t>
  </si>
  <si>
    <t>Beylikdüzü Belediyesi Cemevi</t>
  </si>
  <si>
    <t>41.01144829510587, 28.649961968467576</t>
  </si>
  <si>
    <t>Beylikdüzü Kreş Bahçesi</t>
  </si>
  <si>
    <t>40.977800, 28.646100</t>
  </si>
  <si>
    <t>Beylikdüzü Kadın Dayanışma ve Kültür Parkı</t>
  </si>
  <si>
    <t>40.98614724198302, 28.66753248586276</t>
  </si>
  <si>
    <t>Beylikdüzü Kreş Eğitim Yapısı ve Çocuk Oyun Parkı</t>
  </si>
  <si>
    <t>40.995929, 28.628536</t>
  </si>
  <si>
    <t>Mevlana Camii Kuran Kursu Bahçesi</t>
  </si>
  <si>
    <t>41.00115615661757, 28.644699839248513</t>
  </si>
  <si>
    <t>Yakuplu Kent Ormanı</t>
  </si>
  <si>
    <t>41.004446103371755, 28.669957348090158</t>
  </si>
  <si>
    <t>Beylikdüzü Sosyal Tesis Ve Spor Kompleksi (Kalekent)</t>
  </si>
  <si>
    <t>41.003521601414946, 28.64446346880484</t>
  </si>
  <si>
    <t>Rıfat Ilgaz Caddesi</t>
  </si>
  <si>
    <t>41.01917842114294, 28.684681301268526</t>
  </si>
  <si>
    <t>Ambarlı Caddesi-Liman Caddesi Kesişimi Yol Kavşağı</t>
  </si>
  <si>
    <t>40.96898368372205, 28.6752231567009</t>
  </si>
  <si>
    <t>Hürriyet Bulvarı</t>
  </si>
  <si>
    <t>40.99099764377611, 28.668250870318214</t>
  </si>
  <si>
    <t>Rıfat Ilgaz Caddesi (Yamaçlar)</t>
  </si>
  <si>
    <t>41.0192205932459, 28.68467910997536</t>
  </si>
  <si>
    <t>Beyoğlu İlçesi Örnektepe Öğrenci Yurdu Bahçesi</t>
  </si>
  <si>
    <t>41.055114536890265, 28.955042254977123</t>
  </si>
  <si>
    <t>Kıbrıs Barış Ormanı</t>
  </si>
  <si>
    <t>41.05449555701653, 28.954614554977006</t>
  </si>
  <si>
    <t>Halıcıoğlu Kavşağı</t>
  </si>
  <si>
    <t>41.047168984976885, 28.943142297144117</t>
  </si>
  <si>
    <t>Piyalepaşa Bulvarı Okmeydanı Arası Yan Refüj</t>
  </si>
  <si>
    <t>41.04390296616471, 28.967531231705426</t>
  </si>
  <si>
    <t>Tophane Plaza</t>
  </si>
  <si>
    <t>41.02727694919066, 28.980666318233396</t>
  </si>
  <si>
    <t>Prof. Dr. Aziz Sancar Parkı</t>
  </si>
  <si>
    <t>İki ilçede de var</t>
  </si>
  <si>
    <t>41.012136514504554, 28.54045795968507</t>
  </si>
  <si>
    <t>Behçet Kemal Çağlar Caddesi Kavşak Düzenlemesi</t>
  </si>
  <si>
    <t>41.04239551510179, 28.603553437024356</t>
  </si>
  <si>
    <t>Büyükçekmece Atatürk Spor Kompleksi Önü Kavşak</t>
  </si>
  <si>
    <t>41.028686255465395, 28.587066854976083</t>
  </si>
  <si>
    <t>Gürpınar Kavşağı-Mimar Sinan Kavşağı Arası (S Rampası)</t>
  </si>
  <si>
    <t>41.016734254132636, 28.562552183811523</t>
  </si>
  <si>
    <t>Mimar Sinan Kavşağı E5 Kumburgaz Kavşağı Arası (Mimaroba Kavşak)</t>
  </si>
  <si>
    <t>41.029326568955966, 28.4599459454946</t>
  </si>
  <si>
    <t>Turgut Özal Bulvarı Orta Refüj ve Kavşağı</t>
  </si>
  <si>
    <t>41.016456383680335, 28.609683380500428</t>
  </si>
  <si>
    <t>Çatalca Çakıl Kavşağı</t>
  </si>
  <si>
    <t>41.11507251046493, 28.451187858130496</t>
  </si>
  <si>
    <t>Başakköy Mahalle parkı</t>
  </si>
  <si>
    <t>Yeni Yatırımlar Yeni Atılımlar</t>
  </si>
  <si>
    <t>41.33348791985407, 28.44874126848074</t>
  </si>
  <si>
    <t>Çiftlikköy Mahalle parkı</t>
  </si>
  <si>
    <t>41.34020389934699, 28.411022353706464</t>
  </si>
  <si>
    <t>Dağyenice Mahalle parkı</t>
  </si>
  <si>
    <t>41.27231704806246, 28.484090316744496</t>
  </si>
  <si>
    <t>Değirmenköy Parkı</t>
  </si>
  <si>
    <t>41.09670435359833, 28.02553296847107</t>
  </si>
  <si>
    <t>Hürriyet Bulvarı Orta Refüj Ve Kavşaklar</t>
  </si>
  <si>
    <t>41.090878941140325, 28.503482281095533</t>
  </si>
  <si>
    <t>Karacaköy Mahalle parkı</t>
  </si>
  <si>
    <t>41.40062202197215, 28.38244308012424</t>
  </si>
  <si>
    <t>Rahmi Demir Kent Ormanı</t>
  </si>
  <si>
    <t>41.035331836923355, 29.18603492175112</t>
  </si>
  <si>
    <t>Otogar Güney Girişi</t>
  </si>
  <si>
    <t>41.036444329181585, 28.892178763909993</t>
  </si>
  <si>
    <t>M7- Oruç Reis Durağı Metro Doğu Çıkışı Peyzaj Düzenleme</t>
  </si>
  <si>
    <t>41.06349733309122, 28.855654954977442</t>
  </si>
  <si>
    <t>M7- Tekstilkent Durağı Metro Çıkışı Peyzaj Düzenleme</t>
  </si>
  <si>
    <t>41.07159817613904, 28.867165526250574</t>
  </si>
  <si>
    <t>Giyimkent Caddesi-Tem Kuzey Yan Yol Arası Kavşak</t>
  </si>
  <si>
    <t>41.073536959566916, 28.870679604052235</t>
  </si>
  <si>
    <t>Metris Kavşağı İkitelli Kavşağı Arası Yan Ve Orta Refüj</t>
  </si>
  <si>
    <t>41.08025115882597, 28.875499605127224</t>
  </si>
  <si>
    <t>İSKİ Saadetdere Mahalle Parkı</t>
  </si>
  <si>
    <t>41.00440732416024, 28.69507831264687</t>
  </si>
  <si>
    <t>Adile Naşit Bulvarı</t>
  </si>
  <si>
    <t>41.01305900484167, 28.681752481959936</t>
  </si>
  <si>
    <t>Esenkent Atatürk Bulvarı Kavşağı (İstinye Üniversitesi. Hastane Önü)</t>
  </si>
  <si>
    <t>41.05561464676814, 28.67108432297071</t>
  </si>
  <si>
    <t>Esenyurt Ahmet Arif Caddesi Kavşak Düzenleme İşi Yaşar Kemal Meydanı</t>
  </si>
  <si>
    <t>41.036665580681415, 28.669278812648198</t>
  </si>
  <si>
    <t>Haramidere Yaşam Vadisi 1.Etap 1.Kısım</t>
  </si>
  <si>
    <t>41.02909100260873, 28.6659446047556</t>
  </si>
  <si>
    <t>M7- Çırçır Durağı Metro Çıkışı Peyzaj Düzenleme</t>
  </si>
  <si>
    <t>41.07998558193329, 28.937427308166477</t>
  </si>
  <si>
    <t>M7-Alibeyköy Durağı Metro Çıkışı Peyzaj Düzenleme</t>
  </si>
  <si>
    <t>41.0785895847359, 28.94956381688503</t>
  </si>
  <si>
    <t>Silahtarağa Yeni Cami Önü Parkı</t>
  </si>
  <si>
    <t>41.063563339491175, 28.94110495682883</t>
  </si>
  <si>
    <t>Kemerburgaz Kent Ormanı</t>
  </si>
  <si>
    <t>41.16221445227407, 28.885378812653375</t>
  </si>
  <si>
    <t>Silahtarağa Gençlik Parkı ve Pierre Loti Meydanı (Haliç Kıyıları Yeşil Koridor ve Yaşam Vadisi 2.Etap)</t>
  </si>
  <si>
    <t>2.04.2023 tarihinde toplu açılışı oldu; 300 Günde 300 Proje</t>
  </si>
  <si>
    <t>41.07119612813405, 28.943591654977695</t>
  </si>
  <si>
    <t>Alibeyköy-Küçükköy Orta ve Yan Refüj (Alibeyköy Metro Yanı)</t>
  </si>
  <si>
    <t>41.0786142077033, 28.949592822536577</t>
  </si>
  <si>
    <t>Haliç Kıyıları Yeşil Koridor ve Yaşam Vadisi 2.Etap (Haliç Spor Parkı)</t>
  </si>
  <si>
    <t>41.041133148982496, 28.94302815188046</t>
  </si>
  <si>
    <t>Sarayburnu Parkı</t>
  </si>
  <si>
    <t>41.01697528779274, 28.986487297303665</t>
  </si>
  <si>
    <t>Sarayburnu Parkı 2.Etap</t>
  </si>
  <si>
    <t>Tekfur Sarayı ve Çevresi Yeşil Alanlar</t>
  </si>
  <si>
    <t>41.03500853677122, 28.940398461998427</t>
  </si>
  <si>
    <t>Haliç Kıyıları Yeşil Koridor ve Yaşam Vadisi 1.Etap (Unkapanı-Alibeyköy Arası Tramvay Hattı Çevresi)</t>
  </si>
  <si>
    <t>41.0410307984583, 28.943267252063617</t>
  </si>
  <si>
    <t>M7- Karadeniz Mahallesi Durağı Metro Çıkışı Peyzaj Düzenleme</t>
  </si>
  <si>
    <t>41.08144382464836, 28.87505729730642</t>
  </si>
  <si>
    <t>M7- Kazım Karabekir Durağı Metro Çıkışı Peyzaj Düzenleme</t>
  </si>
  <si>
    <t>41.08539792484661, 28.908579869523606</t>
  </si>
  <si>
    <t>M7- Veysel Karani Durağı Metro Çıkışı Peyzaj Düzenleme</t>
  </si>
  <si>
    <t>41.07979611966493, 28.929589583814032</t>
  </si>
  <si>
    <t>M7- Yeni Mahalle Durağı Metro Çıkışı Peyzaj Düzenleme</t>
  </si>
  <si>
    <t>41.08404387389775, 28.892449410798704</t>
  </si>
  <si>
    <t>M7- Yeşilpınar Durağı Metro Çıkışı Peyzaj Düzenleme</t>
  </si>
  <si>
    <t>41.08241620235524, 28.916081674367437</t>
  </si>
  <si>
    <t>Barboros Hayrettin Paşa Gençlik Merkezi Kreş Bahçesi</t>
  </si>
  <si>
    <t>41.0751091716229, 28.88788667662648</t>
  </si>
  <si>
    <t>Karadeniz Mahallesi Metro Durağı</t>
  </si>
  <si>
    <t>41.08138721463207, 28.87499292429092</t>
  </si>
  <si>
    <t>Hoca Nasrettin Parkı</t>
  </si>
  <si>
    <t>41.06204269359157, 28.90810602428994</t>
  </si>
  <si>
    <t>Güngören Kavşağı</t>
  </si>
  <si>
    <t>41.029267060564955, 28.867858646832925</t>
  </si>
  <si>
    <t>Yuvamız İstanbul Kreş Bahçeleri Güngören Kültür Merkezi</t>
  </si>
  <si>
    <t>41.010520642532164, 28.874574268467477</t>
  </si>
  <si>
    <t>Gölbaşı Parkı</t>
  </si>
  <si>
    <t>37.787863, 37.658592</t>
  </si>
  <si>
    <t>Piraziz Parkı</t>
  </si>
  <si>
    <t>40.944279228710094, 38.162582062496895</t>
  </si>
  <si>
    <t>Zonguldak Alaplı Peyzaj Projesi</t>
  </si>
  <si>
    <t>41.180374, 31.383017</t>
  </si>
  <si>
    <t>Fikirtepe Peyzaj Düzenleme (Söğütlüçeşme Kav.- Uzunçayır Kav. Arası Bağlantı Yolu)</t>
  </si>
  <si>
    <t>40.99722786898885, 29.05408895054068</t>
  </si>
  <si>
    <t>Göztepe Kavşağı</t>
  </si>
  <si>
    <t>40.99243224475711, 29.071213310794953</t>
  </si>
  <si>
    <t>Göztepe Kavşağı-Kozyatağı Kavşağı Arası</t>
  </si>
  <si>
    <t>40.98696213768776, 29.08692915165913</t>
  </si>
  <si>
    <t>Kadıköy Rıhtım Caddesi</t>
  </si>
  <si>
    <t>40.99377664244502, 29.024709439630957</t>
  </si>
  <si>
    <t>Marmara Üniversitesi Başıbüyük Kampüsü</t>
  </si>
  <si>
    <t>40.95349970017796, 29.140670768465384</t>
  </si>
  <si>
    <t>Söğütlüçeşme Kav-Uzunçayır Kavşağı Arası Bağlantı Yolu</t>
  </si>
  <si>
    <t>40.99379713078183, 29.047345185472455</t>
  </si>
  <si>
    <t>İski Genel Müdürlük Önü Yamacı</t>
  </si>
  <si>
    <t>41.08800814026027, 28.962772606482456</t>
  </si>
  <si>
    <t>M7-Kağıthane Durağı Metro Çıkışı Peyzaj Düzenleme</t>
  </si>
  <si>
    <t>41.079821346020964, 28.973224925654314</t>
  </si>
  <si>
    <t>Nurtepe Viyadük Çevresi</t>
  </si>
  <si>
    <t>41.076067287810545, 28.95800738804895</t>
  </si>
  <si>
    <t>Cendere Caddesi</t>
  </si>
  <si>
    <t>41.08750992186664, 28.981848568470685</t>
  </si>
  <si>
    <t>Cendere Yaşam Vadisi 1.Etap 1.Kısım</t>
  </si>
  <si>
    <t>Kağıthane-Sarıyer</t>
  </si>
  <si>
    <t>41.08716254104814, 28.980171026142436</t>
  </si>
  <si>
    <t>Cendere Yaşam Vadisi 2.Etap</t>
  </si>
  <si>
    <t>41.10083231978419, 28.97961383992504</t>
  </si>
  <si>
    <t>Anadolu Adliye 1. Ve 2. Etap</t>
  </si>
  <si>
    <t>40.91510560800367, 29.17844164147924</t>
  </si>
  <si>
    <t>Kartal Kreş Bahçesi</t>
  </si>
  <si>
    <t>40.899152, 29.192528</t>
  </si>
  <si>
    <t>Kartal Anadolu Adliyesi 2. Etap</t>
  </si>
  <si>
    <t>40.91497588666791, 29.178387997299644</t>
  </si>
  <si>
    <t>Kartal Atatürk Parkı</t>
  </si>
  <si>
    <t>40.89439645243587, 29.212665826134778</t>
  </si>
  <si>
    <t>Egemenlik Bulvarı</t>
  </si>
  <si>
    <t>40.88983879588765, 29.187343647553337</t>
  </si>
  <si>
    <t>Kartal İDO-İBB Sosyal Tesisler Arası Kara ve Sahil Tarafı</t>
  </si>
  <si>
    <t>40.887309430036076, 29.187783381720777</t>
  </si>
  <si>
    <t>İBB Yol Bakım ve Onarım Şube Müdürlüğü Bahçesi</t>
  </si>
  <si>
    <t>40.91283703759922, 29.186273739170908</t>
  </si>
  <si>
    <t>Küçükçekmece Söğütlüçeşme Kreş Bahçesi</t>
  </si>
  <si>
    <t>41.02347179458923, 28.784514963409805</t>
  </si>
  <si>
    <t>Halkalı 4. Cadde Yan Refüj</t>
  </si>
  <si>
    <t>41.035922390291006, 28.770337526140423</t>
  </si>
  <si>
    <t>Küçükçekmece Gölü Sahil Parkı</t>
  </si>
  <si>
    <t>41.0037621794127, 28.769971931071854</t>
  </si>
  <si>
    <t>Ters Park</t>
  </si>
  <si>
    <t>40.915718614169116, 29.132710624284208</t>
  </si>
  <si>
    <t>Maltepe-Samandıra Karayolu</t>
  </si>
  <si>
    <t>40.97136968510197, 29.203708424286383</t>
  </si>
  <si>
    <t>Orhangazi Şehir Parkı Atletizm Pisti</t>
  </si>
  <si>
    <t>40.939276077394, 29.10934120405702</t>
  </si>
  <si>
    <t>Maltepe Adalet Meydanı</t>
  </si>
  <si>
    <t>40.92272727120493, 29.126676881956293</t>
  </si>
  <si>
    <t>Maltepe Samandıra Karayolu</t>
  </si>
  <si>
    <t>40.97128867833817, 29.203697695450465</t>
  </si>
  <si>
    <t>Küçükyalı Kavşağı Cep Parkı</t>
  </si>
  <si>
    <t>40.94575244154976, 29.103815573113085</t>
  </si>
  <si>
    <t>Çamlık Parkı</t>
  </si>
  <si>
    <t>40.90356764707007, 29.186407447049593</t>
  </si>
  <si>
    <t>Dedepaşa Caddesi Parkı</t>
  </si>
  <si>
    <t>40.93948065417855, 29.31104055497248</t>
  </si>
  <si>
    <t>Pendik Kreş Bahçesi</t>
  </si>
  <si>
    <t>40.939856651712155, 29.30604023785229</t>
  </si>
  <si>
    <t>Eski Ankara Asfaltı Caddesi Demokrasi Caddesi Kesişimi Eski Ankara Asfaltı Caddesi-Süleymaniye Bulvarı Kesişimi</t>
  </si>
  <si>
    <t>40.90577359921239, 29.382031378963863</t>
  </si>
  <si>
    <t>Pendik Yaşam Vadisi 1.Etap (Pendik Yaşam Korusu)</t>
  </si>
  <si>
    <t>40.87660381387657, 29.226303047807303</t>
  </si>
  <si>
    <t>Azizoğlu Cad. Orta Refüj</t>
  </si>
  <si>
    <t>40.89265554589276, 29.27066535341804</t>
  </si>
  <si>
    <t>Reyhanlı Caddesi - Ankara Caddesi Arası (Kurtköy Spor Kompleksi Karşısı)</t>
  </si>
  <si>
    <t>40.93108138963991, 29.32037479635032</t>
  </si>
  <si>
    <t>Yenişehir Oyun Parkı</t>
  </si>
  <si>
    <t>40.92478851041287, 29.301657650309725</t>
  </si>
  <si>
    <t>Abdurrahmangazi Parkı</t>
  </si>
  <si>
    <t>40.99800574552285, 29.224189268466976</t>
  </si>
  <si>
    <t>E-80 Otoyolu Yan Yolları ( İmam Rabbani Caddesi - Mehmet Akif Caddesi-Yakacık Caddesi Köprülü Kavşak )</t>
  </si>
  <si>
    <t>40.98164216216129, 29.216469753122684</t>
  </si>
  <si>
    <t>Sancaktepe Kreş Bahçesi</t>
  </si>
  <si>
    <t>41.015973, 29.245311</t>
  </si>
  <si>
    <t>Sancaktepe Çocuk Parkı</t>
  </si>
  <si>
    <t>41.001673, 29.230838</t>
  </si>
  <si>
    <t>Samandıra Kavşağı</t>
  </si>
  <si>
    <t>40.979802250381205, 29.220366137927513</t>
  </si>
  <si>
    <t>Samandıra-Başıbüyük Yolu</t>
  </si>
  <si>
    <t>40.95091581932259, 29.135337397301104</t>
  </si>
  <si>
    <t>Atayolu Caddesi</t>
  </si>
  <si>
    <t>40.989497505975066, 29.236837551537672</t>
  </si>
  <si>
    <t>İBB 9. Bölge Yol Bakım Müdürlüğü Bahçesi</t>
  </si>
  <si>
    <t>41.07777687307409, 29.338355797306285</t>
  </si>
  <si>
    <t>Atatürk Kent Ormanı (Hacıosman Korusu)</t>
  </si>
  <si>
    <t>41.13616683428437, 29.031931407131307</t>
  </si>
  <si>
    <t>Hidayetin Bağı Parkı</t>
  </si>
  <si>
    <t>41.17216421108577, 29.05571008381785</t>
  </si>
  <si>
    <t>Sarıyer İBB Kütüphane</t>
  </si>
  <si>
    <t>41.147867440102104, 29.040294139637165</t>
  </si>
  <si>
    <t>Sarıyer İlçe Emniyet Binası</t>
  </si>
  <si>
    <t>41.11017339304959, 29.0466360592843</t>
  </si>
  <si>
    <t>Sarıyer Atatürk Kent Ormanı Derbent Bölümü (Hacıosman)</t>
  </si>
  <si>
    <t>41.13167072689775, 29.035796684077578</t>
  </si>
  <si>
    <t>Zekeriyaköy Kumköy Caddesi Ortarefüjler</t>
  </si>
  <si>
    <t>41.24294824914747, 29.04060257775504</t>
  </si>
  <si>
    <t>41.10476897249608, 29.0462308376485</t>
  </si>
  <si>
    <t>Uskumruköy Parkı</t>
  </si>
  <si>
    <t>41.218510668899974, 29.02347056295594</t>
  </si>
  <si>
    <t>Baltalimanı Yaşam Vadisi 1.Etap</t>
  </si>
  <si>
    <t>41.0997169902421, 29.04548866847123</t>
  </si>
  <si>
    <t>Büyükdere Fidanlığı</t>
  </si>
  <si>
    <t>41.155306580057804, 29.026860181670322</t>
  </si>
  <si>
    <t>Çayırbaşı Tünel Bağlantı Kavşağı Orta ve Yan Refüj</t>
  </si>
  <si>
    <t>41.11217355546075, 29.041192912651226</t>
  </si>
  <si>
    <t>Selimpaşa Kreş Bahçesi</t>
  </si>
  <si>
    <t>41.0540853034634, 28.385168909586763</t>
  </si>
  <si>
    <t>Silivri Yeni Mahalle Çocuk Etkinlik Merkezi (ÇEM)</t>
  </si>
  <si>
    <t>41.09357130258117, 28.25833546591946</t>
  </si>
  <si>
    <t>Silivri Yaşam Vadisi 1.Etap</t>
  </si>
  <si>
    <t>41.07909657093608, 28.25091976847038</t>
  </si>
  <si>
    <t>Silivri Büyükçavuşlu Mahalle Parkı</t>
  </si>
  <si>
    <t>41.235058350665554, 28.059513508653364</t>
  </si>
  <si>
    <t>Silivri Yaşam Vadisi 2.Etap</t>
  </si>
  <si>
    <t>41.078036784411005, 28.24787888566548</t>
  </si>
  <si>
    <t>İBB Müjdat Gürsu Spor Tesisi Bahçesi</t>
  </si>
  <si>
    <t>41.088460061716916, 28.25941908196291</t>
  </si>
  <si>
    <t>Sultanbeyli Kreş Bahçesi</t>
  </si>
  <si>
    <t>40.99176713379287, 29.256235676967155</t>
  </si>
  <si>
    <t>Alibey Barajüstü Parkı</t>
  </si>
  <si>
    <t>41.10190178736364, 28.916933239635235</t>
  </si>
  <si>
    <t>Lütfi Aykaç Bulvarı (Vega Avm Önü) Kavşak</t>
  </si>
  <si>
    <t>41.09387377180267, 28.904111962376884</t>
  </si>
  <si>
    <t>İBB Sultangazi Ambar Binası ve Çevresi</t>
  </si>
  <si>
    <t>41.125189969697786, 28.848235527995435</t>
  </si>
  <si>
    <t>Şile - Ömerli Yolu Arası Yan Refüj &lt;br&gt;(Üvezli Köyü Alanı Gözlemecilerinin Karşısı)</t>
  </si>
  <si>
    <t>41.11454412086962, 29.444680282261125</t>
  </si>
  <si>
    <t>Şişli Mecidiyeköy Metro İstasyonu</t>
  </si>
  <si>
    <t>41.06451212975863, 28.99261079727239</t>
  </si>
  <si>
    <t>Abide-İ Hürriyet Parkı-Çağlayan Metro Durağı</t>
  </si>
  <si>
    <t>41.06121520458049, 28.98737882073164</t>
  </si>
  <si>
    <t>Maçka Demokrasi Parkı</t>
  </si>
  <si>
    <t>41.04479182121393, 28.99258648539793</t>
  </si>
  <si>
    <t>Birlik Sanayi Sitesi Kavşağı</t>
  </si>
  <si>
    <t>40.877209402919675, 29.3896939273936</t>
  </si>
  <si>
    <t>Kafkale Spor Kompleksi Bahçesi Revizyon Projesi</t>
  </si>
  <si>
    <t>40.833346558807406, 29.299428439624485</t>
  </si>
  <si>
    <t>Hal Yolu Caddesi</t>
  </si>
  <si>
    <t>40.8594537081262, 29.35439950558864</t>
  </si>
  <si>
    <t>Kaynarca Kavşağı - Aydınlı Yolu Kavşağı Arası</t>
  </si>
  <si>
    <t>40.93185160682038, 29.340764629211836</t>
  </si>
  <si>
    <t>Tuzla Yaşam Vadisi 1.Etap 1.Kısım</t>
  </si>
  <si>
    <t>40.82991355824902, 29.321609241475745</t>
  </si>
  <si>
    <t>Demokrasi Caddesi</t>
  </si>
  <si>
    <t>40.89908737289943, 29.363464960357298</t>
  </si>
  <si>
    <t>Tuzla Yaşam Vadisi 2. Etap</t>
  </si>
  <si>
    <t>40.827740337305585, 29.323419081952434</t>
  </si>
  <si>
    <t>Diriliş Caddesi Parkı</t>
  </si>
  <si>
    <t>41.015503271945356, 29.121078910795877</t>
  </si>
  <si>
    <t>Küçüksu Caddesi Orta ve Yan Refüjler</t>
  </si>
  <si>
    <t>41.06134228342875, 29.09613747442187</t>
  </si>
  <si>
    <t>Çamlıca Kavşağı (1. Kısım)</t>
  </si>
  <si>
    <t>41.02614865016589, 29.08364406204362</t>
  </si>
  <si>
    <t>Dudullu-Bakkalköy Arası Orta ve Yan Refüj</t>
  </si>
  <si>
    <t>40.96746302518337, 29.200358041231652</t>
  </si>
  <si>
    <t>15 Temmuz Şehitler Köprüsü-Altunizade Arası</t>
  </si>
  <si>
    <t>41.04113276139514, 29.038970108453995</t>
  </si>
  <si>
    <t>Çamlıca Cami Yakın Çevresi Düzenleme İşi</t>
  </si>
  <si>
    <t>41.03470273586395, 29.07052648208286</t>
  </si>
  <si>
    <t>Acıbadem Kavşağı</t>
  </si>
  <si>
    <t>41.01495217087959, 29.05681362417458</t>
  </si>
  <si>
    <t>Bulgurlu Metro İstasyonu</t>
  </si>
  <si>
    <t>41.016328208489284, 29.076324183811423</t>
  </si>
  <si>
    <t>Küçük Çamlıca Korusu</t>
  </si>
  <si>
    <t>41.02118989634772, 29.06457632243704</t>
  </si>
  <si>
    <t>Marmara İlahiyat Bahçesi</t>
  </si>
  <si>
    <t>41.02020589020345, 29.036593957720434</t>
  </si>
  <si>
    <t>Mimar Sinan Meydanı (Anıt Çevresi)</t>
  </si>
  <si>
    <t>41.02299509506177, 29.016899452833034</t>
  </si>
  <si>
    <t>Selimiye Parkı Yanı</t>
  </si>
  <si>
    <t>41.01079562990871, 29.01769601264718</t>
  </si>
  <si>
    <t>Balkan Şehirleri Parkı</t>
  </si>
  <si>
    <t>40.981423312496545, 28.90712177687984</t>
  </si>
  <si>
    <t>Küçükçekmece Lagün Parkı (Garip Dede)</t>
  </si>
  <si>
    <t>açıldı, tamamlandı, çıkaralım buradanToplam Alan : 16.865 M²Yeşil Alan : 8.800 M²Sert Zemin : 8..065 M²Oyun Alanı : 3 Adetfitness Alanı : 1 Adetspor Sahaları : 1 Adet (Basketbol Sahası)Yürüyüş Yolu :587 Mt (Kaldırım Düzenlemeleri Hariç)Bina : 1 Adet (Kütüphane-51,19 M² )Wc : 1 Adetgüvenlik Kulübesi : 2 Adetotopark Araç Sayısı : 153 Adet​</t>
  </si>
  <si>
    <t>40.98728031763001, 28.768298121903342</t>
  </si>
  <si>
    <t>Küçükçekmece Yanyol Peyzaj Ve Çevre Düzenleme İşi</t>
  </si>
  <si>
    <t>40.98605183896232, 28.769818454813503</t>
  </si>
  <si>
    <t>Ataköy-İkitelli Metro Hattı 1. Etabı</t>
  </si>
  <si>
    <t>1. Etabı İkitelli- Bahariye Arası 2,1 km ve 2 istasyon</t>
  </si>
  <si>
    <t>Bakırköy, Bahçelievler, Bağcılar, Küçükçekmece, Başakşehir</t>
  </si>
  <si>
    <t>41.071696195323796, 28.805966873279687</t>
  </si>
  <si>
    <t>Ataköy-İkitelli Metro Hattı Tamamı</t>
  </si>
  <si>
    <t>2. Etabı Bahariye- Ataköy Arası 11,3 km ve 9 istasyon</t>
  </si>
  <si>
    <t>Kabataş- Mecidiyeköy- Mahmutbey Metro Hattı 1.Etabı</t>
  </si>
  <si>
    <t>1. Etabı Mecidiyeköy- Mahmutbey Arası 18 km ve 15 istasyon</t>
  </si>
  <si>
    <t>Beyoğlu, Beşiktaş</t>
  </si>
  <si>
    <t>41.06615298200093, 28.994608274572116</t>
  </si>
  <si>
    <t>Kabataş- Mecidiyeköy- Mahmutbey Metro Hattı 2. Etabı</t>
  </si>
  <si>
    <t>2.Etabı Mecidiyeköy- Yıldız Arası 2 km ve 2 istasyon</t>
  </si>
  <si>
    <t>Çekmeköy-Sancaktepe - Sultanbeyli Metro Hattı</t>
  </si>
  <si>
    <t>1. Etabı Çekmeköy- Samandıra Merkez 6,5 km ve 5 istasyon</t>
  </si>
  <si>
    <t>Çekmeköy, Sancaktepe, Sultanbeyli</t>
  </si>
  <si>
    <t>40.99194934079795, 29.229010690225532</t>
  </si>
  <si>
    <t>Eminönü-Alibeyköy Ttamvay Hattı 1.Etabı</t>
  </si>
  <si>
    <t>1. Etabı Alibeyköy Cep Otogarı - Cibali arası 9 km ve 12 istasyon</t>
  </si>
  <si>
    <t>Eyüpsultan, Fatih</t>
  </si>
  <si>
    <t>41.024220, 28.960296</t>
  </si>
  <si>
    <t>Eminönü- Alibeyköy Tramvay Hattı 2.Etabı</t>
  </si>
  <si>
    <t>2 . Etabı Cibali- Eminönü Arası 1,1 km ve 2 istasyon</t>
  </si>
  <si>
    <t>41.024196, 28.960253</t>
  </si>
  <si>
    <t>Dudullu - Bostancı Metro Hattı</t>
  </si>
  <si>
    <t>Hattın Tamamı 14,3 km ve 13 istasyon</t>
  </si>
  <si>
    <t>Maltepe. Kadıköy, Ataşehir, Ümraniye</t>
  </si>
  <si>
    <t>41.015350924094285, 29.16434010030552</t>
  </si>
  <si>
    <t>Rumeli Hisarüstü - Aşiyan Fünikeler Hattı</t>
  </si>
  <si>
    <t>0,8 km ve 2 istasyon Hattın Tamamı</t>
  </si>
  <si>
    <t>Sarıyer , Beşiktaş</t>
  </si>
  <si>
    <t>41.081423801591626, 29.054405302697166</t>
  </si>
  <si>
    <t>Finüküler</t>
  </si>
  <si>
    <t>Pendik- Adalar Deniz Hattı</t>
  </si>
  <si>
    <t>Başladı, çıkaralım Deniz Ulaşımın Toplu Taşıma İçindeki 
Payı Artacak
Turistik Gezi Rotası Oluşturulacak
Pendik Toplu Taşıma Sistemiyle 
Entegre Edilecek</t>
  </si>
  <si>
    <t>40.87554303382778, 29.23642780445119</t>
  </si>
  <si>
    <t>Atatürk Caddesi Düzenlenmesi</t>
  </si>
  <si>
    <t>Cadde yenileme çalışması yapılmıştır.</t>
  </si>
  <si>
    <t>41.20474175188727, 28.716318057202027</t>
  </si>
  <si>
    <t>Çilingir Sazlıbosna Cadde Düzenlemesi</t>
  </si>
  <si>
    <t>1.500 m uzunluğundaki caddede geometrik düzenleme çalışması asfalt kaplaması ve yağmur suyu hattı da yapılarak tamamlanmıştır.</t>
  </si>
  <si>
    <t>41.2131248,28.7198004</t>
  </si>
  <si>
    <t>Tayakadın Yassıören Caddesi Düzenlenmesi</t>
  </si>
  <si>
    <t>1.500 m uzunluğundaki caddede yaya alanları yenilenmiştir.</t>
  </si>
  <si>
    <t>41.2534926,28.6700422</t>
  </si>
  <si>
    <t>Kayışdağı Caddesi Düzenlenmesi</t>
  </si>
  <si>
    <t>0.80 km uzunluğundaki caddede 1.613 m bordür döşenmesi, 4.410 m2 alanda plak taşı uygulaması çalışması yapılmıştır.</t>
  </si>
  <si>
    <t>40.9787372,29.1264074</t>
  </si>
  <si>
    <t>Barajyolu Caddesi Düzenlenmesi</t>
  </si>
  <si>
    <t>1.600 m uzunluğundaki caddede 6.417 m2 beton plak taş ile yaya alanı düzenlemesi yapılmıştır.3.145 m bordür de yapılarak Prestij Cadde uygulaması tamamlanmıştır.</t>
  </si>
  <si>
    <t>40.9938551,29.1406873</t>
  </si>
  <si>
    <t>Cumhuriyet Caddesi Düzenlenmesi</t>
  </si>
  <si>
    <t>745 m uzunluğundaki caddede aydınlatma alt yapısı da yenilenerek plak taş ile prestij cadde düzenleme çalışması yapılmıştır.</t>
  </si>
  <si>
    <t xml:space="preserve">2023 yılında asfaltı yapılmıştır.
</t>
  </si>
  <si>
    <t>40.9761165,28.7185405</t>
  </si>
  <si>
    <t>Kemal Sunal Caddesi Düzenlenmesi</t>
  </si>
  <si>
    <t>Park cepleri ve bisiklet yolunu da kapsayan cadde yenileme çalışması sahil boyunca;Sahil Yolu Sokak, İskele Caddesi, Kemal Sunal Caddesi ' ni de kapsayacak sekilde tamamlanmıştır.</t>
  </si>
  <si>
    <t>40.9748768,28.7430457</t>
  </si>
  <si>
    <t>Dr.Sadık Ahmet Caddesi Düzenlenmesi</t>
  </si>
  <si>
    <t xml:space="preserve">2023 yılında aşınma asfaltı yapılmıştır.
</t>
  </si>
  <si>
    <t>40.9738106,28.7313936</t>
  </si>
  <si>
    <t>Yıldırım Beyazıt Caddesii Düzenlenmesi</t>
  </si>
  <si>
    <t>850 m uzunluğundaki caddede altyapı tesisleri de yenilenerek beton plak taş ile prestij cadde çalışması yapılmıştır.</t>
  </si>
  <si>
    <t>41.0034222,28.7013215</t>
  </si>
  <si>
    <t>Zİya Gökalp Caddesi Trafik Sirkülasyon ve Geometrik Düzenleme Çalışması</t>
  </si>
  <si>
    <t>41.0745782,28.7130322</t>
  </si>
  <si>
    <t>Dr.Sadık Ahmet Cad. Düzenlenmesi</t>
  </si>
  <si>
    <t>650 m uzunluğundaki caddede 5.800 m2 plak taş ile aydınlatma elemanları ve elektrik alt yapısı da yenilenerek yaya alanları düzenlenmiştir.</t>
  </si>
  <si>
    <t>41.0321002,28.8689020</t>
  </si>
  <si>
    <t>Siyavuşpaşa Caddesi, Fetih Caddesi, Barbaros Caddesi Ve Adnan Kahveci Bulvarı Düzenlenmesi</t>
  </si>
  <si>
    <t>40.9962088,28.8514315</t>
  </si>
  <si>
    <t>Demiryolu Caddesi Düzenlenmesi</t>
  </si>
  <si>
    <t>Prestij Cadde düzenlemesi yapılmıştır.</t>
  </si>
  <si>
    <t>40.9622584,28.8298999</t>
  </si>
  <si>
    <t>Fişekhane-İstanbul Caddesi Düzenlenmesi</t>
  </si>
  <si>
    <t>40.9783989,28.8743827</t>
  </si>
  <si>
    <t>Florya Caddesi Düzenlenmesi</t>
  </si>
  <si>
    <t>40.9793648,28.7926625</t>
  </si>
  <si>
    <t>Akmescit-Şükran Çiftliği Sokakları Düzenlenmesi</t>
  </si>
  <si>
    <t>40.9806096,28.8676479</t>
  </si>
  <si>
    <t>İncirli Cadddesi Düzenlenmesi</t>
  </si>
  <si>
    <t>Proje kapsamında 11.750 m2 doğal taş ve 1.900 m2 poroz asfalt alanı ile toplam 13.650 m2 lik yaya alanı düzenlenmiştir. Asfaltı yenilenmiş, kent mobilyaları eklenmiş, park cepleri ve toplu taşıma araçlarının durakları da düzenlenmiştir.</t>
  </si>
  <si>
    <t>40.9889514,28.8716000</t>
  </si>
  <si>
    <t>İskele Huban Sokak Düzenlenmesi</t>
  </si>
  <si>
    <t>40.9786185,28.8776246</t>
  </si>
  <si>
    <t>Halkalı Caddesi Düzenlenmesi</t>
  </si>
  <si>
    <t>40.9624900,28.8205800</t>
  </si>
  <si>
    <t>İncirli Caddesi 2. Etap Düzenlenmesi</t>
  </si>
  <si>
    <t>Dikilitaş'tan D-100'e kadar 3.800 m2 lik alanda plak taş ile prestij cadde çalışması yapılmış olup, altyapısı ve aydınlatma elemanları yenilenmiştir.</t>
  </si>
  <si>
    <t>40.9817736,28.8740155</t>
  </si>
  <si>
    <t>Bordür ve Tretuvar Yapımı</t>
  </si>
  <si>
    <t>Yeşilyurt İstasyon Caddesi Düzenlenmesi</t>
  </si>
  <si>
    <t>40.9667662,28.8389795</t>
  </si>
  <si>
    <t>İstiklal Caddesi Düzenlenmesi</t>
  </si>
  <si>
    <t>5.000 m uzunluğundaki caddede yaklaşık 33.800 m2 lik alanda beton kaldırım ile geometrik düzenleme çalışması tamamlanmıştır.</t>
  </si>
  <si>
    <t>41.0784485,28.7814129</t>
  </si>
  <si>
    <t>Medeniyet Caddesi Trafik Sirkülasyon ve Geometrik Düzenleme Çalışması</t>
  </si>
  <si>
    <t>41.0799954,28.6575725</t>
  </si>
  <si>
    <t>Mercedes Bulvarı Geometrik Düzenlemesi</t>
  </si>
  <si>
    <t>41.085325, 28.652024</t>
  </si>
  <si>
    <t>Millet Caddesi Düzenlenmesi</t>
  </si>
  <si>
    <t>41.0665916,28.8910205</t>
  </si>
  <si>
    <t>Şehir Parkı Caddesi Düzenlenmesi</t>
  </si>
  <si>
    <t>41.0560965,28.8918073</t>
  </si>
  <si>
    <t>Bebek Arnavutköy Caddesi Düzenlenmesi</t>
  </si>
  <si>
    <t>41.0670786,29.0437138</t>
  </si>
  <si>
    <t>Kuruçeşme Caddesi Düzenlenmesi</t>
  </si>
  <si>
    <t>41.0596737,29.0361738</t>
  </si>
  <si>
    <t>Nispetiye Caddesi Düzenlenmesi</t>
  </si>
  <si>
    <t>41.0804812,29.0339349</t>
  </si>
  <si>
    <t>Çırağan Caddesi Düzenlenmesi</t>
  </si>
  <si>
    <t>41.0449472,29.0169600</t>
  </si>
  <si>
    <t>Barbaros Bulvarı Düzenlenmesi</t>
  </si>
  <si>
    <t>2.300 m uzunluğundaki caddede toplam 24.000 m2 lik alanda doğal taş ile prestij cadde uygulaması yapılmıştır. 725 m uzunluğunda yeni bisiklet yolu da proje kapsamında tamamlanmıştır. Yağmur suyu kanal imalatı ve asfalt kaplaması da yapılan caddeye kent mobilyaları eklenmiş, 1.700 m2 traverten kaplama ile yeşil alan çevreleri de düzenlenmiştir.</t>
  </si>
  <si>
    <t>41.0572890,29.0102240</t>
  </si>
  <si>
    <t>Tepecik Yolu Caddesi Düzenlenmesi</t>
  </si>
  <si>
    <t>1.350 m uzunluğundaki caddede aydınlatma alt yapısı ve aydınlatma elemanları, fiber alt yapısı, asfaltı yenilenip; park cepleri de oluşturularak prestij cadde çalışması tamamlanmıştır.</t>
  </si>
  <si>
    <t>41.0848197,29.0327336</t>
  </si>
  <si>
    <t>Ihlamur Yıldız Caddesi Prestij Cadde Düzenleme</t>
  </si>
  <si>
    <t>600 m uzunluğundaki caddede fiber ve aydınlatma altyapısı ile aydınlatma elemanları yenilenip, park cepleri de oluşturularak 3.250 m2 lik yaya alanında doğal taş uygulaması ile prestij cadde çalışması tamamlanmıştır.</t>
  </si>
  <si>
    <t>41.0505400,29.0052179</t>
  </si>
  <si>
    <t>1 km uzunluğundaki caddede 3250 m2 alanda beton plak taş ve 2600 m2 beton tretuvar uygulaması , 1615 mt bordür imalatı ile prestij cadde çalışması yapılmıştır. İki ilçede de var</t>
  </si>
  <si>
    <t>41.0834605,29.0839125</t>
  </si>
  <si>
    <t>Akbaba Caddesi Düzenlenmesi</t>
  </si>
  <si>
    <t>1.50 km uzunluğundaki caddede 2910 m2 alanda beton tretuvar çalışması yapılmıştır.</t>
  </si>
  <si>
    <t>41.1484422,29.0961807</t>
  </si>
  <si>
    <t>Kelle İbrahim Caddesi Düzenlenmesi</t>
  </si>
  <si>
    <t>0.20 km uzunluğundaki caddede 1331 m2 plak taşı kaplanarak tretuvar yenilemesi yapılmıştır.</t>
  </si>
  <si>
    <t>41.1289728,29.0947959</t>
  </si>
  <si>
    <t>700 m uzunluğundaki caddede 4.290 m2 alanda plak taş ve 1.472 m bordür ile prestij cadde çalışması yapılmıştır. Yaya alanları genişletilmiş olup, park cepleri düzenlenmiştir.</t>
  </si>
  <si>
    <t>41.0902572,29.1164703</t>
  </si>
  <si>
    <t>Rüzgarlıbahçe cadde Düzenlenmesi</t>
  </si>
  <si>
    <t>2.90 km uzunluğundaki caddede 6037 m2 plak taşı kaplama 4217 mt bordür, 585 m2 beton tretuvar ve 611 m3 taş duvar ile prestij cadde düzenlemesi yapılmıştır.</t>
  </si>
  <si>
    <t>41.0879246,29.1012608</t>
  </si>
  <si>
    <t>Atatürk Bulvarı Düzenlenmesi</t>
  </si>
  <si>
    <t>Prestij Cadde düzenlemesi yapılmıştır. 2025 Asfalt programındadır.</t>
  </si>
  <si>
    <t>41.0000617,28.6473343</t>
  </si>
  <si>
    <t>Derviş Eroğlu Caddesi Düzenlenmesi</t>
  </si>
  <si>
    <t>41.0111871,28.6369317</t>
  </si>
  <si>
    <t>Enver Adakan Caddesi Düzenlenmesi</t>
  </si>
  <si>
    <t>1.100 m bisiklet yolu oluşturulan caddede 8.000 m2 lik alanda beton plak taş ile prestij cadde düzenleme çalışması tamamlanmıştır. Fiber optik hat ve aydınlatma altyapısı yenilenmiş, park cebi uygulaması yapılmıştır.</t>
  </si>
  <si>
    <t>41.0038180,28.6492920</t>
  </si>
  <si>
    <t>Harbiye Caddesi Düzenlenmesi</t>
  </si>
  <si>
    <t xml:space="preserve">Prestij Cadde düzenlemesi yapılmıştır.-------Ayrıca 2025 Asfalt programındadır.--------
</t>
  </si>
  <si>
    <t xml:space="preserve">-------Ayrıca 2025 Asfalt programındadır.--------
</t>
  </si>
  <si>
    <t>40.9929403,28.6348137</t>
  </si>
  <si>
    <t>Hürriyet Bulvarı Düzenlenmesi</t>
  </si>
  <si>
    <t>40.9908681,28.6681865</t>
  </si>
  <si>
    <t>Rıfat Ilgaz Caddesi Düzenlenmesi</t>
  </si>
  <si>
    <t>18.000 m2 lik yaya alanı ve bisiklet yolu içeren proje, 1.200 m lik araç yolu beton yol yapılarak tamamlanmış, yolun geri kalanının asfaltı ise yenilenmiştir. Ayrıca 2.740 m uzunluğunda yağmur suyu ahttı da yapılmıştır.</t>
  </si>
  <si>
    <t>40.9910381,28.6498144</t>
  </si>
  <si>
    <t>Yavuz Sultan Selim Bulvarı Prestij Cadde Düzenleme</t>
  </si>
  <si>
    <t>2.300 m uzunluğundaki caddede 18.000 m2 alanda plak taş ile prestij cadde düzenlemesi yapılmıştır. Kent mobilyaları da eklenen caddede bisiklet yolu mevcuttur.</t>
  </si>
  <si>
    <t>41.0049665,28.6259514</t>
  </si>
  <si>
    <t>Kurtuluş Deresi Caddesi Düzenlenmesi</t>
  </si>
  <si>
    <t>41.0386781,28.9726278</t>
  </si>
  <si>
    <t>Piyalepaşa Bulvarı Prestij Cadde Düzenleme</t>
  </si>
  <si>
    <t>1.100 m uzunluğundaki caddede 8.000 m2 lik alanda plak taş ile yaya alanı düzenlenmiş, aydınlata elemanları yenilenmiştir.</t>
  </si>
  <si>
    <t>41.041328, 28.966520</t>
  </si>
  <si>
    <t>Kemankeş Caddesi- Meclisi Mebusan Caddesi Düzenleme İşi</t>
  </si>
  <si>
    <t>41.0273206,28.9821327</t>
  </si>
  <si>
    <t>Behçet Kemal Çağlar Caddesi Düzenlenmesi</t>
  </si>
  <si>
    <t xml:space="preserve">2020 yılında asfaltı yapılmıştır.
</t>
  </si>
  <si>
    <t>41.0276420,28.5887130</t>
  </si>
  <si>
    <t>Dr.Hasan Akgün Caddesi Düzenlenmesi</t>
  </si>
  <si>
    <t>41.046730, 28.547256</t>
  </si>
  <si>
    <t>Çarmıklı Caddesi Düzenlenmesi</t>
  </si>
  <si>
    <t>850 m uzunluğundaki caddede plak taş ile prestij cadde çalışması yapılmıştır. 1.800 m uzunluğunda yeni bisiklet yolu da çalışma kapsamında tamamlanmıştır.</t>
  </si>
  <si>
    <t xml:space="preserve">2022 yılında asfaltı yapılmıştır.
</t>
  </si>
  <si>
    <t>41.0034205,28.5327725</t>
  </si>
  <si>
    <t>Yiğittürk Caddesi Düzenlenmesi</t>
  </si>
  <si>
    <t>1.100 m uzunluğundaki caddede; yol genişletme çalışması ve bisiklet yolu da yapılarak kesintisiz yaya alanı oluşturulmuştur.</t>
  </si>
  <si>
    <t>41.0244740,28.5854530</t>
  </si>
  <si>
    <t>Parmaksız Caddesi Düzenlenmesi</t>
  </si>
  <si>
    <t>5.600 m2 lik alanda plak taş ile prestij cadde düzenlemesi yapılmıştır. Aydınlatma ve fiber optik altyapıları ve asfaltı yenilenen caddede park cepleri de oluşturulmuştur.</t>
  </si>
  <si>
    <t>41.0126373,28.6047200</t>
  </si>
  <si>
    <t>Atatürk 2 Caddesi Prestij Cadde Düzenleme İşi</t>
  </si>
  <si>
    <t>2.500 m uzunluğundaki caddede 10.500 m2 yaya alanı düzenlemiş olup, tek taraflı olarak bisiklet yolu mevcuttur.</t>
  </si>
  <si>
    <t xml:space="preserve">Asfalt binder tabakası atıldı aşınma asfalt bekleniyor.
</t>
  </si>
  <si>
    <t>41.016919, 28.593473</t>
  </si>
  <si>
    <t>Kemal Atatürk Caddesi Prestij Cadde Düzenleme İşi</t>
  </si>
  <si>
    <t>2.800 m2 doğal taş ve 1.250 m2 küptaş ile prestij cadde düzenlemesi yapılarak, cadde araç trafiğine kapatılmıştır. Kent mobilyaları kerleştirilmektedir.</t>
  </si>
  <si>
    <t>41.0219720,28.5800530</t>
  </si>
  <si>
    <t>Piri Reis Caddesi Düzenlenmesi</t>
  </si>
  <si>
    <t>1.000 m uzunluğundaki caddede 4.000 m2 yaya alanı düzenlenmiştir.</t>
  </si>
  <si>
    <t>41.0084624,28.5449234</t>
  </si>
  <si>
    <t>Bağdatlı Caddesi Trafik Sirkülasyon ve Geometrik Düzenleme Çalışması</t>
  </si>
  <si>
    <t>41.0395599,28.4424094</t>
  </si>
  <si>
    <t>Başkumandan Caddesi Düzenlenmesi</t>
  </si>
  <si>
    <t>41.3227381,28.1017268</t>
  </si>
  <si>
    <t>Vezir Ferhatpaşa Caddesi Düzenlenmesi</t>
  </si>
  <si>
    <t>3.300 m uzunluğundaki caddede 12.500 m2 lik alanda doğal taş ve plak taş ile prestij cadde çalışması tamamlanmıştır. Ayrıca 2.520 m uzunluğunda yağmur suyu hattı çalışması yapılmış, aydınlatma elemanları ve asfaltı da yenilenmiştir.</t>
  </si>
  <si>
    <t>41.1401279,28.4605763</t>
  </si>
  <si>
    <t>Stad Caddesi Düzenlenmesi</t>
  </si>
  <si>
    <t>41.1422590,28.4574690</t>
  </si>
  <si>
    <t>Hallaçlı - Aydınlar Yolu Beton Yol</t>
  </si>
  <si>
    <t>11.600 m uzunluğundaki yol 7.5 m ye genişletilerek beyaz yol uygulaması yapılmıştır.</t>
  </si>
  <si>
    <t>41.3213000,28.1008000</t>
  </si>
  <si>
    <t>Hallaçlı - Çayırdere Caddesi Beton Yol Düzenlenmesi</t>
  </si>
  <si>
    <t>5.800 m uzunluğundaki caddede yol 7.5 m ye çıkarılarak bayaz yol uygulaması yapılmıştır.</t>
  </si>
  <si>
    <t>Osman Gazi Mah.Genç Osman Cad. Tretuvar Ve Asfalt Yol Yapımı</t>
  </si>
  <si>
    <t xml:space="preserve">2023 yılında binder asfalt yapılmıştır.
</t>
  </si>
  <si>
    <t>41.0530809,28.6435636</t>
  </si>
  <si>
    <t>Fevzi Çakmak Caddesi Düzenlenmesi</t>
  </si>
  <si>
    <t>41.1871598,28.8829816</t>
  </si>
  <si>
    <t>Saya Yolu Caddesi Düzenlenmesi</t>
  </si>
  <si>
    <t>1.120 m uzunluğundaki caddede 6.133 m2 lik alanda plak taş ile yaya alanı yenilenmiştir. Asfaltı, fiber alt yapısı ve eski aydınlatma direkleri yenilenmiştir.</t>
  </si>
  <si>
    <t>41.0780260,28.9341584</t>
  </si>
  <si>
    <t>İstanbul Caddesi Düzenlenmesi</t>
  </si>
  <si>
    <t>41.1887000,28.8750370</t>
  </si>
  <si>
    <t>İstanbul Caddesi Trafik Sirkülasyon ve Geometrik Düzenleme Çalışması</t>
  </si>
  <si>
    <t>Abdülezelpaşa Caddesi (Deniz Tarafı) Düzenlenmesi</t>
  </si>
  <si>
    <t>2.700 m uzunluğundaki caddede 10.000 m2 lik alanda beton ve doğal taş ile prestij cadde düzenlemesi yapılmıştır. Ayrıca yağmur suyu hatı ve asfaltı da yenilenmiştir.</t>
  </si>
  <si>
    <t>41.0269198,28.9575995</t>
  </si>
  <si>
    <t>Fatih Necmettin Erbakan Caddesi Düzenlenmesi</t>
  </si>
  <si>
    <t>41.0201690,28.9338640</t>
  </si>
  <si>
    <t>Ertuğrul Gazi Ve Cebeci Caddesi Düzenlenmesi</t>
  </si>
  <si>
    <t>41.0820997,28.8927063</t>
  </si>
  <si>
    <t>Söğütlüçeşme Caddesi Düzenlenmesi</t>
  </si>
  <si>
    <t>360 m uzunluğundaki caddede 2.242 m2 alanda beton plak taş ve 625 m bordür imalatı ile prestij cadde uygulaması yapılmıştır.</t>
  </si>
  <si>
    <t>40.9906035,29.0294003</t>
  </si>
  <si>
    <t>Mandıra Caddesi Düzenlenmesi</t>
  </si>
  <si>
    <t>1.300 m uzunluğundaki caddede 2.708 m2 alanda beton tretuvar imalatı yapılmıştır.</t>
  </si>
  <si>
    <t>40.9914167,29.0569509</t>
  </si>
  <si>
    <t>Gazhane Müzesi Çevresi Düzenlenmesi</t>
  </si>
  <si>
    <t>3.103 m2 alanda beton plak taş ve 175 m2 alanda doğaltaş ile 1.000 m uzunluğunda prestij cadde uygulaması yapılmıştır.</t>
  </si>
  <si>
    <t>40.9961818,29.0426306</t>
  </si>
  <si>
    <t>Prof.Dr.Hulusi Behçet Caddesi Düzenlenmesi</t>
  </si>
  <si>
    <t>2.700 m2 plak taş, 1.080 m uzunluğunda tretuvar çalışması yapılmıştır.</t>
  </si>
  <si>
    <t>40.9692395,29.0584992</t>
  </si>
  <si>
    <t>Cemil Topuzlu Caddesi Düzenlenmesi</t>
  </si>
  <si>
    <t>2.20 km uzunluğundaki caddede 14.471 m2 alanda doğal granit plak taş ile tretuvar 4765 mt bordür döşenmesi ile prestij cadde çalışması yapılmıştır.</t>
  </si>
  <si>
    <t>40.9686268,29.0543750</t>
  </si>
  <si>
    <t>Fener Kalaamış - Ahmet Mithat Efendi Caddeleri</t>
  </si>
  <si>
    <t>7.800 m2 granit döşeme ile 1.000 m uzunluğunda tretuvar çalışması yapılarak 48 adet aydınlatma direği kullanılmıştır.</t>
  </si>
  <si>
    <t>40.9818744,29.0576298</t>
  </si>
  <si>
    <t>Acıbadem Caddesi Prestij Cadde Düzenleme</t>
  </si>
  <si>
    <t>18.800 m2 doğal taş tretuvar, 5.600 m finişerli bordür yapılmıştır. Toplam uzunluk 3.250 m olup 99 adet bank kullanılarak cadde tamamlanmıştır.</t>
  </si>
  <si>
    <t>Kadıköy, Üsküdar</t>
  </si>
  <si>
    <t>41.0051967,29.0455048</t>
  </si>
  <si>
    <t>Abacı Yokuşu Sokak Düzenlenmesi</t>
  </si>
  <si>
    <t>41.09945153316188, 28.985283322820695</t>
  </si>
  <si>
    <t>Cendere Caddesi Düzenlenmesi</t>
  </si>
  <si>
    <t>3.500 m uzunluğundaki caddede, yol genişletme ve yaya alanı yenileme çalışmaları tamamlanmıştır.</t>
  </si>
  <si>
    <t>41.0874210,28.9818593</t>
  </si>
  <si>
    <t>Galata Deresi Caddesi Düzenlenmesi</t>
  </si>
  <si>
    <t>41.076244, 28.996567</t>
  </si>
  <si>
    <t>Mustafa Kemal Caddesi Düzenlenmesi</t>
  </si>
  <si>
    <t>1.300 m uzunluğundaki caddede 7.126 m2 plak taşı kaplama,2.510 m bordür döşenmesi ile prestij cadde çalışması yapılmıştır.</t>
  </si>
  <si>
    <t>40.9129260,29.1755037</t>
  </si>
  <si>
    <t>Spor Caddesi Düzenlenmesi</t>
  </si>
  <si>
    <t>1.450 m uzunluğundaki caddede 9.480 m2 plak taşı tretuvar, 2.792 m bordür ile prestij cadde çalışması yapılmıştır.</t>
  </si>
  <si>
    <t>40.8944429,29.1986980</t>
  </si>
  <si>
    <t>Neyzen Tevfik Meydanı Çevresi Düzenlenmesi</t>
  </si>
  <si>
    <t>950 m uzunluğundaki caddede 6.412 m2 doğal granit kaplama,802 m2 beton tretuvar,660 m2 plak taşı kaplama yapılması ve 1.875 mt bordür döşenmesi ile prestij cadde çalışması yapılmıştır.</t>
  </si>
  <si>
    <t>40.8892890,29.1904750</t>
  </si>
  <si>
    <t>Adnan Kahveci Caddesi Düzenlenmesi</t>
  </si>
  <si>
    <t>2.100 m uzunluğundaki caddede 855 m2 beton plaktaş, 15.277 m2 beton tretuvar yapılmıştır.</t>
  </si>
  <si>
    <t>40.9057385,29.2265322</t>
  </si>
  <si>
    <t>Üst Hatboyu Caddesi Düzenlenmesi</t>
  </si>
  <si>
    <t>40.9998612,28.7677224</t>
  </si>
  <si>
    <t>Atakent Atatürk Caddesi Ve Çevresi Düzenlenmesi</t>
  </si>
  <si>
    <t>41.0523018,28.7773780</t>
  </si>
  <si>
    <t>Halkalı Caddesi 1. Etap Prestij Cadde Düzenleme İşi</t>
  </si>
  <si>
    <t>40.9995370,28.7966465</t>
  </si>
  <si>
    <t>1.200 m uzunluğundaki caddede 8.486 m2 beton plak taşı, 4.880 m2 doğal taş imalatı ile prestij cadde çalışması yapılmıştır.</t>
  </si>
  <si>
    <t>40.9489228,29.1154652</t>
  </si>
  <si>
    <t>Bağdat Caddesi Düzenlenmesi</t>
  </si>
  <si>
    <t>300 m uzunluğundaki caddede 1.665 m2 plak taşı kaplama 600 m bordür uygulaması ile prestij cadde çalışması yapılmıştır.</t>
  </si>
  <si>
    <t>40.9334926,29.1262910</t>
  </si>
  <si>
    <t>Rıhtım Caddesi Düzenleme Projesi</t>
  </si>
  <si>
    <t>200 m uzunluğunda 440 m2 plak taşı uygulaması yapılmıştır.</t>
  </si>
  <si>
    <t>40.9223786,29.1273440</t>
  </si>
  <si>
    <t>1.692 m2 alanda beton plak taş tretuvar, 874 m bordür 4.023 m3 taş duvar imalatı ile prestij cadde çalışması yapılmıştır.</t>
  </si>
  <si>
    <t>40.9381454,29.1263530</t>
  </si>
  <si>
    <t>Bahçelievler Caddesi Düzenlenmesi</t>
  </si>
  <si>
    <t>900 m uzunluğundaki caddede 7.660 m2 alanda plak taşı uygulaması, 1.825 m bordür döşemesi, 38 adet dekoratif aydınlatma direği ile çalışması tamamlanmıştır.</t>
  </si>
  <si>
    <t>41.0094608,29.2420997</t>
  </si>
  <si>
    <t>1. Cadde- Kilyos Caddesi Arası Düzenlenmesi</t>
  </si>
  <si>
    <t>41.2047873,29.0218766</t>
  </si>
  <si>
    <t>Kilyos Caddesi Düzenlenmesi</t>
  </si>
  <si>
    <t>41.1849340,29.0431788</t>
  </si>
  <si>
    <t>Uskumru Ve Salihpaşa Caddeleri Düzenlenmesi</t>
  </si>
  <si>
    <t>41.2204501,29.0231933</t>
  </si>
  <si>
    <t>Mareşal Fevzi Çakmak Caddesi Düzenlenmesi</t>
  </si>
  <si>
    <t>41.1683762,28.9907347</t>
  </si>
  <si>
    <t>Erkin Balaban Caddesi Düzenlenmesi</t>
  </si>
  <si>
    <t>41.0841366,28.2556681</t>
  </si>
  <si>
    <t>Seymen Köy Meydanı Düzenlenmesi</t>
  </si>
  <si>
    <t>41.0736780,28.2478680</t>
  </si>
  <si>
    <t>Uğur Bıçaker- Karasinan Caddesi (Beton Yol) Düzenlenmesi</t>
  </si>
  <si>
    <t>Beton yol yapılmıştır.</t>
  </si>
  <si>
    <t>Akören Yolu Beton Yol Düzenlemesi</t>
  </si>
  <si>
    <t>10.600 m uzunluğundaki yol 7.5 m genişliğe çıkartılarak beyaz yol uygulaması yapılmıştır.</t>
  </si>
  <si>
    <t>41.2000122,28.3444226</t>
  </si>
  <si>
    <t>Danamandıra-Sayalar Beton Yol Düzenlemesi</t>
  </si>
  <si>
    <t>5.500 m uzunluğundaki yol 7.5 m genişliğe çıkarılarak beyaz yol uygulaması yapılmıştır.</t>
  </si>
  <si>
    <t>Milli Şair Caddesi Düzenlenmesi</t>
  </si>
  <si>
    <t>41.301141, 28.124057</t>
  </si>
  <si>
    <t>Sayalar- Aydınlar Beton Yol Düzenlemesi</t>
  </si>
  <si>
    <t>4.500 m uzunluğundaki yol 7.5 m genişliğe çıkartılarak beyaz yol uygulaması yapılmıştır.</t>
  </si>
  <si>
    <t>41.316578812032105, 28.17495875212744</t>
  </si>
  <si>
    <t>Silivri Kiptaş -Fatih Sultan Mehmet Caddesi Düzenlenmesi</t>
  </si>
  <si>
    <t>12.700 m2 lik alanda beton tretuvar ile yaya alanı düzenlemesi yapılmıştır.</t>
  </si>
  <si>
    <t>41.0855510,28.1941350</t>
  </si>
  <si>
    <t>Cebeci Taş Ocakları Yol Yapımı</t>
  </si>
  <si>
    <t>41.1209107,28.8765758</t>
  </si>
  <si>
    <t>Cebeci Köy Meydanı Düzenlenmesi</t>
  </si>
  <si>
    <t>Cebeci Köy Meydanı kent mobilyalarıyla düzenlenmiştir.</t>
  </si>
  <si>
    <t>41.1221210,28.8792300</t>
  </si>
  <si>
    <t>Lütfi Aykaç Bulvarı Düzenlenmesi</t>
  </si>
  <si>
    <t>41.0938583,28.9042868</t>
  </si>
  <si>
    <t>Ağva Merkez Yol Genişletme Ve Tretuvar</t>
  </si>
  <si>
    <t>320 m uzunluğunda beton tretuvar yapılmıştır</t>
  </si>
  <si>
    <t>41.1749030,29.6095880</t>
  </si>
  <si>
    <t>Yaşam Caddesi Yol Genişletme Ve Tretuvar Yapımı</t>
  </si>
  <si>
    <t>1.100 m uzunluğunda beton tretuvar yapılmıştır.</t>
  </si>
  <si>
    <t>Rumeli Caddesi Düzenlenmesi</t>
  </si>
  <si>
    <t>4.000 m2 doğal taş ve 1.000 m2 plak taş ile yaya alanı yenilenen caddede yağmur suyu hattı yapımı, aydınlatma direk ve armatürlerinin yenilenmesi ile prestij cadde düzenlemesi tamamlanmıştır.</t>
  </si>
  <si>
    <t>41.0534007,28.9882926</t>
  </si>
  <si>
    <t>Kurtuluş Caddesi Düzenlenmesi</t>
  </si>
  <si>
    <t>Altyapısı yenilenip, yağmur suyu ve atıksu hattı yapılan projede aydınlatma elemanları da yenilenmiştir. 1.320 m uzunluğundaki caddede park cepleri düzenlenmiş ve 10.590 m2 lik yaya alanı yenilemesi tamamlanmıştır.</t>
  </si>
  <si>
    <t>41.0488334,28.9812449</t>
  </si>
  <si>
    <t>Ergenekon Caddesi Düzenlenmesi</t>
  </si>
  <si>
    <t>652 m uzunluğundaki caddede 3.700 m2 doğal taş ile prestij cadde uygulaması yapılmıştır. Proje kapsamında aydınlatma elemanları ve fiber optik altyapısı yenilenmiş, park cepleri oluşturulmuştur.</t>
  </si>
  <si>
    <t>41.0525838,28.9844446</t>
  </si>
  <si>
    <t>Eski Ankara Asfaltı Caddesi Düzenlenmesi</t>
  </si>
  <si>
    <t>2.000 m uzunluğundaki caddede 7.584 m² alanda plak taş ve 1.130 m2 alanda beton ile tretuvar , 2.527 m bordür imalatı ile prestij cadde çalışması yapılmıştır.</t>
  </si>
  <si>
    <t>40.9122108,29.3804187</t>
  </si>
  <si>
    <t>Alemdağ Caddesi- Tem Anadolu Otoyolu Bağlantı Projesi Düzenlenmesi</t>
  </si>
  <si>
    <t>1.161 m2 toprakarme duvar,692 m2 beton tretuvar,4.908 m3 taş duvar 1.626 m2 V kanal imalatı yapılmıştır.</t>
  </si>
  <si>
    <t>41.0218843,29.1169410</t>
  </si>
  <si>
    <t>Küçüksu Caddesi Düzenlenmesi</t>
  </si>
  <si>
    <t>10679 m2 tretuvar, 2802 mt bordür ile prestij cadde uygulaması yapılmıştır.</t>
  </si>
  <si>
    <t>41.0612155,29.0963103</t>
  </si>
  <si>
    <t>Libadiye Caddesi Düzenlenmesi</t>
  </si>
  <si>
    <t>1.000 m uzunluğundaki caddede 3.664 m²lik alanda beton plak taş ile tretuvar, 1.353 mt bordür çalışması prestij cadde çalışması yapılmıştır.</t>
  </si>
  <si>
    <t>41.005919, 29.072767</t>
  </si>
  <si>
    <t>Abay Caddesi Düzenlenmesi</t>
  </si>
  <si>
    <t>1.500 m uzunluğundaki caddede 11.000 m2 lik alanda plak taş ile prestij cadde düzenleme çalışması tamamlanmıştır. Aydınlatma elemanları ve elektrik alt yapısı yenilenmiş, ayrıca yağmur suyu hattı ve asfalt kaplaması da yapılmıştır.</t>
  </si>
  <si>
    <t>40.9886100,28.9083901</t>
  </si>
  <si>
    <t>Zübeyde Hanım Caddesi Düzenlenmesi</t>
  </si>
  <si>
    <t>2.000 m uzunluğundaki caddede 13.000 m2 lik alanda plak taş ile kent mobilyalarının yerleştirildiği prestij cadde uygulaması tamamlanmış olup; aydınlatma elemanları ve asfaltı da yenilenmiştir. Ayrıca parklanma sorunu için de park cepleri oluşturulmuştur.</t>
  </si>
  <si>
    <t>40.9864787,28.9057091</t>
  </si>
  <si>
    <t>Prof. Dr. Necmettin Erbakan Caddesi Düzenlenmesi</t>
  </si>
  <si>
    <t>1.820 m2 lik alanda prestij cadde uygulaması yapılmıştır.</t>
  </si>
  <si>
    <t>41.014485, 28.920941</t>
  </si>
  <si>
    <t>Cemil Topuzlukk Caddesi Yenileme</t>
  </si>
  <si>
    <t>Mustafa Kemal Caddesi Cadde Düzenleme Projesi</t>
  </si>
  <si>
    <t>40.9123239,29.1779173</t>
  </si>
  <si>
    <t>Taş Mektep</t>
  </si>
  <si>
    <t>40.869137444232756, 29.1240778954144</t>
  </si>
  <si>
    <t>Avcılar Kuruçeşme</t>
  </si>
  <si>
    <t>40.98212166363962, 28.73858856791532</t>
  </si>
  <si>
    <t>Şirinevler Atatürk Anıtı</t>
  </si>
  <si>
    <t>40.99226517106048, 28.845350806433768</t>
  </si>
  <si>
    <t>Anıt</t>
  </si>
  <si>
    <t>St Pierre Han Restorasyon Uygulaması</t>
  </si>
  <si>
    <t>LİSTEMİZDE VAR,EKLENDİ</t>
  </si>
  <si>
    <t>Devam</t>
  </si>
  <si>
    <t>41.024697, 28.972347</t>
  </si>
  <si>
    <t>Bakırköy Dikilitaş</t>
  </si>
  <si>
    <t>40.9920845302851, 28.86987832347402</t>
  </si>
  <si>
    <t>Yeşilköy Abdulmecid Han Çeşmesi</t>
  </si>
  <si>
    <t>40.95802780980992, 28.820797025109158</t>
  </si>
  <si>
    <t>Ataköy Baruthane</t>
  </si>
  <si>
    <t>40.97567581149847, 28.859140029675313</t>
  </si>
  <si>
    <t>Sığırtmaç Sokak Çeşmesi (Mobil Ekip)</t>
  </si>
  <si>
    <t>40.994723, 28.885147</t>
  </si>
  <si>
    <t>Mobil Ekip (Kültür Varlıkları)</t>
  </si>
  <si>
    <t>Beykozlu Mehmet Bey Çeşmesi (Mobil Ekip)</t>
  </si>
  <si>
    <t>40.995676, 28.878498</t>
  </si>
  <si>
    <t>Bayrampaşa Ferhatpaşa Çeşmesi</t>
  </si>
  <si>
    <t>41.04234866254271, 28.915742005180277</t>
  </si>
  <si>
    <t>Kuyumcuhan Restorasyon Uygulaması</t>
  </si>
  <si>
    <t>41.022825, 28.972098</t>
  </si>
  <si>
    <t>Karaköy Kethüda Yahya Ağa Çeşmesi</t>
  </si>
  <si>
    <t>2024- Devam ediyor.</t>
  </si>
  <si>
    <t>41.022000, 28.972639</t>
  </si>
  <si>
    <t>Soğanlı Meydan Çeşmesi (Mobil Ekip)</t>
  </si>
  <si>
    <t>2019-2024</t>
  </si>
  <si>
    <t>41.01430698831791, 28.857347499997218</t>
  </si>
  <si>
    <t>Bakırköy Mezarlığı (Mobil Ekip)</t>
  </si>
  <si>
    <t>40.98181256589657, 28.87233039675169</t>
  </si>
  <si>
    <t>Sadrazam Bahir Mustafa Paşa Çeşmesi (Mobil Ekip)</t>
  </si>
  <si>
    <t>41.042601, 28.918049</t>
  </si>
  <si>
    <t>Ortaköy Damat İbrahim Paşa (Hibetullah Hanım) Çeşmesi</t>
  </si>
  <si>
    <t>MOBİL EKİP VE BBO</t>
  </si>
  <si>
    <t>41.04770354278497, 29.026433048315</t>
  </si>
  <si>
    <t>Zübeyde Hanım Çeşmesi (Abdulmecid Han Çeşmesi)</t>
  </si>
  <si>
    <t>41.047166698705354, 29.003259096755095</t>
  </si>
  <si>
    <t>Abbasağa Hamidiye Çeşmesi</t>
  </si>
  <si>
    <t>41.045793535903336, 29.005506310245767</t>
  </si>
  <si>
    <t>Beşiktaş Abdülkerim Efendi Çeşmesi</t>
  </si>
  <si>
    <t>41.049117502769754, 29.023879154427952</t>
  </si>
  <si>
    <t>Bayıldım Bahçeleri Kapısı ( Dolmabahçe)</t>
  </si>
  <si>
    <t>41.04042011497326, 28.99669414649857</t>
  </si>
  <si>
    <t>Bebek Sarnıcı</t>
  </si>
  <si>
    <t>41.0788796846052, 29.045404477862913</t>
  </si>
  <si>
    <t>Yıldız Hamidiye Çeşmesi</t>
  </si>
  <si>
    <t>41.046751242594354, 29.011891696754958</t>
  </si>
  <si>
    <t>Beşiktaş Askeri Lojman Hamidiye Çeşmesi</t>
  </si>
  <si>
    <t>41.05595330620538, 29.00979366791902</t>
  </si>
  <si>
    <t>Beşiktaş Barbaros Hayrettin Paşa Heykeli</t>
  </si>
  <si>
    <t>41.04166433607833, 29.00652879675475</t>
  </si>
  <si>
    <t>Beşiktaş Bezmialem Valide Sultan Çeşmesi</t>
  </si>
  <si>
    <t>41.0437034972124, 29.00857800451033</t>
  </si>
  <si>
    <t>Saka Hamidiye Çeşmesi (Döküm Çeşme)</t>
  </si>
  <si>
    <t>41.04759256197187, 29.025955914235396</t>
  </si>
  <si>
    <t>Şeyhler Mezarlığı (Hazire)</t>
  </si>
  <si>
    <t>41.04344815856993, 28.99560527565692</t>
  </si>
  <si>
    <t>Beşiktaş İskelesi</t>
  </si>
  <si>
    <t>41.04131729708888, 29.0073295577521</t>
  </si>
  <si>
    <t>Ihlamur Parkı Nişantaşları</t>
  </si>
  <si>
    <t>41.05068788064497, 29.004738891779525</t>
  </si>
  <si>
    <t>İnönü Heykeli Beşiktaş</t>
  </si>
  <si>
    <t>41.0418473891035, 28.996849932034024</t>
  </si>
  <si>
    <t>Yahya Efendi Dergahı Hattat Şefik Bey Mezarı</t>
  </si>
  <si>
    <t>41.04618757134518, 29.017324854680894</t>
  </si>
  <si>
    <t>Beşiktaş 3.Selim Çeşmesi (Mobil Ekip)</t>
  </si>
  <si>
    <t>41.04600988740842, 29.004268994822297</t>
  </si>
  <si>
    <t>Demirli Çeşmesi (Mobil Ekip)</t>
  </si>
  <si>
    <t>41.051790, 28.827406</t>
  </si>
  <si>
    <t>Sultan Süleyman Han Çeşmesi (Mobil Ekip)</t>
  </si>
  <si>
    <t>41.052852, 28.826359</t>
  </si>
  <si>
    <t>Beykoz Ayşe Hanım Çeşmesi</t>
  </si>
  <si>
    <t>41.09934288588019, 29.06704999999883</t>
  </si>
  <si>
    <t>Beykoz Mehmet Bey Çeşmesi</t>
  </si>
  <si>
    <t>41.102214293146595, 29.068574310617414</t>
  </si>
  <si>
    <t>Anadolu Hisarı</t>
  </si>
  <si>
    <t>41.08273361719982, 29.06685769621229</t>
  </si>
  <si>
    <t>Bekyoz On Çeşmeler ( İshak Paşa Çeşmesi)</t>
  </si>
  <si>
    <t>41.134484861245056, 29.09261091210514</t>
  </si>
  <si>
    <t>Beykoz Anadolu Hisarı Çeşmesi</t>
  </si>
  <si>
    <t>41.0822880071229, 29.066946279300552</t>
  </si>
  <si>
    <t>Beykoz Anadolu Hisarı Namazgahı</t>
  </si>
  <si>
    <t>41.08221576421513, 29.066394296756787</t>
  </si>
  <si>
    <t>Beykoz Atatürk Büstü</t>
  </si>
  <si>
    <t>41.09972643119925, 29.065777930085584</t>
  </si>
  <si>
    <t>Heykel</t>
  </si>
  <si>
    <t>Beykoz Bayrak Anıtı</t>
  </si>
  <si>
    <t>41.12635933501838, 29.098124731882635</t>
  </si>
  <si>
    <t>Beykoz Fatma Hatun Çeşmesi</t>
  </si>
  <si>
    <t>41.13998657553639, 29.095638358923594</t>
  </si>
  <si>
    <t>Çubuklu Silolar</t>
  </si>
  <si>
    <t>41.112295, 29.086175</t>
  </si>
  <si>
    <t>Millet Caddesi Çeşmesi (Mobil Ekip)</t>
  </si>
  <si>
    <t>41.052993, 28.824512</t>
  </si>
  <si>
    <t>Çarşı Çeşmesi (Mobil Ekip)</t>
  </si>
  <si>
    <t>41.053521, 28.826781</t>
  </si>
  <si>
    <t>Kadın Efendi Çeşmesi (Mobil Ekip)</t>
  </si>
  <si>
    <t>41.05816148163584, 29.035153939082644</t>
  </si>
  <si>
    <t>Taş Basamak Sokak Çeşmesi (Mobil Ekip)</t>
  </si>
  <si>
    <t>41.04981211933508, 29.02312331542495</t>
  </si>
  <si>
    <t>Gürpınar Malik Ağa Çeşmesi</t>
  </si>
  <si>
    <t>40.990386243211006, 28.61283451209782</t>
  </si>
  <si>
    <t>Esenyurt Çifte Çeşme (Tarihi Bağlar Çeşmesi)</t>
  </si>
  <si>
    <t>41.03671173909129, 28.674615325590867</t>
  </si>
  <si>
    <t>Taksim Kavuşma Durağı Projesi</t>
  </si>
  <si>
    <t>41.03733695942401, 28.987395506029138</t>
  </si>
  <si>
    <t>Beyoğlu Tomtom Çeşmesi</t>
  </si>
  <si>
    <t>41.030626959147426, 28.979022883263372</t>
  </si>
  <si>
    <t>Ceneviz Surları (Azapkapı)</t>
  </si>
  <si>
    <t>41.0248470119833, 28.968934999999675</t>
  </si>
  <si>
    <t>Fındıklı Parkı Dayanışma Anıtı</t>
  </si>
  <si>
    <t>41.03106988783736, 28.989588999999114</t>
  </si>
  <si>
    <t>Kamondo Merdivenleri</t>
  </si>
  <si>
    <t>41.0241377611222, 28.973762854426667</t>
  </si>
  <si>
    <t>Kapudan-I Derya (Küçük) Hüseyin Paşa Çeşmesi</t>
  </si>
  <si>
    <t>41.03223188780447, 28.965762005177254</t>
  </si>
  <si>
    <t>Lohusa Kadın Türbesi</t>
  </si>
  <si>
    <t>41.02840526501287, 28.97069766977256</t>
  </si>
  <si>
    <t>Saliha Sultan Sebili</t>
  </si>
  <si>
    <t>41.02552177578051, 28.968641896753805</t>
  </si>
  <si>
    <t>Sebil (Çeşme) Restorasyonu</t>
  </si>
  <si>
    <t>Taksim Kaskatlı Havuz</t>
  </si>
  <si>
    <t>41.04171472006557, 28.984268439081863</t>
  </si>
  <si>
    <t>Bereketzade Çeşmesi</t>
  </si>
  <si>
    <t>41.02596015686602, 28.974172752571942</t>
  </si>
  <si>
    <t>Beyoğlu 2. Mahmud Çeşmesi</t>
  </si>
  <si>
    <t>41.023905313575504, 28.972232412099487</t>
  </si>
  <si>
    <t>Kulaksız Zindan Arkası Mezarlığı</t>
  </si>
  <si>
    <t>41.037830303940865, 28.95927479675453</t>
  </si>
  <si>
    <t>Anıt Mezar</t>
  </si>
  <si>
    <t>Markiz Pastanesi Cephe Konservasyonu</t>
  </si>
  <si>
    <t>41.02988137370739, 28.97525133908124</t>
  </si>
  <si>
    <t>Tophane Meydan Çeşmesi</t>
  </si>
  <si>
    <t>41.026806910008844, 28.981144179553446</t>
  </si>
  <si>
    <t>Vuslat Kadın Çeşmesi</t>
  </si>
  <si>
    <t>41.03817215089744, 28.972807110245288</t>
  </si>
  <si>
    <t>Beyoğlu Yeğen Mehmet Paşa Çeşmesi</t>
  </si>
  <si>
    <t>41.035556, 28.990972</t>
  </si>
  <si>
    <t>Botter Apartmanı</t>
  </si>
  <si>
    <t>41.02939827459825, 28.97519978140849</t>
  </si>
  <si>
    <t>Okçular Tekkesi</t>
  </si>
  <si>
    <t>41.04205491333301, 28.960515759739224</t>
  </si>
  <si>
    <t>Sütlüce İbrahim Paşa Çeşmesi</t>
  </si>
  <si>
    <t>41.04878885649074, 28.941265296755134</t>
  </si>
  <si>
    <t>Sütlüce Memba Suyu Çeşmesi</t>
  </si>
  <si>
    <t>41.04906396491355, 28.941283796755098</t>
  </si>
  <si>
    <t>Taksim Cumhuriyet Anıtı</t>
  </si>
  <si>
    <t>41.03701591904491, 28.985081227373826</t>
  </si>
  <si>
    <t>Ümmi Sinan Türbesi</t>
  </si>
  <si>
    <t>MÜKERRER</t>
  </si>
  <si>
    <t>41.04727650213695, 28.925949026588942</t>
  </si>
  <si>
    <t>Beyoğlu Sineması</t>
  </si>
  <si>
    <t>41.03454682266943, 28.979170552572285</t>
  </si>
  <si>
    <t>Galata Hırdavatçılar Çarşısı Çeşme</t>
  </si>
  <si>
    <t>41.023191997402876, 28.973078096753778</t>
  </si>
  <si>
    <t>Beyoğlu Hamidiye ( Gs) Çeşmesi</t>
  </si>
  <si>
    <t>41.033239631085486, 28.97784990063418</t>
  </si>
  <si>
    <t>Kasımpaşa Hamidiye Çeşmesi</t>
  </si>
  <si>
    <t>41.0343862512907, 28.966584667918013</t>
  </si>
  <si>
    <t>Beyoğlu Mihrişah Valide Sultan Çeşmesi</t>
  </si>
  <si>
    <t>41.044843910178294, 28.976714024033704</t>
  </si>
  <si>
    <t>Silahtar Fındıklı Mehmet Ağa Çeşmesi</t>
  </si>
  <si>
    <t>41.034857, 28.986310</t>
  </si>
  <si>
    <t>Şeyh Ahmet Efendi Mezarı</t>
  </si>
  <si>
    <t>41.04069214619204, 28.97254668931132</t>
  </si>
  <si>
    <t>Taksim Maksem Önü (1.Mahmud ) Çeşmesi</t>
  </si>
  <si>
    <t>41.03703363133376, 28.98427669544385</t>
  </si>
  <si>
    <t>Taksim Maksem Yanı Çeşme</t>
  </si>
  <si>
    <t>41.036870862248556, 28.98419086195411</t>
  </si>
  <si>
    <t>Tünel Metrohan</t>
  </si>
  <si>
    <t>41.02926243926432, 28.974577821726417</t>
  </si>
  <si>
    <t>Haliç Tershane (İstanbul Sanat Müzesi 1. Etap)</t>
  </si>
  <si>
    <t>41.029666049162216, 28.96741712575594</t>
  </si>
  <si>
    <t>Okmeydanı Cem Evi</t>
  </si>
  <si>
    <t>41.051302116462985, 28.962826351720327</t>
  </si>
  <si>
    <t>Taksim Maksemi</t>
  </si>
  <si>
    <t>41.036522046826725, 28.98431551024532</t>
  </si>
  <si>
    <t>Turşucu Hüseyin Efendi Çeşmesi</t>
  </si>
  <si>
    <t>41.04584619349386, 28.94930469675502</t>
  </si>
  <si>
    <t>Sefer Baba Türbesi</t>
  </si>
  <si>
    <t>41.03845987300237, 28.972565566063253</t>
  </si>
  <si>
    <t>Akbaba Çeşmesi (Mobil Ekip)</t>
  </si>
  <si>
    <t>41.15634049560392, 29.11669252590298</t>
  </si>
  <si>
    <t>İshak Ağa Çeşmesi (Mobil Ekip)</t>
  </si>
  <si>
    <t>on çeşmeler ile aynı konumda sayılır</t>
  </si>
  <si>
    <t>41.134979633567035, 29.092401817880003</t>
  </si>
  <si>
    <t>Seçkin Ziyaretçiler - Rahmi Aksungur Heykel BBO</t>
  </si>
  <si>
    <t>41.048317, 28.991847</t>
  </si>
  <si>
    <t>Beykoz Orta Çeşme (Mobil Ekip)</t>
  </si>
  <si>
    <t>41.1457682, 29.0868568</t>
  </si>
  <si>
    <t>Setüstü Sokak Çeşmesi (Mobil Ekip)</t>
  </si>
  <si>
    <t>41.08337888633562, 29.067820005178987</t>
  </si>
  <si>
    <t>Bereketzade Ali Efendi Camii Çeşmesi (Mobil Ekip)</t>
  </si>
  <si>
    <t>41.02597634479437, 28.974183481408353</t>
  </si>
  <si>
    <t xml:space="preserve">Beyoğlu Hacı Ferhat Ağa Camii (Mobil Ekip) </t>
  </si>
  <si>
    <t>41.0342301, 28.9729849</t>
  </si>
  <si>
    <t>Atatürk Kitaplığı Güvenlik Restorasyon Uygulaması</t>
  </si>
  <si>
    <t>41.039076, 28.989614</t>
  </si>
  <si>
    <t>Kütüphane Restorasyonu</t>
  </si>
  <si>
    <t>Hekimoğlu Ali Paşa Meydan Çeşmesi</t>
  </si>
  <si>
    <t>41.033272, 28.991835</t>
  </si>
  <si>
    <t>Kasımpaşa Atatürk Heykeli</t>
  </si>
  <si>
    <t>41.039205, 28.971743</t>
  </si>
  <si>
    <t>Tophane Heykel (İşkurYanı )</t>
  </si>
  <si>
    <t>41.024549, 28.976635</t>
  </si>
  <si>
    <t>Hüseyin Ağa Cami Haziresi ( Mobil Ekip)</t>
  </si>
  <si>
    <t>41.035126, 28.980440</t>
  </si>
  <si>
    <t>Ekmekçibaşı Ali Ağa Cami ( Mobil Ekip)</t>
  </si>
  <si>
    <t>41.029806, 28.977940</t>
  </si>
  <si>
    <t>Eyüp Ağa Çeşmesi ( Mobil Ekip)</t>
  </si>
  <si>
    <t>41.040922, 28.955332</t>
  </si>
  <si>
    <t>Hasköy Çeşmesi ( Mobil Ekip)</t>
  </si>
  <si>
    <t>41.040672, 28.951177</t>
  </si>
  <si>
    <t>Mustafa Ağa Çeşmesi ( Mobil Ekip)</t>
  </si>
  <si>
    <t>41.041703, 28.950971</t>
  </si>
  <si>
    <t>Mehmet Hüsrev Paşa Çeşmesi ( Mobil Ekip)</t>
  </si>
  <si>
    <t>41.045424, 28.946396</t>
  </si>
  <si>
    <t>Silahtar Abdullah Ağa Çeşmesi ( Mobil Ekip)</t>
  </si>
  <si>
    <t>41.045292, 28.945070</t>
  </si>
  <si>
    <t>Ali Rıza Paşa Çeşmesi ( Mobil Ekip)</t>
  </si>
  <si>
    <t>41.046234, 28.945464</t>
  </si>
  <si>
    <t>Silahtar Ağa Yahya Efendi Çeşmesi ( Mobil Ekip)</t>
  </si>
  <si>
    <t>41.036982, 28.952835</t>
  </si>
  <si>
    <t>Kethüda Yahya Ağa Meydan Çeşmesi ( Mobil Ekip)</t>
  </si>
  <si>
    <t>41.022732, 28.970482</t>
  </si>
  <si>
    <t>Vezirdar Kadın Çeşmesi ( Mobil Ekip)</t>
  </si>
  <si>
    <t>41.022401, 28.971307</t>
  </si>
  <si>
    <t>Kemankeş Kara Mustafa Paşa Cami( Mobil Ekip)</t>
  </si>
  <si>
    <t>41.022856, 28.976763</t>
  </si>
  <si>
    <t>Alüfte Hatun Çeşmesi ( Mobil Ekip)</t>
  </si>
  <si>
    <t>41.024206, 28.973911</t>
  </si>
  <si>
    <t>Yemenici Çeşmesi ( Mobil Ekip)</t>
  </si>
  <si>
    <t>41.029630, 28.973057</t>
  </si>
  <si>
    <t>Laleli Çeşmesi ( Mobil Ekip)</t>
  </si>
  <si>
    <t>41.025644, 28.972554</t>
  </si>
  <si>
    <t>Galata Mevlevihanesi Çeşme ve Sebili ( Mobil Ekip)</t>
  </si>
  <si>
    <t>41.028041, 28.974402</t>
  </si>
  <si>
    <t>Hasan Ağa Çeşmesi ( Mobil Ekip)</t>
  </si>
  <si>
    <t>41.028087, 28.974368</t>
  </si>
  <si>
    <t>Matbah Emini Hasan Ağa Çeşmesi ( Mobil Ekip)</t>
  </si>
  <si>
    <t>41.025462, 28.975159</t>
  </si>
  <si>
    <t>Beyoğlu Mihrişah Kadın Çeşmesi ( Mobil Ekip)</t>
  </si>
  <si>
    <t>41.026194, 28.976826</t>
  </si>
  <si>
    <t>Bilal Ağa Çeşmesi ( Mobil Ekip)</t>
  </si>
  <si>
    <t>41.026141, 28.971937</t>
  </si>
  <si>
    <t>Huşyar Kadın Çeşmesi ( Mobil Ekip)</t>
  </si>
  <si>
    <t>Direkçibaşı Sokak Çeşmesi ( Mobil Ekip)</t>
  </si>
  <si>
    <t>41.042531, 28.977021</t>
  </si>
  <si>
    <t>Cinderesi Parkı ( Mobil Ekip)</t>
  </si>
  <si>
    <t>41.043515, 28.972905</t>
  </si>
  <si>
    <t>Beyoğlu Bezm-i Alem Valide Sultan Çeşmesi (Mobil Ekip)</t>
  </si>
  <si>
    <t>41.041114, 28.971260</t>
  </si>
  <si>
    <t>Kadınlar Çeşmesi ( Mobil Ekip)</t>
  </si>
  <si>
    <t>41.046482, 28.963244</t>
  </si>
  <si>
    <t>Ataşehir Çorlulu Ali Paşa Çeşmesi ( Mobil Ekip)</t>
  </si>
  <si>
    <t>41.008037, 29.092058</t>
  </si>
  <si>
    <t>Sali Ağa Çeşmesi ( Mobil Ekip)</t>
  </si>
  <si>
    <t>41.042702, 28.970099</t>
  </si>
  <si>
    <t>Hacı Ahmet Ağa Çeşmesi ( Mobil Ekip)</t>
  </si>
  <si>
    <t>41.027906, 28.979621</t>
  </si>
  <si>
    <t>Bostaniçi Cami Çeşmesi ( Mobil Ekip)</t>
  </si>
  <si>
    <t>41.028922, 28.979167</t>
  </si>
  <si>
    <t>Miralem Halil Ağa Çeşmesi ( Mobil Ekip)</t>
  </si>
  <si>
    <t>41.028546, 28.976782</t>
  </si>
  <si>
    <t>Galatasaray Lisesi Kapı Çeşmeleri ( Mobil Ekip)</t>
  </si>
  <si>
    <t>41.033048, 28.977576</t>
  </si>
  <si>
    <t>Beyoğlu Hüseyin Ağa Cami Çeşmesi ( Mobil Ekip)</t>
  </si>
  <si>
    <t>41.035047, 28.980458</t>
  </si>
  <si>
    <t>Kamer Hatun Cami( Mobil Ekip)</t>
  </si>
  <si>
    <t>41.033791, 28.975378</t>
  </si>
  <si>
    <t>Pir Mehmet Çeşmesi ( Mobil Ekip)</t>
  </si>
  <si>
    <t>41.025304, 28.971299</t>
  </si>
  <si>
    <t>Cududil Valide Sultan Çeşmesi ( Mobil Ekip)</t>
  </si>
  <si>
    <t>41.026255, 28.970902</t>
  </si>
  <si>
    <t>Ebulfadıl Mehmet Efendi Cami Çeşmesi ( Mobil Ekip)</t>
  </si>
  <si>
    <t>41.028608, 28.981724</t>
  </si>
  <si>
    <t>Mahmud Efendi Çeşmesi ( Mobil Ekip)</t>
  </si>
  <si>
    <t>41.030564, 28.983590</t>
  </si>
  <si>
    <t>Kethüda Yusuf Efendi Çeşmesi ( Mobil Ekip)</t>
  </si>
  <si>
    <t>41.029214, 28.981122</t>
  </si>
  <si>
    <t>Topçubaşı İsmail Ağa Çeşmesi ( Mobil Ekip)</t>
  </si>
  <si>
    <t>41.029814, 28.980432</t>
  </si>
  <si>
    <t>İbrahim Efendi Çeşmesi ( Mobil Ekip)</t>
  </si>
  <si>
    <t>41.029979, 28.977502</t>
  </si>
  <si>
    <t>Tomtom Kaptan Paşa Çeşmesi ( Mobil Ekip)</t>
  </si>
  <si>
    <t>41.030390, 28.979032</t>
  </si>
  <si>
    <t>Ömer Ağa Çeşmesi ( Mobil Ekip)</t>
  </si>
  <si>
    <t>41.031912, 28.980712</t>
  </si>
  <si>
    <t>Cebecibaşı Abdullah Ağa Çeşmesi( Mobil Ekip)</t>
  </si>
  <si>
    <t>41.034590, 28.982834</t>
  </si>
  <si>
    <t>Paşa Baba Tekkesi Çeşmesi ( Mobil Ekip)</t>
  </si>
  <si>
    <t>41.033272, 28.983839</t>
  </si>
  <si>
    <t>Tevki Hafız Ahmet Paşa Çeşmesi ( Mobil Ekip)</t>
  </si>
  <si>
    <t>41.035313, 28.985821</t>
  </si>
  <si>
    <t>Beyoğlu Hacı Beşir Ağa Çeşmesi ( Mobil Ekip)</t>
  </si>
  <si>
    <t>41.033359, 28.987493</t>
  </si>
  <si>
    <t>Beytül Malcı Sokağı Çeşmesi ( Mobil Ekip)</t>
  </si>
  <si>
    <t>41.035528, 28.992361</t>
  </si>
  <si>
    <t>Mebusak Yokuşu Çeşmesi/ Okul Çeşmesi ( Mobil Ekip)</t>
  </si>
  <si>
    <t>41.032796, 28.988048</t>
  </si>
  <si>
    <t>Köşe Çeşme ( Mobil Ekip)</t>
  </si>
  <si>
    <t>41.030569, 28.986268</t>
  </si>
  <si>
    <t>İlyas Çelebi Sokak Çeşmesi ( Mobil Ekip)</t>
  </si>
  <si>
    <t>41.029183, 28.984597</t>
  </si>
  <si>
    <t>Zevki Kadın Çeşmesi ( Mobil Ekip)</t>
  </si>
  <si>
    <t>41.029971, 28.988501</t>
  </si>
  <si>
    <t>Silahtar Yahya Efendi Çeşmesi ( Mobil Ekip)</t>
  </si>
  <si>
    <t>41.030685, 28.988480</t>
  </si>
  <si>
    <t>Beyoğlu Feyzullah Efendi Çeşmesi ( Mobil Ekip)</t>
  </si>
  <si>
    <t>41.032806, 28.968788</t>
  </si>
  <si>
    <t>Kaptan Hüseyin Paşa Çeşmesi ( Mobil Ekip)</t>
  </si>
  <si>
    <t>41.032390, 28.964310</t>
  </si>
  <si>
    <t>Kızılay Meydanı Parkı ( Mobil Ekip)</t>
  </si>
  <si>
    <t>41.034384, 28.967323</t>
  </si>
  <si>
    <t>Beyoğlu Cezayirli Gazi Hasan Paşa Çeşmesi ( Mobil Ekip)</t>
  </si>
  <si>
    <t>41.035367, 28.966378</t>
  </si>
  <si>
    <t>Uzun Piyale Paşa Çeşmesi ( Mobil Ekip)</t>
  </si>
  <si>
    <t>41.036278, 28.965490</t>
  </si>
  <si>
    <t>Haşimi Emir Osman Efendi Cami ( Mobil Ekip)</t>
  </si>
  <si>
    <t>41.036736, 28.963801</t>
  </si>
  <si>
    <t>Yeldeğirmeni Cami ( Mobil Ekip)</t>
  </si>
  <si>
    <t>41.033400, 28.964113</t>
  </si>
  <si>
    <t>Uzun Piyale Mehmet Paşa Çeşmesi ( Mobil Ekip)</t>
  </si>
  <si>
    <t>41.034836, 28.964095</t>
  </si>
  <si>
    <t>Kaptan-ı Derya Süleyman Paşa Çeşmesi ( Mobil Ekip)</t>
  </si>
  <si>
    <t>41.035323, 28.959923</t>
  </si>
  <si>
    <t>Süleyman Kaptan Çeşmesi ( Mobil Ekip)</t>
  </si>
  <si>
    <t>41.038745, 28.962392</t>
  </si>
  <si>
    <t>Kadir Çavuş Çeşmesi ( Mobil Ekip)</t>
  </si>
  <si>
    <t>41.040028, 28.965222</t>
  </si>
  <si>
    <t>Abdi Kaptan Çeşmesi ( Mobil Ekip)</t>
  </si>
  <si>
    <t>41.037405, 28.965889</t>
  </si>
  <si>
    <t>Beyoğlu Mehmet Ağa Çeşmesi ( Mobil Ekip)</t>
  </si>
  <si>
    <t>41.031774, 28.971845</t>
  </si>
  <si>
    <t>Ziver Efendi Çeşmesi ( Mobil Ekip)</t>
  </si>
  <si>
    <t>41.034265, 28.973347</t>
  </si>
  <si>
    <t>Kaptan Hacı Hüseyin Paşa Çeşmesi ( Mobil Ekip)</t>
  </si>
  <si>
    <t>41.035353, 28.970929</t>
  </si>
  <si>
    <t>Sururi Çeşmesi ( Mobil Ekip)</t>
  </si>
  <si>
    <t>41.036129, 28.972797</t>
  </si>
  <si>
    <t>Silahtar Yakup Ağa Çeşmesi ( Mobil Ekip)</t>
  </si>
  <si>
    <t>41.033473, 28.970824</t>
  </si>
  <si>
    <t>Fesahat Usta Çeşmesi( Mobil Ekip)</t>
  </si>
  <si>
    <t>41.035714, 28.970214</t>
  </si>
  <si>
    <t>2.Mahmut Çeşmesi ( Mobil Ekip)</t>
  </si>
  <si>
    <t>41.037861, 28.975854</t>
  </si>
  <si>
    <t>Ayios Konstatinos Rum Kilisesi Çeşmesi ( Mobil Ekip)</t>
  </si>
  <si>
    <t>41.037836, 28.973338</t>
  </si>
  <si>
    <t>Abdülmecit Han Çeşmesi ( Mobil Ekip)</t>
  </si>
  <si>
    <t>41.038586, 28.981026</t>
  </si>
  <si>
    <t>Rıza Bey Çeşmesi ( Mobil Ekip)</t>
  </si>
  <si>
    <t>41.042017, 28.980076</t>
  </si>
  <si>
    <t>Sinan Paşa Camii (Mobil Ekip)</t>
  </si>
  <si>
    <t>41.04233490120463, 29.006297035522113</t>
  </si>
  <si>
    <t>Barbaros Hayrettin Paşa Türbesi (Mobil Ekip)</t>
  </si>
  <si>
    <t>41.0418609, 29.0068932</t>
  </si>
  <si>
    <t>Çakmak Dede Mezarlığı (Mobil Ekip)</t>
  </si>
  <si>
    <t>41.13601485447694, 29.088390399996882</t>
  </si>
  <si>
    <t>Gülnuş Emetullah Çeşmesi (Karaköy) (Mobil Ekip)</t>
  </si>
  <si>
    <t>41.023205374656335, 28.97288738140808</t>
  </si>
  <si>
    <t>Halveti Şeyhler Haziresi (Mobil Ekip)</t>
  </si>
  <si>
    <t>41.1324342, 29.0924692</t>
  </si>
  <si>
    <t>Salih Dede Türbesi (Mobil Ekip)</t>
  </si>
  <si>
    <t>41.078075, 29.074703</t>
  </si>
  <si>
    <t>Karabaş Ağa Cami (Mobil Ekip)</t>
  </si>
  <si>
    <t>41.0274365100608, 28.980369856281758</t>
  </si>
  <si>
    <t>Beyoğlu Kethüda Mehmet Efendi Çeşmesi (Mobil Ekip)</t>
  </si>
  <si>
    <t>41.0287026885968, 28.97111861024481</t>
  </si>
  <si>
    <t>Şeyh Ethem Sırrı Efendi Tekkesi (Mobil Ekip)</t>
  </si>
  <si>
    <t>41.13981623886477, 29.08726310000165</t>
  </si>
  <si>
    <t>Tersane Emini Kıblelizade Mehmet Efendi Çeşmesi (Mobil Ekip)</t>
  </si>
  <si>
    <t>41.028560376383226, 28.971084018741674</t>
  </si>
  <si>
    <t>Tezkireci Osman Efendi Cami (Mobil Ekip)</t>
  </si>
  <si>
    <t>41.06142529759966, 29.037482652966922</t>
  </si>
  <si>
    <t>Yıldız Parkı Haziresi (Mobil Ekip)</t>
  </si>
  <si>
    <t>41.04857438733595, 29.019896294820796</t>
  </si>
  <si>
    <t>Esenler Ayvalıdere Çeşmesi- Namık Kemal Çeşmesi</t>
  </si>
  <si>
    <t>41.03407463078083, 28.894989967894034</t>
  </si>
  <si>
    <t>Esenler Köyiçi Çeşmesi</t>
  </si>
  <si>
    <t>41.04044771829243, 28.880862581015517</t>
  </si>
  <si>
    <t>Esenler Avasköy Maksemi</t>
  </si>
  <si>
    <t>41.05096602560606, 28.883490981385663</t>
  </si>
  <si>
    <t>Esenler Nene Hatun Çeşmesi</t>
  </si>
  <si>
    <t>41.0379428629214, 28.88086440517958</t>
  </si>
  <si>
    <t>Melamiler Sofası (2021)</t>
  </si>
  <si>
    <t>41.0343125647217, 28.93502541186359</t>
  </si>
  <si>
    <t>Cevkani Halil Ağa Çeşmesi</t>
  </si>
  <si>
    <t>41.04127804466774, 28.934074967894407</t>
  </si>
  <si>
    <t>İhtifalci Mehmed Ziya Bey</t>
  </si>
  <si>
    <t>41.05338375959328, 28.934428260603237</t>
  </si>
  <si>
    <t>Karyağdı Baba Tekke - Türbe Kazısı</t>
  </si>
  <si>
    <t>41.055020869680106, 28.933952812077152</t>
  </si>
  <si>
    <t>Saçlı Abdülkadir Efendi Türbesi</t>
  </si>
  <si>
    <t>41.047503976975875, 28.933083726181618</t>
  </si>
  <si>
    <t>Semiz Ali Paşa Çeşmesi</t>
  </si>
  <si>
    <t>41.04347022401372, 28.93583299673094</t>
  </si>
  <si>
    <t>Taşlıburun-Gözoğlu Hazire Kazı</t>
  </si>
  <si>
    <t>41.05075515351459, 28.932011296731268</t>
  </si>
  <si>
    <t>Avni Lifij Mezarı</t>
  </si>
  <si>
    <t>41.0548908, 28.9343878</t>
  </si>
  <si>
    <t>Eyüp Fikret Adil Mezarı</t>
  </si>
  <si>
    <t>41.05367121268163, 28.934481703840007</t>
  </si>
  <si>
    <t>Eyüp Hayrettin Paşa Çeşmesi</t>
  </si>
  <si>
    <t>41.04569421064878, 28.936200652549033</t>
  </si>
  <si>
    <t>Eyüpsultan Mezarlığı Duvar</t>
  </si>
  <si>
    <t>41.053907312064695, 28.934243918036334</t>
  </si>
  <si>
    <t>Şükrü Naili Gökberk Mezarı</t>
  </si>
  <si>
    <t>41.02996904141156, 28.931476539386168</t>
  </si>
  <si>
    <t>Tulumbacılar Haziresi</t>
  </si>
  <si>
    <t>41.03013170444905, 28.9309784662768</t>
  </si>
  <si>
    <t>Ahmet Haşim Mezarı</t>
  </si>
  <si>
    <t>41.04875773877348, 28.933130496731135</t>
  </si>
  <si>
    <t>Ahmet Şuayip Mezarı</t>
  </si>
  <si>
    <t>41.05109579302069, 28.932698967368143</t>
  </si>
  <si>
    <t>Anadolu Kazaskeri Hafız Mehmet Emin Efendi Mezarı</t>
  </si>
  <si>
    <t>41.053495348851655, 28.934416938818874</t>
  </si>
  <si>
    <t>Çırçır Dede Mezarı</t>
  </si>
  <si>
    <t>41.052426785648194, 28.927552154404268</t>
  </si>
  <si>
    <t>Edirnekapı Seyyidler Sofası</t>
  </si>
  <si>
    <t>41.0305530, 28.9323657</t>
  </si>
  <si>
    <t>Eflaki Dede Türbesi</t>
  </si>
  <si>
    <t>41.04655137821436, 28.923842793179148</t>
  </si>
  <si>
    <t>Eyüp 46/1 Hazire Alanı Düzenleme Projesi</t>
  </si>
  <si>
    <t>41.048333, 28.934056</t>
  </si>
  <si>
    <t>Eyüp Bahariye Hazire ( Sofa 601 Ada 26 Parsel)</t>
  </si>
  <si>
    <t>41.04831124836547, 28.935122667894895</t>
  </si>
  <si>
    <t>Eyüp Camii Hazire</t>
  </si>
  <si>
    <t>41.04836788686232, 28.935101210222086</t>
  </si>
  <si>
    <t>Eyüp Hazire 41/1 Düzenleme Projesi</t>
  </si>
  <si>
    <t>41.053378, 28.934433</t>
  </si>
  <si>
    <t>Feshane (Artistanbul Feshane 1. Etap)</t>
  </si>
  <si>
    <t>41.04398357229118, 28.937319448839297</t>
  </si>
  <si>
    <t>Gülşirin Daye Hatun Türbesi</t>
  </si>
  <si>
    <t>41.04114980550151, 28.935361712076343</t>
  </si>
  <si>
    <t>Gümrükçüzade Aile Sofası</t>
  </si>
  <si>
    <t>41.047886165782266, 28.932751268293938</t>
  </si>
  <si>
    <t>Molla Litfi Türbesi</t>
  </si>
  <si>
    <t>41.04307460053128, 28.937451881385165</t>
  </si>
  <si>
    <t>Rasadhaneci Seyyid Mustafa Mezarı</t>
  </si>
  <si>
    <t>41.050222, 28.933139</t>
  </si>
  <si>
    <t>Recep Peker Mezarı</t>
  </si>
  <si>
    <t>41.03293736433796, 28.931754829816906</t>
  </si>
  <si>
    <t>Melamiler Sofası (2024)</t>
  </si>
  <si>
    <t>41.03447442329218, 28.935154157900456</t>
  </si>
  <si>
    <t>Ebu Suud Mezarı</t>
  </si>
  <si>
    <t>41.04750260642344, 28.934070954403943</t>
  </si>
  <si>
    <t>Göktürk Atatürk Anıtı</t>
  </si>
  <si>
    <t>41.16432697133271, 28.850946011248187</t>
  </si>
  <si>
    <t>Alaaddin Arabi Türbesi</t>
  </si>
  <si>
    <t>41.05425318126975, 28.93344193755461</t>
  </si>
  <si>
    <t>Evlice Baba Camii(Mobil Ekip)</t>
  </si>
  <si>
    <t>41.05290808446425, 28.929589552549388</t>
  </si>
  <si>
    <t>Evlice Baba Türbesi(Mobil Ekip)</t>
  </si>
  <si>
    <t>41.05298801925681, 28.92930731191573</t>
  </si>
  <si>
    <t>Abdurrahman Paşa Türbesi Haziresi(Mobil Ekip)</t>
  </si>
  <si>
    <t>41.04893144836672, 28.935536743369134</t>
  </si>
  <si>
    <t>Afife Hatun Tekkesi(Mobil Ekip)</t>
  </si>
  <si>
    <t>41.045879127148105, 28.934416167894653</t>
  </si>
  <si>
    <t>Ahmet Dede Kabri(Mobil Ekip)</t>
  </si>
  <si>
    <t>41.046755325316376, 28.92376211022186</t>
  </si>
  <si>
    <t>Ahmet Pir Edirnevi Türbesi Haziresi(Mobil Ekip)</t>
  </si>
  <si>
    <t>41.044928704089855, 28.936085881385363</t>
  </si>
  <si>
    <t>Ak Baba Kabri (Mobil Ekip)</t>
  </si>
  <si>
    <t>41.03323705346479, 28.965574113491815</t>
  </si>
  <si>
    <t>Arakiyeci Camii(Mobil Ekip)</t>
  </si>
  <si>
    <t>41.04237138829881, 28.93548932767928</t>
  </si>
  <si>
    <t>Aşçıbaşı Ahmet Ağa Camii (Mobil Ekip)</t>
  </si>
  <si>
    <t>41.040059500570045, 28.934079254403457</t>
  </si>
  <si>
    <t>Ayas Mehmed Paşa Türbesi(Mobil Ekip)</t>
  </si>
  <si>
    <t>41.048060022588814, 28.933840167894722</t>
  </si>
  <si>
    <t>Baba Haydar Camii(Mobil Ekip)</t>
  </si>
  <si>
    <t>41.042237747497886, 28.93368145107174</t>
  </si>
  <si>
    <t>Bademli Tekkesi (Caferabad Tekkesi) Haziresi(Mobil Ekip)</t>
  </si>
  <si>
    <t>41.049594, 28.943701</t>
  </si>
  <si>
    <t>Bahariye Hazire(Mobil Ekip)</t>
  </si>
  <si>
    <t>41.05856512722032, 28.933930059347478</t>
  </si>
  <si>
    <t>Balçık Tekkesi Türbesi(Mobil Ekip)</t>
  </si>
  <si>
    <t>41.043433991441745, 28.936973623712404</t>
  </si>
  <si>
    <t>Bayburtlu Ömer Paşa Türbesi(Mobil Ekip)</t>
  </si>
  <si>
    <t>41.04604552402318, 28.922680973595728</t>
  </si>
  <si>
    <t>Bedrettin Tekkesi Haziresi (Mobil Ekip)</t>
  </si>
  <si>
    <t>41.02785676378957, 28.969217994822003</t>
  </si>
  <si>
    <t>Beyoğlu Emin Camii (Mobil Ekip)</t>
  </si>
  <si>
    <t>41.036906905482155, 28.974190110422864</t>
  </si>
  <si>
    <t>Buhurizade Mustafa (Itrî) Efendi Kabri(Mobil Ekip)</t>
  </si>
  <si>
    <t>41.03008546668497, 28.931575098585043</t>
  </si>
  <si>
    <t>Bulak Mustafa Paşa Türbesi(Mobil Ekip)</t>
  </si>
  <si>
    <t>41.042995925063515, 28.928611754403644</t>
  </si>
  <si>
    <t>Büyük Piyale Paşa Camii(Mobil Ekip)</t>
  </si>
  <si>
    <t>41.04453397134898, 28.96591374008086</t>
  </si>
  <si>
    <t>Cafer Paşa Külliyesi(Mobil Ekip)</t>
  </si>
  <si>
    <t>41.0464529840205, 28.934428990031396</t>
  </si>
  <si>
    <t>Cebecibaşılar Haziresi(Mobil Ekip)</t>
  </si>
  <si>
    <t>41.035554863127345, 28.9383532948205</t>
  </si>
  <si>
    <t>Cellat Mezarlığı(Mobil Ekip)</t>
  </si>
  <si>
    <t>41.05607644752198, 28.933538952549494</t>
  </si>
  <si>
    <t>Cezr-İ Kasım Camii(Mobil Ekip)</t>
  </si>
  <si>
    <t>41.04842575007642, 28.925263883989835</t>
  </si>
  <si>
    <t>Beyoğlu Ciğerci Baba Haziresi (Mobil Ekip)</t>
  </si>
  <si>
    <t>41.033359, 28.965632</t>
  </si>
  <si>
    <t>Çengeloğlu Tahir Paşa Kabri Ve Haziresi(Mobil Ekip)</t>
  </si>
  <si>
    <t>41.05108787796086, 28.933769220768724</t>
  </si>
  <si>
    <t>Çizmecibaşı Mahmut Efendi Kabri (Mobil Ekip)</t>
  </si>
  <si>
    <t>41.033261, 28.991715</t>
  </si>
  <si>
    <t>Damatzade Feyzullah Efendi Haziresi(Mobil Ekip)</t>
  </si>
  <si>
    <t>41.049699636516635, 28.943870784463428</t>
  </si>
  <si>
    <t>Davut Ağa Camii(Mobil Ekip)</t>
  </si>
  <si>
    <t>41.03965981704716, 28.931688108366565</t>
  </si>
  <si>
    <t>Davut Ağa Mezarlığı(Mobil Ekip)</t>
  </si>
  <si>
    <t>41.03896631113941, 28.933816467894314</t>
  </si>
  <si>
    <t>Defterdar Mahmut Efendi Camii(Mobil Ekip)</t>
  </si>
  <si>
    <t>41.04218057882045, 28.937622812076448</t>
  </si>
  <si>
    <t>Derviş Mehmed Efendi Haziresi(Mobil Ekip)</t>
  </si>
  <si>
    <t>41.048701337430884, 28.94156364504036</t>
  </si>
  <si>
    <t>Düğmeciler Camii(Mobil Ekip)</t>
  </si>
  <si>
    <t>41.04736194134817, 28.92721216974953</t>
  </si>
  <si>
    <t>Ebu Suud Efendi Sıbyan Mektebi(Mobil Ekip)</t>
  </si>
  <si>
    <t>41.04750260642344, 28.934124598585953</t>
  </si>
  <si>
    <t>Emekyemez Cami (Mobil Ekip)</t>
  </si>
  <si>
    <t>41.02636266391926, 28.9710379948192</t>
  </si>
  <si>
    <t>Eyüp Sultan Camii Hazireleri(Mobil Ekip)</t>
  </si>
  <si>
    <t>41.04803165257269, 28.93387106049897</t>
  </si>
  <si>
    <t>Fatma Şerife Hanım Türbesi(Mobil Ekip)</t>
  </si>
  <si>
    <t>41.048107099998674, 28.935234100000173</t>
  </si>
  <si>
    <t>Ferhat Paşa Türbesi Haziresi(Mobil Ekip)</t>
  </si>
  <si>
    <t>41.04725187063149, 28.935447346966132</t>
  </si>
  <si>
    <t>Firuzağa Haziresi/Ömer Efendi Kabri (Mobil Ekip)</t>
  </si>
  <si>
    <t>41.030587, 28.982582</t>
  </si>
  <si>
    <t>Gül Dede Haziresi(Mobil Ekip)</t>
  </si>
  <si>
    <t>41.04690961970463, 28.926305597753043</t>
  </si>
  <si>
    <t>Hacı Ahmet Camii(Mobil Ekip)</t>
  </si>
  <si>
    <t>41.040818, 28.973498</t>
  </si>
  <si>
    <t>Hacı Piri Cami (Mobil Ekip)</t>
  </si>
  <si>
    <t>41.029731806416514, 28.980551294047665</t>
  </si>
  <si>
    <t>Halil Ağa Mektebi Haziresi(Mobil Ekip)</t>
  </si>
  <si>
    <t>41.02846954598618, 28.976687226588613</t>
  </si>
  <si>
    <t>Hançerli Sultan Türbesi(Mobil Ekip)</t>
  </si>
  <si>
    <t>41.04831988710564, 28.935477010245833</t>
  </si>
  <si>
    <t>Hatice Canan Hanım Türbesi(Mobil Ekip)</t>
  </si>
  <si>
    <t>41.047864912644656, 28.935359999997473</t>
  </si>
  <si>
    <t>Hatuniye Hasan Hüsameddin Efendi Tekkesi(Mobil Ekip)</t>
  </si>
  <si>
    <t>41.053813661888675, 28.9314678112449</t>
  </si>
  <si>
    <t>Hirami Ahmet Paşa Camii(Mobil Ekip)</t>
  </si>
  <si>
    <t>41.02789748304776, 28.945898689940805</t>
  </si>
  <si>
    <t>Hubbi Hatun Türbesi Haziresi(Mobil Ekip)</t>
  </si>
  <si>
    <t>41.04649058844516, 28.935939701224182</t>
  </si>
  <si>
    <t>Eyüp Hüseyin Fahreddin Dede Sofası</t>
  </si>
  <si>
    <t>41.051615, 28.934058</t>
  </si>
  <si>
    <t>İdrisi Bitlisi Kabri(Mobil Ekip)</t>
  </si>
  <si>
    <t>41.05586079670526, 28.93223815257339</t>
  </si>
  <si>
    <t>İlyas Çelebi Cami (Mobil Ekip)</t>
  </si>
  <si>
    <t>41.02938535198807, 28.984852497752485</t>
  </si>
  <si>
    <t>İslambey Camii(Mobil Ekip)</t>
  </si>
  <si>
    <t>41.05161695356833, 28.92658292891568</t>
  </si>
  <si>
    <t>Kapı Ağası Mustafa Ağa Çeşmesi (Mobil Ekip)</t>
  </si>
  <si>
    <t>41.04902188529275, 28.931379154427923</t>
  </si>
  <si>
    <t>Kara Süleyman Tekkesi(Mobil Ekip)</t>
  </si>
  <si>
    <t>41.04866398621716, 28.92767876791865</t>
  </si>
  <si>
    <t>Karyağdı Baba Türbesi(Mobil Ekip)</t>
  </si>
  <si>
    <t>41.054988508222756, 28.933899167919037</t>
  </si>
  <si>
    <t>Kasım Çavuş Camii(Mobil Ekip)</t>
  </si>
  <si>
    <t>41.05047151766674, 28.929739281409518</t>
  </si>
  <si>
    <t>Kaşgari Murtaza Efendi Tekkesi(Mobil Ekip)</t>
  </si>
  <si>
    <t>41.05256655364866, 28.931670422176442</t>
  </si>
  <si>
    <t>Kılıç Ali Paşa Cami Haziresi (Mobil Ekip)</t>
  </si>
  <si>
    <t>41.02648115305956, 28.980806540080312</t>
  </si>
  <si>
    <t>Kızılmescit Camii Haziresi(Mobil Ekip)</t>
  </si>
  <si>
    <t>41.0469052419439, 28.93452913988569</t>
  </si>
  <si>
    <t>Kiremitçi Ahmet Camii(Mobil Ekip)</t>
  </si>
  <si>
    <t>41.04206947523515, 28.950750523736293</t>
  </si>
  <si>
    <t>Langalı Tezveren Dede Kabri(Mobil Ekip)</t>
  </si>
  <si>
    <t>41.006956140754575, 28.95722911349182</t>
  </si>
  <si>
    <t>Mahmud Ağa Camii Haziresi(Mobil Ekip)</t>
  </si>
  <si>
    <t>41.04942322537653, 28.941410794821877</t>
  </si>
  <si>
    <t>Maktul Mustafa Paşa Camii(Mobil Ekip)</t>
  </si>
  <si>
    <t>41.03506469280803, 28.933569966063068</t>
  </si>
  <si>
    <t>Mehmet Paşa Çeşmesi (Mobil Ekip)</t>
  </si>
  <si>
    <t>41.04670740596146, 28.935200539937142</t>
  </si>
  <si>
    <t>Mehmet Vusuli Efendi Türbesi Haziresi(Mobil Ekip)</t>
  </si>
  <si>
    <t>41.04661680439257, 28.935978155146163</t>
  </si>
  <si>
    <t>Melamiler Sofası(Mobil Ekip)</t>
  </si>
  <si>
    <t>41.035415369342324, 28.935033817785573</t>
  </si>
  <si>
    <t>Miralem Halil Ağa Haziresi (Mobil Ekip)</t>
  </si>
  <si>
    <t>41.028368232937225, 28.97694320517678</t>
  </si>
  <si>
    <t>Molla Çelebi Camii (Mobil Ekip)</t>
  </si>
  <si>
    <t>41.03215633738102, 28.99051998240834</t>
  </si>
  <si>
    <t>Muradı Münzevi Hazretleri Türbesi(Mobil Ekip)</t>
  </si>
  <si>
    <t>41.040540138428135, 28.930956554427546</t>
  </si>
  <si>
    <t>Mustafa Selami Efendi Tekkesi Haziresi(Mobil Ekip)</t>
  </si>
  <si>
    <t>41.04088810094067, 28.932276201306788</t>
  </si>
  <si>
    <t>Münzevi Camii(Mobil Ekip)</t>
  </si>
  <si>
    <t>41.03862664242783, 28.928753466063192</t>
  </si>
  <si>
    <t>Nişancı Mustafa Paşa Camii (Mobil Ekip)</t>
  </si>
  <si>
    <t>41.038420, 28.925886</t>
  </si>
  <si>
    <t>Otakçıbaşı Hüseyin Ağa Kabri(Mobil Ekip)</t>
  </si>
  <si>
    <t>41.03606064779104, 28.935667367917958</t>
  </si>
  <si>
    <t>Osman Kemali Dede Haziresi (Mısır Tarlası Mezarlığı)</t>
  </si>
  <si>
    <t>41.033198, 28.933948</t>
  </si>
  <si>
    <t>Ömer Avni Cami (Mobil Ekip)</t>
  </si>
  <si>
    <t>41.034744899816936, 28.992404441932894</t>
  </si>
  <si>
    <t>Özbekler Tekkesi(Mobil Ekip)</t>
  </si>
  <si>
    <t>41.00512005521187, 28.972413742327873</t>
  </si>
  <si>
    <t>Palamut Dede Türbesi(Mobil Ekip)</t>
  </si>
  <si>
    <t>41.0768093, 28.9442311</t>
  </si>
  <si>
    <t>Pargalı İbrahim Paşa Türbesi (Mobil Ekip)</t>
  </si>
  <si>
    <t>41.03213878298618, 28.989718546818196</t>
  </si>
  <si>
    <t>Pervane Dede Haziresi(Mobil Ekip)</t>
  </si>
  <si>
    <t>41.005807742809935, 28.945565505181662</t>
  </si>
  <si>
    <t>Posta Ve Telgraf Nazırı İzzet Efendi Türbesi(Mobil Ekip)</t>
  </si>
  <si>
    <t>41.048279431011935, 28.93550919675508</t>
  </si>
  <si>
    <t>Saçlı Abdülkadir Efendi Camii(Mobil Ekip)</t>
  </si>
  <si>
    <t>41.047071898938526, 28.933340225591465</t>
  </si>
  <si>
    <t>Saka Dede Kabri(Mobil Ekip)</t>
  </si>
  <si>
    <t>41.04332683260318, 28.927813652572798</t>
  </si>
  <si>
    <t>Sakabaşı Kabri (Mobil Ekip)</t>
  </si>
  <si>
    <t>41.02903245328511, 28.98423055531947</t>
  </si>
  <si>
    <t>Selahi Mehmet Efendi Camii(Mobil Ekip)</t>
  </si>
  <si>
    <t>41.044702504765766, 28.935552383264177</t>
  </si>
  <si>
    <t>Seyid Ahmed Efendi Kabri (Mobil Ekip)</t>
  </si>
  <si>
    <t>41.034584, 28.973427</t>
  </si>
  <si>
    <t>Seyyidler Sofası(Mobil Ekip)</t>
  </si>
  <si>
    <t>41.0312277, 28.9321372</t>
  </si>
  <si>
    <t>Sirkeci Mustafa Ağa Cami (Mobil Ekip)</t>
  </si>
  <si>
    <t>41.03298759895307, 28.983915711244325</t>
  </si>
  <si>
    <t>Siyavuş Paşa Türbesi Haziresi(Mobil Ekip)</t>
  </si>
  <si>
    <t>41.04766661914237, 28.934230897514446</t>
  </si>
  <si>
    <t>Siyavuşpaşa Çeşmesi (Mobil Ekip)</t>
  </si>
  <si>
    <t>Sokullu Mehmet Paşa Camii Çeşmesi (Mobil Ekip)</t>
  </si>
  <si>
    <t>41.00482333423051, 28.971632020716555</t>
  </si>
  <si>
    <t>Sokullu Mehmet Paşa Çeşmesi (Mobil Ekip)</t>
  </si>
  <si>
    <t>41.04521440350679, 28.93513661024564</t>
  </si>
  <si>
    <t>Sokullu Mehmet Paşa Türbesi Haziresi(Mobil Ekip)</t>
  </si>
  <si>
    <t>41.048696530590895, 28.933684986429014</t>
  </si>
  <si>
    <t>Sultan Reşat Türbesi Haziresi(Mobil Ekip)</t>
  </si>
  <si>
    <t>41.04810125273447, 28.935868625591407</t>
  </si>
  <si>
    <t>Süleyman Ağa Kabri(Mobil Ekip)</t>
  </si>
  <si>
    <t>41.00798618050521, 28.923765384461888</t>
  </si>
  <si>
    <t>Şah Sultan Camii(Mobil Ekip)</t>
  </si>
  <si>
    <t>41.055614109018144, 28.93602448112574</t>
  </si>
  <si>
    <t>Şehid Molla Lütfi Türbesi(Mobil Ekip)</t>
  </si>
  <si>
    <t>41.04309887623004, 28.93752698326407</t>
  </si>
  <si>
    <t>Şehit Pehlivan Kabri (Mobil Ekip)</t>
  </si>
  <si>
    <t>41.03245748541593, 28.9705218999992</t>
  </si>
  <si>
    <t>Şeyh Abdülbaki Efendi Kabri(Mobil Ekip)</t>
  </si>
  <si>
    <t>41.039234561982454, 28.931808994823086</t>
  </si>
  <si>
    <t>Şeyh Murad Efendi Türbe Ve Haziresi(Mobil Ekip)</t>
  </si>
  <si>
    <t>41.04036529207907, 28.93079379489973</t>
  </si>
  <si>
    <t>Şeyh Murat Efendi Kabri(Mobil Ekip)</t>
  </si>
  <si>
    <t>41.04036529207907, 28.93078306606332</t>
  </si>
  <si>
    <t>Şeyhülislam Mustafa Efendi Haziresi(Mobil Ekip)</t>
  </si>
  <si>
    <t>41.04668258466895, 28.93270516484996</t>
  </si>
  <si>
    <t>Taşlıburun Dergahı Haziresi(Mobil Ekip)</t>
  </si>
  <si>
    <t>41.05504702279285, 28.936299809928073</t>
  </si>
  <si>
    <t>Ummi Sinan Tekkesi Haziresi(Mobil Ekip)</t>
  </si>
  <si>
    <t>41.04735741552929, 28.925895381409347</t>
  </si>
  <si>
    <t>Yanık Şeyh İsmail Tekkesi Haziresi (Mobil Ekip)</t>
  </si>
  <si>
    <t>41.033932, 28.972632</t>
  </si>
  <si>
    <t>Yusuf Efendi Ve Hüseyin Efendi Kabirleri(Mobil Ekip)</t>
  </si>
  <si>
    <t>41.057818489276805, 28.935893807263664</t>
  </si>
  <si>
    <t>Zal Mahmut Paşa Camii(Mobil Ekip)</t>
  </si>
  <si>
    <t>41.04479464620339, 28.9357080102457</t>
  </si>
  <si>
    <t>Zal Mahmut Paşa Çeşmesi (BBO)</t>
  </si>
  <si>
    <t>41.04490792920219, 28.936126434865944</t>
  </si>
  <si>
    <t>Zeynep Hatun Türbesi(Mobil Ekip)</t>
  </si>
  <si>
    <t>41.05562135858826, 28.932675396755588</t>
  </si>
  <si>
    <t>Cibali Kapı (Sivrikoz Kapısı)</t>
  </si>
  <si>
    <t>41.02638874679165, 28.958595350716955</t>
  </si>
  <si>
    <t>Fatih Çukur Çeşme</t>
  </si>
  <si>
    <t>41.02097183414424, 28.956320628107143</t>
  </si>
  <si>
    <t>Gedikpaşa Sarnıcı</t>
  </si>
  <si>
    <t>41.00845159388627, 28.967220296752984</t>
  </si>
  <si>
    <t>İmç Çeşmesi (Sadrazam Seyit Hasan Paşa Çeşmesi)</t>
  </si>
  <si>
    <t>41.013359833757036, 28.951449508903814</t>
  </si>
  <si>
    <t>Kadırga Meydan (Acısu) Çeşmesi</t>
  </si>
  <si>
    <t>41.00445039751924, 28.96933701606147</t>
  </si>
  <si>
    <t>Murad Paşa Camii Çeşmesi</t>
  </si>
  <si>
    <t>41.010359172815605, 28.948644481407413</t>
  </si>
  <si>
    <t>Murad Paşa Camii Haziresi</t>
  </si>
  <si>
    <t>41.01058585713429, 28.949052177191252</t>
  </si>
  <si>
    <t>Vatan Caddesi Surları Restorasyon Uygulaması</t>
  </si>
  <si>
    <t>41.01604147949021, 28.922037170577028</t>
  </si>
  <si>
    <t>Ahmed Galib Paşa Çeşmesi</t>
  </si>
  <si>
    <t>41.02816200871345, 28.93351700517661</t>
  </si>
  <si>
    <t>Gotlar Sütunu</t>
  </si>
  <si>
    <t>41.01467586470914, 28.985484754426096</t>
  </si>
  <si>
    <t>Sütun Restorasyonu</t>
  </si>
  <si>
    <t>Has Yunus Bey Türbesi</t>
  </si>
  <si>
    <t>41.11281793768854, 28.95633035206576</t>
  </si>
  <si>
    <t>Surp Hıreşdagabed Ermeni Kilisesi</t>
  </si>
  <si>
    <t>41.034105544009776, 28.945426698689964</t>
  </si>
  <si>
    <t>Unkapanı Hızır Bey Haziresi</t>
  </si>
  <si>
    <t>41.01957848223474, 28.960548654426482</t>
  </si>
  <si>
    <t>3.Selim Han Çeşmesi</t>
  </si>
  <si>
    <t>41.00868277950524, 28.962242963025837</t>
  </si>
  <si>
    <t>Ali Rıza Efendi Büstü (İbb Saraçhane)</t>
  </si>
  <si>
    <t>41.01375954415542, 28.95538408140769</t>
  </si>
  <si>
    <t>Aslan Heykelleri</t>
  </si>
  <si>
    <t>41.01387603500771, 28.955303710357754</t>
  </si>
  <si>
    <t>Asude Hatun Türbesi</t>
  </si>
  <si>
    <t>41.02389095017736, 28.955267996753786</t>
  </si>
  <si>
    <t>Aşık Paşazade Çeşmesi</t>
  </si>
  <si>
    <t>41.024222889947815, 28.956159154426697</t>
  </si>
  <si>
    <t>Balat Yerköylü Ahmet Ağa Çeşmesi</t>
  </si>
  <si>
    <t>41.03801219567026, 28.951893182493553</t>
  </si>
  <si>
    <t>Bukoleon Sarayı</t>
  </si>
  <si>
    <t>41.002512017887184, 28.975541796752772</t>
  </si>
  <si>
    <t>Dr.Lütfi Kırdar Büstü (İbb Saraçhane)</t>
  </si>
  <si>
    <t>41.0474775, 28.9898426</t>
  </si>
  <si>
    <t>Dr.Op Cemil Topuzlu (Paşa) Büstü(İbb Saraçhane)</t>
  </si>
  <si>
    <t>41.01381369359311, 28.955037505440046</t>
  </si>
  <si>
    <t>Dr.Op.Emin Erkul Seyitoğlu Büstü(İbb Saraçhane)</t>
  </si>
  <si>
    <t>Fahrettin Kerim Gökay Büstü (İbb Saraçhane)</t>
  </si>
  <si>
    <t>Fatih Atatürk Heykeli</t>
  </si>
  <si>
    <t>41.01637132165124, 28.9860759944588</t>
  </si>
  <si>
    <t>Fatih Hacı Hamza Camii Haziresi</t>
  </si>
  <si>
    <t>41.00085690965156, 28.92292825086705</t>
  </si>
  <si>
    <t>Fatih Langa Altı Atatürk Büstü</t>
  </si>
  <si>
    <t>41.01458419798149, 28.94020112990849</t>
  </si>
  <si>
    <t>Haliç Sanat 1</t>
  </si>
  <si>
    <t>41.02670625512351, 28.95848985257185</t>
  </si>
  <si>
    <t>Sanat Galerisi</t>
  </si>
  <si>
    <t>Haliç Sanat 2</t>
  </si>
  <si>
    <t>41.02841368273578, 28.95445909675413</t>
  </si>
  <si>
    <t>Haliç Sanat 3</t>
  </si>
  <si>
    <t>41.030443646394474, 28.951142539081278</t>
  </si>
  <si>
    <t>Haşim İşcan Büstü (İbb Saraçhane)</t>
  </si>
  <si>
    <t>Haydar Yuluğ Büstü (İbb Saraçhane)</t>
  </si>
  <si>
    <t>41.01384859420603, 28.9554055390805</t>
  </si>
  <si>
    <t>Haydarhane Camii</t>
  </si>
  <si>
    <t>41.01418422552376, 28.951756839080595</t>
  </si>
  <si>
    <t>Hızır Bey Çelebi Büstü(İbb Saraçhane)</t>
  </si>
  <si>
    <t>IETT Troleybüs Binası (Kütüphane Troleybüs )</t>
  </si>
  <si>
    <t>41.012117310777306, 28.961778110243973</t>
  </si>
  <si>
    <t>İskender Paşa Çeşmesi</t>
  </si>
  <si>
    <t>41.03937778680577, 28.943319000001026</t>
  </si>
  <si>
    <t>Karaköy Surp Krikor Lusavoriç Kilisesi</t>
  </si>
  <si>
    <t>41.025666224782526, 28.978397890534104</t>
  </si>
  <si>
    <t>Kara surları Mevlanakapı Ziyaretçi Merkezi (Mevlanakapı Karakolu)</t>
  </si>
  <si>
    <t>41.01424763654463, 28.92229529860838</t>
  </si>
  <si>
    <t>Narlıkapı Ermeni Mezarlığı</t>
  </si>
  <si>
    <t>41.031965931751536, 28.930203187520267</t>
  </si>
  <si>
    <t>Refia Hanım Çeşmesi</t>
  </si>
  <si>
    <t>41.007563888511754, 28.9478239896429</t>
  </si>
  <si>
    <t>Saraçhane Kazı Evi</t>
  </si>
  <si>
    <t>41.014485466729134, 28.95327142658813</t>
  </si>
  <si>
    <t>Kazı Rölövesi</t>
  </si>
  <si>
    <t>Seyyid Velayed Türbesi</t>
  </si>
  <si>
    <t>41.02361610575595, 28.955592201719615</t>
  </si>
  <si>
    <t>Silivrikapı Kozlu Mezarlığı</t>
  </si>
  <si>
    <t>41.00970397135388, 28.917962897751927</t>
  </si>
  <si>
    <t>Sinanağa Çeşmesi</t>
  </si>
  <si>
    <t>41.03607234776669, 28.94448369675447</t>
  </si>
  <si>
    <t>Sultanahmet Örme Sütun</t>
  </si>
  <si>
    <t>41.00556860097121, 28.974835125589422</t>
  </si>
  <si>
    <t>Sultanahmet Yılanlı Sütun</t>
  </si>
  <si>
    <t>41.00582039681288, 28.975066467916463</t>
  </si>
  <si>
    <t>Sulukule Karasuları</t>
  </si>
  <si>
    <t>41.02669600823294, 28.931781971322113</t>
  </si>
  <si>
    <t>Uşşaki Camii Çeşmesi</t>
  </si>
  <si>
    <t>40.99669811793107, 28.927436881406873</t>
  </si>
  <si>
    <t>Yaşar Kemal Anıtı</t>
  </si>
  <si>
    <t>40.99743876124298, 28.941678097751478</t>
  </si>
  <si>
    <t>Yerebatan Sarnıcı</t>
  </si>
  <si>
    <t>41.00843254808348, 28.97785653908019</t>
  </si>
  <si>
    <t>Biberağa Cami Haziresi</t>
  </si>
  <si>
    <t>41.00959949608017, 28.939746389642096</t>
  </si>
  <si>
    <t>Ayasofya Üç Yüzlü Çeşme</t>
  </si>
  <si>
    <t>41.009128911966684, 28.978601310243953</t>
  </si>
  <si>
    <t>Beyceğiz Cami Çeşmesi</t>
  </si>
  <si>
    <t>41.025907439928744, 28.94615699999838</t>
  </si>
  <si>
    <t>Damat İbrahim Paşa Çeşmesi (İskender Paşa Çeşmesi)</t>
  </si>
  <si>
    <t>41.013328565431934, 28.957865635742472</t>
  </si>
  <si>
    <t>Erdik Baba Haziresi (Uçuruk Baba Tekkesi Haziresi)</t>
  </si>
  <si>
    <t>40.99090611101019, 28.914457020716725</t>
  </si>
  <si>
    <t>Fatma Sultan Çeşmesi</t>
  </si>
  <si>
    <t>41.008980888470944, 28.929177005179213</t>
  </si>
  <si>
    <t>Gülhane Sarnıcı (Gülhane Sanat)</t>
  </si>
  <si>
    <t>41.01342081301505, 28.981470581407645</t>
  </si>
  <si>
    <t>Hacı Beşir Ağa Çeşmesi</t>
  </si>
  <si>
    <t>41.00852236258858, 28.978080219283644</t>
  </si>
  <si>
    <t>Mehmet Kethüda Çeşmesi (Mevlanakapı)</t>
  </si>
  <si>
    <t>41.01369587498021, 28.97327290025411</t>
  </si>
  <si>
    <t>Süleymaniye Hamamı Duvarı</t>
  </si>
  <si>
    <t>41.01582586656431, 28.965652626588152</t>
  </si>
  <si>
    <t>Teyyare Şehitler Anıtı</t>
  </si>
  <si>
    <t>41.01608762001847, 28.952796708569196</t>
  </si>
  <si>
    <t>Yedikule Gazhanesi</t>
  </si>
  <si>
    <t>40.99134484474066, 28.923452725588596</t>
  </si>
  <si>
    <t>Alman Çeşmesi</t>
  </si>
  <si>
    <t>41.00723030060146, 28.976688496753095</t>
  </si>
  <si>
    <t>Aşık Veysel Heykeli</t>
  </si>
  <si>
    <t>41.01121868708581, 28.97903282558958</t>
  </si>
  <si>
    <t>Ayvansaray Mimar Hacı Mustafa Ağa Çeşmesi</t>
  </si>
  <si>
    <t>41.02592428906469, 28.94249793988569</t>
  </si>
  <si>
    <t>Belgradkapı Kara Surları (Kara surları Belgradkapı Ziyaretçi Merkezi)</t>
  </si>
  <si>
    <t>41.01498097317393, 28.922122996753448</t>
  </si>
  <si>
    <t>Bulgur Palas</t>
  </si>
  <si>
    <t>41.00725239311801, 28.943998396753067</t>
  </si>
  <si>
    <t>Gülhane Parkı Atatürk Heykeli</t>
  </si>
  <si>
    <t>41.01119078114826, 28.979260999999184</t>
  </si>
  <si>
    <t>Helva-İ Yakup Dede Türbesi</t>
  </si>
  <si>
    <t>41.01288233492363, 28.961147005180067</t>
  </si>
  <si>
    <t>Kanuni Sultan Süleyman Han Çeşmesi</t>
  </si>
  <si>
    <t>41.01360797737194, 28.948396800634185</t>
  </si>
  <si>
    <t>Milion Taşı</t>
  </si>
  <si>
    <t>41.00818470987198, 28.97790382558942</t>
  </si>
  <si>
    <t>Sarayburnu Atatürk Heykeli</t>
  </si>
  <si>
    <t>41.01624038103542, 28.986146297752033</t>
  </si>
  <si>
    <t>Sermimar Hacı Mustafa Ağa Çeşmesi</t>
  </si>
  <si>
    <t>41.036994358988636, 28.94093800518084</t>
  </si>
  <si>
    <t>İstanbul Tasarım Müzesi</t>
  </si>
  <si>
    <t>Süleymaniye Cami Altı Sıra Dükkanlar (İstanbul Tasarım Müzesi)</t>
  </si>
  <si>
    <t>41.016089477370265, 28.96344590618396</t>
  </si>
  <si>
    <t>Şehit Polis Memuru Ahmet Şakir Gülgöner Çeşmesi</t>
  </si>
  <si>
    <t>41.016138205609934, 29.012823100003487</t>
  </si>
  <si>
    <t>Vani Dergahı Haziresi</t>
  </si>
  <si>
    <t>41.00838663453621, 28.928939800001444</t>
  </si>
  <si>
    <t>Fatih Ahmet Ağa Çeşmesi (Mobil Ekip)</t>
  </si>
  <si>
    <t>41.01053258842677, 28.9474914051807</t>
  </si>
  <si>
    <t>Abid Çelebi Tekkesi Haziresi (Mobil Ekip)</t>
  </si>
  <si>
    <t>41.02308863127297, 28.950781310356547</t>
  </si>
  <si>
    <t xml:space="preserve">Fatih Hacı Ferhat Ağa Camii(Mobil Ekip) </t>
  </si>
  <si>
    <t>41.02313815967486, 28.955469610359245</t>
  </si>
  <si>
    <t>Hacı Hasan Camii Çeşmesi (Mobil Ekip)</t>
  </si>
  <si>
    <t>41.02115088812235, 28.954768010360397</t>
  </si>
  <si>
    <t>Hüsam İbni Abdullah Türbesi (Mobil Ekip)</t>
  </si>
  <si>
    <t>41.03149188782527, 28.94068199999853</t>
  </si>
  <si>
    <t>Nimel Ceyş Kabirleri(Mobil Ekip)</t>
  </si>
  <si>
    <t>41.004985462310756, 28.98182044589938</t>
  </si>
  <si>
    <t>Nişancı Mehmet Paşa Camii(Mobil Ekip)</t>
  </si>
  <si>
    <t>41.02422412365429, 28.944885964881365</t>
  </si>
  <si>
    <t>Rehabula Kadın Sebili ve Haziresi (Mobil Ekip)</t>
  </si>
  <si>
    <t>41.017032111759704, 28.9603509896412</t>
  </si>
  <si>
    <t>Rehabula Kadın Haziresi(Mobil Ekip)</t>
  </si>
  <si>
    <t>41.017020, 28.960354</t>
  </si>
  <si>
    <t>Yusuf Şucaaddin Camii Çeşmesi (Mobil Ekip)</t>
  </si>
  <si>
    <t>41.0343514387192, 28.946910989645858</t>
  </si>
  <si>
    <t>1. Abdulhamit Türbesi Haziresi(Mobil Ekip)</t>
  </si>
  <si>
    <t>41.01534059459928, 28.97395129999873</t>
  </si>
  <si>
    <t>18 Sekbanlar Haziresi (Mobil Ekip)</t>
  </si>
  <si>
    <t>41.01295044178573, 28.9559999948236</t>
  </si>
  <si>
    <t>Fatih 3. Ahmet Çeşmesi (Mobil Ekip)</t>
  </si>
  <si>
    <t>41.00825733452615, 28.981271015536834</t>
  </si>
  <si>
    <t>Abacı Çeşmesi/ Mustafa Paşa Çeşmesi (Mobil Ekip)</t>
  </si>
  <si>
    <t>41.01747733531917, 28.960993989642105</t>
  </si>
  <si>
    <t>Abdulfettah Akri Türbesi (Mobil Ekip)</t>
  </si>
  <si>
    <t>41.01584452844788, 29.028816242327878</t>
  </si>
  <si>
    <t>Abdullah El Ensari Hazretleri Türbesi (Mobil Ekip)</t>
  </si>
  <si>
    <t>41.03329933667831, 28.9443139948213</t>
  </si>
  <si>
    <t>Abdülkadir Dede Kabri(Mobil Ekip)</t>
  </si>
  <si>
    <t>41.019723888162616, 28.95574639482348</t>
  </si>
  <si>
    <t>Abdüsselâm Camii (Mobil Ekip)</t>
  </si>
  <si>
    <t>41.046117, 28.945332</t>
  </si>
  <si>
    <t>Ahçıbaşı Camii (Mobil Ekip)</t>
  </si>
  <si>
    <t>41.013782, 29.020466</t>
  </si>
  <si>
    <t>Fatih Ahmet Bey Çeşmesi (Mobil Ekip)</t>
  </si>
  <si>
    <t>41.00360711137529, 28.962944000000164</t>
  </si>
  <si>
    <t>Akbaba Sultan Türbesi (Mobil Ekip)</t>
  </si>
  <si>
    <t>41.15704403648192, 29.116544217163067</t>
  </si>
  <si>
    <t>Akbıyık Camii(Mobil Ekip)</t>
  </si>
  <si>
    <t>41.00344568995928, 28.979440727444157</t>
  </si>
  <si>
    <t>Aksaray Katip Müslihiddin Camii (Mobil Ekip)</t>
  </si>
  <si>
    <t>41.00880180084011, 28.947847440935135</t>
  </si>
  <si>
    <t>Akşemsettin Camii (Mobil Ekip)</t>
  </si>
  <si>
    <t>41.02432559596249, 28.939717479771385</t>
  </si>
  <si>
    <t>Alaiyeli Kaptanı Derya Ebubekir Ağa Külliyesi (Mobil Ekip)</t>
  </si>
  <si>
    <t>41.00926861567814, 28.95022623908031</t>
  </si>
  <si>
    <t>Alemdar Baba Kabri (Mobil Ekip)</t>
  </si>
  <si>
    <t>41.023213, 29.015849</t>
  </si>
  <si>
    <t>Alemdar İbrahim Efendi Kabri(Mobil Ekip)</t>
  </si>
  <si>
    <t>41.01954419311132, 28.95643208059414</t>
  </si>
  <si>
    <t>Ali Baba Kabri(Mobil Ekip)</t>
  </si>
  <si>
    <t>41.011688445359184, 28.98347591295876</t>
  </si>
  <si>
    <t>Ali Hoca Türbesi (Mobil Ekip)</t>
  </si>
  <si>
    <t>41.030539, 28.974040</t>
  </si>
  <si>
    <t>Ali Paşa Çeşmesi (Mobil Ekip)</t>
  </si>
  <si>
    <t>41.03057637174641, 28.939399548567454</t>
  </si>
  <si>
    <t>Ali Paşa Türbesi (Mobil Ekip)</t>
  </si>
  <si>
    <t>41.024751, 28.940382</t>
  </si>
  <si>
    <t>Ali Pertek Camii (Mobil Ekip)</t>
  </si>
  <si>
    <t>41.088558, 29.056410</t>
  </si>
  <si>
    <t>Altay Camii (Mobil Ekip)</t>
  </si>
  <si>
    <t>41.02388255053393, 28.942929036318976</t>
  </si>
  <si>
    <t>Altı Poğaça Ahmed Paşa Camii(Mobil Ekip)</t>
  </si>
  <si>
    <t>41.0243367421511, 28.952971230003673</t>
  </si>
  <si>
    <t>Arakiyeci Mehmed Ağa Camii (Mobil Ekip)</t>
  </si>
  <si>
    <t>41.0131326028652, 28.924957809194375</t>
  </si>
  <si>
    <t>Arakiyeci Mehmet Ağa Mescidi Haziresi (Mobil Ekip)</t>
  </si>
  <si>
    <t>41.013843, 29.021795</t>
  </si>
  <si>
    <t>Arap Mezarlığı (Mobil Ekip)</t>
  </si>
  <si>
    <t>40.996426, 29.031353</t>
  </si>
  <si>
    <t>Arpa Emini Mustafa Efendi Haziresi(Mobil Ekip)</t>
  </si>
  <si>
    <t>41.02055905342776, 28.931889681407984</t>
  </si>
  <si>
    <t>Asadar Baba Türbesi (Mobil Ekip)</t>
  </si>
  <si>
    <t>41.024785, 29.025001</t>
  </si>
  <si>
    <t>Atik Valide Camii Haziresi (Mobil Ekip)</t>
  </si>
  <si>
    <t>41.018455, 29.023909</t>
  </si>
  <si>
    <t>Aya Dede Türbesi(Mobil Ekip)</t>
  </si>
  <si>
    <t>41.0284087, 28.9550130</t>
  </si>
  <si>
    <t>Ayasofya Kürsü Şeyh Hasan Efendi Kabri(Mobil Ekip)</t>
  </si>
  <si>
    <t>41.00873679708423, 28.980196454425872</t>
  </si>
  <si>
    <t>Aydın Kethüda Camii (Mobil Ekip)</t>
  </si>
  <si>
    <t>41.01207857205023, 28.927788083262406</t>
  </si>
  <si>
    <t>Fatih Ayşe Sultan Çeşmesi (Mobil Ekip)</t>
  </si>
  <si>
    <t>41.015663656618464, 28.955907441154046</t>
  </si>
  <si>
    <t>Aziz Mahmud Hüdai Camii Çeşmesi (Mobil Ekip)</t>
  </si>
  <si>
    <t>41.022277, 29.014385</t>
  </si>
  <si>
    <t>Balcı Baba Kabri (Mobil Ekip)</t>
  </si>
  <si>
    <t>41.016624, 29.020787</t>
  </si>
  <si>
    <t>Bali Paşa Camii (Mobil Ekip)</t>
  </si>
  <si>
    <t>41.01921858298659, 28.943878996753643</t>
  </si>
  <si>
    <t>Bandırmalı Şeyh Yusuf Efendi Camii (Mobil Ekip)</t>
  </si>
  <si>
    <t>41.017197, 29.018012</t>
  </si>
  <si>
    <t>Bekir Ağa Çeşmesi (Mobil Ekip)</t>
  </si>
  <si>
    <t>41.008355, 28.936143</t>
  </si>
  <si>
    <t>Berberbaşı Çeşmesi (Mobil Ekip)</t>
  </si>
  <si>
    <t>41.032646, 28.938917</t>
  </si>
  <si>
    <t>Bereketzade Ali Efendi Camii Haziresi (Mobil Ekip)</t>
  </si>
  <si>
    <t>41.025002, 28.974087</t>
  </si>
  <si>
    <t>Beş Kardeşler Haziresi (Mobil Ekip)</t>
  </si>
  <si>
    <t>41.04919238764354, 28.939565681896184</t>
  </si>
  <si>
    <t>Beşinci Bölükten Sekbanbaşının Kabri(Mobil Ekip)</t>
  </si>
  <si>
    <t>41.021682905517, 28.955675180674778</t>
  </si>
  <si>
    <t>Beyazıt Camii(Mobil Ekip)</t>
  </si>
  <si>
    <t>41.01033531384309, 28.965191867916708</t>
  </si>
  <si>
    <t>Beyceğiz Çeşmesi (Mobil Ekip)</t>
  </si>
  <si>
    <t>41.025926, 28.946412</t>
  </si>
  <si>
    <t>Bıçakçı Alaaddin Camii (Mobil Ekip)</t>
  </si>
  <si>
    <t>41.013875012289404, 28.949718883262605</t>
  </si>
  <si>
    <t>Bıçakçı Alaaddin Camii Çeşmesi (Mobil Ekip)</t>
  </si>
  <si>
    <t>41.01389929863622, 28.94966523908053</t>
  </si>
  <si>
    <t>Bıçakçı Alaaddin Camii Haziresi(Mobil Ekip)</t>
  </si>
  <si>
    <t>41.013985221995036, 28.94970919325113</t>
  </si>
  <si>
    <t>Bodrumi Ömer Lütfi Kabri (Mobil Ekip)</t>
  </si>
  <si>
    <t>41.011901, 29.067663</t>
  </si>
  <si>
    <t>Börekçi Baba Türbesi (Mobil Ekip)</t>
  </si>
  <si>
    <t>41.026076, 29.021530</t>
  </si>
  <si>
    <t>Buhur Baba Türbesi (Mobil Ekip)</t>
  </si>
  <si>
    <t>40.98924833289203, 29.078906305180226</t>
  </si>
  <si>
    <t>Burmalı Mescit Camii (Mobil Ekip)</t>
  </si>
  <si>
    <t>41.0145591, 28.9562368</t>
  </si>
  <si>
    <t>Cağalizade İbrahim Bey Çeşmesi (Mobil Ekip)</t>
  </si>
  <si>
    <t>41.028917, 28.936778</t>
  </si>
  <si>
    <t>Cağalzade Rüstem Paşa Çeşmesi (Mobil Ekip)</t>
  </si>
  <si>
    <t>41.0179084, 28.9687270</t>
  </si>
  <si>
    <t>Cambaziye Camii (Mobil Ekip)</t>
  </si>
  <si>
    <t>41.0053457, 28.9281518</t>
  </si>
  <si>
    <t>Canfeda Kadın Çeşmesi (Mobil Ekip)</t>
  </si>
  <si>
    <t>41.007790, 28.967563</t>
  </si>
  <si>
    <t>Cedid Abdurrahim Efendi Medresesi (Mobil Ekip)</t>
  </si>
  <si>
    <t>41.022106, 28.948811</t>
  </si>
  <si>
    <t>Cerrah Mehmed Paşa Camii (Mobil Ekip)</t>
  </si>
  <si>
    <t>41.0076928, 28.9451341</t>
  </si>
  <si>
    <t>Fatih Ciğerci Baba Kabri (Mobil Ekip)</t>
  </si>
  <si>
    <t>41.017111, 28.926444</t>
  </si>
  <si>
    <t>Cumhuriyet Çeşmesi (Mobil Ekip)</t>
  </si>
  <si>
    <t>41.027917, 28.956472</t>
  </si>
  <si>
    <t>Çadırcı Ahmet Çelebi Camii(Mobil Ekip)</t>
  </si>
  <si>
    <t>41.0053144, 28.9656515</t>
  </si>
  <si>
    <t>Çakırcı Hasan Paşa Camii (Mobil Ekip)</t>
  </si>
  <si>
    <t>41.022242, 29.010601</t>
  </si>
  <si>
    <t>Çırakçı Çeşmesi (Mobil Ekip)</t>
  </si>
  <si>
    <t>41.018621, 29.012712</t>
  </si>
  <si>
    <t>Çinili Camii Haziresi (Mobil Ekip)</t>
  </si>
  <si>
    <t>41.019856, 29.029307</t>
  </si>
  <si>
    <t>Fatih Çorlulu Ali Paşa Çeşmesi (Mobil Ekip)</t>
  </si>
  <si>
    <t>41.0092583, 28.9683945</t>
  </si>
  <si>
    <t>Damat İbrahim Paşa Camii (Mobil Ekip)</t>
  </si>
  <si>
    <t>41.0149328, 28.9469640</t>
  </si>
  <si>
    <t>Davutpaşa Camii (Mobil Ekip)</t>
  </si>
  <si>
    <t>41.006581, 28.936976</t>
  </si>
  <si>
    <t>Fatih Daye Hatun Camii (Mobil Ekip)</t>
  </si>
  <si>
    <t>41.0133969, 28.9714378</t>
  </si>
  <si>
    <t>Debbağ Yunus Camii (Mobil Ekip)</t>
  </si>
  <si>
    <t>41.0271862, 28.9531492</t>
  </si>
  <si>
    <t>Defterdar Tahir Efendi Camii Çeşmesi(Mobil Ekip)</t>
  </si>
  <si>
    <t>41.009219, 29.012831</t>
  </si>
  <si>
    <t>Destari Mustafa Paşa Çeşmesi (Mobil Ekip)</t>
  </si>
  <si>
    <t>41.017464, 28.960840</t>
  </si>
  <si>
    <t>Dibekli Emin Bey Camii(Mobil Ekip)</t>
  </si>
  <si>
    <t>41.0086802, 28.9650282</t>
  </si>
  <si>
    <t>Dülgerzade Camii (Mobil Ekip)</t>
  </si>
  <si>
    <t>41.0160711, 28.9514386</t>
  </si>
  <si>
    <t>Dülgerzade Camii Çeşmesi (Mobil Ekip)</t>
  </si>
  <si>
    <t>Ebezade Çeşmesi (Mobil Ekip)</t>
  </si>
  <si>
    <t>41.023992, 28.945237</t>
  </si>
  <si>
    <t>Ebu Said El Hudri Türbesi (Mobil Ekip)</t>
  </si>
  <si>
    <t>41.0312691, 28.9389113</t>
  </si>
  <si>
    <t>Ebul Meyamin Mustafa Efendi Haziresi (Mobil Ekip)</t>
  </si>
  <si>
    <t>41.020995, 28.949214</t>
  </si>
  <si>
    <t>Eğrikapı Çeşmesi (Mobil Ekip)</t>
  </si>
  <si>
    <t>41.036384, 28.940347</t>
  </si>
  <si>
    <t>Ekmekçi Baba Türbesi (Mobil Ekip)</t>
  </si>
  <si>
    <t>41.028452, 28.937206</t>
  </si>
  <si>
    <t>Ekmekçizade Ahmet Paşa Medresesi(Mobil Ekip)</t>
  </si>
  <si>
    <t>41.0150785, 28.9588440</t>
  </si>
  <si>
    <t>Elekli Muhittin Dede Kabri (Mobil Ekip)</t>
  </si>
  <si>
    <t>41.005986, 28.921720</t>
  </si>
  <si>
    <t>Emin Sinan Camii(Mobil Ekip)</t>
  </si>
  <si>
    <t>41.0067186, 28.9696399</t>
  </si>
  <si>
    <t>Emir Buhari Camii (Mobil Ekip)</t>
  </si>
  <si>
    <t>41.0200420, 28.9463736</t>
  </si>
  <si>
    <t>Esad Ağa Mezarlığı (Mobil Ekip)</t>
  </si>
  <si>
    <t>41.005067, 28.912958</t>
  </si>
  <si>
    <t>Fatih Camii (Mobil Ekip)</t>
  </si>
  <si>
    <t>41.0198696, 28.9500804</t>
  </si>
  <si>
    <t>Fenai Ali Efendi Camii Haziresi (Mobil Ekip)</t>
  </si>
  <si>
    <t>41.017768, 29.028162</t>
  </si>
  <si>
    <t>Ferruh Kethüda Camii Haziresi (Mobil Ekip)</t>
  </si>
  <si>
    <t>41.0345591, 28.9456225</t>
  </si>
  <si>
    <t>Fevziye Küçük Efendi Camii (Mobil Ekip)</t>
  </si>
  <si>
    <t>41.0004809, 28.9244279</t>
  </si>
  <si>
    <t>Galata Mevlevihanesi Haziresi (Mobil Ekip)</t>
  </si>
  <si>
    <t>41.028420, 28.975525</t>
  </si>
  <si>
    <t>Garip Baba Türbesi (Mobil Ekip)</t>
  </si>
  <si>
    <t>40.985011, 29.072109</t>
  </si>
  <si>
    <t>Gazanfer Ağa Külliyesi(Mobil Ekip)</t>
  </si>
  <si>
    <t>41.0162900, 28.9553808</t>
  </si>
  <si>
    <t>Gazi Atik Ali Camii(Mobil Ekip)</t>
  </si>
  <si>
    <t>41.0088612, 28.9704457</t>
  </si>
  <si>
    <t>Gülfem Hâtun Camii (Mobil Ekip)</t>
  </si>
  <si>
    <t>41.023549, 29.015097</t>
  </si>
  <si>
    <t>Gürcü Mehmet Paşa Çeşmesi (Mobil Ekip)</t>
  </si>
  <si>
    <t>41.015911, 28.944070</t>
  </si>
  <si>
    <t>Güzelce Mahmut Paşa Çeşmesi (Mobil Ekip)</t>
  </si>
  <si>
    <t>41.011544, 28.971948</t>
  </si>
  <si>
    <t>Hacı Bayram Kaftani Camii (Mobil Ekip)</t>
  </si>
  <si>
    <t>41.0094196, 28.9466076</t>
  </si>
  <si>
    <t>Hacı Evhaddin Camii (Mobil Ekip)</t>
  </si>
  <si>
    <t>40.9967766, 28.9237788</t>
  </si>
  <si>
    <t>Hacı Evliya Camii (Mobil Ekip)</t>
  </si>
  <si>
    <t>41.0132055, 28.9238711</t>
  </si>
  <si>
    <t>Hacı Hamza Camii (Mobil Ekip)</t>
  </si>
  <si>
    <t>41.0013059, 28.9237825</t>
  </si>
  <si>
    <t>Hacı İsa Camii Haziresi (Mobil Ekip)</t>
  </si>
  <si>
    <t>41.0332401, 28.9448102</t>
  </si>
  <si>
    <t>Hacı Mustafa Ağa Çeşmesi (Mobil Ekip)</t>
  </si>
  <si>
    <t>41.037242, 28.940834</t>
  </si>
  <si>
    <t>Hadım İbrahim Paşa Camii (Mobil Ekip)</t>
  </si>
  <si>
    <t>41.0060892, 28.9225719</t>
  </si>
  <si>
    <t>Hakikizade Osman Efendi Haziresi (Mobil Ekip)</t>
  </si>
  <si>
    <t>41.034796, 28.941747</t>
  </si>
  <si>
    <t>Halil Çevkan Çeşmesi (Mobil Ekip)</t>
  </si>
  <si>
    <t>41.0054189, 28.9614186</t>
  </si>
  <si>
    <t>Hamiş Dede Kabri (Mobil Ekip)</t>
  </si>
  <si>
    <t>41.080645, 28.968962</t>
  </si>
  <si>
    <t>Hammal Dede Kabristanı (Mobil Ekip)</t>
  </si>
  <si>
    <t>41.010795, 28.952691</t>
  </si>
  <si>
    <t>Hamuşan Mezarlığı (Mobil Ekip)</t>
  </si>
  <si>
    <t>41.014263, 28.919219</t>
  </si>
  <si>
    <t>Yedi Şehitler Türbesi (Mobil Ekip)</t>
  </si>
  <si>
    <t>40.981961, 28.897496</t>
  </si>
  <si>
    <t>Hasan Baba Haziresi(Mobil Ekip)</t>
  </si>
  <si>
    <t>41.0211593, 28.9553965</t>
  </si>
  <si>
    <t>Hasan Baba Nimel Ceyş Kabri(Mobil Ekip)</t>
  </si>
  <si>
    <t>41.004976, 28.981856</t>
  </si>
  <si>
    <t>Hasan Unsi Tekkesi Haziresi(Mobil Ekip)</t>
  </si>
  <si>
    <t>41.0123756, 28.9782503</t>
  </si>
  <si>
    <t>Hasodabaşı Behruz Ağa Camii Çeşmesi (Mobil Ekip)</t>
  </si>
  <si>
    <t>41.0121044, 28.9310877</t>
  </si>
  <si>
    <t>Haydar Paşa Çeşmesi (Mobil Ekip)</t>
  </si>
  <si>
    <t>41.0217825, 28.9558565</t>
  </si>
  <si>
    <t>Haydarhane Camii Haziresi (Mobil Ekip)</t>
  </si>
  <si>
    <t>41.0138999, 28.9520128</t>
  </si>
  <si>
    <t>Hazreti Abdullah El Hudri Türbesi (Mobil Ekip)</t>
  </si>
  <si>
    <t>41.0379009, 28.9397789</t>
  </si>
  <si>
    <t>Hekimoğlu Ali Paşa Camii (Mobil Ekip)</t>
  </si>
  <si>
    <t>41.0063161, 28.9348880</t>
  </si>
  <si>
    <t>Hırka-İ Şerif Camii (Mobil Ekip)</t>
  </si>
  <si>
    <t>41.0220060, 28.9415288</t>
  </si>
  <si>
    <t>Hızır Bey Türbesi(Mobil Ekip)</t>
  </si>
  <si>
    <t>41.0184962, 28.9584048</t>
  </si>
  <si>
    <t>Himmet Baba Türbesi (Mobil Ekip)</t>
  </si>
  <si>
    <t>41.021867, 29.022619</t>
  </si>
  <si>
    <t>Hindular Tekkesi (Mobil Ekip)</t>
  </si>
  <si>
    <t>41.0113289, 28.9501287</t>
  </si>
  <si>
    <t>Hisar Çeşme (Mobil Ekip)</t>
  </si>
  <si>
    <t>41.006316, 28.970231</t>
  </si>
  <si>
    <t>Hoca Ali Camii (Mobil Ekip)</t>
  </si>
  <si>
    <t>41.026109, 28.976717</t>
  </si>
  <si>
    <t>Hoca Evliya Kabri (Mobil Ekip)</t>
  </si>
  <si>
    <t>41.022080, 29.018391</t>
  </si>
  <si>
    <t>Hoca Gıyasettin Camii(Mobil Ekip)</t>
  </si>
  <si>
    <t>41.0188353, 28.9617859</t>
  </si>
  <si>
    <t>Hoca Hamza Camii(Mobil Ekip)</t>
  </si>
  <si>
    <t>41.0172576, 28.9663897</t>
  </si>
  <si>
    <t>Hoca Kasım Günani Camii (Mobil Ekip)</t>
  </si>
  <si>
    <t>41.0132074, 28.9729528</t>
  </si>
  <si>
    <t>Horhor Çeşmesi (Mobil Ekip)</t>
  </si>
  <si>
    <t>41.0113657, 28.9499405</t>
  </si>
  <si>
    <t>Hoşkadem Camii Haziresi (Mobil Ekip)</t>
  </si>
  <si>
    <t>41.0128228, 28.9544772</t>
  </si>
  <si>
    <t>Hüsambey Tezgahçılar Camii(Mobil Ekip)</t>
  </si>
  <si>
    <t>41.0169262, 28.9551838</t>
  </si>
  <si>
    <t>Hüseyin Baba Kabri (Mobil Ekip)</t>
  </si>
  <si>
    <t>41.017316, 29.021346</t>
  </si>
  <si>
    <t>Hüsmen Ağa Çeşmesi (Mobil Ekip)</t>
  </si>
  <si>
    <t>41.005525, 28.963147</t>
  </si>
  <si>
    <t>Hz. Ebuzari Gaffari Türbesi (Mobil Ekip)</t>
  </si>
  <si>
    <t>41.037872, 28.942856</t>
  </si>
  <si>
    <t>Hz. Şube Haziresi Ve Avcıbaşı Kabri (Mobil Ekip)</t>
  </si>
  <si>
    <t>41.035287, 28.939711</t>
  </si>
  <si>
    <t>Hz. Yuşa Türbesi Ve Haziresi (Mobil Ekip)</t>
  </si>
  <si>
    <t>41.177213, 29.092736</t>
  </si>
  <si>
    <t>Hz.Ebu Şeybe El Hudri Türbesi Ve Hazire (Mobil Ekip)</t>
  </si>
  <si>
    <t>41.0399282, 28.9411004</t>
  </si>
  <si>
    <t>Fatih II.Abdülhamid Çeşmesi (Mobil Ekip)</t>
  </si>
  <si>
    <t>41.014832, 28.979472</t>
  </si>
  <si>
    <t>İbrahim Ağa Camii Haziresi (Mobil Ekip)</t>
  </si>
  <si>
    <t>41.001264, 29.029640</t>
  </si>
  <si>
    <t>İmrahor Bostanı Hazire (Mobil Ekip)</t>
  </si>
  <si>
    <t>41.021505, 29.009861</t>
  </si>
  <si>
    <t>İncirköy Mezarlığı (Mobil Ekip)</t>
  </si>
  <si>
    <t>41.119826, 29.097289</t>
  </si>
  <si>
    <t>İshak Paşa Camii(Mobil Ekip)</t>
  </si>
  <si>
    <t>41.0064629, 28.9815717</t>
  </si>
  <si>
    <t>İskender Paşa Camii (Mobil Ekip)</t>
  </si>
  <si>
    <t>41.0166673, 28.9480386</t>
  </si>
  <si>
    <t>İskender Paşa Türbesi Haziresi(Mobil Ekip)</t>
  </si>
  <si>
    <t>41.004177, 28.976650</t>
  </si>
  <si>
    <t>İstanbul Üniversitesi Duvar Çeşmesi (Mobil Ekip)</t>
  </si>
  <si>
    <t>41.013843, 28.962587</t>
  </si>
  <si>
    <t>Kabakulak Tekkesi Kabristanı (Mobil Ekip)</t>
  </si>
  <si>
    <t>41.0238455, 28.9403669</t>
  </si>
  <si>
    <t>Kadı Çeşmesi (Mobil Ekip)</t>
  </si>
  <si>
    <t>41.024434, 28.953140</t>
  </si>
  <si>
    <t>Kadı Çeşmesi Haziresi(Mobil Ekip)</t>
  </si>
  <si>
    <t>41.0227368, 28.9524772</t>
  </si>
  <si>
    <t>Kadı Sadi Mescidi Haziresi (Mobil Ekip)</t>
  </si>
  <si>
    <t>41.0309642, 28.9441703</t>
  </si>
  <si>
    <t>Kadıasker Mehmet Efendi Camii (Mobil Ekip)</t>
  </si>
  <si>
    <t>41.0174818, 28.9420720</t>
  </si>
  <si>
    <t>Kadırga Liman Çeşmesi (Mobil Ekip)</t>
  </si>
  <si>
    <t>41.004315, 28.969330</t>
  </si>
  <si>
    <t>Kadiri Şeyhi Feyzullahül Hindi Haziresi (Mobil Ekip)</t>
  </si>
  <si>
    <t>41.022835, 29.024348</t>
  </si>
  <si>
    <t>Kaid Mustaf Paşa Çeşmesi (Mobil Ekip)</t>
  </si>
  <si>
    <t>41.000717, 28.922700</t>
  </si>
  <si>
    <t>Kapı Ağası Mahmut Ağa Camii(Mobil Ekip)</t>
  </si>
  <si>
    <t>41.0033017, 28.9767761</t>
  </si>
  <si>
    <t>Kara Hisari İsmail Efendi (Fatma Hatun Mescidi) Türbesi Haziresi (Mobil Ekip)</t>
  </si>
  <si>
    <t>41.025878, 28.944947</t>
  </si>
  <si>
    <t>Karaağaç Melek Hatun Camii (Mobil Ekip)</t>
  </si>
  <si>
    <t>41.0150199, 28.9231398</t>
  </si>
  <si>
    <t>Karamani Piri Mehmet Paşa Camii (Mobil Ekip)</t>
  </si>
  <si>
    <t>41.0113987, 28.9406972</t>
  </si>
  <si>
    <t>Kartal Baba Camii (Mobil Ekip)</t>
  </si>
  <si>
    <t>41.016263, 29.028632</t>
  </si>
  <si>
    <t>Kartal Merkez Camii (Mobil Ekip)</t>
  </si>
  <si>
    <t>40.889332, 29.185951</t>
  </si>
  <si>
    <t>Kasap İlyas Camii (Mobil Ekip)</t>
  </si>
  <si>
    <t>41.0039416, 28.9436515</t>
  </si>
  <si>
    <t>Kasım Baba Kabri (Mobil Ekip)</t>
  </si>
  <si>
    <t>41.018046, 29.025689</t>
  </si>
  <si>
    <t>Kasım Çelebi Camii (Mobil Ekip)</t>
  </si>
  <si>
    <t>41.0039158, 28.9246612</t>
  </si>
  <si>
    <t>Kaşıkçı Mustafa Ağa Haziresi (Mobil Ekip)</t>
  </si>
  <si>
    <t>41.012626, 28.942528</t>
  </si>
  <si>
    <t>Katip Çelebi Çeşmesi (Mobil Ekip)</t>
  </si>
  <si>
    <t>41.016940, 28.958958</t>
  </si>
  <si>
    <t>Katip Sinan Mescidi(Mobil Ekip)</t>
  </si>
  <si>
    <t>41.005980, 28.970629</t>
  </si>
  <si>
    <t>Katip Şemseddin Camii(Mobil Ekip)</t>
  </si>
  <si>
    <t>41.0179189, 28.9627625</t>
  </si>
  <si>
    <t>Kavvasbaşı Kabri (Mobil Ekip)</t>
  </si>
  <si>
    <t>41.027301, 28.937266</t>
  </si>
  <si>
    <t>Kazabadi Ahmed Efendi Kabristanı (Mobil Ekip)</t>
  </si>
  <si>
    <t>41.008572, 28.946046</t>
  </si>
  <si>
    <t>Kazasker Abdurrahman Çelebi Camii (Mobil Ekip)</t>
  </si>
  <si>
    <t>41.0139212, 28.9368359</t>
  </si>
  <si>
    <t>Kazasker İvaz Efendi Camii (Mobil Ekip)</t>
  </si>
  <si>
    <t>41.0381285, 28.9409879</t>
  </si>
  <si>
    <t>Kazasker İvaz Efendi Çeşmesi (Mobil Ekip)</t>
  </si>
  <si>
    <t>Kepenekçi Sinan Medresesi(Mobil Ekip)</t>
  </si>
  <si>
    <t>41.0178523, 28.9657932</t>
  </si>
  <si>
    <t>Keskin Dede Mezarlığı (Mobil Ekip)</t>
  </si>
  <si>
    <t>41.0249636, 28.9455855</t>
  </si>
  <si>
    <t>Kovacı Dede Camii (Mobil Ekip)</t>
  </si>
  <si>
    <t>41.0253343, 28.9479470</t>
  </si>
  <si>
    <t>Koyun Baba Kabri (Mobil Ekip)</t>
  </si>
  <si>
    <t>41.0213821, 28.9436455</t>
  </si>
  <si>
    <t>Kumkapı Behram Çavuş Camii(Mobil Ekip)</t>
  </si>
  <si>
    <t>41.0043681, 28.9667483</t>
  </si>
  <si>
    <t>Kumrulu Mescit Camii (Mobil Ekip)</t>
  </si>
  <si>
    <t>41.0238397, 28.9464972</t>
  </si>
  <si>
    <t>Küçük Ayasofya Camii(Mobil Ekip)</t>
  </si>
  <si>
    <t>41.0029143, 28.9715985</t>
  </si>
  <si>
    <t>Kürkçü Başı Çeşmesi (Mobil Ekip)</t>
  </si>
  <si>
    <t>41.007299, 28.945406</t>
  </si>
  <si>
    <t>Kürkçü Tekkesi (Mobil Ekip)</t>
  </si>
  <si>
    <t>41.007137, 28.929801</t>
  </si>
  <si>
    <t>Laleli Camii Haziresi (Mobil Ekip)</t>
  </si>
  <si>
    <t>41.0097251, 28.9560168</t>
  </si>
  <si>
    <t>Lütuf Paşa Camii (Mobil Ekip)</t>
  </si>
  <si>
    <t>41.0142067, 28.9389025</t>
  </si>
  <si>
    <t>Maarifi Camii (Mobil Ekip)</t>
  </si>
  <si>
    <t>40.888220, 29.190350</t>
  </si>
  <si>
    <t>Maçka Şeyhler Mezarlığı (Mobil Ekip)</t>
  </si>
  <si>
    <t>41.041274, 28.994753</t>
  </si>
  <si>
    <t>Mah Baba Ve Galip Baba Türbesi (Mobil Ekip)</t>
  </si>
  <si>
    <t>40.988372, 29.074542</t>
  </si>
  <si>
    <t>Malatyalı İsmail Ağa Camii (Mobil Ekip)</t>
  </si>
  <si>
    <t>41.018718, 29.016728</t>
  </si>
  <si>
    <t>Malül Mehmet Efendi Haziresi (Mobil Ekip)</t>
  </si>
  <si>
    <t>41.0244789, 28.9435589</t>
  </si>
  <si>
    <t>Manisalı Mehmet Paşa Camii(Mobil Ekip)</t>
  </si>
  <si>
    <t>41.0181219, 28.9536282</t>
  </si>
  <si>
    <t>Mansur Ali Baba (Mobil Ekip)</t>
  </si>
  <si>
    <t>40.988650, 29.075403</t>
  </si>
  <si>
    <t>Mehmet Dede Kabri (Mobil Ekip)</t>
  </si>
  <si>
    <t>41.027573, 28.945203</t>
  </si>
  <si>
    <t>Mehmet Teyfik Efendi Çeşmesi (Mobil Ekip)</t>
  </si>
  <si>
    <t>41.009729, 28.924350</t>
  </si>
  <si>
    <t>Merkez Efendi Camii Hazire (Mobil Ekip)</t>
  </si>
  <si>
    <t>41.013907, 28.915010</t>
  </si>
  <si>
    <t>Merzifonlu Kara Mustafa Paşa Mescidi(Mobil Ekip)</t>
  </si>
  <si>
    <t>41.0147159, 28.9764580</t>
  </si>
  <si>
    <t>Mesih Ali Paşa Camii (Mobil Ekip)</t>
  </si>
  <si>
    <t>41.0220158, 28.9436728</t>
  </si>
  <si>
    <t>Midilli Ali Reis Camii Haziresi (Mobil Ekip)</t>
  </si>
  <si>
    <t>41.174218, 29.088262</t>
  </si>
  <si>
    <t>Fatih Mihrimah Sultan Camii (Mobil Ekip)</t>
  </si>
  <si>
    <t>41.0294544, 28.9355893</t>
  </si>
  <si>
    <t>Mimar Acem Örümceksiz Camii (Mobil Ekip)</t>
  </si>
  <si>
    <t>41.0136495, 28.9265295</t>
  </si>
  <si>
    <t>Mimar Sinan Türbesi(Mobil Ekip)</t>
  </si>
  <si>
    <t>41.0172957, 28.9638356</t>
  </si>
  <si>
    <t>Molla Gürani Türbesi (Mobil Ekip)</t>
  </si>
  <si>
    <t>41.0112362, 28.9411485</t>
  </si>
  <si>
    <t>Muhiddin Kocavi Kabristanı(Mobil Ekip)</t>
  </si>
  <si>
    <t>41.024169, 28.957780</t>
  </si>
  <si>
    <t>Murat Paşa Camii (Mobil Ekip)</t>
  </si>
  <si>
    <t>41.0102956, 28.9489165</t>
  </si>
  <si>
    <t>Mustafa Efendi Dergahı (Mobil Ekip)</t>
  </si>
  <si>
    <t>40.919503, 29.230340</t>
  </si>
  <si>
    <t>Beyoğlu Mustafa Paşa Çeşmesi (Mobil Ekip)</t>
  </si>
  <si>
    <t>41.030124, 28.986673</t>
  </si>
  <si>
    <t>Müeyyedzade Camii (Mobil Ekip)</t>
  </si>
  <si>
    <t>41.026413, 28.974738</t>
  </si>
  <si>
    <t>Müftü Hüseyin Efendi Kabri (Mobil Ekip)</t>
  </si>
  <si>
    <t>41.028045, 28.941316</t>
  </si>
  <si>
    <t>Nalçacı Halil Camii (Mobil Ekip)</t>
  </si>
  <si>
    <t>41.016411, 29.020357</t>
  </si>
  <si>
    <t>Narlıkapı Kilise Haziresi (Mobil Ekip)</t>
  </si>
  <si>
    <t>40.9947394, 28.9297911</t>
  </si>
  <si>
    <t>Nasuhi Mehmet Efendi Camii (Mobil Ekip)</t>
  </si>
  <si>
    <t>41.018302, 29.013369</t>
  </si>
  <si>
    <t>Sarıyer Neslişah Sultan Camii Haziresi (Mobil Ekip)</t>
  </si>
  <si>
    <t>41.113857, 29.051558</t>
  </si>
  <si>
    <t>Nuh Efendi Medresesi Haziresi (Mobil Ekip)</t>
  </si>
  <si>
    <t>41.003069, 28.927405</t>
  </si>
  <si>
    <t>Odun Yarıcızade Camii (Mobil Ekip)</t>
  </si>
  <si>
    <t>41.0332035, 28.9432276</t>
  </si>
  <si>
    <t>Oruç Baba Türbesi (Mobil Ekip)</t>
  </si>
  <si>
    <t>41.0179312, 28.9301052</t>
  </si>
  <si>
    <t>Osman Reis Camii Haziresi (Mobil Ekip)</t>
  </si>
  <si>
    <t>41.114498, 29.062386</t>
  </si>
  <si>
    <t>Öksüzce Mescidi Haziresi (Mobil Ekip)</t>
  </si>
  <si>
    <t>41.015597, 28.943872</t>
  </si>
  <si>
    <t>Öküz Mehmet Paşa Cami Çeşmesi (Mobil Ekip)</t>
  </si>
  <si>
    <t>41.0242630, 28.9382137</t>
  </si>
  <si>
    <t>Ömer Dede Ve Üç Yatırlar (Mobil Ekip)</t>
  </si>
  <si>
    <t>41.017914, 29.028318</t>
  </si>
  <si>
    <t>Örümceksiz Dede Türbesi Ve Haziresi (Mobil Ekip)</t>
  </si>
  <si>
    <t>41.0134723, 28.9266810</t>
  </si>
  <si>
    <t>Panayıa Hençerıotıssa Kilise Çeşmeleri (Mobil Ekip)</t>
  </si>
  <si>
    <t>41.032604, 28.941101</t>
  </si>
  <si>
    <t>Pertevniyal Valide Sultan Camii (Mobil Ekip)</t>
  </si>
  <si>
    <t>41.0101495, 28.9527536</t>
  </si>
  <si>
    <t>Pervane Dede Kabri (Mobil Ekip)</t>
  </si>
  <si>
    <t>41.005864, 28.945713</t>
  </si>
  <si>
    <t>Peykdede Tekkesi Haziresi (Mobil Ekip)</t>
  </si>
  <si>
    <t>41.004893, 28.927137</t>
  </si>
  <si>
    <t>Piri Mehmet Paşa Camii Haziresi(Mobil Ekip)</t>
  </si>
  <si>
    <t>41.0200247, 28.9583334</t>
  </si>
  <si>
    <t>Pirinççi Sinan Cami (Mobil Ekip)</t>
  </si>
  <si>
    <t>41.0222892, 28.9455865</t>
  </si>
  <si>
    <t>Ragıp Paşa Külliyesi(Mobil Ekip)</t>
  </si>
  <si>
    <t>41.009005, 28.958766</t>
  </si>
  <si>
    <t>Veli Efendizade Çeşmesi (Mobil Ekip)</t>
  </si>
  <si>
    <t>41.001171, 28.924635</t>
  </si>
  <si>
    <t>Küçük Efendi Sokak Çeşmesi (Mobil Ekip)</t>
  </si>
  <si>
    <t>41.000059, 28.922890</t>
  </si>
  <si>
    <t>Hacı Piri Sokak Çeşmesi (Mobil Ekip)</t>
  </si>
  <si>
    <t>40.998264, 28.923647</t>
  </si>
  <si>
    <t>Arap Kuyusu Mektebi Çeşmesi (Mobil Ekip)</t>
  </si>
  <si>
    <t>40.997049, 28.931253</t>
  </si>
  <si>
    <t>Narlı Kapı Çeşmesi / Şefika Hanım Çeşmesi / Şefika Hanım Çeşmesi (Mobil Ekip)</t>
  </si>
  <si>
    <t>40.995606, 28.928754</t>
  </si>
  <si>
    <t>Yedikule Meydan Çeşmesi (Mobil Ekip)</t>
  </si>
  <si>
    <t>40.993296, 28.924459</t>
  </si>
  <si>
    <t>Perestü Kadın Çeşmesi (Mobil Ekip)</t>
  </si>
  <si>
    <t>41.007930, 28.924229</t>
  </si>
  <si>
    <t>Bala Tekkesi Çeşmesi (Mobil Ekip)</t>
  </si>
  <si>
    <t>41.007647, 28.922664</t>
  </si>
  <si>
    <t>Abdullah Ağa Çeşmesi (Mobil Ekip)</t>
  </si>
  <si>
    <t>41.007589, 28.925364</t>
  </si>
  <si>
    <t>Fatih Bezm-i Alem Valide Sultan Çeşmesi (Mobil Ekip)</t>
  </si>
  <si>
    <t>41.008363, 28.926580</t>
  </si>
  <si>
    <t>Yavuz Sezer Karagöz Mehmet Paşa Cami (Mobil Ekip)</t>
  </si>
  <si>
    <t>41.009121, 28.925865</t>
  </si>
  <si>
    <t>Yedi Emirler Çeşmesi (Mobil Ekip)</t>
  </si>
  <si>
    <t>41.007307, 28.926447</t>
  </si>
  <si>
    <t>Yeni Çeşme (Mobil Ekip)</t>
  </si>
  <si>
    <t>41.005254, 28.926710</t>
  </si>
  <si>
    <t>Fatih Abbas Ağa Çeşmesi (Çatal Çeşme) (Mobil Ekip)</t>
  </si>
  <si>
    <t>41.008925, 28.975100</t>
  </si>
  <si>
    <t>Sait Ağa Çeşmesi (Kuyusu) (Mobil Ekip)</t>
  </si>
  <si>
    <t>41.009942, 28.931103</t>
  </si>
  <si>
    <t>İnadiye Baba Çeşmesi (Mobil Ekip)</t>
  </si>
  <si>
    <t>41.014538, 28.930218</t>
  </si>
  <si>
    <t>Sorma Gir Cami (Mobil Ekip)</t>
  </si>
  <si>
    <t>41.007941, 28.933104</t>
  </si>
  <si>
    <t>Ramazan Efendi Cami Çeşmesi (Mobil Ekip)</t>
  </si>
  <si>
    <t>41.004778, 28.931574</t>
  </si>
  <si>
    <t>Hacı Kadın Cami (Mobil Ekip)</t>
  </si>
  <si>
    <t>41.000537, 28.929586</t>
  </si>
  <si>
    <t>Sümbül Efendi Hacı Beşir Ağa Çeşmesi (Mobil Ekip)</t>
  </si>
  <si>
    <t>41.003643, 28.927619</t>
  </si>
  <si>
    <t>Hacı Süleyman Efendi Çeşmesi (Mobil Ekip)</t>
  </si>
  <si>
    <t>41.013831, 28.951541</t>
  </si>
  <si>
    <t>Kethüda Halid Efendi Çeşmesi (Mobil Ekip)</t>
  </si>
  <si>
    <t>41.011709, 28.951360</t>
  </si>
  <si>
    <t>Gazi Süleyman Çeşmesi (Mobil Ekip)</t>
  </si>
  <si>
    <t>41.013123, 28.948427</t>
  </si>
  <si>
    <t>Hacı İbrahim Efendi Çeşmesi (Mobil Ekip)</t>
  </si>
  <si>
    <t>41.012968, 28.925090</t>
  </si>
  <si>
    <t>Silahtar Kethüdası Mustafa Ağa Çeşmesi (Mobil Ekip)</t>
  </si>
  <si>
    <t>41.011059, 28.927411</t>
  </si>
  <si>
    <t>Aydın Kethüda Çeşmesi- Yayla Çeşme (Mobil Ekip)</t>
  </si>
  <si>
    <t>41.011859, 28.928811</t>
  </si>
  <si>
    <t>Dibekçi Ali Çeşmesi (Mobil Ekip)</t>
  </si>
  <si>
    <t>41.012336, 28.928593</t>
  </si>
  <si>
    <t>Kapı Ağası İbrahim Ağa Çeşmesi (Mobil Ekip)</t>
  </si>
  <si>
    <t>41.011048, 28.929076</t>
  </si>
  <si>
    <t>Mahpeyker Kösem Valide Çeşmesi (Mobil Ekip)</t>
  </si>
  <si>
    <t>41.013254, 28.926544</t>
  </si>
  <si>
    <t>Emine Sultan Meydan Çeşmesi (Mobil Ekip)</t>
  </si>
  <si>
    <t>41.014687, 28.927590</t>
  </si>
  <si>
    <t>Küçük Langa Caddesi Çeşmesi (Mobil Ekip)</t>
  </si>
  <si>
    <t>41.006780, 28.947036</t>
  </si>
  <si>
    <t>Etyemez Tekkesi Çeşmesi (Mobil Ekip)</t>
  </si>
  <si>
    <t>41.003037, 28.941546</t>
  </si>
  <si>
    <t>İbrahim Paşa Sıbyan Mektebi Çeşmesi (Mobil Ekip)</t>
  </si>
  <si>
    <t>41.008893, 28.943479</t>
  </si>
  <si>
    <t>Kethüda Gülbuy Kadın Çeşmesi (Mobil Ekip)</t>
  </si>
  <si>
    <t>41.007642, 28.939526</t>
  </si>
  <si>
    <t>Fatih Davut Paşa Çeşmesi (Mobil Ekip)</t>
  </si>
  <si>
    <t>41.006906, 28.937409</t>
  </si>
  <si>
    <t>Beşikçizade Çeşmesi (Mobil Ekip)</t>
  </si>
  <si>
    <t>41.008587, 28.937331</t>
  </si>
  <si>
    <t>Başçı Mahmud Çeşmesi (Mobil Ekip)</t>
  </si>
  <si>
    <t>41.009306, 28.940724</t>
  </si>
  <si>
    <t>Abdulhamit Çeşmesi (Mobil Ekip)</t>
  </si>
  <si>
    <t>41.009894, 28.941555</t>
  </si>
  <si>
    <t>Seyyid Halil Ağa Çeşmesi (Mobil Ekip)</t>
  </si>
  <si>
    <t>41.015787, 28.945723</t>
  </si>
  <si>
    <t>Sarmaşık Çeşmesi (Mobil Ekip)</t>
  </si>
  <si>
    <t>41.026386, 28.935882</t>
  </si>
  <si>
    <t>Ahmet Galip Paşa Çeşmesi (Mobil Ekip)</t>
  </si>
  <si>
    <t>41.028176, 28.933569</t>
  </si>
  <si>
    <t>Kasapbaşı Hasan Efendi Çeşmesi (Mobil Ekip)</t>
  </si>
  <si>
    <t>41.030228, 28.934662</t>
  </si>
  <si>
    <t>Karagümrük Meydan Çeşmesi (Mobil Ekip)</t>
  </si>
  <si>
    <t>41.024995, 28.939593</t>
  </si>
  <si>
    <t>Bali Paşa Cami Çeşmesi (Mobil Ekip)</t>
  </si>
  <si>
    <t>41.019084, 28.943717</t>
  </si>
  <si>
    <t>Mimar Sinan Mescidi (Mobil Ekip)</t>
  </si>
  <si>
    <t>41.018179, 28.942366</t>
  </si>
  <si>
    <t>Ekmekçi Sinan Çeşmesi (Mobil Ekip)</t>
  </si>
  <si>
    <t>41.020156, 28.939668</t>
  </si>
  <si>
    <t>Seyit Ahmet Ağa Çeşmesi (Mobil Ekip)</t>
  </si>
  <si>
    <t>41.010425, 28.947239</t>
  </si>
  <si>
    <t>Draman Çeşmesi (Mobil Ekip)</t>
  </si>
  <si>
    <t>41.029515, 28.944315</t>
  </si>
  <si>
    <t>Halil Abdurrahman Çeşmesi (Mobil Ekip)</t>
  </si>
  <si>
    <t>41.030637, 28.944326</t>
  </si>
  <si>
    <t>Sakalar Çeşmesi (Mobil Ekip)</t>
  </si>
  <si>
    <t>41.035395, 28.941820</t>
  </si>
  <si>
    <t>İdris Ağa Çeşmesi (Mobil Ekip)</t>
  </si>
  <si>
    <t>41.038102, 28.943228</t>
  </si>
  <si>
    <t>Fatih Çınarlı Çeşmesi (Mobil Ekip)</t>
  </si>
  <si>
    <t>41.037574, 28.942834</t>
  </si>
  <si>
    <t>Çınçınlı Çeşme (Mobil Ekip)</t>
  </si>
  <si>
    <t>41.035306, 28.944062</t>
  </si>
  <si>
    <t>Ferruh Kethüda Cami Çeşmesi (Mobil Ekip)</t>
  </si>
  <si>
    <t>41.034803, 28.945354</t>
  </si>
  <si>
    <t>Hacı İsa Cami Çeşmesi (Mobil Ekip)</t>
  </si>
  <si>
    <t>41.033066, 28.944875</t>
  </si>
  <si>
    <t>Hacı Bekir Ağa Çeşmesi (Mobil Ekip)</t>
  </si>
  <si>
    <t>41.032744, 28.943242</t>
  </si>
  <si>
    <t>Sultan Çeşmesi (Mobil Ekip)</t>
  </si>
  <si>
    <t>41.031619, 28.941311</t>
  </si>
  <si>
    <t>Nefise Hanım Çeşmesi (Mobil Ekip)</t>
  </si>
  <si>
    <t>41.030141, 28.940586</t>
  </si>
  <si>
    <t>Hz. Kaab Cami Çeşmesi (Mobil Ekip)</t>
  </si>
  <si>
    <t>41.039877, 28.940464</t>
  </si>
  <si>
    <t>İskender Bey Çeşmesi (Mobil Ekip)</t>
  </si>
  <si>
    <t>41.039328, 28.943427</t>
  </si>
  <si>
    <t>Gazi Ahmet Paşa Çeşmesi (Mobil Ekip)</t>
  </si>
  <si>
    <t>41.020532, 28.929213</t>
  </si>
  <si>
    <t>Yakup Kethuda Çeşmesi (Mobil Ekip)</t>
  </si>
  <si>
    <t>41.025790, 28.933004</t>
  </si>
  <si>
    <t>Fatih Neslişah Sultan Cami Haziresi (Mobil Ekip)</t>
  </si>
  <si>
    <t>41.026615, 28.933260</t>
  </si>
  <si>
    <t>Laleli Baba Çeşmesi (Mobil Ekip)</t>
  </si>
  <si>
    <t>41.009679, 28.955864</t>
  </si>
  <si>
    <t>Yusuf Efendi Çeşmesi (Mobil Ekip)</t>
  </si>
  <si>
    <t>41.021569, 28.946082</t>
  </si>
  <si>
    <t>Fatih Hacı İsmail Ağa Çeşmesi (Mobil Ekip)</t>
  </si>
  <si>
    <t>41.020179, 28.951722</t>
  </si>
  <si>
    <t>Fatih Necib Bey Çeşmesi (Mobil Ekip)</t>
  </si>
  <si>
    <t>41.020951, 28.949302</t>
  </si>
  <si>
    <t>2. Mahmut Sebili ve Çeşmesi (Mobil Ekip)</t>
  </si>
  <si>
    <t>41.020463, 28.948428</t>
  </si>
  <si>
    <t>Hafız Ahmet Paşa Cami (Mobil Ekip)</t>
  </si>
  <si>
    <t>41.021763, 28.947517</t>
  </si>
  <si>
    <t>Lütfullah Efendi Çeşmesi (Mobil Ekip)</t>
  </si>
  <si>
    <t>41.025538, 28.952248</t>
  </si>
  <si>
    <t>Köprülü Ali Efendi Çeşmesi (Mobil Ekip)</t>
  </si>
  <si>
    <t>41.028042, 28.951316</t>
  </si>
  <si>
    <t>Camcı Çeşmesi (Mobil Ekip)</t>
  </si>
  <si>
    <t>41.028116, 28.950777</t>
  </si>
  <si>
    <t>Seyyit Ali Efendi Çeşmesi (Mobil Ekip)</t>
  </si>
  <si>
    <t>41.024423, 28.945318</t>
  </si>
  <si>
    <t>Yahyazade Çeşmesi (Mobil Ekip)</t>
  </si>
  <si>
    <t>41.027834, 28.944644</t>
  </si>
  <si>
    <t>Alişah Efendi Çeşmesi (Mobil Ekip)</t>
  </si>
  <si>
    <t>41.027486, 28.942164</t>
  </si>
  <si>
    <t>Kurtağa Çeşmesi (Mobil Ekip)</t>
  </si>
  <si>
    <t>41.027569, 28.940994</t>
  </si>
  <si>
    <t>Kalın Ali Paşa Çeşmesi (Mobil Ekip)</t>
  </si>
  <si>
    <t>41.025963, 28.940377</t>
  </si>
  <si>
    <t>Fatih Ebubekir Ağa Çeşmesi (Mobil Ekip)</t>
  </si>
  <si>
    <t>41.023871, 28.944633</t>
  </si>
  <si>
    <t>Hacı Eyüpzade Çeşmesi (Mobil Ekip)</t>
  </si>
  <si>
    <t>41.019118, 28.954959</t>
  </si>
  <si>
    <t>Hacı Arif Ağa Çeşmesi (Mobil Ekip)</t>
  </si>
  <si>
    <t>41.022478, 28.956105</t>
  </si>
  <si>
    <t>Veziriazam Derviş Paşa Çeşmesi (Mobil Ekip)</t>
  </si>
  <si>
    <t>41.018657, 28.955679</t>
  </si>
  <si>
    <t>Tepedelen Çeşmesi (Mobil Ekip)</t>
  </si>
  <si>
    <t>41.021909, 28.958395</t>
  </si>
  <si>
    <t>Şeb Sefa Hatun Cami Çeşmeleri (Mobil Ekip)</t>
  </si>
  <si>
    <t>41.019234, 28.958534</t>
  </si>
  <si>
    <t>Hacı Kadın Çeşmesi (Mobil Ekip)</t>
  </si>
  <si>
    <t>41.019445, 28.960782</t>
  </si>
  <si>
    <t>Ali Efendi Çeşmesi (Mobil Ekip)</t>
  </si>
  <si>
    <t>41.018750, 28.961024</t>
  </si>
  <si>
    <t>Şeyh Vefa Çeşmesi (Mobil Ekip)</t>
  </si>
  <si>
    <t>41.016581, 28.958905</t>
  </si>
  <si>
    <t>Molla Hüsrev Mahallesi Çeşmesi (Mobil Ekip)</t>
  </si>
  <si>
    <t>41.014665, 28.960854</t>
  </si>
  <si>
    <t>Şerife Ayşe Sıddıka Hanım Çeşmesi (Mobil Ekip)</t>
  </si>
  <si>
    <t>41.014180, 28.961198</t>
  </si>
  <si>
    <t>Seferağa Çeşmesi (Mobil Ekip)</t>
  </si>
  <si>
    <t>41.013371, 28.961176</t>
  </si>
  <si>
    <t>Kaptan Paşa Mektebi Sokağı Çeşmesi (Mobil Ekip)</t>
  </si>
  <si>
    <t>41.012930, 28.961186</t>
  </si>
  <si>
    <t>Mimar Sinan Türbesi Çeşmesi (Mobil Ekip)</t>
  </si>
  <si>
    <t>41.017352, 28.963746</t>
  </si>
  <si>
    <t>Molla Hüsrev Cami Çeşmesi (Mobil Ekip)</t>
  </si>
  <si>
    <t>41.014467, 28.959335</t>
  </si>
  <si>
    <t>Cüce Çeşmesi (Mobil Ekip)</t>
  </si>
  <si>
    <t>41.013064, 28.958758</t>
  </si>
  <si>
    <t>Laleli Cami Çeşmesi (Mobil Ekip)</t>
  </si>
  <si>
    <t>41.009982, 28.956677</t>
  </si>
  <si>
    <t>Mahmut Paşa Cami Çeşmesi (Mobil Ekip)</t>
  </si>
  <si>
    <t>41.011042, 28.971094</t>
  </si>
  <si>
    <t>Fatih Kethüda Mehmet Efendi Çeşmesi (Mobil Ekip)</t>
  </si>
  <si>
    <t>41.011713, 28.972752</t>
  </si>
  <si>
    <t>Köprülü Mehmet Paşa Çeşmesi (Mobil Ekip)</t>
  </si>
  <si>
    <t>41.008280, 28.971723</t>
  </si>
  <si>
    <t>3. Osman Çeşmesi/ Nuruosmaniye Cami Çeşmesi (Mobil Ekip)</t>
  </si>
  <si>
    <t>41.010053, 28.969937</t>
  </si>
  <si>
    <t>Zenbilli Seyyid Ali Çeşmesi (Mobil Ekip)</t>
  </si>
  <si>
    <t>41.013336, 28.971536</t>
  </si>
  <si>
    <t>Hafize Hanım Çeşmesi (Mobil Ekip)</t>
  </si>
  <si>
    <t>41.034432, 28.946805</t>
  </si>
  <si>
    <t>Ali Yazıcı Cami Çeşmesi (Mobil Ekip)</t>
  </si>
  <si>
    <t>41.029846, 28.951646</t>
  </si>
  <si>
    <t>Sivrikoz Çeşmesi (Mobil Ekip)</t>
  </si>
  <si>
    <t>41.025985, 28.958631</t>
  </si>
  <si>
    <t>Nalıncı Kasım Sokak Çeşmesi (Mobil Ekip)</t>
  </si>
  <si>
    <t>41.025426, 28.957882</t>
  </si>
  <si>
    <t>Ayakapı Çeşmesi (Mobil Ekip)</t>
  </si>
  <si>
    <t>41.027979, 28.955351</t>
  </si>
  <si>
    <t>Sadık Efendi Çeşmesi (Mobil Ekip)</t>
  </si>
  <si>
    <t>41.027069, 28.955951</t>
  </si>
  <si>
    <t>Zeynel Abidin Çeşmesi/ Ruhi Bey Çeşmesi (Mobil Ekip)</t>
  </si>
  <si>
    <t>41.026073, 28.954864</t>
  </si>
  <si>
    <t>Şahrah Çeşmesi (Mobil Ekip)</t>
  </si>
  <si>
    <t>41.023915, 28.955053</t>
  </si>
  <si>
    <t>Fatih Halil Efendi Çeşmesi (Mobil Ekip)</t>
  </si>
  <si>
    <t>41.024518, 28.956751</t>
  </si>
  <si>
    <t>Haraççı Çeşmesi (Mobil Ekip)</t>
  </si>
  <si>
    <t>41.023311, 28.960373</t>
  </si>
  <si>
    <t>Nalıncı Mehmet Dede Türbesi Çeşmesi (Mobil Ekip)</t>
  </si>
  <si>
    <t>41.023546, 28.959730</t>
  </si>
  <si>
    <t>Fatih Salih Paşa Çeşmesi (Mobil Ekip)</t>
  </si>
  <si>
    <t>41.022717, 28.958586</t>
  </si>
  <si>
    <t>Bıçakçı Çeşmesi (Mobil Ekip)</t>
  </si>
  <si>
    <t>41.021908, 28.957257</t>
  </si>
  <si>
    <t>Cevri Kalfa Sıbyan Mektebi (Mobil Ekip)</t>
  </si>
  <si>
    <t>41.008057, 28.976672</t>
  </si>
  <si>
    <t>Fatih Mustafa Paşa Çeşmesi (Mobil Ekip)</t>
  </si>
  <si>
    <t>41.017906, 28.965277</t>
  </si>
  <si>
    <t>Hacı Hüseyin Ağa Çeşmesi (Mobil Ekip)</t>
  </si>
  <si>
    <t>41.018460, 28.964788</t>
  </si>
  <si>
    <t>Hafız Ahmet Ağa Çeşmesi (Mobil Ekip)</t>
  </si>
  <si>
    <t>41.021572, 28.962533</t>
  </si>
  <si>
    <t>Yavuz Er Sinan Cami Duvar Çeşmesi (Mobil Ekip)</t>
  </si>
  <si>
    <t>41.021599, 28.962142</t>
  </si>
  <si>
    <t>Kıble Çeşmesi/ Bodrum Çeşmesi (Mobil Ekip)</t>
  </si>
  <si>
    <t>41.019183, 28.964333</t>
  </si>
  <si>
    <t>Ahi Çelebi Cami Çeşmesi (Mobil Ekip)</t>
  </si>
  <si>
    <t>41.018853, 28.968237</t>
  </si>
  <si>
    <t>Rüstem Paşa Cami Çeşmesi (Mobil Ekip)</t>
  </si>
  <si>
    <t>41.017846, 28.968536</t>
  </si>
  <si>
    <t>Hatice Turhan Sultan Sebili ve Çeşmesi (Mobil Ekip)</t>
  </si>
  <si>
    <t>41.015656, 28.972898</t>
  </si>
  <si>
    <t>Şerife Zeliha Hanım Çeşmesi (Mobil Ekip)</t>
  </si>
  <si>
    <t>41.012209, 28.975046</t>
  </si>
  <si>
    <t>Muradiye Sebil ve Çeşmesi (Mobil Ekip)</t>
  </si>
  <si>
    <t>41.013945, 28.976680</t>
  </si>
  <si>
    <t>Zeynep Sultan Çeşmesi (Mobil Ekip)</t>
  </si>
  <si>
    <t>41.012452, 28.978546</t>
  </si>
  <si>
    <t>Paşa Kapısı Çeşmeleri (Mobil Ekip)</t>
  </si>
  <si>
    <t>41.011085, 28.978029</t>
  </si>
  <si>
    <t>Gülhane Parkı Kapısı Çeşmeleri (Mobil Ekip)</t>
  </si>
  <si>
    <t>41.013290, 28.981473</t>
  </si>
  <si>
    <t>Baş Çuhadar Seyit Ömer Ağa Çeşmesi (Mobil Ekip)</t>
  </si>
  <si>
    <t>41.009743, 28.978257</t>
  </si>
  <si>
    <t>Şimkeşhane Çeşmesi (Mobil Ekip)</t>
  </si>
  <si>
    <t>41.009341, 28.962619</t>
  </si>
  <si>
    <t>Büyük Rüstem Paşa Çeşmesi (Mobil Ekip)</t>
  </si>
  <si>
    <t>41.010206, 28.964958</t>
  </si>
  <si>
    <t>Hekimoğlu Ali Paşa Çeşmesi (Mobil Ekip)</t>
  </si>
  <si>
    <t>41.008896, 28.970329</t>
  </si>
  <si>
    <t>Osman Dede Çeşmesi (Mobil Ekip)</t>
  </si>
  <si>
    <t>41.010057, 28.971316</t>
  </si>
  <si>
    <t>Ahmet Kethüda Çeşmesi (Mobil Ekip)</t>
  </si>
  <si>
    <t>41.010245, 28.973358</t>
  </si>
  <si>
    <t>Fatih Mahmut Han Çeşmesi (Mobil Ekip)</t>
  </si>
  <si>
    <t>41.010367, 28.975671</t>
  </si>
  <si>
    <t>Hadım Hasan Paşa Çeşmesi (Mobil Ekip)</t>
  </si>
  <si>
    <t>41.010714, 28.975054</t>
  </si>
  <si>
    <t>Arapzade Abdurrahman Bey Çeşmesi (Mobil Ekip)</t>
  </si>
  <si>
    <t>41.004199, 28.964871</t>
  </si>
  <si>
    <t>Esma Sultan Çeşmesi ve Namazgahı (Mobil Ekip)</t>
  </si>
  <si>
    <t>41.004927, 28.968144</t>
  </si>
  <si>
    <t>Şehsuvar Bey Kabri (Mobil Ekip)</t>
  </si>
  <si>
    <t>41.003387, 28.968236</t>
  </si>
  <si>
    <t>Tevfik Bey Çeşmesi (Mobil Ekip)</t>
  </si>
  <si>
    <t>41.004163, 28.972534</t>
  </si>
  <si>
    <t>Fatih Mehmet Ağa Çeşmesi (Mobil Ekip)</t>
  </si>
  <si>
    <t>41.005869, 28.970267</t>
  </si>
  <si>
    <t>II. Mahmud Han Çeşmesi (Emin Sinan Cami Çeşmesi) (Mobil Ekip)</t>
  </si>
  <si>
    <t>41.006435, 28.969352</t>
  </si>
  <si>
    <t>Dizdariye Cami (Mobil Ekip)</t>
  </si>
  <si>
    <t>41.006112, 28.971573</t>
  </si>
  <si>
    <t>Hatice Kadın Çeşmesi (Mobil Ekip)</t>
  </si>
  <si>
    <t>41.005720, 28.973671</t>
  </si>
  <si>
    <t>Sultan Ahmet Sıbyan Mektebi Çeşmesi (Mobil Ekip)</t>
  </si>
  <si>
    <t>41.005905, 28.977754</t>
  </si>
  <si>
    <t>Aziz Efendi Tekkesi Duvar Çeşmeleri (Mobil Ekip)</t>
  </si>
  <si>
    <t>41.004542, 28.978008</t>
  </si>
  <si>
    <t>Muslu Ağa Çeşmesi (Mobil Ekip)</t>
  </si>
  <si>
    <t>41.004979, 28.978369</t>
  </si>
  <si>
    <t>Hekimoğlu Ali Paşa Validesi Çeşmesi (Mobil Ekip)</t>
  </si>
  <si>
    <t>41.003191, 28.979599</t>
  </si>
  <si>
    <t>Mehmet Ağa Mercan Çeşmesi (Mobil Ekip)</t>
  </si>
  <si>
    <t>41.012282, 28.966475</t>
  </si>
  <si>
    <t>Saka Çeşmesi (Üç Yüzlü Çeşme) (Mobil Ekip)</t>
  </si>
  <si>
    <t>41.013254, 28.969044</t>
  </si>
  <si>
    <t>Hacı Küçük Cami Çeşmesi (Mobil Ekip)</t>
  </si>
  <si>
    <t>41.014033, 28.970363</t>
  </si>
  <si>
    <t>Çandarlızade Atik İbrahim Paşa Cami (Mobil Ekip)</t>
  </si>
  <si>
    <t>41.014822, 28.968145</t>
  </si>
  <si>
    <t>Mirahur Hasan Ağa Çeşmesi (Mobil Ekip)</t>
  </si>
  <si>
    <t>41.015087, 28.966925</t>
  </si>
  <si>
    <t>Fatih Valide Kethüdası Çeşmesi (Mobil Ekip)</t>
  </si>
  <si>
    <t>41.016077, 28.966042</t>
  </si>
  <si>
    <t>Devoğlu Ali Ağa Çeşmesi (Mobil Ekip)</t>
  </si>
  <si>
    <t>41.017154, 28.966440</t>
  </si>
  <si>
    <t>Mehmet Efendi Çeşmesi (Mobil Ekip)</t>
  </si>
  <si>
    <t>41.003216, 28.972046</t>
  </si>
  <si>
    <t>Sokullu Şehit Mehmet Paşa Çeşmesi (Mobil Ekip)</t>
  </si>
  <si>
    <t>41.004729, 28.972166</t>
  </si>
  <si>
    <t>Hasan Ağa Cami (Mobil Ekip)</t>
  </si>
  <si>
    <t>41.003953, 28.974731</t>
  </si>
  <si>
    <t>Kapı Ağası Mahmut Ağa Çeşmesi (Mobil Ekip)</t>
  </si>
  <si>
    <t>41.003315, 28.976761</t>
  </si>
  <si>
    <t>Nişancı Mehmet Paşa Çeşmesi (Mobil Ekip)</t>
  </si>
  <si>
    <t>41.005982, 28.961117</t>
  </si>
  <si>
    <t>Behram Çavuş Çeşmesi (Mobil Ekip)</t>
  </si>
  <si>
    <t>41.004338, 28.966691</t>
  </si>
  <si>
    <t>Türk Ocağı Çeşmesi</t>
  </si>
  <si>
    <t>41.008146, 28.973248</t>
  </si>
  <si>
    <t>Sultanahmet Dikilitaş</t>
  </si>
  <si>
    <t>41.005887, 28.975365</t>
  </si>
  <si>
    <t>Rum Mehmet Paşa Camii (Mobil Ekip)</t>
  </si>
  <si>
    <t>41.024976, 29.010928</t>
  </si>
  <si>
    <t>Fatih 2. Mahmut Çeşmesi</t>
  </si>
  <si>
    <t>41.000372, 28.924047</t>
  </si>
  <si>
    <t>Beykoz Safiye Sultan Çeşmesi (Mobil Ekip)</t>
  </si>
  <si>
    <t>41.135187, 29.094603</t>
  </si>
  <si>
    <t>Hasan Efendi Kabri (Mobil Ekip)</t>
  </si>
  <si>
    <t>41.082879, 29.068793</t>
  </si>
  <si>
    <t>Kızıl Serçe Sk. Tarihi Mezarlık-1 (Mobil Ekip)</t>
  </si>
  <si>
    <t>41.082773, 29.070481</t>
  </si>
  <si>
    <t>Kızıl Serçe Sk. Tarihi Mezarlık-2 (Mobil Ekip)</t>
  </si>
  <si>
    <t>41.082485, 29.072015</t>
  </si>
  <si>
    <t>Tezveren dede Türbesi (Mobil Ekip)</t>
  </si>
  <si>
    <t>41.120040, 29.097513</t>
  </si>
  <si>
    <t>Beykoz Benlizade Ahmet Reşit Efendi Çeşmesi (Mobil Ekip)</t>
  </si>
  <si>
    <t>41.078731, 29.075046</t>
  </si>
  <si>
    <t>Fatih Safiye Sultan Çeşmesi (Mobil Ekip)</t>
  </si>
  <si>
    <t>41.014871, 28.941261</t>
  </si>
  <si>
    <t>Salih Efendi Türbesi (Mobil Ekip)</t>
  </si>
  <si>
    <t>41.020274, 29.023117</t>
  </si>
  <si>
    <t>Salih Paşa Camii Haziresi(Mobil Ekip)</t>
  </si>
  <si>
    <t>41.0227661, 28.9586858</t>
  </si>
  <si>
    <t>Salkım Söğüt Çeşmesi (Mobil Ekip)</t>
  </si>
  <si>
    <t>41.0138516, 28.9790905</t>
  </si>
  <si>
    <t>Sarıbeyazıt Camii(Mobil Ekip)</t>
  </si>
  <si>
    <t>41.0178250, 28.9608339</t>
  </si>
  <si>
    <t>Selami Ali Efendi Tekkesi (Mobil Ekip)</t>
  </si>
  <si>
    <t>41.024504, 29.023609</t>
  </si>
  <si>
    <t>Üsküdar Selamsız Baba Türbesi (Mobil Ekip)</t>
  </si>
  <si>
    <t>41.023551, 29.029357</t>
  </si>
  <si>
    <t>Selçuk Sultan Camii Çeşmesi (Mobil Ekip)</t>
  </si>
  <si>
    <t>41.0111454, 28.9442712</t>
  </si>
  <si>
    <t>Selimiye Camii Çeşmesi (Mobil Ekip)</t>
  </si>
  <si>
    <t>41.011211, 29.017040</t>
  </si>
  <si>
    <t>Seydi Baba Türbesi (Mobil Ekip)</t>
  </si>
  <si>
    <t>41.008070, 28.940026</t>
  </si>
  <si>
    <t>Seydi Seyfullah Baba Kabri (Mobil Ekip)</t>
  </si>
  <si>
    <t>41.0096595, 28.9313344</t>
  </si>
  <si>
    <t>Seyid Ali Baba Türbesi (Mobil Ekip)</t>
  </si>
  <si>
    <t>40.987534, 29.076921</t>
  </si>
  <si>
    <t>Seyit Nizam Camii (Mobil Ekip)</t>
  </si>
  <si>
    <t>41.004899, 28.912818</t>
  </si>
  <si>
    <t>Seyyid Hasan Paşa Çeşmesi (Mobil Ekip)</t>
  </si>
  <si>
    <t>41.018088, 28.957944</t>
  </si>
  <si>
    <t>Seyyid Haşim Baba Türbesi (Mobil Ekip)</t>
  </si>
  <si>
    <t>41.016799, 29.018329</t>
  </si>
  <si>
    <t>Seyyid Ömer Mehmet Haydar Dede Kabri (Mobil Ekip)</t>
  </si>
  <si>
    <t>41.0099015, 28.9318573</t>
  </si>
  <si>
    <t>Sinan Ağa Camii(Mobil Ekip)</t>
  </si>
  <si>
    <t>41.0226238, 28.9542964</t>
  </si>
  <si>
    <t>Sinan Paşa Medresesi Haziresi(Mobil Ekip)</t>
  </si>
  <si>
    <t>41.0088610, 28.9688985</t>
  </si>
  <si>
    <t>Sineperver Valide Sultan Çeşmesi (Mobil Ekip)</t>
  </si>
  <si>
    <t>41.0061637, 28.9802440</t>
  </si>
  <si>
    <t>Sirkeci Başı Şeyh İsmail Efendi Haziresi(Mobil Ekip)</t>
  </si>
  <si>
    <t>41.0273636, 28.9556748</t>
  </si>
  <si>
    <t>Sofular Baba Türbesi (Mobil Ekip)</t>
  </si>
  <si>
    <t>41.013395, 28.948273</t>
  </si>
  <si>
    <t>Sohta Sinan Camii (Mobil Ekip)</t>
  </si>
  <si>
    <t>41.0128856, 28.9445713</t>
  </si>
  <si>
    <t>Sokullu Şehit Mehmet Paşa Camii(Mobil Ekip)</t>
  </si>
  <si>
    <t>41.0047772, 28.9722763</t>
  </si>
  <si>
    <t>Solak Sinan Camii Haziresi (Mobil Ekip)</t>
  </si>
  <si>
    <t>41.023748, 29.022272</t>
  </si>
  <si>
    <t>Sudanlı Zenci Musa Bey Kabri (Mobil Ekip)</t>
  </si>
  <si>
    <t>41.028668, 29.024244</t>
  </si>
  <si>
    <t>Sururi Daye Hatun Camii(Mobil Ekip)</t>
  </si>
  <si>
    <t>41.0134491, 28.9714669</t>
  </si>
  <si>
    <t>Süleymaniye Meydan Çeşmesi (Mobil Ekip)</t>
  </si>
  <si>
    <t>41.0131529, 28.9484799</t>
  </si>
  <si>
    <t>Sümbül Efendi Camii (Mobil Ekip)</t>
  </si>
  <si>
    <t>41.003679, 28.927741</t>
  </si>
  <si>
    <t>Süt Baba - Dede Sultan Türbesi (Mobil Ekip)</t>
  </si>
  <si>
    <t>41.014078, 29.020320</t>
  </si>
  <si>
    <t>Şahkulu Camii (Mobil Ekip)</t>
  </si>
  <si>
    <t>41.027398, 28.974367</t>
  </si>
  <si>
    <t>Şahkulu Sultan Dergahı Haziresi (Mobil Ekip)</t>
  </si>
  <si>
    <t>40.988534, 29.074027</t>
  </si>
  <si>
    <t>Şair Şemi Şemullah Efendi Türbesi (Mobil Ekip)</t>
  </si>
  <si>
    <t>41.024147, 29.010657</t>
  </si>
  <si>
    <t>Şatır Hasan Ağa Çeşmesi (Mobil Ekip)</t>
  </si>
  <si>
    <t>41.0150865, 28.9670624</t>
  </si>
  <si>
    <t>Şeb Sefa Hatun Camii(Mobil Ekip)</t>
  </si>
  <si>
    <t>41.0194533, 28.9587958</t>
  </si>
  <si>
    <t>Şehremini Caferağa Camii (Mobil Ekip)</t>
  </si>
  <si>
    <t>41.0143199, 28.9290442</t>
  </si>
  <si>
    <t>Şehzadebaşı Camii Haziresi (Mobil Ekip)</t>
  </si>
  <si>
    <t>41.0140395, 28.9572750</t>
  </si>
  <si>
    <t>Şemi Molla Camii (Mobil Ekip)</t>
  </si>
  <si>
    <t>41.0082461, 28.9462161</t>
  </si>
  <si>
    <t>Şemsi Ahmet Paşa Camii (Mobil Ekip)</t>
  </si>
  <si>
    <t>41.025719, 29.011585</t>
  </si>
  <si>
    <t>Şeyh Devati Camii Haziresi (Mobil Ekip)</t>
  </si>
  <si>
    <t>41.025248, 29.017996</t>
  </si>
  <si>
    <t>Şeyh Feyzullah Efendi Tekkesi Haziresi (Mobil Ekip)</t>
  </si>
  <si>
    <t>41.019668, 29.016888</t>
  </si>
  <si>
    <t>Şeyh Halim Tekkesi Haziresi(Mobil Ekip)</t>
  </si>
  <si>
    <t>41.022517, 28.959205</t>
  </si>
  <si>
    <t>Şeyh Hasan Efendi Kabri(Mobil Ekip)</t>
  </si>
  <si>
    <t>41.011634, 28.971357</t>
  </si>
  <si>
    <t>Şeyh İbrahim Kabristanı (Mobil Ekip)</t>
  </si>
  <si>
    <t>41.022061, 29.020416</t>
  </si>
  <si>
    <t>Şeyh İsmail Efendi Türbesi Haziresi(Mobil Ekip)</t>
  </si>
  <si>
    <t>41.0274051, 28.9556660</t>
  </si>
  <si>
    <t>Şeyh Mehmet Haffaf Türbesi Ve Haziresi (Mobil Ekip)</t>
  </si>
  <si>
    <t>41.0094677, 28.9322872</t>
  </si>
  <si>
    <t>Şeyh Raşid Camii (Mobil Ekip)</t>
  </si>
  <si>
    <t>41.0142633, 28.9306591</t>
  </si>
  <si>
    <t>Üsküdar Şeyh Süleyman Camii (Mobil Ekip)</t>
  </si>
  <si>
    <t>41.017647, 29.018158</t>
  </si>
  <si>
    <t>Şeyhülislam Behai Efendi Haziresi (Mobil Ekip)</t>
  </si>
  <si>
    <t>41.0212878, 28.9492244</t>
  </si>
  <si>
    <t>Şeyhülislam İbrahim Efendi Kabristanı (Mobil Ekip)</t>
  </si>
  <si>
    <t>41.0256612, 28.9456092</t>
  </si>
  <si>
    <t>Şeyhülislam Mustafa Efendi Çeşmesi (Mobil Ekip)</t>
  </si>
  <si>
    <t>41.015805, 28.951679</t>
  </si>
  <si>
    <t>Tabaklar Camii (Mobil Ekip)</t>
  </si>
  <si>
    <t>41.0176052, 29.0205443</t>
  </si>
  <si>
    <t>Tahir Ağa Camii(Mobil Ekip)</t>
  </si>
  <si>
    <t>41.0237388, 28.9553414</t>
  </si>
  <si>
    <t>Takkeci İbrahim Ağa Camii (Mobil Ekip)</t>
  </si>
  <si>
    <t>41.022660, 28.921062</t>
  </si>
  <si>
    <t>Tellak Baba (Mobil Ekip)</t>
  </si>
  <si>
    <t>41.007945, 28.940419</t>
  </si>
  <si>
    <t>Tercuman Yunus Camii (Mobil Ekip)</t>
  </si>
  <si>
    <t>41.0289301, 28.9439979</t>
  </si>
  <si>
    <t>Tevkii Câfer Camii (Mobil Ekip)</t>
  </si>
  <si>
    <t>41.0285467, 28.9487201</t>
  </si>
  <si>
    <t>Toygar Hamza Çelebi Camii Haziresi (Mobil Ekip)</t>
  </si>
  <si>
    <t>41.0236780, 29.0203428</t>
  </si>
  <si>
    <t>Turşucu Hüseyin Çelebi Camii (Mobil Ekip)</t>
  </si>
  <si>
    <t>41.0454213, 28.9477073</t>
  </si>
  <si>
    <t>Uçuruk Tekkesi Haziresi (Mobil Ekip)</t>
  </si>
  <si>
    <t>41.007414, 28.938637</t>
  </si>
  <si>
    <t>Ulubatlı Hasan Kabri (Mobil Ekip)</t>
  </si>
  <si>
    <t>41.00967158749409, 28.917984355424053</t>
  </si>
  <si>
    <t>Uzun Evliya Türbesi (Mobil Ekip)</t>
  </si>
  <si>
    <t>41.1488687, 29.0898416</t>
  </si>
  <si>
    <t>Üçgözlü Dede Türbesi (Mobil Ekip)</t>
  </si>
  <si>
    <t>41.0010281, 28.9295041</t>
  </si>
  <si>
    <t>Üçler Mescidi Haziresi(Mobil Ekip)</t>
  </si>
  <si>
    <t>41.0058001428107, 28.974531199998637</t>
  </si>
  <si>
    <t>Üryanizade Dede Türbesi (Mobil Ekip)</t>
  </si>
  <si>
    <t>41.0124587, 28.9563410</t>
  </si>
  <si>
    <t>Üsküdar Ahmediye Camii (Mobil Ekip)</t>
  </si>
  <si>
    <t>41.0200314, 29.0166931</t>
  </si>
  <si>
    <t>Valide-İ Cedid Camii Hazire(Mobil Ekip)</t>
  </si>
  <si>
    <t>41.0248698, 29.0149179</t>
  </si>
  <si>
    <t>Vani Tekkesi Haziresi (Mobil Ekip)</t>
  </si>
  <si>
    <t>41.0082521, 28.9289318</t>
  </si>
  <si>
    <t>Vefa Molla Gürani Kabristanı(Mobil Ekip)</t>
  </si>
  <si>
    <t>41.0162280, 28.9599938</t>
  </si>
  <si>
    <t>Vücudizade Türbesi (Mobil Ekip)</t>
  </si>
  <si>
    <t>41.0047391, 28.9340835</t>
  </si>
  <si>
    <t>Yavaşça Şahin Mehmet Ali Camii(Mobil Ekip)</t>
  </si>
  <si>
    <t>41.0158465, 28.9677212</t>
  </si>
  <si>
    <t>Yavsi Baba Haziresi (Mobil Ekip)</t>
  </si>
  <si>
    <t>41.0252164, 28.9500015</t>
  </si>
  <si>
    <t>Yavuz Er Sinan Camii(Mobil Ekip)</t>
  </si>
  <si>
    <t>41.0216304, 28.9621117</t>
  </si>
  <si>
    <t>Yavuz Sultan Selim Camii (Mobil Ekip)</t>
  </si>
  <si>
    <t>41.0264486, 28.9511707</t>
  </si>
  <si>
    <t>Yayla Kambur Mustafa Paşa Camii (Mobil Ekip)</t>
  </si>
  <si>
    <t>41.0153108, 28.9490916</t>
  </si>
  <si>
    <t>Yedi Emirler Kabristanı (Mobil Ekip)</t>
  </si>
  <si>
    <t>41.02083505806933, 28.947695183650538</t>
  </si>
  <si>
    <t>Yedi Şehitler Kabristanı (Mobil Ekip)</t>
  </si>
  <si>
    <t>41.0039092, 28.9255115</t>
  </si>
  <si>
    <t>Zenbilli Ali Efendi Camii(Mobil Ekip)</t>
  </si>
  <si>
    <t>41.0253923225378, 28.953460725979212</t>
  </si>
  <si>
    <t>Zeynep Sultan Camii(Mobil Ekip)</t>
  </si>
  <si>
    <t>41.01020381407371, 28.978595400843922</t>
  </si>
  <si>
    <t>Zeyrek Yokuşu Çeşmesi (Mobil Ekip)</t>
  </si>
  <si>
    <t>41.019072383296546, 28.957697054814723</t>
  </si>
  <si>
    <t>Zuhurat Baba Türbesi (Mobil Ekip)</t>
  </si>
  <si>
    <t>40.98267815582102, 28.867243654813407</t>
  </si>
  <si>
    <t>Zühtü Paşa Camii (Mobil Ekip)</t>
  </si>
  <si>
    <t>40.984339545953944, 29.040014225977757</t>
  </si>
  <si>
    <t>Kadıköy Mısırlı Osmanağa Çeşmesi</t>
  </si>
  <si>
    <t>40.991265920389964, 29.026830127828507</t>
  </si>
  <si>
    <t>Suadiye Çatal Çeşme</t>
  </si>
  <si>
    <t>40.957190748359615, 29.087216550607398</t>
  </si>
  <si>
    <t>Gözcü Baba Türbesi</t>
  </si>
  <si>
    <t>40.98715594746217, 29.070350939470323</t>
  </si>
  <si>
    <t>Müze Gazhane Afife Batur Kütüphanesi</t>
  </si>
  <si>
    <t>40.99716870183081, 29.043648825978217</t>
  </si>
  <si>
    <t>Müze Gazhane İklim Müzesi</t>
  </si>
  <si>
    <t>Müze Gazhane L Binası</t>
  </si>
  <si>
    <t>Müze Gazhane Sergi Salonu</t>
  </si>
  <si>
    <t>40.99639230925088, 29.042652054813928</t>
  </si>
  <si>
    <t>Müze Gazhane Tiyatro Binaları</t>
  </si>
  <si>
    <t>Boğa Heykeli</t>
  </si>
  <si>
    <t>40.99059913441774, 29.029129381798885</t>
  </si>
  <si>
    <t>Kadıköy Galip Paşa Çeşmesi</t>
  </si>
  <si>
    <t>40.96619969370898, 29.06970555296213</t>
  </si>
  <si>
    <t>Kadıköy Sürmeli Ali Çeşmesi</t>
  </si>
  <si>
    <t>40.99079836793035, 29.024980214874486</t>
  </si>
  <si>
    <t>Moda İskelesi</t>
  </si>
  <si>
    <t>40.9799956, 29.0248569</t>
  </si>
  <si>
    <t>Bostancıbaşı Çeşmesi</t>
  </si>
  <si>
    <t>40.95340792329773, 29.095617697140764</t>
  </si>
  <si>
    <t>Kadıköy Çukur Çeşme</t>
  </si>
  <si>
    <t>41.011255, 28.957060</t>
  </si>
  <si>
    <t>Kadıköy Halit Ağa Çeşmesi</t>
  </si>
  <si>
    <t>40.99146131792735, 29.028152681799074</t>
  </si>
  <si>
    <t>Kadıköy İskelesi</t>
  </si>
  <si>
    <t>40.9930102259382, 29.02293172597794</t>
  </si>
  <si>
    <t>Kadıköy Meydanı Atatürk Heykeli</t>
  </si>
  <si>
    <t>40.98744643782129, 29.035370952962914</t>
  </si>
  <si>
    <t>Kadıköy Sahrayı Cedid Çeşmesi</t>
  </si>
  <si>
    <t>40.98048855961737, 29.077486941320654</t>
  </si>
  <si>
    <t>Kayışdağı Suyu Çeşmesi</t>
  </si>
  <si>
    <t>40.99045603480442, 29.02812068364945</t>
  </si>
  <si>
    <t>Mahmut Baba Türbesi</t>
  </si>
  <si>
    <t>40.99173753134135, 29.034920510634723</t>
  </si>
  <si>
    <t>Merdivenköy Mezarlığı</t>
  </si>
  <si>
    <t>40.98959343868041, 29.07555737015668</t>
  </si>
  <si>
    <t>Serasker Hasan Rıza Paşa Çeşmesi</t>
  </si>
  <si>
    <t>40.98954633726269, 29.027776768306232</t>
  </si>
  <si>
    <t>Şahkulu Sultan Dergahı Hazire Alanı</t>
  </si>
  <si>
    <t>40.98875963075312, 29.074195183649376</t>
  </si>
  <si>
    <t>Yoğurtçu Parkı Atatürk Heykeli</t>
  </si>
  <si>
    <t>40.98558114482613, 29.033640754813472</t>
  </si>
  <si>
    <t>Yoğurtçu Parkı Çeşmesi</t>
  </si>
  <si>
    <t>40.98373475461833, 29.033181383649215</t>
  </si>
  <si>
    <t>Yoğurtçu Parkı Süreyya İlmen Heykeli</t>
  </si>
  <si>
    <t>40.987147742500476, 29.033763681798828</t>
  </si>
  <si>
    <t>Yoğurtçu Parkı Yunus Emre Heykeli</t>
  </si>
  <si>
    <t>40.98552454604242, 29.033608368306044</t>
  </si>
  <si>
    <t>kadıköy Hasan Rıza Paşa Çeşmesi</t>
  </si>
  <si>
    <t>40.989586829446715, 29.02776603947044</t>
  </si>
  <si>
    <t>Hasanpaşa Babüssade (Mahmut Ağa) Çeşmesi</t>
  </si>
  <si>
    <t>40.99577200433776, 29.043322210634898</t>
  </si>
  <si>
    <t>İbrahim Ağa Çeşmesi</t>
  </si>
  <si>
    <t>41.00182757559398, 29.02967639158818</t>
  </si>
  <si>
    <t>Kadıköy Ayrılık Çeşmesi</t>
  </si>
  <si>
    <t>41.00048153961903, 29.030132908723974</t>
  </si>
  <si>
    <t>Kadıköy Çatal Çeşme</t>
  </si>
  <si>
    <t>40.95654732389261, 29.088447968305033</t>
  </si>
  <si>
    <t>Kadıköy Selami Çeşmesi</t>
  </si>
  <si>
    <t>40.97577207494195, 29.05203399899209</t>
  </si>
  <si>
    <t>Mehmet Tahir Münif Paşa Mezarlığı</t>
  </si>
  <si>
    <t>40.98407655117604, 29.07696929714183</t>
  </si>
  <si>
    <t>Moda Turhan Selçuk Evi</t>
  </si>
  <si>
    <t>40.98391527379072, 29.025336508516485</t>
  </si>
  <si>
    <t>Lali Mustafa Ağa Namazgah Çeşmesi (Mobil Ekip)</t>
  </si>
  <si>
    <t>41.032807, 28.932954</t>
  </si>
  <si>
    <t>Kırımi Çeşmesi (Mobil Ekip)</t>
  </si>
  <si>
    <t>41.036680, 28.936983</t>
  </si>
  <si>
    <t>Eğrikapı Maksemi Savaklar Çeşmesi (Mobil Ekip)</t>
  </si>
  <si>
    <t>41.035710, 28.938603</t>
  </si>
  <si>
    <t>Hakkı Bey Çeşmesi (Mobil Ekip)</t>
  </si>
  <si>
    <t>41.036865, 28.934133</t>
  </si>
  <si>
    <t>Süleyman Subaşı Çeşmesi (Mobil Ekip)</t>
  </si>
  <si>
    <t>41.038504, 28.929045</t>
  </si>
  <si>
    <t>Otakçılar Çeşmesi (Mobil Ekip)</t>
  </si>
  <si>
    <t>41.038355, 28.928370</t>
  </si>
  <si>
    <t>II. Mahmud Çeşmesi (Mobil Ekip)</t>
  </si>
  <si>
    <t>41.040850, 28.930764</t>
  </si>
  <si>
    <t>Beyzade Mehmet Efendi Çeşmesi (Mobil Ekip)</t>
  </si>
  <si>
    <t>41.043107, 28.932746</t>
  </si>
  <si>
    <t>Hacı Beşir Ağa Medresesi (Mobil Ekip)</t>
  </si>
  <si>
    <t>41.042352, 28.933625</t>
  </si>
  <si>
    <t>İsmail Efendi Çeşmesi (Mobil Ekip)</t>
  </si>
  <si>
    <t>41.042236, 28.933828</t>
  </si>
  <si>
    <t>Eyüpsultan Hacı Beşir Ağa Çeşmesi (Mobil Ekip)</t>
  </si>
  <si>
    <t>41.041142, 28.932727</t>
  </si>
  <si>
    <t>Çinili Çeşme (Mobil Ekip)</t>
  </si>
  <si>
    <t>41.039946, 28.932246</t>
  </si>
  <si>
    <t>Dilsiz Süleyman Ağa Çeşmesi (Mobil Ekip)</t>
  </si>
  <si>
    <t>41.039835, 28.932738</t>
  </si>
  <si>
    <t>Mühendis Ali Dede Çeşmesi (Mobil Ekip)</t>
  </si>
  <si>
    <t>41.038963, 28.934485</t>
  </si>
  <si>
    <t>Veziri Azam İbrahim Paşa Çeşmesi (Mobil Ekip)</t>
  </si>
  <si>
    <t>41.038991, 28.935104</t>
  </si>
  <si>
    <t>Eyüpsultan Kanuni Sultan Süleyman Çeşmesi (Mobil Ekip)</t>
  </si>
  <si>
    <t>41.040778, 28.936414</t>
  </si>
  <si>
    <t>Hoşnadi Usta Çeşmesi (Mobil Ekip)</t>
  </si>
  <si>
    <t>41.041799, 28.935629</t>
  </si>
  <si>
    <t>Nakkaş Hasan Paşa Çeşmesi (Mobil Ekip)</t>
  </si>
  <si>
    <t>41.044966, 28.935003</t>
  </si>
  <si>
    <t>Eyüpsultan İsmail Ağa Çeşmesi (Mobil Ekip)</t>
  </si>
  <si>
    <t>41.044810, 28.931697</t>
  </si>
  <si>
    <t>Tunuslu Hayreddin Paşa Çeşmesi (Mobil Ekip)</t>
  </si>
  <si>
    <t>41.046040, 28.935874</t>
  </si>
  <si>
    <t>Pertevniyal Valide Sultan Çeşmesi (Mobil Ekip)</t>
  </si>
  <si>
    <t>41.040532, 28.940861</t>
  </si>
  <si>
    <t>Şemsicemal Usta Çeşmesi (Mobil Ekip)</t>
  </si>
  <si>
    <t>41.043747, 28.937098</t>
  </si>
  <si>
    <t>Abdülaziz Han Çeşmesi (Mobil Ekip)</t>
  </si>
  <si>
    <t>41.030042, 28.931601</t>
  </si>
  <si>
    <t>Edirnekapı Şehitliği Selsebili (Mobil Ekip)</t>
  </si>
  <si>
    <t>41.030046, 28.931260</t>
  </si>
  <si>
    <t>Eyüpsultan Süleyman Ağa Çeşmesi (Mobil Ekip)</t>
  </si>
  <si>
    <t>41.046918, 28.931587</t>
  </si>
  <si>
    <t>Hacı Sezai Paşa Çeşmesi (Mobil Ekip)</t>
  </si>
  <si>
    <t>41.046389, 28.935805</t>
  </si>
  <si>
    <t>Hasan Hüsnü Paşa Çeşmesi (Mobil Ekip)</t>
  </si>
  <si>
    <t>41.047229, 28.936441</t>
  </si>
  <si>
    <t>Mihrişah Valide Sultan Sebili ve Çeşmeleri (Mobil Ekip)</t>
  </si>
  <si>
    <t>41.076632, 29.251223</t>
  </si>
  <si>
    <t>Mihrişah Valide Sultan Türbesi Haziresi (Mobil Ekip)</t>
  </si>
  <si>
    <t>41.076921, 29.251797</t>
  </si>
  <si>
    <t>Ayşe Bihri Kadın Çeşmesi (Mobil Ekip)</t>
  </si>
  <si>
    <t>41.076907, 29.251795</t>
  </si>
  <si>
    <t>Eyüp Sultan Camii Avlu Duvarı Çeşmesi (Mobil Ekip)</t>
  </si>
  <si>
    <t>41.047675, 28.932792</t>
  </si>
  <si>
    <t>Karyağdı Sokak Çeşmesi (Mobil Ekip)</t>
  </si>
  <si>
    <t>41.054451, 28.933453</t>
  </si>
  <si>
    <t>Rayet Keşan Kalfa Çeşmesi (Mobil Ekip)</t>
  </si>
  <si>
    <t>41.051857, 28.931945</t>
  </si>
  <si>
    <t>Eyüpsultan Ebubekir Ağa Çeşmesi (Mobil Ekip)</t>
  </si>
  <si>
    <t>41.061736, 28.942372</t>
  </si>
  <si>
    <t>Silahtar Seyyid Abdullah Ağa Çeşmesi (Mobil Ekip)</t>
  </si>
  <si>
    <t>41.069319, 28.942312</t>
  </si>
  <si>
    <t>Çoban Çeşme (Mobil Ekip)</t>
  </si>
  <si>
    <t>41.082604, 28.951692</t>
  </si>
  <si>
    <t>Eyüpsultan Hatice Sultan Çeşmesi (Mobil Ekip)</t>
  </si>
  <si>
    <t>41.076775, 28.946903</t>
  </si>
  <si>
    <t>Zehra Hanım Çeşmesi (Mobil Ekip)</t>
  </si>
  <si>
    <t>41.044083, 28.928803</t>
  </si>
  <si>
    <t>Safer Bin Nefi Efendi Çeşmesi (Mobil Ekip)</t>
  </si>
  <si>
    <t>41.039025, 28.923805</t>
  </si>
  <si>
    <t>Derviş Mustafa Efendi Çeşmesi (Mobil Ekip)</t>
  </si>
  <si>
    <t>41.044740, 28.929150</t>
  </si>
  <si>
    <t>Sadrazam Mehmet Paşa Çeşmesi (Mobil Ekip)</t>
  </si>
  <si>
    <t>41.039312, 28.921995</t>
  </si>
  <si>
    <t>Topçubaşı Esat Ağa Kabri (Mobil Ekip)</t>
  </si>
  <si>
    <t>41.040681, 28.920540</t>
  </si>
  <si>
    <t>Eyüpsultan Hasan Rıza Paşa Çeşmesi (Mobil Ekip)</t>
  </si>
  <si>
    <t>41.052671, 28.915509</t>
  </si>
  <si>
    <t>Nazım Bey Çeşmesi (Mobil Ekip)</t>
  </si>
  <si>
    <t>41.051971, 28.918186</t>
  </si>
  <si>
    <t>Bosna Caddesi Çeşmesi (Mobil Ekip)</t>
  </si>
  <si>
    <t>41.049771, 28.920502</t>
  </si>
  <si>
    <t>Oruç Sokak Çeşmesi (Mobil Ekip)</t>
  </si>
  <si>
    <t>41.051221, 28.922483</t>
  </si>
  <si>
    <t>Mahmudiye Caddesi Çeşmesi (Mobil Ekip)</t>
  </si>
  <si>
    <t>41.050076, 28.923287</t>
  </si>
  <si>
    <t>İslambey Çeşmesi (Mobil Ekip)</t>
  </si>
  <si>
    <t>41.050310, 28.925727</t>
  </si>
  <si>
    <t>Tarihi Çeşme (Mobil Ekip)</t>
  </si>
  <si>
    <t>41.051427, 28.926944</t>
  </si>
  <si>
    <t>Kır Çeşmesi (Mobil Ekip)</t>
  </si>
  <si>
    <t>41.047812, 28.925588</t>
  </si>
  <si>
    <t>Altuncuzade Mustafa Ağa Çeşmesi (Mobil Ekip)</t>
  </si>
  <si>
    <t>41.048063, 28.926620</t>
  </si>
  <si>
    <t>Kaymakam Mehmet Bey Çeşmesi (Mobil Ekip)</t>
  </si>
  <si>
    <t>41.048312, 28.928273</t>
  </si>
  <si>
    <t>Alemdar Mustafa Paşa Çeşmesi (Mobil Ekip)</t>
  </si>
  <si>
    <t>41.049232, 28.928707</t>
  </si>
  <si>
    <t>Ummi Sinan Tekkesi Çeşmesi (Mobil Ekip)</t>
  </si>
  <si>
    <t>41.047299, 28.925983</t>
  </si>
  <si>
    <t>Eyüpsultan Abdülkadir Efendi Çeşmesi (Mobil Ekip)</t>
  </si>
  <si>
    <t>41.046044, 28.924380</t>
  </si>
  <si>
    <t>Bayburtlu Mustafa Ağa Çeşmesi (Mobil Ekip)</t>
  </si>
  <si>
    <t>41.046637, 28.929034</t>
  </si>
  <si>
    <t>Kaymakam Emin Efendi Çeşmesi (Mobil Ekip)</t>
  </si>
  <si>
    <t>41.045960, 28.930344</t>
  </si>
  <si>
    <t>Koca Yusuf Efendi Çeşmesi (Mobil Ekip)</t>
  </si>
  <si>
    <t>41.046049, 28.931404</t>
  </si>
  <si>
    <t>Eyüpsultan Mehmet Ağa Çeşmesi (Mobil Ekip)</t>
  </si>
  <si>
    <t>41.050061, 28.929979</t>
  </si>
  <si>
    <t>Maltepe Kayışdağı Suyu Çeşmesi (Mobil Ekip)</t>
  </si>
  <si>
    <t>40.921476, 29.130951</t>
  </si>
  <si>
    <t>Maltepe Feyzullah Efendi Çeşmesi (Mobil Ekip)</t>
  </si>
  <si>
    <t>40.920799, 29.129833</t>
  </si>
  <si>
    <t>Beş Çeşmeler (Mobil Ekip)</t>
  </si>
  <si>
    <t>40.922128, 29.129159</t>
  </si>
  <si>
    <t>Alaca Tekke Haziresi (Mobil Ekip)</t>
  </si>
  <si>
    <t>41.03915292673997, 28.93462091874198</t>
  </si>
  <si>
    <t>Camiikebir Camii (Mobil Ekip)</t>
  </si>
  <si>
    <t>41.033090, 28.967863</t>
  </si>
  <si>
    <t>Ferah Baba Türbesi (Mobil Ekip)</t>
  </si>
  <si>
    <t>41.04013558151801, 28.934782675979683</t>
  </si>
  <si>
    <t>Gedik Abdi Camii (Mobil Ekip)</t>
  </si>
  <si>
    <t>41.03761452756061, 28.96582993052476</t>
  </si>
  <si>
    <t>Hacı Hüsrev Camii (Mobil Ekip)</t>
  </si>
  <si>
    <t>41.04078847785389, 28.969379151063148</t>
  </si>
  <si>
    <t>Kadıköy Hüseyin Ağa Çeşmesi (Mobil Ekip)</t>
  </si>
  <si>
    <t>40.98986202998859, 29.027008967651472</t>
  </si>
  <si>
    <t>Kazancıbaşı Camii (Mobil Ekip)</t>
  </si>
  <si>
    <t>41.03562562441738, 28.985963110583853</t>
  </si>
  <si>
    <t>Kazancıbaşı Camii Haziresi (Mobil Ekip)</t>
  </si>
  <si>
    <t>Nakkaş Hasan Paşa Türbesi (Mobil Ekip)</t>
  </si>
  <si>
    <t>41.04455165460334, 28.935634387352657</t>
  </si>
  <si>
    <t>Paşa Baba Tekkesi Camii (Mobil Ekip)</t>
  </si>
  <si>
    <t>41.03367607122842, 28.983788916376398</t>
  </si>
  <si>
    <t>Pir Abdulmecid Sivasi Türbesi (Mobil Ekip)</t>
  </si>
  <si>
    <t>41.042071179267346, 28.93039152597983</t>
  </si>
  <si>
    <t>Sahaf Muslihiddin Camii (Mobil Ekip)</t>
  </si>
  <si>
    <t>41.04311739242211, 28.9700194646071</t>
  </si>
  <si>
    <t>Sefer-İ Kethüda Kabri Ve Haziresi (Mobil Ekip)</t>
  </si>
  <si>
    <t>41.053235455682554, 28.957314297144386</t>
  </si>
  <si>
    <t>Seyit Ali Çelebi Camii (Mobil Ekip)</t>
  </si>
  <si>
    <t>41.03802855888148, 28.961687742960375</t>
  </si>
  <si>
    <t>Sofu Kara Ali Çavuş Camii (Mobil Ekip)</t>
  </si>
  <si>
    <t>41.04583514662513, 28.932396508735998</t>
  </si>
  <si>
    <t>Rüveyde Muzaffer Akçay Çeşmesi (Mobil Ekip)</t>
  </si>
  <si>
    <t>40.993321, 29.030365</t>
  </si>
  <si>
    <t>Baba-Oğul Çeşmesi (Mobil Ekip)</t>
  </si>
  <si>
    <t>41.034901, 28.980566</t>
  </si>
  <si>
    <t>Fâhir ile Fâtıma Çeşmesi (Mobil Ekip)</t>
  </si>
  <si>
    <t>40.973713, 29.075628</t>
  </si>
  <si>
    <t>Zihni Paşa Camii Çeşmesi (Mobil Ekip)</t>
  </si>
  <si>
    <t>40.971763, 29.076775</t>
  </si>
  <si>
    <t>Tellikavak Sokağı Çeşmesi (Mobil Ekip)</t>
  </si>
  <si>
    <t>40.971651, 29.078770</t>
  </si>
  <si>
    <t>Ladikli Ahmet Ağa Çeşmesi (Mobil Ekip)</t>
  </si>
  <si>
    <t>40.995847, 29.024818</t>
  </si>
  <si>
    <t>Emine Hanım Çeşmesi (Mobil Ekip)</t>
  </si>
  <si>
    <t>40.986156, 29.077557</t>
  </si>
  <si>
    <t>Mah Baba Çeşmesi (Mobil Ekip)</t>
  </si>
  <si>
    <t>40.988529, 29.074007</t>
  </si>
  <si>
    <t>Tütüncü Mehmet Efendi Cadde Çeşmesi (Mobil Ekip)</t>
  </si>
  <si>
    <t>40.981652, 29.068190</t>
  </si>
  <si>
    <t>Şehremaneti Çeşmesi (Mobil Ekip)</t>
  </si>
  <si>
    <t>40.979044, 29.085274</t>
  </si>
  <si>
    <t>Zileli Muharrem Çeşmesi (Mobil Ekip)</t>
  </si>
  <si>
    <t>40.973749, 29.075378</t>
  </si>
  <si>
    <t>Kadıköy Çukur Çeşme (Mobil Ekip)</t>
  </si>
  <si>
    <t>40.969107, 29.064535</t>
  </si>
  <si>
    <t>Çeribaşı Camii (Mobil Ekip)</t>
  </si>
  <si>
    <t>41.04699988191899, 28.935514568308466</t>
  </si>
  <si>
    <t>Yavedud Türbesi Haziresi (Mobil Ekip)</t>
  </si>
  <si>
    <t>41.04309053310142, 28.937912285502016</t>
  </si>
  <si>
    <t>Kartal Bahriye Nazırı Çeşmesi</t>
  </si>
  <si>
    <t>40.89013365722704, 29.187167968216922</t>
  </si>
  <si>
    <t>Kartal Atatürk Heykeli</t>
  </si>
  <si>
    <t>40.88855137054864, 29.186101640298233</t>
  </si>
  <si>
    <t>Yakacık Hacı Kahya Çeşmesi - Meydan Çeşmesi</t>
  </si>
  <si>
    <t>40.919858835042675, 29.22614811591439</t>
  </si>
  <si>
    <t>Mihrişah Valide Sultan İmareti Haziresi (Mobil Ekip)</t>
  </si>
  <si>
    <t>41.04865123879546, 28.934327925930667</t>
  </si>
  <si>
    <t>Lala Mustafa Paşa Türbesi (Mobil Ekip)</t>
  </si>
  <si>
    <t>41.048256878518295, 28.933472270159047</t>
  </si>
  <si>
    <t>Çınaraltı Çeşmesi / Yakacık Merkez Camii (Mobil Ekip)</t>
  </si>
  <si>
    <t>40.919191, 29.225927</t>
  </si>
  <si>
    <t>Yakacık Ayazma Suyu (Mobil Ekip)</t>
  </si>
  <si>
    <t>40.914828, 29.232145</t>
  </si>
  <si>
    <t>Haseki Sultan Çeşmesi/Dörtyüzlü Çeşme (Mobil Ekip)</t>
  </si>
  <si>
    <t>40.918207, 29.205583</t>
  </si>
  <si>
    <t>Kartal Çeşmesi (Mobil Ekip)</t>
  </si>
  <si>
    <t>40.896336, 29.192315</t>
  </si>
  <si>
    <t>Sürmeli Sokak Çeşmesi (Mobil Ekip)</t>
  </si>
  <si>
    <t>40.919267, 29.207169</t>
  </si>
  <si>
    <t>Küçükçekmece Hamidiye Çeşmesi (Mobil Ekip)</t>
  </si>
  <si>
    <t>40.990256, 28.771699</t>
  </si>
  <si>
    <t>Köprübaşı Çeşmesi (Mobil Ekip)</t>
  </si>
  <si>
    <t>40.993292, 28.768917</t>
  </si>
  <si>
    <t>Ayazma Sokak Çeşmesi (Mobil Ekip)</t>
  </si>
  <si>
    <t>40.989845, 28.771338</t>
  </si>
  <si>
    <t>Abdüsselam Çelebi Külliyesi Çeşmesi (Mobil Ekip)</t>
  </si>
  <si>
    <t>40.991719, 28.772592</t>
  </si>
  <si>
    <t>Abdüsselam Camii Çeşmesi (Mobil Ekip)</t>
  </si>
  <si>
    <t>40.991717, 28.772607</t>
  </si>
  <si>
    <t>Vezir Mehmet Paşa Çeşmesi</t>
  </si>
  <si>
    <t>40.991114843430964, 28.77074595481369</t>
  </si>
  <si>
    <t>Pendik Atatürk Anıtı</t>
  </si>
  <si>
    <t>40.87639417971532, 29.238626654809494</t>
  </si>
  <si>
    <t>Ahmet Şebe Mezarı (Pendik Nalbant Ahmet Şebe Mezarı )</t>
  </si>
  <si>
    <t>40.831916371422224, 29.308127339413904</t>
  </si>
  <si>
    <t>Pendik Sahil Tören Alanı Atatürk Anıtı</t>
  </si>
  <si>
    <t>40.87641844286386, 29.23850862218362</t>
  </si>
  <si>
    <t>Çoban Çavuş Camii (Mobil Ekip)</t>
  </si>
  <si>
    <t>41.008163679294604, 28.95917838179961</t>
  </si>
  <si>
    <t>Katip Sinan Camii (Mobil Ekip)</t>
  </si>
  <si>
    <t>41.007998198812956, 28.960709897142756</t>
  </si>
  <si>
    <t>Orhan Veli Mezarı</t>
  </si>
  <si>
    <t>41.0830256713899, 29.05560301248864</t>
  </si>
  <si>
    <t>Sarıyer Kanlıkavak Çeşmesi</t>
  </si>
  <si>
    <t>41.10058550856053, 29.03808013943702</t>
  </si>
  <si>
    <t>Aya Paraskevi Rum Kilisesi Mezarlığı Bakım</t>
  </si>
  <si>
    <t>41.162046284142214, 29.0452424529695</t>
  </si>
  <si>
    <t>Abidin Dino Mezarı</t>
  </si>
  <si>
    <t>41.083231709977404, 29.056370925981273</t>
  </si>
  <si>
    <t>Cendere Terfi İstasyonu (Candere Sanat Müzesi)</t>
  </si>
  <si>
    <t>41.108781149877224, 28.989294897146493</t>
  </si>
  <si>
    <t>Emirgan 2.Mahmud Çeşmesi</t>
  </si>
  <si>
    <t>41.1387477549622, 29.053920104429395</t>
  </si>
  <si>
    <t>Emirgan Boyacıköy Çeşmesi</t>
  </si>
  <si>
    <t>41.10149388024279, 29.0505722796014</t>
  </si>
  <si>
    <t>Kuruçeşme Aslan Heykeli</t>
  </si>
  <si>
    <t>Beşiktaş, Sarıyer????</t>
  </si>
  <si>
    <t>41.054792186497195, 29.034735584451433</t>
  </si>
  <si>
    <t>Özdemir Asaf Mezarı</t>
  </si>
  <si>
    <t>41.081969674378776, 29.055161110638046</t>
  </si>
  <si>
    <t>Reşat Ağa Çeşmesi (Mobil Ekip)</t>
  </si>
  <si>
    <t>41.054132, 29.027578</t>
  </si>
  <si>
    <t>Tezkireci Osman Efendi Camii Çeşmesi (Mobil Ekip)</t>
  </si>
  <si>
    <t>41.061348, 29.037555</t>
  </si>
  <si>
    <t>Köprülü Hemşiresi Çeşmesi (Mobil Ekip)</t>
  </si>
  <si>
    <t>41.061478, 29.037611</t>
  </si>
  <si>
    <t>Beyhan Sultan Çeşmesi (Mobil Ekip)</t>
  </si>
  <si>
    <t>41.061474, 29.037312</t>
  </si>
  <si>
    <t>Beşiktaş Ali Bey Çeşmesi (Mobil Ekip)</t>
  </si>
  <si>
    <t>41.048459, 29.006658</t>
  </si>
  <si>
    <t>Beşiktaş Abbas Ağa Cami Çeşmesi (Mobil Ekip)</t>
  </si>
  <si>
    <t>41.044053, 29.006330</t>
  </si>
  <si>
    <t>Ertuğrul Tekke Camii Çeşmesi (Mobil Ekip)</t>
  </si>
  <si>
    <t>41.045123, 29.008795</t>
  </si>
  <si>
    <t>Beşiktaş Bezm-i Alem Valide Sultan Çeşmesi (Mobil Ekip)</t>
  </si>
  <si>
    <t>41.045205, 29.009683</t>
  </si>
  <si>
    <t>Beşiktaş Süleyman Ağa Çeşmesi (Mobil Ekip)</t>
  </si>
  <si>
    <t>41.043652, 29.008588</t>
  </si>
  <si>
    <t>Abdülhamid Han II Çeşmesi (Mobil Ekip)</t>
  </si>
  <si>
    <t>41.093135, 29.018818</t>
  </si>
  <si>
    <t>Gazi Osman Paşa Çeşmesi (Mobil Ekip)</t>
  </si>
  <si>
    <t>41.045795, 29.010371</t>
  </si>
  <si>
    <t>Nuri Bey Çeşmesi (Mobil Ekip)</t>
  </si>
  <si>
    <t>41.045174, 29.010851</t>
  </si>
  <si>
    <t>Beşiktaş Hamidiye Çeşmesi (Mobil Ekip)</t>
  </si>
  <si>
    <t>41.050057, 29.007282</t>
  </si>
  <si>
    <t>Amber Çeşmesi / Çatlak Çeşme (Mobil Ekip)</t>
  </si>
  <si>
    <t>41.044811, 28.998387</t>
  </si>
  <si>
    <t>Ramiz Ağa Çeşmesi (Mobil Ekip)</t>
  </si>
  <si>
    <t>41.044454, 28.999075</t>
  </si>
  <si>
    <t>Safiye Sultanzadeler Haziresi (Mobil Ekip)</t>
  </si>
  <si>
    <t>41.043831, 28.995993</t>
  </si>
  <si>
    <t>Beşiktaş Hasan Rıza Paşa Çeşmesi (Mobil Ekip)</t>
  </si>
  <si>
    <t>41.049412, 29.004951</t>
  </si>
  <si>
    <t>Mehmet Sadık Çeşmesi (Mobil Ekip)</t>
  </si>
  <si>
    <t>41.051320, 29.021912</t>
  </si>
  <si>
    <t>Yıldız Parkı Çeşmesi (Mobil Ekip)</t>
  </si>
  <si>
    <t>41.047118, 29.014048</t>
  </si>
  <si>
    <t>Beşiktaş Çınarlı Çeşme (Mobil Ekip)</t>
  </si>
  <si>
    <t>41.062090, 29.033712</t>
  </si>
  <si>
    <t>Lütfü Bey Çeşmesi (Mobil Ekip)</t>
  </si>
  <si>
    <t>41.079840, 29.044685</t>
  </si>
  <si>
    <t>İzzet Ahmet Paşa Çeşmesi (Mobil Ekip)</t>
  </si>
  <si>
    <t>41.070261, 29.042584</t>
  </si>
  <si>
    <t>Yoğurtçu Zülfü Sokağı Çeşmesi (Mobil Ekip)</t>
  </si>
  <si>
    <t>41.076841, 29.042250</t>
  </si>
  <si>
    <t>Kızıl Serçe Sokak Çeşmesi (Mobil Ekip)</t>
  </si>
  <si>
    <t>41.082838, 29.070099</t>
  </si>
  <si>
    <t>Mehmet Ali Paşa Çeşmesi (Mobil Ekip)</t>
  </si>
  <si>
    <t>41.083670, 29.068988</t>
  </si>
  <si>
    <t>Beykoz Mehmet Sait Efendi Çeşmesi (Mobil Ekip)</t>
  </si>
  <si>
    <t>41.101290, 29.068608</t>
  </si>
  <si>
    <t>Gazi İskender Paşa Camii (Mobil Ekip)</t>
  </si>
  <si>
    <t>41.099952, 29.065500</t>
  </si>
  <si>
    <t>Halepli Çeşmesi (Mobil Ekip)</t>
  </si>
  <si>
    <t>41.099175, 29.065520</t>
  </si>
  <si>
    <t>Berberbaşı Ali Efendi (Mobil Ekip)</t>
  </si>
  <si>
    <t>41.106496, 29.074881</t>
  </si>
  <si>
    <t>3. Sultan Mustafa Camii (Mobil Ekip)</t>
  </si>
  <si>
    <t>41.115935, 29.095354</t>
  </si>
  <si>
    <t>3. Mustafa Çeşmesi (Mobil Ekip)</t>
  </si>
  <si>
    <t>41.115674, 29.095667</t>
  </si>
  <si>
    <t>Beykoz Mustafa Paşa Çeşmesi (Mobil Ekip)</t>
  </si>
  <si>
    <t>41.115225, 29.095900</t>
  </si>
  <si>
    <t>Mavnacıbaşı Çeşmesi (Mobil Ekip)</t>
  </si>
  <si>
    <t>41.118070, 29.098802</t>
  </si>
  <si>
    <t>İncirköy Çeşmesi (Mobil Ekip)</t>
  </si>
  <si>
    <t>41.119429, 29.097469</t>
  </si>
  <si>
    <t>Murat Bey Çeşmesi (Mobil Ekip)</t>
  </si>
  <si>
    <t>41.123596, 29.099245</t>
  </si>
  <si>
    <t>Hacı Ali Bey Çeşmesi (Mobil Ekip)</t>
  </si>
  <si>
    <t>41.132161, 29.095867</t>
  </si>
  <si>
    <t>Beykoz Kethüda Çeşmesi (Mobil Ekip)</t>
  </si>
  <si>
    <t>41.137059, 29.086308</t>
  </si>
  <si>
    <t>Naile Vesile Hanım Çeşmesi (Mobil Ekip)</t>
  </si>
  <si>
    <t>41.138778, 29.087773</t>
  </si>
  <si>
    <t>Serbostani Mustafa Ağa Camii (Mobil Ekip)</t>
  </si>
  <si>
    <t>41.137777, 29.085769</t>
  </si>
  <si>
    <t>Beykoz İbrahim Paşa Çeşmesi (Mobil Ekip)</t>
  </si>
  <si>
    <t>41.106815, 29.082174</t>
  </si>
  <si>
    <t>Cevriye Hatun Çeşmesi (Mobil Ekip)</t>
  </si>
  <si>
    <t>41.173714, 29.088577</t>
  </si>
  <si>
    <t>Beykoz Ahmet Bey Çeşmesi (Mobil Ekip)</t>
  </si>
  <si>
    <t>41.169002, 29.084793</t>
  </si>
  <si>
    <t>Askeriye Çeşmesi (Mobil Ekip)</t>
  </si>
  <si>
    <t>41.168988, 29.084744</t>
  </si>
  <si>
    <t>Malik Ağa Çeşmesi (Mobil Ekip)</t>
  </si>
  <si>
    <t>40.990626, 28.612326</t>
  </si>
  <si>
    <t>Kocasinan Çeşmesi (Mobil Ekip)</t>
  </si>
  <si>
    <t>41.020219, 28.843142</t>
  </si>
  <si>
    <t>Zuhurat Baba Çeşmesi (Mobil Ekip)</t>
  </si>
  <si>
    <t>40.982895, 28.867011</t>
  </si>
  <si>
    <t>Şaban Ağa Çeşmesi (Mobil Ekip)</t>
  </si>
  <si>
    <t>40.978810, 28.875050</t>
  </si>
  <si>
    <t>Molla Hüseyin sokağı Çeşmesi (Mobil Ekip)</t>
  </si>
  <si>
    <t>41.011313, 28.822740</t>
  </si>
  <si>
    <t>Kağıthane Daye Hatun Camii (Mobil Ekip)</t>
  </si>
  <si>
    <t>41.082730, 28.975962</t>
  </si>
  <si>
    <t>Büyükçekmece Kanuni Sultan Süleyman Çeşmesi (Mobil Ekip)</t>
  </si>
  <si>
    <t>41.022670, 28.576133</t>
  </si>
  <si>
    <t>Fatih Süleyman Ağa Çeşmesi (Mobil Ekip)</t>
  </si>
  <si>
    <t>41.006064, 28.971616</t>
  </si>
  <si>
    <t>Büyükçekmece Meydan Çeşmesi (Mobil Ekip)</t>
  </si>
  <si>
    <t>41.020734, 28.578222</t>
  </si>
  <si>
    <t>Büyükçekmece II.Abdülhamid Çeşmesi (Mobil Ekip)</t>
  </si>
  <si>
    <t>41.023312, 28.577125</t>
  </si>
  <si>
    <t>Menderes Çeşmesi (Mobil Ekip)</t>
  </si>
  <si>
    <t>41.039498, 28.880934</t>
  </si>
  <si>
    <t>Nene Hatun Çeşmesi (Mobil Ekip)</t>
  </si>
  <si>
    <t>41.037857, 28.880786</t>
  </si>
  <si>
    <t>Yavuz Selim Çeşmesi (Mobil Ekip)</t>
  </si>
  <si>
    <t>41.034039, 28.894824</t>
  </si>
  <si>
    <t>Eşkinoz Çeşmesi / Çifte Çeşme (Mobil Ekip)</t>
  </si>
  <si>
    <t>40.981980, 28.738771</t>
  </si>
  <si>
    <t>Esenyurt Kazlı Çeşme (Mobil Ekip)</t>
  </si>
  <si>
    <t>41.036683, 28.647001</t>
  </si>
  <si>
    <t>Gaziosmanpaşa Mahmud Han Çeşmesi (Mobil Ekip)</t>
  </si>
  <si>
    <t>41.075250, 28.907183</t>
  </si>
  <si>
    <t>Ferhat Ağa Çeşmesi (Mobil Ekip)</t>
  </si>
  <si>
    <t>41.038175, 28.871383</t>
  </si>
  <si>
    <t>Genç Osman Çeşmesi (Mobil Ekip)</t>
  </si>
  <si>
    <t>41.026663, 28.874235</t>
  </si>
  <si>
    <t>İttifak Çeşmesi / Poligon Çeşmesi (Mobil Ekip)</t>
  </si>
  <si>
    <t>41.065797, 28.958718</t>
  </si>
  <si>
    <t>Kağıthane 3. Ahmet Çeşmesi (Mobil Ekip)</t>
  </si>
  <si>
    <t>41.070991, 28.964884</t>
  </si>
  <si>
    <t>Kasap Çeşmesi / Mezarlık Çeşmesi (Mobil Ekip)</t>
  </si>
  <si>
    <t>41.079237, 28.967804</t>
  </si>
  <si>
    <t>Duvar Çeşmesi (Mobil Ekip)</t>
  </si>
  <si>
    <t>41.079238, 28.968168</t>
  </si>
  <si>
    <t>Silahtar Yusuf Paşa Çeşmesi (Mobil Ekip)</t>
  </si>
  <si>
    <t>41.082735, 28.975963</t>
  </si>
  <si>
    <t>2. Abdulhamit Çeşmesi (Mobil Ekip)</t>
  </si>
  <si>
    <t>41.079145, 28.976154</t>
  </si>
  <si>
    <t>Hasan Paşa Çeşmesi / Bahriye Nazırı Çeşmesi (Mobil Ekip)</t>
  </si>
  <si>
    <t>41.011876, 29.111746</t>
  </si>
  <si>
    <t>Zeynep Hanım Çeşmesi (Mobil Ekip)</t>
  </si>
  <si>
    <t>40.916936, 29.223611</t>
  </si>
  <si>
    <t>Ferhat Şerbetci Çeşmesi (Mobil Ekip)</t>
  </si>
  <si>
    <t>40.917400, 29.225496</t>
  </si>
  <si>
    <t>Veli Dayı Sokak Çeşmesi (Mobil Ekip)</t>
  </si>
  <si>
    <t>40.919458, 29.225645</t>
  </si>
  <si>
    <t>Hacı İsmail Kahya Çeşmesi (Mobil Ekip)</t>
  </si>
  <si>
    <t>40.919452, 29.226175</t>
  </si>
  <si>
    <t>Acı Çeşme (Mobil Ekip)</t>
  </si>
  <si>
    <t>40.919077, 29.227897</t>
  </si>
  <si>
    <t>Vezir Çeşmesi (Mobil Ekip)</t>
  </si>
  <si>
    <t>40.918106, 29.228464</t>
  </si>
  <si>
    <t>Emirgan Çeşmesi (Mobil Ekip)</t>
  </si>
  <si>
    <t>41.104666, 29.056452</t>
  </si>
  <si>
    <t>Avni Baba Çeşmesi (Mobil Ekip)</t>
  </si>
  <si>
    <t>41.102796, 29.052731</t>
  </si>
  <si>
    <t>Ermeni Klisesi Çeşmesi (Mobil Ekip)</t>
  </si>
  <si>
    <t>41.102412, 29.050799</t>
  </si>
  <si>
    <t>2. Mahmut Çeşmesi (Mobil Ekip)</t>
  </si>
  <si>
    <t>41.102001, 29.053172</t>
  </si>
  <si>
    <t>2. Mahmut Duvar Çeşmesi (Mobil Ekip)</t>
  </si>
  <si>
    <t>41.101411, 29.054235</t>
  </si>
  <si>
    <t>Emirgan Mektebi Sokak Çeşmesi (Mobil Ekip)</t>
  </si>
  <si>
    <t>41.104480, 29.053968</t>
  </si>
  <si>
    <t>İmam Suyu Çeşmesi (Mobil Ekip)</t>
  </si>
  <si>
    <t>41.104944, 29.050507</t>
  </si>
  <si>
    <t>Boyacıköy Kilise Çeşmesi (Mobil Ekip)</t>
  </si>
  <si>
    <t>41.101640, 29.052527</t>
  </si>
  <si>
    <t>Emirgan Kanlıkavak Suyu Çeşmesi (Mobil Ekip)</t>
  </si>
  <si>
    <t>41.102617, 29.055531</t>
  </si>
  <si>
    <t>Boyacıköy Kanlıkavak Suyu Çeşmesi (Mobil Ekip)</t>
  </si>
  <si>
    <t>41.097187, 29.053454</t>
  </si>
  <si>
    <t>Sarıyer Necip Bey Çeşmesi (Mobil Ekip)</t>
  </si>
  <si>
    <t>41.091291, 29.055904</t>
  </si>
  <si>
    <t>Baltalimanı Kemik Hastanesi Çeşmesi (Mobil Ekip)</t>
  </si>
  <si>
    <t>41.095974, 29.053547</t>
  </si>
  <si>
    <t>Sarıyer Halk Çeşmesi (Mobil Ekip)</t>
  </si>
  <si>
    <t>41.104931, 29.055254</t>
  </si>
  <si>
    <t>Sarıyer II. Mahmut Han Çeşmesi</t>
  </si>
  <si>
    <t>41.102083, 29.053359</t>
  </si>
  <si>
    <t>Tarabya Rum Ortodoks Mezarlığı</t>
  </si>
  <si>
    <t>41.14335660052745, 29.03806332598356</t>
  </si>
  <si>
    <t>Nafi Baba Türbesi</t>
  </si>
  <si>
    <t>41.08536782481031, 29.048778624130932</t>
  </si>
  <si>
    <t>Rumeli Hisarı</t>
  </si>
  <si>
    <t>41.08717030982123, 29.050339026575493</t>
  </si>
  <si>
    <t>Anadolu Hisarı Şehitliği (Mobil Ekip)</t>
  </si>
  <si>
    <t>41.08232179927096, 29.066976798996073</t>
  </si>
  <si>
    <t>Aşık Paşa Camii Haziresi (Mobil Ekip)</t>
  </si>
  <si>
    <t>41.023945790428975, 28.956079525979103</t>
  </si>
  <si>
    <t>Boyacıköy Çeşmesi (Mobil Ekip)</t>
  </si>
  <si>
    <t>41.10145374532896, 29.050604937586634</t>
  </si>
  <si>
    <t>Çorlulu Ali Paşa Külliyesi (Mobil Ekip)</t>
  </si>
  <si>
    <t>41.00923919987701, 28.96831839714266</t>
  </si>
  <si>
    <t>Hacı Bayram Kaptan Çeşmesi (Mobil Ekip)</t>
  </si>
  <si>
    <t>41.11510009755678, 29.05772503762456</t>
  </si>
  <si>
    <t>Hacı Mustafa Efendi Çeşmesi (Mobil Ekip)</t>
  </si>
  <si>
    <t>41.190530940509525, 28.677520452970498</t>
  </si>
  <si>
    <t>Hatice Turhan Sultan Türbesi (Mobil Ekip)</t>
  </si>
  <si>
    <t>41.01650015955715, 28.971972525978963</t>
  </si>
  <si>
    <t>Keçeçi Fuad Paşa Camii (Mobil Ekip)</t>
  </si>
  <si>
    <t>41.00681109426099, 28.972697339471054</t>
  </si>
  <si>
    <t>Köprülü Mehmet Paşa Camii (Mobil Ekip)</t>
  </si>
  <si>
    <t>41.008506762826514, 28.971744525978536</t>
  </si>
  <si>
    <t>Mahmut Paşa Camii (Mobil Ekip)</t>
  </si>
  <si>
    <t>41.011220678680225, 28.971265083650223</t>
  </si>
  <si>
    <t>Mercan Camii (Mobil Ekip)</t>
  </si>
  <si>
    <t>41.01264067484137, 28.967567597142935</t>
  </si>
  <si>
    <t>Molla Fenari Camii (Mobil Ekip)</t>
  </si>
  <si>
    <t>41.00978237831743, 28.975292316799123</t>
  </si>
  <si>
    <t>Reşitpaşa Çeşmesi (Mobil Ekip)</t>
  </si>
  <si>
    <t>41.101469914684955, 29.05071222594458</t>
  </si>
  <si>
    <t>Sultan 2. Mahmut Türbesi Haziresi (Mobil Ekip)</t>
  </si>
  <si>
    <t>41.00895366912507, 28.97245995481433</t>
  </si>
  <si>
    <t>Sultan Ahmet Türbesi Haziresi (Mobil Ekip)</t>
  </si>
  <si>
    <t>41.007146982292795, 28.97710708179945</t>
  </si>
  <si>
    <t>Yerabatan Üskibi İbrahim Ağa Camii (Mobil Ekip)</t>
  </si>
  <si>
    <t>41.009216780142786, 28.977362210635423</t>
  </si>
  <si>
    <t>Haraçcı Kara Mehmet Camii Haziresi (Mobil Ekip)</t>
  </si>
  <si>
    <t>41.02364047948481, 28.960141712486582</t>
  </si>
  <si>
    <t>Şile İsmet Ay Mezarı</t>
  </si>
  <si>
    <t>41.17229384252692, 29.62665896831304</t>
  </si>
  <si>
    <t>Abdülhak Hamit Tarhan Mezarı</t>
  </si>
  <si>
    <t>41.07395880896532, 29.007831725980985</t>
  </si>
  <si>
    <t>Chf Çeşmesi</t>
  </si>
  <si>
    <t>41.049141, 28.978018</t>
  </si>
  <si>
    <t>Feriköy Surp Vartanans Kilisesi</t>
  </si>
  <si>
    <t>41.05392104207627, 28.98092152223063</t>
  </si>
  <si>
    <t>Seçkin Ziyaretçiler Rahmi Aksungur Heykeli</t>
  </si>
  <si>
    <t>41.044872737550016, 28.992586485232643</t>
  </si>
  <si>
    <t>Fatih Hamidiye Çeşmesi</t>
  </si>
  <si>
    <t>41.010506277778894, 28.978608286507374</t>
  </si>
  <si>
    <t>Feriköy Şapel</t>
  </si>
  <si>
    <t>41.05556572284745, 28.97967616837189</t>
  </si>
  <si>
    <t>John Freely Mezarı</t>
  </si>
  <si>
    <t>41.0541496530963, 28.983964054815942</t>
  </si>
  <si>
    <t>Maçka II. Abdülhamid Han Çeşmesi</t>
  </si>
  <si>
    <t>41.044942, 28.994105</t>
  </si>
  <si>
    <t>Ömer Seyfettin Mezarı</t>
  </si>
  <si>
    <t>41.07395880896532, 29.007810268309395</t>
  </si>
  <si>
    <t>Timur Selçuk Mezarı</t>
  </si>
  <si>
    <t>Halit Kıvanç Mezarı</t>
  </si>
  <si>
    <t>Kadıköy Abidin Dino Heykelleri</t>
  </si>
  <si>
    <t>40.97929213882509, 29.055177189644667</t>
  </si>
  <si>
    <t>Seyyid Eşrefzade Pir Muhammed Kabri (Mobil Ekip)</t>
  </si>
  <si>
    <t>41.0192386207192, 28.957407508785288</t>
  </si>
  <si>
    <t>Şeyh Ebül Vefa Camii (Mobil Ekip)</t>
  </si>
  <si>
    <t>41.01699461377491, 28.95974295475795</t>
  </si>
  <si>
    <t>Şeyh Süleyman Mescidi (Mobil Ekip)</t>
  </si>
  <si>
    <t>41.01939205658767, 28.955295625978966</t>
  </si>
  <si>
    <t>Şeyh Şemsettin Türbesi (Mobil Ekip)</t>
  </si>
  <si>
    <t>41.010133200561135, 28.971064698028123</t>
  </si>
  <si>
    <t>Zenbilli Ali Efendi Türbesi (Mobil Ekip)</t>
  </si>
  <si>
    <t>41.01901639406088, 28.957287139415143</t>
  </si>
  <si>
    <t>Tuzla Davutağa Çeşmesi</t>
  </si>
  <si>
    <t>40.816955604738354, 29.305098883643083</t>
  </si>
  <si>
    <t>Saadet Hanım Çeşmesi</t>
  </si>
  <si>
    <t>40.81607788413047, 29.303158383643023</t>
  </si>
  <si>
    <t>Sahil Çeşmesi (Mobil Ekip)</t>
  </si>
  <si>
    <t>40.81697390090386, 29.299327068299846</t>
  </si>
  <si>
    <t>Kısıklı Çeşmesi</t>
  </si>
  <si>
    <t>41.022279426725476, 29.064528912486512</t>
  </si>
  <si>
    <t>Sultantepe Mirzazade Mehmet Efendi Çeşmesi</t>
  </si>
  <si>
    <t>41.027645465424825, 29.02144104143224</t>
  </si>
  <si>
    <t>Üsküdar Hüseyin Avni Paşa Çeşmesi</t>
  </si>
  <si>
    <t>41.03210750866703, 29.022538254815245</t>
  </si>
  <si>
    <t>Fikret Mualla Mezarı</t>
  </si>
  <si>
    <t>41.00931388383497, 29.02642375481429</t>
  </si>
  <si>
    <t>Gizlice Evliya Türbesi - Haziresi</t>
  </si>
  <si>
    <t>41.02206912571255, 29.015660866401213</t>
  </si>
  <si>
    <t>Rufai Asithanesi</t>
  </si>
  <si>
    <t>41.03834020534439, 28.941776024129144</t>
  </si>
  <si>
    <t>Azra Erhat Mezarı</t>
  </si>
  <si>
    <t>41.025510792412625, 29.024772283650794</t>
  </si>
  <si>
    <t>Celal Muthar Özden Mezarı</t>
  </si>
  <si>
    <t>41.009142, 29.026370</t>
  </si>
  <si>
    <t>Çamlıca Kız Lisesi Heykelleri</t>
  </si>
  <si>
    <t>41.00804362866184, 29.049493354755544</t>
  </si>
  <si>
    <t>Recaizade Mahmut Ekrem Kabri</t>
  </si>
  <si>
    <t>41.07559029243328, 29.066403266458913</t>
  </si>
  <si>
    <t>Samipaşazade Sezai Mezarı</t>
  </si>
  <si>
    <t>41.075579468238374, 29.067000154816792</t>
  </si>
  <si>
    <t>Şair Nedim Mezarı</t>
  </si>
  <si>
    <t>41.00932197984537, 29.026391568306906</t>
  </si>
  <si>
    <t>Tifligül Hanım</t>
  </si>
  <si>
    <t>41.02447656033532, 29.01579403947179</t>
  </si>
  <si>
    <t>Üsküdar Atatürk Anıtı</t>
  </si>
  <si>
    <t>41.02554962205441, 29.009228368307475</t>
  </si>
  <si>
    <t>Üsküdar Ayazma Camii Çeşmesi</t>
  </si>
  <si>
    <t>41.02286050780983, 29.008865925979052</t>
  </si>
  <si>
    <t>Üsküdar Selimiye Camii Haziresi</t>
  </si>
  <si>
    <t>41.009814094573485, 29.016465452963892</t>
  </si>
  <si>
    <t>Zeynep Kamil Hastanesi Heykelleri</t>
  </si>
  <si>
    <t>41.01500544978953, 29.024979581799773</t>
  </si>
  <si>
    <t>Osman Zeki Üngör Mezarı</t>
  </si>
  <si>
    <t>41.01573345035333, 29.01904380704939</t>
  </si>
  <si>
    <t>3.Ahmet Çeşmesi</t>
  </si>
  <si>
    <t>41.0272704, 29.0158558</t>
  </si>
  <si>
    <t>Hazire(Şeyh Muhammed Cibavi Tekkesi Ve Haziresi)</t>
  </si>
  <si>
    <t>41.01840783539873, 29.017004736253398</t>
  </si>
  <si>
    <t>Kandilli Ahmet Rıza Bey Mezarı</t>
  </si>
  <si>
    <t>41.0667560,29.0605389</t>
  </si>
  <si>
    <t>Karacaahmet Hattatlar Sofası</t>
  </si>
  <si>
    <t>41.009289595797846, 29.026380839471113</t>
  </si>
  <si>
    <t>Karacaahmet Namazgahı</t>
  </si>
  <si>
    <t>Marko Paşa Mezarı (Kuzguncuk Rum Ortodoks Kabristanı)</t>
  </si>
  <si>
    <t>41.0354628,29.0321737</t>
  </si>
  <si>
    <t>Selamsız Baba Türbesi ( Şeyh Feyzullah Efendi Mezarı)</t>
  </si>
  <si>
    <t>41.0234161,29.0272374</t>
  </si>
  <si>
    <t>Acıbadem Nişantaşı</t>
  </si>
  <si>
    <t>41.0494637,28.9920183</t>
  </si>
  <si>
    <t>Hüseyin Avni Paşa Çeşmesi</t>
  </si>
  <si>
    <t>41.0319133,29.0225168</t>
  </si>
  <si>
    <t>Şemsipaşa Askeri Gazinosu</t>
  </si>
  <si>
    <t>41.0250018,29.0090806</t>
  </si>
  <si>
    <t>Köstendilli Ali Efendi Türbesi</t>
  </si>
  <si>
    <t>41.0246484,29.0238303</t>
  </si>
  <si>
    <t>Mütevelli Mustafa Çelebi Haziresi</t>
  </si>
  <si>
    <t>41.017771, 29.017841</t>
  </si>
  <si>
    <t>Hazire Rekonstrüksiyonu</t>
  </si>
  <si>
    <t>Tavaşi Hasan Ağa Haziresi</t>
  </si>
  <si>
    <t>41.017971, 29.017325</t>
  </si>
  <si>
    <t>Üsküdar Ahmet Ağa Çeşmesi (Mobil Ekip)</t>
  </si>
  <si>
    <t>41.01918032030993, 29.017389898710732</t>
  </si>
  <si>
    <t>Ayazma Camii Haziresi(Mobil Ekip)</t>
  </si>
  <si>
    <t>Hacı Hanım Çeşmesi (Mobil Ekip)</t>
  </si>
  <si>
    <t>41.0474872,29.0539284</t>
  </si>
  <si>
    <t>Abdulbaki Efendi Camii Haziresi (Mobil Ekip )</t>
  </si>
  <si>
    <t>41.02782720306348, 29.020294728835797</t>
  </si>
  <si>
    <t>Akseki Kemalettin Mescidi (Mobil Ekip )</t>
  </si>
  <si>
    <t>41.022253191700344, 28.941607337361063</t>
  </si>
  <si>
    <t>Akşemsettin Mezarlığı (Mobil Ekip )</t>
  </si>
  <si>
    <t>41.016641, 28.943119</t>
  </si>
  <si>
    <t>Altıparmak Ahmed Baba (Mobil Ekip )</t>
  </si>
  <si>
    <t>40.99446061755955, 28.92338631063487</t>
  </si>
  <si>
    <t>Amcazade Hüseyin Paşa Haziresi (Mobil Ekip )</t>
  </si>
  <si>
    <t>41.015417576770346, 28.952268939471445</t>
  </si>
  <si>
    <t>Ayşe Hatun Tekkesi Haziresi (Mobil Ekip)</t>
  </si>
  <si>
    <t>41.02589027597213, 28.934816400004422</t>
  </si>
  <si>
    <t>Ayşe Ve Ümmühan Hatun Çeşmesi (Mobil Ekip)</t>
  </si>
  <si>
    <t>41.02606895105731, 29.017309968927094</t>
  </si>
  <si>
    <t>Bakkalzade (Kocadede) Mescidi Haziresi (Mobil Ekip)</t>
  </si>
  <si>
    <t>41.0239764,28.9456556</t>
  </si>
  <si>
    <t>Bala Süleyman Ağa Camii (Mobil Ekip )</t>
  </si>
  <si>
    <t>41.0080430,28.9237640</t>
  </si>
  <si>
    <t>Balaban Baba Hazretleri Türbesi (Mobil Ekip )</t>
  </si>
  <si>
    <t>41.0252648,29.0139031</t>
  </si>
  <si>
    <t>Bayezid-İ Cedid Camii (Mobil Ekip )</t>
  </si>
  <si>
    <t>41.0031275,28.9410249</t>
  </si>
  <si>
    <t>Bayram Paşa Külliyesi (Mobil Ekip )</t>
  </si>
  <si>
    <t>41.00878578438474, 28.94285102071285</t>
  </si>
  <si>
    <t>Üsküdar Benlizade Ahmet Raşid Efendi Çeşmesi (Mobil Ekip)</t>
  </si>
  <si>
    <t>41.026431, 29.064674</t>
  </si>
  <si>
    <t>Beşikçizade Tekkesi (Mobil Ekip )</t>
  </si>
  <si>
    <t>41.007506599168494, 28.93798788735132</t>
  </si>
  <si>
    <t>Beyazıt Ağa Camii (Mobil Ekip)</t>
  </si>
  <si>
    <t>41.0205598,28.9277616</t>
  </si>
  <si>
    <t>Cebecibaşı Camii (Mobil Ekip)</t>
  </si>
  <si>
    <t>41.0272370,28.9491158</t>
  </si>
  <si>
    <t>Cenderecizade Muhittin Çelebi Türbesi (Mobil Ekip)</t>
  </si>
  <si>
    <t>41.0153470,28.9611731</t>
  </si>
  <si>
    <t>Çerağcı Tekkesi Haziresi (Mobil Ekip)</t>
  </si>
  <si>
    <t>41.02475573179831, 28.952052815536206</t>
  </si>
  <si>
    <t>Eski Hamam Çeşmesi (Mobil Ekip)</t>
  </si>
  <si>
    <t>41.0240399,29.0122110</t>
  </si>
  <si>
    <t>Gazi Ahmet Paşa Camii (Mobil Ekip)</t>
  </si>
  <si>
    <t>41.0210214,28.9292744</t>
  </si>
  <si>
    <t>Hace Hesna Hatun Camii (Mobil Ekip )</t>
  </si>
  <si>
    <t>41.0279174,29.0191425</t>
  </si>
  <si>
    <t>Hacı Hüseyin Ağa Camii (Mobil Ekip )</t>
  </si>
  <si>
    <t>40.99724631893879, 28.93103208179922</t>
  </si>
  <si>
    <t>Hacı Timur Kabri (Mobil Ekip )</t>
  </si>
  <si>
    <t>41.008985534588305, 28.934098689640336</t>
  </si>
  <si>
    <t>Has Odabaşı Behruz Ağa Camii (Mobil Ekip )</t>
  </si>
  <si>
    <t>41.0120206,28.9311694</t>
  </si>
  <si>
    <t>Haseki Hürremsultan Sıbyanmektebi (Mobil Ekip )</t>
  </si>
  <si>
    <t>41.0087558,28.9417101</t>
  </si>
  <si>
    <t>Haseki Sultan Camii (Mobil Ekip )</t>
  </si>
  <si>
    <t>41.0086340,28.9417320</t>
  </si>
  <si>
    <t>Fatih Hatice Sultan Çeşmesi (Mobil Ekip)</t>
  </si>
  <si>
    <t>41.0167777,28.9705310</t>
  </si>
  <si>
    <t>Hoca Üveys Camii (Mobil Ekip )</t>
  </si>
  <si>
    <t>41.0203120,28.9444208</t>
  </si>
  <si>
    <t>Hürrem Çavuş Camii Ve Külliyesi (Mobil Ekip)</t>
  </si>
  <si>
    <t>41.0219370,28.9365040</t>
  </si>
  <si>
    <t>Hüseyin Hıfzı Efendi Tekkesi (Mobil Ekip )</t>
  </si>
  <si>
    <t>41.04156263862004, 29.045426549212642</t>
  </si>
  <si>
    <t>Hüsrev Paşa Türbesi (Mobil Ekip )</t>
  </si>
  <si>
    <t>41.0185910,28.9426666</t>
  </si>
  <si>
    <t>Hz. Hasan Ve Hüseyin Kardeşler Türbesi (Mobil Ekip)</t>
  </si>
  <si>
    <t>41.03212281539087, 28.941746325979466</t>
  </si>
  <si>
    <t>İbrahim Çavuş Camii (Mobil Ekip )</t>
  </si>
  <si>
    <t>41.0131580,28.9293199</t>
  </si>
  <si>
    <t>İnadiye Baba Türbesi (Mobil Ekip )</t>
  </si>
  <si>
    <t>41.0142339,28.9304506</t>
  </si>
  <si>
    <t>İsmailağa Camii (Mobil Ekip)</t>
  </si>
  <si>
    <t>41.0268007,28.9478662</t>
  </si>
  <si>
    <t>İsmet Efendi Tekkesi (Mobil Ekip)</t>
  </si>
  <si>
    <t>41.0283333,28.9491667</t>
  </si>
  <si>
    <t>Kaba Halil Efendi Medresesi Haziresi (Mobil Ekip)</t>
  </si>
  <si>
    <t>41.02499038801176, 28.942636689643933</t>
  </si>
  <si>
    <t>Kadem-İ Şerif Tekkesi (Mobil Ekip )</t>
  </si>
  <si>
    <t>41.0031350,28.9413230</t>
  </si>
  <si>
    <t>Fatih Kara Mehmet Kethüda Çeşmesi (Mobil Ekip )</t>
  </si>
  <si>
    <t>41.01402111167303, 28.922181989640706</t>
  </si>
  <si>
    <t>Karabaş-I Veli Camii (Mobil Ekip)</t>
  </si>
  <si>
    <t>41.02320423493337, 28.936773468307468</t>
  </si>
  <si>
    <t>Kavaklı Dede Türbesi (Mobil Ekip )</t>
  </si>
  <si>
    <t>41.002986820366395, 28.923585971559763</t>
  </si>
  <si>
    <t>Kemal Paşa Camii Haziresi (Mobil Ekip)</t>
  </si>
  <si>
    <t>41.01012950593406, 28.956677425323367</t>
  </si>
  <si>
    <t>Koruk Mahmud Ağa Camii (Mobil Ekip )</t>
  </si>
  <si>
    <t>41.0112320,28.9317860</t>
  </si>
  <si>
    <t>Kuşadalı İbrahim Efendi Tekkesi (Mobil Ekip )</t>
  </si>
  <si>
    <t>41.00872177375682, 28.9481437683069</t>
  </si>
  <si>
    <t>Kuzguncuk İskele Çeşmesi (Mobil Ekip)</t>
  </si>
  <si>
    <t>41.0365075,29.0293156</t>
  </si>
  <si>
    <t>Kürkçübaşı Hacı Hüseyin Ağa Camii (Mobil Ekip )</t>
  </si>
  <si>
    <t>41.0077269,28.9443830</t>
  </si>
  <si>
    <t>Laleli Baba Makam Kabri (Mobil Ekip)</t>
  </si>
  <si>
    <t>41.0095950,28.9554248</t>
  </si>
  <si>
    <t>Lalezar Camii (Mobil Ekip )</t>
  </si>
  <si>
    <t>41.0082146,28.9273936</t>
  </si>
  <si>
    <t>Macuncu Kasım Camii (Mobil Ekip )</t>
  </si>
  <si>
    <t>41.0122347,28.9344763</t>
  </si>
  <si>
    <t>Malcı Mehmet Paşa Camii (Mobil Ekip )</t>
  </si>
  <si>
    <t>40.9988426,28.9262754</t>
  </si>
  <si>
    <t>Mehmet Ağa Camii (Mobil Ekip)</t>
  </si>
  <si>
    <t>41.0269160,28.9453410</t>
  </si>
  <si>
    <t>Mehmet Efendi Darulkurrası (Mobil Ekip)</t>
  </si>
  <si>
    <t>41.01594375247666, 28.919957631072776</t>
  </si>
  <si>
    <t>Meryem Kadın Çeşmesi (Mobil Ekip)</t>
  </si>
  <si>
    <t>41.02681161204063, 29.06532762071771</t>
  </si>
  <si>
    <t>Molla Şeref Camii (Mobil Ekip )</t>
  </si>
  <si>
    <t>41.0143100,28.9432462</t>
  </si>
  <si>
    <t>Muhammed Bedrettin Türbesi (Mobil Ekip)</t>
  </si>
  <si>
    <t>41.0219440,28.9373879</t>
  </si>
  <si>
    <t>Muhtesip İskender Camii (Mobil Ekip )</t>
  </si>
  <si>
    <t>41.0229243880714, 28.93983552071603</t>
  </si>
  <si>
    <t>Nazperver Kalfa Sıbyan Mektebi (Mobil Ekip )</t>
  </si>
  <si>
    <t>41.0049007,28.9451021</t>
  </si>
  <si>
    <t>Karakoyun Dede Kabri (Mobil Ekip)</t>
  </si>
  <si>
    <t>41.090114, 29.055966</t>
  </si>
  <si>
    <t>Sarıyer Şeyh İsmail Efendi Tekke Haziresi (Mobil Ekip)</t>
  </si>
  <si>
    <t>41.117520, 29.063446</t>
  </si>
  <si>
    <t>Hacı Salih Paşa Çeşmesi (Mobil Ekip)</t>
  </si>
  <si>
    <t>41.169391, 29.056957</t>
  </si>
  <si>
    <t>Mihrişah Valide Sultan Çeşmesi (Yeniköy) (Mobil Ekip)</t>
  </si>
  <si>
    <t>41.117460, 29.065069</t>
  </si>
  <si>
    <t>Rumeli Kavağı Ruznameci İbrahim Ağa Çeşmesi (Mobil Ekip)</t>
  </si>
  <si>
    <t>41.182536, 29.074328</t>
  </si>
  <si>
    <t>Sarıyer Çeşme ( Ayazma Depo Çeşmesi) (Mobil Ekip)</t>
  </si>
  <si>
    <t>41.170792, 29.053849</t>
  </si>
  <si>
    <t>Yeniköy Aya Yorgi Kilise Mezarlığı (Mobil Ekip)</t>
  </si>
  <si>
    <t>41.121971, 29.069429</t>
  </si>
  <si>
    <t>Yeniköy Plaj Parkı Atatürk Büstü (Mobil Ekip)</t>
  </si>
  <si>
    <t>41.117341, 29.064738</t>
  </si>
  <si>
    <t>Metin Sabancı Baltalimanı Kemik Hast. Havuzu (Mobil Ekip)</t>
  </si>
  <si>
    <t>41.095615, 29.053880</t>
  </si>
  <si>
    <t>Ahmed Kamil Efendi Çeşmesi (Mobil Ekip)</t>
  </si>
  <si>
    <t>41.168957, 29.058376</t>
  </si>
  <si>
    <t>Tarabya Soğuk Suyu Çeşmesi (Mobil Ekip)</t>
  </si>
  <si>
    <t>41.137821, 29.053420</t>
  </si>
  <si>
    <t>1. Abdülhamit Han Çeşmesi (Mobil Ekip)</t>
  </si>
  <si>
    <t>41.114215, 29.051554</t>
  </si>
  <si>
    <t>Ahmet Şemsettin Efendi Çeşmesi (Mobil Ekip)</t>
  </si>
  <si>
    <t>41.114442, 29.054055</t>
  </si>
  <si>
    <t>İstinye İskelesi Çeşmesi (Mobil Ekip)</t>
  </si>
  <si>
    <t>41.113439, 29.061383</t>
  </si>
  <si>
    <t>Surp Asdvadzadzin Ermeni Kilisesi (Mobil Ekip)</t>
  </si>
  <si>
    <t>41.117069, 29.062094</t>
  </si>
  <si>
    <t>Kum Suyu Çeşmesi (Mobil Ekip)</t>
  </si>
  <si>
    <t>41.122317, 29.069136</t>
  </si>
  <si>
    <t>Sarıyer Hamidiye Çeşmesi/Ali Baba Çeşmesi (Mobil Ekip)</t>
  </si>
  <si>
    <t>41.161468, 29.045489</t>
  </si>
  <si>
    <t>Sarıyer Bezm-i Alem Valide Sultan Çeşmesi (Mobil Ekip)</t>
  </si>
  <si>
    <t>41.137365, 29.052939</t>
  </si>
  <si>
    <t>Halil Çaglayan Çeşmesi (Mobil Ekip)</t>
  </si>
  <si>
    <t>41.151148, 29.042211</t>
  </si>
  <si>
    <t>Cezayirli Gazi Hasan Paşa Camii (Mobil Ekip)</t>
  </si>
  <si>
    <t>41.157433, 29.036038</t>
  </si>
  <si>
    <t>Damatzade Mehmet Murat Efendi (Mobil Ekip)</t>
  </si>
  <si>
    <t>41.160570, 29.043026</t>
  </si>
  <si>
    <t>Sarıyer Kara Mehmet Kethüda Çeşmesi (Mobil Ekip)</t>
  </si>
  <si>
    <t>41.160526, 29.042985</t>
  </si>
  <si>
    <t>Sarıyer Ali Bey Çeşmesi (Mobil Ekip)</t>
  </si>
  <si>
    <t>41.163117, 29.044259</t>
  </si>
  <si>
    <t>Minibüsçüler Çeşmesi (Mobil Ekip)</t>
  </si>
  <si>
    <t>41.167440, 29.057018</t>
  </si>
  <si>
    <t>Aralık Suyu Çeşmesi (Mobil Ekip)</t>
  </si>
  <si>
    <t>41.167436, 29.056989</t>
  </si>
  <si>
    <t>Ayazma Çeşmesi / Horoz Çeşmesi (Mobil Ekip)</t>
  </si>
  <si>
    <t>41.169139, 29.055300</t>
  </si>
  <si>
    <t>Sarıyer Salih Paşa Çeşmesi (Mobil Ekip)</t>
  </si>
  <si>
    <t>41.169373, 29.056907</t>
  </si>
  <si>
    <t>Sarıyer Çukur Çeşme (Mobil Ekip)</t>
  </si>
  <si>
    <t>41.170288, 29.057500</t>
  </si>
  <si>
    <t>Abbas Okumuşoğlu Çeşmesi (Mobil Ekip)</t>
  </si>
  <si>
    <t>41.169278, 29.057667</t>
  </si>
  <si>
    <t>Tekke Çeşmesi / Sarı Baba Çeşmesi (Mobil Ekip)</t>
  </si>
  <si>
    <t>41.169571, 29.058117</t>
  </si>
  <si>
    <t>Sarıyer Cezayirli Gazi Hasan Paşa Çeşmesi (Mobil Ekip)</t>
  </si>
  <si>
    <t>41.170788, 29.060647</t>
  </si>
  <si>
    <t>Rakım Paşa Çeşmesi (Mobil Ekip)</t>
  </si>
  <si>
    <t>41.088457, 29.056574</t>
  </si>
  <si>
    <t>Arpacı Çeşme / İbrahim Efendi Çeşmesi (Mobil Ekip)</t>
  </si>
  <si>
    <t>41.088730, 29.055442</t>
  </si>
  <si>
    <t>Sarıyer İbrahim Paşa Çeşmesi (Mobil Ekip)</t>
  </si>
  <si>
    <t>41.084795, 29.056717</t>
  </si>
  <si>
    <t>Rumeli Hisarı Çeşmesi (Mobil Ekip)</t>
  </si>
  <si>
    <t>41.090134, 29.055672</t>
  </si>
  <si>
    <t>İkizli Çeşme (Mobil Ekip)</t>
  </si>
  <si>
    <t>41.054132, 28.368684</t>
  </si>
  <si>
    <t>Havuzlu Çeşme (Mobil Ekip)</t>
  </si>
  <si>
    <t>41.054020, 28.368633</t>
  </si>
  <si>
    <t>Yukarı Çeşme (Mobil Ekip)</t>
  </si>
  <si>
    <t>41.053204, 28.365413</t>
  </si>
  <si>
    <t>Piri Mehmet Paşa Camii Haziresi (Mobil Ekip)</t>
  </si>
  <si>
    <t>41.073944, 28.246941</t>
  </si>
  <si>
    <t>Piri Mehmet Paşa Çeşmesi (Mobil Ekip)</t>
  </si>
  <si>
    <t>41.072978, 28.245584</t>
  </si>
  <si>
    <t>Silivri Hacı İsmail Ağa Çeşmesi (Mobil Ekip)</t>
  </si>
  <si>
    <t>41.073447, 28.244391</t>
  </si>
  <si>
    <t>Cumhuriyet Halk Fırkası Çeşmesi (Mobil Ekip)</t>
  </si>
  <si>
    <t>41.053712, 28.976147</t>
  </si>
  <si>
    <t>Şah Çeşmesi (Mobil Ekip)</t>
  </si>
  <si>
    <t>41.063722, 29.002526</t>
  </si>
  <si>
    <t>Şişli Hamidiye Çeşmesi (Mobil Ekip)</t>
  </si>
  <si>
    <t>41.069961, 29.009915</t>
  </si>
  <si>
    <t>Sinan Paşa Çeşmesi (Mobil Ekip)</t>
  </si>
  <si>
    <t>41.045984, 28.989867</t>
  </si>
  <si>
    <t>Said Bey Çeşmesi (Mobil Ekip)</t>
  </si>
  <si>
    <t>41.049211, 28.994857</t>
  </si>
  <si>
    <t>Teşvikiye Camii Çeşmesi (Mobil Ekip)</t>
  </si>
  <si>
    <t>41.049458, 28.994425</t>
  </si>
  <si>
    <t>2. Abdülhamit Han Çeşmesi (Mobil Ekip)</t>
  </si>
  <si>
    <t>41.045237, 28.993850</t>
  </si>
  <si>
    <t>1. Mahmud Han Çeşmesi (Mobil Ekip)</t>
  </si>
  <si>
    <t>41.043812, 28.995574</t>
  </si>
  <si>
    <t>Adile Sultan Çeşmesi (Mobil Ekip)</t>
  </si>
  <si>
    <t>41.024698, 29.086457</t>
  </si>
  <si>
    <t>Zeytinburnu Bezm-i Alem Valide Sultan Çeşmesi (Mobil Ekip)</t>
  </si>
  <si>
    <t>41.013105, 28.913582</t>
  </si>
  <si>
    <t>Derviş Paşa Çeşmesi (Mobil Ekip)</t>
  </si>
  <si>
    <t>41.022677, 28.921314</t>
  </si>
  <si>
    <t>Merkez Efendi Camii Çeşmesi (Mobil Ekip)</t>
  </si>
  <si>
    <t>41.0161247110126, 28.9202202220203</t>
  </si>
  <si>
    <t>Merkez Efendi Türbe Çeşmesi (Mobil Ekip)</t>
  </si>
  <si>
    <t>41.01579986508428, 28.919962710306347</t>
  </si>
  <si>
    <t>Seyitnizam Çeşmesi (Mobil Ekip)</t>
  </si>
  <si>
    <t>41.004627, 28.912266</t>
  </si>
  <si>
    <t>Çörekçi Çeşmesi (Mobil Ekip)</t>
  </si>
  <si>
    <t>41.002149, 28.895999</t>
  </si>
  <si>
    <t>Kazlı Çeşme (Mobil Ekip)</t>
  </si>
  <si>
    <t>40.988482, 28.908774</t>
  </si>
  <si>
    <t>Zeytinburnu Mahpeyker Valide Sultan Çeşmesi (Mobil Ekip)</t>
  </si>
  <si>
    <t>41.021012, 28.901438</t>
  </si>
  <si>
    <t>Nuri Demirağ Çeşmesi (Mobil Ekip)</t>
  </si>
  <si>
    <t>41.029223, 29.035747</t>
  </si>
  <si>
    <t>Osman Çelebi (Nalçızade) Sıbyan Mektebi Haziresi (Mobil Ekip )</t>
  </si>
  <si>
    <t>40.999018330519800, 28.92567845985522</t>
  </si>
  <si>
    <t>Ramazan Efendi Camii (Mobil Ekip )</t>
  </si>
  <si>
    <t>41.0048956,28.9315097</t>
  </si>
  <si>
    <t>Rum Ortodoks Aya Yorgi Kilisesi Çeşmesi (Mobil Ekip)</t>
  </si>
  <si>
    <t>40.8487989,29.1189894</t>
  </si>
  <si>
    <t>Kazancıbaşı Saadettin Efendi Türbesi Ve Haziresi (Mobil Ekip )</t>
  </si>
  <si>
    <t>41.01061291616884, 28.946456384035713</t>
  </si>
  <si>
    <t>Saçlı Kasım Dede Türbesi (Mobil Ekip )</t>
  </si>
  <si>
    <t>41.0002737,28.9234073</t>
  </si>
  <si>
    <t>Sadrazam Kaptanı Derya Basmacızade İbrahim Paşa Camii (Mobil Ekip)</t>
  </si>
  <si>
    <t>41.0127248,28.9623116</t>
  </si>
  <si>
    <t>Sancaktar Hayrettin Camii (Mobil Ekip )</t>
  </si>
  <si>
    <t>41.0028150,28.9346011</t>
  </si>
  <si>
    <t>Sarmaşık Tekkesi Haziresi (Mobil Ekip)</t>
  </si>
  <si>
    <t>41.02691078430328, 28.93532902071479</t>
  </si>
  <si>
    <t>Sertarikzade Tekkesi Haziresi (Mobil Ekip)</t>
  </si>
  <si>
    <t>41.0391623,28.9320721</t>
  </si>
  <si>
    <t>Seyfullah Efendi Türbesi Ve Haziresi (Mobil Ekip )</t>
  </si>
  <si>
    <t>41.00706402621938, 28.927006010357786</t>
  </si>
  <si>
    <t>Seyyid Ömer Camii (Mobil Ekip )</t>
  </si>
  <si>
    <t>41.0098205,28.9318939</t>
  </si>
  <si>
    <t>Süleymaniye Camii Haziresi (Mobil Ekip)</t>
  </si>
  <si>
    <t>41.0160470,28.9639711</t>
  </si>
  <si>
    <t>Şeyh Hüsamettin Camii (Mobil Ekip )</t>
  </si>
  <si>
    <t>41.0108865,28.9299517</t>
  </si>
  <si>
    <t>Şeyh İsmail Aşki Efendi Kabri (Mobil Ekip)</t>
  </si>
  <si>
    <t>41.02801019164136, 28.93735473846209</t>
  </si>
  <si>
    <t>Şeyh Kemikli Türbesi (Mobil Ekip )</t>
  </si>
  <si>
    <t>40.85972415080539, 29.27473380517796</t>
  </si>
  <si>
    <t>Yayalar Caddesi Çeşmesi (Mobil Ekip)</t>
  </si>
  <si>
    <t>40.903351, 29.267749</t>
  </si>
  <si>
    <t>Tarsusi Mehmet Efendi Mescidi (Mobil Ekip )</t>
  </si>
  <si>
    <t>41.0120255,28.9226208</t>
  </si>
  <si>
    <t>Toygar Hamza Camii Çeşmesi (Mobil Ekip)</t>
  </si>
  <si>
    <t>41.023641, 29.020400</t>
  </si>
  <si>
    <t>Tuti Abdüllatif Mescidi (Mobil Ekip )</t>
  </si>
  <si>
    <t>41.0207075,28.9393966</t>
  </si>
  <si>
    <t>Üçbaş Nureddin Hamza Camii (Mobil Ekip)</t>
  </si>
  <si>
    <t>41.0250330,28.9430269</t>
  </si>
  <si>
    <t>Zehkiri Kemal Camii (Mobil Ekip )</t>
  </si>
  <si>
    <t>41.009404780790504, 28.929409999998654</t>
  </si>
  <si>
    <t>Zihni Paşa Camii Haziresi (Mobil Ekip )</t>
  </si>
  <si>
    <t>40.9718919,29.0769973</t>
  </si>
  <si>
    <t>Derya-İ Ali Baba Türbesi</t>
  </si>
  <si>
    <t>40.9909550,28.9157371</t>
  </si>
  <si>
    <t>Zeytinburnu Veli Efendi Çeşmesi</t>
  </si>
  <si>
    <t>40.9963923,28.8989992</t>
  </si>
  <si>
    <t>Cellat Mezarı</t>
  </si>
  <si>
    <t>41.055914, 28.933653</t>
  </si>
  <si>
    <t>Zeytinburnu Mezar (Seyid Nizam Çeşmesi Yanı Mezar Yeri)</t>
  </si>
  <si>
    <t>40.9906350,28.8961400</t>
  </si>
  <si>
    <t>Ahmet Çelebi Camii (Mobil Ekip )</t>
  </si>
  <si>
    <t>41.021620, 29.013459</t>
  </si>
  <si>
    <t>Hacı Bayram Can Çeşmesi (Mobil Ekip)</t>
  </si>
  <si>
    <t>41.005839888561326, 28.91962302589465</t>
  </si>
  <si>
    <t>Hacı Selimağa Kütüphanesi Hazire (Mobil Ekip )</t>
  </si>
  <si>
    <t>41.02500861782428, 29.017021681800095</t>
  </si>
  <si>
    <t>Halil Paşa-Mahmut Bey Türbesi Haziresi (Mobil Ekip )</t>
  </si>
  <si>
    <t>41.02200344804148, 29.01515239523716</t>
  </si>
  <si>
    <t>Hayrettin Çavuş Mezarı (Mobil Ekip )</t>
  </si>
  <si>
    <t>41.01952950648601, 29.01820541553596</t>
  </si>
  <si>
    <t>İskender Baba Mezarlığı (Mobil Ekip )</t>
  </si>
  <si>
    <t>41.01913872815857, 29.016987476062564</t>
  </si>
  <si>
    <t>İskender Baba Tekkesi (Mobil Ekip )</t>
  </si>
  <si>
    <t>Kapı Ağası Yakup Ağa Sıbyan Mektebi Haziresi (Mobil Ekip )</t>
  </si>
  <si>
    <t>41.016904770684505, 29.024266999999497</t>
  </si>
  <si>
    <t>Kaptanpaşa Camii Hazire(Mobil Ekip )</t>
  </si>
  <si>
    <t>41.022683, 29.012545</t>
  </si>
  <si>
    <t>Karakadı Alaaddin Camii Haziresi (Mobil Ekip )</t>
  </si>
  <si>
    <t>41.0240751,29.018408441.024146, 29.018390</t>
  </si>
  <si>
    <t>41.0240751,29.0184084</t>
  </si>
  <si>
    <t>Pazar Başı Camii (Mobil Ekip )</t>
  </si>
  <si>
    <t>41.017650, 29.028992</t>
  </si>
  <si>
    <t>Üsküdar Mihrimah Sultan Cami (Mobil Ekip )</t>
  </si>
  <si>
    <t>41.026747, 29.016040</t>
  </si>
  <si>
    <t>Aziz Mahmud Hüdai Cami Haziresi (Mobil Ekip )</t>
  </si>
  <si>
    <t>41.022179, 29.014424</t>
  </si>
  <si>
    <t>Selimiye Hamam Çeşmesi (Mobil Ekip )</t>
  </si>
  <si>
    <t>41.010677, 29.016762</t>
  </si>
  <si>
    <t>Daye Kadın Çeşmesi (Mobil Ekip )</t>
  </si>
  <si>
    <t>41.011797, 29.015571</t>
  </si>
  <si>
    <t>Üsküdar 3.Selim Çeşmesi (Mobil Ekip )</t>
  </si>
  <si>
    <t>41.013306, 29.017158</t>
  </si>
  <si>
    <t>İhsaniye Cami Çeşmesi (Mobil Ekip )</t>
  </si>
  <si>
    <t>41.015731, 29.013466</t>
  </si>
  <si>
    <t>Hibetullah Valide Hanım Çeşmesi (Mobil Ekip )</t>
  </si>
  <si>
    <t>41.013446, 29.014443</t>
  </si>
  <si>
    <t>İhsaniye Çeşmesi (Mobil Ekip )</t>
  </si>
  <si>
    <t>41.015272, 29.013165</t>
  </si>
  <si>
    <t>Ahmet Şakir Efendi Çeşmesi (Mobil Ekip )</t>
  </si>
  <si>
    <t>41.015936, 29.012782</t>
  </si>
  <si>
    <t>Üsküdar Hatice Sultan Çeşmesi (Mobil Ekip)</t>
  </si>
  <si>
    <t>41.014019, 29.012488</t>
  </si>
  <si>
    <t>Gazenfer Ağa Çeşmesi (Mobil Ekip )</t>
  </si>
  <si>
    <t>41.015021, 29.011628</t>
  </si>
  <si>
    <t>Sadrazam Hasan Paşa Çeşmesi (Mobil Ekip )</t>
  </si>
  <si>
    <t>41.017973, 29.013443</t>
  </si>
  <si>
    <t>Silahşör Şakir Bey Çeşmesi (Mobil Ekip )</t>
  </si>
  <si>
    <t>41.018513, 29.012477</t>
  </si>
  <si>
    <t>Çakırcı Hasan Paşa Cami Çeşmesi (Mobil Ekip )</t>
  </si>
  <si>
    <t>41.022243, 29.010648</t>
  </si>
  <si>
    <t>İmrahor Cami Çeşmesi (Mobil Ekip )</t>
  </si>
  <si>
    <t>41.020997, 29.010208</t>
  </si>
  <si>
    <t>Üsküdar Ayşe Sultan Çeşmesi (Mobil Ekip )</t>
  </si>
  <si>
    <t>41.021626, 29.010425</t>
  </si>
  <si>
    <t>T.Sİlahtar Mustafa Ağa Çeşmesi (Mobil Ekip )</t>
  </si>
  <si>
    <t>41.021672, 29.009572</t>
  </si>
  <si>
    <t>Ümmü Gülsüm Çeşmesi (Mobil Ekip )</t>
  </si>
  <si>
    <t>41.024193, 29.010643</t>
  </si>
  <si>
    <t>Üsküdar İsmail Ağa Çeşmesi (Mobil Ekip )</t>
  </si>
  <si>
    <t>41.024166, 29.010822</t>
  </si>
  <si>
    <t>Damat İbrahim Paaşa Çeşmesi (Mobil Ekip )</t>
  </si>
  <si>
    <t>41.024461, 29.012425</t>
  </si>
  <si>
    <t>Balaban Baba Türbesi Çeşmesi (Mobil Ekip )</t>
  </si>
  <si>
    <t>41.025320, 29.013749</t>
  </si>
  <si>
    <t>Sineperver Hatun Çeşmesi (Mobil Ekip )</t>
  </si>
  <si>
    <t>41.025172, 29.014381</t>
  </si>
  <si>
    <t>Valide Gülnüş Emetullah Hatun Çeşmesi (Mobil Ekip )</t>
  </si>
  <si>
    <t>41.024606, 29.014684</t>
  </si>
  <si>
    <t>Valide-i Cedid Cami Çeşmesi (Mobil Ekip )</t>
  </si>
  <si>
    <t>41.025153, 29.014481</t>
  </si>
  <si>
    <t>Mihrimah Sultan Çeşmesi (Mobil Ekip )</t>
  </si>
  <si>
    <t>41.026759, 29.015959</t>
  </si>
  <si>
    <t>Arslan Ağa Çeşmesi (Mobil Ekip )</t>
  </si>
  <si>
    <t>41.026885, 29.017752</t>
  </si>
  <si>
    <t>Üsküdar Mehmet Sait Efendi Çeşmesi (Mobil Ekip )</t>
  </si>
  <si>
    <t>41.027824, 29.020776</t>
  </si>
  <si>
    <t>Hafız İsa Ağa Çeşmesi (Mobil Ekip )</t>
  </si>
  <si>
    <t>41.005531, 29.025743</t>
  </si>
  <si>
    <t>Şerif Ender Kitapçı Cami Çeşmesi (Mobil Ekip )</t>
  </si>
  <si>
    <t>41.013214, 29.024414</t>
  </si>
  <si>
    <t>Üsküdar Mihrişah Valide Sultan Çeşmesi (Mobil Ekip )</t>
  </si>
  <si>
    <t>41.014071, 29.020298</t>
  </si>
  <si>
    <t>İbrikdar Hüseyin Ağa Namazgahı (Mobil Ekip )</t>
  </si>
  <si>
    <t>41.014097, 29.020288</t>
  </si>
  <si>
    <t>Abbas Ağa Çeşmesi(Mobil Ekip )</t>
  </si>
  <si>
    <t>41.015681, 29.021604</t>
  </si>
  <si>
    <t>İnadiye Mezarlık Çeşmesi (Mobil Ekip )</t>
  </si>
  <si>
    <t>41.016321, 29.019223</t>
  </si>
  <si>
    <t>Saadettin Efendi Türbesi ve Haziresi (Mobil Ekip )</t>
  </si>
  <si>
    <t>41.013190, 29.020266</t>
  </si>
  <si>
    <t>Saadettin Efendi Sebili ve Çeşmesi (Mobil Ekip )</t>
  </si>
  <si>
    <t>İbnülemin Ahmet Ağa Çeşmesi (Mobil Ekip )</t>
  </si>
  <si>
    <t>41.018027, 29.017386</t>
  </si>
  <si>
    <t>Nevşehirli Damat İbrahim Paşa Çeşmesi (Mobil Ekip )</t>
  </si>
  <si>
    <t>41.018791, 29.017172</t>
  </si>
  <si>
    <t>Üsküdar Ahmediye Cami Çeşmesi (Mobil Ekip )</t>
  </si>
  <si>
    <t>41.020243, 29.016749</t>
  </si>
  <si>
    <t>Şehzade Numan Çeşmesi (Mobil Ekip )</t>
  </si>
  <si>
    <t>41.019722, 29.018402</t>
  </si>
  <si>
    <t>Üsküdar Mehmet Ağa Çeşmesi (Mobil Ekip )</t>
  </si>
  <si>
    <t>41.017417, 29.021117</t>
  </si>
  <si>
    <t>Halil Paşa-Mahmut Bey Türbesi Çeşmesi (Mobil Ekip )</t>
  </si>
  <si>
    <t>41.021645, 29.015432</t>
  </si>
  <si>
    <t>Şehzade Mustafa Çeşmesi(Mobil Ekip )</t>
  </si>
  <si>
    <t>41.023425, 29.014329</t>
  </si>
  <si>
    <t>Şehzade Seyfettin Çeşmesi (Mobil Ekip )</t>
  </si>
  <si>
    <t>41.023101, 29.012615</t>
  </si>
  <si>
    <t>Kaptan Mustafa Paşa Çeşmesi (Mobil Ekip )</t>
  </si>
  <si>
    <t>41.022691, 29.012212</t>
  </si>
  <si>
    <t>Seyfettin Şehzade Çeşmesi (Mobil Ekip )</t>
  </si>
  <si>
    <t>41.021166, 29.018432</t>
  </si>
  <si>
    <t>Katip Mustafa Çeşmesi (Mobil Ekip )</t>
  </si>
  <si>
    <t>41.019821, 29.020845</t>
  </si>
  <si>
    <t>Genç Mehmet Paşa Çeşmesi (Mobil Ekip )</t>
  </si>
  <si>
    <t>41.019962, 29.018800</t>
  </si>
  <si>
    <t>Ümmü Gülsüm Hanım Çeşmesi (Mobil Ekip )</t>
  </si>
  <si>
    <t>41.020312, 29.023046</t>
  </si>
  <si>
    <t>Kassam Çeşmesi (Mobil Ekip )</t>
  </si>
  <si>
    <t>41.023281, 29.018013</t>
  </si>
  <si>
    <t>Üsküdar Mihrişah Kadın Çeşmesi (Mobil Ekip )</t>
  </si>
  <si>
    <t>41.021169, 29.018494</t>
  </si>
  <si>
    <t>Mermer Çeşme (Mobil Ekip )</t>
  </si>
  <si>
    <t>41.029642, 29.033455</t>
  </si>
  <si>
    <t>Çerkes Hacı Mehmet Efendi Çeşmesi (Mobil Ekip )</t>
  </si>
  <si>
    <t>41.027167, 29.034635</t>
  </si>
  <si>
    <t>II.Mahmud Çeşmesi (Mobil Ekip )</t>
  </si>
  <si>
    <t>41.027144, 29.032833</t>
  </si>
  <si>
    <t>Surp Garabet Ermeni Kilisesi Çeşmesi (Mobil Ekip )</t>
  </si>
  <si>
    <t>41.020939, 29.030945</t>
  </si>
  <si>
    <t>Üsküdar Mahpeyker Valide Sultan Çeşmesi (Mobil Ekip )</t>
  </si>
  <si>
    <t>41.020099, 29.028656</t>
  </si>
  <si>
    <t>Hacı Halil Efendi Çeşmesi (Mobil Ekip )</t>
  </si>
  <si>
    <t>41.017936, 29.026745</t>
  </si>
  <si>
    <t>Yakup Ağa Çeşmesi (Mobil Ekip )</t>
  </si>
  <si>
    <t>41.016986, 29.024366</t>
  </si>
  <si>
    <t>Atik Valide Cami Çeşmeleri (Mobil Ekip )</t>
  </si>
  <si>
    <t>41.018313, 29.023980</t>
  </si>
  <si>
    <t>Miroğlu Sokak Çeşmesi(Mobil Ekip )</t>
  </si>
  <si>
    <t>41.019890, 29.030703</t>
  </si>
  <si>
    <t>Kasım Ağa Çeşmesi (Mobil Ekip )</t>
  </si>
  <si>
    <t>41.017832, 29.025500</t>
  </si>
  <si>
    <t>Fenai Ali Efendi Cami Çeşmesi (Mobil Ekip )</t>
  </si>
  <si>
    <t>41.017828, 29.028243</t>
  </si>
  <si>
    <t>Hacı Ahmet Paşa Çeşmesi (Mobil Ekip )</t>
  </si>
  <si>
    <t>41.017582, 29.028038</t>
  </si>
  <si>
    <t>Abdulfettah Akri Türbesi Çeşmesi (Mobil Ekip )</t>
  </si>
  <si>
    <t>41.015874, 29.028744</t>
  </si>
  <si>
    <t>Yeserizade Çeşmesi (Mobil Ekip )</t>
  </si>
  <si>
    <t>41.020118, 29.035029</t>
  </si>
  <si>
    <t>Altunizade Cami Çeşmesi (Mobil Ekip )</t>
  </si>
  <si>
    <t>41.020830, 29.044663</t>
  </si>
  <si>
    <t>Şeyh Selami Çeşmesi (Mobil Ekip )</t>
  </si>
  <si>
    <t>41.023240, 29.023432</t>
  </si>
  <si>
    <t>Üsküdar Halil Efendi Çeşmesi (Mobil Ekip )</t>
  </si>
  <si>
    <t>41.022575, 29.020299</t>
  </si>
  <si>
    <t>Solak Sinan Çeşmesi (Mobil Ekip )</t>
  </si>
  <si>
    <t>41.023805, 29.022203</t>
  </si>
  <si>
    <t>Şehzade Süleyman Çeşmesi (Mobil Ekip )</t>
  </si>
  <si>
    <t>41.023935, 29.018827</t>
  </si>
  <si>
    <t>Üsküdar Valide Kethüdası Çeşmesi (Mobil Ekip )</t>
  </si>
  <si>
    <t>41.025906, 29.022749</t>
  </si>
  <si>
    <t>Şeyh Devati Cami Çeşmesi (Mobil Ekip )</t>
  </si>
  <si>
    <t>41.025447, 29.018004</t>
  </si>
  <si>
    <t>Hacı Selim Ağa Çeşmesi (Mobil Ekip )</t>
  </si>
  <si>
    <t>41.024021, 29.018752</t>
  </si>
  <si>
    <t>Selman Ağa Cami Çeşmesi (Mobil Ekip )</t>
  </si>
  <si>
    <t>41.025542, 29.015933</t>
  </si>
  <si>
    <t>Hamid-i Evvel Cami Çeşmesi (Mobil Ekip )</t>
  </si>
  <si>
    <t>41.044893, 29.046173</t>
  </si>
  <si>
    <t>II.Mahmut Meydan Çeşmesi (Mobil Ekip )</t>
  </si>
  <si>
    <t>41.045135, 29.045671</t>
  </si>
  <si>
    <t>II.Mahmut Han Çeşmesi (Mobil Ekip )</t>
  </si>
  <si>
    <t>41.049634, 29.053683</t>
  </si>
  <si>
    <t>Bekir Efendi Çeşmesi (Mobil Ekip )</t>
  </si>
  <si>
    <t>41.046595, 29.053558</t>
  </si>
  <si>
    <t>Sultan 2.Mahmut Çeşmesi (Mobil Ekip )</t>
  </si>
  <si>
    <t>41.049643, 29.053788</t>
  </si>
  <si>
    <t>Kavasbaşı Ahmet Ağa Çeşmesi (Mobil Ekip )</t>
  </si>
  <si>
    <t>41.050892, 29.052032</t>
  </si>
  <si>
    <t>Bekar Deresi Çeşmesi (Mobil Ekip )</t>
  </si>
  <si>
    <t>41.047026, 29.060947</t>
  </si>
  <si>
    <t>Sultan I.Mahmut Çeşmesi (Mobil Ekip )</t>
  </si>
  <si>
    <t>41.073460, 29.058609</t>
  </si>
  <si>
    <t>Hatice Hanım Su Kuyusu (Mobil Ekip )</t>
  </si>
  <si>
    <t>41.073904, 29.058503</t>
  </si>
  <si>
    <t>Kandilli Cami Çeşmesi (Mobil Ekip )</t>
  </si>
  <si>
    <t>41.073916, 29.058078</t>
  </si>
  <si>
    <t>Kuleli Çeşmesi (Mobil Ekip )</t>
  </si>
  <si>
    <t>41.058804, 29.053136</t>
  </si>
  <si>
    <t>Vaniköy Süleyman Bey Çeşmesi (Mobil Ekip )</t>
  </si>
  <si>
    <t>41.064043, 29.055748</t>
  </si>
  <si>
    <t>Muhammed Said Efendi Çeşmesi (Mobil Ekip )</t>
  </si>
  <si>
    <t>41.066860, 29.060278</t>
  </si>
  <si>
    <t>Yusuf Ziya Paşa Çeşmesi(Mobil Ekip )</t>
  </si>
  <si>
    <t>41.050422, 29.053714</t>
  </si>
  <si>
    <t>Hatice Hanım Çeşmesi (Mobil Ekip )</t>
  </si>
  <si>
    <t>41.051143, 29.058623</t>
  </si>
  <si>
    <t>Hamdullah Paşa Cami Çeşmesi (Mobil Ekip )</t>
  </si>
  <si>
    <t>41.050312, 29.053059</t>
  </si>
  <si>
    <t>Şehitler Yolu Sokak Çeşmesi (Mobil Ekip )</t>
  </si>
  <si>
    <t>41.054154, 29.056827</t>
  </si>
  <si>
    <t>Hüseyin Hıfzı Efendi Tekkesi Çeşmesi(Mobil Ekip )</t>
  </si>
  <si>
    <t>41.041320, 29.045449</t>
  </si>
  <si>
    <t>Bedevi Tekkesi Çeşmesi(Mobil Ekip )</t>
  </si>
  <si>
    <t>41.040333, 29.045541</t>
  </si>
  <si>
    <t>I.Abdülhamid Han Çeşmesi (Mobil Ekip )</t>
  </si>
  <si>
    <t>41.044267, 29.046187</t>
  </si>
  <si>
    <t>Üsküdar Abdülkerim Efendi Çeşmesi (Mobil Ekip )</t>
  </si>
  <si>
    <t>41.042915, 29.047251</t>
  </si>
  <si>
    <t>Miralem Çeşmesi (Mobil Ekip )</t>
  </si>
  <si>
    <t>41.029079, 29.047230</t>
  </si>
  <si>
    <t>Tiryal Hanım Çeşmesi (Mobil Ekip )</t>
  </si>
  <si>
    <t>41.026430, 29.064680</t>
  </si>
  <si>
    <t>Mehmet Han Çeşmesi (Mobil Ekip )</t>
  </si>
  <si>
    <t>41.026388, 29.064667</t>
  </si>
  <si>
    <t>Bulgurlu Köyü Çeşmesi (Mobil Ekip )</t>
  </si>
  <si>
    <t>41.018341, 29.070042</t>
  </si>
  <si>
    <t>Libadiye Çeşmesi (Mobil Ekip )</t>
  </si>
  <si>
    <t>41.013621, 29.075312</t>
  </si>
  <si>
    <t>Bodrumi Cami Çeşmesi (Mobil Ekip )</t>
  </si>
  <si>
    <t>41.011903, 29.067729</t>
  </si>
  <si>
    <t>4.Mehmet Çeşmesi(Mobil Ekip )</t>
  </si>
  <si>
    <t>41.013183, 29.061042</t>
  </si>
  <si>
    <t>Büyükada Çıkarma Gemisi Rampası ve Çevresi Deniz Yapıları Projesi</t>
  </si>
  <si>
    <t>​3000m2 deniz yapısı( İskele,rıhtım)​​</t>
  </si>
  <si>
    <t>40.8722372, 29.1378343</t>
  </si>
  <si>
    <t>0475f5c0-f2ec-ef11-b90e-005056b0106f</t>
  </si>
  <si>
    <t>Beşiktaş-Şişli-Sarıyer İlçeleri Arası Dolmabahçe-Çayırbaşı Güzergahı T1-T2-T3-T4-T5 Tünelleri İle Bağlantı Yolları Ve Kavşak Uygulama Projelerinin Hazırlanması</t>
  </si>
  <si>
    <t>​17 km tünel. 25 km bağlantı yolları ve kavşak düzenlemesi</t>
  </si>
  <si>
    <t>Çoklu İlçe: Beşiktaş-Sarıyer-Şişli</t>
  </si>
  <si>
    <t>41.0526694, 29.0007842</t>
  </si>
  <si>
    <t>519e02d7-8de7-ef11-b90e-005056b0106f</t>
  </si>
  <si>
    <t>Ortaköy İskelesi ve Çevresi Deniz Yapıları Projesinin Hazırlanması</t>
  </si>
  <si>
    <t>​İskele üzerindeki genleşme derzinin iki tarafındaki döşemelerinde oturmalardan dolayı kot farkı meydana gelmiştir, bu oturmalara bağlı olarak döşeme üzerinde çatlaklar oluşmaktadır. Yaklaşık olarak 320 m2 lik bir alan proje alanı olarak incelenecektir.</t>
  </si>
  <si>
    <t>41.0473466, 29.0255758</t>
  </si>
  <si>
    <t>814cb123-69dd-ef11-b90e-005056b0106f</t>
  </si>
  <si>
    <t>Anadolu Kavağı İskelesi ve Çevresi Deniz Yapısı Projelerinin Hazırlanması</t>
  </si>
  <si>
    <t>​1850 m2 alanda iskele rıhtım bakım-onarım ve güçlendirme projelerinin hazırlanması.</t>
  </si>
  <si>
    <t>41.1734478, 29.0881866</t>
  </si>
  <si>
    <t>1533a2ac-22e2-ef11-b90e-005056b0106f</t>
  </si>
  <si>
    <t>Kasımpaşa İskelesi ve Çevresi Deniz Yapıları Projesi</t>
  </si>
  <si>
    <t>​Rıhtım yapısı projesi olup yaklaşık 4000 m2 alana sahiptir.</t>
  </si>
  <si>
    <t>41.0304699, 28.9663365</t>
  </si>
  <si>
    <t>540c9d10-66e8-ef11-b90e-005056b0106f</t>
  </si>
  <si>
    <t>Alibeyköy Metro İstasyonu Yanı Otopark Projesi (EYU-65) İSTANBUL</t>
  </si>
  <si>
    <t>​1 katlı (teras katı açık otopark) ve 222 araç kapasiteli çelik konstrüksiyon kapalı otopark, 275 m² Hareket Amirliği (İETT), İETT Otobüs peron alanları​​ (49 otobüslük park alanı, 24 adet durak)</t>
  </si>
  <si>
    <t>41.0794684, 28.9504552</t>
  </si>
  <si>
    <t>b6aeea4e-15e2-ef11-b90e-005056b0106f</t>
  </si>
  <si>
    <t>Alibeyköy Metro İstasyonu Yanı Otopark Projesi (EYU-65)</t>
  </si>
  <si>
    <t>Balat Parkı ve Çevresi Deniz Yapıları Projesinin Hazırlanması</t>
  </si>
  <si>
    <t>​7500 m2 rıhtım ve iskele güçlendime, bakım-onarım projeleri</t>
  </si>
  <si>
    <t>41.0367870, 28.9463755</t>
  </si>
  <si>
    <t>8c9f0230-f2ec-ef11-b90e-005056b0106f</t>
  </si>
  <si>
    <t>Fatih İlçesi Küçükmustafapaşa Su Ürünleri Kooperatifi ve Haliç Sosyal Tesisler Mevki Deniz Yapıları Projesi</t>
  </si>
  <si>
    <t>Fatih ​İlçesi Küçükmustafapaşa Su Ürünleri Kooperatifi ve Haliç Sosyal Tesisler Yakın çevresindeki sahil yürüyüş aksındaki kıyı yapıları statik ve dinamik yüklere karşı zemin iyileştirme </t>
  </si>
  <si>
    <t>41.0279812, 28.9574772</t>
  </si>
  <si>
    <t>6952f87e-14e2-ef11-b90e-005056b0106f</t>
  </si>
  <si>
    <t>Kartal İlçesi, Karlıktepe Mahallesi, İBB Hasan Doğan Spor Kompleksi İstinat Duvarı Deformasyon Önlem Projesi</t>
  </si>
  <si>
    <t>​300 m2 İstinat Duvarı Projesi</t>
  </si>
  <si>
    <t>40.8928827, 29.1894440</t>
  </si>
  <si>
    <t>85781b7a-99e7-ef11-b90e-005056b0106f</t>
  </si>
  <si>
    <t>Pendik İlçesi, Mostar Köprüsü Güçlendirme Revize Projesi</t>
  </si>
  <si>
    <t>​3909.17 m² alana sahip köprü güçlendirme</t>
  </si>
  <si>
    <t>40.8800063, 29.2385231</t>
  </si>
  <si>
    <t>e72bd442-8ce7-ef11-b90e-005056b0106f</t>
  </si>
  <si>
    <t>Sarıyer İlçesi, Sakıp Sabancı Caddesi Önü Deniz Yapısı Projesi</t>
  </si>
  <si>
    <t>​1000 m2lik alanda rıhtım güçlendirme, bakım ve onarım projelerinin hazırlanması.</t>
  </si>
  <si>
    <t>41.1093506, 29.0591705</t>
  </si>
  <si>
    <t>4b595288-7fdc-ef11-b90e-005056b0106f</t>
  </si>
  <si>
    <t>Avcılar Yeşilkent Mahallesi Kentsel Dönüşüm Projesi</t>
  </si>
  <si>
    <t>1/5000 ve 1/1000 İmar planı çalışmaları hazırlanarak onay için 12.01.2023 tarihli yazımız ile Çevre, Şehircilik ve İklim Değişikliği Bakanlığı’na iletilmiştir. 
Alana ilişkin ön fizibilite ve tasarım projesi tamamlanmıştır. İBB ve Şirket milkiyetindeki (Şahıs mülkiyeti dışında) alan bütününde mimari ön proje, İBB hissesine düşecek ilk etap içinde  mimari kesin prıoje yapacağımız alanda zemin etüt raporu alınacaktır. Proje ilerleme oranı %50 dir</t>
  </si>
  <si>
    <t>41.048315, 28.693553</t>
  </si>
  <si>
    <t>Bağcılar Yıldıztepe Kentsel Dönüşüm Odaklı Planlama Çalışması</t>
  </si>
  <si>
    <t xml:space="preserve">Mevcut Durum Analizleri tamamlanmıştır. Beklenti ve Talep Analizinde sahada anketler tamamlanmış olup, raporlaması devam etmektedir. Proje ilerleme oranı %80 dir
</t>
  </si>
  <si>
    <t>41.02247941, 28.85323229</t>
  </si>
  <si>
    <t>Bahçelievler Siyavuşpaşa Kentsel Dönüşüm Odaklı Planlama Çalışması</t>
  </si>
  <si>
    <t>Mevcut Durum Analizleri tamamlanmıştır. Beklenti ve Talep Analizinde sahada anketler tamamlanmış olup, raporlamıs devam etmektedir. Proje ilerleme oranı %80 dir</t>
  </si>
  <si>
    <t>41.00223402, 28.85588405</t>
  </si>
  <si>
    <t>Bahçelievler Şirinevler Kentsel Dönüşüm Odaklı Planlama Çalışması</t>
  </si>
  <si>
    <t>40.99485755, 28.84600058</t>
  </si>
  <si>
    <t>Bayrampaşa İsmetpaşa Mahallesi Rezerv Yapı Alanı Kentsel Dönüşüm Projesi</t>
  </si>
  <si>
    <t>Kentsel dönüşüm amaçlı tasarım projesi ile mimari ön proje çalışmaları tamamlanmıştır. 
1/5000 ve 1/1000 imar planı teklifi hazırlanmış, onay için Bakanlığa iletilmiştir. Mimari Kesin Projeleri
çalışılmaktadır.Proje ilerleme oranı %80 dir</t>
  </si>
  <si>
    <t>41.04330383, 28.90527628</t>
  </si>
  <si>
    <t>Bayrampaşa İsmetpaşa Mahallesi Rezerv Yapı Alanı Kentsel Dönüşüm Projesi (Uzlaşma)</t>
  </si>
  <si>
    <t>Proje alanında bulunan toplam 2269 konutun anahtar teslimleri ve bağımsız birimlerin tahliye işlemleri yürütülmektedir. Hak sahipleri ile kesin sözleşme imzalanarak tapu takas işlemlerine devam edilmektedir. Bütçe 26.11.2025'te bitecek protokole aittir.</t>
  </si>
  <si>
    <t>Büyükçekmece Mimarsinan Kentsel Dönüşüm Projesi</t>
  </si>
  <si>
    <t>C ve F bölgesinde kesin proje çalışmaları tamamlanmıştır.
B bölgesi kesin proje çalışmaları devam etmektedir.
Zemin etüd raporu teslim alınmış olup, buna bağlı olarak mimari kesin proje çalışmaları ile ilgili revize süreci devam etmektedir.
Matematiksel model revizyon çalışmaları ve imar uygulaması çalışmaları devam etmektedir.Proje ilerleme oranı %65 dir</t>
  </si>
  <si>
    <t>41.0150888, 28.55824268</t>
  </si>
  <si>
    <t>Büyükçekmece Mimarsinan Kentsel Dönüşüm Projesi Uzlaşma İşlemleri</t>
  </si>
  <si>
    <t>Protokol kapsamında Kentsel Dönüşüm Ofisinde uzlaşma görüşmeleri devam etmektedir. Riskli Alan sınırları içerinde yapılmakta olan proje çalışmaları ve matematiksel modelin neticelendirilmesinin ardından kesin sözleşmelerin yapılması adımına geçilecektir. Bütçe 04.12.2025'te bitecek protokole aittir.Proje ilerleme oranı %30'dur.</t>
  </si>
  <si>
    <t>Eyüpsultan 38 Ada Kentsel Dönüşüm Projesi</t>
  </si>
  <si>
    <t>* 1/1000 ölçekli plan onay süreci tamamlandıktan sonra imar uygulaması yapılacaktır.
İmar planı ve uygulaması ile bu doğrultuda hazırlanacak olan tasarım çalışmaları tamamlandıktan sonra uzlaşma süreçlerine başlanabilecektir.
* Alana ilişkin analitik etüd, ön fizibilite ve tasarım projesi tamamlanmış, mimari ön proje ve Mesh Model Üretimi çalışmalarına başlanmıştır. Proje ilerleme oranı %50 dir</t>
  </si>
  <si>
    <t>41.07493756, 28.93617944</t>
  </si>
  <si>
    <t>Eyüpsultan 113 Ada Kentsel Dönüşüm Projesi</t>
  </si>
  <si>
    <t>1/5000 Ölçekli Nazım İmar Planı ve 1/1000 Ölçekli Uygulama İmar Planı 20.12.2022 tarihinde  onaylanmıştır.
Mevcut durum tespitleri ve ön mimari proje çalışmaları tamamlanmıştır.
24.06.2024 tarihli ve 67796 sayılı bakanlık makam oluru ile Rezerv Yapı Alanı ilan edilmiştir.
01.07.2024 tarihinde plankote, zemin etüdü, mimari kesin proje çalışmaları başlatılmıştır.Proje ilerleme oranı %90 dir. Plankote tamamlanmıştır. Mesh Model Üretimi çalışmalarına başlanmıştır.</t>
  </si>
  <si>
    <t>41.08546688, 28.91915793</t>
  </si>
  <si>
    <t>Eyüpsultan 122 Ada Kentsel Dönüşüm Projesi Uzlaşma İşlemleri</t>
  </si>
  <si>
    <t>* 15.11.2024 tarihli Protokol kapsamında İmar ve Mülkiyet Çözüm Ofisinde yürütülmekte olan Uzlaşma görüşmeleri devam etmektedir. 
* 05.02.2018 tarihinde &amp;quot;Riskli Alan&amp;quot; ilan edilen alan sınırları içerisinde tespit edilen Hak Sahipleri ile yapılan görüşmeler neticesinde uzlaşmaya varılan Hak Sahiplerinin yapımı devam eden 122 ada 494 parsel (K3) ve 854 ada 8 parsel (K4) proje alanlarındaki konutlara geçmeleri sağlanacaktır. Bütçe 14.11.2025&amp;#39;te bitecek protokole aittir.</t>
  </si>
  <si>
    <t>41.0850757, 28.93341956</t>
  </si>
  <si>
    <t>Kağıthane Gürsel Mahallesi Çağlayan Kentsel Dönüşüm Projesi Uzlaşma İşlemleri</t>
  </si>
  <si>
    <t xml:space="preserve">Protokol kapsamında Kentsel Dönüşüm Ofisinde uzlaşma görüşmeleri devam etmektedir. Riskli Alan sınırları içerinde yapılmakta olan proje çalışmaları ve matematiksel modelin neticelendirilmesinin ardından kesin sözleşmelerin yapılması adımına geçilecektir. Bütçe 26.11.2025&amp;#39;te bitecek protokole aittir.
</t>
  </si>
  <si>
    <t>41.06996296, 28.97772946</t>
  </si>
  <si>
    <t>Kartal Karlıktepe 10047 Ada Kentsel Dönüşüm Projesi</t>
  </si>
  <si>
    <t>Kartal İlçesi, Karlıktepe Mahallesi (Eski Yukarı Mahallesi) 10047 ada 1 parsel 1/5000 ölçekli Nazım ve 1/1000 ölçekli Uygulama İmar Planı  17.01.2025/87 sayılı İBB Meclis Kararı ile onaylanmıştır. . Plan askıya çıkarılmış; askı sürecinde gelen itirazlar değerlendirilmek üzere Meclis Şb. Md.ne gönderilmiştir. Proje ilerleme oranı %95 dir</t>
  </si>
  <si>
    <t>40.89787764, 29.19762282</t>
  </si>
  <si>
    <t>Kartal Gümüşpınar Kentsel Dönüşüm Projesi</t>
  </si>
  <si>
    <t>Kartal e-5 kuzeyi 1/5000 ölçekli NİP içinde 9.1 ha'lık alana ilişkin öneri plan teklifimiz değerlendirilmiş Ocak 2025 İBB Meclisinde onaylanmıştır. 1/1000 plan çalışmaları ile analitik etüd çalışmaları ve kentsel tasarım projeleri ile  ön fizibilite çalışmaları devam etmektedir. Proje ilerleme oranı %15 dir</t>
  </si>
  <si>
    <t>40.92490042, 29.21412712</t>
  </si>
  <si>
    <t>Küçükçekmece Sultanmurat Kentsel Dönüşüm Odaklı Planlama Çalışması</t>
  </si>
  <si>
    <t>Mevcut Durum Analizleri tamamlanmıştır.
Beklenti ve Talep Analizinde sahada anketler tamamlanmıştır. 
Kentsel Tasarım Projesi çalışmaları devam etmektedir. Proje ilerleme oranı %50 dir</t>
  </si>
  <si>
    <t>41.0024111, 28.79554489</t>
  </si>
  <si>
    <t>Sarıyer Derbent Kentsel Dönüşüm Projesi</t>
  </si>
  <si>
    <t>1/5000 ve 1/1000 ölçekli imar planı çalışmaları devam etmektedir.Proje ilerleme oranı %10 dir</t>
  </si>
  <si>
    <t>41.12842825, 29.03205199</t>
  </si>
  <si>
    <t>Tuzla Aydıntepe Kentsel Dönüşüm Odaklı Planlama Çalışması</t>
  </si>
  <si>
    <t>Mevcut Durum Analizleri tamamlanmıştır. Beklenti ve Talep Analizinde sahada anketler tamamlanmış olup, raporlaması devam etmektedir. Proje ilerleme oranı %80 dir</t>
  </si>
  <si>
    <t>40.8533773, 29.29561201</t>
  </si>
  <si>
    <t>Üsküdar Kuzguncuk Mahallesi Kentsel Dönüşüm Projesi</t>
  </si>
  <si>
    <t>Kentsel dönüşüm amaçlı tasarım projesi, hak sahipliği tespiti çalışmaları, matematiksel model ile mimari ön proje çalışmaları tamamlanmıştır.
Vatandaşlarla görüşülerek uzlaşma ve Kesin Proje Aşamasına geçilmesi planlanmaktadır.Proje ilerleme oranı %50 dir</t>
  </si>
  <si>
    <t>41.03040186, 29.03598221</t>
  </si>
  <si>
    <t>Zeytinburnu Beştelsiz Kentsel Dönüşüm Odaklı Planlama Çalışması</t>
  </si>
  <si>
    <t>40.99899312, 28.90701941</t>
  </si>
  <si>
    <t>Bayrampaşa İsmetpaşa Mahallesi Günışığı Konutları Ticari Alanlarının Bakım Onarım İşi</t>
  </si>
  <si>
    <t>93 adet ticari bağımsız birim eksiklerinin giderilmesi</t>
  </si>
  <si>
    <t>Eski Cezaevi Alanı Kentsel Dönüşüm Projesi kapsamında 2016 yılında uygulamaya yönelik Kiptaş ile protokol yapılmış, Kiptaş tarafından inşaat başlanılmış ve inşaat süreci 16.08.2019 tarihinde bitmiştir. Söz konusu işin kesin kabulü 29.03.2022 tarihinde yapılmıştır. Kabulü yapılan protokolde; Ticari alanların “Shell&amp;Core (Kabuk&amp;Çekirdek) ” olarak tesliminin yapılacağı belirtilmiş olup teslimi yapılan ticari alanlar ile ortak alanlardaki; mimari, elektrik, mekanik ve yangın disiplinlerinin tamamlanarak kullanıma hazır hale getirilmesine yönelik uygulamaların yapılması</t>
  </si>
  <si>
    <t>Yaklaşık maliyet çalışılmaktadır.</t>
  </si>
  <si>
    <t>41.0441009, 28.9029157</t>
  </si>
  <si>
    <t>İstanbul Geneli Hızlı Tarama Yöntemi ile Bina İncelemesi</t>
  </si>
  <si>
    <t>İstanbul’un deprem açısından yüksek riskli bir şehir olması nedeniyle vatandaşların binalarının durumunun tespiti için   yaptığı  inceleme talepleri karşılanmaktadır.</t>
  </si>
  <si>
    <t>Deprem ve Zemin İnceleme Şube Müdürlüğü</t>
  </si>
  <si>
    <t>Mikrobölgeleme Proje Çalışmaları</t>
  </si>
  <si>
    <t>İstanbul Avrupa Yakası muhtelif alanların (103 km2) Mikrobölgeleme Rapor ve Haritalarının Hazırlanması işi</t>
  </si>
  <si>
    <t>Arnavutköy, Bağcılar, Bayrampaşa, Esenler, Gaziosmapaşa, Kağıthane, Sultangazi</t>
  </si>
  <si>
    <t>Selimpaşa Malzeme Ambarı (Deprem Anında Toplanma ve Lojistik Merkezi)</t>
  </si>
  <si>
    <t>Avrupa Bölgesi İski Hizmet Binaları İnşaatı (4) işi kapsamında çalışmalar devam etmektedir.</t>
  </si>
  <si>
    <t>41.07068757439279, 28.338643619405584</t>
  </si>
  <si>
    <t>Ümraniye Terfi Merkezi</t>
  </si>
  <si>
    <t xml:space="preserve"> Asya Bölgesi Muhtelif Depolar İnşaatı (1) İşi Kapsamında Yapılmaktadır. 
</t>
  </si>
  <si>
    <t>Bağcılar 15 Temmuz Metro Çocuk Etkinlik Merkezi (ÇEM)</t>
  </si>
  <si>
    <t>41.036567, 28.814083</t>
  </si>
  <si>
    <t>Bağcılar Kirazlı Kiptaş Çocuk Etkinlik Merkezi (ÇEM)</t>
  </si>
  <si>
    <t>41.034860, 28.836235</t>
  </si>
  <si>
    <t>Bağcılar Merkez Ebubekir Caddesi Çocuk Etkinlik Merkezi (ÇEM)</t>
  </si>
  <si>
    <t>41.032452, 28.870937</t>
  </si>
  <si>
    <t>Bağcılar Yeni Mahalle Çocuk Etkinlik Merkezi (ÇEM)</t>
  </si>
  <si>
    <t>41.042158, 28.839460</t>
  </si>
  <si>
    <t>Bakırköy Yeşilköy Çocuk Etkinlik Merkezi (ÇEM)</t>
  </si>
  <si>
    <t>40.960484, 28.811873</t>
  </si>
  <si>
    <t>Başakşehir Sularvadisi Çocuk Etkinlik Merkezi (ÇEM)</t>
  </si>
  <si>
    <t>41.086922, 28.809968</t>
  </si>
  <si>
    <t>Beylikdüzü Yakuplu Çocuk Etkinlik Merkezi (ÇEM)</t>
  </si>
  <si>
    <t>40.986989, 28.672068</t>
  </si>
  <si>
    <t>Beyoğlu Hacıahmet Çocuk Etkinlik Merkezi (ÇEM)</t>
  </si>
  <si>
    <t>41.041138, 28.972141</t>
  </si>
  <si>
    <t>Esenler Birlik Çocuk Etkinlik Merkezi (ÇEM)</t>
  </si>
  <si>
    <t>41.051114, 28.869015</t>
  </si>
  <si>
    <t>Esenyurt Akçaburgaz Çocuk Etkinlik Merkezi (ÇEM)</t>
  </si>
  <si>
    <t>41.067780, 28.636225</t>
  </si>
  <si>
    <t>Eyüpsultan Yeşilpınar Çocuk Etkinlik Merkezi (ÇEM)</t>
  </si>
  <si>
    <t>41.073980, 28.920533</t>
  </si>
  <si>
    <t>İSKİ Kartal, Adalar, Güngören, Beşiktaş Hizmet Binası Proje Çalışmaları</t>
  </si>
  <si>
    <t xml:space="preserve">Avan onayı için İBB ye gönderildi.
</t>
  </si>
  <si>
    <t>Adalar; Beşiktaş; Güngören; Kartal
"40.91274837052841, 29.194254649920236  40.87441712346673, 29.132633765767928  41.01639952149576, 28.891648999772457  41.094305739459635, 29.019617652624888"</t>
  </si>
  <si>
    <t xml:space="preserve">"İSKİ Kartal ve Adalar Hizmet Binası projesi, avan proje onayı ve ruhsat alınması için İBB İmar ve Şehircilik Dairesi'ne gönderilmiştir. İlgili kurum ve kuruluşlarda geçen süre, süre uzatımı olarak verilecektir.
İSKİ Güngören Hizmet Binası projesi,İBB İmar ve Şehircilik Dairesi'ne gönderilerek avan proje onayı alınmıştır. Uygulama projesi aşamasına geçilmiştir.
İSKİ Beşiktaş Hizmet Binası projesi, avan proje onayı ve ruhsat alınması için İBB İmar ve Şehircilik Dairesi'ne gönderilmiştir. İlgili kurum ve kuruluşlarda geçen süre, süre uzatımı olarak verilecektir.Sarıyer Boğaziçi Gerigörünüm ve Etkilenme Bölgesinde olması sebebiyle Kültür ve Tabiat Varlıkları Koruma Kurulundan proje onayı alınacaktır."
</t>
  </si>
  <si>
    <t>Tescilli Üst Yapı Onarım Projesi 2 (Bakırköy Eski Hizmet Binası)</t>
  </si>
  <si>
    <t xml:space="preserve">İhale süreci devam etmektedir.
</t>
  </si>
  <si>
    <t>41.01008417362678, 28.890467552948706</t>
  </si>
  <si>
    <t>Gaziosmanpaşa Karadeniz Çocuk Etkinlik Merkezi (ÇEM)</t>
  </si>
  <si>
    <t>41.081994, 28.879857</t>
  </si>
  <si>
    <t>Gaziosmanpaşa Merkez Çocuk Etkinlik Merkezi (ÇEM)</t>
  </si>
  <si>
    <t>41.061083, 28.909313</t>
  </si>
  <si>
    <t>Gaziosmanpaşa Mevlana Çocuk Etkinlik Merkezi (ÇEM)</t>
  </si>
  <si>
    <t>41.087024, 28.916167</t>
  </si>
  <si>
    <t>Güngören Genç Osman Çocuk Etkinlik Merkezi (ÇEM)</t>
  </si>
  <si>
    <t>41.036793, 28.872557</t>
  </si>
  <si>
    <t>Kadıköy Kozyatağı Çocuk Etkinlik Merkezi (ÇEM)</t>
  </si>
  <si>
    <t>40.967164, 29.097977</t>
  </si>
  <si>
    <t>Kadıköy Merdivenköy Boyner Grup Çocuk Etkinlik Merkezi (ÇEM)</t>
  </si>
  <si>
    <t>40.987616, 29.066644</t>
  </si>
  <si>
    <t>Kartal Karlıktepe Ali Gökbulut Çocuk Etkinlik Merkezi (ÇEM)</t>
  </si>
  <si>
    <t>40.899242, 29.192525</t>
  </si>
  <si>
    <t>Kartal Yakacık Şayeste Şerif Yücel Çocuk Etkinlik Merkezi (ÇEM)</t>
  </si>
  <si>
    <t>40.906440, 29.245085</t>
  </si>
  <si>
    <t>Kartal Yunus Mehmet Şahabettin Özyazıcı Çocuk Etkinlik Merkezi (ÇEM)</t>
  </si>
  <si>
    <t>40.895316, 29.209862</t>
  </si>
  <si>
    <t>Maltepe Esenkent Çocuk Etkinlik Merkezi (ÇEM)</t>
  </si>
  <si>
    <t>40.925432, 29.159108</t>
  </si>
  <si>
    <t>Maltepe Fındıklı Çocuk Etkinlik Merkezi (ÇEM)</t>
  </si>
  <si>
    <t>40.958816, 29.148930</t>
  </si>
  <si>
    <t>Maltepe Fındıklı Palmiye Çocuk Etkinlik Merkezi (ÇEM)</t>
  </si>
  <si>
    <t>40.973081, 29.130891</t>
  </si>
  <si>
    <t>Maltepe Fındıklı Sosyal Yaşam Merkezi Çocuk Etkinlik Merkezi (ÇEM)</t>
  </si>
  <si>
    <t>40.967695, 29.123768</t>
  </si>
  <si>
    <t>Maltepe Gülsuyu Çocuk Etkinlik Merkezi (ÇEM)</t>
  </si>
  <si>
    <t>40.931202, 29.155829</t>
  </si>
  <si>
    <t>Maltepe Gülsuyu Fevzi Çakmak Çocuk Etkinlik Merkezi (ÇEM)</t>
  </si>
  <si>
    <t>40.927564, 29.156646</t>
  </si>
  <si>
    <t>Pendik Dumlupınar Çocuk Etkinlik Merkezi (ÇEM)</t>
  </si>
  <si>
    <t>40.895289, 29.250170</t>
  </si>
  <si>
    <t>Pendik Ertuğrul Gazi Çocuk Etkinlik Merkezi (ÇEM)</t>
  </si>
  <si>
    <t>40.917732, 29.254562</t>
  </si>
  <si>
    <t>Pendik Sülüntepe 18 Mart Caddesi Çocuk Etkinlik Merkezi (ÇEM)</t>
  </si>
  <si>
    <t>40.914754, 29.278000</t>
  </si>
  <si>
    <t>Pendik Velibaba Hümeyra Asım Pekmezci Çocuk Etkinlik Merkezi (ÇEM)</t>
  </si>
  <si>
    <t>40.891022, 29.261830</t>
  </si>
  <si>
    <t>Pendik Yenişehir Çocuk Etkinlik Merkezi (ÇEM)</t>
  </si>
  <si>
    <t>40.939425, 29.305982</t>
  </si>
  <si>
    <t>Sancaktepe Abdurrahman Gazi Çocuk Etkinlik Merkezi (ÇEM)</t>
  </si>
  <si>
    <t>41.002712, 29.231898</t>
  </si>
  <si>
    <t>Sancaktepe Meclis Metro Çocuk Etkinlik Merkezi (ÇEM)</t>
  </si>
  <si>
    <t>41.009673, 29.199101</t>
  </si>
  <si>
    <t>Sancaktepe Samandıra Çocuk Etkinlik Merkezi (ÇEM)</t>
  </si>
  <si>
    <t>40.980209, 29.225152</t>
  </si>
  <si>
    <t>Sancaktepe Sarıgazi Çocuk Etkinlik Merkezi (ÇEM)</t>
  </si>
  <si>
    <t>41.007162, 29.204616</t>
  </si>
  <si>
    <t>Sarıyer İstinye Çocuk Etkinlik Merkezi (ÇEM)</t>
  </si>
  <si>
    <t>41.113424, 29.053996</t>
  </si>
  <si>
    <t>Sarıyer Ptt Evleri Çocuk Etkinlik Merkezi (ÇEM)</t>
  </si>
  <si>
    <t>41.154561, 29.030370</t>
  </si>
  <si>
    <t>Silivri Mimar Sinan İnönü Cd. Çocuk Etkinlik Merkezi (ÇEM)</t>
  </si>
  <si>
    <t>41.081226, 28.224267</t>
  </si>
  <si>
    <t>Sultanbeyli Mimar Sinan Çocuk Etkinlik Merkezi (ÇEM)</t>
  </si>
  <si>
    <t>40.991264, 29.255649</t>
  </si>
  <si>
    <t>Sultangazi Cebeci Çocuk Etkinlik Merkezi (ÇEM)</t>
  </si>
  <si>
    <t>41.112473, 28.871341</t>
  </si>
  <si>
    <t>Sultangazi Habipler Çocuk Etkinlik Merkezi (ÇEM)</t>
  </si>
  <si>
    <t>41.130046, 28.837789</t>
  </si>
  <si>
    <t>Tuzla Aydınlı Çocuk Etkinlik Merkezi (ÇEM)</t>
  </si>
  <si>
    <t>Tuzla Meydanevler Çocuk Etkinlik Merkezi (ÇEM)</t>
  </si>
  <si>
    <t>40.838380, 29.368020</t>
  </si>
  <si>
    <t>Ümraniye Esenkent Çocuk Etkinlik Merkezi (ÇEM)</t>
  </si>
  <si>
    <t>41.000929, 29.187476</t>
  </si>
  <si>
    <t>Ümraniye Madenler Ferah Hayrettin Önder Öztürk Çocuk Etkinlik Merkezi (ÇEM)</t>
  </si>
  <si>
    <t>41.010225, 29.181781</t>
  </si>
  <si>
    <t>Üsküdar Yavuztürk Çocuk Etkinlik Merkezi (ÇEM)</t>
  </si>
  <si>
    <t>41.029234, 29.080065</t>
  </si>
  <si>
    <t>BEYKOZ ANADOLU FENERİ MEZARLIĞI</t>
  </si>
  <si>
    <t>41.215802, 29.156601</t>
  </si>
  <si>
    <t>BEYKOZ ALİ BAHADIR MEZARLIĞI</t>
  </si>
  <si>
    <t>41.182423, 29.202472</t>
  </si>
  <si>
    <t>BEYKOZ MAHMUT ŞEVKET PAŞA MEZARLIĞI</t>
  </si>
  <si>
    <t>41.156449, 29.190090</t>
  </si>
  <si>
    <t>Silivri Seymen GES</t>
  </si>
  <si>
    <t>İstanbul Enerji AŞ</t>
  </si>
  <si>
    <t>41.219191, 28.155628</t>
  </si>
  <si>
    <t>Esenler Özkan Uğur Amatör Müzisyenler Performans ve Kayıt Stüdyosu</t>
  </si>
  <si>
    <t>Fen İşler Dairesi Başkanlığında</t>
  </si>
  <si>
    <t>41.040737, 28.894431</t>
  </si>
  <si>
    <t>Üsküdar Bekardere Islahı ve Çengelköy Çevre Projesi</t>
  </si>
  <si>
    <t>"İstanbul’un dört bir yanında devam eden altyapı yatırımları kapsamında Üsküdar’ın altyapısı kapsamlı bir şekilde yenilendi. Proje kapsamında ilçeye 9,3 kilometre atık su kolektör ve şebeke hattı, 800 metre dere ıslahı ve 4,5 kilometre yağmur suyu hattı inşa ediliyor. 
Bekarderesi ile yan kolları olan Talimhane Deresi ile Kirazlıtepe Deresi’nin ıslah edilmeyen kısımlarının atık suları İstanbul Boğazı’na akıyor. Proje, İstanbul Boğazı'na dökülen atık suları kanalizasyon sistemine alarak yağışlı havalarda yaşanan kanalizasyon baskınlar ile su taşkınlarını engelleyerek İstanbulluların çevre sağlığını etkileyen olumsuz durumlar ortadan kaldırmayı amaçlıyor."</t>
  </si>
  <si>
    <t>41.046305, 29.061982</t>
  </si>
  <si>
    <t>Esenyurt İGDAŞ Müşteriler Şubesi Açılışı</t>
  </si>
  <si>
    <t>41.052225761916844, 28.65558326846545</t>
  </si>
  <si>
    <t>Üsküdar Kadın Emeği Üretim Atölyesi ve Kadın Emeği Dükkanı</t>
  </si>
  <si>
    <t>Kadın emeği üretim atölyeleri, yaratıcılığı ve inovasyonu teşvik ederek kadınların yaratıcı düşünme ve yenilikçi ürünler geliştirme fırsatları sunmaktadır. Aynı zamanda yerel ekonomilere katkıda bulunarak toplumsal kalkınma desteklenmekte ve psikolojik olarak kadınlara sosyal etkileşim ve destek sağlanmaktadır.</t>
  </si>
  <si>
    <t>41.020449, 29.020242</t>
  </si>
  <si>
    <t>Bakırköy İtfaiye İlk Yardım Eğitim Binası</t>
  </si>
  <si>
    <t>41.000914, 28.888135</t>
  </si>
  <si>
    <t>Ömerli Havzası Çevre Projesi</t>
  </si>
  <si>
    <t>"İstanbul’un altyapı sorunlarına yönelik çözümler kentin dört bir yanında uygulanmaya devam ediyor. Anadolu Yakası’nda; Pendik, Tuzla, Sultanbeyli, Çekmeköy ve Sancaktepe ilçelerinin Ömerli İçme Suyu Barajı’na karışan atık sularını önlemek üzere Ömerli Havzası Çevre Projesi hayata geçiriliyor.
Proje kapsamında, atık su ve yağmur suyu hattı yetersiz olan kısımlarda mevcut hatlar yenilenerek atık sular ve yağmur suları ayrıştırılıyor. Yapılan imalatlar neticesinde, 47 noktada Ömerli İçme Suyu Havzası’na atık su karışımı önlenirken; atık suların Tuzla Atık Su Arıtma Tesisi’ne, yağmur sularının ise Ömerli İçme Suyu Barajı’na ulaşması sağlanıyor. Böylelikle imalatı tamamlanan bölgelerde, günlük yaklaşık 15.000 metreküp atık suyun Ömerli İçme Suyu Barajı’nı besleyen dere kollarına karışması engelleniyor."</t>
  </si>
  <si>
    <t>41.061770, 29.357361</t>
  </si>
  <si>
    <t>Küçükçekmece İBB 100. Yıl Stadı Yenileme</t>
  </si>
  <si>
    <t>"Küçükçekmece, yenileme çalışmaları tamamlanan İBB 100. Yıl Stadı ile birlikte modern donanımlara sahip spor tesisine kavuşuyor. Atakent Mahallesi’nde yer alan 100. Yıl Stadı, amatör futbol takımının antrenman yapabileceği ve profesyonel lig maçlarının oynanabileceği hale getiriliyor.
Yaklaşık 3.500 sporcunun faydalanması planlanan tesiste; 39 amatör futbol takımının A Takım antrenman ve Alt Yapı Takımları antrenman ile lig müsabakaları gerçekleştiriliyor, haftanın 3 günü açık alan egzersizleri yapılıyor. Spor organizasyonları haricinde resmi törenlerde de kullanılması planlanan tesis ayrıca, ihtiyaç halinde çevre ilçelerden takımların maçları için de kullanılabiliyor. "</t>
  </si>
  <si>
    <t>41.056551, 28.773893</t>
  </si>
  <si>
    <t>Şişli Fulya Halaskar Meydan Düzenleme</t>
  </si>
  <si>
    <t>41.065118, 28.997050</t>
  </si>
  <si>
    <t>Heybeliada Spor Sahası Bakım ve Onarımı</t>
  </si>
  <si>
    <t>40.881951, 29.090663</t>
  </si>
  <si>
    <t>Fatih Ali Paşa Sarayı Otopark</t>
  </si>
  <si>
    <t>"Geçmişi binlerce yıl geriye giden, tarih boyunca İstanbul’un en önemli noktalarından biri olan Ali Paşa Sarayı, İstanbul ile yeniden buluşuyor. “Mercan Sarayı” ve “Yanık Saray” olarak da anılan Ali Paşa Sarayı, İBB Miras tarafından evrensel koruma ilkeleri doğrultusunda özgün  mimarisi temel alınarak yeniden inşa ediliyor.  
Rekonstrüksiyon çalışmaları devam eden yapıda, ilk etapta bölgenin en önemli ihtiyaçlarından birini karşılamak üzere Ali Paşa Sarayı Otoparkı açılıyor. 2 kattan oluşan zemin altı otopark, 200 araç kapasitesi ile İstanbullulara hizmet veriyor. "</t>
  </si>
  <si>
    <t>41.013549, 28.966552</t>
  </si>
  <si>
    <t>Büyükçekmece Gölü Doğal Yaşam Parkı 1. Etap</t>
  </si>
  <si>
    <t>"Büyükçekmece su havzasının korunması ve doğal kaynaklara dayalı rekreasyon olanaklarının geliştirilmesi amacıyla Büyükçekmece Gölü Doğal Yaşam Parkı’nın ilk etabı başta spor severler, doğa severler, eğitim ve öğretim çağındaki çocuklar olmak üzer tüm İstanbulluların hizmetine sunuluyor.
Proje kapsamında, mutlak koruma zonunda alana en az müdahale ile yürüyüş ve bisiklet rotası oluşturuld; alana araçlarıyla gelen kullanıcılar için mevcut yola entegreli otopark noktaları belirlendi. Kuş gözlem noktaları ve seyir alanları yer alan parkta ayrıca vatandaşların ihtiyaçlarına yönelik ibadethane, büfe, lavabo gibi fonksiyonlar bulunuyor."</t>
  </si>
  <si>
    <t>41.036946, 28.556022</t>
  </si>
  <si>
    <t>Beşiktaş İlçesi, Yıldız Mahallesi, Çırağan Caddesi Taş Duvar Deformasyon Önlem Projesi</t>
  </si>
  <si>
    <t>​250 m2 taş duvar imalatı yapılması.</t>
  </si>
  <si>
    <t>41.0477046, 29.0231323</t>
  </si>
  <si>
    <t>4eb6f0a2-0d03-f011-b911-005056b0106f</t>
  </si>
  <si>
    <t>Şehit Tolga Ecebalın Parkı Deniz Yapısı Projesi</t>
  </si>
  <si>
    <t>1460 m2 deniz yapısı</t>
  </si>
  <si>
    <t>41.0240212, 28.9609453</t>
  </si>
  <si>
    <t>f59db088-9e08-f011-b912-005056b0106f</t>
  </si>
  <si>
    <t>Kadıköy İlçesi, Acıbadem Köprüsü Mevkii D-100 Karayolu ve Yan Yolu Düzenleme Uygulama Projesi</t>
  </si>
  <si>
    <t>​500 m uzunluğunda yol ile 152,5 m uzunluğunda, ortalama 5,4 m yüksekliğinde (825 m2) istinat duvarı</t>
  </si>
  <si>
    <t>41.0039071, 29.0336144</t>
  </si>
  <si>
    <t>c9ab6790-a2f2-ef11-b90e-005056b0106f</t>
  </si>
  <si>
    <t>Pendik İlçesi, Değirmendere Köprüsü Güçlendirme Revize Projesi</t>
  </si>
  <si>
    <t>​2280.05 m² alana sahip köprü​</t>
  </si>
  <si>
    <t>40.9043410, 29.2774031</t>
  </si>
  <si>
    <t>d9fe8caf-c2f9-ef11-b911-005056b0106f</t>
  </si>
  <si>
    <t>Tuzla Marina-Bayramoğlu Arası Sahil Düzenleme Projesi</t>
  </si>
  <si>
    <t xml:space="preserve">​park, çocuk bahçesi, açık spor alanları ile açık alan ağırlıklı olmak üzere ve emsali aynı amaçla ayrılan alanın %3'ünü yüksekliği 5.50 m.'yi aşmayan takılıp sökülebilir elemanlarla inşa edilen; lokanta, gazino, çay bahçesi, sergi üniteleri ve idare binalarını içeren fuar, piknik, eğlence alanları
</t>
  </si>
  <si>
    <t>Milli Savunma Bakanlığının bila tarihli ve 4633089 sayılı yazısında  söz konusu proje alanının askeriyenin ihtiyaçları doğrultusunda kullanılacağına dair  bilgi alınmış olup, buna istinaden 16.04.2025 tarihli ve  E-72583974-604.99-2025.767728 sayılı Başkanlık Oluru ile iş durdurulmuştur.​</t>
  </si>
  <si>
    <t>40.8157093, 29.3312645</t>
  </si>
  <si>
    <t>a25e60c3-6dfd-ef11-b911-005056b0106f</t>
  </si>
  <si>
    <t>Üsküdar İlçesi, Kandilli Mahallesi, Göksu Caddesi Taş Duvar Deformasyon Önlem Projesi</t>
  </si>
  <si>
    <t>​​100 m boyunca taş duvar projesi</t>
  </si>
  <si>
    <t>41.0750758, 29.0615657</t>
  </si>
  <si>
    <t>7ba32304-a3f2-ef11-b90e-005056b0106f</t>
  </si>
  <si>
    <t>Çekmeköy Hüseyinli Mezarlık Projesi</t>
  </si>
  <si>
    <t>​85.543 m2 alan üzerinde lahit ve toprak mezarlardan oluşan mezarlık ve mezarlığa hizmet eden yapılar.​</t>
  </si>
  <si>
    <t>41.1300517, 29.2897439</t>
  </si>
  <si>
    <t>3afa1597-0e03-f011-b911-005056b0106f</t>
  </si>
  <si>
    <t>Silivri Çeltik Mezarlık Projesi</t>
  </si>
  <si>
    <t>​372.197 m2 alan üzerinde lahit ve toprak mezarlardan oluşan mezarlık ve mezarlığa hizmet eden yapılar.</t>
  </si>
  <si>
    <t>41.1634547, 28.1060743</t>
  </si>
  <si>
    <t>1ba8c528-0e03-f011-b911-005056b0106f</t>
  </si>
  <si>
    <t>Arnavutköy Karaburun Hizmet Binası Eksiklerinin Tamamlanması</t>
  </si>
  <si>
    <t>Arşiv Müdürlüğü İkitelli Arşivi Yangın Söndürme Sistemi</t>
  </si>
  <si>
    <t>41.07422199191199, 28.801256646875824</t>
  </si>
  <si>
    <t>Bayramapaşa Levazım Hurda Şefliği</t>
  </si>
  <si>
    <t>41.04718270729492, 28.88949325242649</t>
  </si>
  <si>
    <t>Beşiktaş Levent Askeri Lojman Binası Eksik Tamamlama</t>
  </si>
  <si>
    <t>41.09490247483894, 29.016871987241935</t>
  </si>
  <si>
    <t>Avrupa Yakası Yol Bakım ve Onarım Müdürlüğü Çatalca İlçesi Subaşı Mahallesi Kışla Mücadele Hizmetleri Yerleşkesi Eksiklerinin Tamamlanması</t>
  </si>
  <si>
    <t>41.23774618801938, 28.4547341840585</t>
  </si>
  <si>
    <t>5 Adet Otopark Mahalinde Daimi Enerji Temini OG/AG Tesislerinin Tamamlanması</t>
  </si>
  <si>
    <t>41.14606407906143, 28.472952829757823</t>
  </si>
  <si>
    <t>Kartal İlçesi Trafik Şube Müdürlüğü Kartal Yerleşkesi 2 Katlı Hafif Çelik Bina İnşaatı</t>
  </si>
  <si>
    <t>40.914399, 29.183027</t>
  </si>
  <si>
    <t>Küçükçekmece-Avcılar İlçeleri Gümüşpala Mevkii D-100 Kuzey Yan Yolu D-100 Katılımında Askerlik Şubesi Nizamiye Binası İnşaatı</t>
  </si>
  <si>
    <t>40.98277953615019, 28.757534714874254</t>
  </si>
  <si>
    <t>Sancaktepe İlçesi, Safa Tepesi Spor Tesisine 2 adet İdari Bina Yapılması İnşaatı</t>
  </si>
  <si>
    <t>41.012814, 29.256097</t>
  </si>
  <si>
    <t>Tema İstanbul Köprüsü Derz Değişimi</t>
  </si>
  <si>
    <t>41.06285971104908, 28.765077521253</t>
  </si>
  <si>
    <t>Altıntepsi Mahallesi, O-3 Sağmalcılar Viyadüğü Genleşme Derzi Değişimi Yapılması (Aksaray Yönü)</t>
  </si>
  <si>
    <t>41.04268797127978, 28.897842287967855</t>
  </si>
  <si>
    <t>Altıntepsi Mahallesi, O-3 Sağmalcılar Viyadüğü Genleşme Derzi Değişimi Yapılması (Edirne Yönü)</t>
  </si>
  <si>
    <t>41.0427451896905, 28.898085053809282</t>
  </si>
  <si>
    <t>Balmumcu Mahallesi, O-1 Balmumcu Bağlantı Viyadüğü Genleşme Derzi Değişimi Yapılması</t>
  </si>
  <si>
    <t>41.05536737420909, 29.02286218365178</t>
  </si>
  <si>
    <t>Mehmet Nesih Özmen Mah. Poyrazlı Sok. 1230 Ada 3 Parsel İstinat Duvarı İnşaatı</t>
  </si>
  <si>
    <t>41.00786516 , 28.88240088</t>
  </si>
  <si>
    <t>567405fb-d16b-ed11-b8c1-005056b0106f</t>
  </si>
  <si>
    <t>Güngören İlçesi, Mehmet Nesih Özmen Mahallesi Poyrazlı Sokak 1230 Ada 3 Parsel İstinat Duvarı Projesi</t>
  </si>
  <si>
    <t>Dumlupınar Mah. Gözdağı Korusu Duvar İnşaatı</t>
  </si>
  <si>
    <t>40.89213397 , 29.25184026</t>
  </si>
  <si>
    <t>f166537d-60e2-ed11-b8d6-005056b0106f</t>
  </si>
  <si>
    <t>Pendik İlçesi, Dumlupınar Mahallesi Gözdağı Korusu Duvar Projesi</t>
  </si>
  <si>
    <t>Cebeci Mah. 3957 Ada 2 Parsel Kreş Projesi Etrafı Düzenleme İşi</t>
  </si>
  <si>
    <t>Finans Merkezi 8 Nolu Köprüsü (Anadolu Yakası)</t>
  </si>
  <si>
    <t>41.00170667593517, 29.113559076170553</t>
  </si>
  <si>
    <t>Piyade Okulu Eksikliklerinin Tamamlanması İnşaatı</t>
  </si>
  <si>
    <t>40.82784692416244, 29.327945467019056</t>
  </si>
  <si>
    <t>a7efab61-6074-ec11-b89e-005056b0106f</t>
  </si>
  <si>
    <t>Tuzla Piyade Okulu Eksikliklerinin Tamamlanması İnşaatı</t>
  </si>
  <si>
    <t>Batı Mahallesi Sahil Dere Üstü Köprüsünün Yeniden Yapım İşi</t>
  </si>
  <si>
    <t>40.87664564 , 29.22024424</t>
  </si>
  <si>
    <t>5d58649d-8581-ef11-b8f1-005056b0106f</t>
  </si>
  <si>
    <t>Pendik Batı Mahallesi Sahili Dere Üstü Köprüsünün Yeniden Yapım Projesi</t>
  </si>
  <si>
    <t>Şirinevler Meydan Düzenlemesi</t>
  </si>
  <si>
    <t>40.99237763240211, 28.848490410238448</t>
  </si>
  <si>
    <t>Ayamama Üzeri Köprü İnşaatı</t>
  </si>
  <si>
    <t>40.98419995 , 28.83961194</t>
  </si>
  <si>
    <t>D-100 Karayolu Tuzla İçmeler Kavşağı - Hünkâr Çayırı Yol Ayrımı Arasında Eksik Kalan Yan Yolları Altyapı ve Üstyapı İnşaatı</t>
  </si>
  <si>
    <t>40.84964875230005, 29.298006968301127</t>
  </si>
  <si>
    <t>e9bb247e-3651-ed11-b8b6-005056b0106f</t>
  </si>
  <si>
    <t>D-100 Karayolu Tuzla İçmeler Kavşağı - Hünkar Çayırı Yol Ayrımı arasında Eksik Kalan Yan yolları Altyapı ve Üstyapı İnşaatı</t>
  </si>
  <si>
    <t>Rauf Orbay Caddesi (Sahil Yolu) Marmaray Köprüsü Geçişi Kot Düşürme Projesi</t>
  </si>
  <si>
    <t>40.98149971511662, 28.874674682614504</t>
  </si>
  <si>
    <t>TÜYAP Metrobüs Asansör Yenileme Çalışması</t>
  </si>
  <si>
    <t>41.01145669546924, 28.64976279626208</t>
  </si>
  <si>
    <t>TÜYAP Metrobüs Son Durak Asansör Yenileme İşi</t>
  </si>
  <si>
    <t>41.02295270732622, 28.624035676871966</t>
  </si>
  <si>
    <t>Kartal Ege Sanayi Okulu Karşısı Yaya Üst Geçidinin Engelli Erişimine Uygun Hale Getirilmesi</t>
  </si>
  <si>
    <t>40.92062563 , 29.21256876</t>
  </si>
  <si>
    <t>0eb34ec9-b720-ee11-b8da-005056b0106f</t>
  </si>
  <si>
    <t>Kartal Ege Sanayi Okulu Yaya Üst Geçidinin Engelli Erişimine Uygun Hale Getirilmesi Projesi</t>
  </si>
  <si>
    <t>Güngören Meydanı ve Çevre Düzenleme İnşaatı</t>
  </si>
  <si>
    <t>41.01528980988679, 28.8777453054435</t>
  </si>
  <si>
    <t>Bağdat Caddesi ile Atatürk Caddesi Arası Meydan Düzenleme İnşaatı</t>
  </si>
  <si>
    <t>40.92398809 , 29.13262737</t>
  </si>
  <si>
    <t>Ataşehir İçerenköy Metro Meydanı Düzenleme İnşaatı</t>
  </si>
  <si>
    <t>40.97912416806157, 29.126209268305903</t>
  </si>
  <si>
    <t>Fatih ilçesi, Mimar Kemalettin Mahallesi, Yeniçeriler Caddesi ve Divan Yolu Caddesinin Yenileme Çalışmalarının Yapılması</t>
  </si>
  <si>
    <t>41.00884358267709, 28.967891856096074</t>
  </si>
  <si>
    <t>Ümraniye Dudullu Meydan, İstanbul Kitapçısı, Büfe, Ödünç Kütüphane ve Çözüm Merkezi</t>
  </si>
  <si>
    <t>41.015181, 29.163332</t>
  </si>
  <si>
    <t>Fatih İlçesi, İstanbul Güreş İhtisas Eğitim Sağlık ve Sosyal Yardım Vakfı Spor Tesisi İnşaatı</t>
  </si>
  <si>
    <t>41.01171479 , 28.95243665</t>
  </si>
  <si>
    <t>2715f017-1a08-e811-8103-005056a5354a</t>
  </si>
  <si>
    <t>İstanbul Güreş İhtisas Eğitim Sağlık ve Sosyal Yardım Vakfı Spor Tesisi Projesi</t>
  </si>
  <si>
    <t>Bayrampaşa Mustafa Kav Camii</t>
  </si>
  <si>
    <t>41.07159582698657, 28.881616446875604</t>
  </si>
  <si>
    <t>Fatih Kariye Mahallesi Otizm Merkezi İnşaatı</t>
  </si>
  <si>
    <t>Kariye Yaşam Merkezi</t>
  </si>
  <si>
    <t>41.02960061 , 28.93810931</t>
  </si>
  <si>
    <t>cff64495-bd80-eb11-b86f-005056b0156e</t>
  </si>
  <si>
    <t>Fatih Hizmet Binası Revizyon Projesi</t>
  </si>
  <si>
    <t>Avcılar İlçesi Atatürk Stadyumunun Bakım ve Onarımının Yapılması</t>
  </si>
  <si>
    <t>41.01354201732202, 28.699562058515667</t>
  </si>
  <si>
    <t>Mecidiyeköy -Mahmutbey Arası</t>
  </si>
  <si>
    <t>41.06613862279539, 28.99456067069809</t>
  </si>
  <si>
    <t>Kabataş - Mecidiyeköy - Mahmutbey Metro Hattı(3. Kısım: Yıldız - Kabataş Arası)</t>
  </si>
  <si>
    <t>4,5 km Yıldız-Kabataş arası Beşiktaş ve Kabataş İstasyonları</t>
  </si>
  <si>
    <t>ihale bedeli euro cinsindendir</t>
  </si>
  <si>
    <t>41.040584250519, 29.000230067245543</t>
  </si>
  <si>
    <t>Eyüpsultan - Bayrampaşa Tramvay Hattı</t>
  </si>
  <si>
    <t>3,2 km 5 istasyondan oluşan tramvay hattı</t>
  </si>
  <si>
    <t>Eyüpsultan-Bayrampaşa Tramvay hattı İhale bedelidir.</t>
  </si>
  <si>
    <t>41.03418607027894, 28.94863247756644</t>
  </si>
  <si>
    <t>Yenidoğan - Söğütlüçeşme Metro Hattı(1.Etap Yenidoğan - Emek Arası)</t>
  </si>
  <si>
    <t>Yenidoğan-Söğütlüçeşme Metro Hattı 1.Etabı 6,7 Km uzunluğunda 5 istasyondan oluşan Emek -Yenidoğan arası</t>
  </si>
  <si>
    <t>Çekmeköy-Sancaktepe-Sultanbeyli Metrosu ile Sarıgazi (Hastane)-Taşdelen-Yenidoğan Metrosu İnşaat Ve Elektromekanik Sistemler Temin, Montaj Ve İşletmeye Alma İşleri ihale bedelidir.</t>
  </si>
  <si>
    <t>40.99235487086784, 29.034383991879253</t>
  </si>
  <si>
    <t>Üsküdar-Kadıköy-Maltepe Tramvay Hattı</t>
  </si>
  <si>
    <t>41.010399281441146, 29.051457811613723</t>
  </si>
  <si>
    <t>Hacıosman - Çayırbaşı - Sarıyer Metro Hattı</t>
  </si>
  <si>
    <t>41.13989481050978, 29.030962760370873</t>
  </si>
  <si>
    <t>İTÜ Maslak - Kâğıthane Metro Hattı</t>
  </si>
  <si>
    <t>41.10837252582634, 29.021638708249768</t>
  </si>
  <si>
    <t>Ümraniye - Üsküdar - Beykoz Metro Hattı</t>
  </si>
  <si>
    <t>41.024706114105406, 29.084406325979135</t>
  </si>
  <si>
    <t>Üsküdar - Kadıköy Metro Hattı</t>
  </si>
  <si>
    <t>41.02563443970806, 29.014257264067748</t>
  </si>
  <si>
    <t>Ayvansaray - Fenertepe Metro Hattı</t>
  </si>
  <si>
    <t>41.03602689312482, 28.9426019518848</t>
  </si>
  <si>
    <t>Laleli - Ayvansaray Tramvay Hattı</t>
  </si>
  <si>
    <t>41.009710596066576, 28.955426913200288</t>
  </si>
  <si>
    <t>Tekstilkent - Kazlıçeşme Metro Hattı</t>
  </si>
  <si>
    <t>41.06917949408561, 28.8636573339102</t>
  </si>
  <si>
    <t>TÜYAP - Hadımköy Tramvay Hattı</t>
  </si>
  <si>
    <t>41.02678771588122, 28.62289308934269</t>
  </si>
  <si>
    <t>İTÜ - Ayazağa Füniküler Hattı</t>
  </si>
  <si>
    <t>41.108263430573096, 29.020292082792665</t>
  </si>
  <si>
    <t>Kartal Sahil - Uğurmumcu Metro Hattı</t>
  </si>
  <si>
    <t>40.93765340166666, 29.217075453299415</t>
  </si>
  <si>
    <t>Şişhane - Okmeydanı Metro Hattı</t>
  </si>
  <si>
    <t>41.02871784069636, 28.971064927048257</t>
  </si>
  <si>
    <t>Tuzla Tramvay Hattı</t>
  </si>
  <si>
    <t>40.83982477498586, 29.315799658341</t>
  </si>
  <si>
    <t>Ambarlı - Hadımköy Metro Hattı</t>
  </si>
  <si>
    <t>40.986363933103924, 28.719272248824293</t>
  </si>
  <si>
    <t>Maltepe Sahil - Samandıra Metro Hattı</t>
  </si>
  <si>
    <t>40.92584821435806, 29.129927700156276</t>
  </si>
  <si>
    <t>We Haliç  (Tamamlanan Etap)</t>
  </si>
  <si>
    <t>186 konut+19 ticaret</t>
  </si>
  <si>
    <t>41.053965,  28.921360</t>
  </si>
  <si>
    <t>We Haliç (Devam Eden Etaplar)</t>
  </si>
  <si>
    <t>501 konut + 9 ticaret</t>
  </si>
  <si>
    <t>Akşemsettin K3 Yapı Adası</t>
  </si>
  <si>
    <t>445 konut +12 ticaret</t>
  </si>
  <si>
    <t>41.089457,  28.929862</t>
  </si>
  <si>
    <t>Akşemsettin K3 Yapı Adası Kreş</t>
  </si>
  <si>
    <t>K3 Yapı Adası kapsamında yapılmıştır. Maliyeti Ana Proje içerisinde 5774</t>
  </si>
  <si>
    <t>Akşemsettin K4 Yapı Adası</t>
  </si>
  <si>
    <t>258 konut</t>
  </si>
  <si>
    <t>41.088097,  28.931995</t>
  </si>
  <si>
    <t>1187 Ada 19 Parsel  1. Etap</t>
  </si>
  <si>
    <t>142 konut</t>
  </si>
  <si>
    <t>41.098636,  28.896162</t>
  </si>
  <si>
    <t>Gökay Apartmanı</t>
  </si>
  <si>
    <t>48 konut+ 2 ticaret</t>
  </si>
  <si>
    <t>40.988349,  29.067476</t>
  </si>
  <si>
    <t>Nergis Apartmanı</t>
  </si>
  <si>
    <t>30 konut+1 ticaret</t>
  </si>
  <si>
    <t>41.020057,  28.931767</t>
  </si>
  <si>
    <t>Özfeza Sitesi E Blok</t>
  </si>
  <si>
    <t>24 konut</t>
  </si>
  <si>
    <t>41.026209,  28.792532</t>
  </si>
  <si>
    <t>Tekin Apartmanı</t>
  </si>
  <si>
    <t>30 konut</t>
  </si>
  <si>
    <t>40.971659,  29.094060</t>
  </si>
  <si>
    <t>Arkatlı Evler Kaynak Geliştirme Projesi (Devam Eden Etaplar)</t>
  </si>
  <si>
    <t>372 konut+65 ticaret</t>
  </si>
  <si>
    <t>40.865381,  29.276024</t>
  </si>
  <si>
    <t>Pendik Arkatlı Evler Kreş</t>
  </si>
  <si>
    <t>Arkatlı Evler Projesi kapsamındadır. Maliyeti 5781 ana projesine dahildir</t>
  </si>
  <si>
    <t>İBB Emekçileri Lisesi</t>
  </si>
  <si>
    <t>12 Derslik, 360 öğrenci kapasitesi</t>
  </si>
  <si>
    <t>Hatay</t>
  </si>
  <si>
    <t>36.510725,  36.370959</t>
  </si>
  <si>
    <t>Sosyal-Kültürel Tesis, İstanbul Kitapçısı, Restoran-Cafe vs.</t>
  </si>
  <si>
    <t>KİPTAŞ tarafından müşavirlik hizmeti verilmiştir.</t>
  </si>
  <si>
    <t>41.007526,  28.944325</t>
  </si>
  <si>
    <t>Sarıyer Fidanlık</t>
  </si>
  <si>
    <t>Tohum Merkezi, Sanat Atölyesi, Yemekhane, Bahçıvanlık Okulu, 
Restoran, Sergi Alanı, Beltur, Kütüphane vs.</t>
  </si>
  <si>
    <t>41.153672,  29.030866</t>
  </si>
  <si>
    <t>Organik Organomineral Gübre Üretimi</t>
  </si>
  <si>
    <t>Kemerburgaz Kompost ve Geri Kazanım Tesisi'mizde üretilen kompost ile bitki besi maddeleri içeren malzemelerin birleştirilmesi ve satışa hazır hale getirilmesi planlanmaktadır.</t>
  </si>
  <si>
    <t>41.22316520286081, 28.81925445345416</t>
  </si>
  <si>
    <t>Evsel Atık Yakma Tesisi Hibrit GES Projesi</t>
  </si>
  <si>
    <t>3 MW kurulu güce sahip hibrit GES.</t>
  </si>
  <si>
    <t>41.22462155113314, 28.81517415345416</t>
  </si>
  <si>
    <t>Hacıbektaş Mihmandar Vizyon Projesi</t>
  </si>
  <si>
    <t>65 konut+ 10 ticaret</t>
  </si>
  <si>
    <t>Çağlayan Meydanı ve Çevresi Kentsel Dönüşüm Projesi</t>
  </si>
  <si>
    <t>Yaklaşık  2,36 Hektar Alanda Kentsel Dönüşüm Projeleri Kapsamında Proje Değerleme, Uzlaşma Ofisi Yönetimi ve Uzlaşma Görüşmeleri</t>
  </si>
  <si>
    <t>41.070136772220984, 28.977544258249406</t>
  </si>
  <si>
    <t>Eyüpsultan İlçesi Akşemsettin ve Çırçır Mahalleleri Riskli Alanlarına İlişkin Kentsel Dönüşüm Projesi</t>
  </si>
  <si>
    <t>Toplam  26.37 Hektar (2 Adet Riskli Alan) Alanda Kentsel Dönüşüm Projeleri Kapsamında Uzlaşma Ofisi Yönetimi ve Uzlaşma Görüşmeleri</t>
  </si>
  <si>
    <t>41.08968402609965, 28.924230137172767</t>
  </si>
  <si>
    <t>Bayrampaşa İlçesi İsmetpaşa Mahallesi Kentsel Dönüşüm Projesi</t>
  </si>
  <si>
    <t>Toplam 16 Hektar (2 Adet Rezerev Alan)  Alanda Kentsel Dönüşüm Projeleri Kapsamında Uzlaşma Ofisi Yönetimi, Mülkiyet Yönetimi ve Uzlaşma Görüşmeleri</t>
  </si>
  <si>
    <t>41.04400234125435, 28.90439798589004</t>
  </si>
  <si>
    <t>Beykoz İlçesi Çubuklu Mahallesi A Bölgesi Riskli Alanı Kentsel Dönüşüm Projesi</t>
  </si>
  <si>
    <t>Yaklaşık  5,6 Hektar Alanda Kentsel Dönüşüm Projeleri Kapsamında Uzlaşma Ofisi Yönetimi ve Uzlaşma Görüşmeleri</t>
  </si>
  <si>
    <t>41.10427043113052, 29.09427737130207</t>
  </si>
  <si>
    <t>Büyükçekmece İlçesi Mimar Sinan Mahallesi Riskli Alanı Kentsel Dönüşüm Projesi</t>
  </si>
  <si>
    <t>Yaklaşık  4,83 Hektar Alanda Kentsel Dönüşüm Projeleri Kapsamında Proje Değerlemei, Uzlaşma Ofisi Yönetimi ve Uzlaşma Görüşmeleri</t>
  </si>
  <si>
    <t>41.01511339709953, 28.557982633373324</t>
  </si>
  <si>
    <t>Eyüpsultan Karadolap Mahallesi 38 Ada Kentsel Tasarım Projesi</t>
  </si>
  <si>
    <t>992Konut</t>
  </si>
  <si>
    <t>41,0749787, 28,9361740</t>
  </si>
  <si>
    <t>Avcılar Yeşilkent Mahallesi Kentsel Tasarım Projeleri</t>
  </si>
  <si>
    <t>2660 Konut</t>
  </si>
  <si>
    <t>41,0481607, 28,6956302</t>
  </si>
  <si>
    <t>Eyüpsultan 113 Ada Kesin Projeleri</t>
  </si>
  <si>
    <t>542 Konut</t>
  </si>
  <si>
    <t>41,0864076, 28,9195120</t>
  </si>
  <si>
    <t>Bayrampaşa İsmetpaşa Mahallesi Kesin Projeler</t>
  </si>
  <si>
    <t>639 Konut</t>
  </si>
  <si>
    <t>41,0430306, 28,9050294</t>
  </si>
  <si>
    <t>Güngören Abdurahman Nafiz Gürman Mahallesi Kentsel Tasarım Projesi</t>
  </si>
  <si>
    <t>41,0059968, 28,8886465</t>
  </si>
  <si>
    <t>Küçükçekmece Fevzi Çakmak / Kartaltepe Mahallesi Kentsel Tasarım Projesi</t>
  </si>
  <si>
    <t>41,0031114, 28,7954581</t>
  </si>
  <si>
    <t>Beşiktaş İlçesi Dikilitaş Mahallesi 25 ada 77 parsel</t>
  </si>
  <si>
    <t>Toplam 127 bağımsız bölümden oluşan 124 adet konut nitelikli ve 3 adet ticari nitelikli bağımsız bölümden oluşan kaynak geliştirme projesi</t>
  </si>
  <si>
    <t>41.05666164156016, 29.000190810867853</t>
  </si>
  <si>
    <t>Avcılar Yeşilkent Mahallesi Ön Projeleri</t>
  </si>
  <si>
    <t>Eyüpsultan Karadolap Mahallesi 38 Ada Ön Projeleri</t>
  </si>
  <si>
    <t>Halkevi Cad. İle Oğuzhan Sok. Kesişimi Dere Köprüsü</t>
  </si>
  <si>
    <t>​3,8 metre genişliğinde, 70 metre uzunluğunda yaya üst geçidi</t>
  </si>
  <si>
    <t>41.07743657 , 28.23596123</t>
  </si>
  <si>
    <t>9bf3f0b0-e15e-ef11-b8ee-005056b0106f</t>
  </si>
  <si>
    <t>Silivri Halkevi Caddesi Oğuzhan Sokak Kesişimi Dere Geçiş Köprüsünün Yeniden Yapım Projesi</t>
  </si>
  <si>
    <t>Beşiktaş Kent Meydanı Çevre Düzenleme Yapım İşi</t>
  </si>
  <si>
    <t>41.0417229, 29.0066113</t>
  </si>
  <si>
    <t>f48c4e36-b0cd-ef11-b90e-005056b0106f</t>
  </si>
  <si>
    <t>Beşiktaş Kent Meydanı Çevre Düzenleme Projesi</t>
  </si>
  <si>
    <t>Sarayburnu Parkı ve Çevresi Düzenleme Yapım İşi</t>
  </si>
  <si>
    <t>41.01646205235922, 28.985799322566717</t>
  </si>
  <si>
    <t>c08a00e6-927a-ec11-b89e-005056b0106f</t>
  </si>
  <si>
    <t>Sarayburnu Parkı Ve Çevresi Düzenleme Projesi</t>
  </si>
  <si>
    <t>2_Etap Kara surları, Belgradkapı-Mermerkule Arası Rölöve,Restitüsyon,Restorasyon</t>
  </si>
  <si>
    <t>Tarihi Kara Surlarının Tamamı 13 etaptan oluşuyor. Etapların bitiminde tekrardan başa dönülerek  1. Etaptan işlere devam edildiğinden tahmini bitiş tarihi verilmesi Kültür Varlıkları Başkanlığı tarafından uygun bulunmuyor.</t>
  </si>
  <si>
    <t xml:space="preserve">Tarihi Kara Surlarının Tamamı 13 etaptan oluşuyor. Etapların bitiminde tekrardan başa dönülerek  1. Etaptan işlere devam edildiğinden tahmini bitiş tarihi verilmesi Kültür Varlıkları Başkanlığı tarafından uygun bulunmuyor.
</t>
  </si>
  <si>
    <t>40.99383039 , 28.92079315</t>
  </si>
  <si>
    <t>Kadıköy Hasanpaşa Mahallesi Hayvan Hastanesi İnşaatı ( Bağışçı)</t>
  </si>
  <si>
    <t>40.99496534 , 29.03819052</t>
  </si>
  <si>
    <t>58b0d14b-84fa-e611-80eb-005056a5354a</t>
  </si>
  <si>
    <t>Kadıköy İlçesi Hasanpaşa Mahallesi Sosyal Merkez Projesi (Hayvan Hastanesi)</t>
  </si>
  <si>
    <t>Atakent Yurt Binası Tamamlama</t>
  </si>
  <si>
    <t>41.04185076 , 28.76050505</t>
  </si>
  <si>
    <t>K3-K4 ve Sultangazi Projelerindeki Ges Uygulama İşi</t>
  </si>
  <si>
    <t>Sürdürülenilir Çevre ve Enerji Yönetimini güçlendirmek ve söz konusu projelerden enerji tasarrufu yapılması hedeflenmektedir.</t>
  </si>
  <si>
    <t>41.144706, 28.910397</t>
  </si>
  <si>
    <t>Bayrampaşa İlçes, İmetpaşa Mahallesi, 24334 parselde bulunan Ticari ve Ortak Alanlara Güneş enerji Santralleri için Orta Gerilim  Güç Artışı Uygulama İşi (Trafo)</t>
  </si>
  <si>
    <t>19/06/2018 tarihinde imzalanan “İstanbul İli, Bayrampaşa İlçesi, İsmetpaşa Mahallesi Rezerv Alanında Bulunan, Kentsel Dönüşüm Kapsamında Yapılan Bina Çatılarına Güneş Enerji Santrali Kurulumu ’’ protokol doğrultusunda enerji santral kurulum işinin yapımına ilişkin 9 adet yapıya ait  GES bağlantısı tamamlanmış olup aktif hale getirilmiştir.14 adet yapıya ait GES bağlantısının aktif hale getirilebilmesi için yeterli enerjiyi sağlamak için  trafo kurulumu gerektiğinden devreye alınması için trafonun yapılması gerekmektedir.</t>
  </si>
  <si>
    <t>41.044101, 28.902916</t>
  </si>
  <si>
    <t>Bağcılar İlçesi Yıldıztepe Mahallesi Yeşilbağ Ulu Camii Şadırvanı Tamamlama İnşaatı</t>
  </si>
  <si>
    <t>41.02573334542596, 28.857467137082608</t>
  </si>
  <si>
    <t>Bayrampaşa Arda Turan Spor Kompleksi</t>
  </si>
  <si>
    <t>41.03925644111569, 28.905948077560847</t>
  </si>
  <si>
    <t>Beykoz İshaklı Mezarlığı</t>
  </si>
  <si>
    <t>41.14042126965226, 29.305697198459562</t>
  </si>
  <si>
    <t>Bayrampaşa Spor Kompleksi Çatı Tadilatı ve Otomasyon Sistemi Kurulması</t>
  </si>
  <si>
    <t>41.044519764219274, 28.910898621689757</t>
  </si>
  <si>
    <t>Enerji Yönetimi Ve Aydınlatma Şube Müdürlüğü</t>
  </si>
  <si>
    <t>Kayışdağı İBB Darülaceze Ana Kampüsü Çatısı GES Kurulumu</t>
  </si>
  <si>
    <t>40.97811816814115, 29.148330067767155</t>
  </si>
  <si>
    <t>Arnavutköy Mezarlığı Hizmet ve Gasilhane Bina Çatısı GES Kurulumu</t>
  </si>
  <si>
    <t>41.18025627559155, 28.75175569735623</t>
  </si>
  <si>
    <t>Sahil Tuvaleti Çatısı GES Kurulumu</t>
  </si>
  <si>
    <t>40.97098079293544, 28.720411509039472</t>
  </si>
  <si>
    <t>Yüzme Havuzu Çatısı GES Kurulumu</t>
  </si>
  <si>
    <t>41.00211484035942, 28.880573512485714</t>
  </si>
  <si>
    <t>İstanbul Planlama Ajansı (İPA-Florya Kent Ormanı) GES Kurulumu</t>
  </si>
  <si>
    <t>40.97509879440979, 28.78688891952925</t>
  </si>
  <si>
    <t>Ataköy Sosyal Hizmetler Dairesi Başkanlığı Bina Çatısı (2 Etap) GES Kurulumu</t>
  </si>
  <si>
    <t>40.989965539312394, 28.830491983649466</t>
  </si>
  <si>
    <t>Hoşdere Park Alanı (Millet Bahçesi) GES Kurulumu</t>
  </si>
  <si>
    <t>41.09374559845038, 28.64864595296696</t>
  </si>
  <si>
    <t>Engelliler Merkezi Bina Çatısı (2 Etap) GES Kurulumu</t>
  </si>
  <si>
    <t>41.102220830260606, 28.811114339715857</t>
  </si>
  <si>
    <t>İBB İtfaiye Bina Çatısı GES Kurulumu</t>
  </si>
  <si>
    <t>41.105450915966834, 28.8004713275382</t>
  </si>
  <si>
    <t>Beşiktaş Gmall Yapısının Spor Maçka'ya Dönüşüm İnşaatı</t>
  </si>
  <si>
    <t>41.044104407364664, 28.992309321225598</t>
  </si>
  <si>
    <t>Beylikdüzü Gürpınar Su Ürünleri Hali Değerlendirme ve Paketleme Ünitesine Ofis Yapılması</t>
  </si>
  <si>
    <t>İstanbul Şehir Tiyatroları Muhsin Ertuğrul Sahnesi Cephesi ve Çevresi Bakım Onarım İnşaatı</t>
  </si>
  <si>
    <t>41.047012071904255, 28.988810844410573</t>
  </si>
  <si>
    <t>Kağıthane Gürsel Mahallesi Sultan Melik Camii’ne Muhtelif İmalatlar Yapılması</t>
  </si>
  <si>
    <t>41.0668291, 28.9687811</t>
  </si>
  <si>
    <t>Hidayet Türkoğlu Spor Kompleksi Çatısı GES Kurulumu</t>
  </si>
  <si>
    <t>41.06589444171619, 28.885773610637468</t>
  </si>
  <si>
    <t>Dijital İkiz Sergisi Programı</t>
  </si>
  <si>
    <t>41.03404665626253, 28.976925584409546</t>
  </si>
  <si>
    <t>EYAM Müdürlük İdari Bina ve Garaj Çatısı GES Kurulumu</t>
  </si>
  <si>
    <t>41.05230376194517, 28.904854828835802</t>
  </si>
  <si>
    <t>İBB Kaleiçi İtfaiye Bina Çatısı GES Kurulumu</t>
  </si>
  <si>
    <t>41.15004963362234, 28.46221488562553</t>
  </si>
  <si>
    <t>Dolmabahçe Gazhanesi Müzesi</t>
  </si>
  <si>
    <t>41.04229176242271, 28.99388639741167</t>
  </si>
  <si>
    <t>Kâğıthane Yeşilce Mahallesi Zeminaltı Otoparkı Trafo ve Havalandırma İmalatlarının Yapılması</t>
  </si>
  <si>
    <t>41.0938000, 29.0017000</t>
  </si>
  <si>
    <t>Kemer Spor Kompleksi Çatısı GES Kurulumu</t>
  </si>
  <si>
    <t>41.05342461557564, 28.878686178051634</t>
  </si>
  <si>
    <t>İBB Turgut Reis İtfaiye Bina Çatısı GES Kurulumu</t>
  </si>
  <si>
    <t>41.064571164701434, 28.867263006106935</t>
  </si>
  <si>
    <t>İBB Kemerburgaz İtfaiye Bina Çatısı GES Kurulumu</t>
  </si>
  <si>
    <t>41.16154713896003, 28.91083407995465</t>
  </si>
  <si>
    <t>Spor Kompleksi Çatısı</t>
  </si>
  <si>
    <t>41.026936483311275, 28.931086569360108</t>
  </si>
  <si>
    <t>Silivri Kapı Buz Pisti Çatısı GES Kurulumu</t>
  </si>
  <si>
    <t>41.003560659172656, 28.921917518576116</t>
  </si>
  <si>
    <t>Trafik Şube Müdürlüğü Alibeyköy Hizmet Tesisi Tamamlama İnşaatı</t>
  </si>
  <si>
    <t>41.0414424, 28.9249437</t>
  </si>
  <si>
    <t>Davet ve Toplantı Salonu Çatısı GES Krulumu</t>
  </si>
  <si>
    <t>41.03659202738733, 28.871832554815416</t>
  </si>
  <si>
    <t>Cemal Kamacı Spor Kompleksi Çatısı GES Kurulumu</t>
  </si>
  <si>
    <t>41.053998266535565, 28.959281788664917</t>
  </si>
  <si>
    <t>Bülent Ecevit Kültür Merkezi 1.Etap GES Kurulumu</t>
  </si>
  <si>
    <t>40.88710029414751, 29.19502833048318</t>
  </si>
  <si>
    <t>Sosyal Tesisler (Traker) Çatısı GES Kurulumu</t>
  </si>
  <si>
    <t>41.00150910738655, 28.765707947301163</t>
  </si>
  <si>
    <t>İstanbul Sanat Müzesi (2. Etap)</t>
  </si>
  <si>
    <t>41.02948254628159, 28.967530131477314</t>
  </si>
  <si>
    <t>Tepeören Hayvan Barınağı GES Kurulumu</t>
  </si>
  <si>
    <t>40.96526392461947, 29.405442010633774</t>
  </si>
  <si>
    <t>İstanbul Tasarım Müzesi (2. Etap)</t>
  </si>
  <si>
    <t>41.01503570622248, 28.96533531882957</t>
  </si>
  <si>
    <t>Mezarlığı Hizmet ve Gasilhane Bina Çatısı</t>
  </si>
  <si>
    <t>41.074595586466614, 28.09064626310235</t>
  </si>
  <si>
    <t>İBB Selimpaşa İtfaiye Bina Çatısı GES Kurulumu</t>
  </si>
  <si>
    <t>41.05947472494627, 28.362320459594628</t>
  </si>
  <si>
    <t>75.Yıl Spor Salonu Çatısı GES Kurulumu</t>
  </si>
  <si>
    <t>41.100958103806065, 28.90117497806237</t>
  </si>
  <si>
    <t>Hoca Ahmet Yesevi Kültür Merkezi Çatısı</t>
  </si>
  <si>
    <t>41.09798464804464, 28.87640412413121</t>
  </si>
  <si>
    <t>Rumeli Hisarı Müzesi</t>
  </si>
  <si>
    <t>41.08483470077214, 29.05673189745415</t>
  </si>
  <si>
    <t>Engelliler Yaz Kampı GES Kurulumu</t>
  </si>
  <si>
    <t>41.188780721223154, 29.470818614076915</t>
  </si>
  <si>
    <t>Maçka Deprem Parkı Tuvaleti Çatısı GES Kurulumu</t>
  </si>
  <si>
    <t>41.04475661224728, 28.99267333365695</t>
  </si>
  <si>
    <t>Çakmak Yüzme Havuzu Çatısı GES Kurulumu</t>
  </si>
  <si>
    <t>41.02161551771989, 29.124369295292734</t>
  </si>
  <si>
    <t>Atatürk Caddesi ile Halife Caddesi ve Gazi Caddesi Kesişimi Arasında Kalan Kısmın Prestij Cadde Düzenleme Çalışması (Bahçelievler Cad. 2. Kısım)</t>
  </si>
  <si>
    <t>41.006217, 29.234252</t>
  </si>
  <si>
    <t>Topkapı Deprem (Kültür) Parkı Tuvalet Çatısı GES Kurulumu</t>
  </si>
  <si>
    <t>41.02149962357797, 28.92062495481482</t>
  </si>
  <si>
    <t>232 Ada 8 Parsel, Yıldız Parkı Çevre Duvarının Müvezzi Caddesi Yönünde Yer Alan Bölümüne Ait Rölöve, Restitüsyon, Restorasyon ve İnşaat Mühendisliği Projelerinin Hazırlanması</t>
  </si>
  <si>
    <t>İstinat Duvarı (280 m)</t>
  </si>
  <si>
    <t>41.044783505022416, 29.015995509087283</t>
  </si>
  <si>
    <t>Abide-i Hürriyet Caddesi Prestjj Cadde Düzenleme Çalışması (İBB Habitat Kütüphanesi Önü Düzenlemesi)</t>
  </si>
  <si>
    <t>41.059893, 28.986891</t>
  </si>
  <si>
    <t>Adnan Kahveci Bulvarı Düzenlenmesi</t>
  </si>
  <si>
    <t>40.998785, 28.858163</t>
  </si>
  <si>
    <t>Haliç Tersanesi B-Blok İç Mimari (Teşhir Tanzim) Uygulaması</t>
  </si>
  <si>
    <t>41.02947689240011, 28.967447858775888</t>
  </si>
  <si>
    <t>Ortabahçe ve Ihlamurdere Caddeleri Düzenlenmesi</t>
  </si>
  <si>
    <t>41.042695, 29.004391</t>
  </si>
  <si>
    <t>Cumhuriyet Müzesi İç Mekan Konsept Proje ve Kurumsal Kimlik Hazırlanması</t>
  </si>
  <si>
    <t>41.036416959923635, 28.98442283543398</t>
  </si>
  <si>
    <t>Anadolu Yakası Yol Bakım Ve Onarım Şube Müdürlüğü</t>
  </si>
  <si>
    <t>Beykoz Çavuşbaşı Caddesi Düzenlenmesi</t>
  </si>
  <si>
    <t>41.079765, 29.141779</t>
  </si>
  <si>
    <t>“Lozan 1923/Yüzyıl Önceki Başlangıç” Sergisi Dijital İkizinin Oluşturulması</t>
  </si>
  <si>
    <t>41.05790548137642, 28.949489223735053</t>
  </si>
  <si>
    <t>Anadolu Hisarı Caddesi (1. Kısım) Düzenlenmesi</t>
  </si>
  <si>
    <t>41.083903187721255, 29.067455063307154</t>
  </si>
  <si>
    <t>Sanatkarlar Parkında Yer Alan Tonoz Kalıntısının Rölöve, Restitüsyon ve Restorasyon Projeleri</t>
  </si>
  <si>
    <t>41.028394992877594, 28.982964880044726</t>
  </si>
  <si>
    <t>Haliç Tersanesi B Blok İnşaat Mühendisliği Projeleri ile Akustik ve Aydınlatma Danışmanlığı</t>
  </si>
  <si>
    <t>41.02957522385109, 28.967332344662488</t>
  </si>
  <si>
    <t>Silivrikapı, Sümbül Efendi, Kocamustafapaşa, Yedikule, Haseki Sultan, Cerrahpaşa ve Aksaray Mahalleleri Arası Düzenlenmesi</t>
  </si>
  <si>
    <t>41.000296992116475, 28.93210557229834</t>
  </si>
  <si>
    <t>Haliç Tersanesi Kazı Rölövesi Hazırlanması</t>
  </si>
  <si>
    <t>41.02948143114218, 28.967438481971538</t>
  </si>
  <si>
    <t>Tütüncü Mehmet Efendi Caddesi Düzenlenmesi</t>
  </si>
  <si>
    <t>40.978555521503424, 29.066418822312965</t>
  </si>
  <si>
    <t>Kemerburgaz Caddesi Düzenlenmesi</t>
  </si>
  <si>
    <t>41.09382974601331, 28.964813475406846</t>
  </si>
  <si>
    <t>Yenikapı Lojistik Merkezi Muhtelif İmalatlarının Yapılması</t>
  </si>
  <si>
    <t>41.0007961, 28.9515720</t>
  </si>
  <si>
    <t>Haliç Tersanesi, “Ah Güzel İstanbul” Sergisi Dijital İkizi</t>
  </si>
  <si>
    <t>41.02941280224615, 28.967735666436884</t>
  </si>
  <si>
    <t>İBB İtfaiye Bina Çatısı Güneş Enerji Santrali GES Kurulumu</t>
  </si>
  <si>
    <t>40.97951576254138, 29.14696435296265</t>
  </si>
  <si>
    <t>Deniz Gezmiş Parkı Güneş Enerji Santrali GES Kurulumu</t>
  </si>
  <si>
    <t>41.00019159287363, 29.09466013288848</t>
  </si>
  <si>
    <t>Ferhatpaşa Mahallesi’nde, 190 Ada 2 Parsel İle 191 Ada 1 Parselin Arasında, Kadastral Boşlukta Yer Alan Anıt Sarnıç İçin Müdahale Paftası Hazırlanması</t>
  </si>
  <si>
    <t>41.140697275030725, 28.45995255739399</t>
  </si>
  <si>
    <t>Beykoz 80. Yıl Bayrak Anıtının Bakım Onarımı ve Tadilatı İnşaatı</t>
  </si>
  <si>
    <t>Anıt önündeki duvarın boyanması tamamlanmıştır. Aydınlatma eksiklikleri de giderilmiştir. Kalan talepler 12. grup Anadolu yakası bakım onarım yapılması işinde değerlendirilecektir.</t>
  </si>
  <si>
    <t>41.13272516856342, 29.105716635489415</t>
  </si>
  <si>
    <t>Yedikule Gazhanesi Blok-2 İç Mimari ve Çevre Düzenleme Projeleri ile Kurumsal Kimlik ve Aydınlatma Danışmanlığı Hizmet Alımı</t>
  </si>
  <si>
    <t>40.99120717488433, 28.923409811286763</t>
  </si>
  <si>
    <t>Sarıyer İstinye Sahili Cadde Düzenleme İnşaatı</t>
  </si>
  <si>
    <t>41.114098567260406, 29.059621305860713</t>
  </si>
  <si>
    <t>Küçükyalı Mustafa Kemal Caddesi Düzenlenmesi</t>
  </si>
  <si>
    <t>40.94884984048204, 29.11505750138043</t>
  </si>
  <si>
    <t>Feyzullah Caddesi Düzenlenmesi</t>
  </si>
  <si>
    <t>40.926361934065284, 29.138158798374043</t>
  </si>
  <si>
    <t>Sahilköy İstanbul Caddesi Düzenlenmesi</t>
  </si>
  <si>
    <t>41.199683, 29.419071</t>
  </si>
  <si>
    <t>Alacalı Caddesi Düzenlenmesi</t>
  </si>
  <si>
    <t>41.182114, 29.455138</t>
  </si>
  <si>
    <t>Küçük Çamlıca Caddesi Düzenlenmesi</t>
  </si>
  <si>
    <t>41.018670, 29.054894</t>
  </si>
  <si>
    <t>Manastır Caddesi Düzenlenmesi</t>
  </si>
  <si>
    <t>40.816462, 29.291995</t>
  </si>
  <si>
    <t>Eski Ankara Caddesi ile Dedepaşa Caddesi Arası Düzenlenmesi</t>
  </si>
  <si>
    <t>40.930772039652304, 29.33563568491319</t>
  </si>
  <si>
    <t>Çatalca Karacaköy Mezarlığı</t>
  </si>
  <si>
    <t>41.40370052919404, 28.388064712500565</t>
  </si>
  <si>
    <t>Çiftlikköy Mezarlığı</t>
  </si>
  <si>
    <t>40.65791641325776, 29.32724572118726</t>
  </si>
  <si>
    <t>Şenlikköy Mezarlığı</t>
  </si>
  <si>
    <t>40.988963946185414, 28.78693291063458</t>
  </si>
  <si>
    <t>Sarıyer ilçesi Osman Barlas Caddesi Düzenleme İnşaatı</t>
  </si>
  <si>
    <t>41.10906271391162, 29.04538921063907</t>
  </si>
  <si>
    <t>Azerbaycan Dostluk Parkı Güneş Enerji Santrali GES Kurulumu</t>
  </si>
  <si>
    <t>41.04431960571175, 28.855327951653265</t>
  </si>
  <si>
    <t>Fatih İlçesi Eminönü Meydanı ve Çevresinin Basit Bakım Onarım ve Engelli Erişimine Uygun Hale Getirilmesi</t>
  </si>
  <si>
    <t>41.01848017488765, 28.970471157203967</t>
  </si>
  <si>
    <t>Dr. Enver Ören Kültür Merkezi Çatısı Güneş Enerji Santrali GES Kurulumu</t>
  </si>
  <si>
    <t>41.0134312548194, 28.818472197143002</t>
  </si>
  <si>
    <t>7. Etap  1. ve 2. Grup Tescilli Kültür Varlıklarının Rölöve ,Restitüsyon,Restorasyon Projesi</t>
  </si>
  <si>
    <t>41.013943290192955, 28.95487466184164</t>
  </si>
  <si>
    <t>2020/1 İstanbul Geneli Tescilli Kültür Varlıklarının Rölöve, Restitüsyon, Restorasyon, Mühendislik ve Çevre Düzenlemesi</t>
  </si>
  <si>
    <t>İBB Ek Hizmet Bina Çatısı Güneş Enerji Santrali GES Kurulumu</t>
  </si>
  <si>
    <t>40.99967274902904, 28.885052818365605</t>
  </si>
  <si>
    <t>Galata Altgeçit Tavan Yenileme</t>
  </si>
  <si>
    <t>41.0248990, 28.9751174</t>
  </si>
  <si>
    <t>4.Etap Tescilli Kültür Varlıklarının Rölöve Restitüsyon Restorasyon Mühendislik ve Çevre Düzenlemesi</t>
  </si>
  <si>
    <t>Florya Atatürk Kent Ormanı Güneş Enerji Santrali GES Kurulumu</t>
  </si>
  <si>
    <t>40.977933881444514, 28.787103294382344</t>
  </si>
  <si>
    <t>İstanbul Büyükşehir Belediyesi, 100. Yıl Kent Meydanları Enstalasyon Tasarımı</t>
  </si>
  <si>
    <t>Kent Mobilyası Tasarımı</t>
  </si>
  <si>
    <t>İBB Bozhane İtfaiye Bina Çatısı Güneş Enerji Santrali GES Kurulumu</t>
  </si>
  <si>
    <t>41.13436240992798, 29.09812382598326</t>
  </si>
  <si>
    <t>2.Etap Tescilli Kültür Varlıklarının Rölöve Restitüsyon Restorasyon Ve Çevre Düzenleme Projelerinin Hazırlanması</t>
  </si>
  <si>
    <t>Bulgur Palas “Magnum İstanbul’da” Sergisi Dijital İkizinin Oluşturulması</t>
  </si>
  <si>
    <t>41.00706617877869, 28.94417005916991</t>
  </si>
  <si>
    <t>İBB Çavuşbaşı İtfaiye Bina Çatısı Güneş Enerji Santrali</t>
  </si>
  <si>
    <t>41.07435979591558, 29.139173997145228</t>
  </si>
  <si>
    <t>İBB Büyükçekmece İtfaiye Bina Çatısı Güneş Enerji Santrali GES Kurulumu</t>
  </si>
  <si>
    <t>41.01352318398512, 28.54461891814295</t>
  </si>
  <si>
    <t>İBB Kumburgaz İtfaiye Bina Çatısı Güneş Enerji Santrali GES Kurulumu</t>
  </si>
  <si>
    <t>41.030197707172675, 28.461290445367037</t>
  </si>
  <si>
    <t>I. Etap Türbe ve Hazirelerin Rölöve, Restitüsyon Ve Restorasyonu</t>
  </si>
  <si>
    <t>İBB Mimar Sinan İtfaiye Bina Çatısı Güneş Enerji Santrali GES Kurulumu</t>
  </si>
  <si>
    <t>41.01516178194089, 28.555474367640524</t>
  </si>
  <si>
    <t>İBB Ömerli İtfaiye Bina Çatısı Güneş Enerji Santrali 1.Etap GES Kurulumu</t>
  </si>
  <si>
    <t>41.07998110661099, 29.333731281802358</t>
  </si>
  <si>
    <t>Rahmi Demir Kent Ormanı Güneş Enerji Santrali GES Kurulumu</t>
  </si>
  <si>
    <t>41.037695256153164, 29.185864955354187</t>
  </si>
  <si>
    <t>İBB Ömerli İtfaiye Bina Çatısı Güneş Enerji Santrali 2.Etap GES Kurulumu</t>
  </si>
  <si>
    <t>41.08007006708936, 29.333752739473947</t>
  </si>
  <si>
    <t>Rasimpaşa Mahallesi, 2729 ada 1 parsel Ayrılık  Arap Mezarlığı Kazı ve Rölöve Projesi</t>
  </si>
  <si>
    <t>40.9964430737605, 29.031261909435443</t>
  </si>
  <si>
    <t>İBB Kıraç İtfaiye Bina Çatısı Güneş Enerji Santrali GES Kurulumu</t>
  </si>
  <si>
    <t>41.03945199370656, 28.64709581121114</t>
  </si>
  <si>
    <t xml:space="preserve">Kağıthane Gazhanesi Konsept Projesi </t>
  </si>
  <si>
    <t>40.99617471457841, 29.04261450672498</t>
  </si>
  <si>
    <t>Tevfik Aydeniz Spor Kompleksi Çatısı Güneş Enerji Santrali GES Kurulumu</t>
  </si>
  <si>
    <t>41.08134107273529, 28.938405706667538</t>
  </si>
  <si>
    <t>Arnavutköy, 87 Ada 40 Parsel Önünde Yer Alan Beyhan Sultan Çeşmesi’nin Rölöve, Restitüsyon ve Restorasyonu</t>
  </si>
  <si>
    <t>41.0614594694469, 29.037273492229843</t>
  </si>
  <si>
    <t>Haliç Tersanesi L Blok Art Residency Avan Projesi</t>
  </si>
  <si>
    <t>41.02945315196323, 28.96766491852369</t>
  </si>
  <si>
    <t>Yeşilpınar Kapalı Yüzme Havuzu Çatısı Güneş Enerji SantraliYeşilpınar Kapalı Yüzme Havuzu Çatısı Güneş Enerji Santrali (GES  Kurulumu)</t>
  </si>
  <si>
    <t>41.07899527003022, 28.925811097145342</t>
  </si>
  <si>
    <t>41.04785774119577, 28.934011830165442</t>
  </si>
  <si>
    <t>Eyüp Sultan Cami ve Çevresi Çevre Düzenleme Avan Projesi</t>
  </si>
  <si>
    <t>41.04781728481789, 28.934011830165442</t>
  </si>
  <si>
    <t>184 Ada 1 Parsel Sivil Mimarlık Örneği Yapının Restitüsyon ve Restorasyonu</t>
  </si>
  <si>
    <t>22 adet konut</t>
  </si>
  <si>
    <t>41.01762783137635, 28.941458345240715</t>
  </si>
  <si>
    <t>Yedikule Gazhanesi Gazometre Yapısı Panorama Sergisi</t>
  </si>
  <si>
    <t>40.991199002796854, 28.923366883072777</t>
  </si>
  <si>
    <t>3.Etap Tescilli Kültür Varlıklarının Rölöve Restitüsyon Restorasyon Mühendislik Ve Çevre Düzenlemesi</t>
  </si>
  <si>
    <t>41.01391147941568, 28.954874953705605</t>
  </si>
  <si>
    <t>2022/1 Tescilli Kültür Varlıklarının Rölöve Restitüsyon Restorasyon Mühendislik ve Çevre Düzenleme Projesi</t>
  </si>
  <si>
    <t>13 Adet İskele Yapısının Rölövesi</t>
  </si>
  <si>
    <t>Fethipaşa Korusu, 1311 ada, 97 Parselde Yer Alan Çeşme ve 97 ile 172 Parseller Arasında Kadastral Boşlukta Kalan Tescilli Kargir Yapıların Rölöve, Restitüsyon, Restorasyonu</t>
  </si>
  <si>
    <t>41.032133691736504, 29.02682953995527</t>
  </si>
  <si>
    <t xml:space="preserve"> Nişan Taşının Rölövesi 65 Ada 2 Parsel</t>
  </si>
  <si>
    <t>41.01204138433084, 29.05504145529813</t>
  </si>
  <si>
    <t>Büyükada Rum Mezarlığı Giriş Yapısı</t>
  </si>
  <si>
    <t>40.852340479785475, 29.124383826457592</t>
  </si>
  <si>
    <t xml:space="preserve">Çırağan Sarayı Köprüsü Projesi </t>
  </si>
  <si>
    <t>41.04415511865819, 29.015001580883556</t>
  </si>
  <si>
    <t>Taksim Maksemi ve Metrohan Binası Basit Onarım, Restorasyon ve Yeniden İşlevlendirme İşi ile Beşiktaş Dolmabahçe Arası Tarihi Duvarların Restorasyonu Uygulaması (İBB Cumhuriyet Müzesi)</t>
  </si>
  <si>
    <t>41.02822912132387, 28.9739745208528</t>
  </si>
  <si>
    <t xml:space="preserve">Cebecilerbaşı Haziresi Restorasyon Projesi </t>
  </si>
  <si>
    <t>41.03553976145287, 28.938360802591575</t>
  </si>
  <si>
    <t>2022-2023 Yılları Kara Surları 2. Etap Restorasyon Uygulaması</t>
  </si>
  <si>
    <t>41.01480088395628, 28.921567481452687</t>
  </si>
  <si>
    <t xml:space="preserve">Nişantaşı Restorasyon Projesi </t>
  </si>
  <si>
    <t>40.93190784105467, 29.127464689931486</t>
  </si>
  <si>
    <t xml:space="preserve">Tebhirhane Restarosyan Projesi </t>
  </si>
  <si>
    <t>41.023661050960555, 29.011766818127086</t>
  </si>
  <si>
    <t>Nizam Mahallesi, 206 Ada 9 Parselde Yer Alan Büyükada Rum Ortodoks Mezarlığı Giriş Yapılarının Restorasyon ve Onarımı</t>
  </si>
  <si>
    <t>40.85238105611389, 29.1244803859804</t>
  </si>
  <si>
    <t>Beşiktaş İlçesi, Yıldız Mahallesi, 244 Ada 28 Parselde Bulunan Tarihi İstinat Duvarlarının Restorasyonu</t>
  </si>
  <si>
    <t>41.04473390549901, 29.016113000550515</t>
  </si>
  <si>
    <t>Haliç Tersanesi 2. Etap Restorasyon ve Çevre Düzenlemesi Uygulaması</t>
  </si>
  <si>
    <t>41.029534087271806, 28.967557630165004</t>
  </si>
  <si>
    <t>1488 Ada 100, 83 ve 102 parseller üzerinde ve kadastral boşlukta bulunan Ceneviz Surları Kalıntıları Restorasyonu Uygulaması</t>
  </si>
  <si>
    <t>41.025050151742796, 28.968990629080654</t>
  </si>
  <si>
    <t>Eyüpsultan Mezarlığı 1. Etap Rölöve , Restitüsyon , Restorasyon Projeleri Temini , Restorasyon Uygulama İşi ve Açıkhava Müzesi Düzenlemesi ile Nafi Baba Haziresi Restorasyonu ve Çevre Düzenlemesi</t>
  </si>
  <si>
    <t>41.05337792640399, 28.934248078582044</t>
  </si>
  <si>
    <t>Feshane Yapılarının Rekonstrüksiyon / Restorasyon ve Çevre Düzenlemesi 2.Etap Uygulaması</t>
  </si>
  <si>
    <t>41.04380555368543, 28.937394551596885</t>
  </si>
  <si>
    <t>Alipaşa Sarayı Rekonstrüksiyon Uygulaması</t>
  </si>
  <si>
    <t>41.013651104970364, 28.96631081812515</t>
  </si>
  <si>
    <t>Yedikule Gazhanesi Restorasyonu 3. Etap, Teşhir Tanzim, Elektrik Mekanik İşleri ile Peyzaj Çevre Düzenlemesi</t>
  </si>
  <si>
    <t>40.99137723760987, 28.92322742090851</t>
  </si>
  <si>
    <t>Süleymaniye Mahallesi 577 Ada 4 parselde bulunan çeşme ve 577 Ada 14 parselde bulunan duvarlarda Acil Müdahale</t>
  </si>
  <si>
    <t>41.01479299280797, 28.96469660990224</t>
  </si>
  <si>
    <t>Zeyrek Mahallesi, Atatürk Bulvarı üzerinde, Zeyrek (Pantokrator) Sarnıcı bitişiğinden başlayan, 2419-2420 adalar ile 2962 ada arasındaki kadastral boşlukta bulunan Kagir İstinatı</t>
  </si>
  <si>
    <t xml:space="preserve">  41.01979110127027, 28.958422028484904</t>
  </si>
  <si>
    <t>Tarihi Alanlarda İstinat Duvarları ve İhata Duvarlarının Güvenlik Önlemlerinin Alınması ve Restorasyonu</t>
  </si>
  <si>
    <t>41.01393512535098, 28.954973132262182</t>
  </si>
  <si>
    <t>Rumeli Hisarı, Güney ve Batı Duvarları Restorasyonu, Zağonos Paşa, Sarıca Paşa Kuleleri ve Kuzey Duvarları Tamamlama Restorasyonu ile Çevre Düzenlemesi, Aydınlatma İşleri ve Müze Teşhir Tanzimi</t>
  </si>
  <si>
    <t>39.64842240348705, 27.879597463972857</t>
  </si>
  <si>
    <t>Cendere Sanat Müzesi Çatı Bakım Onarımı</t>
  </si>
  <si>
    <t>41.10859522274422, 28.98919833810664</t>
  </si>
  <si>
    <t xml:space="preserve">Bayrampaşa Melamiler Sofası Bakım - Onarım Projesi </t>
  </si>
  <si>
    <t>41.02706123827324, 28.917408706830027</t>
  </si>
  <si>
    <t xml:space="preserve">Boşnaklar Sofası-Mısır Tarlası Bakım - Onarım Projesi </t>
  </si>
  <si>
    <t>41.05322835929399, 28.93406288837218</t>
  </si>
  <si>
    <t xml:space="preserve">İsmail Hami Danişmend Mezarı Bakım - Onarım Projesi </t>
  </si>
  <si>
    <t>41.07411616157405, 29.0079929373241</t>
  </si>
  <si>
    <t xml:space="preserve">Köstendilli Ali Efendi Cami Haziresi Bakım - Onarım Projesi </t>
  </si>
  <si>
    <t>41.0247212470974, 29.02391613068737</t>
  </si>
  <si>
    <t xml:space="preserve">Bakırköy Cumhuriyet Anıtı Bakım - Onarım Projesi </t>
  </si>
  <si>
    <t>40.98104276150554, 28.873696383543336</t>
  </si>
  <si>
    <t xml:space="preserve">Barbaros Hayrettin Paşa Heykeli Bakım - Onarım Projesi </t>
  </si>
  <si>
    <t>41.04152677134937, 29.006560984135028</t>
  </si>
  <si>
    <t xml:space="preserve">Cezayirli Hasan Paşa Heykeli Bakım - Onarım Projesi </t>
  </si>
  <si>
    <t xml:space="preserve">  41.03055199067532, 28.967260642422247</t>
  </si>
  <si>
    <t xml:space="preserve">Okmeydanı Cemevi Önündeki Heykeller Bakım - Onarım Projesi </t>
  </si>
  <si>
    <t>41.05125811720301, 28.962797439936942</t>
  </si>
  <si>
    <t xml:space="preserve">Tayyare Şehitler Anıtı Bakım - Onarım Projesi </t>
  </si>
  <si>
    <t>41.01587926355788, 28.952785633662813</t>
  </si>
  <si>
    <t xml:space="preserve">Şişli Abidin Dino Dayanışma Heykeli Bakım - Onarım Projesi </t>
  </si>
  <si>
    <t>41.0436654131052, 28.995537854381126</t>
  </si>
  <si>
    <t xml:space="preserve">Uğur Mumcu Heykeli Bakım - Onarım Projesi </t>
  </si>
  <si>
    <t>41.0491470663076, 28.98777691294967</t>
  </si>
  <si>
    <t xml:space="preserve">Kodayoğlu Mahmut Bey Çeşmesi Bakım - Onarım Projesi </t>
  </si>
  <si>
    <t>40.96960846004467, 29.109417259560928</t>
  </si>
  <si>
    <t>Yenidoğan Çeşmesi Bakım - Onarım Projesi</t>
  </si>
  <si>
    <t>41.04228826206031, 28.915774538842555</t>
  </si>
  <si>
    <t xml:space="preserve">Dolmabahçe Mehmet Emin Ağa Sebili Bakım - Onarım </t>
  </si>
  <si>
    <t>41.03714588505514, 28.99471391294395</t>
  </si>
  <si>
    <t xml:space="preserve">Ali Paşa Çeşmesi Bakım - Onarım Projesi </t>
  </si>
  <si>
    <t>41.14089065225514, 28.465105569915522</t>
  </si>
  <si>
    <t xml:space="preserve">Kethüda İbrahim Bey Çeşmesi Bakım- Onarım </t>
  </si>
  <si>
    <t>41.14107565237521, 29.02802953366077</t>
  </si>
  <si>
    <t>Harem İskelesi Ayazması Bakım - Onarım Projesi</t>
  </si>
  <si>
    <t>41.009042453634436, 29.012699232145366</t>
  </si>
  <si>
    <t xml:space="preserve">Asya Atık Su </t>
  </si>
  <si>
    <t>Papatya Deresi</t>
  </si>
  <si>
    <t xml:space="preserve">700 m dere ıslahı
</t>
  </si>
  <si>
    <t xml:space="preserve">Asya Bölgesi 12.Kısım müteferrik atık su, yağmur suyu kanalı ve dere ıslahı inşaatı İşi kapsamında çalışmalar devam etmektedir.
</t>
  </si>
  <si>
    <t>Paşaköy Deresi (Ayazma Deresi Anakol)</t>
  </si>
  <si>
    <t xml:space="preserve">900 m dere ıslahı
</t>
  </si>
  <si>
    <t xml:space="preserve">Asya Bölgesi 12.Kısım müteferrik atık su, yağmur suyu kanalı ve dere Islahı İnşaatı İşi kapsamında çalışmalar devam etmektedir.
</t>
  </si>
  <si>
    <t>Umur Deresi</t>
  </si>
  <si>
    <t xml:space="preserve">2,3 km dere ıslahı
</t>
  </si>
  <si>
    <t xml:space="preserve">Asya Bölgesi 11. Kısım müteferrik atık su, yağmu rsuyu kanalı ve Dere Islahı İnşaatı işi kapsamında imalatı devam etmektedir.
</t>
  </si>
  <si>
    <t>Küçükbakkalköy Deresi</t>
  </si>
  <si>
    <t xml:space="preserve">0.8 km dere Islahı
</t>
  </si>
  <si>
    <t xml:space="preserve">Asya Bölgesi 11. Kısım müteferrik atık su, yağmur suyu kanalı ve dere ıslahı inşaatı işi kapsamında imalatı devam etmektedir.
</t>
  </si>
  <si>
    <t>Edirnekapı Zabıta Daire Başkanlığı Bina Çatısı Güneş Enerji Santrali Kurulumu</t>
  </si>
  <si>
    <t>41.0303180401411, 28.927858010636182</t>
  </si>
  <si>
    <t>Ali Emiri Kültür Merkezi Çatısı Güneş Enerji Santrali Kurulumu</t>
  </si>
  <si>
    <t>41.019653555880524, 28.939911056665323</t>
  </si>
  <si>
    <t>Enstitü İstanbul İSMEK Bina Merkezi Çatısı Güneş Enerji Santrali Kurulumu</t>
  </si>
  <si>
    <t>41.06297926850262, 28.907884769491723</t>
  </si>
  <si>
    <t>Bülent Ecevit Kültür Merkezi Çatısı Güneş Enerji Santrali 2.Etap GES Kurulumu</t>
  </si>
  <si>
    <t>40.88647183777656, 29.19639395480984</t>
  </si>
  <si>
    <t>İBB Yakacık İtfaiye Bina Çatısı Güneş Enerji Santrali Kurulumu</t>
  </si>
  <si>
    <t>40.943806401622105, 29.21468233576759</t>
  </si>
  <si>
    <t>Soğanlık Gasilhane Bina Çatısı Güneş Enerji Santrali Kurulumu</t>
  </si>
  <si>
    <t>40.91832329358663, 29.210422910632058</t>
  </si>
  <si>
    <t>İBB İtfaiye Bina Çatısı Güneş Enerji Santrali Kurulumu</t>
  </si>
  <si>
    <t>40.995009686496395, 28.779946625978052</t>
  </si>
  <si>
    <t>Sefaköy Yüzme Havuzu Çatısı Güneş Enerji Santrali Kurulumu</t>
  </si>
  <si>
    <t>40.997937173601805, 28.79280104872352</t>
  </si>
  <si>
    <t>Menekşe Deresi Parkı Güneş Enerji Santrali Kurulumu</t>
  </si>
  <si>
    <t>41.03937614086562, 28.770395812487074</t>
  </si>
  <si>
    <t>Orhangazi Şehir Parkı-Atletizm Pisti Çatısı Güneş Enerji Santrali Kurulumu</t>
  </si>
  <si>
    <t>40.939273751519224, 29.10923077179931</t>
  </si>
  <si>
    <t>Maltepe Orhangazi Şehir Parkı-Su Deposu Üzeri (1) Güneş Enerji Santrali Kurulumu</t>
  </si>
  <si>
    <t>40.94064592920043, 29.109468595020463</t>
  </si>
  <si>
    <t>Orhangazi Şehir Parkı-Su Deposu Üzeri (2) Güneş Enerji Santrali Kurulumu</t>
  </si>
  <si>
    <t>Orhangazi Şehir Parkı-Su Deposu Üzeri (3) Güneş Enerji Santrali Kurulumu</t>
  </si>
  <si>
    <t>Orhangazi Şehir Parkı-Şeflik Bina Çatısı Güneş Enerji Santrali Kurulumu</t>
  </si>
  <si>
    <t>Çatalca İlçesi, İnceğiz Mahallesi, Hanice Caddesi Heyelan Önleme Projesi</t>
  </si>
  <si>
    <t>​50 m uzunluğunda ve 6 m yüksekliğinde (300 m2) istinat duvarı</t>
  </si>
  <si>
    <t>41.1850739, 28.4163094</t>
  </si>
  <si>
    <t>49291248-c2f9-ef11-b911-005056b0106f</t>
  </si>
  <si>
    <t>Fatih İlçesi, Ayvansaray Mahallesi Cemil Meriç Görme Engelliler Parkı Deniz Yapıları Projesi</t>
  </si>
  <si>
    <t>​Rıhtım ve İskele projesi</t>
  </si>
  <si>
    <t>Çoklu İlçe: Eyüpsultan,Fatih</t>
  </si>
  <si>
    <t>41.0406638, 28.9445436</t>
  </si>
  <si>
    <t>82c88763-0424-f011-b912-005056b0106f</t>
  </si>
  <si>
    <t>Maltepe Feyzullah Mahallesi Turgut Özal Bulvarı Üzeri Düzenleme Projesi</t>
  </si>
  <si>
    <t>​65.000 M2 Açık  Veya Yeşil Alanların Peyzaj Projelerinin Hazırlanması,  1500 M2 Açık Spor Tesislerine Ait Spor Sahalarının Projelerinin Hazırlanması, 300m2 Açık Spor Tesislerine Ait Yapıların Ve Tribün Projelerinin Hazırlanması​</t>
  </si>
  <si>
    <t>40.9294100, 29.1210437</t>
  </si>
  <si>
    <t>99634725-1b19-f011-b912-005056b0106f</t>
  </si>
  <si>
    <t>Büyükdere Caddesi Mecidiyeköy Bağlantısı Cadde Düzenleme Projesi</t>
  </si>
  <si>
    <t>​Cadde Düzenleme</t>
  </si>
  <si>
    <t>41.0689520, 29.0107566</t>
  </si>
  <si>
    <t>60cc11fb-0424-f011-b912-005056b0106f</t>
  </si>
  <si>
    <t>Tuzla Aydınlı Mah Kıvrım Sokak Yaşam Merkezi Önü Yol ve Çevre Düzenleme Projesi</t>
  </si>
  <si>
    <t>​​35 metre genişliğinde, 750 metre uzunluğunda karayolu yapımı​</t>
  </si>
  <si>
    <t>40.8599512, 29.3457162</t>
  </si>
  <si>
    <t>93dacd68-052f-f011-b912-005056b0106f</t>
  </si>
  <si>
    <t>Tuzla Kamil Abdüş Gölü ve Çevresi Revize Peyzaj Projesi</t>
  </si>
  <si>
    <t>​Göl kıyısında; 262.305,00 m2 alanda, 2140 metre uzunluğunda bir yürüyüş yolu ve bakım ve kontrol araçlarının girebileceği 6,5 metre genişliğinde bir rota yer almaktadır</t>
  </si>
  <si>
    <t>Kamil Abduş Gölü Yaşam Vadisi (eski adı)</t>
  </si>
  <si>
    <t>40.8278797, 29.2914605</t>
  </si>
  <si>
    <t>97d25685-1a19-f011-b912-005056b0106f</t>
  </si>
  <si>
    <t>Çengelköy Sahil Parkı Deniz Yapıları Projesi</t>
  </si>
  <si>
    <t>​Rıhtım onarım ve bakım projeleri​Toplam proje alanı: 3400 M2</t>
  </si>
  <si>
    <t>41.0556109, 29.0520412</t>
  </si>
  <si>
    <t>fcddd9df-1bfb-ef11-b911-005056b0106f</t>
  </si>
  <si>
    <t>Orhangazi Şehir Parkı-Tenis Alanı Çatısı Güneş Enerji Santrali Kurulumu</t>
  </si>
  <si>
    <t>40.94027233997062, 29.108018193977745</t>
  </si>
  <si>
    <t>İşitme Engellileri Bina Çatısı Güneş Enerji Santrali Kurulumu</t>
  </si>
  <si>
    <t>41.00055884164371, 29.231585906934082</t>
  </si>
  <si>
    <t>Taha Akgül Spor Kompleksi Çatısı Güneş Enerji Santrali Kurulumu</t>
  </si>
  <si>
    <t>40.978847766621755, 29.23243425481328</t>
  </si>
  <si>
    <t>Safa Tepesi Parkı Güneş Enerji Santrali Kurulumu</t>
  </si>
  <si>
    <t>41.01251070573745, 29.255435497142873</t>
  </si>
  <si>
    <t>Yenidoğan Yüzme Havuzu Çatısı Güneş Enerji Santrali Kurulumu</t>
  </si>
  <si>
    <t>41.01596216586148, 29.245195625978752</t>
  </si>
  <si>
    <t>Gölet Parkı Güneş Enerji Santrali Kurulumu</t>
  </si>
  <si>
    <t>40.95372303643894, 29.229575351570897</t>
  </si>
  <si>
    <t>Cebeci Levazım Ayniyat Lojistik Merkezi Çatısı Güneş Enerji Santrali</t>
  </si>
  <si>
    <t>41.09269866111356, 28.921694537135156</t>
  </si>
  <si>
    <t>İBB Habipler İtfaiye Bina Çatısı Güneş Enerji Santrali</t>
  </si>
  <si>
    <t>41.12908999705811, 28.83282806831141</t>
  </si>
  <si>
    <t>Cebeci Parkı Güneş Enerji Santrali</t>
  </si>
  <si>
    <t>41.10511488761178, 28.87520756831044</t>
  </si>
  <si>
    <t>Kültür Merkezi Çatısı Güneş Enerji Santrali</t>
  </si>
  <si>
    <t>41.172699285898986, 29.615677397148897</t>
  </si>
  <si>
    <t>Spor Kompleksi Çatısı Güneş Enerji Santrali</t>
  </si>
  <si>
    <t>41.15535055428861, 29.588126325984074</t>
  </si>
  <si>
    <t>Muhsin Ertuğrul Sahnesi Çatısı Güneş Enerji Santrali</t>
  </si>
  <si>
    <t>41.04724304002683, 28.98873969344305</t>
  </si>
  <si>
    <t>Bahar Merkezi Çatısı Güneş Enerji Santrali</t>
  </si>
  <si>
    <t>40.87481348663647, 29.319906031074478</t>
  </si>
  <si>
    <t>Büyük Çamlıca Korusu Güneş Enerji Santrali</t>
  </si>
  <si>
    <t>41.0205154563458, 29.064892195596872</t>
  </si>
  <si>
    <t>Arnavutköy Terkos Kültür Evi ve Yaşam Parkı</t>
  </si>
  <si>
    <t>41.303697568756114, 28.67407048108066</t>
  </si>
  <si>
    <t>Ramazan Yeşil Parkı</t>
  </si>
  <si>
    <t>40.977624070022905, 28.864818210634215</t>
  </si>
  <si>
    <t>Ayamama Yaşam Vadisi 1.Etap 1.Kısım</t>
  </si>
  <si>
    <t>40.98408161894632, 28.84205668179871</t>
  </si>
  <si>
    <t>Muhtar Hayrullah Ersayın Parkı Yanı</t>
  </si>
  <si>
    <t>41.088771665054736, 29.077193541324736</t>
  </si>
  <si>
    <t>Okmeydanı, Piyalepaşa Mahallesinde bulunan 3563 ada 1 parsel, bir kısmı hak sahiplerine verilmek üzere rezerv alan olarak kullanılmak için boşaltılmıştır. Rezerv alan olarak kullanılması planlanan kısmın inşa edilmesi talep edilmektedir.</t>
  </si>
  <si>
    <t>KİPTAŞ imkanları dahilinde yapabilir</t>
  </si>
  <si>
    <t>41.044276, 28.960084</t>
  </si>
  <si>
    <t>Sultangazi Caddesi Kentsel Tasarım Projesi</t>
  </si>
  <si>
    <t>41.044073, 29.234124</t>
  </si>
  <si>
    <t>726 Parsel Kentsel Dönüşüm Projesi</t>
  </si>
  <si>
    <t>40.833416, 29.299813</t>
  </si>
  <si>
    <t>Aydıntepe Kentsel Dönüşüm Projesi</t>
  </si>
  <si>
    <t>Beylerbeyi-Küçüksu Sahil Bandı Kentsel Tasarım Projesi (Beylerbeyi-Çengelköy-Kuleli-Vaniköy Çevre Düzenlemesi Projesi)</t>
  </si>
  <si>
    <t>41.021625, 29.035768</t>
  </si>
  <si>
    <t>Ahmediye-Karacaahmet Kentsel Tasarım Projesi (Ahmediye Meydan-Halk Tıbbıye Cadde-Karacaahmet Meydan Düzenlemesi</t>
  </si>
  <si>
    <t>Avcılar Belediyesi Hizmet Binası Kaba İnşaatı Yapım İşi</t>
  </si>
  <si>
    <t>40.9787707, 28.7209350</t>
  </si>
  <si>
    <t>67cc1d0b-d7d4-ef11-b90e-005056b0106f</t>
  </si>
  <si>
    <t>Avcılar Belediyesi Hizmet Binası Kaba İnşaat Projesi (İlçe Projesi)</t>
  </si>
  <si>
    <t>Birlik Mahallesi Kentsel Tasarım Projesi</t>
  </si>
  <si>
    <t>"Prestij Sokak: Dinlenme Alanları, Açık Hava Egzersiz Alanı, Habitat Bahçesi, Eğlence Pavilyonu, Piknik Alanları, Aromatik Bitki Bahçeleri
Polinatör Bahçesi: Kelebek bahçesi, Böcek evi, Deck terapi bahçesi
0-3 Yaş Grubu Çocuk Oyun Alanı: Keşfetme ve Duyusal Deneyimler 
4-7 Yaş Grubu Çocuk Oyun Alanı: Hareket ve Hayal Gücü Oyun Alanı
13+ Yaş Grubu Çocuk Oyun Alanı: Spor ve Sosyalleşme
Toplanma Amfisi
Cami Meydanı: Çay Ocağı ve Satış Birimleri
Gül Bahçesi
Gençlik Parkı: Üçlü Basket Potası, Tenis Masası, Futbol Sahası
Otopark Alanı
"</t>
  </si>
  <si>
    <t>41.05076924666604, 28.87150130654403</t>
  </si>
  <si>
    <t>Kuşdili Çayırı Peyzaj Projesi</t>
  </si>
  <si>
    <t xml:space="preserve">Yaya yolu, bisiklet yolu, bisiklet parkı, etkinlik çayırı,dinlenme platformu,etkinlik sahne alanı, wc,büfe.
</t>
  </si>
  <si>
    <t>40.98954804651026, 29.032452352963077</t>
  </si>
  <si>
    <t>Haramidere Yaşam Vadisi 2. Etap</t>
  </si>
  <si>
    <t>41.02050449036772, 28.669713165000772</t>
  </si>
  <si>
    <t>Sancaktepe Makas İstasyonu Şehir Hastanesi Durağı</t>
  </si>
  <si>
    <t>41.00348767241174, 29.216160378550065</t>
  </si>
  <si>
    <t>Paidar Demir Parkı</t>
  </si>
  <si>
    <t>40.98738264693322, 29.124305925977907</t>
  </si>
  <si>
    <t>80 Yıl Parkı</t>
  </si>
  <si>
    <t>40.98167116083646, 29.147746898992366</t>
  </si>
  <si>
    <t>Şairler Sofası Parkı Kurul Projesi</t>
  </si>
  <si>
    <t xml:space="preserve">Oturma birimleri, sahne, çocuk oyun alanı, büfe,  yaya yolu.
</t>
  </si>
  <si>
    <t>41.042297702661266, 29.000385368308173</t>
  </si>
  <si>
    <t>Doğan Araslı Bulvarı Üzeri Esenyurt Köprüsü Yanı YUG Yapım İşi</t>
  </si>
  <si>
    <t>41.0266500, 28.6844700</t>
  </si>
  <si>
    <t>D-100 Karayolu Tuzla Kavşağı Köprüsü Güçlendirme İnşaatı</t>
  </si>
  <si>
    <t>40.83494091268166, 29.326550721018336</t>
  </si>
  <si>
    <t>Karaköy Merzifonlu Kara Mustafa Paşa Camii Rekonstrüksiyonu</t>
  </si>
  <si>
    <t>41.02196069022439, 28.975254372958176</t>
  </si>
  <si>
    <t>Destek Hizmetleri Şube Müdürlüğü</t>
  </si>
  <si>
    <t>Darülaceze Yaşlı Mola Merkezi</t>
  </si>
  <si>
    <t xml:space="preserve">Cephe imalatları  başlanıldı ve devam ediyor.Islak hacimlerin  seramik uygulamalarına başlanıldı ve devam ediyor.Mekanik kazan dairesi imalatları tamamlandı.Cephe kaplama imalatları devam ediyor
</t>
  </si>
  <si>
    <t xml:space="preserve">Darülaceze Ataşehir adresindeki yapı üst yapı projelerden gelen şekile baştan aşağı yenilendi. Yaşlı kısa mola merkezi şeklinde kullanılmak üzere teslim edilecek.
</t>
  </si>
  <si>
    <t>40.977889068442884, 29.147463483649037</t>
  </si>
  <si>
    <t>Uşşaki Camii (Mobil Ekip)</t>
  </si>
  <si>
    <t>Atatürk Yaşam Merkezi Yüzme Havuzu Yenileme İşi</t>
  </si>
  <si>
    <t xml:space="preserve">Mevcut yüzme  havuzu ve soyunma odaları wc duş ve idari birim tamamen yenilenmesi.
</t>
  </si>
  <si>
    <t xml:space="preserve">İmalatlar devam ediyor.
Yüzme havuzu: Havuz girişi tekrar düzenlend. Çatı tadilatı ve havuz yenilendi, tesis modern bir görünüm kazandı.
</t>
  </si>
  <si>
    <t xml:space="preserve">Osmaniye Mahallesi İsmail Erez Bulvarı No:8 BAKIRKÖY/İSTANBUL; Adres Kodu: 1482139761;
</t>
  </si>
  <si>
    <t>40.99569713442011, 28.885865097422656</t>
  </si>
  <si>
    <t>Tem Yan Yolları Bağlantısı</t>
  </si>
  <si>
    <t>Ön projesi
Tamamlanmıştır</t>
  </si>
  <si>
    <t>Söz konusu projenin UTK2017/43-20 nolu kararı bulunmakta olup imalat için ilgili birimlere gönderilmiştir.</t>
  </si>
  <si>
    <t>40.996656143250455, 29.140856739165248</t>
  </si>
  <si>
    <t>Ataşehir Belediyesi Vizyon Projesi-11 km lik AKS</t>
  </si>
  <si>
    <t>Bahse konu proje kapsamında Müdürlüğümüzün bir çalışması bulunmamaktadır.</t>
  </si>
  <si>
    <t>40.98736992584962, 29.13815495724016</t>
  </si>
  <si>
    <t>Şahinbey Caddesi ve Çamlık Sokak Prestij Yol ve Trafik Düzenlemesi</t>
  </si>
  <si>
    <t>Kentsel Tasarım Şube Müdürlüğü uhdesindedir.</t>
  </si>
  <si>
    <t>41.019257156952335, 29.19272456961913</t>
  </si>
  <si>
    <t>Alemdağ Paşaköy Kavşağı</t>
  </si>
  <si>
    <t>Ön proje çalışmaları devam ediyor.</t>
  </si>
  <si>
    <t>41.021634870571745, 29.271889127829628</t>
  </si>
  <si>
    <t>Yeşil Yol Projesi</t>
  </si>
  <si>
    <t>41.022563309622726, 29.24499796221709</t>
  </si>
  <si>
    <t>Nişantepe-Ekşioğlu Bağlantı Yolu yapımı tamamlanan kavşak ile entegre</t>
  </si>
  <si>
    <t>41.03856023843362, 29.257669441322914</t>
  </si>
  <si>
    <t>Göktürk otoyol projesi talebi bulunmaktadır.</t>
  </si>
  <si>
    <t>Ön projesi
Tamamlanmıştır--- 2025/19-12 nolu UTK kararı alınmıştır.</t>
  </si>
  <si>
    <t>41.1856086807435, 28.886501022284016</t>
  </si>
  <si>
    <t>Çobançeşme kavşak projesi talebi bulunmaktadır.</t>
  </si>
  <si>
    <t>2023/10-2 nolu karar alınmış olup boru hatlarından kaynaklanan altyapı sorunları nedeniyle Altyapı Projeler Şube Müdürlüğü revize proje çalışması yapacaktır.</t>
  </si>
  <si>
    <t>41.08261050561528, 28.951788524089125</t>
  </si>
  <si>
    <t>D-100 ve Yan Yolların Genişletilmesi</t>
  </si>
  <si>
    <t>Devam ediyor ilerleme %20</t>
  </si>
  <si>
    <t>Proje çalışmaları devam ediyor.</t>
  </si>
  <si>
    <t>40.864493087748706, 29.274889693030147</t>
  </si>
  <si>
    <t>Pendik - Sancaktepe arasında alternatif yol olarak planlanan Kuran Kursu ve Necipfazıl caddeleri genişletme çalışmasının yapılması</t>
  </si>
  <si>
    <t>Ön Proje çalışması tamamlandı. Progress %20</t>
  </si>
  <si>
    <t>Ön Proje çalışması tamamlanmış olup, projeden etkilenen orman arazilerinin tahsisine ilişkin süreç devam etmektedir.</t>
  </si>
  <si>
    <t>40.960534956622325, 29.25127444181974</t>
  </si>
  <si>
    <t>Fatih Bulvarı 2.Etap Prestij Cadde uygulaması</t>
  </si>
  <si>
    <t>Konu Yol Bakım Dairesi Başkanlığı uhdesindedir</t>
  </si>
  <si>
    <t>40.96476065953047, 29.2782625254382</t>
  </si>
  <si>
    <t>Tantavi Mahallesi - Şile Otoyolu Yan Yol Projesi</t>
  </si>
  <si>
    <t>"Ön projesi
Tamamlanmıştır"</t>
  </si>
  <si>
    <t>27.01.2022 tarihinde 2022/4-2 nolu UTK kararı alınmış olup uygulamacı birimelre dağıtımı yapılmıştır.</t>
  </si>
  <si>
    <t>41.02787844385091, 29.084717091174785</t>
  </si>
  <si>
    <t>Ihlamurkuyu Mahallesi İmamı Şafi Sokak Trafik Düzenleme Projesi ve Uygulaması</t>
  </si>
  <si>
    <t>Devam ediyor</t>
  </si>
  <si>
    <t>41.02850935396205, 29.147635585501384</t>
  </si>
  <si>
    <t>Barbaros Bulvarı 2.Etap Cadde Düzenlemesi</t>
  </si>
  <si>
    <t>41.066291, 29.012502</t>
  </si>
  <si>
    <t>Avcılar İtfaiye İstasyonu</t>
  </si>
  <si>
    <t xml:space="preserve">Başlamadı.
</t>
  </si>
  <si>
    <t xml:space="preserve">Güçlendirme projesine başlanacaktır.
</t>
  </si>
  <si>
    <t>40.99381882777656, 28.71277426858642</t>
  </si>
  <si>
    <t>Güneş Motel Odalarının Yenileme Çalışması</t>
  </si>
  <si>
    <t xml:space="preserve">Yükleniciye iş emri verildi.
</t>
  </si>
  <si>
    <t xml:space="preserve">10 adet oda tadilat yenilene süreci
</t>
  </si>
  <si>
    <t>40.972080311197125, 28.78864589587834</t>
  </si>
  <si>
    <t>Florya İtfaiye İstasyonu</t>
  </si>
  <si>
    <t xml:space="preserve">Futbol sahasının yenilenmesi (halı ve çelik konsturksuyon)
</t>
  </si>
  <si>
    <t xml:space="preserve">Drenaj imalatları devam ediyor.
Çilekli Tesisi yenileme projesi talebi bulunmaktadır.
</t>
  </si>
  <si>
    <t>41.088542468101444, 29.018918255098686</t>
  </si>
  <si>
    <t>-</t>
  </si>
  <si>
    <t>Beykoz Sosyal Tesis Yenileme ve Büyütme İnşaatı</t>
  </si>
  <si>
    <t xml:space="preserve">Alanda söküm imalatı yapıldı.
</t>
  </si>
  <si>
    <t xml:space="preserve">Tesis büyütme ve yenileme inşaatı
İmalatlar devam ediyor.
</t>
  </si>
  <si>
    <t>41.11353071933016, 29.086288922556776</t>
  </si>
  <si>
    <t>Beykent İtfaiye İstasyonu</t>
  </si>
  <si>
    <t>Lojistik Destek Merkezi Kent Lokantası Mutfağı</t>
  </si>
  <si>
    <t xml:space="preserve"> Montaj çalışmalarına devam ediliyor.Soğuk oda panellerin montajına devam ediliyor.Mekanik davlumbaz imalatlarına başlanıldı ve devam ediyor.Havalandırma kanallarını karot açma işlemi  tamamlandı.
</t>
  </si>
  <si>
    <t xml:space="preserve">İmalatlar devam ediyor.
Kent lokantalarının ihtiyacını karşılayacak tüm yiyecek üretiminin sağlanacağı tesis. Lojistik destek merkezinde yapılmaktadır.
</t>
  </si>
  <si>
    <t>41.09248317009646, 28.922231374488025</t>
  </si>
  <si>
    <t>Kemerburgaz Kent Ormanı Yapıların Yenilenmesi (çatı)</t>
  </si>
  <si>
    <t xml:space="preserve">Ahşap yüzeylerde tamirat ve cila işlemleri devam etmektedir.
Kenet çatı montajları devam etmektedir."
</t>
  </si>
  <si>
    <t xml:space="preserve">İmalatlar devam ediyor.
Eski bango çatıların tahrip olması ve çürümüş olmasından dolayı çatıların yenilenmesi. 
</t>
  </si>
  <si>
    <t>Düğmeciler Kreş Binası Tadilatı</t>
  </si>
  <si>
    <t xml:space="preserve">Cumbanın yıkımı tamamlanmıştır. Cumbanın ytong örümleri tamamlanmıştır.
</t>
  </si>
  <si>
    <t xml:space="preserve">İmalatlar devam ediyor.
Kreş Binası bakım ve onarım çalışmaları
</t>
  </si>
  <si>
    <t>41.04594651017885, 28.921053197424737</t>
  </si>
  <si>
    <t>Sancaktepe İtfaiye İstasyonu</t>
  </si>
  <si>
    <t xml:space="preserve">1-Betonarme perde güçlendirme işleri tamamlandı
2-Garaj içi beton döküm işleri tamamlandı"
</t>
  </si>
  <si>
    <t>41.01500011516724, 29.24458411462158</t>
  </si>
  <si>
    <t>Ayazağa Yusuf Tunaoğlu Stadı Yenileme Çalışması</t>
  </si>
  <si>
    <t xml:space="preserve">"20.05.25
Saha kumlaması yapıldı.
Tribün koltukları sahaya getirildi .Montajları başlatıldı."
</t>
  </si>
  <si>
    <t xml:space="preserve">İmalatlar devam ediyor.
Paralimpik futbol sahası ve stadyum zemini yenilendi. Fifa standartlarına göre çevre aydınlatma ve tribün bakım onarımları yapılıp, koltuklar değiştirildi.
</t>
  </si>
  <si>
    <t>41.11949846429349, 28.993602711262845</t>
  </si>
  <si>
    <t>İstinye İtfaiye İstasyonu Güçlendirme</t>
  </si>
  <si>
    <t>Cebeci Hayvan Barınağı İyileştirme Çalışması</t>
  </si>
  <si>
    <t xml:space="preserve">Ytong duvar imalatları kısmi olarak tamamlanmıştır. Elektro mekanik alt yapı imalatlarına başlanılmıştır.
</t>
  </si>
  <si>
    <t xml:space="preserve">Söküm başladı
</t>
  </si>
  <si>
    <t>41.12581209664267, 28.846403983936405</t>
  </si>
  <si>
    <t>Ağva İtfaiye İstasyonu</t>
  </si>
  <si>
    <t xml:space="preserve">Güçlendirme projesi tekrar çizilmektedir
</t>
  </si>
  <si>
    <t>41.13890233351416, 29.856160812773016</t>
  </si>
  <si>
    <t>Tuzla İtfaiye İstasyonu</t>
  </si>
  <si>
    <t xml:space="preserve">1-Bina içi imalatlar %99 tamamlandı
2-Çevre düzenleme işleri %98 tamamlandı.
</t>
  </si>
  <si>
    <t xml:space="preserve">Tamamen yıkılıp hafif çelikten yeniden yapılıp yeni fonksiyonlar kazanırıldı.
</t>
  </si>
  <si>
    <t>40.81537972598888, 29.311791856941312</t>
  </si>
  <si>
    <t>Tuzla Sahil İtfaiye İstasyonu</t>
  </si>
  <si>
    <t xml:space="preserve">1-Betonarme perde güçlendirme işleri tamamlandı, kalıp sökümleri tamamlandı.
2-Garaj içi beton döküm işleri tamamlandı
3-Garaj içi seramik imalatları tamamlandı"
</t>
  </si>
  <si>
    <t>40.815323187408445, 29.311614766725818</t>
  </si>
  <si>
    <t>Kartal Hayvan Bakımevi Projesi</t>
  </si>
  <si>
    <t>8f085d35-eaf8-ef11-b911-005056b0106f</t>
  </si>
  <si>
    <t>Büyükada Arabacılar Meydanı ve Saat Kulesi çevresini ilgili Kentsel Tasarım rehberi öngörüm projesi kapsamında İETT durak alanının tahliyesi, Kent Meydanı oluşturulması. Gerekli ihale süreçlerinin tamamlanıp imalat aşamasına geçilmesi</t>
  </si>
  <si>
    <t>Başakşehir Meydan Projesi</t>
  </si>
  <si>
    <t>Bayrampaşa Meydan talepleri bulunmaktadır.</t>
  </si>
  <si>
    <t>Çubuklu Tarihi İtfaiye Binası (Sosyal Tesis)</t>
  </si>
  <si>
    <t>Tarımsal Amaçlı Yapılar</t>
  </si>
  <si>
    <t>Alemdağ Mahalle Meydanı ve Zeminaltı Otopark Projesi</t>
  </si>
  <si>
    <t>Engelliler Sarayı ve Otopark ihtiyacı vardır.</t>
  </si>
  <si>
    <t>Rami Kütüphanesi Dış Bahçesi düzenlemesi talebi bulunmaktadır.</t>
  </si>
  <si>
    <t>Sivil Savunma binası yeniden işlevlendirme projesi talebi bulunmaktadır.</t>
  </si>
  <si>
    <t>Daha önceden İBB tarafından kullanılan Barbaros Hayrettin Paşa Mahallesi'nde bulunan İSMEK binasının bir an önce tamamlanılması talep ediliyor.</t>
  </si>
  <si>
    <t>Atakent Cem Evi</t>
  </si>
  <si>
    <t>Maltepe Cemevi (eksiklerin tamamlanması)</t>
  </si>
  <si>
    <t>Aydınevler Kız Yurdu Binası (Yeni Yapı)</t>
  </si>
  <si>
    <t>Küçükyalı Sosyal Yaşam Merkezi (Yeni Yapı)</t>
  </si>
  <si>
    <t>E-5 Üstü Güzelyalı Meydanı Yapımı</t>
  </si>
  <si>
    <t>Çavuş Mahallesi Kreş Projesi</t>
  </si>
  <si>
    <t>Tuzla Kent Meydan</t>
  </si>
  <si>
    <t>Akdeniz Caddesi Alt Geçit Projesi</t>
  </si>
  <si>
    <t>15 Temmuz Şehitler Köprüsü Metrobüs Durağı ve Çevresi Düzenleme Projesi</t>
  </si>
  <si>
    <t>Büyükada Maden Mahallesi 292 ada 4 parselin lojistik depo alanı</t>
  </si>
  <si>
    <t>Arnavutköy İlçesi Deliklikaya Mahallesi İtfaiye Projesi</t>
  </si>
  <si>
    <t>Ataşehir Darülaceze Güçlendirme Projesi</t>
  </si>
  <si>
    <t>Ataşehir Darülaceze Kampüsü Master Plan</t>
  </si>
  <si>
    <t>Avcılar Satış Ofisi Kreşe Dönüşüm</t>
  </si>
  <si>
    <t>Avcılar Tıp Merkezi</t>
  </si>
  <si>
    <t>Avcılar İlçesi, Gümüşpala Mahallesi, 0 ada, 17010 parsel</t>
  </si>
  <si>
    <t>Yol Bakım Binalarının Cephelerinin Düzenlenmesi Projesi</t>
  </si>
  <si>
    <t>Florya Engelliler Yüzme Havuzu Projesi</t>
  </si>
  <si>
    <t>Bakırköy İlçesi 110 Ada 13 Parsel Ticari Alan Projesi</t>
  </si>
  <si>
    <t>Başakşehir Kayabaşı Rekresyon Alanı Sostal ve kültürel tesis Güçlendirme ve Dönüşüm Projesi</t>
  </si>
  <si>
    <t>Bayrampaşa 347 ve 23198 parsel Kültürel Tesis Alanı</t>
  </si>
  <si>
    <t>Bayrampaşa 0 Ada 22445 parsel Kreş Projesi</t>
  </si>
  <si>
    <t>Bayrampaşa İlçesi Mehmet Akif Ersoy Kültür Merkezi (Cephe Yenilenmesi)</t>
  </si>
  <si>
    <t>Bayrampaşa Belediyesi Hizmet Binası Girişin Tasarımı</t>
  </si>
  <si>
    <t>Arnavutköy sosyal tesis iç mimari proje</t>
  </si>
  <si>
    <t>Etiler Spor Kompleksi (Hayvan Hastanesi)</t>
  </si>
  <si>
    <t>Beşiktaş Tünel Maçka Mekansal Veri Laboratuvarı Projesi</t>
  </si>
  <si>
    <t>Dikilitaş Spor ve Yaşam Merkezi</t>
  </si>
  <si>
    <t>Beşiktaş Dikilitaş Mahallesi Spor ve Yaşam Merkezi</t>
  </si>
  <si>
    <t>Beykoz Belediye Hizmet Alanı ve Çevresi Düzenleme Projesi</t>
  </si>
  <si>
    <t>Beyoğlu İlçesi Küçükpiyale Mahallesi 1168 Ada 67-70 Parsel Sosyal ve Kültür Tesis Projesi</t>
  </si>
  <si>
    <t>Piyalepaşa Basın yayın BEY-53 otopark</t>
  </si>
  <si>
    <t>Büyükçekmece İtfaiye Hizmet Binası</t>
  </si>
  <si>
    <t>Bütünleşik Halk Sağlığı Merkezi (Evde Sağlık Merkezi, Vektörlerle Mücadele Hizmetleri)</t>
  </si>
  <si>
    <t>Minibüs Terminali Yapılması</t>
  </si>
  <si>
    <t>Çatalca 19 mayıs gençlik merkezi Projesi</t>
  </si>
  <si>
    <t>Çatalca Subaşı Hayvan Bakımevi Projesi</t>
  </si>
  <si>
    <t>Çatalca Ferhatpaşa Mahallesi 335 Ada 1 Parsel Afet Lojistik Hizmet Binası</t>
  </si>
  <si>
    <t>Köpek Eğitim Merkezi</t>
  </si>
  <si>
    <t>Esenler Dörtyol Meydanı,Camii ve ZOP Projesi</t>
  </si>
  <si>
    <t>Esenler Hakkı Başar Spor Salonunun Yenilenmesi</t>
  </si>
  <si>
    <t>Esenyurt 348 ada 15 parsel Kültür Merkezi</t>
  </si>
  <si>
    <t>Esenyurt Sosyal Yaşam Merkezi Projesi</t>
  </si>
  <si>
    <t>Vialand yanı Atletizm Pisti</t>
  </si>
  <si>
    <t>Rami Kütüphane Çevresi Kültürel Tesis Alanı</t>
  </si>
  <si>
    <t>Eyüp Alibeyköy İdari Binası Projesi (AKOM)</t>
  </si>
  <si>
    <t>Hasdal Hayvan Bakımevi</t>
  </si>
  <si>
    <t>Aksaray İSKİ Sanat Meydanı Revize Projesi</t>
  </si>
  <si>
    <t>İSG Fatih İnebey 852 ada 32 Parsel Hizmet Binası</t>
  </si>
  <si>
    <t>Gaziosmanpaşa Küçükköy Mah.Kreş Projesi</t>
  </si>
  <si>
    <t>Gaziosmanpaşa Küçükköy Kültür Merkezi ve Nikah Salonu Projesi</t>
  </si>
  <si>
    <t>Gaziosmanpaşa Fetih Parkı Kütüphane Ve Zeminaltı Otopark Projesi</t>
  </si>
  <si>
    <t>İSMEK Sanat ve Meslek Eğitimi Hizmet Binası ve satış birimi</t>
  </si>
  <si>
    <t>Kadıköy Hizmet Binası Avan ve Uygulama Projesi</t>
  </si>
  <si>
    <t>Kadıköy Rasimpaşa1170 Ada 97 Parsel</t>
  </si>
  <si>
    <t>Kartal Zabıta Yerleşkesi A Blok Hizmet Binası</t>
  </si>
  <si>
    <t>Kartal Hayvan Bakımevi</t>
  </si>
  <si>
    <t>Kartal Hürriyet Mahallesi Dini Tesis Alanı</t>
  </si>
  <si>
    <t>İBB Filenin Sultanları Kız Öğrenci Yurdu E Blok Sınavlara Hazırlık Merkezi Dönüşüm Projesi</t>
  </si>
  <si>
    <t>Maltepe Şehir Hatları İskelesi Yanı Lojistik Depolama Alanı</t>
  </si>
  <si>
    <t>Sancaktepe Meclis Mah.Kültür Merkezi Projesi</t>
  </si>
  <si>
    <t>Sarıgazi Mahallesi Kültür Merkezi ve Sosyal Donatı Alanı</t>
  </si>
  <si>
    <t>Sancaktepe Paşaköy Makine İkmal Şube Müdürlüğü Hizmet Binası Güçlendirme ve Fonksiyon Yenileme Projesi</t>
  </si>
  <si>
    <t>Sancaktepe İlçesi Fatih Mahallesi 0 Ada 787 Parselde Hacı Akif Demirci Cami Projesi</t>
  </si>
  <si>
    <t>Sancaktepe İlçesi Samandıra Mahallesi 6249 Ada 8 Parsel Cemevi Projesi</t>
  </si>
  <si>
    <t>Sarıyer Çayırbaşı Hizmet Binası</t>
  </si>
  <si>
    <t>Büyükdere Eski Belediye Ek Hizmet Binasının Dönüştürülmesi</t>
  </si>
  <si>
    <t>Sarıyer Atletizm Pisti</t>
  </si>
  <si>
    <t>Zekeriyaköy Spor ve Yaşam Vadisi</t>
  </si>
  <si>
    <t>Sarıyer İsmail Akgün hastanesi</t>
  </si>
  <si>
    <t>Uskumruköy İleri Yaş Sağlıklı Yaşam Merkezi</t>
  </si>
  <si>
    <t>Silivri gençlik ve kültür merkezi projesi</t>
  </si>
  <si>
    <t>Silivri Otobüs Terminali ve Hizmet Yapıları Projesi</t>
  </si>
  <si>
    <t>Sultangazi 912 Ada 12 Parsel Belediye Hizmet Birimleri,Pazar Alanı ve ZOP Projesi (Kreş)</t>
  </si>
  <si>
    <t>Şile Engelliler Yüzmer Havuzu Projesi</t>
  </si>
  <si>
    <t>Gmall Yapısının Mekansal Rehabilitasyon ve Çevre Düzenleme Projesi</t>
  </si>
  <si>
    <t>Şişli Dikilitaş İtfaiye İstasyonu Projesi (Mecidiyeköy)</t>
  </si>
  <si>
    <t>Zincirlikuyu Camii Mezarlık Himzet Binası</t>
  </si>
  <si>
    <t>Tuzla Hayvan Bakımevi</t>
  </si>
  <si>
    <t>Ümraniye Kazım Karabekir Ortaokulu Tip Spor Salonu Projesi</t>
  </si>
  <si>
    <t>Üsküdar Zeynep Kamil İtfaiye İstasyonu ve 112 Acil Sağlık Hizmetleri Binası Projesi</t>
  </si>
  <si>
    <t>Üsküdar İlçesi Çengelköy Mahallesi 842 ada 6 parseldeki tescilli Yapının Rölöve, Restitüsyon ve Restorasyon Projelerinin Hazırlanması</t>
  </si>
  <si>
    <t>Üsküdar Çengelköy Yurt Projesi</t>
  </si>
  <si>
    <t>Üsküdar İlçesi Ahmet Çelebi Mahallesi 397 Ada 46 Parsel Sanat Akademisi Projesi</t>
  </si>
  <si>
    <t>Üsküdar ilçesi 1838 ada 1 ve 25 parseller</t>
  </si>
  <si>
    <t>Üsküdar Altunizade 8 ada 17 parsel</t>
  </si>
  <si>
    <t>Üsküdar Kısıklı 795 ada 47,48,49,50 parsel</t>
  </si>
  <si>
    <t>İstanbul Kent Müzesi (Kent Kütüphanesi)</t>
  </si>
  <si>
    <t>Botanik Parkı Kentsel Tasarım Uygulama Projesi</t>
  </si>
  <si>
    <t>Paşabahçe Limanı Kentsel Tasarım Projesi</t>
  </si>
  <si>
    <t>Akşemsettin Caddesi Kentsel Tasarım Projesi</t>
  </si>
  <si>
    <t>Galata Kulesi ve Çevresi Kentsel Tasarım Projesi</t>
  </si>
  <si>
    <t>Ataşehir İlçesi, Celal Yadımcı İlkokulu ve Ortaokulu İstinat Duvarı Projesi</t>
  </si>
  <si>
    <t>Avcılar İlçesi, Cihangir Mahallesi, E5 Güney Yanyol İstinat Duvarı Deformasyon Önlem Projesi</t>
  </si>
  <si>
    <t>Beykoz İlçesi, Rüzgarlıbahçe Celal Aras Lisesi İstinat Duvarı Projesi</t>
  </si>
  <si>
    <t>Unkapanı (Atatürk) Köprüsü Kenar Ayakları Yapısal Analiz Hesaplamaları ile Onarım ve Güçlendirme Uygulama Projelerinin Hazırlanması İşi</t>
  </si>
  <si>
    <t>Esenler Birlik Mahallesi İstinat Duvarı Projesi</t>
  </si>
  <si>
    <t>Esenyurt İlçesi, Kıraç Yeni Mezarlığı İç Yolundaki Betonarme Duvar Projesinin Hazırlanması</t>
  </si>
  <si>
    <t>Eyüpsultan Bulvarı, İstinat Duvarı Projesi</t>
  </si>
  <si>
    <t>Eyüpsultan İlçesi, Defterdar Mahallesi, Alacatepe Sokak Otağcılar Parkı İstinat Duvarı Projesinin Hazırlanması</t>
  </si>
  <si>
    <t>Fatih 8 Nolu Aile Sağlığı Merkezi Revize Heyelan Önleme Projesi</t>
  </si>
  <si>
    <t>Kütahya İli Dumlupınar İlçesi Tören Yolu Kentsel Tasarım Projelerinin Hazırlanması</t>
  </si>
  <si>
    <t>Kadıköy İlçesi, Göztepe Köprüsü Güçlendirme Revize Projesi</t>
  </si>
  <si>
    <t>Maltepe İlçesi Altıntepe Mahallesi Güney Yanyol Üzeri Yaya Üstgeçit Projesi</t>
  </si>
  <si>
    <t>Sancaktepe İlçesi, İETT Sarıgazi Garajı Emek Mahallesi Şems Caddesi İstinat Duvar Projesi</t>
  </si>
  <si>
    <t>Sarıyer İlçesi, İstinye Mahallesi, Katar Caddesi Emirgan Korusu Çevre Duvarı Projesinin Hazırlanması</t>
  </si>
  <si>
    <t>Silivri İlçesi, Selimpaşa Mahallesi Adnan Menderes Caddesi 6890 Ada 5 Parsel İstinat Duvarı Projesinin Hazırlanması</t>
  </si>
  <si>
    <t>Silivri İtfaiye İstasyonu İstinat Duvarı Projesi</t>
  </si>
  <si>
    <t>Tuzla İlçesi, Şelale Sosyal Tesisleri İstinat Duvarı Projesi</t>
  </si>
  <si>
    <t>Arnavutköy İlçesi, Bolluca İhsaniye Yolu Toprak Kayması Problemi Önleme Projesi</t>
  </si>
  <si>
    <t>Arnavutköy Merkez Cami Yaya Üstgeçit Projesi</t>
  </si>
  <si>
    <t>Arnavutköy İlçesi, Gazi Fahrettin Paşa Cad - Mecitözü Sk Bağlantısı Kavşak Projesi,</t>
  </si>
  <si>
    <t>Ataşehir İlçesi D-100 Kozyatağı kavşağı Yavuzlar Caddesi YÜG</t>
  </si>
  <si>
    <t>Ataşehir TEİAŞ 4. Bölge Yaya Üst Geçidi</t>
  </si>
  <si>
    <t>Ataşehir İlçesi, Turgut Özal Bulvarı - Ahmet Yesevi Cad. - Dereboyu Cad. Kesişimi Yol, Kavşak Projesi</t>
  </si>
  <si>
    <t>Ataşehir İlçesi, Dudullu Caddesi – Dereboyu Caddesi Kesişimi Kavşak Projesi ,</t>
  </si>
  <si>
    <t>Avcılar Gümüşpala D100 Karayolu Yan Yol Duvarları Projesi</t>
  </si>
  <si>
    <t>Avcılar Tahtakale Yaya Üst Geçit Projesi Revize</t>
  </si>
  <si>
    <t>Avcılar Merkez Üniversite Kampüsü Metrobüs İstasyonu ve Çevresi Düzenleme Projesi</t>
  </si>
  <si>
    <t>Avcılar İlçesi, D-100 Avcılar Kavşağı - Firuzköy Bulvarı Arası Bağlantı Yolu Revize Projesi.</t>
  </si>
  <si>
    <t>Avcılar Kavşağı, İstanbul Üniversitesi Önü ve Metrobüs İstasyonu Çevresi Yaya Erişimi Düzenleme Projesi</t>
  </si>
  <si>
    <t>Bağcılar Fatih Mahallesi Yanyol Otobüs Durağı Üst Geçit</t>
  </si>
  <si>
    <t>Mahmutbey Batı Kavşağı-Bahçeşehir Arası Tem Kuzey-Güney Yan Yolları Tek Yön Ve Toplu Ulaşım Güzergahı Düzenleme Projesi</t>
  </si>
  <si>
    <t>Bağcılar-Küçükçekmece-Bahçelievler İlçeleri, Güneşli Kavşağı Köprüsü Güçlendirme Projesi</t>
  </si>
  <si>
    <t>Bağcılar, Küçükçekmece, Bahçelievler</t>
  </si>
  <si>
    <t>Bakırköy Aytekin Kotil Parkı ve Mendirekler Deniz Yapıları Projesi</t>
  </si>
  <si>
    <t>Semt Parkı</t>
  </si>
  <si>
    <t>Bakırköy Sakızağacı Mah. İett Durağı YÜG Projesi (Kızılay Önü)</t>
  </si>
  <si>
    <t>Çobançeşme Koşuyolu Kavşağı Yaya Sirkülasyonu ve Yakın Çevresi Düzenleme Projesi</t>
  </si>
  <si>
    <t>Bakırköy İlçesi, D-100 Karayolu Merter-2 Kavşağı ile Sahil Yolu Taşhan Kavşağı Arası Yol, Kavşak Revize Projesi</t>
  </si>
  <si>
    <t>Bakırköy İlçesi, Fikret Yüzatlı Caddesi Yol, Kavşak Projesi</t>
  </si>
  <si>
    <t>Bakırköy Kennedy Caddesi Ayamama Deresi Geçiş Köprüsü</t>
  </si>
  <si>
    <t>Başak Mahallesi Şeyh Şamil Caddesi Yaya Üst Geçidi</t>
  </si>
  <si>
    <t>Başakşehir İlçesi, Gazi Mustafa Kemal Bulvarı Yaya Üst Geçit Projesi</t>
  </si>
  <si>
    <t>Çam ve Sakura Hastanesi Yaya Üst Geçidi Revize</t>
  </si>
  <si>
    <t>Başakşehir İlçesi, Otogar ve Triyaj Alanı Yollarının Yapılması</t>
  </si>
  <si>
    <t>Başakşehir, Küçükçekmece İlçeleri, TEM Kuzey Güney Yan Yolları ile İkitelli Caddesi Kesişimleri Yol, Kavşak Projesi</t>
  </si>
  <si>
    <t>Başakşehir İlçesi Tatarcık Deliklikaya Mevki, Deliklikaya-Altınşehir Yolu Bağlantı İmar Yolları Projesi</t>
  </si>
  <si>
    <t>Başakşehir İlçesi, Altınşehir Mevkii, Yanyol Caddesi - Eski İstanbul Caddesi - 2201 Sk. Kesişimi Kavşak ve TEM Yan Yol Düzenleme Projesi</t>
  </si>
  <si>
    <t>Başakşehir İtfaiye İstasyonu Menfez Köprüsü Projesi</t>
  </si>
  <si>
    <t>Bayrampaşa İlçesi, Maltepe Metrobüs İstasyonu Yaya Üst Geçidi Kesit Değişikliği Projesi</t>
  </si>
  <si>
    <t>Bayrampaşa Osmangazi İlkokul Kapalı Spor Salonu Duvar Deformasyon Problemi Önleme Projesi</t>
  </si>
  <si>
    <t>Sağmacılar Kavşağı Bayrampaşa Sanayi Sitesi İstinat Duvarı Projesi</t>
  </si>
  <si>
    <t>Beykoz Deresi Gördeşli Makbule Sokak Üzerinde Bulunan Köprülerin Yenilenmesi</t>
  </si>
  <si>
    <t>Beylikdüzü Liman Yolu Üstgeçidi Yenileme Projesi</t>
  </si>
  <si>
    <t>Halil Rıfatpaşa Yaya Üst Geçidi Projesi ve yaya sirkülasyonu (Dernek Sokak)</t>
  </si>
  <si>
    <t>Büyükçekmece İlçesi Kumburgaz Mah. Okul Cad. Önü YÜG Projesi</t>
  </si>
  <si>
    <t>Büyükçekmece, Cumhuriyet Mahallesi, D-100 Yan Yol Tüyap Karşısı Toprak Kayması Önleme Projesi</t>
  </si>
  <si>
    <t>Mimarsinan 1 -Migros YÜG Onarım Uygulama Projesi (TURAN KOCAALİ YÜG )</t>
  </si>
  <si>
    <t>Büyükçekmece İlçesi, Mimar Sinan Kavşağı - Mimaroba Kavşağı Arası D-100 Karayolu Kuzey-Güney Yan Yolları Projesi</t>
  </si>
  <si>
    <t>Çatalca İlçesi Ovayenice Mahallesi Çatalca Caddesi Tahtaköprü Deresi Köprüsü</t>
  </si>
  <si>
    <t>Şile Yolu Cad. ve Ilgın Cad. Kesişimi Yaya Üst Geçit Projesi</t>
  </si>
  <si>
    <t>Esenyurt Ardıçevler Üst Geçidi</t>
  </si>
  <si>
    <t>Güzelyurt Metrobüs İstasyonu</t>
  </si>
  <si>
    <t>Haliç köprüsü merdivenlerinin yenilenmesi projesi</t>
  </si>
  <si>
    <t>Eyüpsultan İlçesi, KMO Nakkaş AKOM Bağlantı Yolu ile Atatürk Caddesi Arası Bağlantı Yolunun Atatürk Caddesi Kesişimi Kavşak Düzenleme Projesi</t>
  </si>
  <si>
    <t>Fatih İlçesi Çatladıkapı Sahil Bandı Kıyı Duvarları ve Kuzey Marmara Grup Komutanlığı Binası Çevresi Deniz Yapıları Projesi</t>
  </si>
  <si>
    <t>Feshane Sahil Deniz Yapıları Projesi</t>
  </si>
  <si>
    <t>Fatih-Zeytinburnu İlçeleri, Ulubatlı Hasan Kavşağı Güney Kesimi Güçlendirme Projesi</t>
  </si>
  <si>
    <t>Fatih, Zeytinburnu</t>
  </si>
  <si>
    <t>Fatih-Zeytinburnu İlçeleri, Ulubatlı Hasan Kavşağı Kuzey Kesimi Güçlendirme Projesi</t>
  </si>
  <si>
    <t>Gaziosmanpaşa İlçesi, Karayolları Mahallesi, Abdi İpekçi Caddesi Üstgeçit Projesi</t>
  </si>
  <si>
    <t>Güngören İlçesi Tozkoparan Mahallesi Metro Sokak Yaya Üst Geçit Projesi</t>
  </si>
  <si>
    <t>Merter Metrobüs İstasyonu ve Çevresi Düzenleme Projesi</t>
  </si>
  <si>
    <t>İstanbul Geneli Metrobüs Güzergahı Üzerinde Yer Alan İstasyonların Düzenlenmesi</t>
  </si>
  <si>
    <t>Fikirtepe Metrobüs alt geçit</t>
  </si>
  <si>
    <t>Kadıköy İlçesi Caddebostan Sahili Dalyan Parkı Önü Yaya Sahil Yolunun Yenilenmesi Projesi</t>
  </si>
  <si>
    <t>Kadıköy İlçesi, Bağdat Caddesi Fenerbahçe Köprülü Kavşağı Kesişimi Köprülü Kavşak Güçlendirme Projesi</t>
  </si>
  <si>
    <t>Kadıköy İlçesi, Söğütlüçeşme Caddesi Üzeri Köprü Güçlendirme Projesi</t>
  </si>
  <si>
    <t>Kadıköy İlçesi, Söğütlüçeşme Köprülü Kavşağı Köprü Güçlendirme Projesi</t>
  </si>
  <si>
    <t>Yumurtacı Abdi Bey Caddesi, Kadıköy Çok Programlı Anadolu Lisesi Karşısındaki Yaya Köprüsü</t>
  </si>
  <si>
    <t>Kadıköy, Maltepe İlçeleri, D-100 Karayolu Bostancı Kavşağı - Küçükyalı Kavşağı Arası Kuzey-Güney Yan Yolları Projesi</t>
  </si>
  <si>
    <t>Kadıköy İlçesi, Yenisahra - Bostancı Karayolu Tüneli Revize Ön Projesi</t>
  </si>
  <si>
    <t>Çağlayan Metrobüs Durağı Yaya Üstgeçiti Yenileme Projesi</t>
  </si>
  <si>
    <t>Kağıthane Deresi Üst Geçidi ve Yaya Sirkülasyonu Projesi</t>
  </si>
  <si>
    <t>Kağıthane Cendere Deresi Sadabad Nikah Sarayı ve Kültür Merkezi Önü Araç Köprüsü</t>
  </si>
  <si>
    <t>Kağıthane-Eyüpsultan İlçeleri, Sadabat-1 Viyadüğü Güçlendirme Projesi</t>
  </si>
  <si>
    <t>Kağıthane, Eyüpsultan</t>
  </si>
  <si>
    <t>Kartal Hacılar Caddesi Dere Geçişi Yaya Üst Geçidi</t>
  </si>
  <si>
    <t>Lütfi Kırdar Şehir Hastanesi Yaya Üst Geçidi Asansör Ekleme</t>
  </si>
  <si>
    <t>Pendik Sahili Pazar Alanı ve Çevre Düzenleme Projesi</t>
  </si>
  <si>
    <t>Küçükçekmece İlçesi Mehmet Akif Ersoy Kavşağı Altgeçit Duvarları</t>
  </si>
  <si>
    <t>Üst Geçit Güçlendirme</t>
  </si>
  <si>
    <t>Küçükçekmece İlçesi, Mahmutbey Gişeler Mevkii TEM Üstgeçit Köprüsü Uygulama Revize-2 Projesi (Masko Önü)</t>
  </si>
  <si>
    <t>Küçükçekmece Metrobüs Yaya Üstgeçit Projesi</t>
  </si>
  <si>
    <t>Menekşe Plajı Köprüler</t>
  </si>
  <si>
    <t>Maltepe İlçesi, Tugay Yolu Cad. – 20 Temmuz Cad. - Kooperatif Cad. - Şehit Taner Çelikdemir Sok. İmar Yolu Düzenleme Projesi</t>
  </si>
  <si>
    <t>Maltepe İlçesi, Kayışdağı Dudullu Yolu Marmara Üniversitesi Yerleşkesi Mevkii Karayolu Altgeçit Revize Projesi</t>
  </si>
  <si>
    <t>D-100 Güzelyalı Köprüsü Engelli Rampası ve Merdiven Yenilemesi Projesi</t>
  </si>
  <si>
    <t>Gözdağı Sosyal Tesisleri Taş Duvar Projesi</t>
  </si>
  <si>
    <t>Pendik İlçesi, Osmanlı Bulvarı -Millet Caddesi ve Ankara Caddesi Kesişimleri Yol Kavşak Projesi</t>
  </si>
  <si>
    <t>Sancaktepe İlçe Emniyet Müdürlüğü Önü Yaya Üst Geçidi (Millet Bahçesi)</t>
  </si>
  <si>
    <t>Sancaktepe Yenidoğan Fatih Ortaokulu Önü Yaya Üst Geçidi</t>
  </si>
  <si>
    <t>Sancaktepe İlçesi, Osmangazi Caddesi İle Yakacık Caddesi Arası İmar Yolu Projesi</t>
  </si>
  <si>
    <t>Sancaktepe İlçesi, Şehit Hasan Çelik Caddesi - Sultanbeyli İlçesi Kuran Kursu Caddesi Arası Yol, Kavşak Projesi</t>
  </si>
  <si>
    <t>Sancaktepe İlçesi, Atayolu Caddesi (Baraj Yolu - Paşaköy Caddesi Arası) İmar Yolu Projesi</t>
  </si>
  <si>
    <t>Sancaktepe İlçesi, Osmangazi Caddesi - Yakacık Caddesi Arası İmar Yolun TEM Otoyolu Geçişi Yol, Kavşak Düzenleme Projesi</t>
  </si>
  <si>
    <t>Sarıyer ilçesi Baltalimanı Mahallesi Yaya Üst Geçit Projesi</t>
  </si>
  <si>
    <t>Sarıyer İlçesi Maslak İTÜ geçişi Yaya Üst Geçidi Projesi</t>
  </si>
  <si>
    <t>Sarıyer İlçesi, Yenimahalle Caddesi No:79 Kaya Düşmesi Önlem Projesi</t>
  </si>
  <si>
    <t>Sultangazi Cumhuriyet istasyonu yenilenmesi</t>
  </si>
  <si>
    <t>Şile İstavrit Bayırı Sokak Toprak Kayması Önlem Projesi</t>
  </si>
  <si>
    <t>Şişli İlçesi, Mecidiyeköy Köprüsü (K303) Güçlendirme Projesi</t>
  </si>
  <si>
    <t>Okmeydanı Hastane-Çağlayan Metrobüs İstasyonları ve Çevresi Düzenleme Projesi</t>
  </si>
  <si>
    <t>Mecidiyeköy Metrobüs İstasyonu ve Çevresi Düzenleme Projesi</t>
  </si>
  <si>
    <t>Ankara Caddesi Köprüsü Yaya Geçidi Projesi</t>
  </si>
  <si>
    <t>Tuzla Kavşağı Köprüsü Merdiven Projesi</t>
  </si>
  <si>
    <t>Tuzla İlçesi, Yeniyurt Sokak-Kıvrım Sokak Arası İmar Yolu Projesi</t>
  </si>
  <si>
    <t>Ümraniye Eğitim ve Araştırma Hastanesi Otobüs Durağının Engelli Erişimine Uygun Hale Getirilmesi</t>
  </si>
  <si>
    <t>Ümraniye Mustafa Vasıf Farslıgil Üst Geçidi</t>
  </si>
  <si>
    <t>Ümraniye İlçesi, Ahmet Tevfik İleri Caddesi - Balkan Caddesi Bağlantı Yolu Revize-2 Projesi</t>
  </si>
  <si>
    <t>Acıbadem Metrobüs Durağı Yaya Üst Geçidi Projesi</t>
  </si>
  <si>
    <t>Paşabahçe İskelesi ve yanı</t>
  </si>
  <si>
    <t>Üsküdar Selimiye Tıbbiye Caddesi İstinat Duvarı Projesi</t>
  </si>
  <si>
    <t>Cevizlibağ Metrobüs İstasyonu ve Çevresi Düzenleme Projesi</t>
  </si>
  <si>
    <t>Cevizlibağ Metrobüs İstasyonu Yaya Üst Geçidi Projesi</t>
  </si>
  <si>
    <t>Topkapı Deprem Parkı Taş Duvar Projesi</t>
  </si>
  <si>
    <t>Zeytinburnu T1 Kabataş Tramvay Hattı Arel Üniversitesi İstinat Duvarı Projesi</t>
  </si>
  <si>
    <t>Tuzla Sahil İtfaiye</t>
  </si>
  <si>
    <t>1-betonarme perde güçlendirme işleri tamamlandı. Kalıp sökümleri tamamlandı.
2-Garaj içi beton döküm işleri tamamlandı.
3-Garaj içi seramik imalatları tamamlandı.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</si>
</sst>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2" borderId="0" xfId="0" applyFill="1"/>
    <xf numFmtId="14" fontId="0" fillId="2" borderId="0" xfId="0" applyNumberFormat="1" applyFill="1"/>
    <xf numFmtId="0" fontId="0" fillId="3" borderId="0" xfId="0" applyFill="1"/>
    <xf numFmtId="14" fontId="0" fillId="0" borderId="0" xfId="0" applyNumberFormat="1"/>
    <xf numFmtId="43" fontId="0" fillId="0" borderId="0" xfId="1" applyFont="1"/>
    <xf numFmtId="0" fontId="0" fillId="4" borderId="0" xfId="0" applyFill="1"/>
  </cellXfs>
  <cellStyles count="2">
    <cellStyle name="Normal" xfId="0" builtinId="0"/>
    <cellStyle name="Virgül" xfId="1" builtinId="3"/>
  </cellStyles>
  <dxfs count="11">
    <dxf>
      <fill>
        <patternFill>
          <bgColor rgb="FFFF0000"/>
        </patternFill>
      </fill>
    </dxf>
    <dxf>
      <fill>
        <patternFill>
          <bgColor rgb="FF00B0F0"/>
        </patternFill>
      </fill>
    </dxf>
    <dxf>
      <fill>
        <patternFill>
          <bgColor rgb="FFFFFF00"/>
        </patternFill>
      </fil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KPYS%20DI&#350;I%20B&#304;R&#304;MLER%20TAK&#304;P%20L&#304;STES&#304;v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enter23-06-25"/>
      <sheetName val="Başkanlık Projeleri_ALLJoin"/>
      <sheetName val="Kurumsal Gelişim Sorumluları (S"/>
      <sheetName val="Project List"/>
      <sheetName val="DBS_KPY Sorumlular"/>
      <sheetName val="ÖzetMail"/>
      <sheetName val="HYS"/>
      <sheetName val="Alt Isler (Yapim)"/>
      <sheetName val="Alt Isler (Proje)"/>
      <sheetName val="Hizmet Alanları (SGM)"/>
      <sheetName val="ÖZet"/>
      <sheetName val="Tamamlanmış"/>
      <sheetName val="TamamlanmışKültür"/>
    </sheetNames>
    <sheetDataSet>
      <sheetData sheetId="0"/>
      <sheetData sheetId="1"/>
      <sheetData sheetId="2"/>
      <sheetData sheetId="3"/>
      <sheetData sheetId="4">
        <row r="1">
          <cell r="A1" t="str">
            <v>Daire Başkanlığı</v>
          </cell>
          <cell r="B1" t="str">
            <v>Sorumlu - 1</v>
          </cell>
          <cell r="C1" t="str">
            <v>Sorumlu - 2</v>
          </cell>
        </row>
        <row r="2">
          <cell r="A2" t="str">
            <v>Afet İşleri Dairesi Başkanlığı</v>
          </cell>
          <cell r="B2" t="str">
            <v>Esra DOLAN</v>
          </cell>
          <cell r="C2" t="str">
            <v>Esra DOLAN</v>
          </cell>
        </row>
        <row r="3">
          <cell r="A3" t="str">
            <v>Bilgi İşlem Dairesi Başkanlığı</v>
          </cell>
          <cell r="B3" t="str">
            <v>Esra DOLAN</v>
          </cell>
          <cell r="C3" t="str">
            <v>Mustafa AYDIN</v>
          </cell>
        </row>
        <row r="4">
          <cell r="A4" t="str">
            <v>Çevre Koruma ve Kontrol Dairesi Başkanlığı</v>
          </cell>
          <cell r="B4" t="str">
            <v>Seyithan İŞİK</v>
          </cell>
          <cell r="C4" t="str">
            <v>Korhan KÖROĞLU</v>
          </cell>
        </row>
        <row r="5">
          <cell r="A5" t="str">
            <v>Deprem Risk Yönetimi ve Kentsel İyileştirme Dairesi Başkanlığı</v>
          </cell>
          <cell r="B5" t="str">
            <v>Sinan ERDAŞ</v>
          </cell>
          <cell r="C5" t="str">
            <v>Ayşegül AKGÜL</v>
          </cell>
        </row>
        <row r="6">
          <cell r="A6" t="str">
            <v>Destek Hizmetleri Dairesi Başkanlığı</v>
          </cell>
          <cell r="B6" t="str">
            <v>Ayşegül AKGÜL</v>
          </cell>
          <cell r="C6" t="str">
            <v>Sinan ERDAŞ</v>
          </cell>
        </row>
        <row r="7">
          <cell r="A7" t="str">
            <v>Etüd ve Projeler Dairesi Başkanlığı</v>
          </cell>
          <cell r="B7" t="str">
            <v>Kadir TOPÇU</v>
          </cell>
          <cell r="C7" t="str">
            <v>Erkan AKDOĞAN</v>
          </cell>
        </row>
        <row r="8">
          <cell r="A8" t="str">
            <v>Fen İşleri Dairesi Başkanlığı</v>
          </cell>
          <cell r="B8" t="str">
            <v>Mustafa AYDIN</v>
          </cell>
          <cell r="C8" t="str">
            <v>Esra DOLAN</v>
          </cell>
        </row>
        <row r="9">
          <cell r="A9" t="str">
            <v>Gençlik ve Spor Hizmetleri Dairesi Başkanlığı</v>
          </cell>
          <cell r="B9" t="str">
            <v>Ayşegül AKGÜL</v>
          </cell>
          <cell r="C9" t="str">
            <v>Sinan ERDAŞ</v>
          </cell>
        </row>
        <row r="10">
          <cell r="A10" t="str">
            <v>İETT</v>
          </cell>
          <cell r="B10" t="str">
            <v>Ayşegül AKGÜL</v>
          </cell>
          <cell r="C10" t="str">
            <v>Sinan ERDAŞ</v>
          </cell>
        </row>
        <row r="11">
          <cell r="A11" t="str">
            <v>İmar ve Şehircilik Dairesi Başkanlığı</v>
          </cell>
          <cell r="B11" t="str">
            <v>Korhan KÖROĞLU</v>
          </cell>
          <cell r="C11" t="str">
            <v>Seyithan İŞİK</v>
          </cell>
        </row>
        <row r="12">
          <cell r="A12" t="str">
            <v>İSKİ</v>
          </cell>
          <cell r="B12" t="str">
            <v>Ayşegül AKGÜL</v>
          </cell>
          <cell r="C12" t="str">
            <v>Sinan ERDAŞ</v>
          </cell>
        </row>
        <row r="13">
          <cell r="A13" t="str">
            <v>İştirakler Koordinasyon Şube Müdürlüğü</v>
          </cell>
          <cell r="B13" t="str">
            <v>Sinan ERDAŞ</v>
          </cell>
          <cell r="C13" t="str">
            <v>Ayşegül AKGÜL</v>
          </cell>
        </row>
        <row r="14">
          <cell r="A14" t="str">
            <v>İtfaiye Dairesi Başkanlığı</v>
          </cell>
          <cell r="B14" t="str">
            <v>Sinan ERDAŞ</v>
          </cell>
          <cell r="C14" t="str">
            <v>Ayşegül AKGÜL</v>
          </cell>
        </row>
        <row r="15">
          <cell r="A15" t="str">
            <v>Kültür Dairesi Başkanlığı</v>
          </cell>
          <cell r="B15" t="str">
            <v>Tayfun VİÇE</v>
          </cell>
          <cell r="C15" t="str">
            <v>Mehmet Ali YAVUZ</v>
          </cell>
        </row>
        <row r="16">
          <cell r="A16" t="str">
            <v>Kültür Varlıkları Dairesi Başkanlığı</v>
          </cell>
          <cell r="B16" t="str">
            <v>Tayfun VİÇE</v>
          </cell>
          <cell r="C16" t="str">
            <v>Mehmet Ali YAVUZ</v>
          </cell>
        </row>
        <row r="17">
          <cell r="A17" t="str">
            <v>Mezarlıklar Dairesi Başkanlığı</v>
          </cell>
          <cell r="B17" t="str">
            <v>Esra DOLAN</v>
          </cell>
          <cell r="C17" t="str">
            <v>Esra DOLAN</v>
          </cell>
        </row>
        <row r="18">
          <cell r="A18" t="str">
            <v>Muhtarlık İşleri Dairesi Başkanlığı</v>
          </cell>
          <cell r="B18" t="str">
            <v>Korhan KÖROĞLU</v>
          </cell>
          <cell r="C18" t="str">
            <v>Seyithan İŞİK</v>
          </cell>
        </row>
        <row r="19">
          <cell r="A19" t="str">
            <v>Park ve Bahçeler Dairesi Başkanlığı</v>
          </cell>
          <cell r="B19" t="str">
            <v>Seyithan İŞİK</v>
          </cell>
          <cell r="C19" t="str">
            <v>Korhan KÖROĞLU</v>
          </cell>
        </row>
        <row r="20">
          <cell r="A20" t="str">
            <v>Raylı Sistem Dairesi Başkanlığı</v>
          </cell>
          <cell r="B20" t="str">
            <v>Erkan AKDOĞAN</v>
          </cell>
          <cell r="C20" t="str">
            <v>Kadir TOPÇU</v>
          </cell>
        </row>
        <row r="21">
          <cell r="A21" t="str">
            <v>Sağlık Dairesi Başkanlığı</v>
          </cell>
          <cell r="B21" t="str">
            <v>Mehmet Ali YAVUZ</v>
          </cell>
          <cell r="C21" t="str">
            <v>Tayfun VİÇE</v>
          </cell>
        </row>
        <row r="22">
          <cell r="A22" t="str">
            <v>Sosyal Hizmetler Dairesi Başkanlığı</v>
          </cell>
          <cell r="B22" t="str">
            <v>Mehmet Ali YAVUZ</v>
          </cell>
          <cell r="C22" t="str">
            <v>Tayfun VİÇE</v>
          </cell>
        </row>
        <row r="23">
          <cell r="A23" t="str">
            <v>Tarımsal Hizmetler Dairesi Başkanlığı</v>
          </cell>
          <cell r="B23" t="str">
            <v>Korhan KOROĞLU</v>
          </cell>
          <cell r="C23" t="str">
            <v>Seyithan İŞİK</v>
          </cell>
        </row>
        <row r="24">
          <cell r="A24" t="str">
            <v>Ulaşım Dairesi Başkanlığı</v>
          </cell>
          <cell r="B24" t="str">
            <v>Erkan AKDOĞAN</v>
          </cell>
          <cell r="C24" t="str">
            <v>Kadir TOPÇU</v>
          </cell>
        </row>
        <row r="25">
          <cell r="A25" t="str">
            <v>Yol Bakım ve Altyapı Koordinasyon Dairesi Başkanlığı</v>
          </cell>
          <cell r="B25" t="str">
            <v>Erkan AKDOĞAN</v>
          </cell>
          <cell r="C25" t="str">
            <v>Kadir TOPÇU</v>
          </cell>
        </row>
      </sheetData>
      <sheetData sheetId="5"/>
      <sheetData sheetId="6"/>
      <sheetData sheetId="7"/>
      <sheetData sheetId="8"/>
      <sheetData sheetId="9"/>
      <sheetData sheetId="10"/>
      <sheetData sheetId="11"/>
      <sheetData sheetId="12"/>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3" connectionId="1" xr16:uid="{1616C74B-A181-48CA-B9E1-3E55E20E4F4D}" autoFormatId="16" applyNumberFormats="0" applyBorderFormats="0" applyFontFormats="0" applyPatternFormats="0" applyAlignmentFormats="0" applyWidthHeightFormats="0">
  <queryTableRefresh nextId="196" unboundColumnsRight="3">
    <queryTableFields count="27">
      <queryTableField id="2" name="Id" tableColumnId="2"/>
      <queryTableField id="13" name="Veri Kaynağı" tableColumnId="13"/>
      <queryTableField id="132" name="Daire Başkanlığı" tableColumnId="34"/>
      <queryTableField id="133" name="Birim" tableColumnId="36"/>
      <queryTableField id="45" name="Paydaş Birim" tableColumnId="45"/>
      <queryTableField id="16" name="Faaliyet Grubu" tableColumnId="16"/>
      <queryTableField id="12" name="Kategori" tableColumnId="12"/>
      <queryTableField id="134" name="Proje/Yapım Adı" tableColumnId="38"/>
      <queryTableField id="6" name="Tahmini Bitiş " tableColumnId="6"/>
      <queryTableField id="7" name="Fonksiyon Bilgisi" tableColumnId="7"/>
      <queryTableField id="135" name="İlçesi" tableColumnId="40"/>
      <queryTableField id="17" name="Birim Açıklama" tableColumnId="17"/>
      <queryTableField id="26" name="KPY Notu/Notlar" tableColumnId="26"/>
      <queryTableField id="136" name="İşin Durumu" tableColumnId="44"/>
      <queryTableField id="137" name="Koordinatlar (Enlem_Boylam)" tableColumnId="46"/>
      <queryTableField id="178" dataBound="0" tableColumnId="4"/>
      <queryTableField id="184" dataBound="0" tableColumnId="54"/>
      <queryTableField id="182" name="Fiziki İlerleme_x002" tableColumnId="27"/>
      <queryTableField id="42" name="Bölge_Sorumlusu" tableColumnId="42"/>
      <queryTableField id="30" name="Portal Kaynağı" tableColumnId="30"/>
      <queryTableField id="55" name="Project List.ProjUID" tableColumnId="55"/>
      <queryTableField id="63" name="Project List.Title" tableColumnId="29"/>
      <queryTableField id="192" name="Alt Hizmet Alan_x013Id" tableColumnId="57"/>
      <queryTableField id="194" name="Hizmet Alanları (SGM).Title" tableColumnId="58"/>
      <queryTableField id="57" dataBound="0" tableColumnId="60"/>
      <queryTableField id="171" dataBound="0" tableColumnId="59"/>
      <queryTableField id="185" dataBound="0" tableColumnId="5"/>
    </queryTableFields>
    <queryTableDeletedFields count="34">
      <deletedField name="Konum_Link.Url"/>
      <deletedField name="Toplam Maliyet"/>
      <deletedField name="Yüklenici Firma"/>
      <deletedField name="Veri Sorumlusu"/>
      <deletedField name="Kurumsal Gelişim Sorumluları (SGM).GENEL SEKRETER YARDI"/>
      <deletedField name="SP Tema"/>
      <deletedField name="Ağustos 2024 S"/>
      <deletedField name="OData_&quot; Tahmini B_x0"/>
      <deletedField name="Tahmini Bütçe_"/>
      <deletedField name="Tahmini Bütçe_0"/>
      <deletedField name="Tahmini Bütçe_1"/>
      <deletedField name="Tahmini Bütçe_2"/>
      <deletedField name="Tahmini Bütçe_3"/>
      <deletedField name="OData_İPA Notu"/>
      <deletedField name="Baskan_Vaadi"/>
      <deletedField name="AuthorId"/>
      <deletedField name="EditorId"/>
      <deletedField name="Created"/>
      <deletedField name="Modified"/>
      <deletedField name="Saha_Rapor"/>
      <deletedField name="Bağlı Alt_x002Id"/>
      <deletedField name="Bağlı ProjectUId"/>
      <deletedField name="GS_Kategori"/>
      <deletedField name="OData_İlk Taahhüt_x0"/>
      <deletedField name="Onem Duzeyi"/>
      <deletedField name="Tamamlanma Yıl_x0131"/>
      <deletedField name="Haritası Var-Y"/>
      <deletedField name="Müdürlük_x0020Id"/>
      <deletedField name="ID"/>
      <deletedField name="OData__UIVersionString"/>
      <deletedField name="Attachments"/>
      <deletedField name="GUID"/>
      <deletedField name="FileSystemObjectType"/>
      <deletedField name="ContentType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65F8F8-7341-4A4D-815B-BC88B073F613}" name="Baskanlik_Projeleri_2" displayName="Baskanlik_Projeleri_2" ref="A1:AA4884" tableType="queryTable" totalsRowShown="0">
  <autoFilter ref="A1:AA4884" xr:uid="{7565F8F8-7341-4A4D-815B-BC88B073F613}"/>
  <tableColumns count="27">
    <tableColumn id="2" xr3:uid="{3CE861B2-F6FC-484E-8F34-1E2B54725507}" uniqueName="2" name="Id" queryTableFieldId="2"/>
    <tableColumn id="13" xr3:uid="{39CA5843-CA74-41AA-8F86-684AF8586F2B}" uniqueName="13" name="Veri Kaynağı" queryTableFieldId="13"/>
    <tableColumn id="34" xr3:uid="{BA4FA9D4-DC11-45DF-95E1-B18A9A9FABC9}" uniqueName="34" name="Daire Başkanlığı" queryTableFieldId="132"/>
    <tableColumn id="36" xr3:uid="{3915BF76-FD81-4A20-8B8E-1722DDC49289}" uniqueName="36" name="Birim" queryTableFieldId="133"/>
    <tableColumn id="45" xr3:uid="{5FB1E070-455C-49B3-986A-ACB1F5B13FA1}" uniqueName="45" name="Paydaş Birim" queryTableFieldId="45"/>
    <tableColumn id="16" xr3:uid="{17DCF474-BF95-439D-ABB0-80B301883701}" uniqueName="16" name="Faaliyet Grubu" queryTableFieldId="16"/>
    <tableColumn id="12" xr3:uid="{039E55BB-DE97-4423-8ACC-290808FB16D3}" uniqueName="12" name="Kategori" queryTableFieldId="12"/>
    <tableColumn id="38" xr3:uid="{C658F019-8360-47A1-98B2-CBE200079490}" uniqueName="38" name="Proje/Yapım Adı" queryTableFieldId="134"/>
    <tableColumn id="6" xr3:uid="{3161B639-E4B6-4348-8220-E2552FBB3554}" uniqueName="6" name="Tahmini Bitiş " queryTableFieldId="6" dataDxfId="10"/>
    <tableColumn id="7" xr3:uid="{19C1D246-1995-40C6-AAB0-68FD8B2D77E7}" uniqueName="7" name="Fonksiyon Bilgisi" queryTableFieldId="7"/>
    <tableColumn id="40" xr3:uid="{814245C8-1653-4FAC-BE8B-23596B66FC82}" uniqueName="40" name="İlçesi" queryTableFieldId="135"/>
    <tableColumn id="17" xr3:uid="{2DC94586-E3E8-4DC0-88FB-768DAC518599}" uniqueName="17" name="Birim Açıklama" queryTableFieldId="17" dataDxfId="9" dataCellStyle="Virgül"/>
    <tableColumn id="26" xr3:uid="{831D8028-B69F-439F-ACC2-D712D5E66C8D}" uniqueName="26" name="KPY Notu/Notlar" queryTableFieldId="26" dataDxfId="8" dataCellStyle="Virgül"/>
    <tableColumn id="44" xr3:uid="{024CD2AF-8C18-4D83-9AF8-9AFBD2AE02AE}" uniqueName="44" name="İşin Durumu" queryTableFieldId="136"/>
    <tableColumn id="46" xr3:uid="{BE209150-3CEA-46A2-8976-B81CBC1BB0BA}" uniqueName="46" name="Koordinatlar (Enlem_Boylam)" queryTableFieldId="137"/>
    <tableColumn id="4" xr3:uid="{F0025E1D-D92C-4BD4-8BE1-63CFE0AA2683}" uniqueName="4" name="Sütun1" queryTableFieldId="178"/>
    <tableColumn id="54" xr3:uid="{C426070B-4658-4441-827E-A3E7A2585291}" uniqueName="54" name="Sütun2" queryTableFieldId="184" dataDxfId="7"/>
    <tableColumn id="27" xr3:uid="{0DB24831-5F4D-4F22-B650-34AA677DFB25}" uniqueName="27" name="Fiziki İlerleme_x002" queryTableFieldId="182"/>
    <tableColumn id="42" xr3:uid="{F6E36C4F-2C60-4BC0-92AF-E2925F5400F6}" uniqueName="42" name="Bölge_Sorumlusu" queryTableFieldId="42"/>
    <tableColumn id="30" xr3:uid="{B6397786-7C25-4D0F-8AE5-7BAADEDA42D8}" uniqueName="30" name="Portal Kaynağı" queryTableFieldId="30" dataDxfId="6" dataCellStyle="Virgül"/>
    <tableColumn id="55" xr3:uid="{43771573-AC60-494C-97EA-69AB6771D2C0}" uniqueName="55" name="Project List.ProjUID" queryTableFieldId="55"/>
    <tableColumn id="29" xr3:uid="{1FB10C2C-9A08-459B-BAF2-0AA838144D66}" uniqueName="29" name="Project List.Title" queryTableFieldId="63"/>
    <tableColumn id="57" xr3:uid="{2C5A6A5B-DDA7-4DC2-BFD3-641F4F30EA9F}" uniqueName="57" name="Alt Hizmet Alan_x013Id" queryTableFieldId="192"/>
    <tableColumn id="58" xr3:uid="{C641ABD3-5325-46C9-8455-66998101328B}" uniqueName="58" name="Hizmet Alanları (SGM).Title" queryTableFieldId="194"/>
    <tableColumn id="60" xr3:uid="{0D04DFFB-AFD4-44B3-B6A5-807184B653E6}" uniqueName="60" name="DBS-KPY Sorumlular" queryTableFieldId="57" dataDxfId="5">
      <calculatedColumnFormula>VLOOKUP(C2,'[1]DBS_KPY Sorumlular'!A:C,2,FALSE)</calculatedColumnFormula>
    </tableColumn>
    <tableColumn id="59" xr3:uid="{B1F329D5-C15E-459F-AECC-028AF22E1D59}" uniqueName="59" name="DBS-KPY Sorumlular2" queryTableFieldId="171" dataDxfId="4">
      <calculatedColumnFormula>VLOOKUP(C2,'[1]DBS_KPY Sorumlular'!A:C,3,FALSE)</calculatedColumnFormula>
    </tableColumn>
    <tableColumn id="5" xr3:uid="{9F29F9C1-F10D-4DB3-9C47-9C1417B65500}" uniqueName="5" name="Bölge Sorumlusu Listeden" queryTableFieldId="185" dataDxfId="3">
      <calculatedColumnFormula>VLOOKUP(K2,[1]!Tablo3[#Data],2,FALSE)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884"/>
  <sheetViews>
    <sheetView tabSelected="1" workbookViewId="0">
      <selection activeCell="K5" sqref="K5"/>
    </sheetView>
  </sheetViews>
  <sheetFormatPr defaultRowHeight="15" x14ac:dyDescent="0.25"/>
  <cols>
    <col min="11" max="11" width="14.7109375" bestFit="1" customWidth="1"/>
    <col min="15" max="15" width="39" bestFit="1" customWidth="1"/>
  </cols>
  <sheetData>
    <row r="1" spans="1:27" x14ac:dyDescent="0.25">
      <c r="A1" s="6" t="s">
        <v>0</v>
      </c>
      <c r="B1" s="1" t="s">
        <v>1</v>
      </c>
      <c r="C1" s="1" t="s">
        <v>2</v>
      </c>
      <c r="D1" s="1" t="s">
        <v>3</v>
      </c>
      <c r="E1" s="1" t="s">
        <v>4</v>
      </c>
      <c r="F1" s="1" t="s">
        <v>5</v>
      </c>
      <c r="G1" s="1" t="s">
        <v>6</v>
      </c>
      <c r="H1" s="1" t="s">
        <v>7</v>
      </c>
      <c r="I1" s="2" t="s">
        <v>8</v>
      </c>
      <c r="J1" s="1" t="s">
        <v>9</v>
      </c>
      <c r="K1" s="6" t="s">
        <v>10</v>
      </c>
      <c r="L1" s="1" t="s">
        <v>11</v>
      </c>
      <c r="M1" t="s">
        <v>12</v>
      </c>
      <c r="N1" s="1" t="s">
        <v>13</v>
      </c>
      <c r="O1" s="6" t="s">
        <v>14</v>
      </c>
      <c r="P1" s="3" t="s">
        <v>15</v>
      </c>
      <c r="Q1" s="3" t="s">
        <v>16</v>
      </c>
      <c r="R1" t="s">
        <v>17</v>
      </c>
      <c r="S1" t="s">
        <v>18</v>
      </c>
      <c r="T1" t="s">
        <v>19</v>
      </c>
      <c r="U1" t="s">
        <v>20</v>
      </c>
      <c r="V1" t="s">
        <v>21</v>
      </c>
      <c r="W1" t="s">
        <v>22</v>
      </c>
      <c r="X1" t="s">
        <v>23</v>
      </c>
      <c r="Y1" s="3" t="s">
        <v>24</v>
      </c>
      <c r="Z1" s="3" t="s">
        <v>25</v>
      </c>
      <c r="AA1" s="3" t="s">
        <v>26</v>
      </c>
    </row>
    <row r="2" spans="1:27" x14ac:dyDescent="0.25">
      <c r="A2">
        <v>1285</v>
      </c>
      <c r="B2" t="s">
        <v>27</v>
      </c>
      <c r="C2" t="s">
        <v>28</v>
      </c>
      <c r="D2" t="s">
        <v>28</v>
      </c>
      <c r="E2" t="s">
        <v>28</v>
      </c>
      <c r="F2" t="s">
        <v>29</v>
      </c>
      <c r="G2" t="s">
        <v>30</v>
      </c>
      <c r="H2" t="s">
        <v>31</v>
      </c>
      <c r="I2" s="4">
        <v>46386.875</v>
      </c>
      <c r="J2" t="s">
        <v>32</v>
      </c>
      <c r="K2" t="s">
        <v>33</v>
      </c>
      <c r="L2" s="5" t="s">
        <v>34</v>
      </c>
      <c r="M2" s="5"/>
      <c r="N2" t="s">
        <v>35</v>
      </c>
      <c r="O2" t="s">
        <v>36</v>
      </c>
      <c r="R2">
        <v>0</v>
      </c>
      <c r="S2" t="s">
        <v>37</v>
      </c>
      <c r="T2" s="5" t="s">
        <v>38</v>
      </c>
      <c r="W2">
        <v>128</v>
      </c>
      <c r="X2" t="s">
        <v>39</v>
      </c>
      <c r="Y2" t="str">
        <f>VLOOKUP(C2,'[1]DBS_KPY Sorumlular'!A:C,2,FALSE)</f>
        <v>Ayşegül AKGÜL</v>
      </c>
      <c r="Z2" t="str">
        <f>VLOOKUP(C2,'[1]DBS_KPY Sorumlular'!A:C,3,FALSE)</f>
        <v>Sinan ERDAŞ</v>
      </c>
      <c r="AA2" t="str">
        <f>VLOOKUP(K2,[1]!Tablo3[#Data],2,FALSE)</f>
        <v>Tayfun VİÇE</v>
      </c>
    </row>
    <row r="3" spans="1:27" x14ac:dyDescent="0.25">
      <c r="A3">
        <v>1286</v>
      </c>
      <c r="B3" t="s">
        <v>27</v>
      </c>
      <c r="C3" t="s">
        <v>40</v>
      </c>
      <c r="D3" t="s">
        <v>41</v>
      </c>
      <c r="F3" t="s">
        <v>42</v>
      </c>
      <c r="G3" t="s">
        <v>43</v>
      </c>
      <c r="H3" t="s">
        <v>44</v>
      </c>
      <c r="I3" s="4">
        <v>45928.875</v>
      </c>
      <c r="J3" t="s">
        <v>45</v>
      </c>
      <c r="K3" t="s">
        <v>33</v>
      </c>
      <c r="L3" s="5"/>
      <c r="M3" s="5"/>
      <c r="N3" t="s">
        <v>46</v>
      </c>
      <c r="O3" t="s">
        <v>47</v>
      </c>
      <c r="R3">
        <v>0.4</v>
      </c>
      <c r="S3" t="s">
        <v>37</v>
      </c>
      <c r="T3" s="5" t="s">
        <v>48</v>
      </c>
      <c r="U3" t="s">
        <v>49</v>
      </c>
      <c r="V3" t="s">
        <v>50</v>
      </c>
      <c r="W3">
        <v>68</v>
      </c>
      <c r="X3" t="s">
        <v>51</v>
      </c>
      <c r="Y3" t="str">
        <f>VLOOKUP(C3,'[1]DBS_KPY Sorumlular'!A:C,2,FALSE)</f>
        <v>Mustafa AYDIN</v>
      </c>
      <c r="Z3" t="str">
        <f>VLOOKUP(C3,'[1]DBS_KPY Sorumlular'!A:C,3,FALSE)</f>
        <v>Esra DOLAN</v>
      </c>
      <c r="AA3" t="str">
        <f>VLOOKUP(K3,[1]!Tablo3[#Data],2,FALSE)</f>
        <v>Tayfun VİÇE</v>
      </c>
    </row>
    <row r="4" spans="1:27" x14ac:dyDescent="0.25">
      <c r="A4">
        <v>1287</v>
      </c>
      <c r="B4" t="s">
        <v>27</v>
      </c>
      <c r="C4" t="s">
        <v>40</v>
      </c>
      <c r="D4" t="s">
        <v>41</v>
      </c>
      <c r="F4" t="s">
        <v>52</v>
      </c>
      <c r="G4" t="s">
        <v>43</v>
      </c>
      <c r="H4" t="s">
        <v>53</v>
      </c>
      <c r="I4" s="4">
        <v>46063.875</v>
      </c>
      <c r="K4" t="s">
        <v>54</v>
      </c>
      <c r="L4" s="5" t="s">
        <v>55</v>
      </c>
      <c r="M4" s="5"/>
      <c r="N4" t="s">
        <v>46</v>
      </c>
      <c r="O4" t="s">
        <v>56</v>
      </c>
      <c r="R4">
        <v>0.85</v>
      </c>
      <c r="S4" t="s">
        <v>57</v>
      </c>
      <c r="T4" s="5" t="s">
        <v>58</v>
      </c>
      <c r="U4" t="s">
        <v>59</v>
      </c>
      <c r="V4" t="s">
        <v>60</v>
      </c>
      <c r="W4">
        <v>131</v>
      </c>
      <c r="X4" t="s">
        <v>61</v>
      </c>
      <c r="Y4" t="str">
        <f>VLOOKUP(C4,'[1]DBS_KPY Sorumlular'!A:C,2,FALSE)</f>
        <v>Mustafa AYDIN</v>
      </c>
      <c r="Z4" t="str">
        <f>VLOOKUP(C4,'[1]DBS_KPY Sorumlular'!A:C,3,FALSE)</f>
        <v>Esra DOLAN</v>
      </c>
      <c r="AA4" t="str">
        <f>VLOOKUP(K4,[1]!Tablo3[#Data],2,FALSE)</f>
        <v>Erkan AKDOĞAN</v>
      </c>
    </row>
    <row r="5" spans="1:27" x14ac:dyDescent="0.25">
      <c r="A5">
        <v>1288</v>
      </c>
      <c r="B5" t="s">
        <v>27</v>
      </c>
      <c r="C5" t="s">
        <v>40</v>
      </c>
      <c r="D5" t="s">
        <v>41</v>
      </c>
      <c r="F5" t="s">
        <v>52</v>
      </c>
      <c r="G5" t="s">
        <v>43</v>
      </c>
      <c r="H5" t="s">
        <v>62</v>
      </c>
      <c r="I5" s="4">
        <v>46063.875</v>
      </c>
      <c r="K5" t="s">
        <v>54</v>
      </c>
      <c r="L5" s="5" t="s">
        <v>63</v>
      </c>
      <c r="M5" s="5"/>
      <c r="N5" t="s">
        <v>46</v>
      </c>
      <c r="O5" t="s">
        <v>64</v>
      </c>
      <c r="R5">
        <v>0.85</v>
      </c>
      <c r="S5" t="s">
        <v>57</v>
      </c>
      <c r="T5" s="5" t="s">
        <v>58</v>
      </c>
      <c r="U5" t="s">
        <v>59</v>
      </c>
      <c r="V5" t="s">
        <v>60</v>
      </c>
      <c r="W5">
        <v>131</v>
      </c>
      <c r="X5" t="s">
        <v>61</v>
      </c>
      <c r="Y5" t="str">
        <f>VLOOKUP(C5,'[1]DBS_KPY Sorumlular'!A:C,2,FALSE)</f>
        <v>Mustafa AYDIN</v>
      </c>
      <c r="Z5" t="str">
        <f>VLOOKUP(C5,'[1]DBS_KPY Sorumlular'!A:C,3,FALSE)</f>
        <v>Esra DOLAN</v>
      </c>
      <c r="AA5" t="str">
        <f>VLOOKUP(K5,[1]!Tablo3[#Data],2,FALSE)</f>
        <v>Erkan AKDOĞAN</v>
      </c>
    </row>
    <row r="6" spans="1:27" x14ac:dyDescent="0.25">
      <c r="A6">
        <v>1289</v>
      </c>
      <c r="B6" t="s">
        <v>27</v>
      </c>
      <c r="C6" t="s">
        <v>40</v>
      </c>
      <c r="D6" t="s">
        <v>65</v>
      </c>
      <c r="F6" t="s">
        <v>66</v>
      </c>
      <c r="G6" t="s">
        <v>67</v>
      </c>
      <c r="H6" t="s">
        <v>68</v>
      </c>
      <c r="I6" s="4">
        <v>45837.875</v>
      </c>
      <c r="K6" t="s">
        <v>54</v>
      </c>
      <c r="L6" s="5"/>
      <c r="M6" s="5"/>
      <c r="N6" t="s">
        <v>46</v>
      </c>
      <c r="O6" t="s">
        <v>69</v>
      </c>
      <c r="R6">
        <v>0.99</v>
      </c>
      <c r="S6" t="s">
        <v>57</v>
      </c>
      <c r="T6" s="5" t="s">
        <v>48</v>
      </c>
      <c r="U6" t="s">
        <v>70</v>
      </c>
      <c r="V6" t="s">
        <v>71</v>
      </c>
      <c r="W6">
        <v>203</v>
      </c>
      <c r="X6" t="s">
        <v>72</v>
      </c>
      <c r="Y6" t="str">
        <f>VLOOKUP(C6,'[1]DBS_KPY Sorumlular'!A:C,2,FALSE)</f>
        <v>Mustafa AYDIN</v>
      </c>
      <c r="Z6" t="str">
        <f>VLOOKUP(C6,'[1]DBS_KPY Sorumlular'!A:C,3,FALSE)</f>
        <v>Esra DOLAN</v>
      </c>
      <c r="AA6" t="str">
        <f>VLOOKUP(K6,[1]!Tablo3[#Data],2,FALSE)</f>
        <v>Erkan AKDOĞAN</v>
      </c>
    </row>
    <row r="7" spans="1:27" x14ac:dyDescent="0.25">
      <c r="A7">
        <v>1290</v>
      </c>
      <c r="B7" t="s">
        <v>27</v>
      </c>
      <c r="C7" t="s">
        <v>73</v>
      </c>
      <c r="D7" t="s">
        <v>73</v>
      </c>
      <c r="F7" t="s">
        <v>74</v>
      </c>
      <c r="G7" t="s">
        <v>30</v>
      </c>
      <c r="H7" t="s">
        <v>75</v>
      </c>
      <c r="I7" s="4">
        <v>45841.875</v>
      </c>
      <c r="J7" t="s">
        <v>76</v>
      </c>
      <c r="K7" t="s">
        <v>54</v>
      </c>
      <c r="L7" s="5" t="s">
        <v>77</v>
      </c>
      <c r="M7" s="5"/>
      <c r="N7" t="s">
        <v>46</v>
      </c>
      <c r="O7" t="s">
        <v>78</v>
      </c>
      <c r="R7">
        <v>0.99</v>
      </c>
      <c r="S7" t="s">
        <v>57</v>
      </c>
      <c r="T7" s="5" t="s">
        <v>38</v>
      </c>
      <c r="Y7" t="str">
        <f>VLOOKUP(C7,'[1]DBS_KPY Sorumlular'!A:C,2,FALSE)</f>
        <v>Ayşegül AKGÜL</v>
      </c>
      <c r="Z7" t="str">
        <f>VLOOKUP(C7,'[1]DBS_KPY Sorumlular'!A:C,3,FALSE)</f>
        <v>Sinan ERDAŞ</v>
      </c>
      <c r="AA7" t="str">
        <f>VLOOKUP(K7,[1]!Tablo3[#Data],2,FALSE)</f>
        <v>Erkan AKDOĞAN</v>
      </c>
    </row>
    <row r="8" spans="1:27" x14ac:dyDescent="0.25">
      <c r="A8">
        <v>1291</v>
      </c>
      <c r="B8" t="s">
        <v>27</v>
      </c>
      <c r="C8" t="s">
        <v>40</v>
      </c>
      <c r="D8" t="s">
        <v>41</v>
      </c>
      <c r="F8" t="s">
        <v>79</v>
      </c>
      <c r="G8" t="s">
        <v>43</v>
      </c>
      <c r="H8" t="s">
        <v>80</v>
      </c>
      <c r="I8" s="4">
        <v>45800.875</v>
      </c>
      <c r="J8" t="s">
        <v>81</v>
      </c>
      <c r="K8" t="s">
        <v>54</v>
      </c>
      <c r="L8" s="5"/>
      <c r="M8" s="5"/>
      <c r="N8" t="s">
        <v>82</v>
      </c>
      <c r="O8" t="s">
        <v>83</v>
      </c>
      <c r="R8">
        <v>1</v>
      </c>
      <c r="S8" t="s">
        <v>57</v>
      </c>
      <c r="T8" s="5" t="s">
        <v>48</v>
      </c>
      <c r="U8" t="s">
        <v>84</v>
      </c>
      <c r="V8" t="s">
        <v>85</v>
      </c>
      <c r="W8">
        <v>78</v>
      </c>
      <c r="X8" t="s">
        <v>86</v>
      </c>
      <c r="Y8" t="str">
        <f>VLOOKUP(C8,'[1]DBS_KPY Sorumlular'!A:C,2,FALSE)</f>
        <v>Mustafa AYDIN</v>
      </c>
      <c r="Z8" t="str">
        <f>VLOOKUP(C8,'[1]DBS_KPY Sorumlular'!A:C,3,FALSE)</f>
        <v>Esra DOLAN</v>
      </c>
      <c r="AA8" t="str">
        <f>VLOOKUP(K8,[1]!Tablo3[#Data],2,FALSE)</f>
        <v>Erkan AKDOĞAN</v>
      </c>
    </row>
    <row r="9" spans="1:27" x14ac:dyDescent="0.25">
      <c r="A9">
        <v>1292</v>
      </c>
      <c r="B9" t="s">
        <v>27</v>
      </c>
      <c r="C9" t="s">
        <v>73</v>
      </c>
      <c r="D9" t="s">
        <v>73</v>
      </c>
      <c r="F9" t="s">
        <v>74</v>
      </c>
      <c r="G9" t="s">
        <v>30</v>
      </c>
      <c r="H9" t="s">
        <v>87</v>
      </c>
      <c r="I9" s="4">
        <v>45837.875</v>
      </c>
      <c r="J9" t="s">
        <v>88</v>
      </c>
      <c r="K9" t="s">
        <v>54</v>
      </c>
      <c r="L9" s="5" t="s">
        <v>89</v>
      </c>
      <c r="M9" s="5"/>
      <c r="N9" t="s">
        <v>46</v>
      </c>
      <c r="O9" t="s">
        <v>90</v>
      </c>
      <c r="R9">
        <v>0.6</v>
      </c>
      <c r="S9" t="s">
        <v>57</v>
      </c>
      <c r="T9" s="5" t="s">
        <v>38</v>
      </c>
      <c r="Y9" t="str">
        <f>VLOOKUP(C9,'[1]DBS_KPY Sorumlular'!A:C,2,FALSE)</f>
        <v>Ayşegül AKGÜL</v>
      </c>
      <c r="Z9" t="str">
        <f>VLOOKUP(C9,'[1]DBS_KPY Sorumlular'!A:C,3,FALSE)</f>
        <v>Sinan ERDAŞ</v>
      </c>
      <c r="AA9" t="str">
        <f>VLOOKUP(K9,[1]!Tablo3[#Data],2,FALSE)</f>
        <v>Erkan AKDOĞAN</v>
      </c>
    </row>
    <row r="10" spans="1:27" x14ac:dyDescent="0.25">
      <c r="A10">
        <v>1293</v>
      </c>
      <c r="B10" t="s">
        <v>27</v>
      </c>
      <c r="C10" t="s">
        <v>73</v>
      </c>
      <c r="D10" t="s">
        <v>73</v>
      </c>
      <c r="F10" t="s">
        <v>74</v>
      </c>
      <c r="G10" t="s">
        <v>30</v>
      </c>
      <c r="H10" t="s">
        <v>91</v>
      </c>
      <c r="I10" s="4">
        <v>46021.875</v>
      </c>
      <c r="J10" t="s">
        <v>92</v>
      </c>
      <c r="K10" t="s">
        <v>54</v>
      </c>
      <c r="L10" s="5" t="s">
        <v>93</v>
      </c>
      <c r="M10" s="5"/>
      <c r="N10" t="s">
        <v>46</v>
      </c>
      <c r="O10" t="s">
        <v>94</v>
      </c>
      <c r="R10">
        <v>0.42530000000000001</v>
      </c>
      <c r="S10" t="s">
        <v>57</v>
      </c>
      <c r="T10" s="5" t="s">
        <v>38</v>
      </c>
      <c r="Y10" t="str">
        <f>VLOOKUP(C10,'[1]DBS_KPY Sorumlular'!A:C,2,FALSE)</f>
        <v>Ayşegül AKGÜL</v>
      </c>
      <c r="Z10" t="str">
        <f>VLOOKUP(C10,'[1]DBS_KPY Sorumlular'!A:C,3,FALSE)</f>
        <v>Sinan ERDAŞ</v>
      </c>
      <c r="AA10" t="str">
        <f>VLOOKUP(K10,[1]!Tablo3[#Data],2,FALSE)</f>
        <v>Erkan AKDOĞAN</v>
      </c>
    </row>
    <row r="11" spans="1:27" x14ac:dyDescent="0.25">
      <c r="A11">
        <v>1294</v>
      </c>
      <c r="B11" t="s">
        <v>27</v>
      </c>
      <c r="C11" t="s">
        <v>40</v>
      </c>
      <c r="D11" t="s">
        <v>41</v>
      </c>
      <c r="F11" t="s">
        <v>95</v>
      </c>
      <c r="G11" t="s">
        <v>96</v>
      </c>
      <c r="H11" t="s">
        <v>97</v>
      </c>
      <c r="I11" s="4">
        <v>45565.875</v>
      </c>
      <c r="K11" t="s">
        <v>98</v>
      </c>
      <c r="L11" s="5"/>
      <c r="M11" s="5"/>
      <c r="N11" t="s">
        <v>82</v>
      </c>
      <c r="O11" t="s">
        <v>99</v>
      </c>
      <c r="R11">
        <v>1</v>
      </c>
      <c r="S11" t="s">
        <v>37</v>
      </c>
      <c r="T11" s="5" t="s">
        <v>100</v>
      </c>
      <c r="W11">
        <v>91</v>
      </c>
      <c r="X11" t="s">
        <v>101</v>
      </c>
      <c r="Y11" t="str">
        <f>VLOOKUP(C11,'[1]DBS_KPY Sorumlular'!A:C,2,FALSE)</f>
        <v>Mustafa AYDIN</v>
      </c>
      <c r="Z11" t="str">
        <f>VLOOKUP(C11,'[1]DBS_KPY Sorumlular'!A:C,3,FALSE)</f>
        <v>Esra DOLAN</v>
      </c>
      <c r="AA11" t="str">
        <f>VLOOKUP(K11,[1]!Tablo3[#Data],2,FALSE)</f>
        <v>Tayfun VİÇE</v>
      </c>
    </row>
    <row r="12" spans="1:27" x14ac:dyDescent="0.25">
      <c r="A12">
        <v>1295</v>
      </c>
      <c r="B12" t="s">
        <v>27</v>
      </c>
      <c r="C12" t="s">
        <v>40</v>
      </c>
      <c r="D12" t="s">
        <v>41</v>
      </c>
      <c r="F12" t="s">
        <v>102</v>
      </c>
      <c r="G12" t="s">
        <v>43</v>
      </c>
      <c r="H12" t="s">
        <v>103</v>
      </c>
      <c r="I12" s="4">
        <v>45527.875</v>
      </c>
      <c r="K12" t="s">
        <v>98</v>
      </c>
      <c r="L12" s="5"/>
      <c r="M12" s="5"/>
      <c r="N12" t="s">
        <v>82</v>
      </c>
      <c r="O12" t="s">
        <v>104</v>
      </c>
      <c r="R12">
        <v>1</v>
      </c>
      <c r="S12" t="s">
        <v>37</v>
      </c>
      <c r="T12" s="5" t="s">
        <v>48</v>
      </c>
      <c r="U12" t="s">
        <v>105</v>
      </c>
      <c r="V12" t="s">
        <v>106</v>
      </c>
      <c r="W12">
        <v>108</v>
      </c>
      <c r="X12" t="s">
        <v>107</v>
      </c>
      <c r="Y12" t="str">
        <f>VLOOKUP(C12,'[1]DBS_KPY Sorumlular'!A:C,2,FALSE)</f>
        <v>Mustafa AYDIN</v>
      </c>
      <c r="Z12" t="str">
        <f>VLOOKUP(C12,'[1]DBS_KPY Sorumlular'!A:C,3,FALSE)</f>
        <v>Esra DOLAN</v>
      </c>
      <c r="AA12" t="str">
        <f>VLOOKUP(K12,[1]!Tablo3[#Data],2,FALSE)</f>
        <v>Tayfun VİÇE</v>
      </c>
    </row>
    <row r="13" spans="1:27" x14ac:dyDescent="0.25">
      <c r="A13">
        <v>1296</v>
      </c>
      <c r="B13" t="s">
        <v>27</v>
      </c>
      <c r="C13" t="s">
        <v>73</v>
      </c>
      <c r="D13" t="s">
        <v>73</v>
      </c>
      <c r="F13" t="s">
        <v>108</v>
      </c>
      <c r="G13" t="s">
        <v>30</v>
      </c>
      <c r="H13" t="s">
        <v>109</v>
      </c>
      <c r="I13" s="4">
        <v>46037.875</v>
      </c>
      <c r="J13" t="s">
        <v>110</v>
      </c>
      <c r="K13" t="s">
        <v>98</v>
      </c>
      <c r="L13" s="5" t="s">
        <v>111</v>
      </c>
      <c r="M13" s="5"/>
      <c r="N13" t="s">
        <v>46</v>
      </c>
      <c r="O13" t="s">
        <v>112</v>
      </c>
      <c r="R13">
        <v>0.79</v>
      </c>
      <c r="S13" t="s">
        <v>37</v>
      </c>
      <c r="T13" s="5" t="s">
        <v>38</v>
      </c>
      <c r="Y13" t="str">
        <f>VLOOKUP(C13,'[1]DBS_KPY Sorumlular'!A:C,2,FALSE)</f>
        <v>Ayşegül AKGÜL</v>
      </c>
      <c r="Z13" t="str">
        <f>VLOOKUP(C13,'[1]DBS_KPY Sorumlular'!A:C,3,FALSE)</f>
        <v>Sinan ERDAŞ</v>
      </c>
      <c r="AA13" t="str">
        <f>VLOOKUP(K13,[1]!Tablo3[#Data],2,FALSE)</f>
        <v>Tayfun VİÇE</v>
      </c>
    </row>
    <row r="14" spans="1:27" x14ac:dyDescent="0.25">
      <c r="A14">
        <v>1297</v>
      </c>
      <c r="B14" t="s">
        <v>27</v>
      </c>
      <c r="C14" t="s">
        <v>40</v>
      </c>
      <c r="D14" t="s">
        <v>41</v>
      </c>
      <c r="F14" t="s">
        <v>113</v>
      </c>
      <c r="G14" t="s">
        <v>43</v>
      </c>
      <c r="H14" t="s">
        <v>114</v>
      </c>
      <c r="I14" s="4">
        <v>45982.875</v>
      </c>
      <c r="J14" t="s">
        <v>115</v>
      </c>
      <c r="K14" t="s">
        <v>98</v>
      </c>
      <c r="L14" s="5"/>
      <c r="M14" s="5"/>
      <c r="N14" t="s">
        <v>46</v>
      </c>
      <c r="O14" t="s">
        <v>116</v>
      </c>
      <c r="R14">
        <v>0.56000000000000005</v>
      </c>
      <c r="S14" t="s">
        <v>37</v>
      </c>
      <c r="T14" s="5" t="s">
        <v>48</v>
      </c>
      <c r="U14" t="s">
        <v>117</v>
      </c>
      <c r="V14" t="s">
        <v>118</v>
      </c>
      <c r="W14">
        <v>87</v>
      </c>
      <c r="X14" t="s">
        <v>119</v>
      </c>
      <c r="Y14" t="str">
        <f>VLOOKUP(C14,'[1]DBS_KPY Sorumlular'!A:C,2,FALSE)</f>
        <v>Mustafa AYDIN</v>
      </c>
      <c r="Z14" t="str">
        <f>VLOOKUP(C14,'[1]DBS_KPY Sorumlular'!A:C,3,FALSE)</f>
        <v>Esra DOLAN</v>
      </c>
      <c r="AA14" t="str">
        <f>VLOOKUP(K14,[1]!Tablo3[#Data],2,FALSE)</f>
        <v>Tayfun VİÇE</v>
      </c>
    </row>
    <row r="15" spans="1:27" x14ac:dyDescent="0.25">
      <c r="A15">
        <v>1298</v>
      </c>
      <c r="B15" t="s">
        <v>27</v>
      </c>
      <c r="C15" t="s">
        <v>40</v>
      </c>
      <c r="D15" t="s">
        <v>41</v>
      </c>
      <c r="F15" t="s">
        <v>113</v>
      </c>
      <c r="G15" t="s">
        <v>43</v>
      </c>
      <c r="H15" t="s">
        <v>120</v>
      </c>
      <c r="I15" s="4">
        <v>45837.875</v>
      </c>
      <c r="J15" t="s">
        <v>121</v>
      </c>
      <c r="K15" t="s">
        <v>98</v>
      </c>
      <c r="L15" s="5"/>
      <c r="M15" s="5"/>
      <c r="N15" t="s">
        <v>46</v>
      </c>
      <c r="O15" t="s">
        <v>122</v>
      </c>
      <c r="R15">
        <v>0.77</v>
      </c>
      <c r="S15" t="s">
        <v>37</v>
      </c>
      <c r="T15" s="5" t="s">
        <v>58</v>
      </c>
      <c r="U15" t="s">
        <v>123</v>
      </c>
      <c r="V15" t="s">
        <v>124</v>
      </c>
      <c r="W15">
        <v>137</v>
      </c>
      <c r="X15" t="s">
        <v>125</v>
      </c>
      <c r="Y15" t="str">
        <f>VLOOKUP(C15,'[1]DBS_KPY Sorumlular'!A:C,2,FALSE)</f>
        <v>Mustafa AYDIN</v>
      </c>
      <c r="Z15" t="str">
        <f>VLOOKUP(C15,'[1]DBS_KPY Sorumlular'!A:C,3,FALSE)</f>
        <v>Esra DOLAN</v>
      </c>
      <c r="AA15" t="str">
        <f>VLOOKUP(K15,[1]!Tablo3[#Data],2,FALSE)</f>
        <v>Tayfun VİÇE</v>
      </c>
    </row>
    <row r="16" spans="1:27" x14ac:dyDescent="0.25">
      <c r="A16">
        <v>1299</v>
      </c>
      <c r="B16" t="s">
        <v>27</v>
      </c>
      <c r="C16" t="s">
        <v>73</v>
      </c>
      <c r="D16" t="s">
        <v>73</v>
      </c>
      <c r="F16" t="s">
        <v>74</v>
      </c>
      <c r="G16" t="s">
        <v>30</v>
      </c>
      <c r="H16" t="s">
        <v>126</v>
      </c>
      <c r="I16" s="4">
        <v>46037.875</v>
      </c>
      <c r="J16" t="s">
        <v>127</v>
      </c>
      <c r="K16" t="s">
        <v>98</v>
      </c>
      <c r="L16" s="5" t="s">
        <v>128</v>
      </c>
      <c r="M16" s="5"/>
      <c r="N16" t="s">
        <v>46</v>
      </c>
      <c r="O16" t="s">
        <v>129</v>
      </c>
      <c r="R16">
        <v>0</v>
      </c>
      <c r="S16" t="s">
        <v>37</v>
      </c>
      <c r="T16" s="5" t="s">
        <v>38</v>
      </c>
      <c r="Y16" t="str">
        <f>VLOOKUP(C16,'[1]DBS_KPY Sorumlular'!A:C,2,FALSE)</f>
        <v>Ayşegül AKGÜL</v>
      </c>
      <c r="Z16" t="str">
        <f>VLOOKUP(C16,'[1]DBS_KPY Sorumlular'!A:C,3,FALSE)</f>
        <v>Sinan ERDAŞ</v>
      </c>
      <c r="AA16" t="str">
        <f>VLOOKUP(K16,[1]!Tablo3[#Data],2,FALSE)</f>
        <v>Tayfun VİÇE</v>
      </c>
    </row>
    <row r="17" spans="1:27" x14ac:dyDescent="0.25">
      <c r="A17">
        <v>1300</v>
      </c>
      <c r="B17" t="s">
        <v>27</v>
      </c>
      <c r="C17" t="s">
        <v>40</v>
      </c>
      <c r="D17" t="s">
        <v>41</v>
      </c>
      <c r="F17" t="s">
        <v>130</v>
      </c>
      <c r="G17" t="s">
        <v>43</v>
      </c>
      <c r="H17" t="s">
        <v>131</v>
      </c>
      <c r="I17" s="4">
        <v>45803.875</v>
      </c>
      <c r="J17" t="s">
        <v>132</v>
      </c>
      <c r="K17" t="s">
        <v>98</v>
      </c>
      <c r="L17" s="5"/>
      <c r="M17" s="5"/>
      <c r="N17" t="s">
        <v>82</v>
      </c>
      <c r="O17" t="s">
        <v>133</v>
      </c>
      <c r="R17">
        <v>1</v>
      </c>
      <c r="S17" t="s">
        <v>37</v>
      </c>
      <c r="T17" s="5" t="s">
        <v>58</v>
      </c>
      <c r="U17" t="s">
        <v>134</v>
      </c>
      <c r="V17" t="s">
        <v>135</v>
      </c>
      <c r="W17">
        <v>114</v>
      </c>
      <c r="X17" t="s">
        <v>136</v>
      </c>
      <c r="Y17" t="str">
        <f>VLOOKUP(C17,'[1]DBS_KPY Sorumlular'!A:C,2,FALSE)</f>
        <v>Mustafa AYDIN</v>
      </c>
      <c r="Z17" t="str">
        <f>VLOOKUP(C17,'[1]DBS_KPY Sorumlular'!A:C,3,FALSE)</f>
        <v>Esra DOLAN</v>
      </c>
      <c r="AA17" t="str">
        <f>VLOOKUP(K17,[1]!Tablo3[#Data],2,FALSE)</f>
        <v>Tayfun VİÇE</v>
      </c>
    </row>
    <row r="18" spans="1:27" x14ac:dyDescent="0.25">
      <c r="A18">
        <v>1301</v>
      </c>
      <c r="B18" t="s">
        <v>27</v>
      </c>
      <c r="C18" t="s">
        <v>137</v>
      </c>
      <c r="D18" t="s">
        <v>138</v>
      </c>
      <c r="E18" t="s">
        <v>138</v>
      </c>
      <c r="F18" t="s">
        <v>139</v>
      </c>
      <c r="G18" t="s">
        <v>140</v>
      </c>
      <c r="H18" t="s">
        <v>141</v>
      </c>
      <c r="I18" s="4">
        <v>46171.875</v>
      </c>
      <c r="J18" t="s">
        <v>142</v>
      </c>
      <c r="K18" t="s">
        <v>143</v>
      </c>
      <c r="L18" s="5" t="s">
        <v>144</v>
      </c>
      <c r="M18" s="5"/>
      <c r="N18" t="s">
        <v>46</v>
      </c>
      <c r="O18" t="s">
        <v>145</v>
      </c>
      <c r="R18">
        <v>0.87</v>
      </c>
      <c r="S18" t="s">
        <v>37</v>
      </c>
      <c r="T18" s="5" t="s">
        <v>38</v>
      </c>
      <c r="W18">
        <v>126</v>
      </c>
      <c r="X18" t="s">
        <v>147</v>
      </c>
      <c r="Y18" t="str">
        <f>VLOOKUP(C18,'[1]DBS_KPY Sorumlular'!A:C,2,FALSE)</f>
        <v>Erkan AKDOĞAN</v>
      </c>
      <c r="Z18" t="str">
        <f>VLOOKUP(C18,'[1]DBS_KPY Sorumlular'!A:C,3,FALSE)</f>
        <v>Kadir TOPÇU</v>
      </c>
      <c r="AA18" t="str">
        <f>VLOOKUP(K18,[1]!Tablo3[#Data],2,FALSE)</f>
        <v>Tayfun VİÇE</v>
      </c>
    </row>
    <row r="19" spans="1:27" x14ac:dyDescent="0.25">
      <c r="A19">
        <v>1302</v>
      </c>
      <c r="B19" t="s">
        <v>27</v>
      </c>
      <c r="C19" t="s">
        <v>148</v>
      </c>
      <c r="D19" t="s">
        <v>149</v>
      </c>
      <c r="F19" t="s">
        <v>113</v>
      </c>
      <c r="G19" t="s">
        <v>43</v>
      </c>
      <c r="H19" t="s">
        <v>150</v>
      </c>
      <c r="I19" s="4">
        <v>45702.875</v>
      </c>
      <c r="J19" t="s">
        <v>151</v>
      </c>
      <c r="K19" t="s">
        <v>152</v>
      </c>
      <c r="L19" s="5" t="s">
        <v>153</v>
      </c>
      <c r="M19" s="5"/>
      <c r="N19" t="s">
        <v>82</v>
      </c>
      <c r="O19" t="s">
        <v>154</v>
      </c>
      <c r="R19">
        <v>1</v>
      </c>
      <c r="S19" t="s">
        <v>57</v>
      </c>
      <c r="T19" s="5" t="s">
        <v>38</v>
      </c>
      <c r="W19">
        <v>175</v>
      </c>
      <c r="X19" t="s">
        <v>155</v>
      </c>
      <c r="Y19" t="str">
        <f>VLOOKUP(C19,'[1]DBS_KPY Sorumlular'!A:C,2,FALSE)</f>
        <v>Ayşegül AKGÜL</v>
      </c>
      <c r="Z19" t="str">
        <f>VLOOKUP(C19,'[1]DBS_KPY Sorumlular'!A:C,3,FALSE)</f>
        <v>Sinan ERDAŞ</v>
      </c>
      <c r="AA19" t="str">
        <f>VLOOKUP(K19,[1]!Tablo3[#Data],2,FALSE)</f>
        <v>Erkan AKDOĞAN</v>
      </c>
    </row>
    <row r="20" spans="1:27" x14ac:dyDescent="0.25">
      <c r="A20">
        <v>1303</v>
      </c>
      <c r="B20" t="s">
        <v>27</v>
      </c>
      <c r="C20" t="s">
        <v>73</v>
      </c>
      <c r="D20" t="s">
        <v>73</v>
      </c>
      <c r="F20" t="s">
        <v>74</v>
      </c>
      <c r="G20" t="s">
        <v>30</v>
      </c>
      <c r="H20" t="s">
        <v>156</v>
      </c>
      <c r="I20" s="4">
        <v>46019.875</v>
      </c>
      <c r="J20" t="s">
        <v>157</v>
      </c>
      <c r="K20" t="s">
        <v>152</v>
      </c>
      <c r="L20" s="5" t="s">
        <v>158</v>
      </c>
      <c r="M20" s="5"/>
      <c r="N20" t="s">
        <v>46</v>
      </c>
      <c r="O20" t="s">
        <v>159</v>
      </c>
      <c r="R20">
        <v>0</v>
      </c>
      <c r="S20" t="s">
        <v>57</v>
      </c>
      <c r="T20" s="5" t="s">
        <v>38</v>
      </c>
      <c r="Y20" t="str">
        <f>VLOOKUP(C20,'[1]DBS_KPY Sorumlular'!A:C,2,FALSE)</f>
        <v>Ayşegül AKGÜL</v>
      </c>
      <c r="Z20" t="str">
        <f>VLOOKUP(C20,'[1]DBS_KPY Sorumlular'!A:C,3,FALSE)</f>
        <v>Sinan ERDAŞ</v>
      </c>
      <c r="AA20" t="str">
        <f>VLOOKUP(K20,[1]!Tablo3[#Data],2,FALSE)</f>
        <v>Erkan AKDOĞAN</v>
      </c>
    </row>
    <row r="21" spans="1:27" x14ac:dyDescent="0.25">
      <c r="A21">
        <v>1304</v>
      </c>
      <c r="B21" t="s">
        <v>27</v>
      </c>
      <c r="C21" t="s">
        <v>40</v>
      </c>
      <c r="D21" t="s">
        <v>41</v>
      </c>
      <c r="F21" t="s">
        <v>95</v>
      </c>
      <c r="G21" t="s">
        <v>96</v>
      </c>
      <c r="H21" t="s">
        <v>160</v>
      </c>
      <c r="I21" s="4">
        <v>45951.875</v>
      </c>
      <c r="J21" t="s">
        <v>161</v>
      </c>
      <c r="K21" t="s">
        <v>152</v>
      </c>
      <c r="L21" s="5"/>
      <c r="M21" s="5"/>
      <c r="N21" t="s">
        <v>46</v>
      </c>
      <c r="O21" t="s">
        <v>162</v>
      </c>
      <c r="R21">
        <v>0.68</v>
      </c>
      <c r="S21" t="s">
        <v>57</v>
      </c>
      <c r="T21" s="5" t="s">
        <v>48</v>
      </c>
      <c r="U21" t="s">
        <v>163</v>
      </c>
      <c r="V21" t="s">
        <v>164</v>
      </c>
      <c r="W21">
        <v>38</v>
      </c>
      <c r="X21" t="s">
        <v>165</v>
      </c>
      <c r="Y21" t="str">
        <f>VLOOKUP(C21,'[1]DBS_KPY Sorumlular'!A:C,2,FALSE)</f>
        <v>Mustafa AYDIN</v>
      </c>
      <c r="Z21" t="str">
        <f>VLOOKUP(C21,'[1]DBS_KPY Sorumlular'!A:C,3,FALSE)</f>
        <v>Esra DOLAN</v>
      </c>
      <c r="AA21" t="str">
        <f>VLOOKUP(K21,[1]!Tablo3[#Data],2,FALSE)</f>
        <v>Erkan AKDOĞAN</v>
      </c>
    </row>
    <row r="22" spans="1:27" x14ac:dyDescent="0.25">
      <c r="A22">
        <v>1305</v>
      </c>
      <c r="B22" t="s">
        <v>27</v>
      </c>
      <c r="C22" t="s">
        <v>40</v>
      </c>
      <c r="D22" t="s">
        <v>41</v>
      </c>
      <c r="F22" t="s">
        <v>113</v>
      </c>
      <c r="G22" t="s">
        <v>43</v>
      </c>
      <c r="H22" t="s">
        <v>166</v>
      </c>
      <c r="I22" s="4">
        <v>45915.875</v>
      </c>
      <c r="J22" t="s">
        <v>167</v>
      </c>
      <c r="K22" t="s">
        <v>152</v>
      </c>
      <c r="L22" s="5"/>
      <c r="M22" s="5"/>
      <c r="N22" t="s">
        <v>46</v>
      </c>
      <c r="O22" t="s">
        <v>168</v>
      </c>
      <c r="R22">
        <v>0.76</v>
      </c>
      <c r="S22" t="s">
        <v>57</v>
      </c>
      <c r="T22" s="5" t="s">
        <v>58</v>
      </c>
      <c r="U22" t="s">
        <v>169</v>
      </c>
      <c r="V22" t="s">
        <v>170</v>
      </c>
      <c r="W22">
        <v>137</v>
      </c>
      <c r="X22" t="s">
        <v>125</v>
      </c>
      <c r="Y22" t="str">
        <f>VLOOKUP(C22,'[1]DBS_KPY Sorumlular'!A:C,2,FALSE)</f>
        <v>Mustafa AYDIN</v>
      </c>
      <c r="Z22" t="str">
        <f>VLOOKUP(C22,'[1]DBS_KPY Sorumlular'!A:C,3,FALSE)</f>
        <v>Esra DOLAN</v>
      </c>
      <c r="AA22" t="str">
        <f>VLOOKUP(K22,[1]!Tablo3[#Data],2,FALSE)</f>
        <v>Erkan AKDOĞAN</v>
      </c>
    </row>
    <row r="23" spans="1:27" x14ac:dyDescent="0.25">
      <c r="A23">
        <v>1306</v>
      </c>
      <c r="B23" t="s">
        <v>27</v>
      </c>
      <c r="C23" t="s">
        <v>73</v>
      </c>
      <c r="D23" t="s">
        <v>73</v>
      </c>
      <c r="F23" t="s">
        <v>74</v>
      </c>
      <c r="G23" t="s">
        <v>30</v>
      </c>
      <c r="H23" t="s">
        <v>171</v>
      </c>
      <c r="I23" s="4">
        <v>46021.875</v>
      </c>
      <c r="J23" t="s">
        <v>172</v>
      </c>
      <c r="K23" t="s">
        <v>152</v>
      </c>
      <c r="L23" s="5" t="s">
        <v>173</v>
      </c>
      <c r="M23" s="5"/>
      <c r="N23" t="s">
        <v>46</v>
      </c>
      <c r="O23" t="s">
        <v>174</v>
      </c>
      <c r="R23">
        <v>0.32100000000000001</v>
      </c>
      <c r="S23" t="s">
        <v>57</v>
      </c>
      <c r="T23" s="5" t="s">
        <v>38</v>
      </c>
      <c r="Y23" t="str">
        <f>VLOOKUP(C23,'[1]DBS_KPY Sorumlular'!A:C,2,FALSE)</f>
        <v>Ayşegül AKGÜL</v>
      </c>
      <c r="Z23" t="str">
        <f>VLOOKUP(C23,'[1]DBS_KPY Sorumlular'!A:C,3,FALSE)</f>
        <v>Sinan ERDAŞ</v>
      </c>
      <c r="AA23" t="str">
        <f>VLOOKUP(K23,[1]!Tablo3[#Data],2,FALSE)</f>
        <v>Erkan AKDOĞAN</v>
      </c>
    </row>
    <row r="24" spans="1:27" x14ac:dyDescent="0.25">
      <c r="A24">
        <v>1307</v>
      </c>
      <c r="B24" t="s">
        <v>27</v>
      </c>
      <c r="C24" t="s">
        <v>73</v>
      </c>
      <c r="D24" t="s">
        <v>73</v>
      </c>
      <c r="F24" t="s">
        <v>74</v>
      </c>
      <c r="G24" t="s">
        <v>30</v>
      </c>
      <c r="H24" t="s">
        <v>175</v>
      </c>
      <c r="I24" s="4">
        <v>46077.875</v>
      </c>
      <c r="J24" t="s">
        <v>176</v>
      </c>
      <c r="K24" t="s">
        <v>152</v>
      </c>
      <c r="L24" s="5" t="s">
        <v>177</v>
      </c>
      <c r="M24" s="5"/>
      <c r="N24" t="s">
        <v>46</v>
      </c>
      <c r="O24" t="s">
        <v>178</v>
      </c>
      <c r="R24">
        <v>0.43219999999999997</v>
      </c>
      <c r="S24" t="s">
        <v>57</v>
      </c>
      <c r="T24" s="5" t="s">
        <v>38</v>
      </c>
      <c r="Y24" t="str">
        <f>VLOOKUP(C24,'[1]DBS_KPY Sorumlular'!A:C,2,FALSE)</f>
        <v>Ayşegül AKGÜL</v>
      </c>
      <c r="Z24" t="str">
        <f>VLOOKUP(C24,'[1]DBS_KPY Sorumlular'!A:C,3,FALSE)</f>
        <v>Sinan ERDAŞ</v>
      </c>
      <c r="AA24" t="str">
        <f>VLOOKUP(K24,[1]!Tablo3[#Data],2,FALSE)</f>
        <v>Erkan AKDOĞAN</v>
      </c>
    </row>
    <row r="25" spans="1:27" x14ac:dyDescent="0.25">
      <c r="A25">
        <v>1308</v>
      </c>
      <c r="B25" t="s">
        <v>27</v>
      </c>
      <c r="C25" t="s">
        <v>137</v>
      </c>
      <c r="D25" t="s">
        <v>138</v>
      </c>
      <c r="E25" t="s">
        <v>138</v>
      </c>
      <c r="F25" t="s">
        <v>139</v>
      </c>
      <c r="G25" t="s">
        <v>140</v>
      </c>
      <c r="H25" t="s">
        <v>179</v>
      </c>
      <c r="I25" s="4">
        <v>46872.875</v>
      </c>
      <c r="J25" t="s">
        <v>180</v>
      </c>
      <c r="K25" t="s">
        <v>181</v>
      </c>
      <c r="L25" s="5" t="s">
        <v>182</v>
      </c>
      <c r="M25" s="5"/>
      <c r="N25" t="s">
        <v>46</v>
      </c>
      <c r="O25" t="s">
        <v>183</v>
      </c>
      <c r="R25">
        <v>0.49</v>
      </c>
      <c r="S25" t="s">
        <v>57</v>
      </c>
      <c r="T25" s="5" t="s">
        <v>38</v>
      </c>
      <c r="W25">
        <v>126</v>
      </c>
      <c r="X25" t="s">
        <v>147</v>
      </c>
      <c r="Y25" t="str">
        <f>VLOOKUP(C25,'[1]DBS_KPY Sorumlular'!A:C,2,FALSE)</f>
        <v>Erkan AKDOĞAN</v>
      </c>
      <c r="Z25" t="str">
        <f>VLOOKUP(C25,'[1]DBS_KPY Sorumlular'!A:C,3,FALSE)</f>
        <v>Kadir TOPÇU</v>
      </c>
      <c r="AA25" t="str">
        <f>VLOOKUP(K25,[1]!Tablo3[#Data],2,FALSE)</f>
        <v>Erkan AKDOĞAN</v>
      </c>
    </row>
    <row r="26" spans="1:27" x14ac:dyDescent="0.25">
      <c r="A26">
        <v>1309</v>
      </c>
      <c r="B26" t="s">
        <v>27</v>
      </c>
      <c r="C26" t="s">
        <v>40</v>
      </c>
      <c r="D26" t="s">
        <v>41</v>
      </c>
      <c r="F26" t="s">
        <v>184</v>
      </c>
      <c r="G26" t="s">
        <v>43</v>
      </c>
      <c r="H26" t="s">
        <v>185</v>
      </c>
      <c r="I26" s="4">
        <v>45645.875</v>
      </c>
      <c r="K26" t="s">
        <v>181</v>
      </c>
      <c r="L26" s="5"/>
      <c r="M26" s="5"/>
      <c r="N26" t="s">
        <v>82</v>
      </c>
      <c r="O26" t="s">
        <v>186</v>
      </c>
      <c r="R26">
        <v>1</v>
      </c>
      <c r="S26" t="s">
        <v>57</v>
      </c>
      <c r="T26" s="5" t="s">
        <v>58</v>
      </c>
      <c r="U26" t="s">
        <v>187</v>
      </c>
      <c r="V26" t="s">
        <v>188</v>
      </c>
      <c r="W26">
        <v>86</v>
      </c>
      <c r="X26" t="s">
        <v>189</v>
      </c>
      <c r="Y26" t="str">
        <f>VLOOKUP(C26,'[1]DBS_KPY Sorumlular'!A:C,2,FALSE)</f>
        <v>Mustafa AYDIN</v>
      </c>
      <c r="Z26" t="str">
        <f>VLOOKUP(C26,'[1]DBS_KPY Sorumlular'!A:C,3,FALSE)</f>
        <v>Esra DOLAN</v>
      </c>
      <c r="AA26" t="str">
        <f>VLOOKUP(K26,[1]!Tablo3[#Data],2,FALSE)</f>
        <v>Erkan AKDOĞAN</v>
      </c>
    </row>
    <row r="27" spans="1:27" x14ac:dyDescent="0.25">
      <c r="A27">
        <v>1310</v>
      </c>
      <c r="B27" t="s">
        <v>27</v>
      </c>
      <c r="C27" t="s">
        <v>40</v>
      </c>
      <c r="D27" t="s">
        <v>41</v>
      </c>
      <c r="F27" t="s">
        <v>102</v>
      </c>
      <c r="G27" t="s">
        <v>43</v>
      </c>
      <c r="H27" t="s">
        <v>190</v>
      </c>
      <c r="I27" s="4">
        <v>45585.875</v>
      </c>
      <c r="K27" t="s">
        <v>181</v>
      </c>
      <c r="L27" s="5"/>
      <c r="M27" s="5"/>
      <c r="N27" t="s">
        <v>82</v>
      </c>
      <c r="O27" t="s">
        <v>191</v>
      </c>
      <c r="R27">
        <v>1</v>
      </c>
      <c r="S27" t="s">
        <v>57</v>
      </c>
      <c r="T27" s="5" t="s">
        <v>58</v>
      </c>
      <c r="U27" t="s">
        <v>192</v>
      </c>
      <c r="V27" t="s">
        <v>193</v>
      </c>
      <c r="W27">
        <v>108</v>
      </c>
      <c r="X27" t="s">
        <v>107</v>
      </c>
      <c r="Y27" t="str">
        <f>VLOOKUP(C27,'[1]DBS_KPY Sorumlular'!A:C,2,FALSE)</f>
        <v>Mustafa AYDIN</v>
      </c>
      <c r="Z27" t="str">
        <f>VLOOKUP(C27,'[1]DBS_KPY Sorumlular'!A:C,3,FALSE)</f>
        <v>Esra DOLAN</v>
      </c>
      <c r="AA27" t="str">
        <f>VLOOKUP(K27,[1]!Tablo3[#Data],2,FALSE)</f>
        <v>Erkan AKDOĞAN</v>
      </c>
    </row>
    <row r="28" spans="1:27" x14ac:dyDescent="0.25">
      <c r="A28">
        <v>1311</v>
      </c>
      <c r="B28" t="s">
        <v>27</v>
      </c>
      <c r="C28" t="s">
        <v>73</v>
      </c>
      <c r="D28" t="s">
        <v>73</v>
      </c>
      <c r="F28" t="s">
        <v>42</v>
      </c>
      <c r="G28" t="s">
        <v>30</v>
      </c>
      <c r="H28" t="s">
        <v>194</v>
      </c>
      <c r="I28" s="4">
        <v>45864.875</v>
      </c>
      <c r="K28" t="s">
        <v>181</v>
      </c>
      <c r="L28" s="5" t="s">
        <v>195</v>
      </c>
      <c r="M28" s="5"/>
      <c r="N28" t="s">
        <v>82</v>
      </c>
      <c r="O28" t="s">
        <v>196</v>
      </c>
      <c r="R28">
        <v>1</v>
      </c>
      <c r="S28" t="s">
        <v>57</v>
      </c>
      <c r="T28" s="5" t="s">
        <v>38</v>
      </c>
      <c r="W28">
        <v>118</v>
      </c>
      <c r="X28" t="s">
        <v>197</v>
      </c>
      <c r="Y28" t="str">
        <f>VLOOKUP(C28,'[1]DBS_KPY Sorumlular'!A:C,2,FALSE)</f>
        <v>Ayşegül AKGÜL</v>
      </c>
      <c r="Z28" t="str">
        <f>VLOOKUP(C28,'[1]DBS_KPY Sorumlular'!A:C,3,FALSE)</f>
        <v>Sinan ERDAŞ</v>
      </c>
      <c r="AA28" t="str">
        <f>VLOOKUP(K28,[1]!Tablo3[#Data],2,FALSE)</f>
        <v>Erkan AKDOĞAN</v>
      </c>
    </row>
    <row r="29" spans="1:27" x14ac:dyDescent="0.25">
      <c r="A29">
        <v>1312</v>
      </c>
      <c r="B29" t="s">
        <v>27</v>
      </c>
      <c r="C29" t="s">
        <v>40</v>
      </c>
      <c r="D29" t="s">
        <v>41</v>
      </c>
      <c r="F29" t="s">
        <v>113</v>
      </c>
      <c r="G29" t="s">
        <v>43</v>
      </c>
      <c r="H29" t="s">
        <v>198</v>
      </c>
      <c r="I29" s="4">
        <v>45890.875</v>
      </c>
      <c r="J29" t="s">
        <v>199</v>
      </c>
      <c r="K29" t="s">
        <v>181</v>
      </c>
      <c r="L29" s="5"/>
      <c r="M29" s="5"/>
      <c r="N29" t="s">
        <v>46</v>
      </c>
      <c r="O29" t="s">
        <v>200</v>
      </c>
      <c r="R29">
        <v>0.92</v>
      </c>
      <c r="S29" t="s">
        <v>57</v>
      </c>
      <c r="T29" s="5" t="s">
        <v>48</v>
      </c>
      <c r="U29" t="s">
        <v>201</v>
      </c>
      <c r="V29" t="s">
        <v>202</v>
      </c>
      <c r="W29">
        <v>87</v>
      </c>
      <c r="X29" t="s">
        <v>119</v>
      </c>
      <c r="Y29" t="str">
        <f>VLOOKUP(C29,'[1]DBS_KPY Sorumlular'!A:C,2,FALSE)</f>
        <v>Mustafa AYDIN</v>
      </c>
      <c r="Z29" t="str">
        <f>VLOOKUP(C29,'[1]DBS_KPY Sorumlular'!A:C,3,FALSE)</f>
        <v>Esra DOLAN</v>
      </c>
      <c r="AA29" t="str">
        <f>VLOOKUP(K29,[1]!Tablo3[#Data],2,FALSE)</f>
        <v>Erkan AKDOĞAN</v>
      </c>
    </row>
    <row r="30" spans="1:27" x14ac:dyDescent="0.25">
      <c r="A30">
        <v>1313</v>
      </c>
      <c r="B30" t="s">
        <v>27</v>
      </c>
      <c r="C30" t="s">
        <v>73</v>
      </c>
      <c r="D30" t="s">
        <v>73</v>
      </c>
      <c r="F30" t="s">
        <v>74</v>
      </c>
      <c r="G30" t="s">
        <v>30</v>
      </c>
      <c r="H30" t="s">
        <v>203</v>
      </c>
      <c r="I30" s="4">
        <v>45837.875</v>
      </c>
      <c r="J30" t="s">
        <v>204</v>
      </c>
      <c r="K30" t="s">
        <v>181</v>
      </c>
      <c r="L30" s="5" t="s">
        <v>205</v>
      </c>
      <c r="M30" s="5"/>
      <c r="N30" t="s">
        <v>46</v>
      </c>
      <c r="O30" t="s">
        <v>206</v>
      </c>
      <c r="R30">
        <v>0.7</v>
      </c>
      <c r="S30" t="s">
        <v>57</v>
      </c>
      <c r="T30" s="5" t="s">
        <v>38</v>
      </c>
      <c r="Y30" t="str">
        <f>VLOOKUP(C30,'[1]DBS_KPY Sorumlular'!A:C,2,FALSE)</f>
        <v>Ayşegül AKGÜL</v>
      </c>
      <c r="Z30" t="str">
        <f>VLOOKUP(C30,'[1]DBS_KPY Sorumlular'!A:C,3,FALSE)</f>
        <v>Sinan ERDAŞ</v>
      </c>
      <c r="AA30" t="str">
        <f>VLOOKUP(K30,[1]!Tablo3[#Data],2,FALSE)</f>
        <v>Erkan AKDOĞAN</v>
      </c>
    </row>
    <row r="31" spans="1:27" x14ac:dyDescent="0.25">
      <c r="A31">
        <v>1314</v>
      </c>
      <c r="B31" t="s">
        <v>27</v>
      </c>
      <c r="C31" t="s">
        <v>73</v>
      </c>
      <c r="D31" t="s">
        <v>73</v>
      </c>
      <c r="F31" t="s">
        <v>74</v>
      </c>
      <c r="G31" t="s">
        <v>30</v>
      </c>
      <c r="H31" t="s">
        <v>207</v>
      </c>
      <c r="I31" s="4">
        <v>45961.875</v>
      </c>
      <c r="J31" t="s">
        <v>208</v>
      </c>
      <c r="K31" t="s">
        <v>181</v>
      </c>
      <c r="L31" s="5" t="s">
        <v>209</v>
      </c>
      <c r="M31" s="5"/>
      <c r="N31" t="s">
        <v>46</v>
      </c>
      <c r="O31" t="s">
        <v>210</v>
      </c>
      <c r="R31">
        <v>0</v>
      </c>
      <c r="S31" t="s">
        <v>57</v>
      </c>
      <c r="T31" s="5" t="s">
        <v>38</v>
      </c>
      <c r="Y31" t="str">
        <f>VLOOKUP(C31,'[1]DBS_KPY Sorumlular'!A:C,2,FALSE)</f>
        <v>Ayşegül AKGÜL</v>
      </c>
      <c r="Z31" t="str">
        <f>VLOOKUP(C31,'[1]DBS_KPY Sorumlular'!A:C,3,FALSE)</f>
        <v>Sinan ERDAŞ</v>
      </c>
      <c r="AA31" t="str">
        <f>VLOOKUP(K31,[1]!Tablo3[#Data],2,FALSE)</f>
        <v>Erkan AKDOĞAN</v>
      </c>
    </row>
    <row r="32" spans="1:27" x14ac:dyDescent="0.25">
      <c r="A32">
        <v>1315</v>
      </c>
      <c r="B32" t="s">
        <v>27</v>
      </c>
      <c r="C32" t="s">
        <v>73</v>
      </c>
      <c r="D32" t="s">
        <v>73</v>
      </c>
      <c r="F32" t="s">
        <v>74</v>
      </c>
      <c r="G32" t="s">
        <v>30</v>
      </c>
      <c r="H32" t="s">
        <v>211</v>
      </c>
      <c r="I32" s="4">
        <v>46387.875</v>
      </c>
      <c r="J32" t="s">
        <v>212</v>
      </c>
      <c r="K32" t="s">
        <v>181</v>
      </c>
      <c r="L32" s="5" t="s">
        <v>213</v>
      </c>
      <c r="M32" s="5"/>
      <c r="N32" t="s">
        <v>46</v>
      </c>
      <c r="O32" t="s">
        <v>214</v>
      </c>
      <c r="R32">
        <v>0.2</v>
      </c>
      <c r="S32" t="s">
        <v>57</v>
      </c>
      <c r="T32" s="5" t="s">
        <v>38</v>
      </c>
      <c r="Y32" t="str">
        <f>VLOOKUP(C32,'[1]DBS_KPY Sorumlular'!A:C,2,FALSE)</f>
        <v>Ayşegül AKGÜL</v>
      </c>
      <c r="Z32" t="str">
        <f>VLOOKUP(C32,'[1]DBS_KPY Sorumlular'!A:C,3,FALSE)</f>
        <v>Sinan ERDAŞ</v>
      </c>
      <c r="AA32" t="str">
        <f>VLOOKUP(K32,[1]!Tablo3[#Data],2,FALSE)</f>
        <v>Erkan AKDOĞAN</v>
      </c>
    </row>
    <row r="33" spans="1:27" x14ac:dyDescent="0.25">
      <c r="A33">
        <v>1316</v>
      </c>
      <c r="B33" t="s">
        <v>27</v>
      </c>
      <c r="C33" t="s">
        <v>73</v>
      </c>
      <c r="D33" t="s">
        <v>73</v>
      </c>
      <c r="F33" t="s">
        <v>74</v>
      </c>
      <c r="G33" t="s">
        <v>30</v>
      </c>
      <c r="H33" t="s">
        <v>215</v>
      </c>
      <c r="I33" s="4">
        <v>46387.875</v>
      </c>
      <c r="J33" t="s">
        <v>216</v>
      </c>
      <c r="K33" t="s">
        <v>217</v>
      </c>
      <c r="L33" s="5" t="s">
        <v>218</v>
      </c>
      <c r="M33" s="5"/>
      <c r="N33" t="s">
        <v>46</v>
      </c>
      <c r="O33" t="s">
        <v>219</v>
      </c>
      <c r="R33">
        <v>0</v>
      </c>
      <c r="S33" t="s">
        <v>57</v>
      </c>
      <c r="T33" s="5" t="s">
        <v>38</v>
      </c>
      <c r="Y33" t="str">
        <f>VLOOKUP(C33,'[1]DBS_KPY Sorumlular'!A:C,2,FALSE)</f>
        <v>Ayşegül AKGÜL</v>
      </c>
      <c r="Z33" t="str">
        <f>VLOOKUP(C33,'[1]DBS_KPY Sorumlular'!A:C,3,FALSE)</f>
        <v>Sinan ERDAŞ</v>
      </c>
      <c r="AA33" t="str">
        <f>VLOOKUP(K33,[1]!Tablo3[#Data],2,FALSE)</f>
        <v>Erkan AKDOĞAN</v>
      </c>
    </row>
    <row r="34" spans="1:27" x14ac:dyDescent="0.25">
      <c r="A34">
        <v>1317</v>
      </c>
      <c r="B34" t="s">
        <v>27</v>
      </c>
      <c r="C34" t="s">
        <v>137</v>
      </c>
      <c r="D34" t="s">
        <v>138</v>
      </c>
      <c r="E34" t="s">
        <v>138</v>
      </c>
      <c r="F34" t="s">
        <v>139</v>
      </c>
      <c r="G34" t="s">
        <v>140</v>
      </c>
      <c r="H34" t="s">
        <v>220</v>
      </c>
      <c r="I34" s="4">
        <v>47116.875</v>
      </c>
      <c r="J34" t="s">
        <v>221</v>
      </c>
      <c r="K34" t="s">
        <v>181</v>
      </c>
      <c r="L34" s="5" t="s">
        <v>222</v>
      </c>
      <c r="M34" s="5"/>
      <c r="N34" t="s">
        <v>46</v>
      </c>
      <c r="O34" t="s">
        <v>223</v>
      </c>
      <c r="R34">
        <v>0.19</v>
      </c>
      <c r="S34" t="s">
        <v>57</v>
      </c>
      <c r="T34" s="5" t="s">
        <v>38</v>
      </c>
      <c r="W34">
        <v>126</v>
      </c>
      <c r="X34" t="s">
        <v>147</v>
      </c>
      <c r="Y34" t="str">
        <f>VLOOKUP(C34,'[1]DBS_KPY Sorumlular'!A:C,2,FALSE)</f>
        <v>Erkan AKDOĞAN</v>
      </c>
      <c r="Z34" t="str">
        <f>VLOOKUP(C34,'[1]DBS_KPY Sorumlular'!A:C,3,FALSE)</f>
        <v>Kadir TOPÇU</v>
      </c>
      <c r="AA34" t="str">
        <f>VLOOKUP(K34,[1]!Tablo3[#Data],2,FALSE)</f>
        <v>Erkan AKDOĞAN</v>
      </c>
    </row>
    <row r="35" spans="1:27" x14ac:dyDescent="0.25">
      <c r="A35">
        <v>1318</v>
      </c>
      <c r="B35" t="s">
        <v>27</v>
      </c>
      <c r="C35" t="s">
        <v>137</v>
      </c>
      <c r="D35" t="s">
        <v>138</v>
      </c>
      <c r="E35" t="s">
        <v>138</v>
      </c>
      <c r="F35" t="s">
        <v>139</v>
      </c>
      <c r="G35" t="s">
        <v>140</v>
      </c>
      <c r="H35" t="s">
        <v>224</v>
      </c>
      <c r="I35" s="4">
        <v>46506.875</v>
      </c>
      <c r="J35" t="s">
        <v>225</v>
      </c>
      <c r="K35" t="s">
        <v>226</v>
      </c>
      <c r="L35" s="5" t="s">
        <v>227</v>
      </c>
      <c r="M35" s="5" t="s">
        <v>228</v>
      </c>
      <c r="N35" t="s">
        <v>46</v>
      </c>
      <c r="O35" t="s">
        <v>229</v>
      </c>
      <c r="R35">
        <v>0.6</v>
      </c>
      <c r="S35" t="s">
        <v>230</v>
      </c>
      <c r="T35" s="5" t="s">
        <v>38</v>
      </c>
      <c r="W35">
        <v>126</v>
      </c>
      <c r="X35" t="s">
        <v>147</v>
      </c>
      <c r="Y35" t="str">
        <f>VLOOKUP(C35,'[1]DBS_KPY Sorumlular'!A:C,2,FALSE)</f>
        <v>Erkan AKDOĞAN</v>
      </c>
      <c r="Z35" t="str">
        <f>VLOOKUP(C35,'[1]DBS_KPY Sorumlular'!A:C,3,FALSE)</f>
        <v>Kadir TOPÇU</v>
      </c>
      <c r="AA35" t="str">
        <f>VLOOKUP(K35,[1]!Tablo3[#Data],2,FALSE)</f>
        <v>Kadir TOPÇU</v>
      </c>
    </row>
    <row r="36" spans="1:27" x14ac:dyDescent="0.25">
      <c r="A36">
        <v>1319</v>
      </c>
      <c r="B36" t="s">
        <v>27</v>
      </c>
      <c r="C36" t="s">
        <v>40</v>
      </c>
      <c r="D36" t="s">
        <v>41</v>
      </c>
      <c r="F36" t="s">
        <v>42</v>
      </c>
      <c r="G36" t="s">
        <v>43</v>
      </c>
      <c r="H36" t="s">
        <v>231</v>
      </c>
      <c r="I36" s="4">
        <v>45683.875</v>
      </c>
      <c r="K36" t="s">
        <v>232</v>
      </c>
      <c r="L36" s="5"/>
      <c r="M36" s="5"/>
      <c r="N36" t="s">
        <v>82</v>
      </c>
      <c r="O36" t="s">
        <v>233</v>
      </c>
      <c r="R36">
        <v>1</v>
      </c>
      <c r="S36" t="s">
        <v>57</v>
      </c>
      <c r="T36" s="5" t="s">
        <v>58</v>
      </c>
      <c r="U36" t="s">
        <v>192</v>
      </c>
      <c r="V36" t="s">
        <v>193</v>
      </c>
      <c r="W36">
        <v>74</v>
      </c>
      <c r="X36" t="s">
        <v>234</v>
      </c>
      <c r="Y36" t="str">
        <f>VLOOKUP(C36,'[1]DBS_KPY Sorumlular'!A:C,2,FALSE)</f>
        <v>Mustafa AYDIN</v>
      </c>
      <c r="Z36" t="str">
        <f>VLOOKUP(C36,'[1]DBS_KPY Sorumlular'!A:C,3,FALSE)</f>
        <v>Esra DOLAN</v>
      </c>
      <c r="AA36" t="str">
        <f>VLOOKUP(K36,[1]!Tablo3[#Data],2,FALSE)</f>
        <v>Erkan AKDOĞAN</v>
      </c>
    </row>
    <row r="37" spans="1:27" x14ac:dyDescent="0.25">
      <c r="A37">
        <v>1320</v>
      </c>
      <c r="B37" t="s">
        <v>27</v>
      </c>
      <c r="C37" t="s">
        <v>40</v>
      </c>
      <c r="D37" t="s">
        <v>41</v>
      </c>
      <c r="F37" t="s">
        <v>113</v>
      </c>
      <c r="G37" t="s">
        <v>43</v>
      </c>
      <c r="H37" t="s">
        <v>235</v>
      </c>
      <c r="I37" s="4">
        <v>45837.875</v>
      </c>
      <c r="J37" t="s">
        <v>236</v>
      </c>
      <c r="K37" t="s">
        <v>232</v>
      </c>
      <c r="L37" s="5"/>
      <c r="M37" s="5"/>
      <c r="N37" t="s">
        <v>46</v>
      </c>
      <c r="O37" t="s">
        <v>237</v>
      </c>
      <c r="R37">
        <v>0.94</v>
      </c>
      <c r="S37" t="s">
        <v>57</v>
      </c>
      <c r="T37" s="5" t="s">
        <v>48</v>
      </c>
      <c r="U37" t="s">
        <v>238</v>
      </c>
      <c r="V37" t="s">
        <v>239</v>
      </c>
      <c r="W37">
        <v>172</v>
      </c>
      <c r="X37" t="s">
        <v>240</v>
      </c>
      <c r="Y37" t="str">
        <f>VLOOKUP(C37,'[1]DBS_KPY Sorumlular'!A:C,2,FALSE)</f>
        <v>Mustafa AYDIN</v>
      </c>
      <c r="Z37" t="str">
        <f>VLOOKUP(C37,'[1]DBS_KPY Sorumlular'!A:C,3,FALSE)</f>
        <v>Esra DOLAN</v>
      </c>
      <c r="AA37" t="str">
        <f>VLOOKUP(K37,[1]!Tablo3[#Data],2,FALSE)</f>
        <v>Erkan AKDOĞAN</v>
      </c>
    </row>
    <row r="38" spans="1:27" x14ac:dyDescent="0.25">
      <c r="A38">
        <v>1321</v>
      </c>
      <c r="B38" t="s">
        <v>27</v>
      </c>
      <c r="C38" t="s">
        <v>73</v>
      </c>
      <c r="D38" t="s">
        <v>73</v>
      </c>
      <c r="F38" t="s">
        <v>74</v>
      </c>
      <c r="G38" t="s">
        <v>30</v>
      </c>
      <c r="H38" t="s">
        <v>241</v>
      </c>
      <c r="I38" s="4">
        <v>46386.875</v>
      </c>
      <c r="J38" t="s">
        <v>242</v>
      </c>
      <c r="K38" t="s">
        <v>232</v>
      </c>
      <c r="L38" s="5" t="s">
        <v>243</v>
      </c>
      <c r="M38" s="5"/>
      <c r="N38" t="s">
        <v>46</v>
      </c>
      <c r="O38" t="s">
        <v>244</v>
      </c>
      <c r="R38">
        <v>0</v>
      </c>
      <c r="S38" t="s">
        <v>57</v>
      </c>
      <c r="T38" s="5" t="s">
        <v>38</v>
      </c>
      <c r="Y38" t="str">
        <f>VLOOKUP(C38,'[1]DBS_KPY Sorumlular'!A:C,2,FALSE)</f>
        <v>Ayşegül AKGÜL</v>
      </c>
      <c r="Z38" t="str">
        <f>VLOOKUP(C38,'[1]DBS_KPY Sorumlular'!A:C,3,FALSE)</f>
        <v>Sinan ERDAŞ</v>
      </c>
      <c r="AA38" t="str">
        <f>VLOOKUP(K38,[1]!Tablo3[#Data],2,FALSE)</f>
        <v>Erkan AKDOĞAN</v>
      </c>
    </row>
    <row r="39" spans="1:27" x14ac:dyDescent="0.25">
      <c r="A39">
        <v>1323</v>
      </c>
      <c r="B39" t="s">
        <v>27</v>
      </c>
      <c r="C39" t="s">
        <v>73</v>
      </c>
      <c r="D39" t="s">
        <v>73</v>
      </c>
      <c r="F39" t="s">
        <v>74</v>
      </c>
      <c r="G39" t="s">
        <v>30</v>
      </c>
      <c r="H39" t="s">
        <v>245</v>
      </c>
      <c r="I39" s="4">
        <v>46387.875</v>
      </c>
      <c r="J39" t="s">
        <v>246</v>
      </c>
      <c r="K39" t="s">
        <v>232</v>
      </c>
      <c r="L39" s="5" t="s">
        <v>213</v>
      </c>
      <c r="M39" s="5"/>
      <c r="N39" t="s">
        <v>46</v>
      </c>
      <c r="O39" t="s">
        <v>247</v>
      </c>
      <c r="R39">
        <v>0.1</v>
      </c>
      <c r="S39" t="s">
        <v>57</v>
      </c>
      <c r="T39" s="5" t="s">
        <v>38</v>
      </c>
      <c r="Y39" t="str">
        <f>VLOOKUP(C39,'[1]DBS_KPY Sorumlular'!A:C,2,FALSE)</f>
        <v>Ayşegül AKGÜL</v>
      </c>
      <c r="Z39" t="str">
        <f>VLOOKUP(C39,'[1]DBS_KPY Sorumlular'!A:C,3,FALSE)</f>
        <v>Sinan ERDAŞ</v>
      </c>
      <c r="AA39" t="str">
        <f>VLOOKUP(K39,[1]!Tablo3[#Data],2,FALSE)</f>
        <v>Erkan AKDOĞAN</v>
      </c>
    </row>
    <row r="40" spans="1:27" x14ac:dyDescent="0.25">
      <c r="A40">
        <v>1324</v>
      </c>
      <c r="B40" t="s">
        <v>27</v>
      </c>
      <c r="C40" t="s">
        <v>73</v>
      </c>
      <c r="D40" t="s">
        <v>73</v>
      </c>
      <c r="F40" t="s">
        <v>66</v>
      </c>
      <c r="G40" t="s">
        <v>30</v>
      </c>
      <c r="H40" t="s">
        <v>248</v>
      </c>
      <c r="I40" s="4">
        <v>46259.875</v>
      </c>
      <c r="J40" t="s">
        <v>249</v>
      </c>
      <c r="K40" t="s">
        <v>232</v>
      </c>
      <c r="L40" s="5" t="s">
        <v>250</v>
      </c>
      <c r="M40" s="5"/>
      <c r="N40" t="s">
        <v>46</v>
      </c>
      <c r="O40" t="s">
        <v>251</v>
      </c>
      <c r="R40">
        <v>0.26</v>
      </c>
      <c r="S40" t="s">
        <v>57</v>
      </c>
      <c r="T40" s="5" t="s">
        <v>38</v>
      </c>
      <c r="Y40" t="str">
        <f>VLOOKUP(C40,'[1]DBS_KPY Sorumlular'!A:C,2,FALSE)</f>
        <v>Ayşegül AKGÜL</v>
      </c>
      <c r="Z40" t="str">
        <f>VLOOKUP(C40,'[1]DBS_KPY Sorumlular'!A:C,3,FALSE)</f>
        <v>Sinan ERDAŞ</v>
      </c>
      <c r="AA40" t="str">
        <f>VLOOKUP(K40,[1]!Tablo3[#Data],2,FALSE)</f>
        <v>Erkan AKDOĞAN</v>
      </c>
    </row>
    <row r="41" spans="1:27" x14ac:dyDescent="0.25">
      <c r="A41">
        <v>1325</v>
      </c>
      <c r="B41" t="s">
        <v>27</v>
      </c>
      <c r="C41" t="s">
        <v>40</v>
      </c>
      <c r="D41" t="s">
        <v>41</v>
      </c>
      <c r="F41" t="s">
        <v>102</v>
      </c>
      <c r="G41" t="s">
        <v>43</v>
      </c>
      <c r="H41" t="s">
        <v>252</v>
      </c>
      <c r="I41" s="4">
        <v>45549.875</v>
      </c>
      <c r="K41" t="s">
        <v>217</v>
      </c>
      <c r="L41" s="5"/>
      <c r="M41" s="5"/>
      <c r="N41" t="s">
        <v>82</v>
      </c>
      <c r="O41" t="s">
        <v>253</v>
      </c>
      <c r="R41">
        <v>1</v>
      </c>
      <c r="S41" t="s">
        <v>57</v>
      </c>
      <c r="T41" s="5" t="s">
        <v>58</v>
      </c>
      <c r="U41" t="s">
        <v>254</v>
      </c>
      <c r="V41" t="s">
        <v>255</v>
      </c>
      <c r="W41">
        <v>108</v>
      </c>
      <c r="X41" t="s">
        <v>107</v>
      </c>
      <c r="Y41" t="str">
        <f>VLOOKUP(C41,'[1]DBS_KPY Sorumlular'!A:C,2,FALSE)</f>
        <v>Mustafa AYDIN</v>
      </c>
      <c r="Z41" t="str">
        <f>VLOOKUP(C41,'[1]DBS_KPY Sorumlular'!A:C,3,FALSE)</f>
        <v>Esra DOLAN</v>
      </c>
      <c r="AA41" t="str">
        <f>VLOOKUP(K41,[1]!Tablo3[#Data],2,FALSE)</f>
        <v>Erkan AKDOĞAN</v>
      </c>
    </row>
    <row r="42" spans="1:27" x14ac:dyDescent="0.25">
      <c r="A42">
        <v>1326</v>
      </c>
      <c r="B42" t="s">
        <v>27</v>
      </c>
      <c r="C42" t="s">
        <v>40</v>
      </c>
      <c r="D42" t="s">
        <v>41</v>
      </c>
      <c r="F42" t="s">
        <v>95</v>
      </c>
      <c r="G42" t="s">
        <v>96</v>
      </c>
      <c r="H42" t="s">
        <v>256</v>
      </c>
      <c r="I42" s="4">
        <v>45508.875</v>
      </c>
      <c r="J42" t="s">
        <v>257</v>
      </c>
      <c r="K42" t="s">
        <v>217</v>
      </c>
      <c r="L42" s="5"/>
      <c r="M42" s="5"/>
      <c r="N42" t="s">
        <v>82</v>
      </c>
      <c r="O42" t="s">
        <v>258</v>
      </c>
      <c r="R42">
        <v>1</v>
      </c>
      <c r="S42" t="s">
        <v>57</v>
      </c>
      <c r="T42" s="5" t="s">
        <v>48</v>
      </c>
      <c r="U42" t="s">
        <v>259</v>
      </c>
      <c r="V42" t="s">
        <v>260</v>
      </c>
      <c r="W42">
        <v>91</v>
      </c>
      <c r="X42" t="s">
        <v>101</v>
      </c>
      <c r="Y42" t="str">
        <f>VLOOKUP(C42,'[1]DBS_KPY Sorumlular'!A:C,2,FALSE)</f>
        <v>Mustafa AYDIN</v>
      </c>
      <c r="Z42" t="str">
        <f>VLOOKUP(C42,'[1]DBS_KPY Sorumlular'!A:C,3,FALSE)</f>
        <v>Esra DOLAN</v>
      </c>
      <c r="AA42" t="str">
        <f>VLOOKUP(K42,[1]!Tablo3[#Data],2,FALSE)</f>
        <v>Erkan AKDOĞAN</v>
      </c>
    </row>
    <row r="43" spans="1:27" x14ac:dyDescent="0.25">
      <c r="A43">
        <v>1327</v>
      </c>
      <c r="B43" t="s">
        <v>27</v>
      </c>
      <c r="C43" t="s">
        <v>40</v>
      </c>
      <c r="D43" t="s">
        <v>65</v>
      </c>
      <c r="F43" t="s">
        <v>66</v>
      </c>
      <c r="G43" t="s">
        <v>67</v>
      </c>
      <c r="H43" t="s">
        <v>261</v>
      </c>
      <c r="I43" s="4">
        <v>45837.875</v>
      </c>
      <c r="K43" t="s">
        <v>217</v>
      </c>
      <c r="L43" s="5"/>
      <c r="M43" s="5"/>
      <c r="N43" t="s">
        <v>46</v>
      </c>
      <c r="O43" t="s">
        <v>262</v>
      </c>
      <c r="R43">
        <v>0.99</v>
      </c>
      <c r="S43" t="s">
        <v>57</v>
      </c>
      <c r="T43" s="5" t="s">
        <v>100</v>
      </c>
      <c r="W43">
        <v>203</v>
      </c>
      <c r="X43" t="s">
        <v>72</v>
      </c>
      <c r="Y43" t="str">
        <f>VLOOKUP(C43,'[1]DBS_KPY Sorumlular'!A:C,2,FALSE)</f>
        <v>Mustafa AYDIN</v>
      </c>
      <c r="Z43" t="str">
        <f>VLOOKUP(C43,'[1]DBS_KPY Sorumlular'!A:C,3,FALSE)</f>
        <v>Esra DOLAN</v>
      </c>
      <c r="AA43" t="str">
        <f>VLOOKUP(K43,[1]!Tablo3[#Data],2,FALSE)</f>
        <v>Erkan AKDOĞAN</v>
      </c>
    </row>
    <row r="44" spans="1:27" x14ac:dyDescent="0.25">
      <c r="A44">
        <v>1328</v>
      </c>
      <c r="B44" t="s">
        <v>27</v>
      </c>
      <c r="C44" t="s">
        <v>40</v>
      </c>
      <c r="D44" t="s">
        <v>41</v>
      </c>
      <c r="F44" t="s">
        <v>102</v>
      </c>
      <c r="G44" t="s">
        <v>43</v>
      </c>
      <c r="H44" t="s">
        <v>263</v>
      </c>
      <c r="I44" s="4">
        <v>45837.875</v>
      </c>
      <c r="J44" t="s">
        <v>264</v>
      </c>
      <c r="K44" t="s">
        <v>217</v>
      </c>
      <c r="L44" s="5" t="s">
        <v>265</v>
      </c>
      <c r="M44" s="5"/>
      <c r="N44" t="s">
        <v>46</v>
      </c>
      <c r="O44" t="s">
        <v>266</v>
      </c>
      <c r="R44">
        <v>0.8</v>
      </c>
      <c r="S44" t="s">
        <v>57</v>
      </c>
      <c r="T44" s="5" t="s">
        <v>48</v>
      </c>
      <c r="U44" t="s">
        <v>267</v>
      </c>
      <c r="V44" t="s">
        <v>268</v>
      </c>
      <c r="W44">
        <v>108</v>
      </c>
      <c r="X44" t="s">
        <v>107</v>
      </c>
      <c r="Y44" t="str">
        <f>VLOOKUP(C44,'[1]DBS_KPY Sorumlular'!A:C,2,FALSE)</f>
        <v>Mustafa AYDIN</v>
      </c>
      <c r="Z44" t="str">
        <f>VLOOKUP(C44,'[1]DBS_KPY Sorumlular'!A:C,3,FALSE)</f>
        <v>Esra DOLAN</v>
      </c>
      <c r="AA44" t="str">
        <f>VLOOKUP(K44,[1]!Tablo3[#Data],2,FALSE)</f>
        <v>Erkan AKDOĞAN</v>
      </c>
    </row>
    <row r="45" spans="1:27" x14ac:dyDescent="0.25">
      <c r="A45">
        <v>1329</v>
      </c>
      <c r="B45" t="s">
        <v>27</v>
      </c>
      <c r="C45" t="s">
        <v>73</v>
      </c>
      <c r="D45" t="s">
        <v>73</v>
      </c>
      <c r="F45" t="s">
        <v>74</v>
      </c>
      <c r="G45" t="s">
        <v>30</v>
      </c>
      <c r="H45" t="s">
        <v>269</v>
      </c>
      <c r="I45" s="4">
        <v>45868.875</v>
      </c>
      <c r="J45" t="s">
        <v>270</v>
      </c>
      <c r="K45" t="s">
        <v>217</v>
      </c>
      <c r="L45" s="5" t="s">
        <v>271</v>
      </c>
      <c r="M45" s="5"/>
      <c r="N45" t="s">
        <v>46</v>
      </c>
      <c r="O45" t="s">
        <v>272</v>
      </c>
      <c r="R45">
        <v>0.15</v>
      </c>
      <c r="S45" t="s">
        <v>57</v>
      </c>
      <c r="T45" s="5" t="s">
        <v>58</v>
      </c>
      <c r="Y45" t="str">
        <f>VLOOKUP(C45,'[1]DBS_KPY Sorumlular'!A:C,2,FALSE)</f>
        <v>Ayşegül AKGÜL</v>
      </c>
      <c r="Z45" t="str">
        <f>VLOOKUP(C45,'[1]DBS_KPY Sorumlular'!A:C,3,FALSE)</f>
        <v>Sinan ERDAŞ</v>
      </c>
      <c r="AA45" t="str">
        <f>VLOOKUP(K45,[1]!Tablo3[#Data],2,FALSE)</f>
        <v>Erkan AKDOĞAN</v>
      </c>
    </row>
    <row r="46" spans="1:27" x14ac:dyDescent="0.25">
      <c r="A46">
        <v>1330</v>
      </c>
      <c r="B46" t="s">
        <v>27</v>
      </c>
      <c r="C46" t="s">
        <v>40</v>
      </c>
      <c r="D46" t="s">
        <v>65</v>
      </c>
      <c r="F46" t="s">
        <v>108</v>
      </c>
      <c r="G46" t="s">
        <v>30</v>
      </c>
      <c r="H46" t="s">
        <v>273</v>
      </c>
      <c r="I46" s="4">
        <v>45929.875</v>
      </c>
      <c r="J46" t="s">
        <v>274</v>
      </c>
      <c r="K46" t="s">
        <v>217</v>
      </c>
      <c r="L46" s="5"/>
      <c r="M46" s="5"/>
      <c r="N46" t="s">
        <v>46</v>
      </c>
      <c r="O46" t="s">
        <v>275</v>
      </c>
      <c r="R46">
        <v>0.5</v>
      </c>
      <c r="S46" t="s">
        <v>57</v>
      </c>
      <c r="T46" s="5" t="s">
        <v>100</v>
      </c>
      <c r="W46">
        <v>33</v>
      </c>
      <c r="X46" t="s">
        <v>276</v>
      </c>
      <c r="Y46" t="str">
        <f>VLOOKUP(C46,'[1]DBS_KPY Sorumlular'!A:C,2,FALSE)</f>
        <v>Mustafa AYDIN</v>
      </c>
      <c r="Z46" t="str">
        <f>VLOOKUP(C46,'[1]DBS_KPY Sorumlular'!A:C,3,FALSE)</f>
        <v>Esra DOLAN</v>
      </c>
      <c r="AA46" t="str">
        <f>VLOOKUP(K46,[1]!Tablo3[#Data],2,FALSE)</f>
        <v>Erkan AKDOĞAN</v>
      </c>
    </row>
    <row r="47" spans="1:27" x14ac:dyDescent="0.25">
      <c r="A47">
        <v>1331</v>
      </c>
      <c r="B47" t="s">
        <v>27</v>
      </c>
      <c r="C47" t="s">
        <v>40</v>
      </c>
      <c r="D47" t="s">
        <v>65</v>
      </c>
      <c r="F47" t="s">
        <v>66</v>
      </c>
      <c r="G47" t="s">
        <v>67</v>
      </c>
      <c r="H47" t="s">
        <v>277</v>
      </c>
      <c r="I47" s="4">
        <v>45868.875</v>
      </c>
      <c r="J47" t="s">
        <v>278</v>
      </c>
      <c r="K47" t="s">
        <v>217</v>
      </c>
      <c r="L47" s="5"/>
      <c r="M47" s="5"/>
      <c r="N47" t="s">
        <v>46</v>
      </c>
      <c r="O47" t="s">
        <v>279</v>
      </c>
      <c r="R47">
        <v>0.97</v>
      </c>
      <c r="S47" t="s">
        <v>57</v>
      </c>
      <c r="T47" s="5" t="s">
        <v>48</v>
      </c>
      <c r="U47" t="s">
        <v>281</v>
      </c>
      <c r="V47" t="s">
        <v>282</v>
      </c>
      <c r="W47">
        <v>203</v>
      </c>
      <c r="X47" t="s">
        <v>72</v>
      </c>
      <c r="Y47" t="str">
        <f>VLOOKUP(C47,'[1]DBS_KPY Sorumlular'!A:C,2,FALSE)</f>
        <v>Mustafa AYDIN</v>
      </c>
      <c r="Z47" t="str">
        <f>VLOOKUP(C47,'[1]DBS_KPY Sorumlular'!A:C,3,FALSE)</f>
        <v>Esra DOLAN</v>
      </c>
      <c r="AA47" t="str">
        <f>VLOOKUP(K47,[1]!Tablo3[#Data],2,FALSE)</f>
        <v>Erkan AKDOĞAN</v>
      </c>
    </row>
    <row r="48" spans="1:27" x14ac:dyDescent="0.25">
      <c r="A48">
        <v>1332</v>
      </c>
      <c r="B48" t="s">
        <v>27</v>
      </c>
      <c r="C48" t="s">
        <v>40</v>
      </c>
      <c r="D48" t="s">
        <v>41</v>
      </c>
      <c r="F48" t="s">
        <v>113</v>
      </c>
      <c r="G48" t="s">
        <v>43</v>
      </c>
      <c r="H48" t="s">
        <v>283</v>
      </c>
      <c r="I48" s="4">
        <v>45837.875</v>
      </c>
      <c r="J48" t="s">
        <v>284</v>
      </c>
      <c r="K48" t="s">
        <v>217</v>
      </c>
      <c r="L48" s="5"/>
      <c r="M48" s="5"/>
      <c r="N48" t="s">
        <v>46</v>
      </c>
      <c r="O48" t="s">
        <v>285</v>
      </c>
      <c r="R48">
        <v>0.83</v>
      </c>
      <c r="S48" t="s">
        <v>57</v>
      </c>
      <c r="T48" s="5" t="s">
        <v>58</v>
      </c>
      <c r="U48" t="s">
        <v>286</v>
      </c>
      <c r="V48" t="s">
        <v>287</v>
      </c>
      <c r="W48">
        <v>137</v>
      </c>
      <c r="X48" t="s">
        <v>125</v>
      </c>
      <c r="Y48" t="str">
        <f>VLOOKUP(C48,'[1]DBS_KPY Sorumlular'!A:C,2,FALSE)</f>
        <v>Mustafa AYDIN</v>
      </c>
      <c r="Z48" t="str">
        <f>VLOOKUP(C48,'[1]DBS_KPY Sorumlular'!A:C,3,FALSE)</f>
        <v>Esra DOLAN</v>
      </c>
      <c r="AA48" t="str">
        <f>VLOOKUP(K48,[1]!Tablo3[#Data],2,FALSE)</f>
        <v>Erkan AKDOĞAN</v>
      </c>
    </row>
    <row r="49" spans="1:27" x14ac:dyDescent="0.25">
      <c r="A49">
        <v>1333</v>
      </c>
      <c r="B49" t="s">
        <v>27</v>
      </c>
      <c r="C49" t="s">
        <v>288</v>
      </c>
      <c r="D49" t="s">
        <v>289</v>
      </c>
      <c r="F49" t="s">
        <v>290</v>
      </c>
      <c r="G49" t="s">
        <v>291</v>
      </c>
      <c r="H49" t="s">
        <v>292</v>
      </c>
      <c r="I49" s="4">
        <v>46230.875</v>
      </c>
      <c r="J49" t="s">
        <v>293</v>
      </c>
      <c r="K49" t="s">
        <v>217</v>
      </c>
      <c r="L49" s="5"/>
      <c r="M49" s="5"/>
      <c r="N49" t="s">
        <v>46</v>
      </c>
      <c r="O49" t="s">
        <v>294</v>
      </c>
      <c r="R49">
        <v>0.43</v>
      </c>
      <c r="S49" t="s">
        <v>57</v>
      </c>
      <c r="T49" s="5" t="s">
        <v>38</v>
      </c>
      <c r="W49">
        <v>23</v>
      </c>
      <c r="X49" t="s">
        <v>295</v>
      </c>
      <c r="Y49" t="str">
        <f>VLOOKUP(C49,'[1]DBS_KPY Sorumlular'!A:C,2,FALSE)</f>
        <v>Sinan ERDAŞ</v>
      </c>
      <c r="Z49" t="str">
        <f>VLOOKUP(C49,'[1]DBS_KPY Sorumlular'!A:C,3,FALSE)</f>
        <v>Ayşegül AKGÜL</v>
      </c>
      <c r="AA49" t="str">
        <f>VLOOKUP(K49,[1]!Tablo3[#Data],2,FALSE)</f>
        <v>Erkan AKDOĞAN</v>
      </c>
    </row>
    <row r="50" spans="1:27" x14ac:dyDescent="0.25">
      <c r="A50">
        <v>1334</v>
      </c>
      <c r="B50" t="s">
        <v>27</v>
      </c>
      <c r="C50" t="s">
        <v>288</v>
      </c>
      <c r="D50" t="s">
        <v>289</v>
      </c>
      <c r="F50" t="s">
        <v>290</v>
      </c>
      <c r="G50" t="s">
        <v>291</v>
      </c>
      <c r="H50" t="s">
        <v>296</v>
      </c>
      <c r="I50" s="4">
        <v>46322.875</v>
      </c>
      <c r="J50" t="s">
        <v>297</v>
      </c>
      <c r="K50" t="s">
        <v>217</v>
      </c>
      <c r="L50" s="5"/>
      <c r="M50" s="5"/>
      <c r="N50" t="s">
        <v>46</v>
      </c>
      <c r="O50" t="s">
        <v>294</v>
      </c>
      <c r="R50">
        <v>0.31</v>
      </c>
      <c r="S50" t="s">
        <v>57</v>
      </c>
      <c r="T50" s="5" t="s">
        <v>38</v>
      </c>
      <c r="W50">
        <v>23</v>
      </c>
      <c r="X50" t="s">
        <v>295</v>
      </c>
      <c r="Y50" t="str">
        <f>VLOOKUP(C50,'[1]DBS_KPY Sorumlular'!A:C,2,FALSE)</f>
        <v>Sinan ERDAŞ</v>
      </c>
      <c r="Z50" t="str">
        <f>VLOOKUP(C50,'[1]DBS_KPY Sorumlular'!A:C,3,FALSE)</f>
        <v>Ayşegül AKGÜL</v>
      </c>
      <c r="AA50" t="str">
        <f>VLOOKUP(K50,[1]!Tablo3[#Data],2,FALSE)</f>
        <v>Erkan AKDOĞAN</v>
      </c>
    </row>
    <row r="51" spans="1:27" x14ac:dyDescent="0.25">
      <c r="A51">
        <v>1335</v>
      </c>
      <c r="B51" t="s">
        <v>27</v>
      </c>
      <c r="C51" t="s">
        <v>73</v>
      </c>
      <c r="D51" t="s">
        <v>73</v>
      </c>
      <c r="F51" t="s">
        <v>74</v>
      </c>
      <c r="G51" t="s">
        <v>30</v>
      </c>
      <c r="H51" t="s">
        <v>298</v>
      </c>
      <c r="I51" s="4">
        <v>46140.875</v>
      </c>
      <c r="J51" t="s">
        <v>299</v>
      </c>
      <c r="K51" t="s">
        <v>217</v>
      </c>
      <c r="L51" s="5" t="s">
        <v>177</v>
      </c>
      <c r="M51" s="5"/>
      <c r="N51" t="s">
        <v>46</v>
      </c>
      <c r="O51" t="s">
        <v>300</v>
      </c>
      <c r="R51">
        <v>0.77</v>
      </c>
      <c r="S51" t="s">
        <v>57</v>
      </c>
      <c r="T51" s="5" t="s">
        <v>38</v>
      </c>
      <c r="Y51" t="str">
        <f>VLOOKUP(C51,'[1]DBS_KPY Sorumlular'!A:C,2,FALSE)</f>
        <v>Ayşegül AKGÜL</v>
      </c>
      <c r="Z51" t="str">
        <f>VLOOKUP(C51,'[1]DBS_KPY Sorumlular'!A:C,3,FALSE)</f>
        <v>Sinan ERDAŞ</v>
      </c>
      <c r="AA51" t="str">
        <f>VLOOKUP(K51,[1]!Tablo3[#Data],2,FALSE)</f>
        <v>Erkan AKDOĞAN</v>
      </c>
    </row>
    <row r="52" spans="1:27" x14ac:dyDescent="0.25">
      <c r="A52">
        <v>1336</v>
      </c>
      <c r="B52" t="s">
        <v>27</v>
      </c>
      <c r="C52" t="s">
        <v>73</v>
      </c>
      <c r="D52" t="s">
        <v>73</v>
      </c>
      <c r="F52" t="s">
        <v>74</v>
      </c>
      <c r="G52" t="s">
        <v>30</v>
      </c>
      <c r="H52" t="s">
        <v>301</v>
      </c>
      <c r="I52" s="4">
        <v>46387.875</v>
      </c>
      <c r="J52" t="s">
        <v>302</v>
      </c>
      <c r="K52" t="s">
        <v>217</v>
      </c>
      <c r="L52" s="5" t="s">
        <v>213</v>
      </c>
      <c r="M52" s="5"/>
      <c r="N52" t="s">
        <v>46</v>
      </c>
      <c r="O52" t="s">
        <v>303</v>
      </c>
      <c r="R52">
        <v>0.3</v>
      </c>
      <c r="S52" t="s">
        <v>57</v>
      </c>
      <c r="T52" s="5" t="s">
        <v>38</v>
      </c>
      <c r="Y52" t="str">
        <f>VLOOKUP(C52,'[1]DBS_KPY Sorumlular'!A:C,2,FALSE)</f>
        <v>Ayşegül AKGÜL</v>
      </c>
      <c r="Z52" t="str">
        <f>VLOOKUP(C52,'[1]DBS_KPY Sorumlular'!A:C,3,FALSE)</f>
        <v>Sinan ERDAŞ</v>
      </c>
      <c r="AA52" t="str">
        <f>VLOOKUP(K52,[1]!Tablo3[#Data],2,FALSE)</f>
        <v>Erkan AKDOĞAN</v>
      </c>
    </row>
    <row r="53" spans="1:27" x14ac:dyDescent="0.25">
      <c r="A53">
        <v>1337</v>
      </c>
      <c r="B53" t="s">
        <v>27</v>
      </c>
      <c r="C53" t="s">
        <v>304</v>
      </c>
      <c r="D53" t="s">
        <v>305</v>
      </c>
      <c r="F53" t="s">
        <v>306</v>
      </c>
      <c r="G53" t="s">
        <v>96</v>
      </c>
      <c r="H53" t="s">
        <v>307</v>
      </c>
      <c r="I53" s="4">
        <v>45625.875</v>
      </c>
      <c r="J53" t="s">
        <v>308</v>
      </c>
      <c r="K53" t="s">
        <v>309</v>
      </c>
      <c r="L53" s="5"/>
      <c r="M53" s="5"/>
      <c r="N53" t="s">
        <v>82</v>
      </c>
      <c r="O53" t="s">
        <v>310</v>
      </c>
      <c r="R53">
        <v>1</v>
      </c>
      <c r="S53" t="s">
        <v>57</v>
      </c>
      <c r="T53" s="5" t="s">
        <v>38</v>
      </c>
      <c r="W53">
        <v>206</v>
      </c>
      <c r="X53" t="s">
        <v>311</v>
      </c>
      <c r="Y53" t="str">
        <f>VLOOKUP(C53,'[1]DBS_KPY Sorumlular'!A:C,2,FALSE)</f>
        <v>Erkan AKDOĞAN</v>
      </c>
      <c r="Z53" t="str">
        <f>VLOOKUP(C53,'[1]DBS_KPY Sorumlular'!A:C,3,FALSE)</f>
        <v>Kadir TOPÇU</v>
      </c>
      <c r="AA53" t="str">
        <f>VLOOKUP(K53,[1]!Tablo3[#Data],2,FALSE)</f>
        <v>Erkan AKDOĞAN</v>
      </c>
    </row>
    <row r="54" spans="1:27" x14ac:dyDescent="0.25">
      <c r="A54">
        <v>1338</v>
      </c>
      <c r="B54" t="s">
        <v>27</v>
      </c>
      <c r="C54" t="s">
        <v>73</v>
      </c>
      <c r="D54" t="s">
        <v>73</v>
      </c>
      <c r="F54" t="s">
        <v>108</v>
      </c>
      <c r="G54" t="s">
        <v>30</v>
      </c>
      <c r="H54" t="s">
        <v>312</v>
      </c>
      <c r="I54" s="4">
        <v>46021.875</v>
      </c>
      <c r="J54" t="s">
        <v>313</v>
      </c>
      <c r="K54" t="s">
        <v>309</v>
      </c>
      <c r="L54" s="5" t="s">
        <v>314</v>
      </c>
      <c r="M54" s="5"/>
      <c r="N54" t="s">
        <v>46</v>
      </c>
      <c r="O54" t="s">
        <v>315</v>
      </c>
      <c r="R54">
        <v>0.89300000000000002</v>
      </c>
      <c r="S54" t="s">
        <v>57</v>
      </c>
      <c r="T54" s="5" t="s">
        <v>38</v>
      </c>
      <c r="Y54" t="str">
        <f>VLOOKUP(C54,'[1]DBS_KPY Sorumlular'!A:C,2,FALSE)</f>
        <v>Ayşegül AKGÜL</v>
      </c>
      <c r="Z54" t="str">
        <f>VLOOKUP(C54,'[1]DBS_KPY Sorumlular'!A:C,3,FALSE)</f>
        <v>Sinan ERDAŞ</v>
      </c>
      <c r="AA54" t="str">
        <f>VLOOKUP(K54,[1]!Tablo3[#Data],2,FALSE)</f>
        <v>Erkan AKDOĞAN</v>
      </c>
    </row>
    <row r="55" spans="1:27" x14ac:dyDescent="0.25">
      <c r="A55">
        <v>1339</v>
      </c>
      <c r="B55" t="s">
        <v>27</v>
      </c>
      <c r="C55" t="s">
        <v>28</v>
      </c>
      <c r="D55" t="s">
        <v>28</v>
      </c>
      <c r="F55" t="s">
        <v>184</v>
      </c>
      <c r="G55" t="s">
        <v>43</v>
      </c>
      <c r="H55" t="s">
        <v>316</v>
      </c>
      <c r="I55" s="4">
        <v>46021.875</v>
      </c>
      <c r="J55" t="s">
        <v>317</v>
      </c>
      <c r="K55" t="s">
        <v>309</v>
      </c>
      <c r="L55" s="5" t="s">
        <v>318</v>
      </c>
      <c r="M55" s="5"/>
      <c r="N55" t="s">
        <v>46</v>
      </c>
      <c r="O55" t="s">
        <v>319</v>
      </c>
      <c r="R55">
        <v>0.5</v>
      </c>
      <c r="S55" t="s">
        <v>57</v>
      </c>
      <c r="T55" s="5" t="s">
        <v>38</v>
      </c>
      <c r="W55">
        <v>86</v>
      </c>
      <c r="X55" t="s">
        <v>189</v>
      </c>
      <c r="Y55" t="str">
        <f>VLOOKUP(C55,'[1]DBS_KPY Sorumlular'!A:C,2,FALSE)</f>
        <v>Ayşegül AKGÜL</v>
      </c>
      <c r="Z55" t="str">
        <f>VLOOKUP(C55,'[1]DBS_KPY Sorumlular'!A:C,3,FALSE)</f>
        <v>Sinan ERDAŞ</v>
      </c>
      <c r="AA55" t="str">
        <f>VLOOKUP(K55,[1]!Tablo3[#Data],2,FALSE)</f>
        <v>Erkan AKDOĞAN</v>
      </c>
    </row>
    <row r="56" spans="1:27" x14ac:dyDescent="0.25">
      <c r="A56">
        <v>1340</v>
      </c>
      <c r="B56" t="s">
        <v>27</v>
      </c>
      <c r="C56" t="s">
        <v>73</v>
      </c>
      <c r="D56" t="s">
        <v>73</v>
      </c>
      <c r="F56" t="s">
        <v>74</v>
      </c>
      <c r="G56" t="s">
        <v>30</v>
      </c>
      <c r="H56" t="s">
        <v>320</v>
      </c>
      <c r="I56" s="4">
        <v>46021.875</v>
      </c>
      <c r="J56" t="s">
        <v>321</v>
      </c>
      <c r="K56" t="s">
        <v>309</v>
      </c>
      <c r="L56" s="5" t="s">
        <v>322</v>
      </c>
      <c r="M56" s="5"/>
      <c r="N56" t="s">
        <v>46</v>
      </c>
      <c r="O56" t="s">
        <v>323</v>
      </c>
      <c r="R56">
        <v>0.92589999999999995</v>
      </c>
      <c r="S56" t="s">
        <v>57</v>
      </c>
      <c r="T56" s="5" t="s">
        <v>38</v>
      </c>
      <c r="Y56" t="str">
        <f>VLOOKUP(C56,'[1]DBS_KPY Sorumlular'!A:C,2,FALSE)</f>
        <v>Ayşegül AKGÜL</v>
      </c>
      <c r="Z56" t="str">
        <f>VLOOKUP(C56,'[1]DBS_KPY Sorumlular'!A:C,3,FALSE)</f>
        <v>Sinan ERDAŞ</v>
      </c>
      <c r="AA56" t="str">
        <f>VLOOKUP(K56,[1]!Tablo3[#Data],2,FALSE)</f>
        <v>Erkan AKDOĞAN</v>
      </c>
    </row>
    <row r="57" spans="1:27" x14ac:dyDescent="0.25">
      <c r="A57">
        <v>1341</v>
      </c>
      <c r="B57" t="s">
        <v>27</v>
      </c>
      <c r="C57" t="s">
        <v>40</v>
      </c>
      <c r="D57" t="s">
        <v>41</v>
      </c>
      <c r="F57" t="s">
        <v>102</v>
      </c>
      <c r="G57" t="s">
        <v>43</v>
      </c>
      <c r="H57" t="s">
        <v>324</v>
      </c>
      <c r="I57" s="4">
        <v>45549.875</v>
      </c>
      <c r="K57" t="s">
        <v>325</v>
      </c>
      <c r="L57" s="5"/>
      <c r="M57" s="5"/>
      <c r="N57" t="s">
        <v>82</v>
      </c>
      <c r="O57" t="s">
        <v>326</v>
      </c>
      <c r="R57">
        <v>1</v>
      </c>
      <c r="S57" t="s">
        <v>230</v>
      </c>
      <c r="T57" s="5" t="s">
        <v>100</v>
      </c>
      <c r="W57">
        <v>30</v>
      </c>
      <c r="X57" t="s">
        <v>327</v>
      </c>
      <c r="Y57" t="str">
        <f>VLOOKUP(C57,'[1]DBS_KPY Sorumlular'!A:C,2,FALSE)</f>
        <v>Mustafa AYDIN</v>
      </c>
      <c r="Z57" t="str">
        <f>VLOOKUP(C57,'[1]DBS_KPY Sorumlular'!A:C,3,FALSE)</f>
        <v>Esra DOLAN</v>
      </c>
      <c r="AA57" t="str">
        <f>VLOOKUP(K57,[1]!Tablo3[#Data],2,FALSE)</f>
        <v>Kadir TOPÇU</v>
      </c>
    </row>
    <row r="58" spans="1:27" x14ac:dyDescent="0.25">
      <c r="A58">
        <v>1342</v>
      </c>
      <c r="B58" t="s">
        <v>27</v>
      </c>
      <c r="C58" t="s">
        <v>73</v>
      </c>
      <c r="D58" t="s">
        <v>73</v>
      </c>
      <c r="F58" t="s">
        <v>74</v>
      </c>
      <c r="G58" t="s">
        <v>30</v>
      </c>
      <c r="H58" t="s">
        <v>328</v>
      </c>
      <c r="I58" s="4">
        <v>45549.875</v>
      </c>
      <c r="J58" t="s">
        <v>329</v>
      </c>
      <c r="K58" t="s">
        <v>325</v>
      </c>
      <c r="L58" s="5" t="s">
        <v>330</v>
      </c>
      <c r="M58" s="5"/>
      <c r="N58" t="s">
        <v>82</v>
      </c>
      <c r="O58" t="s">
        <v>331</v>
      </c>
      <c r="R58">
        <v>1</v>
      </c>
      <c r="S58" t="s">
        <v>230</v>
      </c>
      <c r="T58" s="5" t="s">
        <v>38</v>
      </c>
      <c r="W58">
        <v>12</v>
      </c>
      <c r="X58" t="s">
        <v>332</v>
      </c>
      <c r="Y58" t="str">
        <f>VLOOKUP(C58,'[1]DBS_KPY Sorumlular'!A:C,2,FALSE)</f>
        <v>Ayşegül AKGÜL</v>
      </c>
      <c r="Z58" t="str">
        <f>VLOOKUP(C58,'[1]DBS_KPY Sorumlular'!A:C,3,FALSE)</f>
        <v>Sinan ERDAŞ</v>
      </c>
      <c r="AA58" t="str">
        <f>VLOOKUP(K58,[1]!Tablo3[#Data],2,FALSE)</f>
        <v>Kadir TOPÇU</v>
      </c>
    </row>
    <row r="59" spans="1:27" x14ac:dyDescent="0.25">
      <c r="A59">
        <v>1343</v>
      </c>
      <c r="B59" t="s">
        <v>27</v>
      </c>
      <c r="C59" t="s">
        <v>40</v>
      </c>
      <c r="D59" t="s">
        <v>41</v>
      </c>
      <c r="F59" t="s">
        <v>184</v>
      </c>
      <c r="G59" t="s">
        <v>43</v>
      </c>
      <c r="H59" t="s">
        <v>333</v>
      </c>
      <c r="I59" s="4">
        <v>45511.875</v>
      </c>
      <c r="J59" t="s">
        <v>334</v>
      </c>
      <c r="K59" t="s">
        <v>325</v>
      </c>
      <c r="L59" s="5"/>
      <c r="M59" s="5"/>
      <c r="N59" t="s">
        <v>82</v>
      </c>
      <c r="O59" t="s">
        <v>335</v>
      </c>
      <c r="R59">
        <v>1</v>
      </c>
      <c r="S59" t="s">
        <v>230</v>
      </c>
      <c r="T59" s="5" t="s">
        <v>58</v>
      </c>
      <c r="U59" t="s">
        <v>336</v>
      </c>
      <c r="V59" t="s">
        <v>337</v>
      </c>
      <c r="W59">
        <v>86</v>
      </c>
      <c r="X59" t="s">
        <v>189</v>
      </c>
      <c r="Y59" t="str">
        <f>VLOOKUP(C59,'[1]DBS_KPY Sorumlular'!A:C,2,FALSE)</f>
        <v>Mustafa AYDIN</v>
      </c>
      <c r="Z59" t="str">
        <f>VLOOKUP(C59,'[1]DBS_KPY Sorumlular'!A:C,3,FALSE)</f>
        <v>Esra DOLAN</v>
      </c>
      <c r="AA59" t="str">
        <f>VLOOKUP(K59,[1]!Tablo3[#Data],2,FALSE)</f>
        <v>Kadir TOPÇU</v>
      </c>
    </row>
    <row r="60" spans="1:27" x14ac:dyDescent="0.25">
      <c r="A60">
        <v>1344</v>
      </c>
      <c r="B60" t="s">
        <v>27</v>
      </c>
      <c r="C60" t="s">
        <v>40</v>
      </c>
      <c r="D60" t="s">
        <v>41</v>
      </c>
      <c r="F60" t="s">
        <v>184</v>
      </c>
      <c r="G60" t="s">
        <v>43</v>
      </c>
      <c r="H60" t="s">
        <v>338</v>
      </c>
      <c r="I60" s="4">
        <v>45837.875</v>
      </c>
      <c r="J60" t="s">
        <v>339</v>
      </c>
      <c r="K60" t="s">
        <v>325</v>
      </c>
      <c r="L60" s="5"/>
      <c r="M60" s="5"/>
      <c r="N60" t="s">
        <v>46</v>
      </c>
      <c r="O60" t="s">
        <v>340</v>
      </c>
      <c r="R60">
        <v>0.5</v>
      </c>
      <c r="S60" t="s">
        <v>230</v>
      </c>
      <c r="T60" s="5" t="s">
        <v>58</v>
      </c>
      <c r="U60" t="s">
        <v>254</v>
      </c>
      <c r="V60" t="s">
        <v>255</v>
      </c>
      <c r="W60">
        <v>72</v>
      </c>
      <c r="X60" t="s">
        <v>341</v>
      </c>
      <c r="Y60" t="str">
        <f>VLOOKUP(C60,'[1]DBS_KPY Sorumlular'!A:C,2,FALSE)</f>
        <v>Mustafa AYDIN</v>
      </c>
      <c r="Z60" t="str">
        <f>VLOOKUP(C60,'[1]DBS_KPY Sorumlular'!A:C,3,FALSE)</f>
        <v>Esra DOLAN</v>
      </c>
      <c r="AA60" t="str">
        <f>VLOOKUP(K60,[1]!Tablo3[#Data],2,FALSE)</f>
        <v>Kadir TOPÇU</v>
      </c>
    </row>
    <row r="61" spans="1:27" x14ac:dyDescent="0.25">
      <c r="A61">
        <v>1345</v>
      </c>
      <c r="B61" t="s">
        <v>27</v>
      </c>
      <c r="C61" t="s">
        <v>40</v>
      </c>
      <c r="D61" t="s">
        <v>65</v>
      </c>
      <c r="F61" t="s">
        <v>66</v>
      </c>
      <c r="G61" t="s">
        <v>67</v>
      </c>
      <c r="H61" t="s">
        <v>342</v>
      </c>
      <c r="I61" s="4">
        <v>45837.875</v>
      </c>
      <c r="K61" t="s">
        <v>325</v>
      </c>
      <c r="L61" s="5"/>
      <c r="M61" s="5"/>
      <c r="N61" t="s">
        <v>46</v>
      </c>
      <c r="O61" t="s">
        <v>343</v>
      </c>
      <c r="R61">
        <v>0.98</v>
      </c>
      <c r="S61" t="s">
        <v>230</v>
      </c>
      <c r="T61" s="5" t="s">
        <v>48</v>
      </c>
      <c r="U61" t="s">
        <v>344</v>
      </c>
      <c r="V61" t="s">
        <v>345</v>
      </c>
      <c r="W61">
        <v>203</v>
      </c>
      <c r="X61" t="s">
        <v>72</v>
      </c>
      <c r="Y61" t="str">
        <f>VLOOKUP(C61,'[1]DBS_KPY Sorumlular'!A:C,2,FALSE)</f>
        <v>Mustafa AYDIN</v>
      </c>
      <c r="Z61" t="str">
        <f>VLOOKUP(C61,'[1]DBS_KPY Sorumlular'!A:C,3,FALSE)</f>
        <v>Esra DOLAN</v>
      </c>
      <c r="AA61" t="str">
        <f>VLOOKUP(K61,[1]!Tablo3[#Data],2,FALSE)</f>
        <v>Kadir TOPÇU</v>
      </c>
    </row>
    <row r="62" spans="1:27" x14ac:dyDescent="0.25">
      <c r="A62">
        <v>1346</v>
      </c>
      <c r="B62" t="s">
        <v>27</v>
      </c>
      <c r="C62" t="s">
        <v>40</v>
      </c>
      <c r="D62" t="s">
        <v>41</v>
      </c>
      <c r="F62" t="s">
        <v>290</v>
      </c>
      <c r="G62" t="s">
        <v>43</v>
      </c>
      <c r="H62" t="s">
        <v>346</v>
      </c>
      <c r="I62" s="4">
        <v>45837.875</v>
      </c>
      <c r="K62" t="s">
        <v>325</v>
      </c>
      <c r="L62" s="5"/>
      <c r="M62" s="5"/>
      <c r="N62" t="s">
        <v>46</v>
      </c>
      <c r="O62" t="s">
        <v>347</v>
      </c>
      <c r="R62">
        <v>0.65</v>
      </c>
      <c r="S62" t="s">
        <v>230</v>
      </c>
      <c r="T62" s="5" t="s">
        <v>58</v>
      </c>
      <c r="U62" t="s">
        <v>348</v>
      </c>
      <c r="V62" t="s">
        <v>349</v>
      </c>
      <c r="W62">
        <v>115</v>
      </c>
      <c r="X62" t="s">
        <v>350</v>
      </c>
      <c r="Y62" t="str">
        <f>VLOOKUP(C62,'[1]DBS_KPY Sorumlular'!A:C,2,FALSE)</f>
        <v>Mustafa AYDIN</v>
      </c>
      <c r="Z62" t="str">
        <f>VLOOKUP(C62,'[1]DBS_KPY Sorumlular'!A:C,3,FALSE)</f>
        <v>Esra DOLAN</v>
      </c>
      <c r="AA62" t="str">
        <f>VLOOKUP(K62,[1]!Tablo3[#Data],2,FALSE)</f>
        <v>Kadir TOPÇU</v>
      </c>
    </row>
    <row r="63" spans="1:27" x14ac:dyDescent="0.25">
      <c r="A63">
        <v>1347</v>
      </c>
      <c r="B63" t="s">
        <v>27</v>
      </c>
      <c r="C63" t="s">
        <v>40</v>
      </c>
      <c r="D63" t="s">
        <v>65</v>
      </c>
      <c r="F63" t="s">
        <v>52</v>
      </c>
      <c r="G63" t="s">
        <v>67</v>
      </c>
      <c r="H63" t="s">
        <v>351</v>
      </c>
      <c r="I63" s="4">
        <v>45868.875</v>
      </c>
      <c r="K63" t="s">
        <v>325</v>
      </c>
      <c r="L63" s="5"/>
      <c r="M63" s="5"/>
      <c r="N63" t="s">
        <v>46</v>
      </c>
      <c r="O63" t="s">
        <v>352</v>
      </c>
      <c r="R63">
        <v>0.87</v>
      </c>
      <c r="S63" t="s">
        <v>230</v>
      </c>
      <c r="T63" s="5" t="s">
        <v>100</v>
      </c>
      <c r="W63">
        <v>103</v>
      </c>
      <c r="X63" t="s">
        <v>353</v>
      </c>
      <c r="Y63" t="str">
        <f>VLOOKUP(C63,'[1]DBS_KPY Sorumlular'!A:C,2,FALSE)</f>
        <v>Mustafa AYDIN</v>
      </c>
      <c r="Z63" t="str">
        <f>VLOOKUP(C63,'[1]DBS_KPY Sorumlular'!A:C,3,FALSE)</f>
        <v>Esra DOLAN</v>
      </c>
      <c r="AA63" t="str">
        <f>VLOOKUP(K63,[1]!Tablo3[#Data],2,FALSE)</f>
        <v>Kadir TOPÇU</v>
      </c>
    </row>
    <row r="64" spans="1:27" x14ac:dyDescent="0.25">
      <c r="A64">
        <v>1348</v>
      </c>
      <c r="B64" t="s">
        <v>27</v>
      </c>
      <c r="C64" t="s">
        <v>73</v>
      </c>
      <c r="D64" t="s">
        <v>73</v>
      </c>
      <c r="F64" t="s">
        <v>74</v>
      </c>
      <c r="G64" t="s">
        <v>30</v>
      </c>
      <c r="H64" t="s">
        <v>354</v>
      </c>
      <c r="I64" s="4">
        <v>46022.875</v>
      </c>
      <c r="J64" t="s">
        <v>355</v>
      </c>
      <c r="K64" t="s">
        <v>325</v>
      </c>
      <c r="L64" s="5" t="s">
        <v>356</v>
      </c>
      <c r="M64" s="5"/>
      <c r="N64" t="s">
        <v>46</v>
      </c>
      <c r="O64" t="s">
        <v>357</v>
      </c>
      <c r="R64">
        <v>0.01</v>
      </c>
      <c r="S64" t="s">
        <v>230</v>
      </c>
      <c r="T64" s="5" t="s">
        <v>38</v>
      </c>
      <c r="Y64" t="str">
        <f>VLOOKUP(C64,'[1]DBS_KPY Sorumlular'!A:C,2,FALSE)</f>
        <v>Ayşegül AKGÜL</v>
      </c>
      <c r="Z64" t="str">
        <f>VLOOKUP(C64,'[1]DBS_KPY Sorumlular'!A:C,3,FALSE)</f>
        <v>Sinan ERDAŞ</v>
      </c>
      <c r="AA64" t="str">
        <f>VLOOKUP(K64,[1]!Tablo3[#Data],2,FALSE)</f>
        <v>Kadir TOPÇU</v>
      </c>
    </row>
    <row r="65" spans="1:27" x14ac:dyDescent="0.25">
      <c r="A65">
        <v>1349</v>
      </c>
      <c r="B65" t="s">
        <v>27</v>
      </c>
      <c r="C65" t="s">
        <v>137</v>
      </c>
      <c r="D65" t="s">
        <v>138</v>
      </c>
      <c r="E65" t="s">
        <v>138</v>
      </c>
      <c r="F65" t="s">
        <v>139</v>
      </c>
      <c r="G65" t="s">
        <v>140</v>
      </c>
      <c r="H65" t="s">
        <v>358</v>
      </c>
      <c r="I65" s="4">
        <v>46508.875</v>
      </c>
      <c r="J65" t="s">
        <v>359</v>
      </c>
      <c r="K65" t="s">
        <v>325</v>
      </c>
      <c r="L65" s="5" t="s">
        <v>360</v>
      </c>
      <c r="M65" s="5" t="s">
        <v>360</v>
      </c>
      <c r="N65" t="s">
        <v>46</v>
      </c>
      <c r="O65" t="s">
        <v>361</v>
      </c>
      <c r="R65">
        <v>7.0000000000000007E-2</v>
      </c>
      <c r="S65" t="s">
        <v>230</v>
      </c>
      <c r="T65" s="5" t="s">
        <v>38</v>
      </c>
      <c r="W65">
        <v>126</v>
      </c>
      <c r="X65" t="s">
        <v>147</v>
      </c>
      <c r="Y65" t="str">
        <f>VLOOKUP(C65,'[1]DBS_KPY Sorumlular'!A:C,2,FALSE)</f>
        <v>Erkan AKDOĞAN</v>
      </c>
      <c r="Z65" t="str">
        <f>VLOOKUP(C65,'[1]DBS_KPY Sorumlular'!A:C,3,FALSE)</f>
        <v>Kadir TOPÇU</v>
      </c>
      <c r="AA65" t="str">
        <f>VLOOKUP(K65,[1]!Tablo3[#Data],2,FALSE)</f>
        <v>Kadir TOPÇU</v>
      </c>
    </row>
    <row r="66" spans="1:27" x14ac:dyDescent="0.25">
      <c r="A66">
        <v>1350</v>
      </c>
      <c r="B66" t="s">
        <v>27</v>
      </c>
      <c r="C66" t="s">
        <v>40</v>
      </c>
      <c r="D66" t="s">
        <v>41</v>
      </c>
      <c r="F66" t="s">
        <v>52</v>
      </c>
      <c r="G66" t="s">
        <v>30</v>
      </c>
      <c r="H66" t="s">
        <v>362</v>
      </c>
      <c r="I66" s="4">
        <v>45528.875</v>
      </c>
      <c r="J66" t="s">
        <v>363</v>
      </c>
      <c r="K66" t="s">
        <v>364</v>
      </c>
      <c r="L66" s="5"/>
      <c r="M66" s="5"/>
      <c r="N66" t="s">
        <v>82</v>
      </c>
      <c r="O66" t="s">
        <v>365</v>
      </c>
      <c r="R66">
        <v>1</v>
      </c>
      <c r="S66" t="s">
        <v>230</v>
      </c>
      <c r="T66" s="5" t="s">
        <v>58</v>
      </c>
      <c r="U66" t="s">
        <v>366</v>
      </c>
      <c r="V66" t="s">
        <v>367</v>
      </c>
      <c r="W66">
        <v>148</v>
      </c>
      <c r="X66" t="s">
        <v>368</v>
      </c>
      <c r="Y66" t="str">
        <f>VLOOKUP(C66,'[1]DBS_KPY Sorumlular'!A:C,2,FALSE)</f>
        <v>Mustafa AYDIN</v>
      </c>
      <c r="Z66" t="str">
        <f>VLOOKUP(C66,'[1]DBS_KPY Sorumlular'!A:C,3,FALSE)</f>
        <v>Esra DOLAN</v>
      </c>
      <c r="AA66" t="str">
        <f>VLOOKUP(K66,[1]!Tablo3[#Data],2,FALSE)</f>
        <v>Kadir TOPÇU</v>
      </c>
    </row>
    <row r="67" spans="1:27" x14ac:dyDescent="0.25">
      <c r="A67">
        <v>1352</v>
      </c>
      <c r="B67" t="s">
        <v>27</v>
      </c>
      <c r="C67" t="s">
        <v>40</v>
      </c>
      <c r="D67" t="s">
        <v>65</v>
      </c>
      <c r="F67" t="s">
        <v>52</v>
      </c>
      <c r="G67" t="s">
        <v>30</v>
      </c>
      <c r="H67" t="s">
        <v>369</v>
      </c>
      <c r="I67" s="4">
        <v>45837.875</v>
      </c>
      <c r="J67" t="s">
        <v>370</v>
      </c>
      <c r="K67" t="s">
        <v>364</v>
      </c>
      <c r="L67" s="5"/>
      <c r="M67" s="5"/>
      <c r="N67" t="s">
        <v>46</v>
      </c>
      <c r="O67" t="s">
        <v>371</v>
      </c>
      <c r="R67">
        <v>0.95</v>
      </c>
      <c r="S67" t="s">
        <v>230</v>
      </c>
      <c r="T67" s="5" t="s">
        <v>48</v>
      </c>
      <c r="U67" t="s">
        <v>372</v>
      </c>
      <c r="V67" t="s">
        <v>373</v>
      </c>
      <c r="W67">
        <v>65</v>
      </c>
      <c r="X67" t="s">
        <v>374</v>
      </c>
      <c r="Y67" t="str">
        <f>VLOOKUP(C67,'[1]DBS_KPY Sorumlular'!A:C,2,FALSE)</f>
        <v>Mustafa AYDIN</v>
      </c>
      <c r="Z67" t="str">
        <f>VLOOKUP(C67,'[1]DBS_KPY Sorumlular'!A:C,3,FALSE)</f>
        <v>Esra DOLAN</v>
      </c>
      <c r="AA67" t="str">
        <f>VLOOKUP(K67,[1]!Tablo3[#Data],2,FALSE)</f>
        <v>Kadir TOPÇU</v>
      </c>
    </row>
    <row r="68" spans="1:27" x14ac:dyDescent="0.25">
      <c r="A68">
        <v>1353</v>
      </c>
      <c r="B68" t="s">
        <v>27</v>
      </c>
      <c r="C68" t="s">
        <v>73</v>
      </c>
      <c r="D68" t="s">
        <v>73</v>
      </c>
      <c r="F68" t="s">
        <v>108</v>
      </c>
      <c r="G68" t="s">
        <v>30</v>
      </c>
      <c r="H68" t="s">
        <v>375</v>
      </c>
      <c r="I68" s="4">
        <v>45730.875</v>
      </c>
      <c r="J68" t="s">
        <v>376</v>
      </c>
      <c r="K68" t="s">
        <v>364</v>
      </c>
      <c r="L68" s="5" t="s">
        <v>377</v>
      </c>
      <c r="M68" s="5"/>
      <c r="N68" t="s">
        <v>82</v>
      </c>
      <c r="O68" t="s">
        <v>378</v>
      </c>
      <c r="R68">
        <v>1</v>
      </c>
      <c r="S68" t="s">
        <v>230</v>
      </c>
      <c r="T68" s="5" t="s">
        <v>38</v>
      </c>
      <c r="W68">
        <v>33</v>
      </c>
      <c r="X68" t="s">
        <v>276</v>
      </c>
      <c r="Y68" t="str">
        <f>VLOOKUP(C68,'[1]DBS_KPY Sorumlular'!A:C,2,FALSE)</f>
        <v>Ayşegül AKGÜL</v>
      </c>
      <c r="Z68" t="str">
        <f>VLOOKUP(C68,'[1]DBS_KPY Sorumlular'!A:C,3,FALSE)</f>
        <v>Sinan ERDAŞ</v>
      </c>
      <c r="AA68" t="str">
        <f>VLOOKUP(K68,[1]!Tablo3[#Data],2,FALSE)</f>
        <v>Kadir TOPÇU</v>
      </c>
    </row>
    <row r="69" spans="1:27" x14ac:dyDescent="0.25">
      <c r="A69">
        <v>1354</v>
      </c>
      <c r="B69" t="s">
        <v>27</v>
      </c>
      <c r="C69" t="s">
        <v>73</v>
      </c>
      <c r="D69" t="s">
        <v>73</v>
      </c>
      <c r="F69" t="s">
        <v>108</v>
      </c>
      <c r="G69" t="s">
        <v>30</v>
      </c>
      <c r="H69" t="s">
        <v>379</v>
      </c>
      <c r="I69" s="4">
        <v>46766.875</v>
      </c>
      <c r="J69" t="s">
        <v>380</v>
      </c>
      <c r="K69" t="s">
        <v>364</v>
      </c>
      <c r="L69" s="5" t="s">
        <v>381</v>
      </c>
      <c r="M69" s="5"/>
      <c r="N69" t="s">
        <v>46</v>
      </c>
      <c r="O69" t="s">
        <v>382</v>
      </c>
      <c r="R69">
        <v>0.88</v>
      </c>
      <c r="S69" t="s">
        <v>230</v>
      </c>
      <c r="T69" s="5" t="s">
        <v>38</v>
      </c>
      <c r="Y69" t="str">
        <f>VLOOKUP(C69,'[1]DBS_KPY Sorumlular'!A:C,2,FALSE)</f>
        <v>Ayşegül AKGÜL</v>
      </c>
      <c r="Z69" t="str">
        <f>VLOOKUP(C69,'[1]DBS_KPY Sorumlular'!A:C,3,FALSE)</f>
        <v>Sinan ERDAŞ</v>
      </c>
      <c r="AA69" t="str">
        <f>VLOOKUP(K69,[1]!Tablo3[#Data],2,FALSE)</f>
        <v>Kadir TOPÇU</v>
      </c>
    </row>
    <row r="70" spans="1:27" x14ac:dyDescent="0.25">
      <c r="A70">
        <v>1355</v>
      </c>
      <c r="B70" t="s">
        <v>27</v>
      </c>
      <c r="C70" t="s">
        <v>40</v>
      </c>
      <c r="D70" t="s">
        <v>41</v>
      </c>
      <c r="F70" t="s">
        <v>383</v>
      </c>
      <c r="G70" t="s">
        <v>384</v>
      </c>
      <c r="H70" t="s">
        <v>385</v>
      </c>
      <c r="I70" s="4">
        <v>45991.875</v>
      </c>
      <c r="J70" t="s">
        <v>386</v>
      </c>
      <c r="K70" t="s">
        <v>364</v>
      </c>
      <c r="L70" s="5"/>
      <c r="M70" s="5"/>
      <c r="N70" t="s">
        <v>46</v>
      </c>
      <c r="O70" t="s">
        <v>387</v>
      </c>
      <c r="R70">
        <v>0.67</v>
      </c>
      <c r="S70" t="s">
        <v>230</v>
      </c>
      <c r="T70" s="5" t="s">
        <v>58</v>
      </c>
      <c r="U70" t="s">
        <v>388</v>
      </c>
      <c r="V70" t="s">
        <v>389</v>
      </c>
      <c r="W70">
        <v>105</v>
      </c>
      <c r="X70" t="s">
        <v>390</v>
      </c>
      <c r="Y70" t="str">
        <f>VLOOKUP(C70,'[1]DBS_KPY Sorumlular'!A:C,2,FALSE)</f>
        <v>Mustafa AYDIN</v>
      </c>
      <c r="Z70" t="str">
        <f>VLOOKUP(C70,'[1]DBS_KPY Sorumlular'!A:C,3,FALSE)</f>
        <v>Esra DOLAN</v>
      </c>
      <c r="AA70" t="str">
        <f>VLOOKUP(K70,[1]!Tablo3[#Data],2,FALSE)</f>
        <v>Kadir TOPÇU</v>
      </c>
    </row>
    <row r="71" spans="1:27" x14ac:dyDescent="0.25">
      <c r="A71">
        <v>1356</v>
      </c>
      <c r="B71" t="s">
        <v>27</v>
      </c>
      <c r="C71" t="s">
        <v>40</v>
      </c>
      <c r="D71" t="s">
        <v>41</v>
      </c>
      <c r="F71" t="s">
        <v>391</v>
      </c>
      <c r="G71" t="s">
        <v>43</v>
      </c>
      <c r="H71" t="s">
        <v>392</v>
      </c>
      <c r="I71" s="4">
        <v>45489.875</v>
      </c>
      <c r="K71" t="s">
        <v>364</v>
      </c>
      <c r="L71" s="5"/>
      <c r="M71" s="5"/>
      <c r="N71" t="s">
        <v>82</v>
      </c>
      <c r="O71" t="s">
        <v>393</v>
      </c>
      <c r="R71">
        <v>1</v>
      </c>
      <c r="S71" t="s">
        <v>230</v>
      </c>
      <c r="T71" s="5" t="s">
        <v>58</v>
      </c>
      <c r="U71" t="s">
        <v>388</v>
      </c>
      <c r="V71" t="s">
        <v>389</v>
      </c>
      <c r="W71">
        <v>168</v>
      </c>
      <c r="X71" t="s">
        <v>394</v>
      </c>
      <c r="Y71" t="str">
        <f>VLOOKUP(C71,'[1]DBS_KPY Sorumlular'!A:C,2,FALSE)</f>
        <v>Mustafa AYDIN</v>
      </c>
      <c r="Z71" t="str">
        <f>VLOOKUP(C71,'[1]DBS_KPY Sorumlular'!A:C,3,FALSE)</f>
        <v>Esra DOLAN</v>
      </c>
      <c r="AA71" t="str">
        <f>VLOOKUP(K71,[1]!Tablo3[#Data],2,FALSE)</f>
        <v>Kadir TOPÇU</v>
      </c>
    </row>
    <row r="72" spans="1:27" x14ac:dyDescent="0.25">
      <c r="A72">
        <v>1357</v>
      </c>
      <c r="B72" t="s">
        <v>27</v>
      </c>
      <c r="C72" t="s">
        <v>73</v>
      </c>
      <c r="D72" t="s">
        <v>73</v>
      </c>
      <c r="F72" t="s">
        <v>74</v>
      </c>
      <c r="G72" t="s">
        <v>30</v>
      </c>
      <c r="H72" t="s">
        <v>395</v>
      </c>
      <c r="I72" s="4">
        <v>47025.875</v>
      </c>
      <c r="J72" t="s">
        <v>396</v>
      </c>
      <c r="K72" t="s">
        <v>364</v>
      </c>
      <c r="L72" s="5" t="s">
        <v>397</v>
      </c>
      <c r="M72" s="5"/>
      <c r="N72" t="s">
        <v>46</v>
      </c>
      <c r="O72" t="s">
        <v>398</v>
      </c>
      <c r="R72">
        <v>0.43</v>
      </c>
      <c r="S72" t="s">
        <v>230</v>
      </c>
      <c r="T72" s="5" t="s">
        <v>38</v>
      </c>
      <c r="Y72" t="str">
        <f>VLOOKUP(C72,'[1]DBS_KPY Sorumlular'!A:C,2,FALSE)</f>
        <v>Ayşegül AKGÜL</v>
      </c>
      <c r="Z72" t="str">
        <f>VLOOKUP(C72,'[1]DBS_KPY Sorumlular'!A:C,3,FALSE)</f>
        <v>Sinan ERDAŞ</v>
      </c>
      <c r="AA72" t="str">
        <f>VLOOKUP(K72,[1]!Tablo3[#Data],2,FALSE)</f>
        <v>Kadir TOPÇU</v>
      </c>
    </row>
    <row r="73" spans="1:27" x14ac:dyDescent="0.25">
      <c r="A73">
        <v>1358</v>
      </c>
      <c r="B73" t="s">
        <v>27</v>
      </c>
      <c r="C73" t="s">
        <v>73</v>
      </c>
      <c r="D73" t="s">
        <v>73</v>
      </c>
      <c r="F73" t="s">
        <v>74</v>
      </c>
      <c r="G73" t="s">
        <v>30</v>
      </c>
      <c r="H73" t="s">
        <v>399</v>
      </c>
      <c r="I73" s="4">
        <v>47025.875</v>
      </c>
      <c r="J73" t="s">
        <v>400</v>
      </c>
      <c r="K73" t="s">
        <v>364</v>
      </c>
      <c r="L73" s="5" t="s">
        <v>397</v>
      </c>
      <c r="M73" s="5"/>
      <c r="N73" t="s">
        <v>46</v>
      </c>
      <c r="O73" t="s">
        <v>401</v>
      </c>
      <c r="R73">
        <v>0.43</v>
      </c>
      <c r="S73" t="s">
        <v>230</v>
      </c>
      <c r="T73" s="5" t="s">
        <v>38</v>
      </c>
      <c r="Y73" t="str">
        <f>VLOOKUP(C73,'[1]DBS_KPY Sorumlular'!A:C,2,FALSE)</f>
        <v>Ayşegül AKGÜL</v>
      </c>
      <c r="Z73" t="str">
        <f>VLOOKUP(C73,'[1]DBS_KPY Sorumlular'!A:C,3,FALSE)</f>
        <v>Sinan ERDAŞ</v>
      </c>
      <c r="AA73" t="str">
        <f>VLOOKUP(K73,[1]!Tablo3[#Data],2,FALSE)</f>
        <v>Kadir TOPÇU</v>
      </c>
    </row>
    <row r="74" spans="1:27" x14ac:dyDescent="0.25">
      <c r="A74">
        <v>1359</v>
      </c>
      <c r="B74" t="s">
        <v>27</v>
      </c>
      <c r="C74" t="s">
        <v>402</v>
      </c>
      <c r="D74" t="s">
        <v>403</v>
      </c>
      <c r="F74" t="s">
        <v>383</v>
      </c>
      <c r="G74" t="s">
        <v>384</v>
      </c>
      <c r="H74" t="s">
        <v>404</v>
      </c>
      <c r="I74" s="4">
        <v>45897.875</v>
      </c>
      <c r="K74" t="s">
        <v>364</v>
      </c>
      <c r="L74" s="5" t="s">
        <v>405</v>
      </c>
      <c r="M74" s="5"/>
      <c r="N74" t="s">
        <v>46</v>
      </c>
      <c r="O74" t="s">
        <v>406</v>
      </c>
      <c r="R74">
        <v>0.01</v>
      </c>
      <c r="S74" t="s">
        <v>230</v>
      </c>
      <c r="T74" s="5" t="s">
        <v>48</v>
      </c>
      <c r="U74" t="s">
        <v>407</v>
      </c>
      <c r="V74" t="s">
        <v>408</v>
      </c>
      <c r="W74">
        <v>168</v>
      </c>
      <c r="X74" t="s">
        <v>394</v>
      </c>
      <c r="Y74" t="str">
        <f>VLOOKUP(C74,'[1]DBS_KPY Sorumlular'!A:C,2,FALSE)</f>
        <v>Tayfun VİÇE</v>
      </c>
      <c r="Z74" t="str">
        <f>VLOOKUP(C74,'[1]DBS_KPY Sorumlular'!A:C,3,FALSE)</f>
        <v>Mehmet Ali YAVUZ</v>
      </c>
      <c r="AA74" t="str">
        <f>VLOOKUP(K74,[1]!Tablo3[#Data],2,FALSE)</f>
        <v>Kadir TOPÇU</v>
      </c>
    </row>
    <row r="75" spans="1:27" x14ac:dyDescent="0.25">
      <c r="A75">
        <v>1360</v>
      </c>
      <c r="B75" t="s">
        <v>27</v>
      </c>
      <c r="C75" t="s">
        <v>73</v>
      </c>
      <c r="D75" t="s">
        <v>73</v>
      </c>
      <c r="F75" t="s">
        <v>74</v>
      </c>
      <c r="G75" t="s">
        <v>30</v>
      </c>
      <c r="H75" t="s">
        <v>409</v>
      </c>
      <c r="I75" s="4">
        <v>46072.875</v>
      </c>
      <c r="J75" t="s">
        <v>410</v>
      </c>
      <c r="K75" t="s">
        <v>364</v>
      </c>
      <c r="L75" s="5" t="s">
        <v>411</v>
      </c>
      <c r="M75" s="5"/>
      <c r="N75" t="s">
        <v>46</v>
      </c>
      <c r="O75" t="s">
        <v>412</v>
      </c>
      <c r="R75">
        <v>0.01</v>
      </c>
      <c r="S75" t="s">
        <v>230</v>
      </c>
      <c r="T75" s="5" t="s">
        <v>38</v>
      </c>
      <c r="Y75" t="str">
        <f>VLOOKUP(C75,'[1]DBS_KPY Sorumlular'!A:C,2,FALSE)</f>
        <v>Ayşegül AKGÜL</v>
      </c>
      <c r="Z75" t="str">
        <f>VLOOKUP(C75,'[1]DBS_KPY Sorumlular'!A:C,3,FALSE)</f>
        <v>Sinan ERDAŞ</v>
      </c>
      <c r="AA75" t="str">
        <f>VLOOKUP(K75,[1]!Tablo3[#Data],2,FALSE)</f>
        <v>Kadir TOPÇU</v>
      </c>
    </row>
    <row r="76" spans="1:27" x14ac:dyDescent="0.25">
      <c r="A76">
        <v>1361</v>
      </c>
      <c r="B76" t="s">
        <v>27</v>
      </c>
      <c r="C76" t="s">
        <v>73</v>
      </c>
      <c r="D76" t="s">
        <v>73</v>
      </c>
      <c r="F76" t="s">
        <v>74</v>
      </c>
      <c r="G76" t="s">
        <v>30</v>
      </c>
      <c r="H76" t="s">
        <v>413</v>
      </c>
      <c r="I76" s="4">
        <v>46387.875</v>
      </c>
      <c r="J76" t="s">
        <v>414</v>
      </c>
      <c r="K76" t="s">
        <v>364</v>
      </c>
      <c r="L76" s="5" t="s">
        <v>415</v>
      </c>
      <c r="M76" s="5"/>
      <c r="N76" t="s">
        <v>46</v>
      </c>
      <c r="O76" t="s">
        <v>416</v>
      </c>
      <c r="R76">
        <v>0</v>
      </c>
      <c r="S76" t="s">
        <v>230</v>
      </c>
      <c r="T76" s="5" t="s">
        <v>38</v>
      </c>
      <c r="Y76" t="str">
        <f>VLOOKUP(C76,'[1]DBS_KPY Sorumlular'!A:C,2,FALSE)</f>
        <v>Ayşegül AKGÜL</v>
      </c>
      <c r="Z76" t="str">
        <f>VLOOKUP(C76,'[1]DBS_KPY Sorumlular'!A:C,3,FALSE)</f>
        <v>Sinan ERDAŞ</v>
      </c>
      <c r="AA76" t="str">
        <f>VLOOKUP(K76,[1]!Tablo3[#Data],2,FALSE)</f>
        <v>Kadir TOPÇU</v>
      </c>
    </row>
    <row r="77" spans="1:27" x14ac:dyDescent="0.25">
      <c r="A77">
        <v>1362</v>
      </c>
      <c r="B77" t="s">
        <v>27</v>
      </c>
      <c r="C77" t="s">
        <v>73</v>
      </c>
      <c r="D77" t="s">
        <v>73</v>
      </c>
      <c r="F77" t="s">
        <v>108</v>
      </c>
      <c r="G77" t="s">
        <v>30</v>
      </c>
      <c r="H77" t="s">
        <v>417</v>
      </c>
      <c r="I77" s="4">
        <v>46387.875</v>
      </c>
      <c r="J77" t="s">
        <v>418</v>
      </c>
      <c r="K77" t="s">
        <v>364</v>
      </c>
      <c r="L77" s="5" t="s">
        <v>419</v>
      </c>
      <c r="M77" s="5"/>
      <c r="N77" t="s">
        <v>46</v>
      </c>
      <c r="O77" t="s">
        <v>420</v>
      </c>
      <c r="R77">
        <v>0</v>
      </c>
      <c r="S77" t="s">
        <v>230</v>
      </c>
      <c r="T77" s="5" t="s">
        <v>38</v>
      </c>
      <c r="Y77" t="str">
        <f>VLOOKUP(C77,'[1]DBS_KPY Sorumlular'!A:C,2,FALSE)</f>
        <v>Ayşegül AKGÜL</v>
      </c>
      <c r="Z77" t="str">
        <f>VLOOKUP(C77,'[1]DBS_KPY Sorumlular'!A:C,3,FALSE)</f>
        <v>Sinan ERDAŞ</v>
      </c>
      <c r="AA77" t="str">
        <f>VLOOKUP(K77,[1]!Tablo3[#Data],2,FALSE)</f>
        <v>Kadir TOPÇU</v>
      </c>
    </row>
    <row r="78" spans="1:27" x14ac:dyDescent="0.25">
      <c r="A78">
        <v>1363</v>
      </c>
      <c r="B78" t="s">
        <v>27</v>
      </c>
      <c r="C78" t="s">
        <v>73</v>
      </c>
      <c r="D78" t="s">
        <v>73</v>
      </c>
      <c r="F78" t="s">
        <v>108</v>
      </c>
      <c r="G78" t="s">
        <v>30</v>
      </c>
      <c r="H78" t="s">
        <v>421</v>
      </c>
      <c r="I78" s="4">
        <v>45929.875</v>
      </c>
      <c r="J78" t="s">
        <v>422</v>
      </c>
      <c r="K78" t="s">
        <v>423</v>
      </c>
      <c r="L78" s="5" t="s">
        <v>424</v>
      </c>
      <c r="M78" s="5"/>
      <c r="N78" t="s">
        <v>46</v>
      </c>
      <c r="O78" t="s">
        <v>425</v>
      </c>
      <c r="R78">
        <v>0</v>
      </c>
      <c r="S78" t="s">
        <v>230</v>
      </c>
      <c r="T78" s="5" t="s">
        <v>38</v>
      </c>
      <c r="Y78" t="str">
        <f>VLOOKUP(C78,'[1]DBS_KPY Sorumlular'!A:C,2,FALSE)</f>
        <v>Ayşegül AKGÜL</v>
      </c>
      <c r="Z78" t="str">
        <f>VLOOKUP(C78,'[1]DBS_KPY Sorumlular'!A:C,3,FALSE)</f>
        <v>Sinan ERDAŞ</v>
      </c>
      <c r="AA78" t="str">
        <f>VLOOKUP(K78,[1]!Tablo3[#Data],2,FALSE)</f>
        <v>Kadir TOPÇU</v>
      </c>
    </row>
    <row r="79" spans="1:27" x14ac:dyDescent="0.25">
      <c r="A79">
        <v>1364</v>
      </c>
      <c r="B79" t="s">
        <v>27</v>
      </c>
      <c r="C79" t="s">
        <v>288</v>
      </c>
      <c r="D79" t="s">
        <v>289</v>
      </c>
      <c r="F79" t="s">
        <v>290</v>
      </c>
      <c r="G79" t="s">
        <v>291</v>
      </c>
      <c r="H79" t="s">
        <v>426</v>
      </c>
      <c r="I79" s="4">
        <v>46570.875</v>
      </c>
      <c r="J79" t="s">
        <v>427</v>
      </c>
      <c r="K79" t="s">
        <v>364</v>
      </c>
      <c r="L79" s="5"/>
      <c r="M79" s="5"/>
      <c r="N79" t="s">
        <v>46</v>
      </c>
      <c r="O79" t="s">
        <v>428</v>
      </c>
      <c r="R79">
        <v>0.35</v>
      </c>
      <c r="S79" t="s">
        <v>230</v>
      </c>
      <c r="T79" s="5" t="s">
        <v>38</v>
      </c>
      <c r="W79">
        <v>23</v>
      </c>
      <c r="X79" t="s">
        <v>295</v>
      </c>
      <c r="Y79" t="str">
        <f>VLOOKUP(C79,'[1]DBS_KPY Sorumlular'!A:C,2,FALSE)</f>
        <v>Sinan ERDAŞ</v>
      </c>
      <c r="Z79" t="str">
        <f>VLOOKUP(C79,'[1]DBS_KPY Sorumlular'!A:C,3,FALSE)</f>
        <v>Ayşegül AKGÜL</v>
      </c>
      <c r="AA79" t="str">
        <f>VLOOKUP(K79,[1]!Tablo3[#Data],2,FALSE)</f>
        <v>Kadir TOPÇU</v>
      </c>
    </row>
    <row r="80" spans="1:27" x14ac:dyDescent="0.25">
      <c r="A80">
        <v>1365</v>
      </c>
      <c r="B80" t="s">
        <v>27</v>
      </c>
      <c r="C80" t="s">
        <v>40</v>
      </c>
      <c r="D80" t="s">
        <v>65</v>
      </c>
      <c r="F80" t="s">
        <v>66</v>
      </c>
      <c r="G80" t="s">
        <v>67</v>
      </c>
      <c r="H80" t="s">
        <v>429</v>
      </c>
      <c r="I80" s="4">
        <v>47482.875</v>
      </c>
      <c r="K80" t="s">
        <v>364</v>
      </c>
      <c r="L80" s="5"/>
      <c r="M80" s="5"/>
      <c r="N80" t="s">
        <v>46</v>
      </c>
      <c r="O80" t="s">
        <v>430</v>
      </c>
      <c r="R80">
        <v>0.18</v>
      </c>
      <c r="S80" t="s">
        <v>230</v>
      </c>
      <c r="T80" s="5" t="s">
        <v>48</v>
      </c>
      <c r="U80" t="s">
        <v>431</v>
      </c>
      <c r="V80" t="s">
        <v>432</v>
      </c>
      <c r="W80">
        <v>195</v>
      </c>
      <c r="X80" t="s">
        <v>433</v>
      </c>
      <c r="Y80" t="str">
        <f>VLOOKUP(C80,'[1]DBS_KPY Sorumlular'!A:C,2,FALSE)</f>
        <v>Mustafa AYDIN</v>
      </c>
      <c r="Z80" t="str">
        <f>VLOOKUP(C80,'[1]DBS_KPY Sorumlular'!A:C,3,FALSE)</f>
        <v>Esra DOLAN</v>
      </c>
      <c r="AA80" t="str">
        <f>VLOOKUP(K80,[1]!Tablo3[#Data],2,FALSE)</f>
        <v>Kadir TOPÇU</v>
      </c>
    </row>
    <row r="81" spans="1:27" x14ac:dyDescent="0.25">
      <c r="A81">
        <v>1366</v>
      </c>
      <c r="B81" t="s">
        <v>27</v>
      </c>
      <c r="C81" t="s">
        <v>40</v>
      </c>
      <c r="D81" t="s">
        <v>41</v>
      </c>
      <c r="F81" t="s">
        <v>52</v>
      </c>
      <c r="G81" t="s">
        <v>43</v>
      </c>
      <c r="H81" t="s">
        <v>434</v>
      </c>
      <c r="I81" s="4">
        <v>45837.875</v>
      </c>
      <c r="K81" t="s">
        <v>435</v>
      </c>
      <c r="L81" s="5"/>
      <c r="M81" s="5"/>
      <c r="N81" t="s">
        <v>46</v>
      </c>
      <c r="O81" t="s">
        <v>436</v>
      </c>
      <c r="R81">
        <v>0.87</v>
      </c>
      <c r="S81" t="s">
        <v>37</v>
      </c>
      <c r="T81" s="5" t="s">
        <v>58</v>
      </c>
      <c r="U81" t="s">
        <v>437</v>
      </c>
      <c r="V81" t="s">
        <v>438</v>
      </c>
      <c r="W81">
        <v>131</v>
      </c>
      <c r="X81" t="s">
        <v>61</v>
      </c>
      <c r="Y81" t="str">
        <f>VLOOKUP(C81,'[1]DBS_KPY Sorumlular'!A:C,2,FALSE)</f>
        <v>Mustafa AYDIN</v>
      </c>
      <c r="Z81" t="str">
        <f>VLOOKUP(C81,'[1]DBS_KPY Sorumlular'!A:C,3,FALSE)</f>
        <v>Esra DOLAN</v>
      </c>
      <c r="AA81" t="str">
        <f>VLOOKUP(K81,[1]!Tablo3[#Data],2,FALSE)</f>
        <v>Tayfun VİÇE</v>
      </c>
    </row>
    <row r="82" spans="1:27" x14ac:dyDescent="0.25">
      <c r="A82">
        <v>1367</v>
      </c>
      <c r="B82" t="s">
        <v>27</v>
      </c>
      <c r="C82" t="s">
        <v>40</v>
      </c>
      <c r="D82" t="s">
        <v>41</v>
      </c>
      <c r="F82" t="s">
        <v>439</v>
      </c>
      <c r="G82" t="s">
        <v>43</v>
      </c>
      <c r="H82" t="s">
        <v>440</v>
      </c>
      <c r="I82" s="4">
        <v>46021.875</v>
      </c>
      <c r="J82" t="s">
        <v>441</v>
      </c>
      <c r="K82" t="s">
        <v>435</v>
      </c>
      <c r="L82" s="5"/>
      <c r="M82" s="5"/>
      <c r="N82" t="s">
        <v>46</v>
      </c>
      <c r="O82" t="s">
        <v>442</v>
      </c>
      <c r="R82">
        <v>0.5</v>
      </c>
      <c r="S82" t="s">
        <v>37</v>
      </c>
      <c r="T82" s="5" t="s">
        <v>58</v>
      </c>
      <c r="W82">
        <v>76</v>
      </c>
      <c r="X82" t="s">
        <v>443</v>
      </c>
      <c r="Y82" t="str">
        <f>VLOOKUP(C82,'[1]DBS_KPY Sorumlular'!A:C,2,FALSE)</f>
        <v>Mustafa AYDIN</v>
      </c>
      <c r="Z82" t="str">
        <f>VLOOKUP(C82,'[1]DBS_KPY Sorumlular'!A:C,3,FALSE)</f>
        <v>Esra DOLAN</v>
      </c>
      <c r="AA82" t="str">
        <f>VLOOKUP(K82,[1]!Tablo3[#Data],2,FALSE)</f>
        <v>Tayfun VİÇE</v>
      </c>
    </row>
    <row r="83" spans="1:27" x14ac:dyDescent="0.25">
      <c r="A83">
        <v>1368</v>
      </c>
      <c r="B83" t="s">
        <v>27</v>
      </c>
      <c r="C83" t="s">
        <v>73</v>
      </c>
      <c r="D83" t="s">
        <v>73</v>
      </c>
      <c r="F83" t="s">
        <v>74</v>
      </c>
      <c r="G83" t="s">
        <v>30</v>
      </c>
      <c r="H83" t="s">
        <v>444</v>
      </c>
      <c r="I83" s="4">
        <v>46111.875</v>
      </c>
      <c r="J83" t="s">
        <v>445</v>
      </c>
      <c r="K83" t="s">
        <v>435</v>
      </c>
      <c r="L83" s="5" t="s">
        <v>446</v>
      </c>
      <c r="M83" s="5"/>
      <c r="N83" t="s">
        <v>46</v>
      </c>
      <c r="O83" t="s">
        <v>447</v>
      </c>
      <c r="R83">
        <v>5.6000000000000001E-2</v>
      </c>
      <c r="S83" t="s">
        <v>37</v>
      </c>
      <c r="T83" s="5" t="s">
        <v>38</v>
      </c>
      <c r="Y83" t="str">
        <f>VLOOKUP(C83,'[1]DBS_KPY Sorumlular'!A:C,2,FALSE)</f>
        <v>Ayşegül AKGÜL</v>
      </c>
      <c r="Z83" t="str">
        <f>VLOOKUP(C83,'[1]DBS_KPY Sorumlular'!A:C,3,FALSE)</f>
        <v>Sinan ERDAŞ</v>
      </c>
      <c r="AA83" t="str">
        <f>VLOOKUP(K83,[1]!Tablo3[#Data],2,FALSE)</f>
        <v>Tayfun VİÇE</v>
      </c>
    </row>
    <row r="84" spans="1:27" x14ac:dyDescent="0.25">
      <c r="A84">
        <v>1369</v>
      </c>
      <c r="B84" t="s">
        <v>27</v>
      </c>
      <c r="C84" t="s">
        <v>73</v>
      </c>
      <c r="D84" t="s">
        <v>73</v>
      </c>
      <c r="F84" t="s">
        <v>74</v>
      </c>
      <c r="G84" t="s">
        <v>30</v>
      </c>
      <c r="H84" t="s">
        <v>448</v>
      </c>
      <c r="I84" s="4">
        <v>46387.875</v>
      </c>
      <c r="J84" t="s">
        <v>449</v>
      </c>
      <c r="K84" t="s">
        <v>435</v>
      </c>
      <c r="L84" s="5" t="s">
        <v>450</v>
      </c>
      <c r="M84" s="5"/>
      <c r="N84" t="s">
        <v>46</v>
      </c>
      <c r="O84" t="s">
        <v>451</v>
      </c>
      <c r="R84">
        <v>0.49</v>
      </c>
      <c r="S84" t="s">
        <v>37</v>
      </c>
      <c r="T84" s="5" t="s">
        <v>38</v>
      </c>
      <c r="Y84" t="str">
        <f>VLOOKUP(C84,'[1]DBS_KPY Sorumlular'!A:C,2,FALSE)</f>
        <v>Ayşegül AKGÜL</v>
      </c>
      <c r="Z84" t="str">
        <f>VLOOKUP(C84,'[1]DBS_KPY Sorumlular'!A:C,3,FALSE)</f>
        <v>Sinan ERDAŞ</v>
      </c>
      <c r="AA84" t="str">
        <f>VLOOKUP(K84,[1]!Tablo3[#Data],2,FALSE)</f>
        <v>Tayfun VİÇE</v>
      </c>
    </row>
    <row r="85" spans="1:27" x14ac:dyDescent="0.25">
      <c r="A85">
        <v>1370</v>
      </c>
      <c r="B85" t="s">
        <v>27</v>
      </c>
      <c r="C85" t="s">
        <v>73</v>
      </c>
      <c r="D85" t="s">
        <v>73</v>
      </c>
      <c r="F85" t="s">
        <v>74</v>
      </c>
      <c r="G85" t="s">
        <v>30</v>
      </c>
      <c r="H85" t="s">
        <v>452</v>
      </c>
      <c r="I85" s="4">
        <v>46476.875</v>
      </c>
      <c r="J85" t="s">
        <v>453</v>
      </c>
      <c r="K85" t="s">
        <v>435</v>
      </c>
      <c r="L85" s="5" t="s">
        <v>446</v>
      </c>
      <c r="M85" s="5"/>
      <c r="N85" t="s">
        <v>46</v>
      </c>
      <c r="O85" t="s">
        <v>454</v>
      </c>
      <c r="R85">
        <v>0</v>
      </c>
      <c r="S85" t="s">
        <v>37</v>
      </c>
      <c r="T85" s="5" t="s">
        <v>38</v>
      </c>
      <c r="Y85" t="str">
        <f>VLOOKUP(C85,'[1]DBS_KPY Sorumlular'!A:C,2,FALSE)</f>
        <v>Ayşegül AKGÜL</v>
      </c>
      <c r="Z85" t="str">
        <f>VLOOKUP(C85,'[1]DBS_KPY Sorumlular'!A:C,3,FALSE)</f>
        <v>Sinan ERDAŞ</v>
      </c>
      <c r="AA85" t="str">
        <f>VLOOKUP(K85,[1]!Tablo3[#Data],2,FALSE)</f>
        <v>Tayfun VİÇE</v>
      </c>
    </row>
    <row r="86" spans="1:27" x14ac:dyDescent="0.25">
      <c r="A86">
        <v>1371</v>
      </c>
      <c r="B86" t="s">
        <v>27</v>
      </c>
      <c r="C86" t="s">
        <v>40</v>
      </c>
      <c r="D86" t="s">
        <v>65</v>
      </c>
      <c r="F86" t="s">
        <v>455</v>
      </c>
      <c r="G86" t="s">
        <v>456</v>
      </c>
      <c r="H86" t="s">
        <v>457</v>
      </c>
      <c r="I86" s="4">
        <v>45761.875</v>
      </c>
      <c r="J86" t="s">
        <v>458</v>
      </c>
      <c r="K86" t="s">
        <v>459</v>
      </c>
      <c r="L86" s="5"/>
      <c r="M86" s="5"/>
      <c r="N86" t="s">
        <v>82</v>
      </c>
      <c r="O86" t="s">
        <v>460</v>
      </c>
      <c r="R86">
        <v>1</v>
      </c>
      <c r="S86" t="s">
        <v>57</v>
      </c>
      <c r="T86" s="5" t="s">
        <v>48</v>
      </c>
      <c r="U86" t="s">
        <v>461</v>
      </c>
      <c r="V86" t="s">
        <v>462</v>
      </c>
      <c r="W86">
        <v>144</v>
      </c>
      <c r="X86" t="s">
        <v>463</v>
      </c>
      <c r="Y86" t="str">
        <f>VLOOKUP(C86,'[1]DBS_KPY Sorumlular'!A:C,2,FALSE)</f>
        <v>Mustafa AYDIN</v>
      </c>
      <c r="Z86" t="str">
        <f>VLOOKUP(C86,'[1]DBS_KPY Sorumlular'!A:C,3,FALSE)</f>
        <v>Esra DOLAN</v>
      </c>
      <c r="AA86" t="str">
        <f>VLOOKUP(K86,[1]!Tablo3[#Data],2,FALSE)</f>
        <v>Erkan AKDOĞAN</v>
      </c>
    </row>
    <row r="87" spans="1:27" x14ac:dyDescent="0.25">
      <c r="A87">
        <v>1372</v>
      </c>
      <c r="B87" t="s">
        <v>27</v>
      </c>
      <c r="C87" t="s">
        <v>40</v>
      </c>
      <c r="D87" t="s">
        <v>41</v>
      </c>
      <c r="F87" t="s">
        <v>42</v>
      </c>
      <c r="G87" t="s">
        <v>43</v>
      </c>
      <c r="H87" t="s">
        <v>464</v>
      </c>
      <c r="I87" s="4">
        <v>45837.875</v>
      </c>
      <c r="K87" t="s">
        <v>459</v>
      </c>
      <c r="L87" s="5"/>
      <c r="M87" s="5"/>
      <c r="N87" t="s">
        <v>46</v>
      </c>
      <c r="O87" t="s">
        <v>465</v>
      </c>
      <c r="R87">
        <v>0.9</v>
      </c>
      <c r="S87" t="s">
        <v>57</v>
      </c>
      <c r="T87" s="5" t="s">
        <v>58</v>
      </c>
      <c r="U87" t="s">
        <v>254</v>
      </c>
      <c r="V87" t="s">
        <v>255</v>
      </c>
      <c r="W87">
        <v>18</v>
      </c>
      <c r="X87" t="s">
        <v>466</v>
      </c>
      <c r="Y87" t="str">
        <f>VLOOKUP(C87,'[1]DBS_KPY Sorumlular'!A:C,2,FALSE)</f>
        <v>Mustafa AYDIN</v>
      </c>
      <c r="Z87" t="str">
        <f>VLOOKUP(C87,'[1]DBS_KPY Sorumlular'!A:C,3,FALSE)</f>
        <v>Esra DOLAN</v>
      </c>
      <c r="AA87" t="str">
        <f>VLOOKUP(K87,[1]!Tablo3[#Data],2,FALSE)</f>
        <v>Erkan AKDOĞAN</v>
      </c>
    </row>
    <row r="88" spans="1:27" x14ac:dyDescent="0.25">
      <c r="A88">
        <v>1373</v>
      </c>
      <c r="B88" t="s">
        <v>27</v>
      </c>
      <c r="C88" t="s">
        <v>40</v>
      </c>
      <c r="D88" t="s">
        <v>65</v>
      </c>
      <c r="F88" t="s">
        <v>66</v>
      </c>
      <c r="G88" t="s">
        <v>30</v>
      </c>
      <c r="H88" t="s">
        <v>467</v>
      </c>
      <c r="I88" s="4">
        <v>45627.875</v>
      </c>
      <c r="J88" t="s">
        <v>468</v>
      </c>
      <c r="K88" t="s">
        <v>459</v>
      </c>
      <c r="L88" s="5"/>
      <c r="M88" s="5"/>
      <c r="N88" t="s">
        <v>82</v>
      </c>
      <c r="O88" t="s">
        <v>469</v>
      </c>
      <c r="R88">
        <v>1</v>
      </c>
      <c r="S88" t="s">
        <v>57</v>
      </c>
      <c r="T88" s="5" t="s">
        <v>48</v>
      </c>
      <c r="U88" t="s">
        <v>470</v>
      </c>
      <c r="V88" t="s">
        <v>471</v>
      </c>
      <c r="W88">
        <v>207</v>
      </c>
      <c r="X88" t="s">
        <v>472</v>
      </c>
      <c r="Y88" t="str">
        <f>VLOOKUP(C88,'[1]DBS_KPY Sorumlular'!A:C,2,FALSE)</f>
        <v>Mustafa AYDIN</v>
      </c>
      <c r="Z88" t="str">
        <f>VLOOKUP(C88,'[1]DBS_KPY Sorumlular'!A:C,3,FALSE)</f>
        <v>Esra DOLAN</v>
      </c>
      <c r="AA88" t="str">
        <f>VLOOKUP(K88,[1]!Tablo3[#Data],2,FALSE)</f>
        <v>Erkan AKDOĞAN</v>
      </c>
    </row>
    <row r="89" spans="1:27" x14ac:dyDescent="0.25">
      <c r="A89">
        <v>1374</v>
      </c>
      <c r="B89" t="s">
        <v>27</v>
      </c>
      <c r="C89" t="s">
        <v>73</v>
      </c>
      <c r="D89" t="s">
        <v>73</v>
      </c>
      <c r="F89" t="s">
        <v>74</v>
      </c>
      <c r="G89" t="s">
        <v>30</v>
      </c>
      <c r="H89" t="s">
        <v>473</v>
      </c>
      <c r="I89" s="4">
        <v>45960.875</v>
      </c>
      <c r="J89" t="s">
        <v>474</v>
      </c>
      <c r="K89" t="s">
        <v>459</v>
      </c>
      <c r="L89" s="5"/>
      <c r="M89" s="5"/>
      <c r="N89" t="s">
        <v>35</v>
      </c>
      <c r="O89" t="s">
        <v>475</v>
      </c>
      <c r="R89">
        <v>0</v>
      </c>
      <c r="S89" t="s">
        <v>57</v>
      </c>
      <c r="T89" s="5" t="s">
        <v>38</v>
      </c>
      <c r="Y89" t="str">
        <f>VLOOKUP(C89,'[1]DBS_KPY Sorumlular'!A:C,2,FALSE)</f>
        <v>Ayşegül AKGÜL</v>
      </c>
      <c r="Z89" t="str">
        <f>VLOOKUP(C89,'[1]DBS_KPY Sorumlular'!A:C,3,FALSE)</f>
        <v>Sinan ERDAŞ</v>
      </c>
      <c r="AA89" t="str">
        <f>VLOOKUP(K89,[1]!Tablo3[#Data],2,FALSE)</f>
        <v>Erkan AKDOĞAN</v>
      </c>
    </row>
    <row r="90" spans="1:27" x14ac:dyDescent="0.25">
      <c r="A90">
        <v>1375</v>
      </c>
      <c r="B90" t="s">
        <v>27</v>
      </c>
      <c r="C90" t="s">
        <v>73</v>
      </c>
      <c r="D90" t="s">
        <v>73</v>
      </c>
      <c r="F90" t="s">
        <v>74</v>
      </c>
      <c r="G90" t="s">
        <v>30</v>
      </c>
      <c r="H90" t="s">
        <v>476</v>
      </c>
      <c r="I90" s="4">
        <v>47055.875</v>
      </c>
      <c r="J90" t="s">
        <v>270</v>
      </c>
      <c r="K90" t="s">
        <v>459</v>
      </c>
      <c r="L90" s="5" t="s">
        <v>477</v>
      </c>
      <c r="M90" s="5"/>
      <c r="N90" t="s">
        <v>35</v>
      </c>
      <c r="O90" t="s">
        <v>478</v>
      </c>
      <c r="R90">
        <v>0</v>
      </c>
      <c r="S90" t="s">
        <v>57</v>
      </c>
      <c r="T90" s="5" t="s">
        <v>38</v>
      </c>
      <c r="Y90" t="str">
        <f>VLOOKUP(C90,'[1]DBS_KPY Sorumlular'!A:C,2,FALSE)</f>
        <v>Ayşegül AKGÜL</v>
      </c>
      <c r="Z90" t="str">
        <f>VLOOKUP(C90,'[1]DBS_KPY Sorumlular'!A:C,3,FALSE)</f>
        <v>Sinan ERDAŞ</v>
      </c>
      <c r="AA90" t="str">
        <f>VLOOKUP(K90,[1]!Tablo3[#Data],2,FALSE)</f>
        <v>Erkan AKDOĞAN</v>
      </c>
    </row>
    <row r="91" spans="1:27" x14ac:dyDescent="0.25">
      <c r="A91">
        <v>1376</v>
      </c>
      <c r="B91" t="s">
        <v>27</v>
      </c>
      <c r="C91" t="s">
        <v>73</v>
      </c>
      <c r="D91" t="s">
        <v>73</v>
      </c>
      <c r="F91" t="s">
        <v>74</v>
      </c>
      <c r="G91" t="s">
        <v>30</v>
      </c>
      <c r="H91" t="s">
        <v>479</v>
      </c>
      <c r="I91" s="4">
        <v>46184.875</v>
      </c>
      <c r="J91" t="s">
        <v>480</v>
      </c>
      <c r="K91" t="s">
        <v>459</v>
      </c>
      <c r="L91" s="5"/>
      <c r="M91" s="5"/>
      <c r="N91" t="s">
        <v>46</v>
      </c>
      <c r="O91" t="s">
        <v>481</v>
      </c>
      <c r="R91">
        <v>0</v>
      </c>
      <c r="S91" t="s">
        <v>57</v>
      </c>
      <c r="T91" s="5" t="s">
        <v>38</v>
      </c>
      <c r="Y91" t="str">
        <f>VLOOKUP(C91,'[1]DBS_KPY Sorumlular'!A:C,2,FALSE)</f>
        <v>Ayşegül AKGÜL</v>
      </c>
      <c r="Z91" t="str">
        <f>VLOOKUP(C91,'[1]DBS_KPY Sorumlular'!A:C,3,FALSE)</f>
        <v>Sinan ERDAŞ</v>
      </c>
      <c r="AA91" t="str">
        <f>VLOOKUP(K91,[1]!Tablo3[#Data],2,FALSE)</f>
        <v>Erkan AKDOĞAN</v>
      </c>
    </row>
    <row r="92" spans="1:27" x14ac:dyDescent="0.25">
      <c r="A92">
        <v>1377</v>
      </c>
      <c r="B92" t="s">
        <v>27</v>
      </c>
      <c r="C92" t="s">
        <v>40</v>
      </c>
      <c r="D92" t="s">
        <v>41</v>
      </c>
      <c r="F92" t="s">
        <v>482</v>
      </c>
      <c r="G92" t="s">
        <v>43</v>
      </c>
      <c r="H92" t="s">
        <v>483</v>
      </c>
      <c r="I92" s="4">
        <v>45549.875</v>
      </c>
      <c r="K92" t="s">
        <v>226</v>
      </c>
      <c r="L92" s="5"/>
      <c r="M92" s="5"/>
      <c r="N92" t="s">
        <v>82</v>
      </c>
      <c r="O92" t="s">
        <v>484</v>
      </c>
      <c r="R92">
        <v>1</v>
      </c>
      <c r="S92" t="s">
        <v>230</v>
      </c>
      <c r="T92" s="5" t="s">
        <v>58</v>
      </c>
      <c r="U92" t="s">
        <v>254</v>
      </c>
      <c r="V92" t="s">
        <v>255</v>
      </c>
      <c r="W92">
        <v>150</v>
      </c>
      <c r="X92" t="s">
        <v>485</v>
      </c>
      <c r="Y92" t="str">
        <f>VLOOKUP(C92,'[1]DBS_KPY Sorumlular'!A:C,2,FALSE)</f>
        <v>Mustafa AYDIN</v>
      </c>
      <c r="Z92" t="str">
        <f>VLOOKUP(C92,'[1]DBS_KPY Sorumlular'!A:C,3,FALSE)</f>
        <v>Esra DOLAN</v>
      </c>
      <c r="AA92" t="str">
        <f>VLOOKUP(K92,[1]!Tablo3[#Data],2,FALSE)</f>
        <v>Kadir TOPÇU</v>
      </c>
    </row>
    <row r="93" spans="1:27" x14ac:dyDescent="0.25">
      <c r="A93">
        <v>1378</v>
      </c>
      <c r="B93" t="s">
        <v>27</v>
      </c>
      <c r="C93" t="s">
        <v>40</v>
      </c>
      <c r="D93" t="s">
        <v>41</v>
      </c>
      <c r="F93" t="s">
        <v>486</v>
      </c>
      <c r="G93" t="s">
        <v>67</v>
      </c>
      <c r="H93" t="s">
        <v>487</v>
      </c>
      <c r="I93" s="4">
        <v>45807.875</v>
      </c>
      <c r="K93" t="s">
        <v>226</v>
      </c>
      <c r="L93" s="5"/>
      <c r="M93" s="5"/>
      <c r="N93" t="s">
        <v>82</v>
      </c>
      <c r="O93" t="s">
        <v>488</v>
      </c>
      <c r="R93">
        <v>1</v>
      </c>
      <c r="S93" t="s">
        <v>230</v>
      </c>
      <c r="T93" s="5" t="s">
        <v>58</v>
      </c>
      <c r="U93" t="s">
        <v>192</v>
      </c>
      <c r="V93" t="s">
        <v>193</v>
      </c>
      <c r="W93">
        <v>103</v>
      </c>
      <c r="X93" t="s">
        <v>353</v>
      </c>
      <c r="Y93" t="str">
        <f>VLOOKUP(C93,'[1]DBS_KPY Sorumlular'!A:C,2,FALSE)</f>
        <v>Mustafa AYDIN</v>
      </c>
      <c r="Z93" t="str">
        <f>VLOOKUP(C93,'[1]DBS_KPY Sorumlular'!A:C,3,FALSE)</f>
        <v>Esra DOLAN</v>
      </c>
      <c r="AA93" t="str">
        <f>VLOOKUP(K93,[1]!Tablo3[#Data],2,FALSE)</f>
        <v>Kadir TOPÇU</v>
      </c>
    </row>
    <row r="94" spans="1:27" x14ac:dyDescent="0.25">
      <c r="A94">
        <v>1379</v>
      </c>
      <c r="B94" t="s">
        <v>27</v>
      </c>
      <c r="C94" t="s">
        <v>40</v>
      </c>
      <c r="D94" t="s">
        <v>65</v>
      </c>
      <c r="F94" t="s">
        <v>66</v>
      </c>
      <c r="G94" t="s">
        <v>67</v>
      </c>
      <c r="H94" t="s">
        <v>489</v>
      </c>
      <c r="I94" s="4">
        <v>45899.875</v>
      </c>
      <c r="K94" t="s">
        <v>226</v>
      </c>
      <c r="L94" s="5"/>
      <c r="M94" s="5"/>
      <c r="N94" t="s">
        <v>46</v>
      </c>
      <c r="O94" t="s">
        <v>490</v>
      </c>
      <c r="R94">
        <v>0.92</v>
      </c>
      <c r="S94" t="s">
        <v>230</v>
      </c>
      <c r="T94" s="5" t="s">
        <v>48</v>
      </c>
      <c r="U94" t="s">
        <v>491</v>
      </c>
      <c r="V94" t="s">
        <v>492</v>
      </c>
      <c r="W94">
        <v>76</v>
      </c>
      <c r="X94" t="s">
        <v>443</v>
      </c>
      <c r="Y94" t="str">
        <f>VLOOKUP(C94,'[1]DBS_KPY Sorumlular'!A:C,2,FALSE)</f>
        <v>Mustafa AYDIN</v>
      </c>
      <c r="Z94" t="str">
        <f>VLOOKUP(C94,'[1]DBS_KPY Sorumlular'!A:C,3,FALSE)</f>
        <v>Esra DOLAN</v>
      </c>
      <c r="AA94" t="str">
        <f>VLOOKUP(K94,[1]!Tablo3[#Data],2,FALSE)</f>
        <v>Kadir TOPÇU</v>
      </c>
    </row>
    <row r="95" spans="1:27" x14ac:dyDescent="0.25">
      <c r="A95">
        <v>1380</v>
      </c>
      <c r="B95" t="s">
        <v>27</v>
      </c>
      <c r="C95" t="s">
        <v>73</v>
      </c>
      <c r="D95" t="s">
        <v>73</v>
      </c>
      <c r="F95" t="s">
        <v>108</v>
      </c>
      <c r="G95" t="s">
        <v>30</v>
      </c>
      <c r="H95" t="s">
        <v>493</v>
      </c>
      <c r="I95" s="4">
        <v>46018.875</v>
      </c>
      <c r="J95" t="s">
        <v>494</v>
      </c>
      <c r="K95" t="s">
        <v>226</v>
      </c>
      <c r="L95" s="5" t="s">
        <v>495</v>
      </c>
      <c r="M95" s="5"/>
      <c r="N95" t="s">
        <v>46</v>
      </c>
      <c r="O95" t="s">
        <v>496</v>
      </c>
      <c r="R95">
        <v>0.6</v>
      </c>
      <c r="S95" t="s">
        <v>230</v>
      </c>
      <c r="T95" s="5" t="s">
        <v>38</v>
      </c>
      <c r="Y95" t="str">
        <f>VLOOKUP(C95,'[1]DBS_KPY Sorumlular'!A:C,2,FALSE)</f>
        <v>Ayşegül AKGÜL</v>
      </c>
      <c r="Z95" t="str">
        <f>VLOOKUP(C95,'[1]DBS_KPY Sorumlular'!A:C,3,FALSE)</f>
        <v>Sinan ERDAŞ</v>
      </c>
      <c r="AA95" t="str">
        <f>VLOOKUP(K95,[1]!Tablo3[#Data],2,FALSE)</f>
        <v>Kadir TOPÇU</v>
      </c>
    </row>
    <row r="96" spans="1:27" x14ac:dyDescent="0.25">
      <c r="A96">
        <v>1381</v>
      </c>
      <c r="B96" t="s">
        <v>27</v>
      </c>
      <c r="C96" t="s">
        <v>402</v>
      </c>
      <c r="D96" t="s">
        <v>403</v>
      </c>
      <c r="F96" t="s">
        <v>383</v>
      </c>
      <c r="G96" t="s">
        <v>384</v>
      </c>
      <c r="H96" t="s">
        <v>497</v>
      </c>
      <c r="I96" s="4">
        <v>45897.875</v>
      </c>
      <c r="J96" t="s">
        <v>498</v>
      </c>
      <c r="K96" t="s">
        <v>226</v>
      </c>
      <c r="L96" s="5" t="s">
        <v>499</v>
      </c>
      <c r="M96" s="5"/>
      <c r="N96" t="s">
        <v>46</v>
      </c>
      <c r="O96" t="s">
        <v>500</v>
      </c>
      <c r="R96">
        <v>0.4</v>
      </c>
      <c r="S96" t="s">
        <v>230</v>
      </c>
      <c r="T96" s="5" t="s">
        <v>48</v>
      </c>
      <c r="U96" t="s">
        <v>501</v>
      </c>
      <c r="V96" t="s">
        <v>502</v>
      </c>
      <c r="W96">
        <v>60</v>
      </c>
      <c r="X96" t="s">
        <v>503</v>
      </c>
      <c r="Y96" t="str">
        <f>VLOOKUP(C96,'[1]DBS_KPY Sorumlular'!A:C,2,FALSE)</f>
        <v>Tayfun VİÇE</v>
      </c>
      <c r="Z96" t="str">
        <f>VLOOKUP(C96,'[1]DBS_KPY Sorumlular'!A:C,3,FALSE)</f>
        <v>Mehmet Ali YAVUZ</v>
      </c>
      <c r="AA96" t="str">
        <f>VLOOKUP(K96,[1]!Tablo3[#Data],2,FALSE)</f>
        <v>Kadir TOPÇU</v>
      </c>
    </row>
    <row r="97" spans="1:27" x14ac:dyDescent="0.25">
      <c r="A97">
        <v>1382</v>
      </c>
      <c r="B97" t="s">
        <v>27</v>
      </c>
      <c r="C97" t="s">
        <v>402</v>
      </c>
      <c r="D97" t="s">
        <v>403</v>
      </c>
      <c r="F97" t="s">
        <v>383</v>
      </c>
      <c r="G97" t="s">
        <v>384</v>
      </c>
      <c r="H97" t="s">
        <v>504</v>
      </c>
      <c r="I97" s="4">
        <v>46002.875</v>
      </c>
      <c r="J97" t="s">
        <v>505</v>
      </c>
      <c r="K97" t="s">
        <v>226</v>
      </c>
      <c r="L97" s="5" t="s">
        <v>506</v>
      </c>
      <c r="M97" s="5"/>
      <c r="N97" t="s">
        <v>46</v>
      </c>
      <c r="O97" t="s">
        <v>507</v>
      </c>
      <c r="R97">
        <v>0.45</v>
      </c>
      <c r="S97" t="s">
        <v>230</v>
      </c>
      <c r="T97" s="5" t="s">
        <v>48</v>
      </c>
      <c r="U97" t="s">
        <v>508</v>
      </c>
      <c r="V97" t="s">
        <v>509</v>
      </c>
      <c r="W97">
        <v>220</v>
      </c>
      <c r="X97" t="s">
        <v>510</v>
      </c>
      <c r="Y97" t="str">
        <f>VLOOKUP(C97,'[1]DBS_KPY Sorumlular'!A:C,2,FALSE)</f>
        <v>Tayfun VİÇE</v>
      </c>
      <c r="Z97" t="str">
        <f>VLOOKUP(C97,'[1]DBS_KPY Sorumlular'!A:C,3,FALSE)</f>
        <v>Mehmet Ali YAVUZ</v>
      </c>
      <c r="AA97" t="str">
        <f>VLOOKUP(K97,[1]!Tablo3[#Data],2,FALSE)</f>
        <v>Kadir TOPÇU</v>
      </c>
    </row>
    <row r="98" spans="1:27" x14ac:dyDescent="0.25">
      <c r="A98">
        <v>1383</v>
      </c>
      <c r="B98" t="s">
        <v>27</v>
      </c>
      <c r="C98" t="s">
        <v>73</v>
      </c>
      <c r="D98" t="s">
        <v>73</v>
      </c>
      <c r="F98" t="s">
        <v>74</v>
      </c>
      <c r="G98" t="s">
        <v>30</v>
      </c>
      <c r="H98" t="s">
        <v>511</v>
      </c>
      <c r="I98" s="4">
        <v>46321.875</v>
      </c>
      <c r="J98" t="s">
        <v>512</v>
      </c>
      <c r="K98" t="s">
        <v>226</v>
      </c>
      <c r="L98" s="5" t="s">
        <v>513</v>
      </c>
      <c r="M98" s="5"/>
      <c r="N98" t="s">
        <v>46</v>
      </c>
      <c r="O98" t="s">
        <v>496</v>
      </c>
      <c r="R98">
        <v>0.3</v>
      </c>
      <c r="S98" t="s">
        <v>230</v>
      </c>
      <c r="T98" s="5" t="s">
        <v>38</v>
      </c>
      <c r="Y98" t="str">
        <f>VLOOKUP(C98,'[1]DBS_KPY Sorumlular'!A:C,2,FALSE)</f>
        <v>Ayşegül AKGÜL</v>
      </c>
      <c r="Z98" t="str">
        <f>VLOOKUP(C98,'[1]DBS_KPY Sorumlular'!A:C,3,FALSE)</f>
        <v>Sinan ERDAŞ</v>
      </c>
      <c r="AA98" t="str">
        <f>VLOOKUP(K98,[1]!Tablo3[#Data],2,FALSE)</f>
        <v>Kadir TOPÇU</v>
      </c>
    </row>
    <row r="99" spans="1:27" x14ac:dyDescent="0.25">
      <c r="A99">
        <v>1384</v>
      </c>
      <c r="B99" t="s">
        <v>27</v>
      </c>
      <c r="C99" t="s">
        <v>73</v>
      </c>
      <c r="D99" t="s">
        <v>73</v>
      </c>
      <c r="F99" t="s">
        <v>74</v>
      </c>
      <c r="G99" t="s">
        <v>30</v>
      </c>
      <c r="H99" t="s">
        <v>514</v>
      </c>
      <c r="I99" s="4">
        <v>46321.875</v>
      </c>
      <c r="J99" t="s">
        <v>515</v>
      </c>
      <c r="K99" t="s">
        <v>226</v>
      </c>
      <c r="L99" s="5" t="s">
        <v>516</v>
      </c>
      <c r="M99" s="5"/>
      <c r="N99" t="s">
        <v>46</v>
      </c>
      <c r="O99" t="s">
        <v>517</v>
      </c>
      <c r="R99">
        <v>0.52</v>
      </c>
      <c r="S99" t="s">
        <v>230</v>
      </c>
      <c r="T99" s="5" t="s">
        <v>38</v>
      </c>
      <c r="Y99" t="str">
        <f>VLOOKUP(C99,'[1]DBS_KPY Sorumlular'!A:C,2,FALSE)</f>
        <v>Ayşegül AKGÜL</v>
      </c>
      <c r="Z99" t="str">
        <f>VLOOKUP(C99,'[1]DBS_KPY Sorumlular'!A:C,3,FALSE)</f>
        <v>Sinan ERDAŞ</v>
      </c>
      <c r="AA99" t="str">
        <f>VLOOKUP(K99,[1]!Tablo3[#Data],2,FALSE)</f>
        <v>Kadir TOPÇU</v>
      </c>
    </row>
    <row r="100" spans="1:27" x14ac:dyDescent="0.25">
      <c r="A100">
        <v>1385</v>
      </c>
      <c r="B100" t="s">
        <v>27</v>
      </c>
      <c r="C100" t="s">
        <v>402</v>
      </c>
      <c r="D100" t="s">
        <v>403</v>
      </c>
      <c r="F100" t="s">
        <v>383</v>
      </c>
      <c r="G100" t="s">
        <v>384</v>
      </c>
      <c r="H100" t="s">
        <v>518</v>
      </c>
      <c r="I100" s="4">
        <v>46182.875</v>
      </c>
      <c r="J100" t="s">
        <v>519</v>
      </c>
      <c r="K100" t="s">
        <v>226</v>
      </c>
      <c r="L100" s="5" t="s">
        <v>520</v>
      </c>
      <c r="M100" s="5"/>
      <c r="N100" t="s">
        <v>46</v>
      </c>
      <c r="O100" t="s">
        <v>521</v>
      </c>
      <c r="R100">
        <v>0.4</v>
      </c>
      <c r="S100" t="s">
        <v>230</v>
      </c>
      <c r="T100" s="5" t="s">
        <v>48</v>
      </c>
      <c r="U100" t="s">
        <v>522</v>
      </c>
      <c r="V100" t="s">
        <v>523</v>
      </c>
      <c r="W100">
        <v>223</v>
      </c>
      <c r="X100" t="s">
        <v>524</v>
      </c>
      <c r="Y100" t="str">
        <f>VLOOKUP(C100,'[1]DBS_KPY Sorumlular'!A:C,2,FALSE)</f>
        <v>Tayfun VİÇE</v>
      </c>
      <c r="Z100" t="str">
        <f>VLOOKUP(C100,'[1]DBS_KPY Sorumlular'!A:C,3,FALSE)</f>
        <v>Mehmet Ali YAVUZ</v>
      </c>
      <c r="AA100" t="str">
        <f>VLOOKUP(K100,[1]!Tablo3[#Data],2,FALSE)</f>
        <v>Kadir TOPÇU</v>
      </c>
    </row>
    <row r="101" spans="1:27" x14ac:dyDescent="0.25">
      <c r="A101">
        <v>1386</v>
      </c>
      <c r="B101" t="s">
        <v>27</v>
      </c>
      <c r="C101" t="s">
        <v>40</v>
      </c>
      <c r="D101" t="s">
        <v>41</v>
      </c>
      <c r="F101" t="s">
        <v>95</v>
      </c>
      <c r="G101" t="s">
        <v>96</v>
      </c>
      <c r="H101" t="s">
        <v>525</v>
      </c>
      <c r="I101" s="4">
        <v>46006.875</v>
      </c>
      <c r="J101" t="s">
        <v>526</v>
      </c>
      <c r="K101" t="s">
        <v>226</v>
      </c>
      <c r="L101" s="5" t="s">
        <v>527</v>
      </c>
      <c r="M101" s="5" t="s">
        <v>528</v>
      </c>
      <c r="N101" t="s">
        <v>46</v>
      </c>
      <c r="O101" t="s">
        <v>529</v>
      </c>
      <c r="R101">
        <v>7.0000000000000007E-2</v>
      </c>
      <c r="S101" t="s">
        <v>230</v>
      </c>
      <c r="T101" s="5" t="s">
        <v>48</v>
      </c>
      <c r="U101" t="s">
        <v>530</v>
      </c>
      <c r="V101" t="s">
        <v>531</v>
      </c>
      <c r="W101">
        <v>91</v>
      </c>
      <c r="X101" t="s">
        <v>101</v>
      </c>
      <c r="Y101" t="str">
        <f>VLOOKUP(C101,'[1]DBS_KPY Sorumlular'!A:C,2,FALSE)</f>
        <v>Mustafa AYDIN</v>
      </c>
      <c r="Z101" t="str">
        <f>VLOOKUP(C101,'[1]DBS_KPY Sorumlular'!A:C,3,FALSE)</f>
        <v>Esra DOLAN</v>
      </c>
      <c r="AA101" t="str">
        <f>VLOOKUP(K101,[1]!Tablo3[#Data],2,FALSE)</f>
        <v>Kadir TOPÇU</v>
      </c>
    </row>
    <row r="102" spans="1:27" x14ac:dyDescent="0.25">
      <c r="A102">
        <v>1387</v>
      </c>
      <c r="B102" t="s">
        <v>27</v>
      </c>
      <c r="C102" t="s">
        <v>40</v>
      </c>
      <c r="D102" t="s">
        <v>41</v>
      </c>
      <c r="F102" t="s">
        <v>532</v>
      </c>
      <c r="G102" t="s">
        <v>43</v>
      </c>
      <c r="H102" t="s">
        <v>533</v>
      </c>
      <c r="I102" s="4">
        <v>45600.875</v>
      </c>
      <c r="K102" t="s">
        <v>534</v>
      </c>
      <c r="L102" s="5"/>
      <c r="M102" s="5"/>
      <c r="N102" t="s">
        <v>82</v>
      </c>
      <c r="O102" t="s">
        <v>535</v>
      </c>
      <c r="R102">
        <v>1</v>
      </c>
      <c r="S102" t="s">
        <v>57</v>
      </c>
      <c r="T102" s="5" t="s">
        <v>58</v>
      </c>
      <c r="U102" t="s">
        <v>192</v>
      </c>
      <c r="V102" t="s">
        <v>193</v>
      </c>
      <c r="W102">
        <v>139</v>
      </c>
      <c r="X102" t="s">
        <v>536</v>
      </c>
      <c r="Y102" t="str">
        <f>VLOOKUP(C102,'[1]DBS_KPY Sorumlular'!A:C,2,FALSE)</f>
        <v>Mustafa AYDIN</v>
      </c>
      <c r="Z102" t="str">
        <f>VLOOKUP(C102,'[1]DBS_KPY Sorumlular'!A:C,3,FALSE)</f>
        <v>Esra DOLAN</v>
      </c>
      <c r="AA102" t="str">
        <f>VLOOKUP(K102,[1]!Tablo3[#Data],2,FALSE)</f>
        <v>Erkan AKDOĞAN</v>
      </c>
    </row>
    <row r="103" spans="1:27" x14ac:dyDescent="0.25">
      <c r="A103">
        <v>1388</v>
      </c>
      <c r="B103" t="s">
        <v>27</v>
      </c>
      <c r="C103" t="s">
        <v>304</v>
      </c>
      <c r="D103" t="s">
        <v>305</v>
      </c>
      <c r="F103" t="s">
        <v>537</v>
      </c>
      <c r="G103" t="s">
        <v>96</v>
      </c>
      <c r="H103" t="s">
        <v>538</v>
      </c>
      <c r="I103" s="4">
        <v>45549.875</v>
      </c>
      <c r="J103" t="s">
        <v>539</v>
      </c>
      <c r="K103" t="s">
        <v>534</v>
      </c>
      <c r="L103" s="5" t="s">
        <v>540</v>
      </c>
      <c r="M103" s="5"/>
      <c r="N103" t="s">
        <v>82</v>
      </c>
      <c r="O103" t="s">
        <v>541</v>
      </c>
      <c r="R103">
        <v>1</v>
      </c>
      <c r="S103" t="s">
        <v>57</v>
      </c>
      <c r="T103" s="5" t="s">
        <v>38</v>
      </c>
      <c r="W103">
        <v>206</v>
      </c>
      <c r="X103" t="s">
        <v>311</v>
      </c>
      <c r="Y103" t="str">
        <f>VLOOKUP(C103,'[1]DBS_KPY Sorumlular'!A:C,2,FALSE)</f>
        <v>Erkan AKDOĞAN</v>
      </c>
      <c r="Z103" t="str">
        <f>VLOOKUP(C103,'[1]DBS_KPY Sorumlular'!A:C,3,FALSE)</f>
        <v>Kadir TOPÇU</v>
      </c>
      <c r="AA103" t="str">
        <f>VLOOKUP(K103,[1]!Tablo3[#Data],2,FALSE)</f>
        <v>Erkan AKDOĞAN</v>
      </c>
    </row>
    <row r="104" spans="1:27" x14ac:dyDescent="0.25">
      <c r="A104">
        <v>1389</v>
      </c>
      <c r="B104" t="s">
        <v>27</v>
      </c>
      <c r="C104" t="s">
        <v>40</v>
      </c>
      <c r="D104" t="s">
        <v>41</v>
      </c>
      <c r="F104" t="s">
        <v>52</v>
      </c>
      <c r="G104" t="s">
        <v>43</v>
      </c>
      <c r="H104" t="s">
        <v>542</v>
      </c>
      <c r="I104" s="4">
        <v>46063.875</v>
      </c>
      <c r="K104" t="s">
        <v>534</v>
      </c>
      <c r="L104" s="5"/>
      <c r="M104" s="5"/>
      <c r="N104" t="s">
        <v>46</v>
      </c>
      <c r="O104" t="s">
        <v>543</v>
      </c>
      <c r="R104">
        <v>0.75</v>
      </c>
      <c r="S104" t="s">
        <v>57</v>
      </c>
      <c r="T104" s="5" t="s">
        <v>58</v>
      </c>
      <c r="U104" t="s">
        <v>59</v>
      </c>
      <c r="V104" t="s">
        <v>60</v>
      </c>
      <c r="W104">
        <v>131</v>
      </c>
      <c r="X104" t="s">
        <v>61</v>
      </c>
      <c r="Y104" t="str">
        <f>VLOOKUP(C104,'[1]DBS_KPY Sorumlular'!A:C,2,FALSE)</f>
        <v>Mustafa AYDIN</v>
      </c>
      <c r="Z104" t="str">
        <f>VLOOKUP(C104,'[1]DBS_KPY Sorumlular'!A:C,3,FALSE)</f>
        <v>Esra DOLAN</v>
      </c>
      <c r="AA104" t="str">
        <f>VLOOKUP(K104,[1]!Tablo3[#Data],2,FALSE)</f>
        <v>Erkan AKDOĞAN</v>
      </c>
    </row>
    <row r="105" spans="1:27" x14ac:dyDescent="0.25">
      <c r="A105">
        <v>1390</v>
      </c>
      <c r="B105" t="s">
        <v>27</v>
      </c>
      <c r="C105" t="s">
        <v>73</v>
      </c>
      <c r="D105" t="s">
        <v>73</v>
      </c>
      <c r="F105" t="s">
        <v>108</v>
      </c>
      <c r="G105" t="s">
        <v>30</v>
      </c>
      <c r="H105" t="s">
        <v>544</v>
      </c>
      <c r="I105" s="4">
        <v>45689.875</v>
      </c>
      <c r="J105" t="s">
        <v>545</v>
      </c>
      <c r="K105" t="s">
        <v>534</v>
      </c>
      <c r="L105" s="5"/>
      <c r="M105" s="5"/>
      <c r="N105" t="s">
        <v>82</v>
      </c>
      <c r="O105" t="s">
        <v>546</v>
      </c>
      <c r="R105">
        <v>1</v>
      </c>
      <c r="S105" t="s">
        <v>57</v>
      </c>
      <c r="T105" s="5" t="s">
        <v>38</v>
      </c>
      <c r="W105">
        <v>33</v>
      </c>
      <c r="X105" t="s">
        <v>276</v>
      </c>
      <c r="Y105" t="str">
        <f>VLOOKUP(C105,'[1]DBS_KPY Sorumlular'!A:C,2,FALSE)</f>
        <v>Ayşegül AKGÜL</v>
      </c>
      <c r="Z105" t="str">
        <f>VLOOKUP(C105,'[1]DBS_KPY Sorumlular'!A:C,3,FALSE)</f>
        <v>Sinan ERDAŞ</v>
      </c>
      <c r="AA105" t="str">
        <f>VLOOKUP(K105,[1]!Tablo3[#Data],2,FALSE)</f>
        <v>Erkan AKDOĞAN</v>
      </c>
    </row>
    <row r="106" spans="1:27" x14ac:dyDescent="0.25">
      <c r="A106">
        <v>1391</v>
      </c>
      <c r="B106" t="s">
        <v>27</v>
      </c>
      <c r="C106" t="s">
        <v>40</v>
      </c>
      <c r="D106" t="s">
        <v>41</v>
      </c>
      <c r="F106" t="s">
        <v>95</v>
      </c>
      <c r="G106" t="s">
        <v>96</v>
      </c>
      <c r="H106" t="s">
        <v>547</v>
      </c>
      <c r="I106" s="4">
        <v>45923.875</v>
      </c>
      <c r="J106" t="s">
        <v>548</v>
      </c>
      <c r="K106" t="s">
        <v>534</v>
      </c>
      <c r="L106" s="5"/>
      <c r="M106" s="5"/>
      <c r="N106" t="s">
        <v>46</v>
      </c>
      <c r="O106" t="s">
        <v>549</v>
      </c>
      <c r="R106">
        <v>0.35</v>
      </c>
      <c r="S106" t="s">
        <v>57</v>
      </c>
      <c r="T106" s="5" t="s">
        <v>48</v>
      </c>
      <c r="U106" t="s">
        <v>550</v>
      </c>
      <c r="V106" t="s">
        <v>551</v>
      </c>
      <c r="W106">
        <v>150</v>
      </c>
      <c r="X106" t="s">
        <v>485</v>
      </c>
      <c r="Y106" t="str">
        <f>VLOOKUP(C106,'[1]DBS_KPY Sorumlular'!A:C,2,FALSE)</f>
        <v>Mustafa AYDIN</v>
      </c>
      <c r="Z106" t="str">
        <f>VLOOKUP(C106,'[1]DBS_KPY Sorumlular'!A:C,3,FALSE)</f>
        <v>Esra DOLAN</v>
      </c>
      <c r="AA106" t="str">
        <f>VLOOKUP(K106,[1]!Tablo3[#Data],2,FALSE)</f>
        <v>Erkan AKDOĞAN</v>
      </c>
    </row>
    <row r="107" spans="1:27" x14ac:dyDescent="0.25">
      <c r="A107">
        <v>1392</v>
      </c>
      <c r="B107" t="s">
        <v>27</v>
      </c>
      <c r="C107" t="s">
        <v>73</v>
      </c>
      <c r="D107" t="s">
        <v>73</v>
      </c>
      <c r="F107" t="s">
        <v>74</v>
      </c>
      <c r="G107" t="s">
        <v>30</v>
      </c>
      <c r="H107" t="s">
        <v>552</v>
      </c>
      <c r="I107" s="4">
        <v>45960.875</v>
      </c>
      <c r="J107" t="s">
        <v>553</v>
      </c>
      <c r="K107" t="s">
        <v>534</v>
      </c>
      <c r="L107" s="5" t="s">
        <v>554</v>
      </c>
      <c r="M107" s="5"/>
      <c r="N107" t="s">
        <v>46</v>
      </c>
      <c r="O107" t="s">
        <v>555</v>
      </c>
      <c r="R107">
        <v>0.97</v>
      </c>
      <c r="S107" t="s">
        <v>57</v>
      </c>
      <c r="T107" s="5" t="s">
        <v>38</v>
      </c>
      <c r="Y107" t="str">
        <f>VLOOKUP(C107,'[1]DBS_KPY Sorumlular'!A:C,2,FALSE)</f>
        <v>Ayşegül AKGÜL</v>
      </c>
      <c r="Z107" t="str">
        <f>VLOOKUP(C107,'[1]DBS_KPY Sorumlular'!A:C,3,FALSE)</f>
        <v>Sinan ERDAŞ</v>
      </c>
      <c r="AA107" t="str">
        <f>VLOOKUP(K107,[1]!Tablo3[#Data],2,FALSE)</f>
        <v>Erkan AKDOĞAN</v>
      </c>
    </row>
    <row r="108" spans="1:27" x14ac:dyDescent="0.25">
      <c r="A108">
        <v>1393</v>
      </c>
      <c r="B108" t="s">
        <v>27</v>
      </c>
      <c r="C108" t="s">
        <v>73</v>
      </c>
      <c r="D108" t="s">
        <v>73</v>
      </c>
      <c r="F108" t="s">
        <v>74</v>
      </c>
      <c r="G108" t="s">
        <v>30</v>
      </c>
      <c r="H108" t="s">
        <v>556</v>
      </c>
      <c r="I108" s="4">
        <v>45960.875</v>
      </c>
      <c r="J108" t="s">
        <v>270</v>
      </c>
      <c r="K108" t="s">
        <v>534</v>
      </c>
      <c r="L108" s="5" t="s">
        <v>557</v>
      </c>
      <c r="M108" s="5"/>
      <c r="N108" t="s">
        <v>46</v>
      </c>
      <c r="O108" t="s">
        <v>558</v>
      </c>
      <c r="R108">
        <v>1</v>
      </c>
      <c r="S108" t="s">
        <v>57</v>
      </c>
      <c r="T108" s="5" t="s">
        <v>38</v>
      </c>
      <c r="Y108" t="str">
        <f>VLOOKUP(C108,'[1]DBS_KPY Sorumlular'!A:C,2,FALSE)</f>
        <v>Ayşegül AKGÜL</v>
      </c>
      <c r="Z108" t="str">
        <f>VLOOKUP(C108,'[1]DBS_KPY Sorumlular'!A:C,3,FALSE)</f>
        <v>Sinan ERDAŞ</v>
      </c>
      <c r="AA108" t="str">
        <f>VLOOKUP(K108,[1]!Tablo3[#Data],2,FALSE)</f>
        <v>Erkan AKDOĞAN</v>
      </c>
    </row>
    <row r="109" spans="1:27" x14ac:dyDescent="0.25">
      <c r="A109">
        <v>1394</v>
      </c>
      <c r="B109" t="s">
        <v>27</v>
      </c>
      <c r="C109" t="s">
        <v>73</v>
      </c>
      <c r="D109" t="s">
        <v>73</v>
      </c>
      <c r="F109" t="s">
        <v>108</v>
      </c>
      <c r="G109" t="s">
        <v>30</v>
      </c>
      <c r="H109" t="s">
        <v>559</v>
      </c>
      <c r="I109" s="4">
        <v>47055.875</v>
      </c>
      <c r="J109" t="s">
        <v>560</v>
      </c>
      <c r="K109" t="s">
        <v>534</v>
      </c>
      <c r="L109" s="5" t="s">
        <v>561</v>
      </c>
      <c r="M109" s="5"/>
      <c r="N109" t="s">
        <v>46</v>
      </c>
      <c r="O109" t="s">
        <v>562</v>
      </c>
      <c r="R109">
        <v>0.27</v>
      </c>
      <c r="S109" t="s">
        <v>57</v>
      </c>
      <c r="T109" s="5" t="s">
        <v>38</v>
      </c>
      <c r="Y109" t="str">
        <f>VLOOKUP(C109,'[1]DBS_KPY Sorumlular'!A:C,2,FALSE)</f>
        <v>Ayşegül AKGÜL</v>
      </c>
      <c r="Z109" t="str">
        <f>VLOOKUP(C109,'[1]DBS_KPY Sorumlular'!A:C,3,FALSE)</f>
        <v>Sinan ERDAŞ</v>
      </c>
      <c r="AA109" t="str">
        <f>VLOOKUP(K109,[1]!Tablo3[#Data],2,FALSE)</f>
        <v>Erkan AKDOĞAN</v>
      </c>
    </row>
    <row r="110" spans="1:27" x14ac:dyDescent="0.25">
      <c r="A110">
        <v>1395</v>
      </c>
      <c r="B110" t="s">
        <v>27</v>
      </c>
      <c r="C110" t="s">
        <v>73</v>
      </c>
      <c r="D110" t="s">
        <v>73</v>
      </c>
      <c r="F110" t="s">
        <v>74</v>
      </c>
      <c r="G110" t="s">
        <v>30</v>
      </c>
      <c r="H110" t="s">
        <v>563</v>
      </c>
      <c r="I110" s="4">
        <v>46356.875</v>
      </c>
      <c r="J110" t="s">
        <v>564</v>
      </c>
      <c r="K110" t="s">
        <v>534</v>
      </c>
      <c r="L110" s="5" t="s">
        <v>565</v>
      </c>
      <c r="M110" s="5"/>
      <c r="N110" t="s">
        <v>46</v>
      </c>
      <c r="O110" t="s">
        <v>566</v>
      </c>
      <c r="R110">
        <v>0.05</v>
      </c>
      <c r="S110" t="s">
        <v>57</v>
      </c>
      <c r="T110" s="5" t="s">
        <v>38</v>
      </c>
      <c r="Y110" t="str">
        <f>VLOOKUP(C110,'[1]DBS_KPY Sorumlular'!A:C,2,FALSE)</f>
        <v>Ayşegül AKGÜL</v>
      </c>
      <c r="Z110" t="str">
        <f>VLOOKUP(C110,'[1]DBS_KPY Sorumlular'!A:C,3,FALSE)</f>
        <v>Sinan ERDAŞ</v>
      </c>
      <c r="AA110" t="str">
        <f>VLOOKUP(K110,[1]!Tablo3[#Data],2,FALSE)</f>
        <v>Erkan AKDOĞAN</v>
      </c>
    </row>
    <row r="111" spans="1:27" x14ac:dyDescent="0.25">
      <c r="A111">
        <v>1396</v>
      </c>
      <c r="B111" t="s">
        <v>27</v>
      </c>
      <c r="C111" t="s">
        <v>40</v>
      </c>
      <c r="D111" t="s">
        <v>41</v>
      </c>
      <c r="F111" t="s">
        <v>66</v>
      </c>
      <c r="G111" t="s">
        <v>67</v>
      </c>
      <c r="H111" t="s">
        <v>567</v>
      </c>
      <c r="I111" s="4">
        <v>45548.875</v>
      </c>
      <c r="K111" t="s">
        <v>568</v>
      </c>
      <c r="L111" s="5"/>
      <c r="M111" s="5"/>
      <c r="N111" t="s">
        <v>82</v>
      </c>
      <c r="O111" t="s">
        <v>569</v>
      </c>
      <c r="R111">
        <v>0.85</v>
      </c>
      <c r="S111" t="s">
        <v>57</v>
      </c>
      <c r="T111" s="5" t="s">
        <v>58</v>
      </c>
      <c r="U111" t="s">
        <v>59</v>
      </c>
      <c r="V111" t="s">
        <v>60</v>
      </c>
      <c r="W111">
        <v>131</v>
      </c>
      <c r="X111" t="s">
        <v>61</v>
      </c>
      <c r="Y111" t="str">
        <f>VLOOKUP(C111,'[1]DBS_KPY Sorumlular'!A:C,2,FALSE)</f>
        <v>Mustafa AYDIN</v>
      </c>
      <c r="Z111" t="str">
        <f>VLOOKUP(C111,'[1]DBS_KPY Sorumlular'!A:C,3,FALSE)</f>
        <v>Esra DOLAN</v>
      </c>
      <c r="AA111" t="str">
        <f>VLOOKUP(K111,[1]!Tablo3[#Data],2,FALSE)</f>
        <v>Erkan AKDOĞAN</v>
      </c>
    </row>
    <row r="112" spans="1:27" x14ac:dyDescent="0.25">
      <c r="A112">
        <v>1397</v>
      </c>
      <c r="B112" t="s">
        <v>27</v>
      </c>
      <c r="C112" t="s">
        <v>40</v>
      </c>
      <c r="D112" t="s">
        <v>41</v>
      </c>
      <c r="F112" t="s">
        <v>52</v>
      </c>
      <c r="G112" t="s">
        <v>43</v>
      </c>
      <c r="H112" t="s">
        <v>570</v>
      </c>
      <c r="I112" s="4">
        <v>46063.875</v>
      </c>
      <c r="K112" t="s">
        <v>568</v>
      </c>
      <c r="L112" s="5"/>
      <c r="M112" s="5"/>
      <c r="N112" t="s">
        <v>46</v>
      </c>
      <c r="O112" t="s">
        <v>571</v>
      </c>
      <c r="R112">
        <v>0.9</v>
      </c>
      <c r="S112" t="s">
        <v>57</v>
      </c>
      <c r="T112" s="5" t="s">
        <v>58</v>
      </c>
      <c r="U112" t="s">
        <v>59</v>
      </c>
      <c r="V112" t="s">
        <v>60</v>
      </c>
      <c r="W112">
        <v>131</v>
      </c>
      <c r="X112" t="s">
        <v>61</v>
      </c>
      <c r="Y112" t="str">
        <f>VLOOKUP(C112,'[1]DBS_KPY Sorumlular'!A:C,2,FALSE)</f>
        <v>Mustafa AYDIN</v>
      </c>
      <c r="Z112" t="str">
        <f>VLOOKUP(C112,'[1]DBS_KPY Sorumlular'!A:C,3,FALSE)</f>
        <v>Esra DOLAN</v>
      </c>
      <c r="AA112" t="str">
        <f>VLOOKUP(K112,[1]!Tablo3[#Data],2,FALSE)</f>
        <v>Erkan AKDOĞAN</v>
      </c>
    </row>
    <row r="113" spans="1:27" x14ac:dyDescent="0.25">
      <c r="A113">
        <v>1398</v>
      </c>
      <c r="B113" t="s">
        <v>27</v>
      </c>
      <c r="C113" t="s">
        <v>40</v>
      </c>
      <c r="D113" t="s">
        <v>41</v>
      </c>
      <c r="F113" t="s">
        <v>52</v>
      </c>
      <c r="G113" t="s">
        <v>43</v>
      </c>
      <c r="H113" t="s">
        <v>572</v>
      </c>
      <c r="I113" s="4">
        <v>46063.875</v>
      </c>
      <c r="K113" t="s">
        <v>568</v>
      </c>
      <c r="L113" s="5"/>
      <c r="M113" s="5"/>
      <c r="N113" t="s">
        <v>46</v>
      </c>
      <c r="O113" t="s">
        <v>573</v>
      </c>
      <c r="R113">
        <v>0.8</v>
      </c>
      <c r="S113" t="s">
        <v>57</v>
      </c>
      <c r="T113" s="5" t="s">
        <v>58</v>
      </c>
      <c r="U113" t="s">
        <v>59</v>
      </c>
      <c r="V113" t="s">
        <v>60</v>
      </c>
      <c r="W113">
        <v>131</v>
      </c>
      <c r="X113" t="s">
        <v>61</v>
      </c>
      <c r="Y113" t="str">
        <f>VLOOKUP(C113,'[1]DBS_KPY Sorumlular'!A:C,2,FALSE)</f>
        <v>Mustafa AYDIN</v>
      </c>
      <c r="Z113" t="str">
        <f>VLOOKUP(C113,'[1]DBS_KPY Sorumlular'!A:C,3,FALSE)</f>
        <v>Esra DOLAN</v>
      </c>
      <c r="AA113" t="str">
        <f>VLOOKUP(K113,[1]!Tablo3[#Data],2,FALSE)</f>
        <v>Erkan AKDOĞAN</v>
      </c>
    </row>
    <row r="114" spans="1:27" x14ac:dyDescent="0.25">
      <c r="A114">
        <v>1400</v>
      </c>
      <c r="B114" t="s">
        <v>27</v>
      </c>
      <c r="C114" t="s">
        <v>73</v>
      </c>
      <c r="D114" t="s">
        <v>73</v>
      </c>
      <c r="F114" t="s">
        <v>74</v>
      </c>
      <c r="G114" t="s">
        <v>30</v>
      </c>
      <c r="H114" t="s">
        <v>574</v>
      </c>
      <c r="I114" s="4">
        <v>46477.875</v>
      </c>
      <c r="J114" t="s">
        <v>575</v>
      </c>
      <c r="K114" t="s">
        <v>568</v>
      </c>
      <c r="L114" s="5" t="s">
        <v>576</v>
      </c>
      <c r="M114" s="5"/>
      <c r="N114" t="s">
        <v>46</v>
      </c>
      <c r="O114" t="s">
        <v>577</v>
      </c>
      <c r="R114">
        <v>0.49780000000000002</v>
      </c>
      <c r="S114" t="s">
        <v>57</v>
      </c>
      <c r="T114" s="5" t="s">
        <v>38</v>
      </c>
      <c r="Y114" t="str">
        <f>VLOOKUP(C114,'[1]DBS_KPY Sorumlular'!A:C,2,FALSE)</f>
        <v>Ayşegül AKGÜL</v>
      </c>
      <c r="Z114" t="str">
        <f>VLOOKUP(C114,'[1]DBS_KPY Sorumlular'!A:C,3,FALSE)</f>
        <v>Sinan ERDAŞ</v>
      </c>
      <c r="AA114" t="str">
        <f>VLOOKUP(K114,[1]!Tablo3[#Data],2,FALSE)</f>
        <v>Erkan AKDOĞAN</v>
      </c>
    </row>
    <row r="115" spans="1:27" x14ac:dyDescent="0.25">
      <c r="A115">
        <v>1401</v>
      </c>
      <c r="B115" t="s">
        <v>27</v>
      </c>
      <c r="C115" t="s">
        <v>73</v>
      </c>
      <c r="D115" t="s">
        <v>73</v>
      </c>
      <c r="F115" t="s">
        <v>74</v>
      </c>
      <c r="G115" t="s">
        <v>30</v>
      </c>
      <c r="H115" t="s">
        <v>578</v>
      </c>
      <c r="I115" s="4">
        <v>46415.875</v>
      </c>
      <c r="J115" t="s">
        <v>575</v>
      </c>
      <c r="K115" t="s">
        <v>568</v>
      </c>
      <c r="L115" s="5" t="s">
        <v>579</v>
      </c>
      <c r="M115" s="5"/>
      <c r="N115" t="s">
        <v>46</v>
      </c>
      <c r="O115" t="s">
        <v>580</v>
      </c>
      <c r="R115">
        <v>0.49780000000000002</v>
      </c>
      <c r="S115" t="s">
        <v>57</v>
      </c>
      <c r="T115" s="5" t="s">
        <v>38</v>
      </c>
      <c r="Y115" t="str">
        <f>VLOOKUP(C115,'[1]DBS_KPY Sorumlular'!A:C,2,FALSE)</f>
        <v>Ayşegül AKGÜL</v>
      </c>
      <c r="Z115" t="str">
        <f>VLOOKUP(C115,'[1]DBS_KPY Sorumlular'!A:C,3,FALSE)</f>
        <v>Sinan ERDAŞ</v>
      </c>
      <c r="AA115" t="str">
        <f>VLOOKUP(K115,[1]!Tablo3[#Data],2,FALSE)</f>
        <v>Erkan AKDOĞAN</v>
      </c>
    </row>
    <row r="116" spans="1:27" x14ac:dyDescent="0.25">
      <c r="A116">
        <v>1402</v>
      </c>
      <c r="B116" t="s">
        <v>27</v>
      </c>
      <c r="C116" t="s">
        <v>73</v>
      </c>
      <c r="D116" t="s">
        <v>73</v>
      </c>
      <c r="F116" t="s">
        <v>74</v>
      </c>
      <c r="G116" t="s">
        <v>30</v>
      </c>
      <c r="H116" t="s">
        <v>581</v>
      </c>
      <c r="I116" s="4">
        <v>46477.875</v>
      </c>
      <c r="J116" t="s">
        <v>582</v>
      </c>
      <c r="K116" t="s">
        <v>568</v>
      </c>
      <c r="L116" s="5" t="s">
        <v>583</v>
      </c>
      <c r="M116" s="5"/>
      <c r="N116" t="s">
        <v>46</v>
      </c>
      <c r="O116" t="s">
        <v>584</v>
      </c>
      <c r="R116">
        <v>0</v>
      </c>
      <c r="S116" t="s">
        <v>57</v>
      </c>
      <c r="T116" s="5" t="s">
        <v>38</v>
      </c>
      <c r="Y116" t="str">
        <f>VLOOKUP(C116,'[1]DBS_KPY Sorumlular'!A:C,2,FALSE)</f>
        <v>Ayşegül AKGÜL</v>
      </c>
      <c r="Z116" t="str">
        <f>VLOOKUP(C116,'[1]DBS_KPY Sorumlular'!A:C,3,FALSE)</f>
        <v>Sinan ERDAŞ</v>
      </c>
      <c r="AA116" t="str">
        <f>VLOOKUP(K116,[1]!Tablo3[#Data],2,FALSE)</f>
        <v>Erkan AKDOĞAN</v>
      </c>
    </row>
    <row r="117" spans="1:27" x14ac:dyDescent="0.25">
      <c r="A117">
        <v>1404</v>
      </c>
      <c r="B117" t="s">
        <v>27</v>
      </c>
      <c r="C117" t="s">
        <v>40</v>
      </c>
      <c r="D117" t="s">
        <v>41</v>
      </c>
      <c r="F117" t="s">
        <v>102</v>
      </c>
      <c r="G117" t="s">
        <v>43</v>
      </c>
      <c r="H117" t="s">
        <v>585</v>
      </c>
      <c r="I117" s="4">
        <v>45837.875</v>
      </c>
      <c r="K117" t="s">
        <v>586</v>
      </c>
      <c r="L117" s="5"/>
      <c r="M117" s="5"/>
      <c r="N117" t="s">
        <v>46</v>
      </c>
      <c r="O117" t="s">
        <v>587</v>
      </c>
      <c r="R117">
        <v>0.85</v>
      </c>
      <c r="S117" t="s">
        <v>37</v>
      </c>
      <c r="T117" s="5" t="s">
        <v>58</v>
      </c>
      <c r="U117" t="s">
        <v>588</v>
      </c>
      <c r="V117" t="s">
        <v>589</v>
      </c>
      <c r="W117">
        <v>108</v>
      </c>
      <c r="X117" t="s">
        <v>107</v>
      </c>
      <c r="Y117" t="str">
        <f>VLOOKUP(C117,'[1]DBS_KPY Sorumlular'!A:C,2,FALSE)</f>
        <v>Mustafa AYDIN</v>
      </c>
      <c r="Z117" t="str">
        <f>VLOOKUP(C117,'[1]DBS_KPY Sorumlular'!A:C,3,FALSE)</f>
        <v>Esra DOLAN</v>
      </c>
      <c r="AA117" t="str">
        <f>VLOOKUP(K117,[1]!Tablo3[#Data],2,FALSE)</f>
        <v>Tayfun VİÇE</v>
      </c>
    </row>
    <row r="118" spans="1:27" x14ac:dyDescent="0.25">
      <c r="A118">
        <v>1405</v>
      </c>
      <c r="B118" t="s">
        <v>27</v>
      </c>
      <c r="C118" t="s">
        <v>40</v>
      </c>
      <c r="D118" t="s">
        <v>65</v>
      </c>
      <c r="F118" t="s">
        <v>66</v>
      </c>
      <c r="G118" t="s">
        <v>67</v>
      </c>
      <c r="H118" t="s">
        <v>590</v>
      </c>
      <c r="I118" s="4">
        <v>45899.875</v>
      </c>
      <c r="K118" t="s">
        <v>586</v>
      </c>
      <c r="L118" s="5"/>
      <c r="M118" s="5"/>
      <c r="N118" t="s">
        <v>46</v>
      </c>
      <c r="O118" t="s">
        <v>591</v>
      </c>
      <c r="R118">
        <v>0.9</v>
      </c>
      <c r="S118" t="s">
        <v>37</v>
      </c>
      <c r="T118" s="5" t="s">
        <v>48</v>
      </c>
      <c r="U118" t="s">
        <v>592</v>
      </c>
      <c r="V118" t="s">
        <v>593</v>
      </c>
      <c r="W118">
        <v>208</v>
      </c>
      <c r="X118" t="s">
        <v>594</v>
      </c>
      <c r="Y118" t="str">
        <f>VLOOKUP(C118,'[1]DBS_KPY Sorumlular'!A:C,2,FALSE)</f>
        <v>Mustafa AYDIN</v>
      </c>
      <c r="Z118" t="str">
        <f>VLOOKUP(C118,'[1]DBS_KPY Sorumlular'!A:C,3,FALSE)</f>
        <v>Esra DOLAN</v>
      </c>
      <c r="AA118" t="str">
        <f>VLOOKUP(K118,[1]!Tablo3[#Data],2,FALSE)</f>
        <v>Tayfun VİÇE</v>
      </c>
    </row>
    <row r="119" spans="1:27" x14ac:dyDescent="0.25">
      <c r="A119">
        <v>1406</v>
      </c>
      <c r="B119" t="s">
        <v>27</v>
      </c>
      <c r="C119" t="s">
        <v>73</v>
      </c>
      <c r="D119" t="s">
        <v>73</v>
      </c>
      <c r="F119" t="s">
        <v>74</v>
      </c>
      <c r="G119" t="s">
        <v>30</v>
      </c>
      <c r="H119" t="s">
        <v>595</v>
      </c>
      <c r="I119" s="4">
        <v>46202.875</v>
      </c>
      <c r="J119" t="s">
        <v>596</v>
      </c>
      <c r="K119" t="s">
        <v>586</v>
      </c>
      <c r="L119" s="5" t="s">
        <v>446</v>
      </c>
      <c r="M119" s="5"/>
      <c r="N119" t="s">
        <v>46</v>
      </c>
      <c r="O119" t="s">
        <v>597</v>
      </c>
      <c r="R119">
        <v>0</v>
      </c>
      <c r="S119" t="s">
        <v>37</v>
      </c>
      <c r="T119" s="5" t="s">
        <v>38</v>
      </c>
      <c r="Y119" t="str">
        <f>VLOOKUP(C119,'[1]DBS_KPY Sorumlular'!A:C,2,FALSE)</f>
        <v>Ayşegül AKGÜL</v>
      </c>
      <c r="Z119" t="str">
        <f>VLOOKUP(C119,'[1]DBS_KPY Sorumlular'!A:C,3,FALSE)</f>
        <v>Sinan ERDAŞ</v>
      </c>
      <c r="AA119" t="str">
        <f>VLOOKUP(K119,[1]!Tablo3[#Data],2,FALSE)</f>
        <v>Tayfun VİÇE</v>
      </c>
    </row>
    <row r="120" spans="1:27" x14ac:dyDescent="0.25">
      <c r="A120">
        <v>1407</v>
      </c>
      <c r="B120" t="s">
        <v>27</v>
      </c>
      <c r="C120" t="s">
        <v>73</v>
      </c>
      <c r="D120" t="s">
        <v>73</v>
      </c>
      <c r="F120" t="s">
        <v>74</v>
      </c>
      <c r="G120" t="s">
        <v>30</v>
      </c>
      <c r="H120" t="s">
        <v>598</v>
      </c>
      <c r="I120" s="4">
        <v>46037.875</v>
      </c>
      <c r="J120" t="s">
        <v>599</v>
      </c>
      <c r="K120" t="s">
        <v>586</v>
      </c>
      <c r="L120" s="5" t="s">
        <v>128</v>
      </c>
      <c r="M120" s="5"/>
      <c r="N120" t="s">
        <v>46</v>
      </c>
      <c r="O120" t="s">
        <v>600</v>
      </c>
      <c r="R120">
        <v>0.37</v>
      </c>
      <c r="S120" t="s">
        <v>37</v>
      </c>
      <c r="T120" s="5" t="s">
        <v>38</v>
      </c>
      <c r="Y120" t="str">
        <f>VLOOKUP(C120,'[1]DBS_KPY Sorumlular'!A:C,2,FALSE)</f>
        <v>Ayşegül AKGÜL</v>
      </c>
      <c r="Z120" t="str">
        <f>VLOOKUP(C120,'[1]DBS_KPY Sorumlular'!A:C,3,FALSE)</f>
        <v>Sinan ERDAŞ</v>
      </c>
      <c r="AA120" t="str">
        <f>VLOOKUP(K120,[1]!Tablo3[#Data],2,FALSE)</f>
        <v>Tayfun VİÇE</v>
      </c>
    </row>
    <row r="121" spans="1:27" x14ac:dyDescent="0.25">
      <c r="A121">
        <v>1408</v>
      </c>
      <c r="B121" t="s">
        <v>27</v>
      </c>
      <c r="C121" t="s">
        <v>73</v>
      </c>
      <c r="D121" t="s">
        <v>73</v>
      </c>
      <c r="F121" t="s">
        <v>74</v>
      </c>
      <c r="G121" t="s">
        <v>30</v>
      </c>
      <c r="H121" t="s">
        <v>601</v>
      </c>
      <c r="I121" s="4">
        <v>46441.875</v>
      </c>
      <c r="J121" t="s">
        <v>602</v>
      </c>
      <c r="K121" t="s">
        <v>435</v>
      </c>
      <c r="L121" s="5" t="s">
        <v>603</v>
      </c>
      <c r="M121" s="5"/>
      <c r="N121" t="s">
        <v>46</v>
      </c>
      <c r="O121" t="s">
        <v>604</v>
      </c>
      <c r="R121">
        <v>0.14000000000000001</v>
      </c>
      <c r="S121" t="s">
        <v>37</v>
      </c>
      <c r="T121" s="5" t="s">
        <v>38</v>
      </c>
      <c r="Y121" t="str">
        <f>VLOOKUP(C121,'[1]DBS_KPY Sorumlular'!A:C,2,FALSE)</f>
        <v>Ayşegül AKGÜL</v>
      </c>
      <c r="Z121" t="str">
        <f>VLOOKUP(C121,'[1]DBS_KPY Sorumlular'!A:C,3,FALSE)</f>
        <v>Sinan ERDAŞ</v>
      </c>
      <c r="AA121" t="str">
        <f>VLOOKUP(K121,[1]!Tablo3[#Data],2,FALSE)</f>
        <v>Tayfun VİÇE</v>
      </c>
    </row>
    <row r="122" spans="1:27" x14ac:dyDescent="0.25">
      <c r="A122">
        <v>1409</v>
      </c>
      <c r="B122" t="s">
        <v>27</v>
      </c>
      <c r="C122" t="s">
        <v>137</v>
      </c>
      <c r="D122" t="s">
        <v>138</v>
      </c>
      <c r="E122" t="s">
        <v>138</v>
      </c>
      <c r="F122" t="s">
        <v>139</v>
      </c>
      <c r="G122" t="s">
        <v>140</v>
      </c>
      <c r="H122" t="s">
        <v>605</v>
      </c>
      <c r="I122" s="4">
        <v>46020.875</v>
      </c>
      <c r="J122" t="s">
        <v>606</v>
      </c>
      <c r="K122" t="s">
        <v>586</v>
      </c>
      <c r="L122" s="5" t="s">
        <v>607</v>
      </c>
      <c r="M122" s="5" t="s">
        <v>608</v>
      </c>
      <c r="N122" t="s">
        <v>46</v>
      </c>
      <c r="O122" t="s">
        <v>609</v>
      </c>
      <c r="R122">
        <v>0.71</v>
      </c>
      <c r="S122" t="s">
        <v>37</v>
      </c>
      <c r="T122" s="5" t="s">
        <v>38</v>
      </c>
      <c r="W122">
        <v>126</v>
      </c>
      <c r="X122" t="s">
        <v>147</v>
      </c>
      <c r="Y122" t="str">
        <f>VLOOKUP(C122,'[1]DBS_KPY Sorumlular'!A:C,2,FALSE)</f>
        <v>Erkan AKDOĞAN</v>
      </c>
      <c r="Z122" t="str">
        <f>VLOOKUP(C122,'[1]DBS_KPY Sorumlular'!A:C,3,FALSE)</f>
        <v>Kadir TOPÇU</v>
      </c>
      <c r="AA122" t="str">
        <f>VLOOKUP(K122,[1]!Tablo3[#Data],2,FALSE)</f>
        <v>Tayfun VİÇE</v>
      </c>
    </row>
    <row r="123" spans="1:27" x14ac:dyDescent="0.25">
      <c r="A123">
        <v>1410</v>
      </c>
      <c r="B123" t="s">
        <v>27</v>
      </c>
      <c r="C123" t="s">
        <v>40</v>
      </c>
      <c r="D123" t="s">
        <v>41</v>
      </c>
      <c r="F123" t="s">
        <v>184</v>
      </c>
      <c r="G123" t="s">
        <v>43</v>
      </c>
      <c r="H123" t="s">
        <v>610</v>
      </c>
      <c r="I123" s="4">
        <v>45645.875</v>
      </c>
      <c r="K123" t="s">
        <v>611</v>
      </c>
      <c r="L123" s="5"/>
      <c r="M123" s="5"/>
      <c r="N123" t="s">
        <v>82</v>
      </c>
      <c r="O123" t="s">
        <v>612</v>
      </c>
      <c r="R123">
        <v>1</v>
      </c>
      <c r="S123" t="s">
        <v>230</v>
      </c>
      <c r="T123" s="5" t="s">
        <v>58</v>
      </c>
      <c r="U123" t="s">
        <v>187</v>
      </c>
      <c r="V123" t="s">
        <v>188</v>
      </c>
      <c r="W123">
        <v>86</v>
      </c>
      <c r="X123" t="s">
        <v>189</v>
      </c>
      <c r="Y123" t="str">
        <f>VLOOKUP(C123,'[1]DBS_KPY Sorumlular'!A:C,2,FALSE)</f>
        <v>Mustafa AYDIN</v>
      </c>
      <c r="Z123" t="str">
        <f>VLOOKUP(C123,'[1]DBS_KPY Sorumlular'!A:C,3,FALSE)</f>
        <v>Esra DOLAN</v>
      </c>
      <c r="AA123" t="str">
        <f>VLOOKUP(K123,[1]!Tablo3[#Data],2,FALSE)</f>
        <v>Kadir TOPÇU</v>
      </c>
    </row>
    <row r="124" spans="1:27" x14ac:dyDescent="0.25">
      <c r="A124">
        <v>1411</v>
      </c>
      <c r="B124" t="s">
        <v>27</v>
      </c>
      <c r="C124" t="s">
        <v>40</v>
      </c>
      <c r="D124" t="s">
        <v>65</v>
      </c>
      <c r="F124" t="s">
        <v>66</v>
      </c>
      <c r="G124" t="s">
        <v>67</v>
      </c>
      <c r="H124" t="s">
        <v>613</v>
      </c>
      <c r="I124" s="4">
        <v>45791.875</v>
      </c>
      <c r="J124" t="s">
        <v>614</v>
      </c>
      <c r="K124" t="s">
        <v>611</v>
      </c>
      <c r="L124" s="5"/>
      <c r="M124" s="5"/>
      <c r="N124" t="s">
        <v>82</v>
      </c>
      <c r="O124" t="s">
        <v>615</v>
      </c>
      <c r="R124">
        <v>1</v>
      </c>
      <c r="S124" t="s">
        <v>230</v>
      </c>
      <c r="T124" s="5" t="s">
        <v>48</v>
      </c>
      <c r="U124" t="s">
        <v>616</v>
      </c>
      <c r="V124" t="s">
        <v>617</v>
      </c>
      <c r="W124">
        <v>203</v>
      </c>
      <c r="X124" t="s">
        <v>72</v>
      </c>
      <c r="Y124" t="str">
        <f>VLOOKUP(C124,'[1]DBS_KPY Sorumlular'!A:C,2,FALSE)</f>
        <v>Mustafa AYDIN</v>
      </c>
      <c r="Z124" t="str">
        <f>VLOOKUP(C124,'[1]DBS_KPY Sorumlular'!A:C,3,FALSE)</f>
        <v>Esra DOLAN</v>
      </c>
      <c r="AA124" t="str">
        <f>VLOOKUP(K124,[1]!Tablo3[#Data],2,FALSE)</f>
        <v>Kadir TOPÇU</v>
      </c>
    </row>
    <row r="125" spans="1:27" x14ac:dyDescent="0.25">
      <c r="A125">
        <v>1412</v>
      </c>
      <c r="B125" t="s">
        <v>27</v>
      </c>
      <c r="C125" t="s">
        <v>40</v>
      </c>
      <c r="D125" t="s">
        <v>41</v>
      </c>
      <c r="F125" t="s">
        <v>102</v>
      </c>
      <c r="G125" t="s">
        <v>43</v>
      </c>
      <c r="H125" t="s">
        <v>618</v>
      </c>
      <c r="I125" s="4">
        <v>45642.875</v>
      </c>
      <c r="J125" t="s">
        <v>619</v>
      </c>
      <c r="K125" t="s">
        <v>611</v>
      </c>
      <c r="L125" s="5"/>
      <c r="M125" s="5"/>
      <c r="N125" t="s">
        <v>82</v>
      </c>
      <c r="O125" t="s">
        <v>620</v>
      </c>
      <c r="R125">
        <v>1</v>
      </c>
      <c r="S125" t="s">
        <v>230</v>
      </c>
      <c r="T125" s="5" t="s">
        <v>58</v>
      </c>
      <c r="U125" t="s">
        <v>621</v>
      </c>
      <c r="V125" t="s">
        <v>622</v>
      </c>
      <c r="W125">
        <v>108</v>
      </c>
      <c r="X125" t="s">
        <v>107</v>
      </c>
      <c r="Y125" t="str">
        <f>VLOOKUP(C125,'[1]DBS_KPY Sorumlular'!A:C,2,FALSE)</f>
        <v>Mustafa AYDIN</v>
      </c>
      <c r="Z125" t="str">
        <f>VLOOKUP(C125,'[1]DBS_KPY Sorumlular'!A:C,3,FALSE)</f>
        <v>Esra DOLAN</v>
      </c>
      <c r="AA125" t="str">
        <f>VLOOKUP(K125,[1]!Tablo3[#Data],2,FALSE)</f>
        <v>Kadir TOPÇU</v>
      </c>
    </row>
    <row r="126" spans="1:27" x14ac:dyDescent="0.25">
      <c r="A126">
        <v>1413</v>
      </c>
      <c r="B126" t="s">
        <v>27</v>
      </c>
      <c r="C126" t="s">
        <v>40</v>
      </c>
      <c r="D126" t="s">
        <v>41</v>
      </c>
      <c r="F126" t="s">
        <v>102</v>
      </c>
      <c r="G126" t="s">
        <v>43</v>
      </c>
      <c r="H126" t="s">
        <v>623</v>
      </c>
      <c r="I126" s="4">
        <v>45967.875</v>
      </c>
      <c r="J126" t="s">
        <v>624</v>
      </c>
      <c r="K126" t="s">
        <v>611</v>
      </c>
      <c r="L126" s="5"/>
      <c r="M126" s="5"/>
      <c r="N126" t="s">
        <v>46</v>
      </c>
      <c r="O126" t="s">
        <v>625</v>
      </c>
      <c r="R126">
        <v>0.67</v>
      </c>
      <c r="S126" t="s">
        <v>230</v>
      </c>
      <c r="T126" s="5" t="s">
        <v>48</v>
      </c>
      <c r="U126" t="s">
        <v>626</v>
      </c>
      <c r="V126" t="s">
        <v>627</v>
      </c>
      <c r="W126">
        <v>263</v>
      </c>
      <c r="X126" t="s">
        <v>628</v>
      </c>
      <c r="Y126" t="str">
        <f>VLOOKUP(C126,'[1]DBS_KPY Sorumlular'!A:C,2,FALSE)</f>
        <v>Mustafa AYDIN</v>
      </c>
      <c r="Z126" t="str">
        <f>VLOOKUP(C126,'[1]DBS_KPY Sorumlular'!A:C,3,FALSE)</f>
        <v>Esra DOLAN</v>
      </c>
      <c r="AA126" t="str">
        <f>VLOOKUP(K126,[1]!Tablo3[#Data],2,FALSE)</f>
        <v>Kadir TOPÇU</v>
      </c>
    </row>
    <row r="127" spans="1:27" x14ac:dyDescent="0.25">
      <c r="A127">
        <v>1414</v>
      </c>
      <c r="B127" t="s">
        <v>27</v>
      </c>
      <c r="C127" t="s">
        <v>73</v>
      </c>
      <c r="D127" t="s">
        <v>73</v>
      </c>
      <c r="F127" t="s">
        <v>74</v>
      </c>
      <c r="G127" t="s">
        <v>30</v>
      </c>
      <c r="H127" t="s">
        <v>629</v>
      </c>
      <c r="I127" s="4">
        <v>46022.875</v>
      </c>
      <c r="J127" t="s">
        <v>630</v>
      </c>
      <c r="K127" t="s">
        <v>611</v>
      </c>
      <c r="L127" s="5" t="s">
        <v>213</v>
      </c>
      <c r="M127" s="5"/>
      <c r="N127" t="s">
        <v>46</v>
      </c>
      <c r="O127" t="s">
        <v>631</v>
      </c>
      <c r="R127">
        <v>0.01</v>
      </c>
      <c r="S127" t="s">
        <v>230</v>
      </c>
      <c r="T127" s="5" t="s">
        <v>38</v>
      </c>
      <c r="Y127" t="str">
        <f>VLOOKUP(C127,'[1]DBS_KPY Sorumlular'!A:C,2,FALSE)</f>
        <v>Ayşegül AKGÜL</v>
      </c>
      <c r="Z127" t="str">
        <f>VLOOKUP(C127,'[1]DBS_KPY Sorumlular'!A:C,3,FALSE)</f>
        <v>Sinan ERDAŞ</v>
      </c>
      <c r="AA127" t="str">
        <f>VLOOKUP(K127,[1]!Tablo3[#Data],2,FALSE)</f>
        <v>Kadir TOPÇU</v>
      </c>
    </row>
    <row r="128" spans="1:27" x14ac:dyDescent="0.25">
      <c r="A128">
        <v>1415</v>
      </c>
      <c r="B128" t="s">
        <v>27</v>
      </c>
      <c r="C128" t="s">
        <v>73</v>
      </c>
      <c r="D128" t="s">
        <v>73</v>
      </c>
      <c r="F128" t="s">
        <v>74</v>
      </c>
      <c r="G128" t="s">
        <v>30</v>
      </c>
      <c r="H128" t="s">
        <v>632</v>
      </c>
      <c r="I128" s="4">
        <v>46022.875</v>
      </c>
      <c r="J128" t="s">
        <v>400</v>
      </c>
      <c r="K128" t="s">
        <v>611</v>
      </c>
      <c r="L128" s="5" t="s">
        <v>213</v>
      </c>
      <c r="M128" s="5"/>
      <c r="N128" t="s">
        <v>46</v>
      </c>
      <c r="O128" t="s">
        <v>633</v>
      </c>
      <c r="R128">
        <v>0.2</v>
      </c>
      <c r="S128" t="s">
        <v>230</v>
      </c>
      <c r="T128" s="5" t="s">
        <v>58</v>
      </c>
      <c r="Y128" t="str">
        <f>VLOOKUP(C128,'[1]DBS_KPY Sorumlular'!A:C,2,FALSE)</f>
        <v>Ayşegül AKGÜL</v>
      </c>
      <c r="Z128" t="str">
        <f>VLOOKUP(C128,'[1]DBS_KPY Sorumlular'!A:C,3,FALSE)</f>
        <v>Sinan ERDAŞ</v>
      </c>
      <c r="AA128" t="str">
        <f>VLOOKUP(K128,[1]!Tablo3[#Data],2,FALSE)</f>
        <v>Kadir TOPÇU</v>
      </c>
    </row>
    <row r="129" spans="1:27" x14ac:dyDescent="0.25">
      <c r="A129">
        <v>1416</v>
      </c>
      <c r="B129" t="s">
        <v>27</v>
      </c>
      <c r="C129" t="s">
        <v>40</v>
      </c>
      <c r="D129" t="s">
        <v>65</v>
      </c>
      <c r="F129" t="s">
        <v>108</v>
      </c>
      <c r="G129" t="s">
        <v>30</v>
      </c>
      <c r="H129" t="s">
        <v>634</v>
      </c>
      <c r="I129" s="4">
        <v>45625.875</v>
      </c>
      <c r="J129" t="s">
        <v>635</v>
      </c>
      <c r="K129" t="s">
        <v>636</v>
      </c>
      <c r="L129" s="5"/>
      <c r="M129" s="5"/>
      <c r="N129" t="s">
        <v>82</v>
      </c>
      <c r="O129" t="s">
        <v>637</v>
      </c>
      <c r="R129">
        <v>1</v>
      </c>
      <c r="S129" t="s">
        <v>57</v>
      </c>
      <c r="T129" s="5" t="s">
        <v>48</v>
      </c>
      <c r="U129" t="s">
        <v>638</v>
      </c>
      <c r="V129" t="s">
        <v>639</v>
      </c>
      <c r="W129">
        <v>65</v>
      </c>
      <c r="X129" t="s">
        <v>374</v>
      </c>
      <c r="Y129" t="str">
        <f>VLOOKUP(C129,'[1]DBS_KPY Sorumlular'!A:C,2,FALSE)</f>
        <v>Mustafa AYDIN</v>
      </c>
      <c r="Z129" t="str">
        <f>VLOOKUP(C129,'[1]DBS_KPY Sorumlular'!A:C,3,FALSE)</f>
        <v>Esra DOLAN</v>
      </c>
      <c r="AA129" t="str">
        <f>VLOOKUP(K129,[1]!Tablo3[#Data],2,FALSE)</f>
        <v>Erkan AKDOĞAN</v>
      </c>
    </row>
    <row r="130" spans="1:27" x14ac:dyDescent="0.25">
      <c r="A130">
        <v>1417</v>
      </c>
      <c r="B130" t="s">
        <v>27</v>
      </c>
      <c r="C130" t="s">
        <v>640</v>
      </c>
      <c r="D130" t="s">
        <v>641</v>
      </c>
      <c r="F130" t="s">
        <v>642</v>
      </c>
      <c r="G130" t="s">
        <v>43</v>
      </c>
      <c r="H130" t="s">
        <v>643</v>
      </c>
      <c r="I130" s="4">
        <v>45714.875</v>
      </c>
      <c r="J130" t="s">
        <v>644</v>
      </c>
      <c r="K130" t="s">
        <v>636</v>
      </c>
      <c r="L130" s="5" t="s">
        <v>645</v>
      </c>
      <c r="M130" s="5"/>
      <c r="N130" t="s">
        <v>82</v>
      </c>
      <c r="O130" t="s">
        <v>646</v>
      </c>
      <c r="R130">
        <v>1</v>
      </c>
      <c r="S130" t="s">
        <v>57</v>
      </c>
      <c r="T130" s="5" t="s">
        <v>38</v>
      </c>
      <c r="W130">
        <v>80</v>
      </c>
      <c r="X130" t="s">
        <v>647</v>
      </c>
      <c r="Y130" t="str">
        <f>VLOOKUP(C130,'[1]DBS_KPY Sorumlular'!A:C,2,FALSE)</f>
        <v>Sinan ERDAŞ</v>
      </c>
      <c r="Z130" t="str">
        <f>VLOOKUP(C130,'[1]DBS_KPY Sorumlular'!A:C,3,FALSE)</f>
        <v>Ayşegül AKGÜL</v>
      </c>
      <c r="AA130" t="str">
        <f>VLOOKUP(K130,[1]!Tablo3[#Data],2,FALSE)</f>
        <v>Erkan AKDOĞAN</v>
      </c>
    </row>
    <row r="131" spans="1:27" x14ac:dyDescent="0.25">
      <c r="A131">
        <v>1418</v>
      </c>
      <c r="B131" t="s">
        <v>27</v>
      </c>
      <c r="C131" t="s">
        <v>40</v>
      </c>
      <c r="D131" t="s">
        <v>41</v>
      </c>
      <c r="F131" t="s">
        <v>95</v>
      </c>
      <c r="G131" t="s">
        <v>96</v>
      </c>
      <c r="H131" t="s">
        <v>648</v>
      </c>
      <c r="I131" s="4">
        <v>45638.875</v>
      </c>
      <c r="K131" t="s">
        <v>636</v>
      </c>
      <c r="L131" s="5"/>
      <c r="M131" s="5"/>
      <c r="N131" t="s">
        <v>82</v>
      </c>
      <c r="O131" t="s">
        <v>649</v>
      </c>
      <c r="R131">
        <v>1</v>
      </c>
      <c r="S131" t="s">
        <v>57</v>
      </c>
      <c r="T131" s="5" t="s">
        <v>58</v>
      </c>
      <c r="U131" t="s">
        <v>650</v>
      </c>
      <c r="V131" t="s">
        <v>651</v>
      </c>
      <c r="W131">
        <v>91</v>
      </c>
      <c r="X131" t="s">
        <v>101</v>
      </c>
      <c r="Y131" t="str">
        <f>VLOOKUP(C131,'[1]DBS_KPY Sorumlular'!A:C,2,FALSE)</f>
        <v>Mustafa AYDIN</v>
      </c>
      <c r="Z131" t="str">
        <f>VLOOKUP(C131,'[1]DBS_KPY Sorumlular'!A:C,3,FALSE)</f>
        <v>Esra DOLAN</v>
      </c>
      <c r="AA131" t="str">
        <f>VLOOKUP(K131,[1]!Tablo3[#Data],2,FALSE)</f>
        <v>Erkan AKDOĞAN</v>
      </c>
    </row>
    <row r="132" spans="1:27" x14ac:dyDescent="0.25">
      <c r="A132">
        <v>1419</v>
      </c>
      <c r="B132" t="s">
        <v>27</v>
      </c>
      <c r="C132" t="s">
        <v>652</v>
      </c>
      <c r="D132" t="s">
        <v>653</v>
      </c>
      <c r="F132" t="s">
        <v>455</v>
      </c>
      <c r="G132" t="s">
        <v>456</v>
      </c>
      <c r="H132" t="s">
        <v>654</v>
      </c>
      <c r="I132" s="4">
        <v>45823.875</v>
      </c>
      <c r="J132" t="s">
        <v>655</v>
      </c>
      <c r="K132" t="s">
        <v>636</v>
      </c>
      <c r="L132" s="5" t="s">
        <v>656</v>
      </c>
      <c r="M132" s="5"/>
      <c r="N132" t="s">
        <v>82</v>
      </c>
      <c r="O132" t="s">
        <v>657</v>
      </c>
      <c r="R132">
        <v>1</v>
      </c>
      <c r="S132" t="s">
        <v>57</v>
      </c>
      <c r="T132" s="5" t="s">
        <v>48</v>
      </c>
      <c r="U132" t="s">
        <v>658</v>
      </c>
      <c r="V132" t="s">
        <v>654</v>
      </c>
      <c r="W132">
        <v>144</v>
      </c>
      <c r="X132" t="s">
        <v>463</v>
      </c>
      <c r="Y132" t="str">
        <f>VLOOKUP(C132,'[1]DBS_KPY Sorumlular'!A:C,2,FALSE)</f>
        <v>Seyithan İŞİK</v>
      </c>
      <c r="Z132" t="str">
        <f>VLOOKUP(C132,'[1]DBS_KPY Sorumlular'!A:C,3,FALSE)</f>
        <v>Korhan KÖROĞLU</v>
      </c>
      <c r="AA132" t="str">
        <f>VLOOKUP(K132,[1]!Tablo3[#Data],2,FALSE)</f>
        <v>Erkan AKDOĞAN</v>
      </c>
    </row>
    <row r="133" spans="1:27" x14ac:dyDescent="0.25">
      <c r="A133">
        <v>1421</v>
      </c>
      <c r="B133" t="s">
        <v>27</v>
      </c>
      <c r="C133" t="s">
        <v>73</v>
      </c>
      <c r="D133" t="s">
        <v>73</v>
      </c>
      <c r="F133" t="s">
        <v>108</v>
      </c>
      <c r="G133" t="s">
        <v>30</v>
      </c>
      <c r="H133" t="s">
        <v>659</v>
      </c>
      <c r="I133" s="4">
        <v>45837.875</v>
      </c>
      <c r="J133" t="s">
        <v>660</v>
      </c>
      <c r="K133" t="s">
        <v>636</v>
      </c>
      <c r="L133" s="5" t="s">
        <v>661</v>
      </c>
      <c r="M133" s="5"/>
      <c r="N133" t="s">
        <v>46</v>
      </c>
      <c r="O133" t="s">
        <v>662</v>
      </c>
      <c r="R133">
        <v>0.97</v>
      </c>
      <c r="S133" t="s">
        <v>57</v>
      </c>
      <c r="T133" s="5" t="s">
        <v>38</v>
      </c>
      <c r="Y133" t="str">
        <f>VLOOKUP(C133,'[1]DBS_KPY Sorumlular'!A:C,2,FALSE)</f>
        <v>Ayşegül AKGÜL</v>
      </c>
      <c r="Z133" t="str">
        <f>VLOOKUP(C133,'[1]DBS_KPY Sorumlular'!A:C,3,FALSE)</f>
        <v>Sinan ERDAŞ</v>
      </c>
      <c r="AA133" t="str">
        <f>VLOOKUP(K133,[1]!Tablo3[#Data],2,FALSE)</f>
        <v>Erkan AKDOĞAN</v>
      </c>
    </row>
    <row r="134" spans="1:27" x14ac:dyDescent="0.25">
      <c r="A134">
        <v>1422</v>
      </c>
      <c r="B134" t="s">
        <v>27</v>
      </c>
      <c r="C134" t="s">
        <v>73</v>
      </c>
      <c r="D134" t="s">
        <v>73</v>
      </c>
      <c r="F134" t="s">
        <v>74</v>
      </c>
      <c r="G134" t="s">
        <v>30</v>
      </c>
      <c r="H134" t="s">
        <v>663</v>
      </c>
      <c r="I134" s="4">
        <v>45685.875</v>
      </c>
      <c r="J134" t="s">
        <v>664</v>
      </c>
      <c r="K134" t="s">
        <v>636</v>
      </c>
      <c r="L134" s="5" t="s">
        <v>665</v>
      </c>
      <c r="M134" s="5"/>
      <c r="N134" t="s">
        <v>82</v>
      </c>
      <c r="O134" t="s">
        <v>666</v>
      </c>
      <c r="R134">
        <v>1</v>
      </c>
      <c r="S134" t="s">
        <v>57</v>
      </c>
      <c r="T134" s="5" t="s">
        <v>38</v>
      </c>
      <c r="W134">
        <v>28</v>
      </c>
      <c r="X134" t="s">
        <v>667</v>
      </c>
      <c r="Y134" t="str">
        <f>VLOOKUP(C134,'[1]DBS_KPY Sorumlular'!A:C,2,FALSE)</f>
        <v>Ayşegül AKGÜL</v>
      </c>
      <c r="Z134" t="str">
        <f>VLOOKUP(C134,'[1]DBS_KPY Sorumlular'!A:C,3,FALSE)</f>
        <v>Sinan ERDAŞ</v>
      </c>
      <c r="AA134" t="str">
        <f>VLOOKUP(K134,[1]!Tablo3[#Data],2,FALSE)</f>
        <v>Erkan AKDOĞAN</v>
      </c>
    </row>
    <row r="135" spans="1:27" x14ac:dyDescent="0.25">
      <c r="A135">
        <v>1423</v>
      </c>
      <c r="B135" t="s">
        <v>27</v>
      </c>
      <c r="C135" t="s">
        <v>40</v>
      </c>
      <c r="D135" t="s">
        <v>41</v>
      </c>
      <c r="F135" t="s">
        <v>113</v>
      </c>
      <c r="G135" t="s">
        <v>43</v>
      </c>
      <c r="H135" t="s">
        <v>668</v>
      </c>
      <c r="I135" s="4">
        <v>45915.875</v>
      </c>
      <c r="J135" t="s">
        <v>669</v>
      </c>
      <c r="K135" t="s">
        <v>636</v>
      </c>
      <c r="L135" s="5"/>
      <c r="M135" s="5"/>
      <c r="N135" t="s">
        <v>46</v>
      </c>
      <c r="O135" t="s">
        <v>670</v>
      </c>
      <c r="R135">
        <v>0.7</v>
      </c>
      <c r="S135" t="s">
        <v>57</v>
      </c>
      <c r="T135" s="5" t="s">
        <v>58</v>
      </c>
      <c r="U135" t="s">
        <v>169</v>
      </c>
      <c r="V135" t="s">
        <v>170</v>
      </c>
      <c r="W135">
        <v>137</v>
      </c>
      <c r="X135" t="s">
        <v>125</v>
      </c>
      <c r="Y135" t="str">
        <f>VLOOKUP(C135,'[1]DBS_KPY Sorumlular'!A:C,2,FALSE)</f>
        <v>Mustafa AYDIN</v>
      </c>
      <c r="Z135" t="str">
        <f>VLOOKUP(C135,'[1]DBS_KPY Sorumlular'!A:C,3,FALSE)</f>
        <v>Esra DOLAN</v>
      </c>
      <c r="AA135" t="str">
        <f>VLOOKUP(K135,[1]!Tablo3[#Data],2,FALSE)</f>
        <v>Erkan AKDOĞAN</v>
      </c>
    </row>
    <row r="136" spans="1:27" x14ac:dyDescent="0.25">
      <c r="A136">
        <v>1424</v>
      </c>
      <c r="B136" t="s">
        <v>27</v>
      </c>
      <c r="C136" t="s">
        <v>73</v>
      </c>
      <c r="D136" t="s">
        <v>73</v>
      </c>
      <c r="F136" t="s">
        <v>108</v>
      </c>
      <c r="G136" t="s">
        <v>30</v>
      </c>
      <c r="H136" t="s">
        <v>671</v>
      </c>
      <c r="I136" s="4">
        <v>46022.875</v>
      </c>
      <c r="J136" t="s">
        <v>672</v>
      </c>
      <c r="K136" t="s">
        <v>636</v>
      </c>
      <c r="L136" s="5" t="s">
        <v>673</v>
      </c>
      <c r="M136" s="5"/>
      <c r="N136" t="s">
        <v>46</v>
      </c>
      <c r="O136" t="s">
        <v>674</v>
      </c>
      <c r="R136">
        <v>0.1656</v>
      </c>
      <c r="S136" t="s">
        <v>57</v>
      </c>
      <c r="T136" s="5" t="s">
        <v>38</v>
      </c>
      <c r="Y136" t="str">
        <f>VLOOKUP(C136,'[1]DBS_KPY Sorumlular'!A:C,2,FALSE)</f>
        <v>Ayşegül AKGÜL</v>
      </c>
      <c r="Z136" t="str">
        <f>VLOOKUP(C136,'[1]DBS_KPY Sorumlular'!A:C,3,FALSE)</f>
        <v>Sinan ERDAŞ</v>
      </c>
      <c r="AA136" t="str">
        <f>VLOOKUP(K136,[1]!Tablo3[#Data],2,FALSE)</f>
        <v>Erkan AKDOĞAN</v>
      </c>
    </row>
    <row r="137" spans="1:27" x14ac:dyDescent="0.25">
      <c r="A137">
        <v>1425</v>
      </c>
      <c r="B137" t="s">
        <v>27</v>
      </c>
      <c r="C137" t="s">
        <v>40</v>
      </c>
      <c r="D137" t="s">
        <v>41</v>
      </c>
      <c r="F137" t="s">
        <v>184</v>
      </c>
      <c r="G137" t="s">
        <v>43</v>
      </c>
      <c r="H137" t="s">
        <v>675</v>
      </c>
      <c r="I137" s="4">
        <v>45687.875</v>
      </c>
      <c r="K137" t="s">
        <v>636</v>
      </c>
      <c r="L137" s="5"/>
      <c r="M137" s="5"/>
      <c r="N137" t="s">
        <v>82</v>
      </c>
      <c r="O137" t="s">
        <v>676</v>
      </c>
      <c r="R137">
        <v>1</v>
      </c>
      <c r="S137" t="s">
        <v>57</v>
      </c>
      <c r="T137" s="5" t="s">
        <v>58</v>
      </c>
      <c r="U137" t="s">
        <v>187</v>
      </c>
      <c r="V137" t="s">
        <v>188</v>
      </c>
      <c r="W137">
        <v>86</v>
      </c>
      <c r="X137" t="s">
        <v>189</v>
      </c>
      <c r="Y137" t="str">
        <f>VLOOKUP(C137,'[1]DBS_KPY Sorumlular'!A:C,2,FALSE)</f>
        <v>Mustafa AYDIN</v>
      </c>
      <c r="Z137" t="str">
        <f>VLOOKUP(C137,'[1]DBS_KPY Sorumlular'!A:C,3,FALSE)</f>
        <v>Esra DOLAN</v>
      </c>
      <c r="AA137" t="str">
        <f>VLOOKUP(K137,[1]!Tablo3[#Data],2,FALSE)</f>
        <v>Erkan AKDOĞAN</v>
      </c>
    </row>
    <row r="138" spans="1:27" x14ac:dyDescent="0.25">
      <c r="A138">
        <v>1426</v>
      </c>
      <c r="B138" t="s">
        <v>27</v>
      </c>
      <c r="C138" t="s">
        <v>40</v>
      </c>
      <c r="D138" t="s">
        <v>41</v>
      </c>
      <c r="F138" t="s">
        <v>52</v>
      </c>
      <c r="G138" t="s">
        <v>43</v>
      </c>
      <c r="H138" t="s">
        <v>677</v>
      </c>
      <c r="I138" s="4">
        <v>45524.875</v>
      </c>
      <c r="K138" t="s">
        <v>678</v>
      </c>
      <c r="L138" s="5"/>
      <c r="M138" s="5"/>
      <c r="N138" t="s">
        <v>82</v>
      </c>
      <c r="O138" t="s">
        <v>679</v>
      </c>
      <c r="R138">
        <v>1</v>
      </c>
      <c r="S138" t="s">
        <v>230</v>
      </c>
      <c r="T138" s="5" t="s">
        <v>58</v>
      </c>
      <c r="U138" t="s">
        <v>254</v>
      </c>
      <c r="V138" t="s">
        <v>255</v>
      </c>
      <c r="W138">
        <v>62</v>
      </c>
      <c r="X138" t="s">
        <v>680</v>
      </c>
      <c r="Y138" t="str">
        <f>VLOOKUP(C138,'[1]DBS_KPY Sorumlular'!A:C,2,FALSE)</f>
        <v>Mustafa AYDIN</v>
      </c>
      <c r="Z138" t="str">
        <f>VLOOKUP(C138,'[1]DBS_KPY Sorumlular'!A:C,3,FALSE)</f>
        <v>Esra DOLAN</v>
      </c>
      <c r="AA138" t="str">
        <f>VLOOKUP(K138,[1]!Tablo3[#Data],2,FALSE)</f>
        <v>Kadir TOPÇU</v>
      </c>
    </row>
    <row r="139" spans="1:27" x14ac:dyDescent="0.25">
      <c r="A139">
        <v>1427</v>
      </c>
      <c r="B139" t="s">
        <v>27</v>
      </c>
      <c r="C139" t="s">
        <v>40</v>
      </c>
      <c r="D139" t="s">
        <v>41</v>
      </c>
      <c r="F139" t="s">
        <v>102</v>
      </c>
      <c r="G139" t="s">
        <v>43</v>
      </c>
      <c r="H139" t="s">
        <v>681</v>
      </c>
      <c r="I139" s="4">
        <v>45527.875</v>
      </c>
      <c r="K139" t="s">
        <v>678</v>
      </c>
      <c r="L139" s="5"/>
      <c r="M139" s="5"/>
      <c r="N139" t="s">
        <v>82</v>
      </c>
      <c r="O139" t="s">
        <v>682</v>
      </c>
      <c r="R139">
        <v>1</v>
      </c>
      <c r="S139" t="s">
        <v>230</v>
      </c>
      <c r="T139" s="5" t="s">
        <v>58</v>
      </c>
      <c r="U139" t="s">
        <v>348</v>
      </c>
      <c r="V139" t="s">
        <v>349</v>
      </c>
      <c r="W139">
        <v>108</v>
      </c>
      <c r="X139" t="s">
        <v>107</v>
      </c>
      <c r="Y139" t="str">
        <f>VLOOKUP(C139,'[1]DBS_KPY Sorumlular'!A:C,2,FALSE)</f>
        <v>Mustafa AYDIN</v>
      </c>
      <c r="Z139" t="str">
        <f>VLOOKUP(C139,'[1]DBS_KPY Sorumlular'!A:C,3,FALSE)</f>
        <v>Esra DOLAN</v>
      </c>
      <c r="AA139" t="str">
        <f>VLOOKUP(K139,[1]!Tablo3[#Data],2,FALSE)</f>
        <v>Kadir TOPÇU</v>
      </c>
    </row>
    <row r="140" spans="1:27" x14ac:dyDescent="0.25">
      <c r="A140">
        <v>1428</v>
      </c>
      <c r="B140" t="s">
        <v>27</v>
      </c>
      <c r="C140" t="s">
        <v>304</v>
      </c>
      <c r="D140" t="s">
        <v>305</v>
      </c>
      <c r="F140" t="s">
        <v>306</v>
      </c>
      <c r="G140" t="s">
        <v>96</v>
      </c>
      <c r="H140" t="s">
        <v>683</v>
      </c>
      <c r="I140" s="4">
        <v>45549.875</v>
      </c>
      <c r="J140" t="s">
        <v>684</v>
      </c>
      <c r="K140" t="s">
        <v>678</v>
      </c>
      <c r="L140" s="5" t="s">
        <v>685</v>
      </c>
      <c r="M140" s="5"/>
      <c r="N140" t="s">
        <v>82</v>
      </c>
      <c r="O140" t="s">
        <v>686</v>
      </c>
      <c r="R140">
        <v>1</v>
      </c>
      <c r="S140" t="s">
        <v>230</v>
      </c>
      <c r="T140" s="5" t="s">
        <v>38</v>
      </c>
      <c r="W140">
        <v>206</v>
      </c>
      <c r="X140" t="s">
        <v>311</v>
      </c>
      <c r="Y140" t="str">
        <f>VLOOKUP(C140,'[1]DBS_KPY Sorumlular'!A:C,2,FALSE)</f>
        <v>Erkan AKDOĞAN</v>
      </c>
      <c r="Z140" t="str">
        <f>VLOOKUP(C140,'[1]DBS_KPY Sorumlular'!A:C,3,FALSE)</f>
        <v>Kadir TOPÇU</v>
      </c>
      <c r="AA140" t="str">
        <f>VLOOKUP(K140,[1]!Tablo3[#Data],2,FALSE)</f>
        <v>Kadir TOPÇU</v>
      </c>
    </row>
    <row r="141" spans="1:27" x14ac:dyDescent="0.25">
      <c r="A141">
        <v>1429</v>
      </c>
      <c r="B141" t="s">
        <v>27</v>
      </c>
      <c r="C141" t="s">
        <v>28</v>
      </c>
      <c r="D141" t="s">
        <v>28</v>
      </c>
      <c r="F141" t="s">
        <v>42</v>
      </c>
      <c r="G141" t="s">
        <v>43</v>
      </c>
      <c r="H141" t="s">
        <v>687</v>
      </c>
      <c r="I141" s="4">
        <v>45549.875</v>
      </c>
      <c r="J141" t="s">
        <v>688</v>
      </c>
      <c r="K141" t="s">
        <v>678</v>
      </c>
      <c r="L141" s="5" t="s">
        <v>689</v>
      </c>
      <c r="M141" s="5"/>
      <c r="N141" t="s">
        <v>82</v>
      </c>
      <c r="O141" t="s">
        <v>690</v>
      </c>
      <c r="R141">
        <v>1</v>
      </c>
      <c r="S141" t="s">
        <v>230</v>
      </c>
      <c r="T141" s="5" t="s">
        <v>38</v>
      </c>
      <c r="W141">
        <v>86</v>
      </c>
      <c r="X141" t="s">
        <v>189</v>
      </c>
      <c r="Y141" t="str">
        <f>VLOOKUP(C141,'[1]DBS_KPY Sorumlular'!A:C,2,FALSE)</f>
        <v>Ayşegül AKGÜL</v>
      </c>
      <c r="Z141" t="str">
        <f>VLOOKUP(C141,'[1]DBS_KPY Sorumlular'!A:C,3,FALSE)</f>
        <v>Sinan ERDAŞ</v>
      </c>
      <c r="AA141" t="str">
        <f>VLOOKUP(K141,[1]!Tablo3[#Data],2,FALSE)</f>
        <v>Kadir TOPÇU</v>
      </c>
    </row>
    <row r="142" spans="1:27" x14ac:dyDescent="0.25">
      <c r="A142">
        <v>1430</v>
      </c>
      <c r="B142" t="s">
        <v>27</v>
      </c>
      <c r="C142" t="s">
        <v>40</v>
      </c>
      <c r="D142" t="s">
        <v>41</v>
      </c>
      <c r="F142" t="s">
        <v>184</v>
      </c>
      <c r="G142" t="s">
        <v>43</v>
      </c>
      <c r="H142" t="s">
        <v>691</v>
      </c>
      <c r="I142" s="4">
        <v>45625.875</v>
      </c>
      <c r="K142" t="s">
        <v>678</v>
      </c>
      <c r="L142" s="5"/>
      <c r="M142" s="5"/>
      <c r="N142" t="s">
        <v>82</v>
      </c>
      <c r="O142" t="s">
        <v>692</v>
      </c>
      <c r="R142">
        <v>1</v>
      </c>
      <c r="S142" t="s">
        <v>230</v>
      </c>
      <c r="T142" s="5" t="s">
        <v>58</v>
      </c>
      <c r="U142" t="s">
        <v>187</v>
      </c>
      <c r="V142" t="s">
        <v>188</v>
      </c>
      <c r="W142">
        <v>86</v>
      </c>
      <c r="X142" t="s">
        <v>189</v>
      </c>
      <c r="Y142" t="str">
        <f>VLOOKUP(C142,'[1]DBS_KPY Sorumlular'!A:C,2,FALSE)</f>
        <v>Mustafa AYDIN</v>
      </c>
      <c r="Z142" t="str">
        <f>VLOOKUP(C142,'[1]DBS_KPY Sorumlular'!A:C,3,FALSE)</f>
        <v>Esra DOLAN</v>
      </c>
      <c r="AA142" t="str">
        <f>VLOOKUP(K142,[1]!Tablo3[#Data],2,FALSE)</f>
        <v>Kadir TOPÇU</v>
      </c>
    </row>
    <row r="143" spans="1:27" x14ac:dyDescent="0.25">
      <c r="A143">
        <v>1431</v>
      </c>
      <c r="B143" t="s">
        <v>27</v>
      </c>
      <c r="C143" t="s">
        <v>40</v>
      </c>
      <c r="D143" t="s">
        <v>41</v>
      </c>
      <c r="F143" t="s">
        <v>102</v>
      </c>
      <c r="G143" t="s">
        <v>43</v>
      </c>
      <c r="H143" t="s">
        <v>693</v>
      </c>
      <c r="I143" s="4">
        <v>45655.875</v>
      </c>
      <c r="K143" t="s">
        <v>678</v>
      </c>
      <c r="L143" s="5"/>
      <c r="M143" s="5"/>
      <c r="N143" t="s">
        <v>82</v>
      </c>
      <c r="O143" t="s">
        <v>694</v>
      </c>
      <c r="R143">
        <v>1</v>
      </c>
      <c r="S143" t="s">
        <v>230</v>
      </c>
      <c r="T143" s="5" t="s">
        <v>48</v>
      </c>
      <c r="U143" t="s">
        <v>695</v>
      </c>
      <c r="V143" t="s">
        <v>696</v>
      </c>
      <c r="W143">
        <v>108</v>
      </c>
      <c r="X143" t="s">
        <v>107</v>
      </c>
      <c r="Y143" t="str">
        <f>VLOOKUP(C143,'[1]DBS_KPY Sorumlular'!A:C,2,FALSE)</f>
        <v>Mustafa AYDIN</v>
      </c>
      <c r="Z143" t="str">
        <f>VLOOKUP(C143,'[1]DBS_KPY Sorumlular'!A:C,3,FALSE)</f>
        <v>Esra DOLAN</v>
      </c>
      <c r="AA143" t="str">
        <f>VLOOKUP(K143,[1]!Tablo3[#Data],2,FALSE)</f>
        <v>Kadir TOPÇU</v>
      </c>
    </row>
    <row r="144" spans="1:27" x14ac:dyDescent="0.25">
      <c r="A144">
        <v>1432</v>
      </c>
      <c r="B144" t="s">
        <v>27</v>
      </c>
      <c r="C144" t="s">
        <v>40</v>
      </c>
      <c r="D144" t="s">
        <v>41</v>
      </c>
      <c r="F144" t="s">
        <v>42</v>
      </c>
      <c r="G144" t="s">
        <v>43</v>
      </c>
      <c r="H144" t="s">
        <v>697</v>
      </c>
      <c r="I144" s="4">
        <v>45837.875</v>
      </c>
      <c r="K144" t="s">
        <v>678</v>
      </c>
      <c r="L144" s="5"/>
      <c r="M144" s="5"/>
      <c r="N144" t="s">
        <v>46</v>
      </c>
      <c r="O144" t="s">
        <v>698</v>
      </c>
      <c r="R144">
        <v>0.99</v>
      </c>
      <c r="S144" t="s">
        <v>230</v>
      </c>
      <c r="T144" s="5" t="s">
        <v>58</v>
      </c>
      <c r="U144" t="s">
        <v>192</v>
      </c>
      <c r="V144" t="s">
        <v>193</v>
      </c>
      <c r="W144">
        <v>68</v>
      </c>
      <c r="X144" t="s">
        <v>51</v>
      </c>
      <c r="Y144" t="str">
        <f>VLOOKUP(C144,'[1]DBS_KPY Sorumlular'!A:C,2,FALSE)</f>
        <v>Mustafa AYDIN</v>
      </c>
      <c r="Z144" t="str">
        <f>VLOOKUP(C144,'[1]DBS_KPY Sorumlular'!A:C,3,FALSE)</f>
        <v>Esra DOLAN</v>
      </c>
      <c r="AA144" t="str">
        <f>VLOOKUP(K144,[1]!Tablo3[#Data],2,FALSE)</f>
        <v>Kadir TOPÇU</v>
      </c>
    </row>
    <row r="145" spans="1:27" x14ac:dyDescent="0.25">
      <c r="A145">
        <v>1433</v>
      </c>
      <c r="B145" t="s">
        <v>27</v>
      </c>
      <c r="C145" t="s">
        <v>40</v>
      </c>
      <c r="D145" t="s">
        <v>65</v>
      </c>
      <c r="F145" t="s">
        <v>66</v>
      </c>
      <c r="G145" t="s">
        <v>67</v>
      </c>
      <c r="H145" t="s">
        <v>699</v>
      </c>
      <c r="I145" s="4">
        <v>45806.875</v>
      </c>
      <c r="K145" t="s">
        <v>678</v>
      </c>
      <c r="L145" s="5"/>
      <c r="M145" s="5"/>
      <c r="N145" t="s">
        <v>82</v>
      </c>
      <c r="O145" t="s">
        <v>700</v>
      </c>
      <c r="R145">
        <v>1</v>
      </c>
      <c r="S145" t="s">
        <v>230</v>
      </c>
      <c r="T145" s="5" t="s">
        <v>48</v>
      </c>
      <c r="U145" t="s">
        <v>701</v>
      </c>
      <c r="V145" t="s">
        <v>702</v>
      </c>
      <c r="W145">
        <v>104</v>
      </c>
      <c r="X145" t="s">
        <v>703</v>
      </c>
      <c r="Y145" t="str">
        <f>VLOOKUP(C145,'[1]DBS_KPY Sorumlular'!A:C,2,FALSE)</f>
        <v>Mustafa AYDIN</v>
      </c>
      <c r="Z145" t="str">
        <f>VLOOKUP(C145,'[1]DBS_KPY Sorumlular'!A:C,3,FALSE)</f>
        <v>Esra DOLAN</v>
      </c>
      <c r="AA145" t="str">
        <f>VLOOKUP(K145,[1]!Tablo3[#Data],2,FALSE)</f>
        <v>Kadir TOPÇU</v>
      </c>
    </row>
    <row r="146" spans="1:27" x14ac:dyDescent="0.25">
      <c r="A146">
        <v>1434</v>
      </c>
      <c r="B146" t="s">
        <v>27</v>
      </c>
      <c r="C146" t="s">
        <v>40</v>
      </c>
      <c r="D146" t="s">
        <v>41</v>
      </c>
      <c r="F146" t="s">
        <v>42</v>
      </c>
      <c r="G146" t="s">
        <v>43</v>
      </c>
      <c r="H146" t="s">
        <v>704</v>
      </c>
      <c r="I146" s="4">
        <v>45687.875</v>
      </c>
      <c r="K146" t="s">
        <v>678</v>
      </c>
      <c r="L146" s="5"/>
      <c r="M146" s="5"/>
      <c r="N146" t="s">
        <v>82</v>
      </c>
      <c r="O146" t="s">
        <v>705</v>
      </c>
      <c r="R146">
        <v>1</v>
      </c>
      <c r="S146" t="s">
        <v>230</v>
      </c>
      <c r="T146" s="5" t="s">
        <v>58</v>
      </c>
      <c r="U146" t="s">
        <v>192</v>
      </c>
      <c r="V146" t="s">
        <v>193</v>
      </c>
      <c r="W146">
        <v>74</v>
      </c>
      <c r="X146" t="s">
        <v>234</v>
      </c>
      <c r="Y146" t="str">
        <f>VLOOKUP(C146,'[1]DBS_KPY Sorumlular'!A:C,2,FALSE)</f>
        <v>Mustafa AYDIN</v>
      </c>
      <c r="Z146" t="str">
        <f>VLOOKUP(C146,'[1]DBS_KPY Sorumlular'!A:C,3,FALSE)</f>
        <v>Esra DOLAN</v>
      </c>
      <c r="AA146" t="str">
        <f>VLOOKUP(K146,[1]!Tablo3[#Data],2,FALSE)</f>
        <v>Kadir TOPÇU</v>
      </c>
    </row>
    <row r="147" spans="1:27" x14ac:dyDescent="0.25">
      <c r="A147">
        <v>1435</v>
      </c>
      <c r="B147" t="s">
        <v>27</v>
      </c>
      <c r="C147" t="s">
        <v>40</v>
      </c>
      <c r="D147" t="s">
        <v>41</v>
      </c>
      <c r="F147" t="s">
        <v>102</v>
      </c>
      <c r="G147" t="s">
        <v>43</v>
      </c>
      <c r="H147" t="s">
        <v>706</v>
      </c>
      <c r="I147" s="4">
        <v>45837.875</v>
      </c>
      <c r="J147" t="s">
        <v>707</v>
      </c>
      <c r="K147" t="s">
        <v>678</v>
      </c>
      <c r="L147" s="5"/>
      <c r="M147" s="5"/>
      <c r="N147" t="s">
        <v>46</v>
      </c>
      <c r="O147" t="s">
        <v>708</v>
      </c>
      <c r="R147">
        <v>0.98</v>
      </c>
      <c r="S147" t="s">
        <v>230</v>
      </c>
      <c r="T147" s="5" t="s">
        <v>48</v>
      </c>
      <c r="U147" t="s">
        <v>709</v>
      </c>
      <c r="V147" t="s">
        <v>710</v>
      </c>
      <c r="W147">
        <v>70</v>
      </c>
      <c r="X147" t="s">
        <v>711</v>
      </c>
      <c r="Y147" t="str">
        <f>VLOOKUP(C147,'[1]DBS_KPY Sorumlular'!A:C,2,FALSE)</f>
        <v>Mustafa AYDIN</v>
      </c>
      <c r="Z147" t="str">
        <f>VLOOKUP(C147,'[1]DBS_KPY Sorumlular'!A:C,3,FALSE)</f>
        <v>Esra DOLAN</v>
      </c>
      <c r="AA147" t="str">
        <f>VLOOKUP(K147,[1]!Tablo3[#Data],2,FALSE)</f>
        <v>Kadir TOPÇU</v>
      </c>
    </row>
    <row r="148" spans="1:27" x14ac:dyDescent="0.25">
      <c r="A148">
        <v>1436</v>
      </c>
      <c r="B148" t="s">
        <v>27</v>
      </c>
      <c r="C148" t="s">
        <v>73</v>
      </c>
      <c r="D148" t="s">
        <v>73</v>
      </c>
      <c r="F148" t="s">
        <v>74</v>
      </c>
      <c r="G148" t="s">
        <v>30</v>
      </c>
      <c r="H148" t="s">
        <v>712</v>
      </c>
      <c r="I148" s="4">
        <v>46021.875</v>
      </c>
      <c r="J148" t="s">
        <v>400</v>
      </c>
      <c r="K148" t="s">
        <v>678</v>
      </c>
      <c r="L148" s="5" t="s">
        <v>271</v>
      </c>
      <c r="M148" s="5"/>
      <c r="N148" t="s">
        <v>46</v>
      </c>
      <c r="O148" t="s">
        <v>713</v>
      </c>
      <c r="R148">
        <v>0.05</v>
      </c>
      <c r="S148" t="s">
        <v>230</v>
      </c>
      <c r="T148" s="5" t="s">
        <v>38</v>
      </c>
      <c r="Y148" t="str">
        <f>VLOOKUP(C148,'[1]DBS_KPY Sorumlular'!A:C,2,FALSE)</f>
        <v>Ayşegül AKGÜL</v>
      </c>
      <c r="Z148" t="str">
        <f>VLOOKUP(C148,'[1]DBS_KPY Sorumlular'!A:C,3,FALSE)</f>
        <v>Sinan ERDAŞ</v>
      </c>
      <c r="AA148" t="str">
        <f>VLOOKUP(K148,[1]!Tablo3[#Data],2,FALSE)</f>
        <v>Kadir TOPÇU</v>
      </c>
    </row>
    <row r="149" spans="1:27" x14ac:dyDescent="0.25">
      <c r="A149">
        <v>1437</v>
      </c>
      <c r="B149" t="s">
        <v>27</v>
      </c>
      <c r="C149" t="s">
        <v>73</v>
      </c>
      <c r="D149" t="s">
        <v>73</v>
      </c>
      <c r="F149" t="s">
        <v>74</v>
      </c>
      <c r="G149" t="s">
        <v>30</v>
      </c>
      <c r="H149" t="s">
        <v>714</v>
      </c>
      <c r="I149" s="4">
        <v>45863.875</v>
      </c>
      <c r="J149" t="s">
        <v>715</v>
      </c>
      <c r="K149" t="s">
        <v>678</v>
      </c>
      <c r="L149" s="5" t="s">
        <v>716</v>
      </c>
      <c r="M149" s="5"/>
      <c r="N149" t="s">
        <v>46</v>
      </c>
      <c r="O149" t="s">
        <v>717</v>
      </c>
      <c r="R149">
        <v>0.91</v>
      </c>
      <c r="S149" t="s">
        <v>230</v>
      </c>
      <c r="T149" s="5" t="s">
        <v>38</v>
      </c>
      <c r="Y149" t="str">
        <f>VLOOKUP(C149,'[1]DBS_KPY Sorumlular'!A:C,2,FALSE)</f>
        <v>Ayşegül AKGÜL</v>
      </c>
      <c r="Z149" t="str">
        <f>VLOOKUP(C149,'[1]DBS_KPY Sorumlular'!A:C,3,FALSE)</f>
        <v>Sinan ERDAŞ</v>
      </c>
      <c r="AA149" t="str">
        <f>VLOOKUP(K149,[1]!Tablo3[#Data],2,FALSE)</f>
        <v>Kadir TOPÇU</v>
      </c>
    </row>
    <row r="150" spans="1:27" x14ac:dyDescent="0.25">
      <c r="A150">
        <v>1438</v>
      </c>
      <c r="B150" t="s">
        <v>27</v>
      </c>
      <c r="C150" t="s">
        <v>73</v>
      </c>
      <c r="D150" t="s">
        <v>73</v>
      </c>
      <c r="F150" t="s">
        <v>383</v>
      </c>
      <c r="G150" t="s">
        <v>384</v>
      </c>
      <c r="H150" t="s">
        <v>718</v>
      </c>
      <c r="I150" s="4">
        <v>45962.875</v>
      </c>
      <c r="J150" t="s">
        <v>719</v>
      </c>
      <c r="K150" t="s">
        <v>678</v>
      </c>
      <c r="L150" s="5" t="s">
        <v>720</v>
      </c>
      <c r="M150" s="5"/>
      <c r="N150" t="s">
        <v>46</v>
      </c>
      <c r="O150" t="s">
        <v>721</v>
      </c>
      <c r="R150">
        <v>0.45</v>
      </c>
      <c r="S150" t="s">
        <v>230</v>
      </c>
      <c r="T150" s="5" t="s">
        <v>38</v>
      </c>
      <c r="Y150" t="str">
        <f>VLOOKUP(C150,'[1]DBS_KPY Sorumlular'!A:C,2,FALSE)</f>
        <v>Ayşegül AKGÜL</v>
      </c>
      <c r="Z150" t="str">
        <f>VLOOKUP(C150,'[1]DBS_KPY Sorumlular'!A:C,3,FALSE)</f>
        <v>Sinan ERDAŞ</v>
      </c>
      <c r="AA150" t="str">
        <f>VLOOKUP(K150,[1]!Tablo3[#Data],2,FALSE)</f>
        <v>Kadir TOPÇU</v>
      </c>
    </row>
    <row r="151" spans="1:27" x14ac:dyDescent="0.25">
      <c r="A151">
        <v>1439</v>
      </c>
      <c r="B151" t="s">
        <v>27</v>
      </c>
      <c r="C151" t="s">
        <v>402</v>
      </c>
      <c r="D151" t="s">
        <v>403</v>
      </c>
      <c r="F151" t="s">
        <v>383</v>
      </c>
      <c r="G151" t="s">
        <v>384</v>
      </c>
      <c r="H151" t="s">
        <v>722</v>
      </c>
      <c r="I151" s="4">
        <v>46072.875</v>
      </c>
      <c r="J151" t="s">
        <v>723</v>
      </c>
      <c r="K151" t="s">
        <v>678</v>
      </c>
      <c r="L151" s="5" t="s">
        <v>724</v>
      </c>
      <c r="M151" s="5"/>
      <c r="N151" t="s">
        <v>46</v>
      </c>
      <c r="O151" t="s">
        <v>725</v>
      </c>
      <c r="R151">
        <v>0.5</v>
      </c>
      <c r="S151" t="s">
        <v>230</v>
      </c>
      <c r="T151" s="5" t="s">
        <v>100</v>
      </c>
      <c r="U151" t="s">
        <v>726</v>
      </c>
      <c r="V151" t="s">
        <v>727</v>
      </c>
      <c r="W151">
        <v>45</v>
      </c>
      <c r="X151" t="s">
        <v>728</v>
      </c>
      <c r="Y151" t="str">
        <f>VLOOKUP(C151,'[1]DBS_KPY Sorumlular'!A:C,2,FALSE)</f>
        <v>Tayfun VİÇE</v>
      </c>
      <c r="Z151" t="str">
        <f>VLOOKUP(C151,'[1]DBS_KPY Sorumlular'!A:C,3,FALSE)</f>
        <v>Mehmet Ali YAVUZ</v>
      </c>
      <c r="AA151" t="str">
        <f>VLOOKUP(K151,[1]!Tablo3[#Data],2,FALSE)</f>
        <v>Kadir TOPÇU</v>
      </c>
    </row>
    <row r="152" spans="1:27" x14ac:dyDescent="0.25">
      <c r="A152">
        <v>1440</v>
      </c>
      <c r="B152" t="s">
        <v>27</v>
      </c>
      <c r="C152" t="s">
        <v>73</v>
      </c>
      <c r="D152" t="s">
        <v>73</v>
      </c>
      <c r="F152" t="s">
        <v>74</v>
      </c>
      <c r="G152" t="s">
        <v>30</v>
      </c>
      <c r="H152" t="s">
        <v>729</v>
      </c>
      <c r="I152" s="4">
        <v>46022.875</v>
      </c>
      <c r="J152" t="s">
        <v>730</v>
      </c>
      <c r="K152" t="s">
        <v>678</v>
      </c>
      <c r="L152" s="5" t="s">
        <v>213</v>
      </c>
      <c r="M152" s="5"/>
      <c r="N152" t="s">
        <v>46</v>
      </c>
      <c r="O152" t="s">
        <v>717</v>
      </c>
      <c r="R152">
        <v>0.3</v>
      </c>
      <c r="S152" t="s">
        <v>230</v>
      </c>
      <c r="T152" s="5" t="s">
        <v>38</v>
      </c>
      <c r="Y152" t="str">
        <f>VLOOKUP(C152,'[1]DBS_KPY Sorumlular'!A:C,2,FALSE)</f>
        <v>Ayşegül AKGÜL</v>
      </c>
      <c r="Z152" t="str">
        <f>VLOOKUP(C152,'[1]DBS_KPY Sorumlular'!A:C,3,FALSE)</f>
        <v>Sinan ERDAŞ</v>
      </c>
      <c r="AA152" t="str">
        <f>VLOOKUP(K152,[1]!Tablo3[#Data],2,FALSE)</f>
        <v>Kadir TOPÇU</v>
      </c>
    </row>
    <row r="153" spans="1:27" x14ac:dyDescent="0.25">
      <c r="A153">
        <v>1442</v>
      </c>
      <c r="B153" t="s">
        <v>27</v>
      </c>
      <c r="C153" t="s">
        <v>73</v>
      </c>
      <c r="D153" t="s">
        <v>73</v>
      </c>
      <c r="F153" t="s">
        <v>383</v>
      </c>
      <c r="G153" t="s">
        <v>384</v>
      </c>
      <c r="H153" t="s">
        <v>731</v>
      </c>
      <c r="I153" s="4">
        <v>46364.875</v>
      </c>
      <c r="J153" t="s">
        <v>732</v>
      </c>
      <c r="K153" t="s">
        <v>678</v>
      </c>
      <c r="L153" s="5" t="s">
        <v>733</v>
      </c>
      <c r="M153" s="5"/>
      <c r="N153" t="s">
        <v>46</v>
      </c>
      <c r="O153" t="s">
        <v>734</v>
      </c>
      <c r="R153">
        <v>0.75</v>
      </c>
      <c r="S153" t="s">
        <v>230</v>
      </c>
      <c r="T153" s="5" t="s">
        <v>38</v>
      </c>
      <c r="Y153" t="str">
        <f>VLOOKUP(C153,'[1]DBS_KPY Sorumlular'!A:C,2,FALSE)</f>
        <v>Ayşegül AKGÜL</v>
      </c>
      <c r="Z153" t="str">
        <f>VLOOKUP(C153,'[1]DBS_KPY Sorumlular'!A:C,3,FALSE)</f>
        <v>Sinan ERDAŞ</v>
      </c>
      <c r="AA153" t="str">
        <f>VLOOKUP(K153,[1]!Tablo3[#Data],2,FALSE)</f>
        <v>Kadir TOPÇU</v>
      </c>
    </row>
    <row r="154" spans="1:27" x14ac:dyDescent="0.25">
      <c r="A154">
        <v>1443</v>
      </c>
      <c r="B154" t="s">
        <v>27</v>
      </c>
      <c r="C154" t="s">
        <v>402</v>
      </c>
      <c r="D154" t="s">
        <v>403</v>
      </c>
      <c r="F154" t="s">
        <v>455</v>
      </c>
      <c r="G154" t="s">
        <v>456</v>
      </c>
      <c r="H154" t="s">
        <v>735</v>
      </c>
      <c r="I154" s="4"/>
      <c r="J154" t="s">
        <v>736</v>
      </c>
      <c r="K154" t="s">
        <v>678</v>
      </c>
      <c r="L154" s="5" t="s">
        <v>737</v>
      </c>
      <c r="M154" s="5" t="s">
        <v>738</v>
      </c>
      <c r="N154" t="s">
        <v>739</v>
      </c>
      <c r="O154" t="s">
        <v>740</v>
      </c>
      <c r="S154" t="s">
        <v>230</v>
      </c>
      <c r="T154" s="5" t="s">
        <v>48</v>
      </c>
      <c r="U154" t="s">
        <v>741</v>
      </c>
      <c r="V154" t="s">
        <v>735</v>
      </c>
      <c r="W154">
        <v>144</v>
      </c>
      <c r="X154" t="s">
        <v>463</v>
      </c>
      <c r="Y154" t="str">
        <f>VLOOKUP(C154,'[1]DBS_KPY Sorumlular'!A:C,2,FALSE)</f>
        <v>Tayfun VİÇE</v>
      </c>
      <c r="Z154" t="str">
        <f>VLOOKUP(C154,'[1]DBS_KPY Sorumlular'!A:C,3,FALSE)</f>
        <v>Mehmet Ali YAVUZ</v>
      </c>
      <c r="AA154" t="str">
        <f>VLOOKUP(K154,[1]!Tablo3[#Data],2,FALSE)</f>
        <v>Kadir TOPÇU</v>
      </c>
    </row>
    <row r="155" spans="1:27" x14ac:dyDescent="0.25">
      <c r="A155">
        <v>1444</v>
      </c>
      <c r="B155" t="s">
        <v>27</v>
      </c>
      <c r="C155" t="s">
        <v>304</v>
      </c>
      <c r="D155" t="s">
        <v>305</v>
      </c>
      <c r="F155" t="s">
        <v>306</v>
      </c>
      <c r="G155" t="s">
        <v>96</v>
      </c>
      <c r="H155" t="s">
        <v>742</v>
      </c>
      <c r="I155" s="4">
        <v>45549.875</v>
      </c>
      <c r="K155" t="s">
        <v>743</v>
      </c>
      <c r="L155" s="5"/>
      <c r="M155" s="5"/>
      <c r="N155" t="s">
        <v>82</v>
      </c>
      <c r="O155" t="s">
        <v>744</v>
      </c>
      <c r="R155">
        <v>1</v>
      </c>
      <c r="S155" t="s">
        <v>230</v>
      </c>
      <c r="T155" s="5" t="s">
        <v>38</v>
      </c>
      <c r="W155">
        <v>206</v>
      </c>
      <c r="X155" t="s">
        <v>311</v>
      </c>
      <c r="Y155" t="str">
        <f>VLOOKUP(C155,'[1]DBS_KPY Sorumlular'!A:C,2,FALSE)</f>
        <v>Erkan AKDOĞAN</v>
      </c>
      <c r="Z155" t="str">
        <f>VLOOKUP(C155,'[1]DBS_KPY Sorumlular'!A:C,3,FALSE)</f>
        <v>Kadir TOPÇU</v>
      </c>
      <c r="AA155" t="str">
        <f>VLOOKUP(K155,[1]!Tablo3[#Data],2,FALSE)</f>
        <v>Kadir TOPÇU</v>
      </c>
    </row>
    <row r="156" spans="1:27" x14ac:dyDescent="0.25">
      <c r="A156">
        <v>1445</v>
      </c>
      <c r="B156" t="s">
        <v>27</v>
      </c>
      <c r="C156" t="s">
        <v>40</v>
      </c>
      <c r="D156" t="s">
        <v>41</v>
      </c>
      <c r="F156" t="s">
        <v>455</v>
      </c>
      <c r="G156" t="s">
        <v>456</v>
      </c>
      <c r="H156" t="s">
        <v>745</v>
      </c>
      <c r="I156" s="4">
        <v>45957.875</v>
      </c>
      <c r="J156" t="s">
        <v>746</v>
      </c>
      <c r="K156" t="s">
        <v>743</v>
      </c>
      <c r="L156" s="5"/>
      <c r="M156" s="5"/>
      <c r="N156" t="s">
        <v>46</v>
      </c>
      <c r="O156" t="s">
        <v>747</v>
      </c>
      <c r="R156">
        <v>0.99</v>
      </c>
      <c r="S156" t="s">
        <v>230</v>
      </c>
      <c r="T156" s="5" t="s">
        <v>48</v>
      </c>
      <c r="U156" t="s">
        <v>748</v>
      </c>
      <c r="V156" t="s">
        <v>749</v>
      </c>
      <c r="W156">
        <v>91</v>
      </c>
      <c r="X156" t="s">
        <v>101</v>
      </c>
      <c r="Y156" t="str">
        <f>VLOOKUP(C156,'[1]DBS_KPY Sorumlular'!A:C,2,FALSE)</f>
        <v>Mustafa AYDIN</v>
      </c>
      <c r="Z156" t="str">
        <f>VLOOKUP(C156,'[1]DBS_KPY Sorumlular'!A:C,3,FALSE)</f>
        <v>Esra DOLAN</v>
      </c>
      <c r="AA156" t="str">
        <f>VLOOKUP(K156,[1]!Tablo3[#Data],2,FALSE)</f>
        <v>Kadir TOPÇU</v>
      </c>
    </row>
    <row r="157" spans="1:27" x14ac:dyDescent="0.25">
      <c r="A157">
        <v>1446</v>
      </c>
      <c r="B157" t="s">
        <v>27</v>
      </c>
      <c r="C157" t="s">
        <v>40</v>
      </c>
      <c r="D157" t="s">
        <v>41</v>
      </c>
      <c r="F157" t="s">
        <v>52</v>
      </c>
      <c r="G157" t="s">
        <v>43</v>
      </c>
      <c r="H157" t="s">
        <v>750</v>
      </c>
      <c r="I157" s="4">
        <v>45868.875</v>
      </c>
      <c r="K157" t="s">
        <v>678</v>
      </c>
      <c r="L157" s="5"/>
      <c r="M157" s="5"/>
      <c r="N157" t="s">
        <v>46</v>
      </c>
      <c r="O157" t="s">
        <v>751</v>
      </c>
      <c r="R157">
        <v>0.8</v>
      </c>
      <c r="S157" t="s">
        <v>230</v>
      </c>
      <c r="T157" s="5" t="s">
        <v>58</v>
      </c>
      <c r="U157" t="s">
        <v>752</v>
      </c>
      <c r="V157" t="s">
        <v>753</v>
      </c>
      <c r="W157">
        <v>72</v>
      </c>
      <c r="X157" t="s">
        <v>341</v>
      </c>
      <c r="Y157" t="str">
        <f>VLOOKUP(C157,'[1]DBS_KPY Sorumlular'!A:C,2,FALSE)</f>
        <v>Mustafa AYDIN</v>
      </c>
      <c r="Z157" t="str">
        <f>VLOOKUP(C157,'[1]DBS_KPY Sorumlular'!A:C,3,FALSE)</f>
        <v>Esra DOLAN</v>
      </c>
      <c r="AA157" t="str">
        <f>VLOOKUP(K157,[1]!Tablo3[#Data],2,FALSE)</f>
        <v>Kadir TOPÇU</v>
      </c>
    </row>
    <row r="158" spans="1:27" x14ac:dyDescent="0.25">
      <c r="A158">
        <v>1447</v>
      </c>
      <c r="B158" t="s">
        <v>27</v>
      </c>
      <c r="C158" t="s">
        <v>40</v>
      </c>
      <c r="D158" t="s">
        <v>41</v>
      </c>
      <c r="F158" t="s">
        <v>42</v>
      </c>
      <c r="G158" t="s">
        <v>43</v>
      </c>
      <c r="H158" t="s">
        <v>754</v>
      </c>
      <c r="I158" s="4">
        <v>45585.875</v>
      </c>
      <c r="K158" t="s">
        <v>678</v>
      </c>
      <c r="L158" s="5"/>
      <c r="M158" s="5"/>
      <c r="N158" t="s">
        <v>82</v>
      </c>
      <c r="O158" t="s">
        <v>755</v>
      </c>
      <c r="R158">
        <v>1</v>
      </c>
      <c r="S158" t="s">
        <v>230</v>
      </c>
      <c r="T158" s="5" t="s">
        <v>58</v>
      </c>
      <c r="U158" t="s">
        <v>192</v>
      </c>
      <c r="V158" t="s">
        <v>193</v>
      </c>
      <c r="W158">
        <v>68</v>
      </c>
      <c r="X158" t="s">
        <v>51</v>
      </c>
      <c r="Y158" t="str">
        <f>VLOOKUP(C158,'[1]DBS_KPY Sorumlular'!A:C,2,FALSE)</f>
        <v>Mustafa AYDIN</v>
      </c>
      <c r="Z158" t="str">
        <f>VLOOKUP(C158,'[1]DBS_KPY Sorumlular'!A:C,3,FALSE)</f>
        <v>Esra DOLAN</v>
      </c>
      <c r="AA158" t="str">
        <f>VLOOKUP(K158,[1]!Tablo3[#Data],2,FALSE)</f>
        <v>Kadir TOPÇU</v>
      </c>
    </row>
    <row r="159" spans="1:27" x14ac:dyDescent="0.25">
      <c r="A159">
        <v>1448</v>
      </c>
      <c r="B159" t="s">
        <v>27</v>
      </c>
      <c r="C159" t="s">
        <v>40</v>
      </c>
      <c r="D159" t="s">
        <v>41</v>
      </c>
      <c r="F159" t="s">
        <v>95</v>
      </c>
      <c r="G159" t="s">
        <v>96</v>
      </c>
      <c r="H159" t="s">
        <v>756</v>
      </c>
      <c r="I159" s="4">
        <v>45837.875</v>
      </c>
      <c r="K159" t="s">
        <v>743</v>
      </c>
      <c r="L159" s="5"/>
      <c r="M159" s="5"/>
      <c r="N159" t="s">
        <v>46</v>
      </c>
      <c r="O159" t="s">
        <v>757</v>
      </c>
      <c r="R159">
        <v>0.95</v>
      </c>
      <c r="S159" t="s">
        <v>230</v>
      </c>
      <c r="T159" s="5" t="s">
        <v>58</v>
      </c>
      <c r="U159" t="s">
        <v>758</v>
      </c>
      <c r="V159" t="s">
        <v>759</v>
      </c>
      <c r="W159">
        <v>28</v>
      </c>
      <c r="X159" t="s">
        <v>667</v>
      </c>
      <c r="Y159" t="str">
        <f>VLOOKUP(C159,'[1]DBS_KPY Sorumlular'!A:C,2,FALSE)</f>
        <v>Mustafa AYDIN</v>
      </c>
      <c r="Z159" t="str">
        <f>VLOOKUP(C159,'[1]DBS_KPY Sorumlular'!A:C,3,FALSE)</f>
        <v>Esra DOLAN</v>
      </c>
      <c r="AA159" t="str">
        <f>VLOOKUP(K159,[1]!Tablo3[#Data],2,FALSE)</f>
        <v>Kadir TOPÇU</v>
      </c>
    </row>
    <row r="160" spans="1:27" x14ac:dyDescent="0.25">
      <c r="A160">
        <v>1449</v>
      </c>
      <c r="B160" t="s">
        <v>27</v>
      </c>
      <c r="C160" t="s">
        <v>40</v>
      </c>
      <c r="D160" t="s">
        <v>41</v>
      </c>
      <c r="F160" t="s">
        <v>383</v>
      </c>
      <c r="G160" t="s">
        <v>384</v>
      </c>
      <c r="H160" t="s">
        <v>760</v>
      </c>
      <c r="I160" s="4">
        <v>45868.875</v>
      </c>
      <c r="J160" t="s">
        <v>761</v>
      </c>
      <c r="K160" t="s">
        <v>743</v>
      </c>
      <c r="L160" s="5"/>
      <c r="M160" s="5"/>
      <c r="N160" t="s">
        <v>46</v>
      </c>
      <c r="O160" t="s">
        <v>762</v>
      </c>
      <c r="R160">
        <v>0.87</v>
      </c>
      <c r="S160" t="s">
        <v>230</v>
      </c>
      <c r="T160" s="5" t="s">
        <v>48</v>
      </c>
      <c r="U160" t="s">
        <v>763</v>
      </c>
      <c r="V160" t="s">
        <v>764</v>
      </c>
      <c r="W160">
        <v>123</v>
      </c>
      <c r="X160" t="s">
        <v>765</v>
      </c>
      <c r="Y160" t="str">
        <f>VLOOKUP(C160,'[1]DBS_KPY Sorumlular'!A:C,2,FALSE)</f>
        <v>Mustafa AYDIN</v>
      </c>
      <c r="Z160" t="str">
        <f>VLOOKUP(C160,'[1]DBS_KPY Sorumlular'!A:C,3,FALSE)</f>
        <v>Esra DOLAN</v>
      </c>
      <c r="AA160" t="str">
        <f>VLOOKUP(K160,[1]!Tablo3[#Data],2,FALSE)</f>
        <v>Kadir TOPÇU</v>
      </c>
    </row>
    <row r="161" spans="1:27" x14ac:dyDescent="0.25">
      <c r="A161">
        <v>1450</v>
      </c>
      <c r="B161" t="s">
        <v>27</v>
      </c>
      <c r="C161" t="s">
        <v>40</v>
      </c>
      <c r="D161" t="s">
        <v>41</v>
      </c>
      <c r="F161" t="s">
        <v>52</v>
      </c>
      <c r="G161" t="s">
        <v>43</v>
      </c>
      <c r="H161" t="s">
        <v>766</v>
      </c>
      <c r="I161" s="4">
        <v>45899.875</v>
      </c>
      <c r="K161" t="s">
        <v>743</v>
      </c>
      <c r="L161" s="5" t="s">
        <v>767</v>
      </c>
      <c r="M161" s="5"/>
      <c r="N161" t="s">
        <v>768</v>
      </c>
      <c r="O161" t="s">
        <v>769</v>
      </c>
      <c r="R161">
        <v>0.1</v>
      </c>
      <c r="S161" t="s">
        <v>230</v>
      </c>
      <c r="T161" s="5" t="s">
        <v>58</v>
      </c>
      <c r="U161" t="s">
        <v>752</v>
      </c>
      <c r="V161" t="s">
        <v>753</v>
      </c>
      <c r="W161">
        <v>72</v>
      </c>
      <c r="X161" t="s">
        <v>341</v>
      </c>
      <c r="Y161" t="str">
        <f>VLOOKUP(C161,'[1]DBS_KPY Sorumlular'!A:C,2,FALSE)</f>
        <v>Mustafa AYDIN</v>
      </c>
      <c r="Z161" t="str">
        <f>VLOOKUP(C161,'[1]DBS_KPY Sorumlular'!A:C,3,FALSE)</f>
        <v>Esra DOLAN</v>
      </c>
      <c r="AA161" t="str">
        <f>VLOOKUP(K161,[1]!Tablo3[#Data],2,FALSE)</f>
        <v>Kadir TOPÇU</v>
      </c>
    </row>
    <row r="162" spans="1:27" x14ac:dyDescent="0.25">
      <c r="A162">
        <v>1451</v>
      </c>
      <c r="B162" t="s">
        <v>27</v>
      </c>
      <c r="C162" t="s">
        <v>40</v>
      </c>
      <c r="D162" t="s">
        <v>41</v>
      </c>
      <c r="F162" t="s">
        <v>184</v>
      </c>
      <c r="G162" t="s">
        <v>43</v>
      </c>
      <c r="H162" t="s">
        <v>770</v>
      </c>
      <c r="I162" s="4">
        <v>45977.875</v>
      </c>
      <c r="J162" t="s">
        <v>771</v>
      </c>
      <c r="K162" t="s">
        <v>743</v>
      </c>
      <c r="L162" s="5"/>
      <c r="M162" s="5"/>
      <c r="N162" t="s">
        <v>46</v>
      </c>
      <c r="O162" t="s">
        <v>772</v>
      </c>
      <c r="R162">
        <v>0.65</v>
      </c>
      <c r="S162" t="s">
        <v>230</v>
      </c>
      <c r="T162" s="5" t="s">
        <v>58</v>
      </c>
      <c r="U162" t="s">
        <v>758</v>
      </c>
      <c r="V162" t="s">
        <v>759</v>
      </c>
      <c r="W162">
        <v>86</v>
      </c>
      <c r="X162" t="s">
        <v>189</v>
      </c>
      <c r="Y162" t="str">
        <f>VLOOKUP(C162,'[1]DBS_KPY Sorumlular'!A:C,2,FALSE)</f>
        <v>Mustafa AYDIN</v>
      </c>
      <c r="Z162" t="str">
        <f>VLOOKUP(C162,'[1]DBS_KPY Sorumlular'!A:C,3,FALSE)</f>
        <v>Esra DOLAN</v>
      </c>
      <c r="AA162" t="str">
        <f>VLOOKUP(K162,[1]!Tablo3[#Data],2,FALSE)</f>
        <v>Kadir TOPÇU</v>
      </c>
    </row>
    <row r="163" spans="1:27" x14ac:dyDescent="0.25">
      <c r="A163">
        <v>1452</v>
      </c>
      <c r="B163" t="s">
        <v>27</v>
      </c>
      <c r="C163" t="s">
        <v>402</v>
      </c>
      <c r="D163" t="s">
        <v>403</v>
      </c>
      <c r="F163" t="s">
        <v>383</v>
      </c>
      <c r="G163" t="s">
        <v>384</v>
      </c>
      <c r="H163" t="s">
        <v>773</v>
      </c>
      <c r="I163" s="4">
        <v>46191.875</v>
      </c>
      <c r="J163" t="s">
        <v>774</v>
      </c>
      <c r="K163" t="s">
        <v>743</v>
      </c>
      <c r="L163" s="5" t="s">
        <v>775</v>
      </c>
      <c r="M163" s="5"/>
      <c r="N163" t="s">
        <v>46</v>
      </c>
      <c r="O163" t="s">
        <v>776</v>
      </c>
      <c r="R163">
        <v>0.7</v>
      </c>
      <c r="S163" t="s">
        <v>230</v>
      </c>
      <c r="T163" s="5" t="s">
        <v>48</v>
      </c>
      <c r="U163" t="s">
        <v>777</v>
      </c>
      <c r="V163" t="s">
        <v>778</v>
      </c>
      <c r="W163">
        <v>226</v>
      </c>
      <c r="X163" t="s">
        <v>779</v>
      </c>
      <c r="Y163" t="str">
        <f>VLOOKUP(C163,'[1]DBS_KPY Sorumlular'!A:C,2,FALSE)</f>
        <v>Tayfun VİÇE</v>
      </c>
      <c r="Z163" t="str">
        <f>VLOOKUP(C163,'[1]DBS_KPY Sorumlular'!A:C,3,FALSE)</f>
        <v>Mehmet Ali YAVUZ</v>
      </c>
      <c r="AA163" t="str">
        <f>VLOOKUP(K163,[1]!Tablo3[#Data],2,FALSE)</f>
        <v>Kadir TOPÇU</v>
      </c>
    </row>
    <row r="164" spans="1:27" x14ac:dyDescent="0.25">
      <c r="A164">
        <v>1453</v>
      </c>
      <c r="B164" t="s">
        <v>27</v>
      </c>
      <c r="C164" t="s">
        <v>402</v>
      </c>
      <c r="D164" t="s">
        <v>403</v>
      </c>
      <c r="F164" t="s">
        <v>383</v>
      </c>
      <c r="G164" t="s">
        <v>384</v>
      </c>
      <c r="H164" t="s">
        <v>780</v>
      </c>
      <c r="I164" s="4">
        <v>45718.875</v>
      </c>
      <c r="K164" t="s">
        <v>743</v>
      </c>
      <c r="L164" s="5" t="s">
        <v>781</v>
      </c>
      <c r="M164" s="5"/>
      <c r="N164" t="s">
        <v>82</v>
      </c>
      <c r="O164" t="s">
        <v>782</v>
      </c>
      <c r="R164">
        <v>1</v>
      </c>
      <c r="S164" t="s">
        <v>230</v>
      </c>
      <c r="T164" s="5" t="s">
        <v>48</v>
      </c>
      <c r="U164" t="s">
        <v>783</v>
      </c>
      <c r="V164" t="s">
        <v>784</v>
      </c>
      <c r="W164">
        <v>182</v>
      </c>
      <c r="X164" t="s">
        <v>785</v>
      </c>
      <c r="Y164" t="str">
        <f>VLOOKUP(C164,'[1]DBS_KPY Sorumlular'!A:C,2,FALSE)</f>
        <v>Tayfun VİÇE</v>
      </c>
      <c r="Z164" t="str">
        <f>VLOOKUP(C164,'[1]DBS_KPY Sorumlular'!A:C,3,FALSE)</f>
        <v>Mehmet Ali YAVUZ</v>
      </c>
      <c r="AA164" t="str">
        <f>VLOOKUP(K164,[1]!Tablo3[#Data],2,FALSE)</f>
        <v>Kadir TOPÇU</v>
      </c>
    </row>
    <row r="165" spans="1:27" x14ac:dyDescent="0.25">
      <c r="A165">
        <v>1454</v>
      </c>
      <c r="B165" t="s">
        <v>27</v>
      </c>
      <c r="C165" t="s">
        <v>40</v>
      </c>
      <c r="D165" t="s">
        <v>41</v>
      </c>
      <c r="F165" t="s">
        <v>95</v>
      </c>
      <c r="G165" t="s">
        <v>96</v>
      </c>
      <c r="H165" t="s">
        <v>786</v>
      </c>
      <c r="I165" s="4">
        <v>45596.875</v>
      </c>
      <c r="K165" t="s">
        <v>743</v>
      </c>
      <c r="L165" s="5"/>
      <c r="M165" s="5" t="s">
        <v>787</v>
      </c>
      <c r="N165" t="s">
        <v>82</v>
      </c>
      <c r="O165" t="s">
        <v>788</v>
      </c>
      <c r="R165">
        <v>1</v>
      </c>
      <c r="S165" t="s">
        <v>230</v>
      </c>
      <c r="T165" s="5" t="s">
        <v>48</v>
      </c>
      <c r="U165" t="s">
        <v>789</v>
      </c>
      <c r="V165" t="s">
        <v>786</v>
      </c>
      <c r="W165">
        <v>91</v>
      </c>
      <c r="X165" t="s">
        <v>101</v>
      </c>
      <c r="Y165" t="str">
        <f>VLOOKUP(C165,'[1]DBS_KPY Sorumlular'!A:C,2,FALSE)</f>
        <v>Mustafa AYDIN</v>
      </c>
      <c r="Z165" t="str">
        <f>VLOOKUP(C165,'[1]DBS_KPY Sorumlular'!A:C,3,FALSE)</f>
        <v>Esra DOLAN</v>
      </c>
      <c r="AA165" t="str">
        <f>VLOOKUP(K165,[1]!Tablo3[#Data],2,FALSE)</f>
        <v>Kadir TOPÇU</v>
      </c>
    </row>
    <row r="166" spans="1:27" x14ac:dyDescent="0.25">
      <c r="A166">
        <v>1455</v>
      </c>
      <c r="B166" t="s">
        <v>27</v>
      </c>
      <c r="C166" t="s">
        <v>73</v>
      </c>
      <c r="D166" t="s">
        <v>73</v>
      </c>
      <c r="F166" t="s">
        <v>74</v>
      </c>
      <c r="G166" t="s">
        <v>30</v>
      </c>
      <c r="H166" t="s">
        <v>790</v>
      </c>
      <c r="I166" s="4">
        <v>45960.875</v>
      </c>
      <c r="J166" t="s">
        <v>791</v>
      </c>
      <c r="K166" t="s">
        <v>743</v>
      </c>
      <c r="L166" s="5" t="s">
        <v>792</v>
      </c>
      <c r="M166" s="5"/>
      <c r="N166" t="s">
        <v>46</v>
      </c>
      <c r="O166" t="s">
        <v>793</v>
      </c>
      <c r="R166">
        <v>0.95</v>
      </c>
      <c r="S166" t="s">
        <v>230</v>
      </c>
      <c r="T166" s="5" t="s">
        <v>38</v>
      </c>
      <c r="Y166" t="str">
        <f>VLOOKUP(C166,'[1]DBS_KPY Sorumlular'!A:C,2,FALSE)</f>
        <v>Ayşegül AKGÜL</v>
      </c>
      <c r="Z166" t="str">
        <f>VLOOKUP(C166,'[1]DBS_KPY Sorumlular'!A:C,3,FALSE)</f>
        <v>Sinan ERDAŞ</v>
      </c>
      <c r="AA166" t="str">
        <f>VLOOKUP(K166,[1]!Tablo3[#Data],2,FALSE)</f>
        <v>Kadir TOPÇU</v>
      </c>
    </row>
    <row r="167" spans="1:27" x14ac:dyDescent="0.25">
      <c r="A167">
        <v>1456</v>
      </c>
      <c r="B167" t="s">
        <v>27</v>
      </c>
      <c r="C167" t="s">
        <v>402</v>
      </c>
      <c r="D167" t="s">
        <v>403</v>
      </c>
      <c r="F167" t="s">
        <v>52</v>
      </c>
      <c r="G167" t="s">
        <v>43</v>
      </c>
      <c r="H167" t="s">
        <v>794</v>
      </c>
      <c r="I167" s="4">
        <v>46121.875</v>
      </c>
      <c r="K167" t="s">
        <v>743</v>
      </c>
      <c r="L167" s="5" t="s">
        <v>795</v>
      </c>
      <c r="M167" s="5"/>
      <c r="N167" t="s">
        <v>46</v>
      </c>
      <c r="O167" t="s">
        <v>796</v>
      </c>
      <c r="R167">
        <v>0.5</v>
      </c>
      <c r="S167" t="s">
        <v>230</v>
      </c>
      <c r="T167" s="5" t="s">
        <v>100</v>
      </c>
      <c r="U167" t="s">
        <v>797</v>
      </c>
      <c r="V167" t="s">
        <v>798</v>
      </c>
      <c r="W167">
        <v>220</v>
      </c>
      <c r="X167" t="s">
        <v>510</v>
      </c>
      <c r="Y167" t="str">
        <f>VLOOKUP(C167,'[1]DBS_KPY Sorumlular'!A:C,2,FALSE)</f>
        <v>Tayfun VİÇE</v>
      </c>
      <c r="Z167" t="str">
        <f>VLOOKUP(C167,'[1]DBS_KPY Sorumlular'!A:C,3,FALSE)</f>
        <v>Mehmet Ali YAVUZ</v>
      </c>
      <c r="AA167" t="str">
        <f>VLOOKUP(K167,[1]!Tablo3[#Data],2,FALSE)</f>
        <v>Kadir TOPÇU</v>
      </c>
    </row>
    <row r="168" spans="1:27" x14ac:dyDescent="0.25">
      <c r="A168">
        <v>1457</v>
      </c>
      <c r="B168" t="s">
        <v>27</v>
      </c>
      <c r="C168" t="s">
        <v>402</v>
      </c>
      <c r="D168" t="s">
        <v>403</v>
      </c>
      <c r="F168" t="s">
        <v>383</v>
      </c>
      <c r="G168" t="s">
        <v>43</v>
      </c>
      <c r="H168" t="s">
        <v>799</v>
      </c>
      <c r="I168" s="4">
        <v>45974.875</v>
      </c>
      <c r="K168" t="s">
        <v>743</v>
      </c>
      <c r="L168" s="5" t="s">
        <v>800</v>
      </c>
      <c r="M168" s="5"/>
      <c r="N168" t="s">
        <v>46</v>
      </c>
      <c r="O168" t="s">
        <v>801</v>
      </c>
      <c r="R168">
        <v>0.3</v>
      </c>
      <c r="S168" t="s">
        <v>230</v>
      </c>
      <c r="T168" s="5" t="s">
        <v>48</v>
      </c>
      <c r="U168" t="s">
        <v>802</v>
      </c>
      <c r="V168" t="s">
        <v>803</v>
      </c>
      <c r="W168">
        <v>114</v>
      </c>
      <c r="X168" t="s">
        <v>136</v>
      </c>
      <c r="Y168" t="str">
        <f>VLOOKUP(C168,'[1]DBS_KPY Sorumlular'!A:C,2,FALSE)</f>
        <v>Tayfun VİÇE</v>
      </c>
      <c r="Z168" t="str">
        <f>VLOOKUP(C168,'[1]DBS_KPY Sorumlular'!A:C,3,FALSE)</f>
        <v>Mehmet Ali YAVUZ</v>
      </c>
      <c r="AA168" t="str">
        <f>VLOOKUP(K168,[1]!Tablo3[#Data],2,FALSE)</f>
        <v>Kadir TOPÇU</v>
      </c>
    </row>
    <row r="169" spans="1:27" x14ac:dyDescent="0.25">
      <c r="A169">
        <v>1458</v>
      </c>
      <c r="B169" t="s">
        <v>27</v>
      </c>
      <c r="C169" t="s">
        <v>402</v>
      </c>
      <c r="D169" t="s">
        <v>403</v>
      </c>
      <c r="F169" t="s">
        <v>383</v>
      </c>
      <c r="G169" t="s">
        <v>384</v>
      </c>
      <c r="H169" t="s">
        <v>804</v>
      </c>
      <c r="I169" s="4">
        <v>46002.875</v>
      </c>
      <c r="K169" t="s">
        <v>743</v>
      </c>
      <c r="L169" s="5" t="s">
        <v>805</v>
      </c>
      <c r="M169" s="5"/>
      <c r="N169" t="s">
        <v>46</v>
      </c>
      <c r="O169" t="s">
        <v>806</v>
      </c>
      <c r="R169">
        <v>0.65</v>
      </c>
      <c r="S169" t="s">
        <v>230</v>
      </c>
      <c r="T169" s="5" t="s">
        <v>48</v>
      </c>
      <c r="U169" t="s">
        <v>807</v>
      </c>
      <c r="V169" t="s">
        <v>808</v>
      </c>
      <c r="W169">
        <v>51</v>
      </c>
      <c r="X169" t="s">
        <v>809</v>
      </c>
      <c r="Y169" t="str">
        <f>VLOOKUP(C169,'[1]DBS_KPY Sorumlular'!A:C,2,FALSE)</f>
        <v>Tayfun VİÇE</v>
      </c>
      <c r="Z169" t="str">
        <f>VLOOKUP(C169,'[1]DBS_KPY Sorumlular'!A:C,3,FALSE)</f>
        <v>Mehmet Ali YAVUZ</v>
      </c>
      <c r="AA169" t="str">
        <f>VLOOKUP(K169,[1]!Tablo3[#Data],2,FALSE)</f>
        <v>Kadir TOPÇU</v>
      </c>
    </row>
    <row r="170" spans="1:27" x14ac:dyDescent="0.25">
      <c r="A170">
        <v>1459</v>
      </c>
      <c r="B170" t="s">
        <v>27</v>
      </c>
      <c r="C170" t="s">
        <v>402</v>
      </c>
      <c r="D170" t="s">
        <v>403</v>
      </c>
      <c r="F170" t="s">
        <v>383</v>
      </c>
      <c r="G170" t="s">
        <v>384</v>
      </c>
      <c r="H170" t="s">
        <v>810</v>
      </c>
      <c r="I170" s="4">
        <v>46241.875</v>
      </c>
      <c r="J170" t="s">
        <v>723</v>
      </c>
      <c r="K170" t="s">
        <v>743</v>
      </c>
      <c r="L170" s="5" t="s">
        <v>811</v>
      </c>
      <c r="M170" s="5"/>
      <c r="N170" t="s">
        <v>46</v>
      </c>
      <c r="O170" t="s">
        <v>812</v>
      </c>
      <c r="R170">
        <v>0.5</v>
      </c>
      <c r="S170" t="s">
        <v>230</v>
      </c>
      <c r="T170" s="5" t="s">
        <v>48</v>
      </c>
      <c r="U170" t="s">
        <v>813</v>
      </c>
      <c r="V170" t="s">
        <v>814</v>
      </c>
      <c r="W170">
        <v>156</v>
      </c>
      <c r="X170" t="s">
        <v>815</v>
      </c>
      <c r="Y170" t="str">
        <f>VLOOKUP(C170,'[1]DBS_KPY Sorumlular'!A:C,2,FALSE)</f>
        <v>Tayfun VİÇE</v>
      </c>
      <c r="Z170" t="str">
        <f>VLOOKUP(C170,'[1]DBS_KPY Sorumlular'!A:C,3,FALSE)</f>
        <v>Mehmet Ali YAVUZ</v>
      </c>
      <c r="AA170" t="str">
        <f>VLOOKUP(K170,[1]!Tablo3[#Data],2,FALSE)</f>
        <v>Kadir TOPÇU</v>
      </c>
    </row>
    <row r="171" spans="1:27" x14ac:dyDescent="0.25">
      <c r="A171">
        <v>1460</v>
      </c>
      <c r="B171" t="s">
        <v>27</v>
      </c>
      <c r="C171" t="s">
        <v>73</v>
      </c>
      <c r="D171" t="s">
        <v>73</v>
      </c>
      <c r="F171" t="s">
        <v>74</v>
      </c>
      <c r="G171" t="s">
        <v>30</v>
      </c>
      <c r="H171" t="s">
        <v>816</v>
      </c>
      <c r="I171" s="4">
        <v>46321.875</v>
      </c>
      <c r="J171" t="s">
        <v>817</v>
      </c>
      <c r="K171" t="s">
        <v>743</v>
      </c>
      <c r="L171" s="5" t="s">
        <v>818</v>
      </c>
      <c r="M171" s="5"/>
      <c r="N171" t="s">
        <v>46</v>
      </c>
      <c r="O171" t="s">
        <v>819</v>
      </c>
      <c r="R171">
        <v>0.3</v>
      </c>
      <c r="S171" t="s">
        <v>230</v>
      </c>
      <c r="T171" s="5" t="s">
        <v>38</v>
      </c>
      <c r="Y171" t="str">
        <f>VLOOKUP(C171,'[1]DBS_KPY Sorumlular'!A:C,2,FALSE)</f>
        <v>Ayşegül AKGÜL</v>
      </c>
      <c r="Z171" t="str">
        <f>VLOOKUP(C171,'[1]DBS_KPY Sorumlular'!A:C,3,FALSE)</f>
        <v>Sinan ERDAŞ</v>
      </c>
      <c r="AA171" t="str">
        <f>VLOOKUP(K171,[1]!Tablo3[#Data],2,FALSE)</f>
        <v>Kadir TOPÇU</v>
      </c>
    </row>
    <row r="172" spans="1:27" x14ac:dyDescent="0.25">
      <c r="A172">
        <v>1461</v>
      </c>
      <c r="B172" t="s">
        <v>27</v>
      </c>
      <c r="C172" t="s">
        <v>73</v>
      </c>
      <c r="D172" t="s">
        <v>73</v>
      </c>
      <c r="F172" t="s">
        <v>74</v>
      </c>
      <c r="G172" t="s">
        <v>30</v>
      </c>
      <c r="H172" t="s">
        <v>820</v>
      </c>
      <c r="I172" s="4">
        <v>46321.875</v>
      </c>
      <c r="J172" t="s">
        <v>821</v>
      </c>
      <c r="K172" t="s">
        <v>743</v>
      </c>
      <c r="L172" s="5" t="s">
        <v>822</v>
      </c>
      <c r="M172" s="5"/>
      <c r="N172" t="s">
        <v>46</v>
      </c>
      <c r="O172" t="s">
        <v>823</v>
      </c>
      <c r="R172">
        <v>0.4</v>
      </c>
      <c r="S172" t="s">
        <v>230</v>
      </c>
      <c r="T172" s="5" t="s">
        <v>38</v>
      </c>
      <c r="Y172" t="str">
        <f>VLOOKUP(C172,'[1]DBS_KPY Sorumlular'!A:C,2,FALSE)</f>
        <v>Ayşegül AKGÜL</v>
      </c>
      <c r="Z172" t="str">
        <f>VLOOKUP(C172,'[1]DBS_KPY Sorumlular'!A:C,3,FALSE)</f>
        <v>Sinan ERDAŞ</v>
      </c>
      <c r="AA172" t="str">
        <f>VLOOKUP(K172,[1]!Tablo3[#Data],2,FALSE)</f>
        <v>Kadir TOPÇU</v>
      </c>
    </row>
    <row r="173" spans="1:27" x14ac:dyDescent="0.25">
      <c r="A173">
        <v>1462</v>
      </c>
      <c r="B173" t="s">
        <v>27</v>
      </c>
      <c r="C173" t="s">
        <v>73</v>
      </c>
      <c r="D173" t="s">
        <v>73</v>
      </c>
      <c r="F173" t="s">
        <v>74</v>
      </c>
      <c r="G173" t="s">
        <v>30</v>
      </c>
      <c r="H173" t="s">
        <v>824</v>
      </c>
      <c r="I173" s="4">
        <v>45966.875</v>
      </c>
      <c r="J173" t="s">
        <v>825</v>
      </c>
      <c r="K173" t="s">
        <v>743</v>
      </c>
      <c r="L173" s="5" t="s">
        <v>826</v>
      </c>
      <c r="M173" s="5"/>
      <c r="N173" t="s">
        <v>46</v>
      </c>
      <c r="O173" t="s">
        <v>827</v>
      </c>
      <c r="R173">
        <v>1.7600000000000001E-2</v>
      </c>
      <c r="S173" t="s">
        <v>230</v>
      </c>
      <c r="T173" s="5" t="s">
        <v>38</v>
      </c>
      <c r="Y173" t="str">
        <f>VLOOKUP(C173,'[1]DBS_KPY Sorumlular'!A:C,2,FALSE)</f>
        <v>Ayşegül AKGÜL</v>
      </c>
      <c r="Z173" t="str">
        <f>VLOOKUP(C173,'[1]DBS_KPY Sorumlular'!A:C,3,FALSE)</f>
        <v>Sinan ERDAŞ</v>
      </c>
      <c r="AA173" t="str">
        <f>VLOOKUP(K173,[1]!Tablo3[#Data],2,FALSE)</f>
        <v>Kadir TOPÇU</v>
      </c>
    </row>
    <row r="174" spans="1:27" x14ac:dyDescent="0.25">
      <c r="A174">
        <v>1463</v>
      </c>
      <c r="B174" t="s">
        <v>27</v>
      </c>
      <c r="C174" t="s">
        <v>40</v>
      </c>
      <c r="D174" t="s">
        <v>41</v>
      </c>
      <c r="F174" t="s">
        <v>95</v>
      </c>
      <c r="G174" t="s">
        <v>96</v>
      </c>
      <c r="H174" t="s">
        <v>828</v>
      </c>
      <c r="I174" s="4">
        <v>46021.875</v>
      </c>
      <c r="J174" t="s">
        <v>829</v>
      </c>
      <c r="K174" t="s">
        <v>743</v>
      </c>
      <c r="L174" s="5" t="s">
        <v>830</v>
      </c>
      <c r="M174" s="5"/>
      <c r="N174" t="s">
        <v>46</v>
      </c>
      <c r="O174" t="s">
        <v>831</v>
      </c>
      <c r="R174">
        <v>0.15</v>
      </c>
      <c r="S174" t="s">
        <v>230</v>
      </c>
      <c r="T174" s="5" t="s">
        <v>48</v>
      </c>
      <c r="U174" t="s">
        <v>832</v>
      </c>
      <c r="V174" t="s">
        <v>833</v>
      </c>
      <c r="W174">
        <v>86</v>
      </c>
      <c r="X174" t="s">
        <v>189</v>
      </c>
      <c r="Y174" t="str">
        <f>VLOOKUP(C174,'[1]DBS_KPY Sorumlular'!A:C,2,FALSE)</f>
        <v>Mustafa AYDIN</v>
      </c>
      <c r="Z174" t="str">
        <f>VLOOKUP(C174,'[1]DBS_KPY Sorumlular'!A:C,3,FALSE)</f>
        <v>Esra DOLAN</v>
      </c>
      <c r="AA174" t="str">
        <f>VLOOKUP(K174,[1]!Tablo3[#Data],2,FALSE)</f>
        <v>Kadir TOPÇU</v>
      </c>
    </row>
    <row r="175" spans="1:27" x14ac:dyDescent="0.25">
      <c r="A175">
        <v>1464</v>
      </c>
      <c r="B175" t="s">
        <v>27</v>
      </c>
      <c r="C175" t="s">
        <v>40</v>
      </c>
      <c r="D175" t="s">
        <v>41</v>
      </c>
      <c r="F175" t="s">
        <v>42</v>
      </c>
      <c r="G175" t="s">
        <v>43</v>
      </c>
      <c r="H175" t="s">
        <v>834</v>
      </c>
      <c r="I175" s="4">
        <v>45804.875</v>
      </c>
      <c r="K175" t="s">
        <v>835</v>
      </c>
      <c r="L175" s="5"/>
      <c r="M175" s="5"/>
      <c r="N175" t="s">
        <v>82</v>
      </c>
      <c r="O175" t="s">
        <v>836</v>
      </c>
      <c r="R175">
        <v>1</v>
      </c>
      <c r="S175" t="s">
        <v>230</v>
      </c>
      <c r="T175" s="5" t="s">
        <v>58</v>
      </c>
      <c r="U175" t="s">
        <v>254</v>
      </c>
      <c r="V175" t="s">
        <v>255</v>
      </c>
      <c r="W175">
        <v>72</v>
      </c>
      <c r="X175" t="s">
        <v>341</v>
      </c>
      <c r="Y175" t="str">
        <f>VLOOKUP(C175,'[1]DBS_KPY Sorumlular'!A:C,2,FALSE)</f>
        <v>Mustafa AYDIN</v>
      </c>
      <c r="Z175" t="str">
        <f>VLOOKUP(C175,'[1]DBS_KPY Sorumlular'!A:C,3,FALSE)</f>
        <v>Esra DOLAN</v>
      </c>
      <c r="AA175" t="str">
        <f>VLOOKUP(K175,[1]!Tablo3[#Data],2,FALSE)</f>
        <v>Kadir TOPÇU</v>
      </c>
    </row>
    <row r="176" spans="1:27" x14ac:dyDescent="0.25">
      <c r="A176">
        <v>1465</v>
      </c>
      <c r="B176" t="s">
        <v>27</v>
      </c>
      <c r="C176" t="s">
        <v>40</v>
      </c>
      <c r="D176" t="s">
        <v>41</v>
      </c>
      <c r="F176" t="s">
        <v>184</v>
      </c>
      <c r="G176" t="s">
        <v>43</v>
      </c>
      <c r="H176" t="s">
        <v>837</v>
      </c>
      <c r="I176" s="4">
        <v>45645.875</v>
      </c>
      <c r="K176" t="s">
        <v>835</v>
      </c>
      <c r="L176" s="5"/>
      <c r="M176" s="5"/>
      <c r="N176" t="s">
        <v>82</v>
      </c>
      <c r="O176" t="s">
        <v>838</v>
      </c>
      <c r="R176">
        <v>1</v>
      </c>
      <c r="S176" t="s">
        <v>230</v>
      </c>
      <c r="T176" s="5" t="s">
        <v>58</v>
      </c>
      <c r="U176" t="s">
        <v>187</v>
      </c>
      <c r="V176" t="s">
        <v>188</v>
      </c>
      <c r="W176">
        <v>86</v>
      </c>
      <c r="X176" t="s">
        <v>189</v>
      </c>
      <c r="Y176" t="str">
        <f>VLOOKUP(C176,'[1]DBS_KPY Sorumlular'!A:C,2,FALSE)</f>
        <v>Mustafa AYDIN</v>
      </c>
      <c r="Z176" t="str">
        <f>VLOOKUP(C176,'[1]DBS_KPY Sorumlular'!A:C,3,FALSE)</f>
        <v>Esra DOLAN</v>
      </c>
      <c r="AA176" t="str">
        <f>VLOOKUP(K176,[1]!Tablo3[#Data],2,FALSE)</f>
        <v>Kadir TOPÇU</v>
      </c>
    </row>
    <row r="177" spans="1:27" x14ac:dyDescent="0.25">
      <c r="A177">
        <v>1466</v>
      </c>
      <c r="B177" t="s">
        <v>27</v>
      </c>
      <c r="C177" t="s">
        <v>40</v>
      </c>
      <c r="D177" t="s">
        <v>41</v>
      </c>
      <c r="F177" t="s">
        <v>102</v>
      </c>
      <c r="G177" t="s">
        <v>43</v>
      </c>
      <c r="H177" t="s">
        <v>839</v>
      </c>
      <c r="I177" s="4">
        <v>45565.875</v>
      </c>
      <c r="K177" t="s">
        <v>835</v>
      </c>
      <c r="L177" s="5"/>
      <c r="M177" s="5"/>
      <c r="N177" t="s">
        <v>82</v>
      </c>
      <c r="O177" t="s">
        <v>840</v>
      </c>
      <c r="R177">
        <v>1</v>
      </c>
      <c r="S177" t="s">
        <v>230</v>
      </c>
      <c r="T177" s="5" t="s">
        <v>48</v>
      </c>
      <c r="U177" t="s">
        <v>841</v>
      </c>
      <c r="V177" t="s">
        <v>842</v>
      </c>
      <c r="W177">
        <v>108</v>
      </c>
      <c r="X177" t="s">
        <v>107</v>
      </c>
      <c r="Y177" t="str">
        <f>VLOOKUP(C177,'[1]DBS_KPY Sorumlular'!A:C,2,FALSE)</f>
        <v>Mustafa AYDIN</v>
      </c>
      <c r="Z177" t="str">
        <f>VLOOKUP(C177,'[1]DBS_KPY Sorumlular'!A:C,3,FALSE)</f>
        <v>Esra DOLAN</v>
      </c>
      <c r="AA177" t="str">
        <f>VLOOKUP(K177,[1]!Tablo3[#Data],2,FALSE)</f>
        <v>Kadir TOPÇU</v>
      </c>
    </row>
    <row r="178" spans="1:27" x14ac:dyDescent="0.25">
      <c r="A178">
        <v>1467</v>
      </c>
      <c r="B178" t="s">
        <v>27</v>
      </c>
      <c r="C178" t="s">
        <v>843</v>
      </c>
      <c r="D178" t="s">
        <v>844</v>
      </c>
      <c r="F178" t="s">
        <v>290</v>
      </c>
      <c r="G178" t="s">
        <v>291</v>
      </c>
      <c r="H178" t="s">
        <v>845</v>
      </c>
      <c r="I178" s="4">
        <v>46017.875</v>
      </c>
      <c r="J178" t="s">
        <v>846</v>
      </c>
      <c r="K178" t="s">
        <v>835</v>
      </c>
      <c r="L178" s="5" t="s">
        <v>847</v>
      </c>
      <c r="M178" s="5"/>
      <c r="N178" t="s">
        <v>46</v>
      </c>
      <c r="O178" t="s">
        <v>848</v>
      </c>
      <c r="R178">
        <v>0.77</v>
      </c>
      <c r="S178" t="s">
        <v>230</v>
      </c>
      <c r="T178" s="5" t="s">
        <v>38</v>
      </c>
      <c r="W178">
        <v>23</v>
      </c>
      <c r="X178" t="s">
        <v>295</v>
      </c>
      <c r="Y178" t="str">
        <f>VLOOKUP(C178,'[1]DBS_KPY Sorumlular'!A:C,2,FALSE)</f>
        <v>Sinan ERDAŞ</v>
      </c>
      <c r="Z178" t="str">
        <f>VLOOKUP(C178,'[1]DBS_KPY Sorumlular'!A:C,3,FALSE)</f>
        <v>Ayşegül AKGÜL</v>
      </c>
      <c r="AA178" t="str">
        <f>VLOOKUP(K178,[1]!Tablo3[#Data],2,FALSE)</f>
        <v>Kadir TOPÇU</v>
      </c>
    </row>
    <row r="179" spans="1:27" x14ac:dyDescent="0.25">
      <c r="A179">
        <v>1468</v>
      </c>
      <c r="B179" t="s">
        <v>27</v>
      </c>
      <c r="C179" t="s">
        <v>73</v>
      </c>
      <c r="D179" t="s">
        <v>73</v>
      </c>
      <c r="F179" t="s">
        <v>74</v>
      </c>
      <c r="G179" t="s">
        <v>30</v>
      </c>
      <c r="H179" t="s">
        <v>849</v>
      </c>
      <c r="I179" s="4">
        <v>46022.875</v>
      </c>
      <c r="J179" t="s">
        <v>850</v>
      </c>
      <c r="K179" t="s">
        <v>835</v>
      </c>
      <c r="L179" s="5" t="s">
        <v>213</v>
      </c>
      <c r="M179" s="5"/>
      <c r="N179" t="s">
        <v>46</v>
      </c>
      <c r="O179" t="s">
        <v>851</v>
      </c>
      <c r="R179">
        <v>0.2</v>
      </c>
      <c r="S179" t="s">
        <v>230</v>
      </c>
      <c r="T179" s="5" t="s">
        <v>38</v>
      </c>
      <c r="Y179" t="str">
        <f>VLOOKUP(C179,'[1]DBS_KPY Sorumlular'!A:C,2,FALSE)</f>
        <v>Ayşegül AKGÜL</v>
      </c>
      <c r="Z179" t="str">
        <f>VLOOKUP(C179,'[1]DBS_KPY Sorumlular'!A:C,3,FALSE)</f>
        <v>Sinan ERDAŞ</v>
      </c>
      <c r="AA179" t="str">
        <f>VLOOKUP(K179,[1]!Tablo3[#Data],2,FALSE)</f>
        <v>Kadir TOPÇU</v>
      </c>
    </row>
    <row r="180" spans="1:27" x14ac:dyDescent="0.25">
      <c r="A180">
        <v>1469</v>
      </c>
      <c r="B180" t="s">
        <v>27</v>
      </c>
      <c r="C180" t="s">
        <v>40</v>
      </c>
      <c r="D180" t="s">
        <v>41</v>
      </c>
      <c r="F180" t="s">
        <v>52</v>
      </c>
      <c r="G180" t="s">
        <v>43</v>
      </c>
      <c r="H180" t="s">
        <v>852</v>
      </c>
      <c r="I180" s="4">
        <v>46063.875</v>
      </c>
      <c r="K180" t="s">
        <v>853</v>
      </c>
      <c r="L180" s="5"/>
      <c r="M180" s="5"/>
      <c r="N180" t="s">
        <v>46</v>
      </c>
      <c r="O180" t="s">
        <v>854</v>
      </c>
      <c r="R180">
        <v>0.6</v>
      </c>
      <c r="S180" t="s">
        <v>57</v>
      </c>
      <c r="T180" s="5" t="s">
        <v>58</v>
      </c>
      <c r="U180" t="s">
        <v>59</v>
      </c>
      <c r="V180" t="s">
        <v>60</v>
      </c>
      <c r="W180">
        <v>131</v>
      </c>
      <c r="X180" t="s">
        <v>61</v>
      </c>
      <c r="Y180" t="str">
        <f>VLOOKUP(C180,'[1]DBS_KPY Sorumlular'!A:C,2,FALSE)</f>
        <v>Mustafa AYDIN</v>
      </c>
      <c r="Z180" t="str">
        <f>VLOOKUP(C180,'[1]DBS_KPY Sorumlular'!A:C,3,FALSE)</f>
        <v>Esra DOLAN</v>
      </c>
      <c r="AA180" t="str">
        <f>VLOOKUP(K180,[1]!Tablo3[#Data],2,FALSE)</f>
        <v>Erkan AKDOĞAN</v>
      </c>
    </row>
    <row r="181" spans="1:27" x14ac:dyDescent="0.25">
      <c r="A181">
        <v>1470</v>
      </c>
      <c r="B181" t="s">
        <v>27</v>
      </c>
      <c r="C181" t="s">
        <v>73</v>
      </c>
      <c r="D181" t="s">
        <v>73</v>
      </c>
      <c r="F181" t="s">
        <v>74</v>
      </c>
      <c r="G181" t="s">
        <v>30</v>
      </c>
      <c r="H181" t="s">
        <v>855</v>
      </c>
      <c r="I181" s="4">
        <v>46386.875</v>
      </c>
      <c r="J181" t="s">
        <v>856</v>
      </c>
      <c r="K181" t="s">
        <v>853</v>
      </c>
      <c r="L181" s="5" t="s">
        <v>213</v>
      </c>
      <c r="M181" s="5"/>
      <c r="N181" t="s">
        <v>46</v>
      </c>
      <c r="O181" t="s">
        <v>857</v>
      </c>
      <c r="R181">
        <v>0.01</v>
      </c>
      <c r="S181" t="s">
        <v>57</v>
      </c>
      <c r="T181" s="5" t="s">
        <v>38</v>
      </c>
      <c r="Y181" t="str">
        <f>VLOOKUP(C181,'[1]DBS_KPY Sorumlular'!A:C,2,FALSE)</f>
        <v>Ayşegül AKGÜL</v>
      </c>
      <c r="Z181" t="str">
        <f>VLOOKUP(C181,'[1]DBS_KPY Sorumlular'!A:C,3,FALSE)</f>
        <v>Sinan ERDAŞ</v>
      </c>
      <c r="AA181" t="str">
        <f>VLOOKUP(K181,[1]!Tablo3[#Data],2,FALSE)</f>
        <v>Erkan AKDOĞAN</v>
      </c>
    </row>
    <row r="182" spans="1:27" x14ac:dyDescent="0.25">
      <c r="A182">
        <v>1471</v>
      </c>
      <c r="B182" t="s">
        <v>27</v>
      </c>
      <c r="C182" t="s">
        <v>40</v>
      </c>
      <c r="D182" t="s">
        <v>65</v>
      </c>
      <c r="F182" t="s">
        <v>66</v>
      </c>
      <c r="G182" t="s">
        <v>67</v>
      </c>
      <c r="H182" t="s">
        <v>858</v>
      </c>
      <c r="I182" s="4">
        <v>45609.875</v>
      </c>
      <c r="J182" t="s">
        <v>859</v>
      </c>
      <c r="K182" t="s">
        <v>860</v>
      </c>
      <c r="L182" s="5"/>
      <c r="M182" s="5"/>
      <c r="N182" t="s">
        <v>82</v>
      </c>
      <c r="O182" t="s">
        <v>861</v>
      </c>
      <c r="R182">
        <v>1</v>
      </c>
      <c r="S182" t="s">
        <v>57</v>
      </c>
      <c r="T182" s="5" t="s">
        <v>48</v>
      </c>
      <c r="U182" t="s">
        <v>862</v>
      </c>
      <c r="V182" t="s">
        <v>863</v>
      </c>
      <c r="W182">
        <v>104</v>
      </c>
      <c r="X182" t="s">
        <v>703</v>
      </c>
      <c r="Y182" t="str">
        <f>VLOOKUP(C182,'[1]DBS_KPY Sorumlular'!A:C,2,FALSE)</f>
        <v>Mustafa AYDIN</v>
      </c>
      <c r="Z182" t="str">
        <f>VLOOKUP(C182,'[1]DBS_KPY Sorumlular'!A:C,3,FALSE)</f>
        <v>Esra DOLAN</v>
      </c>
      <c r="AA182" t="str">
        <f>VLOOKUP(K182,[1]!Tablo3[#Data],2,FALSE)</f>
        <v>Erkan AKDOĞAN</v>
      </c>
    </row>
    <row r="183" spans="1:27" x14ac:dyDescent="0.25">
      <c r="A183">
        <v>1472</v>
      </c>
      <c r="B183" t="s">
        <v>27</v>
      </c>
      <c r="C183" t="s">
        <v>40</v>
      </c>
      <c r="D183" t="s">
        <v>41</v>
      </c>
      <c r="F183" t="s">
        <v>42</v>
      </c>
      <c r="G183" t="s">
        <v>43</v>
      </c>
      <c r="H183" t="s">
        <v>864</v>
      </c>
      <c r="I183" s="4">
        <v>45549.875</v>
      </c>
      <c r="K183" t="s">
        <v>860</v>
      </c>
      <c r="L183" s="5" t="s">
        <v>865</v>
      </c>
      <c r="M183" s="5"/>
      <c r="N183" t="s">
        <v>82</v>
      </c>
      <c r="O183" t="s">
        <v>866</v>
      </c>
      <c r="R183">
        <v>1</v>
      </c>
      <c r="S183" t="s">
        <v>57</v>
      </c>
      <c r="T183" s="5" t="s">
        <v>58</v>
      </c>
      <c r="U183" t="s">
        <v>867</v>
      </c>
      <c r="V183" t="s">
        <v>868</v>
      </c>
      <c r="W183">
        <v>163</v>
      </c>
      <c r="X183" t="s">
        <v>869</v>
      </c>
      <c r="Y183" t="str">
        <f>VLOOKUP(C183,'[1]DBS_KPY Sorumlular'!A:C,2,FALSE)</f>
        <v>Mustafa AYDIN</v>
      </c>
      <c r="Z183" t="str">
        <f>VLOOKUP(C183,'[1]DBS_KPY Sorumlular'!A:C,3,FALSE)</f>
        <v>Esra DOLAN</v>
      </c>
      <c r="AA183" t="str">
        <f>VLOOKUP(K183,[1]!Tablo3[#Data],2,FALSE)</f>
        <v>Erkan AKDOĞAN</v>
      </c>
    </row>
    <row r="184" spans="1:27" x14ac:dyDescent="0.25">
      <c r="A184">
        <v>1473</v>
      </c>
      <c r="B184" t="s">
        <v>27</v>
      </c>
      <c r="C184" t="s">
        <v>652</v>
      </c>
      <c r="D184" t="s">
        <v>653</v>
      </c>
      <c r="F184" t="s">
        <v>455</v>
      </c>
      <c r="G184" t="s">
        <v>456</v>
      </c>
      <c r="H184" t="s">
        <v>870</v>
      </c>
      <c r="I184" s="4">
        <v>45569.875</v>
      </c>
      <c r="J184" t="s">
        <v>871</v>
      </c>
      <c r="K184" t="s">
        <v>860</v>
      </c>
      <c r="L184" s="5"/>
      <c r="M184" s="5"/>
      <c r="N184" t="s">
        <v>82</v>
      </c>
      <c r="O184" t="s">
        <v>872</v>
      </c>
      <c r="R184">
        <v>1</v>
      </c>
      <c r="S184" t="s">
        <v>57</v>
      </c>
      <c r="T184" s="5" t="s">
        <v>48</v>
      </c>
      <c r="U184" t="s">
        <v>873</v>
      </c>
      <c r="V184" t="s">
        <v>874</v>
      </c>
      <c r="W184">
        <v>144</v>
      </c>
      <c r="X184" t="s">
        <v>463</v>
      </c>
      <c r="Y184" t="str">
        <f>VLOOKUP(C184,'[1]DBS_KPY Sorumlular'!A:C,2,FALSE)</f>
        <v>Seyithan İŞİK</v>
      </c>
      <c r="Z184" t="str">
        <f>VLOOKUP(C184,'[1]DBS_KPY Sorumlular'!A:C,3,FALSE)</f>
        <v>Korhan KÖROĞLU</v>
      </c>
      <c r="AA184" t="str">
        <f>VLOOKUP(K184,[1]!Tablo3[#Data],2,FALSE)</f>
        <v>Erkan AKDOĞAN</v>
      </c>
    </row>
    <row r="185" spans="1:27" x14ac:dyDescent="0.25">
      <c r="A185">
        <v>1474</v>
      </c>
      <c r="B185" t="s">
        <v>27</v>
      </c>
      <c r="C185" t="s">
        <v>40</v>
      </c>
      <c r="D185" t="s">
        <v>41</v>
      </c>
      <c r="F185" t="s">
        <v>42</v>
      </c>
      <c r="G185" t="s">
        <v>43</v>
      </c>
      <c r="H185" t="s">
        <v>875</v>
      </c>
      <c r="I185" s="4">
        <v>45836.875</v>
      </c>
      <c r="J185" t="s">
        <v>876</v>
      </c>
      <c r="K185" t="s">
        <v>860</v>
      </c>
      <c r="L185" s="5" t="s">
        <v>877</v>
      </c>
      <c r="M185" s="5"/>
      <c r="N185" t="s">
        <v>46</v>
      </c>
      <c r="O185" t="s">
        <v>878</v>
      </c>
      <c r="R185">
        <v>0.9</v>
      </c>
      <c r="S185" t="s">
        <v>57</v>
      </c>
      <c r="T185" s="5" t="s">
        <v>48</v>
      </c>
      <c r="U185" t="s">
        <v>879</v>
      </c>
      <c r="V185" t="s">
        <v>880</v>
      </c>
      <c r="W185">
        <v>138</v>
      </c>
      <c r="X185" t="s">
        <v>881</v>
      </c>
      <c r="Y185" t="str">
        <f>VLOOKUP(C185,'[1]DBS_KPY Sorumlular'!A:C,2,FALSE)</f>
        <v>Mustafa AYDIN</v>
      </c>
      <c r="Z185" t="str">
        <f>VLOOKUP(C185,'[1]DBS_KPY Sorumlular'!A:C,3,FALSE)</f>
        <v>Esra DOLAN</v>
      </c>
      <c r="AA185" t="str">
        <f>VLOOKUP(K185,[1]!Tablo3[#Data],2,FALSE)</f>
        <v>Erkan AKDOĞAN</v>
      </c>
    </row>
    <row r="186" spans="1:27" x14ac:dyDescent="0.25">
      <c r="A186">
        <v>1475</v>
      </c>
      <c r="B186" t="s">
        <v>27</v>
      </c>
      <c r="C186" t="s">
        <v>40</v>
      </c>
      <c r="D186" t="s">
        <v>41</v>
      </c>
      <c r="F186" t="s">
        <v>882</v>
      </c>
      <c r="G186" t="s">
        <v>43</v>
      </c>
      <c r="H186" t="s">
        <v>883</v>
      </c>
      <c r="I186" s="4">
        <v>45852.875</v>
      </c>
      <c r="J186" t="s">
        <v>884</v>
      </c>
      <c r="K186" t="s">
        <v>860</v>
      </c>
      <c r="L186" s="5"/>
      <c r="M186" s="5"/>
      <c r="N186" t="s">
        <v>46</v>
      </c>
      <c r="O186" t="s">
        <v>885</v>
      </c>
      <c r="R186">
        <v>0.9</v>
      </c>
      <c r="S186" t="s">
        <v>57</v>
      </c>
      <c r="T186" s="5" t="s">
        <v>48</v>
      </c>
      <c r="U186" t="s">
        <v>886</v>
      </c>
      <c r="V186" t="s">
        <v>887</v>
      </c>
      <c r="W186">
        <v>168</v>
      </c>
      <c r="X186" t="s">
        <v>394</v>
      </c>
      <c r="Y186" t="str">
        <f>VLOOKUP(C186,'[1]DBS_KPY Sorumlular'!A:C,2,FALSE)</f>
        <v>Mustafa AYDIN</v>
      </c>
      <c r="Z186" t="str">
        <f>VLOOKUP(C186,'[1]DBS_KPY Sorumlular'!A:C,3,FALSE)</f>
        <v>Esra DOLAN</v>
      </c>
      <c r="AA186" t="str">
        <f>VLOOKUP(K186,[1]!Tablo3[#Data],2,FALSE)</f>
        <v>Erkan AKDOĞAN</v>
      </c>
    </row>
    <row r="187" spans="1:27" x14ac:dyDescent="0.25">
      <c r="A187">
        <v>1476</v>
      </c>
      <c r="B187" t="s">
        <v>27</v>
      </c>
      <c r="C187" t="s">
        <v>40</v>
      </c>
      <c r="D187" t="s">
        <v>41</v>
      </c>
      <c r="F187" t="s">
        <v>42</v>
      </c>
      <c r="G187" t="s">
        <v>43</v>
      </c>
      <c r="H187" t="s">
        <v>888</v>
      </c>
      <c r="I187" s="4">
        <v>45802.875</v>
      </c>
      <c r="J187" t="s">
        <v>889</v>
      </c>
      <c r="K187" t="s">
        <v>860</v>
      </c>
      <c r="L187" s="5"/>
      <c r="M187" s="5"/>
      <c r="N187" t="s">
        <v>82</v>
      </c>
      <c r="O187" t="s">
        <v>890</v>
      </c>
      <c r="R187">
        <v>1</v>
      </c>
      <c r="S187" t="s">
        <v>57</v>
      </c>
      <c r="T187" s="5" t="s">
        <v>48</v>
      </c>
      <c r="U187" t="s">
        <v>891</v>
      </c>
      <c r="V187" t="s">
        <v>892</v>
      </c>
      <c r="W187">
        <v>168</v>
      </c>
      <c r="X187" t="s">
        <v>394</v>
      </c>
      <c r="Y187" t="str">
        <f>VLOOKUP(C187,'[1]DBS_KPY Sorumlular'!A:C,2,FALSE)</f>
        <v>Mustafa AYDIN</v>
      </c>
      <c r="Z187" t="str">
        <f>VLOOKUP(C187,'[1]DBS_KPY Sorumlular'!A:C,3,FALSE)</f>
        <v>Esra DOLAN</v>
      </c>
      <c r="AA187" t="str">
        <f>VLOOKUP(K187,[1]!Tablo3[#Data],2,FALSE)</f>
        <v>Erkan AKDOĞAN</v>
      </c>
    </row>
    <row r="188" spans="1:27" x14ac:dyDescent="0.25">
      <c r="A188">
        <v>1477</v>
      </c>
      <c r="B188" t="s">
        <v>27</v>
      </c>
      <c r="C188" t="s">
        <v>893</v>
      </c>
      <c r="D188" t="s">
        <v>894</v>
      </c>
      <c r="F188" t="s">
        <v>895</v>
      </c>
      <c r="G188" t="s">
        <v>30</v>
      </c>
      <c r="H188" t="s">
        <v>896</v>
      </c>
      <c r="I188" s="4">
        <v>45715.875</v>
      </c>
      <c r="J188" t="s">
        <v>897</v>
      </c>
      <c r="K188" t="s">
        <v>898</v>
      </c>
      <c r="L188" s="5" t="s">
        <v>899</v>
      </c>
      <c r="M188" s="5"/>
      <c r="N188" t="s">
        <v>82</v>
      </c>
      <c r="O188" t="s">
        <v>900</v>
      </c>
      <c r="R188">
        <v>1</v>
      </c>
      <c r="S188" t="s">
        <v>57</v>
      </c>
      <c r="T188" s="5" t="s">
        <v>38</v>
      </c>
      <c r="W188">
        <v>184</v>
      </c>
      <c r="X188" t="s">
        <v>901</v>
      </c>
      <c r="Y188" t="str">
        <f>VLOOKUP(C188,'[1]DBS_KPY Sorumlular'!A:C,2,FALSE)</f>
        <v>Seyithan İŞİK</v>
      </c>
      <c r="Z188" t="str">
        <f>VLOOKUP(C188,'[1]DBS_KPY Sorumlular'!A:C,3,FALSE)</f>
        <v>Korhan KÖROĞLU</v>
      </c>
      <c r="AA188" t="str">
        <f>VLOOKUP(K188,[1]!Tablo3[#Data],2,FALSE)</f>
        <v>Erkan AKDOĞAN</v>
      </c>
    </row>
    <row r="189" spans="1:27" x14ac:dyDescent="0.25">
      <c r="A189">
        <v>1478</v>
      </c>
      <c r="B189" t="s">
        <v>27</v>
      </c>
      <c r="C189" t="s">
        <v>893</v>
      </c>
      <c r="D189" t="s">
        <v>902</v>
      </c>
      <c r="F189" t="s">
        <v>903</v>
      </c>
      <c r="G189" t="s">
        <v>30</v>
      </c>
      <c r="H189" t="s">
        <v>904</v>
      </c>
      <c r="I189" s="4">
        <v>45865.875</v>
      </c>
      <c r="K189" t="s">
        <v>898</v>
      </c>
      <c r="L189" s="5" t="s">
        <v>905</v>
      </c>
      <c r="M189" s="5"/>
      <c r="N189" t="s">
        <v>46</v>
      </c>
      <c r="O189" t="s">
        <v>906</v>
      </c>
      <c r="R189">
        <v>0.9</v>
      </c>
      <c r="S189" t="s">
        <v>57</v>
      </c>
      <c r="T189" s="5" t="s">
        <v>38</v>
      </c>
      <c r="W189">
        <v>55</v>
      </c>
      <c r="X189" t="s">
        <v>907</v>
      </c>
      <c r="Y189" t="str">
        <f>VLOOKUP(C189,'[1]DBS_KPY Sorumlular'!A:C,2,FALSE)</f>
        <v>Seyithan İŞİK</v>
      </c>
      <c r="Z189" t="str">
        <f>VLOOKUP(C189,'[1]DBS_KPY Sorumlular'!A:C,3,FALSE)</f>
        <v>Korhan KÖROĞLU</v>
      </c>
      <c r="AA189" t="str">
        <f>VLOOKUP(K189,[1]!Tablo3[#Data],2,FALSE)</f>
        <v>Erkan AKDOĞAN</v>
      </c>
    </row>
    <row r="190" spans="1:27" x14ac:dyDescent="0.25">
      <c r="A190">
        <v>1479</v>
      </c>
      <c r="B190" t="s">
        <v>27</v>
      </c>
      <c r="C190" t="s">
        <v>893</v>
      </c>
      <c r="D190" t="s">
        <v>894</v>
      </c>
      <c r="F190" t="s">
        <v>895</v>
      </c>
      <c r="G190" t="s">
        <v>30</v>
      </c>
      <c r="H190" t="s">
        <v>908</v>
      </c>
      <c r="I190" s="4">
        <v>46014.875</v>
      </c>
      <c r="J190" t="s">
        <v>909</v>
      </c>
      <c r="K190" t="s">
        <v>898</v>
      </c>
      <c r="L190" s="5" t="s">
        <v>910</v>
      </c>
      <c r="M190" s="5"/>
      <c r="N190" t="s">
        <v>46</v>
      </c>
      <c r="O190" t="s">
        <v>911</v>
      </c>
      <c r="R190">
        <v>0.87</v>
      </c>
      <c r="S190" t="s">
        <v>57</v>
      </c>
      <c r="T190" s="5" t="s">
        <v>38</v>
      </c>
      <c r="W190">
        <v>184</v>
      </c>
      <c r="X190" t="s">
        <v>901</v>
      </c>
      <c r="Y190" t="str">
        <f>VLOOKUP(C190,'[1]DBS_KPY Sorumlular'!A:C,2,FALSE)</f>
        <v>Seyithan İŞİK</v>
      </c>
      <c r="Z190" t="str">
        <f>VLOOKUP(C190,'[1]DBS_KPY Sorumlular'!A:C,3,FALSE)</f>
        <v>Korhan KÖROĞLU</v>
      </c>
      <c r="AA190" t="str">
        <f>VLOOKUP(K190,[1]!Tablo3[#Data],2,FALSE)</f>
        <v>Erkan AKDOĞAN</v>
      </c>
    </row>
    <row r="191" spans="1:27" x14ac:dyDescent="0.25">
      <c r="A191">
        <v>1480</v>
      </c>
      <c r="B191" t="s">
        <v>27</v>
      </c>
      <c r="C191" t="s">
        <v>40</v>
      </c>
      <c r="D191" t="s">
        <v>41</v>
      </c>
      <c r="F191" t="s">
        <v>912</v>
      </c>
      <c r="G191" t="s">
        <v>43</v>
      </c>
      <c r="H191" t="s">
        <v>913</v>
      </c>
      <c r="I191" s="4">
        <v>45506.875</v>
      </c>
      <c r="K191" t="s">
        <v>914</v>
      </c>
      <c r="L191" s="5"/>
      <c r="M191" s="5"/>
      <c r="N191" t="s">
        <v>82</v>
      </c>
      <c r="O191" t="s">
        <v>915</v>
      </c>
      <c r="R191">
        <v>1</v>
      </c>
      <c r="S191" t="s">
        <v>37</v>
      </c>
      <c r="T191" s="5" t="s">
        <v>58</v>
      </c>
      <c r="U191" t="s">
        <v>916</v>
      </c>
      <c r="V191" t="s">
        <v>917</v>
      </c>
      <c r="W191">
        <v>162</v>
      </c>
      <c r="X191" t="s">
        <v>918</v>
      </c>
      <c r="Y191" t="str">
        <f>VLOOKUP(C191,'[1]DBS_KPY Sorumlular'!A:C,2,FALSE)</f>
        <v>Mustafa AYDIN</v>
      </c>
      <c r="Z191" t="str">
        <f>VLOOKUP(C191,'[1]DBS_KPY Sorumlular'!A:C,3,FALSE)</f>
        <v>Esra DOLAN</v>
      </c>
      <c r="AA191" t="str">
        <f>VLOOKUP(K191,[1]!Tablo3[#Data],2,FALSE)</f>
        <v>Tayfun VİÇE</v>
      </c>
    </row>
    <row r="192" spans="1:27" x14ac:dyDescent="0.25">
      <c r="A192">
        <v>1481</v>
      </c>
      <c r="B192" t="s">
        <v>27</v>
      </c>
      <c r="C192" t="s">
        <v>40</v>
      </c>
      <c r="D192" t="s">
        <v>41</v>
      </c>
      <c r="F192" t="s">
        <v>102</v>
      </c>
      <c r="G192" t="s">
        <v>43</v>
      </c>
      <c r="H192" t="s">
        <v>919</v>
      </c>
      <c r="I192" s="4">
        <v>45549.875</v>
      </c>
      <c r="K192" t="s">
        <v>914</v>
      </c>
      <c r="L192" s="5"/>
      <c r="M192" s="5"/>
      <c r="N192" t="s">
        <v>82</v>
      </c>
      <c r="O192" t="s">
        <v>920</v>
      </c>
      <c r="R192">
        <v>1</v>
      </c>
      <c r="S192" t="s">
        <v>37</v>
      </c>
      <c r="T192" s="5" t="s">
        <v>48</v>
      </c>
      <c r="U192" t="s">
        <v>921</v>
      </c>
      <c r="V192" t="s">
        <v>922</v>
      </c>
      <c r="W192">
        <v>108</v>
      </c>
      <c r="X192" t="s">
        <v>107</v>
      </c>
      <c r="Y192" t="str">
        <f>VLOOKUP(C192,'[1]DBS_KPY Sorumlular'!A:C,2,FALSE)</f>
        <v>Mustafa AYDIN</v>
      </c>
      <c r="Z192" t="str">
        <f>VLOOKUP(C192,'[1]DBS_KPY Sorumlular'!A:C,3,FALSE)</f>
        <v>Esra DOLAN</v>
      </c>
      <c r="AA192" t="str">
        <f>VLOOKUP(K192,[1]!Tablo3[#Data],2,FALSE)</f>
        <v>Tayfun VİÇE</v>
      </c>
    </row>
    <row r="193" spans="1:27" x14ac:dyDescent="0.25">
      <c r="A193">
        <v>1482</v>
      </c>
      <c r="B193" t="s">
        <v>27</v>
      </c>
      <c r="C193" t="s">
        <v>40</v>
      </c>
      <c r="D193" t="s">
        <v>65</v>
      </c>
      <c r="F193" t="s">
        <v>66</v>
      </c>
      <c r="G193" t="s">
        <v>67</v>
      </c>
      <c r="H193" t="s">
        <v>923</v>
      </c>
      <c r="I193" s="4">
        <v>45867.875</v>
      </c>
      <c r="J193" t="s">
        <v>924</v>
      </c>
      <c r="K193" t="s">
        <v>914</v>
      </c>
      <c r="L193" s="5"/>
      <c r="M193" s="5"/>
      <c r="N193" t="s">
        <v>46</v>
      </c>
      <c r="O193" t="s">
        <v>925</v>
      </c>
      <c r="R193">
        <v>0.9</v>
      </c>
      <c r="S193" t="s">
        <v>37</v>
      </c>
      <c r="T193" s="5" t="s">
        <v>48</v>
      </c>
      <c r="U193" t="s">
        <v>927</v>
      </c>
      <c r="V193" t="s">
        <v>928</v>
      </c>
      <c r="W193">
        <v>203</v>
      </c>
      <c r="X193" t="s">
        <v>72</v>
      </c>
      <c r="Y193" t="str">
        <f>VLOOKUP(C193,'[1]DBS_KPY Sorumlular'!A:C,2,FALSE)</f>
        <v>Mustafa AYDIN</v>
      </c>
      <c r="Z193" t="str">
        <f>VLOOKUP(C193,'[1]DBS_KPY Sorumlular'!A:C,3,FALSE)</f>
        <v>Esra DOLAN</v>
      </c>
      <c r="AA193" t="str">
        <f>VLOOKUP(K193,[1]!Tablo3[#Data],2,FALSE)</f>
        <v>Tayfun VİÇE</v>
      </c>
    </row>
    <row r="194" spans="1:27" x14ac:dyDescent="0.25">
      <c r="A194">
        <v>1483</v>
      </c>
      <c r="B194" t="s">
        <v>27</v>
      </c>
      <c r="C194" t="s">
        <v>40</v>
      </c>
      <c r="D194" t="s">
        <v>41</v>
      </c>
      <c r="F194" t="s">
        <v>102</v>
      </c>
      <c r="G194" t="s">
        <v>43</v>
      </c>
      <c r="H194" t="s">
        <v>929</v>
      </c>
      <c r="I194" s="4">
        <v>45653.875</v>
      </c>
      <c r="J194" t="s">
        <v>930</v>
      </c>
      <c r="K194" t="s">
        <v>914</v>
      </c>
      <c r="L194" s="5"/>
      <c r="M194" s="5"/>
      <c r="N194" t="s">
        <v>82</v>
      </c>
      <c r="O194" t="s">
        <v>931</v>
      </c>
      <c r="R194">
        <v>1</v>
      </c>
      <c r="S194" t="s">
        <v>37</v>
      </c>
      <c r="T194" s="5" t="s">
        <v>48</v>
      </c>
      <c r="U194" t="s">
        <v>932</v>
      </c>
      <c r="V194" t="s">
        <v>933</v>
      </c>
      <c r="W194">
        <v>108</v>
      </c>
      <c r="X194" t="s">
        <v>107</v>
      </c>
      <c r="Y194" t="str">
        <f>VLOOKUP(C194,'[1]DBS_KPY Sorumlular'!A:C,2,FALSE)</f>
        <v>Mustafa AYDIN</v>
      </c>
      <c r="Z194" t="str">
        <f>VLOOKUP(C194,'[1]DBS_KPY Sorumlular'!A:C,3,FALSE)</f>
        <v>Esra DOLAN</v>
      </c>
      <c r="AA194" t="str">
        <f>VLOOKUP(K194,[1]!Tablo3[#Data],2,FALSE)</f>
        <v>Tayfun VİÇE</v>
      </c>
    </row>
    <row r="195" spans="1:27" x14ac:dyDescent="0.25">
      <c r="A195">
        <v>1484</v>
      </c>
      <c r="B195" t="s">
        <v>27</v>
      </c>
      <c r="C195" t="s">
        <v>40</v>
      </c>
      <c r="D195" t="s">
        <v>65</v>
      </c>
      <c r="F195" t="s">
        <v>66</v>
      </c>
      <c r="G195" t="s">
        <v>67</v>
      </c>
      <c r="H195" t="s">
        <v>934</v>
      </c>
      <c r="I195" s="4">
        <v>45867.875</v>
      </c>
      <c r="J195" t="s">
        <v>935</v>
      </c>
      <c r="K195" t="s">
        <v>914</v>
      </c>
      <c r="L195" s="5"/>
      <c r="M195" s="5"/>
      <c r="N195" t="s">
        <v>46</v>
      </c>
      <c r="O195" t="s">
        <v>936</v>
      </c>
      <c r="R195">
        <v>0.87</v>
      </c>
      <c r="S195" t="s">
        <v>37</v>
      </c>
      <c r="T195" s="5" t="s">
        <v>48</v>
      </c>
      <c r="U195" t="s">
        <v>937</v>
      </c>
      <c r="V195" t="s">
        <v>938</v>
      </c>
      <c r="W195">
        <v>203</v>
      </c>
      <c r="X195" t="s">
        <v>72</v>
      </c>
      <c r="Y195" t="str">
        <f>VLOOKUP(C195,'[1]DBS_KPY Sorumlular'!A:C,2,FALSE)</f>
        <v>Mustafa AYDIN</v>
      </c>
      <c r="Z195" t="str">
        <f>VLOOKUP(C195,'[1]DBS_KPY Sorumlular'!A:C,3,FALSE)</f>
        <v>Esra DOLAN</v>
      </c>
      <c r="AA195" t="str">
        <f>VLOOKUP(K195,[1]!Tablo3[#Data],2,FALSE)</f>
        <v>Tayfun VİÇE</v>
      </c>
    </row>
    <row r="196" spans="1:27" x14ac:dyDescent="0.25">
      <c r="A196">
        <v>1485</v>
      </c>
      <c r="B196" t="s">
        <v>27</v>
      </c>
      <c r="C196" t="s">
        <v>40</v>
      </c>
      <c r="D196" t="s">
        <v>65</v>
      </c>
      <c r="F196" t="s">
        <v>66</v>
      </c>
      <c r="G196" t="s">
        <v>67</v>
      </c>
      <c r="H196" t="s">
        <v>939</v>
      </c>
      <c r="I196" s="4">
        <v>45867.875</v>
      </c>
      <c r="K196" t="s">
        <v>914</v>
      </c>
      <c r="L196" s="5"/>
      <c r="M196" s="5"/>
      <c r="N196" t="s">
        <v>46</v>
      </c>
      <c r="O196" t="s">
        <v>940</v>
      </c>
      <c r="R196">
        <v>0.96</v>
      </c>
      <c r="S196" t="s">
        <v>37</v>
      </c>
      <c r="T196" s="5" t="s">
        <v>48</v>
      </c>
      <c r="U196" t="s">
        <v>941</v>
      </c>
      <c r="V196" t="s">
        <v>942</v>
      </c>
      <c r="W196">
        <v>203</v>
      </c>
      <c r="X196" t="s">
        <v>72</v>
      </c>
      <c r="Y196" t="str">
        <f>VLOOKUP(C196,'[1]DBS_KPY Sorumlular'!A:C,2,FALSE)</f>
        <v>Mustafa AYDIN</v>
      </c>
      <c r="Z196" t="str">
        <f>VLOOKUP(C196,'[1]DBS_KPY Sorumlular'!A:C,3,FALSE)</f>
        <v>Esra DOLAN</v>
      </c>
      <c r="AA196" t="str">
        <f>VLOOKUP(K196,[1]!Tablo3[#Data],2,FALSE)</f>
        <v>Tayfun VİÇE</v>
      </c>
    </row>
    <row r="197" spans="1:27" x14ac:dyDescent="0.25">
      <c r="A197">
        <v>1486</v>
      </c>
      <c r="B197" t="s">
        <v>27</v>
      </c>
      <c r="C197" t="s">
        <v>288</v>
      </c>
      <c r="D197" t="s">
        <v>289</v>
      </c>
      <c r="F197" t="s">
        <v>290</v>
      </c>
      <c r="G197" t="s">
        <v>291</v>
      </c>
      <c r="H197" t="s">
        <v>943</v>
      </c>
      <c r="I197" s="4">
        <v>45634.875</v>
      </c>
      <c r="J197" t="s">
        <v>944</v>
      </c>
      <c r="K197" t="s">
        <v>914</v>
      </c>
      <c r="L197" s="5"/>
      <c r="M197" s="5"/>
      <c r="N197" t="s">
        <v>82</v>
      </c>
      <c r="O197" t="s">
        <v>945</v>
      </c>
      <c r="R197">
        <v>1</v>
      </c>
      <c r="S197" t="s">
        <v>37</v>
      </c>
      <c r="T197" s="5" t="s">
        <v>38</v>
      </c>
      <c r="W197">
        <v>23</v>
      </c>
      <c r="X197" t="s">
        <v>295</v>
      </c>
      <c r="Y197" t="str">
        <f>VLOOKUP(C197,'[1]DBS_KPY Sorumlular'!A:C,2,FALSE)</f>
        <v>Sinan ERDAŞ</v>
      </c>
      <c r="Z197" t="str">
        <f>VLOOKUP(C197,'[1]DBS_KPY Sorumlular'!A:C,3,FALSE)</f>
        <v>Ayşegül AKGÜL</v>
      </c>
      <c r="AA197" t="str">
        <f>VLOOKUP(K197,[1]!Tablo3[#Data],2,FALSE)</f>
        <v>Tayfun VİÇE</v>
      </c>
    </row>
    <row r="198" spans="1:27" x14ac:dyDescent="0.25">
      <c r="A198">
        <v>1487</v>
      </c>
      <c r="B198" t="s">
        <v>27</v>
      </c>
      <c r="C198" t="s">
        <v>137</v>
      </c>
      <c r="D198" t="s">
        <v>138</v>
      </c>
      <c r="E198" t="s">
        <v>138</v>
      </c>
      <c r="F198" t="s">
        <v>184</v>
      </c>
      <c r="G198" t="s">
        <v>43</v>
      </c>
      <c r="H198" t="s">
        <v>946</v>
      </c>
      <c r="I198" s="4">
        <v>45837.875</v>
      </c>
      <c r="J198" t="s">
        <v>947</v>
      </c>
      <c r="K198" t="s">
        <v>914</v>
      </c>
      <c r="L198" s="5" t="s">
        <v>948</v>
      </c>
      <c r="M198" s="5" t="s">
        <v>948</v>
      </c>
      <c r="N198" t="s">
        <v>46</v>
      </c>
      <c r="O198" t="s">
        <v>949</v>
      </c>
      <c r="R198">
        <v>0.95</v>
      </c>
      <c r="S198" t="s">
        <v>37</v>
      </c>
      <c r="T198" s="5" t="s">
        <v>38</v>
      </c>
      <c r="W198">
        <v>126</v>
      </c>
      <c r="X198" t="s">
        <v>147</v>
      </c>
      <c r="Y198" t="str">
        <f>VLOOKUP(C198,'[1]DBS_KPY Sorumlular'!A:C,2,FALSE)</f>
        <v>Erkan AKDOĞAN</v>
      </c>
      <c r="Z198" t="str">
        <f>VLOOKUP(C198,'[1]DBS_KPY Sorumlular'!A:C,3,FALSE)</f>
        <v>Kadir TOPÇU</v>
      </c>
      <c r="AA198" t="str">
        <f>VLOOKUP(K198,[1]!Tablo3[#Data],2,FALSE)</f>
        <v>Tayfun VİÇE</v>
      </c>
    </row>
    <row r="199" spans="1:27" x14ac:dyDescent="0.25">
      <c r="A199">
        <v>1487</v>
      </c>
      <c r="B199" t="s">
        <v>27</v>
      </c>
      <c r="C199" t="s">
        <v>137</v>
      </c>
      <c r="D199" t="s">
        <v>138</v>
      </c>
      <c r="E199" t="s">
        <v>138</v>
      </c>
      <c r="F199" t="s">
        <v>184</v>
      </c>
      <c r="G199" t="s">
        <v>43</v>
      </c>
      <c r="H199" t="s">
        <v>946</v>
      </c>
      <c r="I199" s="4">
        <v>45837.875</v>
      </c>
      <c r="J199" t="s">
        <v>947</v>
      </c>
      <c r="K199" t="s">
        <v>914</v>
      </c>
      <c r="L199" s="5" t="s">
        <v>948</v>
      </c>
      <c r="M199" s="5" t="s">
        <v>948</v>
      </c>
      <c r="N199" t="s">
        <v>46</v>
      </c>
      <c r="O199" t="s">
        <v>949</v>
      </c>
      <c r="R199">
        <v>0.95</v>
      </c>
      <c r="S199" t="s">
        <v>37</v>
      </c>
      <c r="T199" s="5" t="s">
        <v>38</v>
      </c>
      <c r="W199">
        <v>86</v>
      </c>
      <c r="X199" t="s">
        <v>189</v>
      </c>
      <c r="Y199" t="str">
        <f>VLOOKUP(C199,'[1]DBS_KPY Sorumlular'!A:C,2,FALSE)</f>
        <v>Erkan AKDOĞAN</v>
      </c>
      <c r="Z199" t="str">
        <f>VLOOKUP(C199,'[1]DBS_KPY Sorumlular'!A:C,3,FALSE)</f>
        <v>Kadir TOPÇU</v>
      </c>
      <c r="AA199" t="str">
        <f>VLOOKUP(K199,[1]!Tablo3[#Data],2,FALSE)</f>
        <v>Tayfun VİÇE</v>
      </c>
    </row>
    <row r="200" spans="1:27" x14ac:dyDescent="0.25">
      <c r="A200">
        <v>1488</v>
      </c>
      <c r="B200" t="s">
        <v>27</v>
      </c>
      <c r="C200" t="s">
        <v>137</v>
      </c>
      <c r="D200" t="s">
        <v>138</v>
      </c>
      <c r="E200" t="s">
        <v>138</v>
      </c>
      <c r="F200" t="s">
        <v>184</v>
      </c>
      <c r="G200" t="s">
        <v>43</v>
      </c>
      <c r="H200" t="s">
        <v>950</v>
      </c>
      <c r="I200" s="4">
        <v>45898.875</v>
      </c>
      <c r="J200" t="s">
        <v>951</v>
      </c>
      <c r="K200" t="s">
        <v>98</v>
      </c>
      <c r="L200" s="5" t="s">
        <v>952</v>
      </c>
      <c r="M200" s="5" t="s">
        <v>948</v>
      </c>
      <c r="N200" t="s">
        <v>46</v>
      </c>
      <c r="O200" t="s">
        <v>953</v>
      </c>
      <c r="R200">
        <v>0.8</v>
      </c>
      <c r="S200" t="s">
        <v>37</v>
      </c>
      <c r="T200" s="5" t="s">
        <v>38</v>
      </c>
      <c r="W200">
        <v>86</v>
      </c>
      <c r="X200" t="s">
        <v>189</v>
      </c>
      <c r="Y200" t="str">
        <f>VLOOKUP(C200,'[1]DBS_KPY Sorumlular'!A:C,2,FALSE)</f>
        <v>Erkan AKDOĞAN</v>
      </c>
      <c r="Z200" t="str">
        <f>VLOOKUP(C200,'[1]DBS_KPY Sorumlular'!A:C,3,FALSE)</f>
        <v>Kadir TOPÇU</v>
      </c>
      <c r="AA200" t="str">
        <f>VLOOKUP(K200,[1]!Tablo3[#Data],2,FALSE)</f>
        <v>Tayfun VİÇE</v>
      </c>
    </row>
    <row r="201" spans="1:27" x14ac:dyDescent="0.25">
      <c r="A201">
        <v>1488</v>
      </c>
      <c r="B201" t="s">
        <v>27</v>
      </c>
      <c r="C201" t="s">
        <v>137</v>
      </c>
      <c r="D201" t="s">
        <v>138</v>
      </c>
      <c r="E201" t="s">
        <v>138</v>
      </c>
      <c r="F201" t="s">
        <v>184</v>
      </c>
      <c r="G201" t="s">
        <v>43</v>
      </c>
      <c r="H201" t="s">
        <v>950</v>
      </c>
      <c r="I201" s="4">
        <v>45898.875</v>
      </c>
      <c r="J201" t="s">
        <v>951</v>
      </c>
      <c r="K201" t="s">
        <v>98</v>
      </c>
      <c r="L201" s="5" t="s">
        <v>952</v>
      </c>
      <c r="M201" s="5" t="s">
        <v>948</v>
      </c>
      <c r="N201" t="s">
        <v>46</v>
      </c>
      <c r="O201" t="s">
        <v>953</v>
      </c>
      <c r="R201">
        <v>0.8</v>
      </c>
      <c r="S201" t="s">
        <v>37</v>
      </c>
      <c r="T201" s="5" t="s">
        <v>38</v>
      </c>
      <c r="W201">
        <v>126</v>
      </c>
      <c r="X201" t="s">
        <v>147</v>
      </c>
      <c r="Y201" t="str">
        <f>VLOOKUP(C201,'[1]DBS_KPY Sorumlular'!A:C,2,FALSE)</f>
        <v>Erkan AKDOĞAN</v>
      </c>
      <c r="Z201" t="str">
        <f>VLOOKUP(C201,'[1]DBS_KPY Sorumlular'!A:C,3,FALSE)</f>
        <v>Kadir TOPÇU</v>
      </c>
      <c r="AA201" t="str">
        <f>VLOOKUP(K201,[1]!Tablo3[#Data],2,FALSE)</f>
        <v>Tayfun VİÇE</v>
      </c>
    </row>
    <row r="202" spans="1:27" x14ac:dyDescent="0.25">
      <c r="A202">
        <v>1489</v>
      </c>
      <c r="B202" t="s">
        <v>27</v>
      </c>
      <c r="C202" t="s">
        <v>40</v>
      </c>
      <c r="D202" t="s">
        <v>41</v>
      </c>
      <c r="F202" t="s">
        <v>102</v>
      </c>
      <c r="G202" t="s">
        <v>43</v>
      </c>
      <c r="H202" t="s">
        <v>954</v>
      </c>
      <c r="I202" s="4">
        <v>45746.875</v>
      </c>
      <c r="K202" t="s">
        <v>914</v>
      </c>
      <c r="L202" s="5"/>
      <c r="M202" s="5"/>
      <c r="N202" t="s">
        <v>82</v>
      </c>
      <c r="O202" t="s">
        <v>955</v>
      </c>
      <c r="R202">
        <v>1</v>
      </c>
      <c r="S202" t="s">
        <v>37</v>
      </c>
      <c r="T202" s="5" t="s">
        <v>58</v>
      </c>
      <c r="U202" t="s">
        <v>956</v>
      </c>
      <c r="V202" t="s">
        <v>957</v>
      </c>
      <c r="W202">
        <v>85</v>
      </c>
      <c r="X202" t="s">
        <v>958</v>
      </c>
      <c r="Y202" t="str">
        <f>VLOOKUP(C202,'[1]DBS_KPY Sorumlular'!A:C,2,FALSE)</f>
        <v>Mustafa AYDIN</v>
      </c>
      <c r="Z202" t="str">
        <f>VLOOKUP(C202,'[1]DBS_KPY Sorumlular'!A:C,3,FALSE)</f>
        <v>Esra DOLAN</v>
      </c>
      <c r="AA202" t="str">
        <f>VLOOKUP(K202,[1]!Tablo3[#Data],2,FALSE)</f>
        <v>Tayfun VİÇE</v>
      </c>
    </row>
    <row r="203" spans="1:27" x14ac:dyDescent="0.25">
      <c r="A203">
        <v>1490</v>
      </c>
      <c r="B203" t="s">
        <v>27</v>
      </c>
      <c r="C203" t="s">
        <v>40</v>
      </c>
      <c r="D203" t="s">
        <v>65</v>
      </c>
      <c r="F203" t="s">
        <v>66</v>
      </c>
      <c r="G203" t="s">
        <v>67</v>
      </c>
      <c r="H203" t="s">
        <v>959</v>
      </c>
      <c r="I203" s="4">
        <v>45944.875</v>
      </c>
      <c r="K203" t="s">
        <v>914</v>
      </c>
      <c r="L203" s="5"/>
      <c r="M203" s="5"/>
      <c r="N203" t="s">
        <v>46</v>
      </c>
      <c r="O203" t="s">
        <v>960</v>
      </c>
      <c r="R203">
        <v>0.7</v>
      </c>
      <c r="S203" t="s">
        <v>37</v>
      </c>
      <c r="T203" s="5" t="s">
        <v>48</v>
      </c>
      <c r="U203" t="s">
        <v>961</v>
      </c>
      <c r="V203" t="s">
        <v>962</v>
      </c>
      <c r="W203">
        <v>203</v>
      </c>
      <c r="X203" t="s">
        <v>72</v>
      </c>
      <c r="Y203" t="str">
        <f>VLOOKUP(C203,'[1]DBS_KPY Sorumlular'!A:C,2,FALSE)</f>
        <v>Mustafa AYDIN</v>
      </c>
      <c r="Z203" t="str">
        <f>VLOOKUP(C203,'[1]DBS_KPY Sorumlular'!A:C,3,FALSE)</f>
        <v>Esra DOLAN</v>
      </c>
      <c r="AA203" t="str">
        <f>VLOOKUP(K203,[1]!Tablo3[#Data],2,FALSE)</f>
        <v>Tayfun VİÇE</v>
      </c>
    </row>
    <row r="204" spans="1:27" x14ac:dyDescent="0.25">
      <c r="A204">
        <v>1491</v>
      </c>
      <c r="B204" t="s">
        <v>27</v>
      </c>
      <c r="C204" t="s">
        <v>40</v>
      </c>
      <c r="D204" t="s">
        <v>41</v>
      </c>
      <c r="F204" t="s">
        <v>102</v>
      </c>
      <c r="G204" t="s">
        <v>43</v>
      </c>
      <c r="H204" t="s">
        <v>963</v>
      </c>
      <c r="I204" s="4">
        <v>45988.875</v>
      </c>
      <c r="J204" t="s">
        <v>964</v>
      </c>
      <c r="K204" t="s">
        <v>914</v>
      </c>
      <c r="L204" s="5" t="s">
        <v>265</v>
      </c>
      <c r="M204" s="5"/>
      <c r="N204" t="s">
        <v>46</v>
      </c>
      <c r="O204" t="s">
        <v>965</v>
      </c>
      <c r="R204">
        <v>0.5</v>
      </c>
      <c r="S204" t="s">
        <v>37</v>
      </c>
      <c r="T204" s="5" t="s">
        <v>48</v>
      </c>
      <c r="U204" t="s">
        <v>966</v>
      </c>
      <c r="V204" t="s">
        <v>967</v>
      </c>
      <c r="W204">
        <v>263</v>
      </c>
      <c r="X204" t="s">
        <v>628</v>
      </c>
      <c r="Y204" t="str">
        <f>VLOOKUP(C204,'[1]DBS_KPY Sorumlular'!A:C,2,FALSE)</f>
        <v>Mustafa AYDIN</v>
      </c>
      <c r="Z204" t="str">
        <f>VLOOKUP(C204,'[1]DBS_KPY Sorumlular'!A:C,3,FALSE)</f>
        <v>Esra DOLAN</v>
      </c>
      <c r="AA204" t="str">
        <f>VLOOKUP(K204,[1]!Tablo3[#Data],2,FALSE)</f>
        <v>Tayfun VİÇE</v>
      </c>
    </row>
    <row r="205" spans="1:27" x14ac:dyDescent="0.25">
      <c r="A205">
        <v>1492</v>
      </c>
      <c r="B205" t="s">
        <v>27</v>
      </c>
      <c r="C205" t="s">
        <v>288</v>
      </c>
      <c r="D205" t="s">
        <v>289</v>
      </c>
      <c r="F205" t="s">
        <v>290</v>
      </c>
      <c r="G205" t="s">
        <v>291</v>
      </c>
      <c r="H205" t="s">
        <v>968</v>
      </c>
      <c r="I205" s="4">
        <v>45761.875</v>
      </c>
      <c r="J205" t="s">
        <v>969</v>
      </c>
      <c r="K205" t="s">
        <v>914</v>
      </c>
      <c r="L205" s="5"/>
      <c r="M205" s="5"/>
      <c r="N205" t="s">
        <v>82</v>
      </c>
      <c r="O205" t="s">
        <v>970</v>
      </c>
      <c r="R205">
        <v>1</v>
      </c>
      <c r="S205" t="s">
        <v>37</v>
      </c>
      <c r="T205" s="5" t="s">
        <v>38</v>
      </c>
      <c r="W205">
        <v>23</v>
      </c>
      <c r="X205" t="s">
        <v>295</v>
      </c>
      <c r="Y205" t="str">
        <f>VLOOKUP(C205,'[1]DBS_KPY Sorumlular'!A:C,2,FALSE)</f>
        <v>Sinan ERDAŞ</v>
      </c>
      <c r="Z205" t="str">
        <f>VLOOKUP(C205,'[1]DBS_KPY Sorumlular'!A:C,3,FALSE)</f>
        <v>Ayşegül AKGÜL</v>
      </c>
      <c r="AA205" t="str">
        <f>VLOOKUP(K205,[1]!Tablo3[#Data],2,FALSE)</f>
        <v>Tayfun VİÇE</v>
      </c>
    </row>
    <row r="206" spans="1:27" x14ac:dyDescent="0.25">
      <c r="A206">
        <v>1493</v>
      </c>
      <c r="B206" t="s">
        <v>27</v>
      </c>
      <c r="C206" t="s">
        <v>288</v>
      </c>
      <c r="D206" t="s">
        <v>289</v>
      </c>
      <c r="F206" t="s">
        <v>290</v>
      </c>
      <c r="G206" t="s">
        <v>291</v>
      </c>
      <c r="H206" t="s">
        <v>971</v>
      </c>
      <c r="I206" s="4">
        <v>45905.875</v>
      </c>
      <c r="J206" t="s">
        <v>972</v>
      </c>
      <c r="K206" t="s">
        <v>914</v>
      </c>
      <c r="L206" s="5" t="s">
        <v>973</v>
      </c>
      <c r="M206" s="5"/>
      <c r="N206" t="s">
        <v>46</v>
      </c>
      <c r="O206" t="s">
        <v>974</v>
      </c>
      <c r="R206">
        <v>0.38</v>
      </c>
      <c r="S206" t="s">
        <v>37</v>
      </c>
      <c r="T206" s="5" t="s">
        <v>38</v>
      </c>
      <c r="W206">
        <v>23</v>
      </c>
      <c r="X206" t="s">
        <v>295</v>
      </c>
      <c r="Y206" t="str">
        <f>VLOOKUP(C206,'[1]DBS_KPY Sorumlular'!A:C,2,FALSE)</f>
        <v>Sinan ERDAŞ</v>
      </c>
      <c r="Z206" t="str">
        <f>VLOOKUP(C206,'[1]DBS_KPY Sorumlular'!A:C,3,FALSE)</f>
        <v>Ayşegül AKGÜL</v>
      </c>
      <c r="AA206" t="str">
        <f>VLOOKUP(K206,[1]!Tablo3[#Data],2,FALSE)</f>
        <v>Tayfun VİÇE</v>
      </c>
    </row>
    <row r="207" spans="1:27" x14ac:dyDescent="0.25">
      <c r="A207">
        <v>1494</v>
      </c>
      <c r="B207" t="s">
        <v>27</v>
      </c>
      <c r="C207" t="s">
        <v>288</v>
      </c>
      <c r="D207" t="s">
        <v>289</v>
      </c>
      <c r="F207" t="s">
        <v>290</v>
      </c>
      <c r="G207" t="s">
        <v>291</v>
      </c>
      <c r="H207" t="s">
        <v>975</v>
      </c>
      <c r="I207" s="4">
        <v>46000.875</v>
      </c>
      <c r="K207" t="s">
        <v>914</v>
      </c>
      <c r="L207" s="5"/>
      <c r="M207" s="5"/>
      <c r="N207" t="s">
        <v>46</v>
      </c>
      <c r="O207" t="s">
        <v>976</v>
      </c>
      <c r="R207">
        <v>0.32</v>
      </c>
      <c r="S207" t="s">
        <v>37</v>
      </c>
      <c r="T207" s="5" t="s">
        <v>38</v>
      </c>
      <c r="W207">
        <v>23</v>
      </c>
      <c r="X207" t="s">
        <v>295</v>
      </c>
      <c r="Y207" t="str">
        <f>VLOOKUP(C207,'[1]DBS_KPY Sorumlular'!A:C,2,FALSE)</f>
        <v>Sinan ERDAŞ</v>
      </c>
      <c r="Z207" t="str">
        <f>VLOOKUP(C207,'[1]DBS_KPY Sorumlular'!A:C,3,FALSE)</f>
        <v>Ayşegül AKGÜL</v>
      </c>
      <c r="AA207" t="str">
        <f>VLOOKUP(K207,[1]!Tablo3[#Data],2,FALSE)</f>
        <v>Tayfun VİÇE</v>
      </c>
    </row>
    <row r="208" spans="1:27" x14ac:dyDescent="0.25">
      <c r="A208">
        <v>1495</v>
      </c>
      <c r="B208" t="s">
        <v>27</v>
      </c>
      <c r="C208" t="s">
        <v>288</v>
      </c>
      <c r="D208" t="s">
        <v>289</v>
      </c>
      <c r="F208" t="s">
        <v>290</v>
      </c>
      <c r="G208" t="s">
        <v>291</v>
      </c>
      <c r="H208" t="s">
        <v>977</v>
      </c>
      <c r="I208" s="4">
        <v>46050.875</v>
      </c>
      <c r="J208" t="s">
        <v>978</v>
      </c>
      <c r="K208" t="s">
        <v>914</v>
      </c>
      <c r="L208" s="5" t="s">
        <v>973</v>
      </c>
      <c r="M208" s="5"/>
      <c r="N208" t="s">
        <v>46</v>
      </c>
      <c r="O208" t="s">
        <v>979</v>
      </c>
      <c r="R208">
        <v>0.4</v>
      </c>
      <c r="S208" t="s">
        <v>37</v>
      </c>
      <c r="T208" s="5" t="s">
        <v>38</v>
      </c>
      <c r="W208">
        <v>23</v>
      </c>
      <c r="X208" t="s">
        <v>295</v>
      </c>
      <c r="Y208" t="str">
        <f>VLOOKUP(C208,'[1]DBS_KPY Sorumlular'!A:C,2,FALSE)</f>
        <v>Sinan ERDAŞ</v>
      </c>
      <c r="Z208" t="str">
        <f>VLOOKUP(C208,'[1]DBS_KPY Sorumlular'!A:C,3,FALSE)</f>
        <v>Ayşegül AKGÜL</v>
      </c>
      <c r="AA208" t="str">
        <f>VLOOKUP(K208,[1]!Tablo3[#Data],2,FALSE)</f>
        <v>Tayfun VİÇE</v>
      </c>
    </row>
    <row r="209" spans="1:27" x14ac:dyDescent="0.25">
      <c r="A209">
        <v>1496</v>
      </c>
      <c r="B209" t="s">
        <v>27</v>
      </c>
      <c r="C209" t="s">
        <v>73</v>
      </c>
      <c r="D209" t="s">
        <v>73</v>
      </c>
      <c r="F209" t="s">
        <v>74</v>
      </c>
      <c r="G209" t="s">
        <v>30</v>
      </c>
      <c r="H209" t="s">
        <v>980</v>
      </c>
      <c r="I209" s="4">
        <v>46268.875</v>
      </c>
      <c r="J209" t="s">
        <v>981</v>
      </c>
      <c r="K209" t="s">
        <v>914</v>
      </c>
      <c r="L209" s="5" t="s">
        <v>982</v>
      </c>
      <c r="M209" s="5"/>
      <c r="N209" t="s">
        <v>46</v>
      </c>
      <c r="O209" t="s">
        <v>983</v>
      </c>
      <c r="R209">
        <v>2.5999999999999999E-2</v>
      </c>
      <c r="S209" t="s">
        <v>37</v>
      </c>
      <c r="T209" s="5" t="s">
        <v>38</v>
      </c>
      <c r="Y209" t="str">
        <f>VLOOKUP(C209,'[1]DBS_KPY Sorumlular'!A:C,2,FALSE)</f>
        <v>Ayşegül AKGÜL</v>
      </c>
      <c r="Z209" t="str">
        <f>VLOOKUP(C209,'[1]DBS_KPY Sorumlular'!A:C,3,FALSE)</f>
        <v>Sinan ERDAŞ</v>
      </c>
      <c r="AA209" t="str">
        <f>VLOOKUP(K209,[1]!Tablo3[#Data],2,FALSE)</f>
        <v>Tayfun VİÇE</v>
      </c>
    </row>
    <row r="210" spans="1:27" x14ac:dyDescent="0.25">
      <c r="A210">
        <v>1497</v>
      </c>
      <c r="B210" t="s">
        <v>27</v>
      </c>
      <c r="C210" t="s">
        <v>73</v>
      </c>
      <c r="D210" t="s">
        <v>73</v>
      </c>
      <c r="F210" t="s">
        <v>74</v>
      </c>
      <c r="G210" t="s">
        <v>30</v>
      </c>
      <c r="H210" t="s">
        <v>984</v>
      </c>
      <c r="I210" s="4">
        <v>46263.875</v>
      </c>
      <c r="J210" t="s">
        <v>985</v>
      </c>
      <c r="K210" t="s">
        <v>914</v>
      </c>
      <c r="L210" s="5" t="s">
        <v>986</v>
      </c>
      <c r="M210" s="5"/>
      <c r="N210" t="s">
        <v>46</v>
      </c>
      <c r="O210" t="s">
        <v>987</v>
      </c>
      <c r="R210">
        <v>0</v>
      </c>
      <c r="S210" t="s">
        <v>37</v>
      </c>
      <c r="T210" s="5" t="s">
        <v>38</v>
      </c>
      <c r="Y210" t="str">
        <f>VLOOKUP(C210,'[1]DBS_KPY Sorumlular'!A:C,2,FALSE)</f>
        <v>Ayşegül AKGÜL</v>
      </c>
      <c r="Z210" t="str">
        <f>VLOOKUP(C210,'[1]DBS_KPY Sorumlular'!A:C,3,FALSE)</f>
        <v>Sinan ERDAŞ</v>
      </c>
      <c r="AA210" t="str">
        <f>VLOOKUP(K210,[1]!Tablo3[#Data],2,FALSE)</f>
        <v>Tayfun VİÇE</v>
      </c>
    </row>
    <row r="211" spans="1:27" x14ac:dyDescent="0.25">
      <c r="A211">
        <v>1498</v>
      </c>
      <c r="B211" t="s">
        <v>27</v>
      </c>
      <c r="C211" t="s">
        <v>402</v>
      </c>
      <c r="D211" t="s">
        <v>403</v>
      </c>
      <c r="F211" t="s">
        <v>882</v>
      </c>
      <c r="G211" t="s">
        <v>43</v>
      </c>
      <c r="H211" t="s">
        <v>988</v>
      </c>
      <c r="I211" s="4">
        <v>46198.875</v>
      </c>
      <c r="J211" t="s">
        <v>989</v>
      </c>
      <c r="K211" t="s">
        <v>914</v>
      </c>
      <c r="L211" s="5" t="s">
        <v>990</v>
      </c>
      <c r="M211" s="5"/>
      <c r="N211" t="s">
        <v>46</v>
      </c>
      <c r="O211" t="s">
        <v>991</v>
      </c>
      <c r="R211">
        <v>0.45</v>
      </c>
      <c r="S211" t="s">
        <v>37</v>
      </c>
      <c r="T211" s="5" t="s">
        <v>48</v>
      </c>
      <c r="U211" t="s">
        <v>992</v>
      </c>
      <c r="V211" t="s">
        <v>993</v>
      </c>
      <c r="W211">
        <v>220</v>
      </c>
      <c r="X211" t="s">
        <v>510</v>
      </c>
      <c r="Y211" t="str">
        <f>VLOOKUP(C211,'[1]DBS_KPY Sorumlular'!A:C,2,FALSE)</f>
        <v>Tayfun VİÇE</v>
      </c>
      <c r="Z211" t="str">
        <f>VLOOKUP(C211,'[1]DBS_KPY Sorumlular'!A:C,3,FALSE)</f>
        <v>Mehmet Ali YAVUZ</v>
      </c>
      <c r="AA211" t="str">
        <f>VLOOKUP(K211,[1]!Tablo3[#Data],2,FALSE)</f>
        <v>Tayfun VİÇE</v>
      </c>
    </row>
    <row r="212" spans="1:27" x14ac:dyDescent="0.25">
      <c r="A212">
        <v>1499</v>
      </c>
      <c r="B212" t="s">
        <v>27</v>
      </c>
      <c r="C212" t="s">
        <v>652</v>
      </c>
      <c r="D212" t="s">
        <v>653</v>
      </c>
      <c r="F212" t="s">
        <v>455</v>
      </c>
      <c r="G212" t="s">
        <v>456</v>
      </c>
      <c r="H212" t="s">
        <v>994</v>
      </c>
      <c r="I212" s="4">
        <v>45809.875</v>
      </c>
      <c r="J212" t="s">
        <v>995</v>
      </c>
      <c r="K212" t="s">
        <v>914</v>
      </c>
      <c r="L212" s="5" t="s">
        <v>996</v>
      </c>
      <c r="M212" s="5" t="s">
        <v>997</v>
      </c>
      <c r="N212" t="s">
        <v>46</v>
      </c>
      <c r="O212" t="s">
        <v>998</v>
      </c>
      <c r="R212">
        <v>0.45</v>
      </c>
      <c r="S212" t="s">
        <v>37</v>
      </c>
      <c r="T212" s="5" t="s">
        <v>48</v>
      </c>
      <c r="U212" t="s">
        <v>999</v>
      </c>
      <c r="V212" t="s">
        <v>994</v>
      </c>
      <c r="W212">
        <v>144</v>
      </c>
      <c r="X212" t="s">
        <v>463</v>
      </c>
      <c r="Y212" t="str">
        <f>VLOOKUP(C212,'[1]DBS_KPY Sorumlular'!A:C,2,FALSE)</f>
        <v>Seyithan İŞİK</v>
      </c>
      <c r="Z212" t="str">
        <f>VLOOKUP(C212,'[1]DBS_KPY Sorumlular'!A:C,3,FALSE)</f>
        <v>Korhan KÖROĞLU</v>
      </c>
      <c r="AA212" t="str">
        <f>VLOOKUP(K212,[1]!Tablo3[#Data],2,FALSE)</f>
        <v>Tayfun VİÇE</v>
      </c>
    </row>
    <row r="213" spans="1:27" x14ac:dyDescent="0.25">
      <c r="A213">
        <v>1500</v>
      </c>
      <c r="B213" t="s">
        <v>27</v>
      </c>
      <c r="C213" t="s">
        <v>73</v>
      </c>
      <c r="D213" t="s">
        <v>73</v>
      </c>
      <c r="F213" t="s">
        <v>383</v>
      </c>
      <c r="G213" t="s">
        <v>384</v>
      </c>
      <c r="H213" t="s">
        <v>1000</v>
      </c>
      <c r="I213" s="4">
        <v>45565.875</v>
      </c>
      <c r="J213" t="s">
        <v>1001</v>
      </c>
      <c r="K213" t="s">
        <v>1002</v>
      </c>
      <c r="L213" s="5" t="s">
        <v>1003</v>
      </c>
      <c r="M213" s="5"/>
      <c r="N213" t="s">
        <v>82</v>
      </c>
      <c r="O213" t="s">
        <v>1004</v>
      </c>
      <c r="R213">
        <v>1</v>
      </c>
      <c r="S213" t="s">
        <v>230</v>
      </c>
      <c r="T213" s="5" t="s">
        <v>38</v>
      </c>
      <c r="W213">
        <v>221</v>
      </c>
      <c r="X213" t="s">
        <v>1005</v>
      </c>
      <c r="Y213" t="str">
        <f>VLOOKUP(C213,'[1]DBS_KPY Sorumlular'!A:C,2,FALSE)</f>
        <v>Ayşegül AKGÜL</v>
      </c>
      <c r="Z213" t="str">
        <f>VLOOKUP(C213,'[1]DBS_KPY Sorumlular'!A:C,3,FALSE)</f>
        <v>Sinan ERDAŞ</v>
      </c>
      <c r="AA213" t="str">
        <f>VLOOKUP(K213,[1]!Tablo3[#Data],2,FALSE)</f>
        <v>Kadir TOPÇU</v>
      </c>
    </row>
    <row r="214" spans="1:27" x14ac:dyDescent="0.25">
      <c r="A214">
        <v>1501</v>
      </c>
      <c r="B214" t="s">
        <v>27</v>
      </c>
      <c r="C214" t="s">
        <v>40</v>
      </c>
      <c r="D214" t="s">
        <v>41</v>
      </c>
      <c r="F214" t="s">
        <v>642</v>
      </c>
      <c r="G214" t="s">
        <v>43</v>
      </c>
      <c r="H214" t="s">
        <v>1006</v>
      </c>
      <c r="I214" s="4">
        <v>45594.875</v>
      </c>
      <c r="K214" t="s">
        <v>1002</v>
      </c>
      <c r="L214" s="5"/>
      <c r="M214" s="5"/>
      <c r="N214" t="s">
        <v>82</v>
      </c>
      <c r="O214" t="s">
        <v>1007</v>
      </c>
      <c r="R214">
        <v>1</v>
      </c>
      <c r="S214" t="s">
        <v>230</v>
      </c>
      <c r="T214" s="5" t="s">
        <v>58</v>
      </c>
      <c r="U214" t="s">
        <v>254</v>
      </c>
      <c r="V214" t="s">
        <v>255</v>
      </c>
      <c r="W214">
        <v>56</v>
      </c>
      <c r="X214" t="s">
        <v>1008</v>
      </c>
      <c r="Y214" t="str">
        <f>VLOOKUP(C214,'[1]DBS_KPY Sorumlular'!A:C,2,FALSE)</f>
        <v>Mustafa AYDIN</v>
      </c>
      <c r="Z214" t="str">
        <f>VLOOKUP(C214,'[1]DBS_KPY Sorumlular'!A:C,3,FALSE)</f>
        <v>Esra DOLAN</v>
      </c>
      <c r="AA214" t="str">
        <f>VLOOKUP(K214,[1]!Tablo3[#Data],2,FALSE)</f>
        <v>Kadir TOPÇU</v>
      </c>
    </row>
    <row r="215" spans="1:27" x14ac:dyDescent="0.25">
      <c r="A215">
        <v>1502</v>
      </c>
      <c r="B215" t="s">
        <v>27</v>
      </c>
      <c r="C215" t="s">
        <v>40</v>
      </c>
      <c r="D215" t="s">
        <v>41</v>
      </c>
      <c r="F215" t="s">
        <v>52</v>
      </c>
      <c r="G215" t="s">
        <v>43</v>
      </c>
      <c r="H215" t="s">
        <v>1009</v>
      </c>
      <c r="I215" s="4">
        <v>45671.875</v>
      </c>
      <c r="J215" t="s">
        <v>1010</v>
      </c>
      <c r="K215" t="s">
        <v>1002</v>
      </c>
      <c r="L215" s="5" t="s">
        <v>1011</v>
      </c>
      <c r="M215" s="5"/>
      <c r="N215" t="s">
        <v>82</v>
      </c>
      <c r="O215" t="s">
        <v>1012</v>
      </c>
      <c r="R215">
        <v>1</v>
      </c>
      <c r="S215" t="s">
        <v>230</v>
      </c>
      <c r="T215" s="5" t="s">
        <v>48</v>
      </c>
      <c r="U215" t="s">
        <v>1013</v>
      </c>
      <c r="V215" t="s">
        <v>1014</v>
      </c>
      <c r="W215">
        <v>149</v>
      </c>
      <c r="X215" t="s">
        <v>1015</v>
      </c>
      <c r="Y215" t="str">
        <f>VLOOKUP(C215,'[1]DBS_KPY Sorumlular'!A:C,2,FALSE)</f>
        <v>Mustafa AYDIN</v>
      </c>
      <c r="Z215" t="str">
        <f>VLOOKUP(C215,'[1]DBS_KPY Sorumlular'!A:C,3,FALSE)</f>
        <v>Esra DOLAN</v>
      </c>
      <c r="AA215" t="str">
        <f>VLOOKUP(K215,[1]!Tablo3[#Data],2,FALSE)</f>
        <v>Kadir TOPÇU</v>
      </c>
    </row>
    <row r="216" spans="1:27" x14ac:dyDescent="0.25">
      <c r="A216">
        <v>1503</v>
      </c>
      <c r="B216" t="s">
        <v>27</v>
      </c>
      <c r="C216" t="s">
        <v>73</v>
      </c>
      <c r="D216" t="s">
        <v>73</v>
      </c>
      <c r="F216" t="s">
        <v>74</v>
      </c>
      <c r="G216" t="s">
        <v>30</v>
      </c>
      <c r="H216" t="s">
        <v>1016</v>
      </c>
      <c r="I216" s="4">
        <v>46015.875</v>
      </c>
      <c r="J216" t="s">
        <v>1017</v>
      </c>
      <c r="K216" t="s">
        <v>1002</v>
      </c>
      <c r="L216" s="5" t="s">
        <v>1018</v>
      </c>
      <c r="M216" s="5" t="s">
        <v>1019</v>
      </c>
      <c r="N216" t="s">
        <v>46</v>
      </c>
      <c r="O216" t="s">
        <v>1020</v>
      </c>
      <c r="R216">
        <v>0.9</v>
      </c>
      <c r="S216" t="s">
        <v>230</v>
      </c>
      <c r="T216" s="5" t="s">
        <v>38</v>
      </c>
      <c r="Y216" t="str">
        <f>VLOOKUP(C216,'[1]DBS_KPY Sorumlular'!A:C,2,FALSE)</f>
        <v>Ayşegül AKGÜL</v>
      </c>
      <c r="Z216" t="str">
        <f>VLOOKUP(C216,'[1]DBS_KPY Sorumlular'!A:C,3,FALSE)</f>
        <v>Sinan ERDAŞ</v>
      </c>
      <c r="AA216" t="str">
        <f>VLOOKUP(K216,[1]!Tablo3[#Data],2,FALSE)</f>
        <v>Kadir TOPÇU</v>
      </c>
    </row>
    <row r="217" spans="1:27" x14ac:dyDescent="0.25">
      <c r="A217">
        <v>1504</v>
      </c>
      <c r="B217" t="s">
        <v>27</v>
      </c>
      <c r="C217" t="s">
        <v>73</v>
      </c>
      <c r="D217" t="s">
        <v>73</v>
      </c>
      <c r="F217" t="s">
        <v>74</v>
      </c>
      <c r="G217" t="s">
        <v>30</v>
      </c>
      <c r="H217" t="s">
        <v>1021</v>
      </c>
      <c r="I217" s="4">
        <v>46021.875</v>
      </c>
      <c r="J217" t="s">
        <v>1022</v>
      </c>
      <c r="K217" t="s">
        <v>1002</v>
      </c>
      <c r="L217" s="5" t="s">
        <v>213</v>
      </c>
      <c r="M217" s="5"/>
      <c r="N217" t="s">
        <v>46</v>
      </c>
      <c r="O217" t="s">
        <v>1023</v>
      </c>
      <c r="R217">
        <v>0</v>
      </c>
      <c r="S217" t="s">
        <v>230</v>
      </c>
      <c r="T217" s="5" t="s">
        <v>38</v>
      </c>
      <c r="Y217" t="str">
        <f>VLOOKUP(C217,'[1]DBS_KPY Sorumlular'!A:C,2,FALSE)</f>
        <v>Ayşegül AKGÜL</v>
      </c>
      <c r="Z217" t="str">
        <f>VLOOKUP(C217,'[1]DBS_KPY Sorumlular'!A:C,3,FALSE)</f>
        <v>Sinan ERDAŞ</v>
      </c>
      <c r="AA217" t="str">
        <f>VLOOKUP(K217,[1]!Tablo3[#Data],2,FALSE)</f>
        <v>Kadir TOPÇU</v>
      </c>
    </row>
    <row r="218" spans="1:27" x14ac:dyDescent="0.25">
      <c r="A218">
        <v>1505</v>
      </c>
      <c r="B218" t="s">
        <v>27</v>
      </c>
      <c r="C218" t="s">
        <v>73</v>
      </c>
      <c r="D218" t="s">
        <v>73</v>
      </c>
      <c r="F218" t="s">
        <v>74</v>
      </c>
      <c r="G218" t="s">
        <v>30</v>
      </c>
      <c r="H218" t="s">
        <v>1024</v>
      </c>
      <c r="I218" s="4">
        <v>46022.875</v>
      </c>
      <c r="J218" t="s">
        <v>1025</v>
      </c>
      <c r="K218" t="s">
        <v>1002</v>
      </c>
      <c r="L218" s="5" t="s">
        <v>213</v>
      </c>
      <c r="M218" s="5"/>
      <c r="N218" t="s">
        <v>46</v>
      </c>
      <c r="O218" t="s">
        <v>1026</v>
      </c>
      <c r="R218">
        <v>0</v>
      </c>
      <c r="S218" t="s">
        <v>230</v>
      </c>
      <c r="T218" s="5" t="s">
        <v>38</v>
      </c>
      <c r="Y218" t="str">
        <f>VLOOKUP(C218,'[1]DBS_KPY Sorumlular'!A:C,2,FALSE)</f>
        <v>Ayşegül AKGÜL</v>
      </c>
      <c r="Z218" t="str">
        <f>VLOOKUP(C218,'[1]DBS_KPY Sorumlular'!A:C,3,FALSE)</f>
        <v>Sinan ERDAŞ</v>
      </c>
      <c r="AA218" t="str">
        <f>VLOOKUP(K218,[1]!Tablo3[#Data],2,FALSE)</f>
        <v>Kadir TOPÇU</v>
      </c>
    </row>
    <row r="219" spans="1:27" x14ac:dyDescent="0.25">
      <c r="A219">
        <v>1506</v>
      </c>
      <c r="B219" t="s">
        <v>27</v>
      </c>
      <c r="C219" t="s">
        <v>40</v>
      </c>
      <c r="D219" t="s">
        <v>65</v>
      </c>
      <c r="F219" t="s">
        <v>66</v>
      </c>
      <c r="G219" t="s">
        <v>67</v>
      </c>
      <c r="H219" t="s">
        <v>1027</v>
      </c>
      <c r="I219" s="4">
        <v>45541.875</v>
      </c>
      <c r="J219" t="s">
        <v>1028</v>
      </c>
      <c r="K219" t="s">
        <v>1029</v>
      </c>
      <c r="L219" s="5"/>
      <c r="M219" s="5"/>
      <c r="N219" t="s">
        <v>82</v>
      </c>
      <c r="O219" t="s">
        <v>1030</v>
      </c>
      <c r="R219">
        <v>1</v>
      </c>
      <c r="S219" t="s">
        <v>37</v>
      </c>
      <c r="T219" s="5" t="s">
        <v>48</v>
      </c>
      <c r="U219" t="s">
        <v>1031</v>
      </c>
      <c r="V219" t="s">
        <v>1032</v>
      </c>
      <c r="W219">
        <v>203</v>
      </c>
      <c r="X219" t="s">
        <v>72</v>
      </c>
      <c r="Y219" t="str">
        <f>VLOOKUP(C219,'[1]DBS_KPY Sorumlular'!A:C,2,FALSE)</f>
        <v>Mustafa AYDIN</v>
      </c>
      <c r="Z219" t="str">
        <f>VLOOKUP(C219,'[1]DBS_KPY Sorumlular'!A:C,3,FALSE)</f>
        <v>Esra DOLAN</v>
      </c>
      <c r="AA219" t="str">
        <f>VLOOKUP(K219,[1]!Tablo3[#Data],2,FALSE)</f>
        <v>Tayfun VİÇE</v>
      </c>
    </row>
    <row r="220" spans="1:27" x14ac:dyDescent="0.25">
      <c r="A220">
        <v>1507</v>
      </c>
      <c r="B220" t="s">
        <v>27</v>
      </c>
      <c r="C220" t="s">
        <v>40</v>
      </c>
      <c r="D220" t="s">
        <v>65</v>
      </c>
      <c r="F220" t="s">
        <v>66</v>
      </c>
      <c r="G220" t="s">
        <v>30</v>
      </c>
      <c r="H220" t="s">
        <v>1033</v>
      </c>
      <c r="I220" s="4">
        <v>45549.875</v>
      </c>
      <c r="J220" t="s">
        <v>1034</v>
      </c>
      <c r="K220" t="s">
        <v>1029</v>
      </c>
      <c r="L220" s="5"/>
      <c r="M220" s="5"/>
      <c r="N220" t="s">
        <v>82</v>
      </c>
      <c r="O220" t="s">
        <v>1035</v>
      </c>
      <c r="R220">
        <v>1</v>
      </c>
      <c r="S220" t="s">
        <v>37</v>
      </c>
      <c r="T220" s="5" t="s">
        <v>100</v>
      </c>
      <c r="W220">
        <v>207</v>
      </c>
      <c r="X220" t="s">
        <v>472</v>
      </c>
      <c r="Y220" t="str">
        <f>VLOOKUP(C220,'[1]DBS_KPY Sorumlular'!A:C,2,FALSE)</f>
        <v>Mustafa AYDIN</v>
      </c>
      <c r="Z220" t="str">
        <f>VLOOKUP(C220,'[1]DBS_KPY Sorumlular'!A:C,3,FALSE)</f>
        <v>Esra DOLAN</v>
      </c>
      <c r="AA220" t="str">
        <f>VLOOKUP(K220,[1]!Tablo3[#Data],2,FALSE)</f>
        <v>Tayfun VİÇE</v>
      </c>
    </row>
    <row r="221" spans="1:27" x14ac:dyDescent="0.25">
      <c r="A221">
        <v>1508</v>
      </c>
      <c r="B221" t="s">
        <v>27</v>
      </c>
      <c r="C221" t="s">
        <v>40</v>
      </c>
      <c r="D221" t="s">
        <v>65</v>
      </c>
      <c r="F221" t="s">
        <v>66</v>
      </c>
      <c r="G221" t="s">
        <v>30</v>
      </c>
      <c r="H221" t="s">
        <v>1036</v>
      </c>
      <c r="I221" s="4">
        <v>45549.875</v>
      </c>
      <c r="J221" t="s">
        <v>1037</v>
      </c>
      <c r="K221" t="s">
        <v>1029</v>
      </c>
      <c r="L221" s="5"/>
      <c r="M221" s="5"/>
      <c r="N221" t="s">
        <v>82</v>
      </c>
      <c r="O221" t="s">
        <v>1038</v>
      </c>
      <c r="R221">
        <v>1</v>
      </c>
      <c r="S221" t="s">
        <v>37</v>
      </c>
      <c r="T221" s="5" t="s">
        <v>48</v>
      </c>
      <c r="U221" t="s">
        <v>1039</v>
      </c>
      <c r="V221" t="s">
        <v>1036</v>
      </c>
      <c r="W221">
        <v>207</v>
      </c>
      <c r="X221" t="s">
        <v>472</v>
      </c>
      <c r="Y221" t="str">
        <f>VLOOKUP(C221,'[1]DBS_KPY Sorumlular'!A:C,2,FALSE)</f>
        <v>Mustafa AYDIN</v>
      </c>
      <c r="Z221" t="str">
        <f>VLOOKUP(C221,'[1]DBS_KPY Sorumlular'!A:C,3,FALSE)</f>
        <v>Esra DOLAN</v>
      </c>
      <c r="AA221" t="str">
        <f>VLOOKUP(K221,[1]!Tablo3[#Data],2,FALSE)</f>
        <v>Tayfun VİÇE</v>
      </c>
    </row>
    <row r="222" spans="1:27" x14ac:dyDescent="0.25">
      <c r="A222">
        <v>1509</v>
      </c>
      <c r="B222" t="s">
        <v>27</v>
      </c>
      <c r="C222" t="s">
        <v>40</v>
      </c>
      <c r="D222" t="s">
        <v>65</v>
      </c>
      <c r="F222" t="s">
        <v>66</v>
      </c>
      <c r="G222" t="s">
        <v>67</v>
      </c>
      <c r="H222" t="s">
        <v>1040</v>
      </c>
      <c r="I222" s="4">
        <v>45868.875</v>
      </c>
      <c r="J222" t="s">
        <v>1041</v>
      </c>
      <c r="K222" t="s">
        <v>1029</v>
      </c>
      <c r="L222" s="5"/>
      <c r="M222" s="5"/>
      <c r="N222" t="s">
        <v>46</v>
      </c>
      <c r="O222" t="s">
        <v>1042</v>
      </c>
      <c r="R222">
        <v>0.9</v>
      </c>
      <c r="S222" t="s">
        <v>37</v>
      </c>
      <c r="T222" s="5" t="s">
        <v>48</v>
      </c>
      <c r="U222" t="s">
        <v>1043</v>
      </c>
      <c r="V222" t="s">
        <v>1044</v>
      </c>
      <c r="W222">
        <v>202</v>
      </c>
      <c r="X222" t="s">
        <v>1045</v>
      </c>
      <c r="Y222" t="str">
        <f>VLOOKUP(C222,'[1]DBS_KPY Sorumlular'!A:C,2,FALSE)</f>
        <v>Mustafa AYDIN</v>
      </c>
      <c r="Z222" t="str">
        <f>VLOOKUP(C222,'[1]DBS_KPY Sorumlular'!A:C,3,FALSE)</f>
        <v>Esra DOLAN</v>
      </c>
      <c r="AA222" t="str">
        <f>VLOOKUP(K222,[1]!Tablo3[#Data],2,FALSE)</f>
        <v>Tayfun VİÇE</v>
      </c>
    </row>
    <row r="223" spans="1:27" x14ac:dyDescent="0.25">
      <c r="A223">
        <v>1510</v>
      </c>
      <c r="B223" t="s">
        <v>27</v>
      </c>
      <c r="C223" t="s">
        <v>1046</v>
      </c>
      <c r="D223" t="s">
        <v>1047</v>
      </c>
      <c r="F223" t="s">
        <v>102</v>
      </c>
      <c r="G223" t="s">
        <v>43</v>
      </c>
      <c r="H223" t="s">
        <v>1048</v>
      </c>
      <c r="I223" s="4">
        <v>45549.875</v>
      </c>
      <c r="K223" t="s">
        <v>1029</v>
      </c>
      <c r="L223" s="5" t="s">
        <v>1049</v>
      </c>
      <c r="M223" s="5"/>
      <c r="N223" t="s">
        <v>82</v>
      </c>
      <c r="O223" t="s">
        <v>1050</v>
      </c>
      <c r="R223">
        <v>1</v>
      </c>
      <c r="S223" t="s">
        <v>37</v>
      </c>
      <c r="T223" s="5" t="s">
        <v>38</v>
      </c>
      <c r="W223">
        <v>36</v>
      </c>
      <c r="X223" t="s">
        <v>1051</v>
      </c>
      <c r="Y223" t="str">
        <f>VLOOKUP(C223,'[1]DBS_KPY Sorumlular'!A:C,2,FALSE)</f>
        <v>Ayşegül AKGÜL</v>
      </c>
      <c r="Z223" t="str">
        <f>VLOOKUP(C223,'[1]DBS_KPY Sorumlular'!A:C,3,FALSE)</f>
        <v>Sinan ERDAŞ</v>
      </c>
      <c r="AA223" t="str">
        <f>VLOOKUP(K223,[1]!Tablo3[#Data],2,FALSE)</f>
        <v>Tayfun VİÇE</v>
      </c>
    </row>
    <row r="224" spans="1:27" x14ac:dyDescent="0.25">
      <c r="A224">
        <v>1511</v>
      </c>
      <c r="B224" t="s">
        <v>27</v>
      </c>
      <c r="C224" t="s">
        <v>40</v>
      </c>
      <c r="D224" t="s">
        <v>41</v>
      </c>
      <c r="F224" t="s">
        <v>102</v>
      </c>
      <c r="G224" t="s">
        <v>43</v>
      </c>
      <c r="H224" t="s">
        <v>1052</v>
      </c>
      <c r="I224" s="4">
        <v>45535.875</v>
      </c>
      <c r="J224" t="s">
        <v>1053</v>
      </c>
      <c r="K224" t="s">
        <v>1029</v>
      </c>
      <c r="L224" s="5" t="s">
        <v>1054</v>
      </c>
      <c r="M224" s="5" t="s">
        <v>1055</v>
      </c>
      <c r="N224" t="s">
        <v>82</v>
      </c>
      <c r="O224" t="s">
        <v>1056</v>
      </c>
      <c r="R224">
        <v>1</v>
      </c>
      <c r="S224" t="s">
        <v>37</v>
      </c>
      <c r="T224" s="5" t="s">
        <v>48</v>
      </c>
      <c r="U224" t="s">
        <v>1057</v>
      </c>
      <c r="V224" t="s">
        <v>1058</v>
      </c>
      <c r="W224">
        <v>108</v>
      </c>
      <c r="X224" t="s">
        <v>107</v>
      </c>
      <c r="Y224" t="str">
        <f>VLOOKUP(C224,'[1]DBS_KPY Sorumlular'!A:C,2,FALSE)</f>
        <v>Mustafa AYDIN</v>
      </c>
      <c r="Z224" t="str">
        <f>VLOOKUP(C224,'[1]DBS_KPY Sorumlular'!A:C,3,FALSE)</f>
        <v>Esra DOLAN</v>
      </c>
      <c r="AA224" t="str">
        <f>VLOOKUP(K224,[1]!Tablo3[#Data],2,FALSE)</f>
        <v>Tayfun VİÇE</v>
      </c>
    </row>
    <row r="225" spans="1:27" x14ac:dyDescent="0.25">
      <c r="A225">
        <v>1512</v>
      </c>
      <c r="B225" t="s">
        <v>27</v>
      </c>
      <c r="C225" t="s">
        <v>40</v>
      </c>
      <c r="D225" t="s">
        <v>41</v>
      </c>
      <c r="F225" t="s">
        <v>102</v>
      </c>
      <c r="G225" t="s">
        <v>43</v>
      </c>
      <c r="H225" t="s">
        <v>1052</v>
      </c>
      <c r="I225" s="4">
        <v>45655.875</v>
      </c>
      <c r="J225" t="s">
        <v>1059</v>
      </c>
      <c r="K225" t="s">
        <v>1029</v>
      </c>
      <c r="L225" s="5"/>
      <c r="M225" s="5"/>
      <c r="N225" t="s">
        <v>82</v>
      </c>
      <c r="O225" t="s">
        <v>1060</v>
      </c>
      <c r="R225">
        <v>1</v>
      </c>
      <c r="S225" t="s">
        <v>37</v>
      </c>
      <c r="T225" s="5" t="s">
        <v>58</v>
      </c>
      <c r="U225" t="s">
        <v>1061</v>
      </c>
      <c r="V225" t="s">
        <v>1062</v>
      </c>
      <c r="W225">
        <v>108</v>
      </c>
      <c r="X225" t="s">
        <v>107</v>
      </c>
      <c r="Y225" t="str">
        <f>VLOOKUP(C225,'[1]DBS_KPY Sorumlular'!A:C,2,FALSE)</f>
        <v>Mustafa AYDIN</v>
      </c>
      <c r="Z225" t="str">
        <f>VLOOKUP(C225,'[1]DBS_KPY Sorumlular'!A:C,3,FALSE)</f>
        <v>Esra DOLAN</v>
      </c>
      <c r="AA225" t="str">
        <f>VLOOKUP(K225,[1]!Tablo3[#Data],2,FALSE)</f>
        <v>Tayfun VİÇE</v>
      </c>
    </row>
    <row r="226" spans="1:27" x14ac:dyDescent="0.25">
      <c r="A226">
        <v>1514</v>
      </c>
      <c r="B226" t="s">
        <v>27</v>
      </c>
      <c r="C226" t="s">
        <v>40</v>
      </c>
      <c r="D226" t="s">
        <v>65</v>
      </c>
      <c r="F226" t="s">
        <v>66</v>
      </c>
      <c r="G226" t="s">
        <v>67</v>
      </c>
      <c r="H226" t="s">
        <v>1063</v>
      </c>
      <c r="I226" s="4">
        <v>45867.875</v>
      </c>
      <c r="J226" t="s">
        <v>1028</v>
      </c>
      <c r="K226" t="s">
        <v>1029</v>
      </c>
      <c r="L226" s="5"/>
      <c r="M226" s="5"/>
      <c r="N226" t="s">
        <v>46</v>
      </c>
      <c r="O226" t="s">
        <v>1064</v>
      </c>
      <c r="R226">
        <v>0.98</v>
      </c>
      <c r="S226" t="s">
        <v>37</v>
      </c>
      <c r="T226" s="5" t="s">
        <v>48</v>
      </c>
      <c r="U226" t="s">
        <v>1065</v>
      </c>
      <c r="V226" t="s">
        <v>1066</v>
      </c>
      <c r="W226">
        <v>203</v>
      </c>
      <c r="X226" t="s">
        <v>72</v>
      </c>
      <c r="Y226" t="str">
        <f>VLOOKUP(C226,'[1]DBS_KPY Sorumlular'!A:C,2,FALSE)</f>
        <v>Mustafa AYDIN</v>
      </c>
      <c r="Z226" t="str">
        <f>VLOOKUP(C226,'[1]DBS_KPY Sorumlular'!A:C,3,FALSE)</f>
        <v>Esra DOLAN</v>
      </c>
      <c r="AA226" t="str">
        <f>VLOOKUP(K226,[1]!Tablo3[#Data],2,FALSE)</f>
        <v>Tayfun VİÇE</v>
      </c>
    </row>
    <row r="227" spans="1:27" x14ac:dyDescent="0.25">
      <c r="A227">
        <v>1515</v>
      </c>
      <c r="B227" t="s">
        <v>27</v>
      </c>
      <c r="C227" t="s">
        <v>40</v>
      </c>
      <c r="D227" t="s">
        <v>41</v>
      </c>
      <c r="F227" t="s">
        <v>102</v>
      </c>
      <c r="G227" t="s">
        <v>43</v>
      </c>
      <c r="H227" t="s">
        <v>1067</v>
      </c>
      <c r="I227" s="4">
        <v>45655.875</v>
      </c>
      <c r="J227" t="s">
        <v>1068</v>
      </c>
      <c r="K227" t="s">
        <v>1029</v>
      </c>
      <c r="L227" s="5"/>
      <c r="M227" s="5"/>
      <c r="N227" t="s">
        <v>82</v>
      </c>
      <c r="O227" t="s">
        <v>1069</v>
      </c>
      <c r="R227">
        <v>1</v>
      </c>
      <c r="S227" t="s">
        <v>37</v>
      </c>
      <c r="T227" s="5" t="s">
        <v>48</v>
      </c>
      <c r="U227" t="s">
        <v>1070</v>
      </c>
      <c r="V227" t="s">
        <v>1071</v>
      </c>
      <c r="W227">
        <v>82</v>
      </c>
      <c r="X227" t="s">
        <v>1072</v>
      </c>
      <c r="Y227" t="str">
        <f>VLOOKUP(C227,'[1]DBS_KPY Sorumlular'!A:C,2,FALSE)</f>
        <v>Mustafa AYDIN</v>
      </c>
      <c r="Z227" t="str">
        <f>VLOOKUP(C227,'[1]DBS_KPY Sorumlular'!A:C,3,FALSE)</f>
        <v>Esra DOLAN</v>
      </c>
      <c r="AA227" t="str">
        <f>VLOOKUP(K227,[1]!Tablo3[#Data],2,FALSE)</f>
        <v>Tayfun VİÇE</v>
      </c>
    </row>
    <row r="228" spans="1:27" x14ac:dyDescent="0.25">
      <c r="A228">
        <v>1516</v>
      </c>
      <c r="B228" t="s">
        <v>27</v>
      </c>
      <c r="C228" t="s">
        <v>1046</v>
      </c>
      <c r="D228" t="s">
        <v>1047</v>
      </c>
      <c r="F228" t="s">
        <v>102</v>
      </c>
      <c r="G228" t="s">
        <v>43</v>
      </c>
      <c r="H228" t="s">
        <v>1073</v>
      </c>
      <c r="I228" s="4">
        <v>45702.875</v>
      </c>
      <c r="K228" t="s">
        <v>1029</v>
      </c>
      <c r="L228" s="5" t="s">
        <v>1074</v>
      </c>
      <c r="M228" s="5"/>
      <c r="N228" t="s">
        <v>82</v>
      </c>
      <c r="O228" t="s">
        <v>1075</v>
      </c>
      <c r="R228">
        <v>1</v>
      </c>
      <c r="S228" t="s">
        <v>37</v>
      </c>
      <c r="T228" s="5" t="s">
        <v>38</v>
      </c>
      <c r="W228">
        <v>118</v>
      </c>
      <c r="X228" t="s">
        <v>197</v>
      </c>
      <c r="Y228" t="str">
        <f>VLOOKUP(C228,'[1]DBS_KPY Sorumlular'!A:C,2,FALSE)</f>
        <v>Ayşegül AKGÜL</v>
      </c>
      <c r="Z228" t="str">
        <f>VLOOKUP(C228,'[1]DBS_KPY Sorumlular'!A:C,3,FALSE)</f>
        <v>Sinan ERDAŞ</v>
      </c>
      <c r="AA228" t="str">
        <f>VLOOKUP(K228,[1]!Tablo3[#Data],2,FALSE)</f>
        <v>Tayfun VİÇE</v>
      </c>
    </row>
    <row r="229" spans="1:27" x14ac:dyDescent="0.25">
      <c r="A229">
        <v>1517</v>
      </c>
      <c r="B229" t="s">
        <v>27</v>
      </c>
      <c r="C229" t="s">
        <v>40</v>
      </c>
      <c r="D229" t="s">
        <v>41</v>
      </c>
      <c r="F229" t="s">
        <v>42</v>
      </c>
      <c r="G229" t="s">
        <v>43</v>
      </c>
      <c r="H229" t="s">
        <v>1076</v>
      </c>
      <c r="I229" s="4">
        <v>45837.875</v>
      </c>
      <c r="K229" t="s">
        <v>1029</v>
      </c>
      <c r="L229" s="5" t="s">
        <v>1077</v>
      </c>
      <c r="M229" s="5"/>
      <c r="N229" t="s">
        <v>82</v>
      </c>
      <c r="O229" t="s">
        <v>1078</v>
      </c>
      <c r="R229">
        <v>1</v>
      </c>
      <c r="S229" t="s">
        <v>37</v>
      </c>
      <c r="T229" s="5" t="s">
        <v>58</v>
      </c>
      <c r="U229" t="s">
        <v>134</v>
      </c>
      <c r="V229" t="s">
        <v>135</v>
      </c>
      <c r="W229">
        <v>68</v>
      </c>
      <c r="X229" t="s">
        <v>51</v>
      </c>
      <c r="Y229" t="str">
        <f>VLOOKUP(C229,'[1]DBS_KPY Sorumlular'!A:C,2,FALSE)</f>
        <v>Mustafa AYDIN</v>
      </c>
      <c r="Z229" t="str">
        <f>VLOOKUP(C229,'[1]DBS_KPY Sorumlular'!A:C,3,FALSE)</f>
        <v>Esra DOLAN</v>
      </c>
      <c r="AA229" t="str">
        <f>VLOOKUP(K229,[1]!Tablo3[#Data],2,FALSE)</f>
        <v>Tayfun VİÇE</v>
      </c>
    </row>
    <row r="230" spans="1:27" x14ac:dyDescent="0.25">
      <c r="A230">
        <v>1518</v>
      </c>
      <c r="B230" t="s">
        <v>27</v>
      </c>
      <c r="C230" t="s">
        <v>288</v>
      </c>
      <c r="D230" t="s">
        <v>289</v>
      </c>
      <c r="F230" t="s">
        <v>290</v>
      </c>
      <c r="G230" t="s">
        <v>291</v>
      </c>
      <c r="H230" t="s">
        <v>1079</v>
      </c>
      <c r="I230" s="4">
        <v>45929.875</v>
      </c>
      <c r="J230" t="s">
        <v>1080</v>
      </c>
      <c r="K230" t="s">
        <v>1029</v>
      </c>
      <c r="L230" s="5"/>
      <c r="M230" s="5"/>
      <c r="N230" t="s">
        <v>46</v>
      </c>
      <c r="O230" t="s">
        <v>1081</v>
      </c>
      <c r="R230">
        <v>0.66</v>
      </c>
      <c r="S230" t="s">
        <v>37</v>
      </c>
      <c r="T230" s="5" t="s">
        <v>38</v>
      </c>
      <c r="W230">
        <v>23</v>
      </c>
      <c r="X230" t="s">
        <v>295</v>
      </c>
      <c r="Y230" t="str">
        <f>VLOOKUP(C230,'[1]DBS_KPY Sorumlular'!A:C,2,FALSE)</f>
        <v>Sinan ERDAŞ</v>
      </c>
      <c r="Z230" t="str">
        <f>VLOOKUP(C230,'[1]DBS_KPY Sorumlular'!A:C,3,FALSE)</f>
        <v>Ayşegül AKGÜL</v>
      </c>
      <c r="AA230" t="str">
        <f>VLOOKUP(K230,[1]!Tablo3[#Data],2,FALSE)</f>
        <v>Tayfun VİÇE</v>
      </c>
    </row>
    <row r="231" spans="1:27" x14ac:dyDescent="0.25">
      <c r="A231">
        <v>1519</v>
      </c>
      <c r="B231" t="s">
        <v>27</v>
      </c>
      <c r="C231" t="s">
        <v>40</v>
      </c>
      <c r="D231" t="s">
        <v>41</v>
      </c>
      <c r="F231" t="s">
        <v>102</v>
      </c>
      <c r="G231" t="s">
        <v>43</v>
      </c>
      <c r="H231" t="s">
        <v>1082</v>
      </c>
      <c r="I231" s="4">
        <v>45837.875</v>
      </c>
      <c r="J231" t="s">
        <v>1083</v>
      </c>
      <c r="K231" t="s">
        <v>1029</v>
      </c>
      <c r="L231" s="5"/>
      <c r="M231" s="5"/>
      <c r="N231" t="s">
        <v>46</v>
      </c>
      <c r="O231" t="s">
        <v>1084</v>
      </c>
      <c r="R231">
        <v>0.88</v>
      </c>
      <c r="S231" t="s">
        <v>37</v>
      </c>
      <c r="T231" s="5" t="s">
        <v>48</v>
      </c>
      <c r="U231" t="s">
        <v>1085</v>
      </c>
      <c r="V231" t="s">
        <v>1086</v>
      </c>
      <c r="W231">
        <v>263</v>
      </c>
      <c r="X231" t="s">
        <v>628</v>
      </c>
      <c r="Y231" t="str">
        <f>VLOOKUP(C231,'[1]DBS_KPY Sorumlular'!A:C,2,FALSE)</f>
        <v>Mustafa AYDIN</v>
      </c>
      <c r="Z231" t="str">
        <f>VLOOKUP(C231,'[1]DBS_KPY Sorumlular'!A:C,3,FALSE)</f>
        <v>Esra DOLAN</v>
      </c>
      <c r="AA231" t="str">
        <f>VLOOKUP(K231,[1]!Tablo3[#Data],2,FALSE)</f>
        <v>Tayfun VİÇE</v>
      </c>
    </row>
    <row r="232" spans="1:27" x14ac:dyDescent="0.25">
      <c r="A232">
        <v>1520</v>
      </c>
      <c r="B232" t="s">
        <v>27</v>
      </c>
      <c r="C232" t="s">
        <v>40</v>
      </c>
      <c r="D232" t="s">
        <v>41</v>
      </c>
      <c r="F232" t="s">
        <v>102</v>
      </c>
      <c r="G232" t="s">
        <v>43</v>
      </c>
      <c r="H232" t="s">
        <v>1087</v>
      </c>
      <c r="I232" s="4">
        <v>45991.875</v>
      </c>
      <c r="K232" t="s">
        <v>1029</v>
      </c>
      <c r="L232" s="5" t="s">
        <v>1088</v>
      </c>
      <c r="M232" s="5" t="s">
        <v>1055</v>
      </c>
      <c r="N232" t="s">
        <v>768</v>
      </c>
      <c r="O232" t="s">
        <v>1089</v>
      </c>
      <c r="R232">
        <v>0.01</v>
      </c>
      <c r="S232" t="s">
        <v>37</v>
      </c>
      <c r="T232" s="5" t="s">
        <v>48</v>
      </c>
      <c r="U232" t="s">
        <v>1090</v>
      </c>
      <c r="V232" t="s">
        <v>1091</v>
      </c>
      <c r="W232">
        <v>108</v>
      </c>
      <c r="X232" t="s">
        <v>107</v>
      </c>
      <c r="Y232" t="str">
        <f>VLOOKUP(C232,'[1]DBS_KPY Sorumlular'!A:C,2,FALSE)</f>
        <v>Mustafa AYDIN</v>
      </c>
      <c r="Z232" t="str">
        <f>VLOOKUP(C232,'[1]DBS_KPY Sorumlular'!A:C,3,FALSE)</f>
        <v>Esra DOLAN</v>
      </c>
      <c r="AA232" t="str">
        <f>VLOOKUP(K232,[1]!Tablo3[#Data],2,FALSE)</f>
        <v>Tayfun VİÇE</v>
      </c>
    </row>
    <row r="233" spans="1:27" x14ac:dyDescent="0.25">
      <c r="A233">
        <v>1521</v>
      </c>
      <c r="B233" t="s">
        <v>27</v>
      </c>
      <c r="C233" t="s">
        <v>73</v>
      </c>
      <c r="D233" t="s">
        <v>73</v>
      </c>
      <c r="F233" t="s">
        <v>74</v>
      </c>
      <c r="G233" t="s">
        <v>30</v>
      </c>
      <c r="H233" t="s">
        <v>1092</v>
      </c>
      <c r="I233" s="4">
        <v>46110.875</v>
      </c>
      <c r="J233" t="s">
        <v>1093</v>
      </c>
      <c r="K233" t="s">
        <v>1029</v>
      </c>
      <c r="L233" s="5" t="s">
        <v>1094</v>
      </c>
      <c r="M233" s="5"/>
      <c r="N233" t="s">
        <v>46</v>
      </c>
      <c r="O233" t="s">
        <v>1095</v>
      </c>
      <c r="R233">
        <v>0.72</v>
      </c>
      <c r="S233" t="s">
        <v>37</v>
      </c>
      <c r="T233" s="5" t="s">
        <v>38</v>
      </c>
      <c r="Y233" t="str">
        <f>VLOOKUP(C233,'[1]DBS_KPY Sorumlular'!A:C,2,FALSE)</f>
        <v>Ayşegül AKGÜL</v>
      </c>
      <c r="Z233" t="str">
        <f>VLOOKUP(C233,'[1]DBS_KPY Sorumlular'!A:C,3,FALSE)</f>
        <v>Sinan ERDAŞ</v>
      </c>
      <c r="AA233" t="str">
        <f>VLOOKUP(K233,[1]!Tablo3[#Data],2,FALSE)</f>
        <v>Tayfun VİÇE</v>
      </c>
    </row>
    <row r="234" spans="1:27" x14ac:dyDescent="0.25">
      <c r="A234">
        <v>1522</v>
      </c>
      <c r="B234" t="s">
        <v>27</v>
      </c>
      <c r="C234" t="s">
        <v>73</v>
      </c>
      <c r="D234" t="s">
        <v>73</v>
      </c>
      <c r="F234" t="s">
        <v>108</v>
      </c>
      <c r="G234" t="s">
        <v>30</v>
      </c>
      <c r="H234" t="s">
        <v>1096</v>
      </c>
      <c r="I234" s="4">
        <v>46110.875</v>
      </c>
      <c r="J234" t="s">
        <v>1097</v>
      </c>
      <c r="K234" t="s">
        <v>1029</v>
      </c>
      <c r="L234" s="5" t="s">
        <v>1098</v>
      </c>
      <c r="M234" s="5"/>
      <c r="N234" t="s">
        <v>46</v>
      </c>
      <c r="O234" t="s">
        <v>1099</v>
      </c>
      <c r="R234">
        <v>0</v>
      </c>
      <c r="S234" t="s">
        <v>37</v>
      </c>
      <c r="T234" s="5" t="s">
        <v>38</v>
      </c>
      <c r="Y234" t="str">
        <f>VLOOKUP(C234,'[1]DBS_KPY Sorumlular'!A:C,2,FALSE)</f>
        <v>Ayşegül AKGÜL</v>
      </c>
      <c r="Z234" t="str">
        <f>VLOOKUP(C234,'[1]DBS_KPY Sorumlular'!A:C,3,FALSE)</f>
        <v>Sinan ERDAŞ</v>
      </c>
      <c r="AA234" t="str">
        <f>VLOOKUP(K234,[1]!Tablo3[#Data],2,FALSE)</f>
        <v>Tayfun VİÇE</v>
      </c>
    </row>
    <row r="235" spans="1:27" x14ac:dyDescent="0.25">
      <c r="A235">
        <v>1523</v>
      </c>
      <c r="B235" t="s">
        <v>27</v>
      </c>
      <c r="C235" t="s">
        <v>73</v>
      </c>
      <c r="D235" t="s">
        <v>73</v>
      </c>
      <c r="F235" t="s">
        <v>74</v>
      </c>
      <c r="G235" t="s">
        <v>30</v>
      </c>
      <c r="H235" t="s">
        <v>1100</v>
      </c>
      <c r="I235" s="4">
        <v>46263.875</v>
      </c>
      <c r="J235" t="s">
        <v>1101</v>
      </c>
      <c r="K235" t="s">
        <v>1029</v>
      </c>
      <c r="L235" s="5" t="s">
        <v>1102</v>
      </c>
      <c r="M235" s="5"/>
      <c r="N235" t="s">
        <v>46</v>
      </c>
      <c r="O235" t="s">
        <v>1103</v>
      </c>
      <c r="R235">
        <v>0.5</v>
      </c>
      <c r="S235" t="s">
        <v>37</v>
      </c>
      <c r="T235" s="5" t="s">
        <v>38</v>
      </c>
      <c r="Y235" t="str">
        <f>VLOOKUP(C235,'[1]DBS_KPY Sorumlular'!A:C,2,FALSE)</f>
        <v>Ayşegül AKGÜL</v>
      </c>
      <c r="Z235" t="str">
        <f>VLOOKUP(C235,'[1]DBS_KPY Sorumlular'!A:C,3,FALSE)</f>
        <v>Sinan ERDAŞ</v>
      </c>
      <c r="AA235" t="str">
        <f>VLOOKUP(K235,[1]!Tablo3[#Data],2,FALSE)</f>
        <v>Tayfun VİÇE</v>
      </c>
    </row>
    <row r="236" spans="1:27" x14ac:dyDescent="0.25">
      <c r="A236">
        <v>1524</v>
      </c>
      <c r="B236" t="s">
        <v>27</v>
      </c>
      <c r="C236" t="s">
        <v>73</v>
      </c>
      <c r="D236" t="s">
        <v>73</v>
      </c>
      <c r="F236" t="s">
        <v>74</v>
      </c>
      <c r="G236" t="s">
        <v>30</v>
      </c>
      <c r="H236" t="s">
        <v>1104</v>
      </c>
      <c r="I236" s="4">
        <v>46263.875</v>
      </c>
      <c r="J236" t="s">
        <v>1105</v>
      </c>
      <c r="K236" t="s">
        <v>1106</v>
      </c>
      <c r="L236" s="5" t="s">
        <v>1102</v>
      </c>
      <c r="M236" s="5"/>
      <c r="N236" t="s">
        <v>46</v>
      </c>
      <c r="O236" t="s">
        <v>1107</v>
      </c>
      <c r="R236">
        <v>0.4</v>
      </c>
      <c r="S236" t="s">
        <v>37</v>
      </c>
      <c r="T236" s="5" t="s">
        <v>38</v>
      </c>
      <c r="Y236" t="str">
        <f>VLOOKUP(C236,'[1]DBS_KPY Sorumlular'!A:C,2,FALSE)</f>
        <v>Ayşegül AKGÜL</v>
      </c>
      <c r="Z236" t="str">
        <f>VLOOKUP(C236,'[1]DBS_KPY Sorumlular'!A:C,3,FALSE)</f>
        <v>Sinan ERDAŞ</v>
      </c>
      <c r="AA236" t="str">
        <f>VLOOKUP(K236,[1]!Tablo3[#Data],2,FALSE)</f>
        <v>Tayfun VİÇE</v>
      </c>
    </row>
    <row r="237" spans="1:27" x14ac:dyDescent="0.25">
      <c r="A237">
        <v>1525</v>
      </c>
      <c r="B237" t="s">
        <v>27</v>
      </c>
      <c r="C237" t="s">
        <v>73</v>
      </c>
      <c r="D237" t="s">
        <v>73</v>
      </c>
      <c r="F237" t="s">
        <v>74</v>
      </c>
      <c r="G237" t="s">
        <v>30</v>
      </c>
      <c r="H237" t="s">
        <v>1108</v>
      </c>
      <c r="I237" s="4">
        <v>46263.875</v>
      </c>
      <c r="J237" t="s">
        <v>1109</v>
      </c>
      <c r="K237" t="s">
        <v>1029</v>
      </c>
      <c r="L237" s="5" t="s">
        <v>1102</v>
      </c>
      <c r="M237" s="5"/>
      <c r="N237" t="s">
        <v>46</v>
      </c>
      <c r="O237" t="s">
        <v>1110</v>
      </c>
      <c r="R237">
        <v>0.5</v>
      </c>
      <c r="S237" t="s">
        <v>37</v>
      </c>
      <c r="T237" s="5" t="s">
        <v>38</v>
      </c>
      <c r="Y237" t="str">
        <f>VLOOKUP(C237,'[1]DBS_KPY Sorumlular'!A:C,2,FALSE)</f>
        <v>Ayşegül AKGÜL</v>
      </c>
      <c r="Z237" t="str">
        <f>VLOOKUP(C237,'[1]DBS_KPY Sorumlular'!A:C,3,FALSE)</f>
        <v>Sinan ERDAŞ</v>
      </c>
      <c r="AA237" t="str">
        <f>VLOOKUP(K237,[1]!Tablo3[#Data],2,FALSE)</f>
        <v>Tayfun VİÇE</v>
      </c>
    </row>
    <row r="238" spans="1:27" x14ac:dyDescent="0.25">
      <c r="A238">
        <v>1526</v>
      </c>
      <c r="B238" t="s">
        <v>27</v>
      </c>
      <c r="C238" t="s">
        <v>288</v>
      </c>
      <c r="D238" t="s">
        <v>289</v>
      </c>
      <c r="F238" t="s">
        <v>290</v>
      </c>
      <c r="G238" t="s">
        <v>291</v>
      </c>
      <c r="H238" t="s">
        <v>1111</v>
      </c>
      <c r="I238" s="4">
        <v>46403.875</v>
      </c>
      <c r="J238" t="s">
        <v>1112</v>
      </c>
      <c r="K238" t="s">
        <v>1029</v>
      </c>
      <c r="L238" s="5"/>
      <c r="M238" s="5"/>
      <c r="N238" t="s">
        <v>46</v>
      </c>
      <c r="O238" t="s">
        <v>1113</v>
      </c>
      <c r="R238">
        <v>0.08</v>
      </c>
      <c r="S238" t="s">
        <v>37</v>
      </c>
      <c r="T238" s="5" t="s">
        <v>38</v>
      </c>
      <c r="W238">
        <v>23</v>
      </c>
      <c r="X238" t="s">
        <v>295</v>
      </c>
      <c r="Y238" t="str">
        <f>VLOOKUP(C238,'[1]DBS_KPY Sorumlular'!A:C,2,FALSE)</f>
        <v>Sinan ERDAŞ</v>
      </c>
      <c r="Z238" t="str">
        <f>VLOOKUP(C238,'[1]DBS_KPY Sorumlular'!A:C,3,FALSE)</f>
        <v>Ayşegül AKGÜL</v>
      </c>
      <c r="AA238" t="str">
        <f>VLOOKUP(K238,[1]!Tablo3[#Data],2,FALSE)</f>
        <v>Tayfun VİÇE</v>
      </c>
    </row>
    <row r="239" spans="1:27" x14ac:dyDescent="0.25">
      <c r="A239">
        <v>1527</v>
      </c>
      <c r="B239" t="s">
        <v>27</v>
      </c>
      <c r="C239" t="s">
        <v>40</v>
      </c>
      <c r="D239" t="s">
        <v>41</v>
      </c>
      <c r="F239" t="s">
        <v>102</v>
      </c>
      <c r="G239" t="s">
        <v>43</v>
      </c>
      <c r="H239" t="s">
        <v>1114</v>
      </c>
      <c r="I239" s="4">
        <v>45788.875</v>
      </c>
      <c r="K239" t="s">
        <v>1029</v>
      </c>
      <c r="L239" s="5" t="s">
        <v>1115</v>
      </c>
      <c r="M239" s="5"/>
      <c r="N239" t="s">
        <v>82</v>
      </c>
      <c r="O239" t="s">
        <v>1116</v>
      </c>
      <c r="R239">
        <v>1</v>
      </c>
      <c r="S239" t="s">
        <v>37</v>
      </c>
      <c r="T239" s="5" t="s">
        <v>58</v>
      </c>
      <c r="U239" t="s">
        <v>134</v>
      </c>
      <c r="V239" t="s">
        <v>135</v>
      </c>
      <c r="W239">
        <v>40</v>
      </c>
      <c r="X239" t="s">
        <v>1117</v>
      </c>
      <c r="Y239" t="str">
        <f>VLOOKUP(C239,'[1]DBS_KPY Sorumlular'!A:C,2,FALSE)</f>
        <v>Mustafa AYDIN</v>
      </c>
      <c r="Z239" t="str">
        <f>VLOOKUP(C239,'[1]DBS_KPY Sorumlular'!A:C,3,FALSE)</f>
        <v>Esra DOLAN</v>
      </c>
      <c r="AA239" t="str">
        <f>VLOOKUP(K239,[1]!Tablo3[#Data],2,FALSE)</f>
        <v>Tayfun VİÇE</v>
      </c>
    </row>
    <row r="240" spans="1:27" x14ac:dyDescent="0.25">
      <c r="A240">
        <v>1528</v>
      </c>
      <c r="B240" t="s">
        <v>27</v>
      </c>
      <c r="C240" t="s">
        <v>40</v>
      </c>
      <c r="D240" t="s">
        <v>65</v>
      </c>
      <c r="F240" t="s">
        <v>66</v>
      </c>
      <c r="G240" t="s">
        <v>67</v>
      </c>
      <c r="H240" t="s">
        <v>1118</v>
      </c>
      <c r="I240" s="4">
        <v>45837.875</v>
      </c>
      <c r="J240" t="s">
        <v>1119</v>
      </c>
      <c r="K240" t="s">
        <v>280</v>
      </c>
      <c r="L240" s="5"/>
      <c r="M240" s="5"/>
      <c r="N240" t="s">
        <v>46</v>
      </c>
      <c r="O240" t="s">
        <v>1120</v>
      </c>
      <c r="R240">
        <v>0.95</v>
      </c>
      <c r="S240" t="s">
        <v>57</v>
      </c>
      <c r="T240" s="5" t="s">
        <v>48</v>
      </c>
      <c r="U240" t="s">
        <v>1121</v>
      </c>
      <c r="V240" t="s">
        <v>1122</v>
      </c>
      <c r="W240">
        <v>203</v>
      </c>
      <c r="X240" t="s">
        <v>72</v>
      </c>
      <c r="Y240" t="str">
        <f>VLOOKUP(C240,'[1]DBS_KPY Sorumlular'!A:C,2,FALSE)</f>
        <v>Mustafa AYDIN</v>
      </c>
      <c r="Z240" t="str">
        <f>VLOOKUP(C240,'[1]DBS_KPY Sorumlular'!A:C,3,FALSE)</f>
        <v>Esra DOLAN</v>
      </c>
      <c r="AA240" t="str">
        <f>VLOOKUP(K240,[1]!Tablo3[#Data],2,FALSE)</f>
        <v>Erkan AKDOĞAN</v>
      </c>
    </row>
    <row r="241" spans="1:27" x14ac:dyDescent="0.25">
      <c r="A241">
        <v>1529</v>
      </c>
      <c r="B241" t="s">
        <v>27</v>
      </c>
      <c r="C241" t="s">
        <v>304</v>
      </c>
      <c r="D241" t="s">
        <v>305</v>
      </c>
      <c r="F241" t="s">
        <v>306</v>
      </c>
      <c r="G241" t="s">
        <v>96</v>
      </c>
      <c r="H241" t="s">
        <v>1123</v>
      </c>
      <c r="I241" s="4">
        <v>45549.875</v>
      </c>
      <c r="J241" t="s">
        <v>1124</v>
      </c>
      <c r="K241" t="s">
        <v>280</v>
      </c>
      <c r="L241" s="5" t="s">
        <v>685</v>
      </c>
      <c r="M241" s="5"/>
      <c r="N241" t="s">
        <v>82</v>
      </c>
      <c r="O241" t="s">
        <v>1125</v>
      </c>
      <c r="R241">
        <v>1</v>
      </c>
      <c r="S241" t="s">
        <v>57</v>
      </c>
      <c r="T241" s="5" t="s">
        <v>38</v>
      </c>
      <c r="W241">
        <v>206</v>
      </c>
      <c r="X241" t="s">
        <v>311</v>
      </c>
      <c r="Y241" t="str">
        <f>VLOOKUP(C241,'[1]DBS_KPY Sorumlular'!A:C,2,FALSE)</f>
        <v>Erkan AKDOĞAN</v>
      </c>
      <c r="Z241" t="str">
        <f>VLOOKUP(C241,'[1]DBS_KPY Sorumlular'!A:C,3,FALSE)</f>
        <v>Kadir TOPÇU</v>
      </c>
      <c r="AA241" t="str">
        <f>VLOOKUP(K241,[1]!Tablo3[#Data],2,FALSE)</f>
        <v>Erkan AKDOĞAN</v>
      </c>
    </row>
    <row r="242" spans="1:27" x14ac:dyDescent="0.25">
      <c r="A242">
        <v>1530</v>
      </c>
      <c r="B242" t="s">
        <v>27</v>
      </c>
      <c r="C242" t="s">
        <v>40</v>
      </c>
      <c r="D242" t="s">
        <v>65</v>
      </c>
      <c r="F242" t="s">
        <v>66</v>
      </c>
      <c r="G242" t="s">
        <v>67</v>
      </c>
      <c r="H242" t="s">
        <v>1126</v>
      </c>
      <c r="I242" s="4">
        <v>45837.875</v>
      </c>
      <c r="J242" t="s">
        <v>1127</v>
      </c>
      <c r="K242" t="s">
        <v>280</v>
      </c>
      <c r="L242" s="5"/>
      <c r="M242" s="5"/>
      <c r="N242" t="s">
        <v>46</v>
      </c>
      <c r="O242" t="s">
        <v>1128</v>
      </c>
      <c r="R242">
        <v>0.9</v>
      </c>
      <c r="S242" t="s">
        <v>57</v>
      </c>
      <c r="T242" s="5" t="s">
        <v>48</v>
      </c>
      <c r="U242" t="s">
        <v>1129</v>
      </c>
      <c r="V242" t="s">
        <v>1130</v>
      </c>
      <c r="W242">
        <v>203</v>
      </c>
      <c r="X242" t="s">
        <v>72</v>
      </c>
      <c r="Y242" t="str">
        <f>VLOOKUP(C242,'[1]DBS_KPY Sorumlular'!A:C,2,FALSE)</f>
        <v>Mustafa AYDIN</v>
      </c>
      <c r="Z242" t="str">
        <f>VLOOKUP(C242,'[1]DBS_KPY Sorumlular'!A:C,3,FALSE)</f>
        <v>Esra DOLAN</v>
      </c>
      <c r="AA242" t="str">
        <f>VLOOKUP(K242,[1]!Tablo3[#Data],2,FALSE)</f>
        <v>Erkan AKDOĞAN</v>
      </c>
    </row>
    <row r="243" spans="1:27" x14ac:dyDescent="0.25">
      <c r="A243">
        <v>1531</v>
      </c>
      <c r="B243" t="s">
        <v>27</v>
      </c>
      <c r="C243" t="s">
        <v>40</v>
      </c>
      <c r="D243" t="s">
        <v>41</v>
      </c>
      <c r="F243" t="s">
        <v>882</v>
      </c>
      <c r="G243" t="s">
        <v>43</v>
      </c>
      <c r="H243" t="s">
        <v>1131</v>
      </c>
      <c r="I243" s="4">
        <v>45837.875</v>
      </c>
      <c r="K243" t="s">
        <v>280</v>
      </c>
      <c r="L243" s="5"/>
      <c r="M243" s="5"/>
      <c r="N243" t="s">
        <v>46</v>
      </c>
      <c r="O243" t="s">
        <v>1132</v>
      </c>
      <c r="R243">
        <v>0.75</v>
      </c>
      <c r="S243" t="s">
        <v>57</v>
      </c>
      <c r="T243" s="5" t="s">
        <v>58</v>
      </c>
      <c r="U243" t="s">
        <v>867</v>
      </c>
      <c r="V243" t="s">
        <v>868</v>
      </c>
      <c r="W243">
        <v>30</v>
      </c>
      <c r="X243" t="s">
        <v>327</v>
      </c>
      <c r="Y243" t="str">
        <f>VLOOKUP(C243,'[1]DBS_KPY Sorumlular'!A:C,2,FALSE)</f>
        <v>Mustafa AYDIN</v>
      </c>
      <c r="Z243" t="str">
        <f>VLOOKUP(C243,'[1]DBS_KPY Sorumlular'!A:C,3,FALSE)</f>
        <v>Esra DOLAN</v>
      </c>
      <c r="AA243" t="str">
        <f>VLOOKUP(K243,[1]!Tablo3[#Data],2,FALSE)</f>
        <v>Erkan AKDOĞAN</v>
      </c>
    </row>
    <row r="244" spans="1:27" x14ac:dyDescent="0.25">
      <c r="A244">
        <v>1532</v>
      </c>
      <c r="B244" t="s">
        <v>27</v>
      </c>
      <c r="C244" t="s">
        <v>40</v>
      </c>
      <c r="D244" t="s">
        <v>41</v>
      </c>
      <c r="F244" t="s">
        <v>1133</v>
      </c>
      <c r="G244" t="s">
        <v>43</v>
      </c>
      <c r="H244" t="s">
        <v>1134</v>
      </c>
      <c r="I244" s="4">
        <v>45837.875</v>
      </c>
      <c r="J244" t="s">
        <v>1135</v>
      </c>
      <c r="K244" t="s">
        <v>280</v>
      </c>
      <c r="L244" s="5"/>
      <c r="M244" s="5"/>
      <c r="N244" t="s">
        <v>46</v>
      </c>
      <c r="O244" t="s">
        <v>1136</v>
      </c>
      <c r="R244">
        <v>0.8</v>
      </c>
      <c r="S244" t="s">
        <v>57</v>
      </c>
      <c r="T244" s="5" t="s">
        <v>48</v>
      </c>
      <c r="U244" t="s">
        <v>1137</v>
      </c>
      <c r="V244" t="s">
        <v>1138</v>
      </c>
      <c r="W244">
        <v>43</v>
      </c>
      <c r="X244" t="s">
        <v>1139</v>
      </c>
      <c r="Y244" t="str">
        <f>VLOOKUP(C244,'[1]DBS_KPY Sorumlular'!A:C,2,FALSE)</f>
        <v>Mustafa AYDIN</v>
      </c>
      <c r="Z244" t="str">
        <f>VLOOKUP(C244,'[1]DBS_KPY Sorumlular'!A:C,3,FALSE)</f>
        <v>Esra DOLAN</v>
      </c>
      <c r="AA244" t="str">
        <f>VLOOKUP(K244,[1]!Tablo3[#Data],2,FALSE)</f>
        <v>Erkan AKDOĞAN</v>
      </c>
    </row>
    <row r="245" spans="1:27" x14ac:dyDescent="0.25">
      <c r="A245">
        <v>1533</v>
      </c>
      <c r="B245" t="s">
        <v>27</v>
      </c>
      <c r="C245" t="s">
        <v>73</v>
      </c>
      <c r="D245" t="s">
        <v>73</v>
      </c>
      <c r="F245" t="s">
        <v>108</v>
      </c>
      <c r="G245" t="s">
        <v>30</v>
      </c>
      <c r="H245" t="s">
        <v>1140</v>
      </c>
      <c r="I245" s="4">
        <v>45900.875</v>
      </c>
      <c r="J245" t="s">
        <v>1141</v>
      </c>
      <c r="K245" t="s">
        <v>280</v>
      </c>
      <c r="L245" s="5" t="s">
        <v>1142</v>
      </c>
      <c r="M245" s="5"/>
      <c r="N245" t="s">
        <v>46</v>
      </c>
      <c r="O245" t="s">
        <v>1143</v>
      </c>
      <c r="R245">
        <v>0</v>
      </c>
      <c r="S245" t="s">
        <v>57</v>
      </c>
      <c r="T245" s="5" t="s">
        <v>38</v>
      </c>
      <c r="Y245" t="str">
        <f>VLOOKUP(C245,'[1]DBS_KPY Sorumlular'!A:C,2,FALSE)</f>
        <v>Ayşegül AKGÜL</v>
      </c>
      <c r="Z245" t="str">
        <f>VLOOKUP(C245,'[1]DBS_KPY Sorumlular'!A:C,3,FALSE)</f>
        <v>Sinan ERDAŞ</v>
      </c>
      <c r="AA245" t="str">
        <f>VLOOKUP(K245,[1]!Tablo3[#Data],2,FALSE)</f>
        <v>Erkan AKDOĞAN</v>
      </c>
    </row>
    <row r="246" spans="1:27" x14ac:dyDescent="0.25">
      <c r="A246">
        <v>1534</v>
      </c>
      <c r="B246" t="s">
        <v>27</v>
      </c>
      <c r="C246" t="s">
        <v>73</v>
      </c>
      <c r="D246" t="s">
        <v>73</v>
      </c>
      <c r="F246" t="s">
        <v>74</v>
      </c>
      <c r="G246" t="s">
        <v>30</v>
      </c>
      <c r="H246" t="s">
        <v>1144</v>
      </c>
      <c r="I246" s="4">
        <v>46080.875</v>
      </c>
      <c r="J246" t="s">
        <v>1145</v>
      </c>
      <c r="K246" t="s">
        <v>280</v>
      </c>
      <c r="L246" s="5" t="s">
        <v>1146</v>
      </c>
      <c r="M246" s="5"/>
      <c r="N246" t="s">
        <v>46</v>
      </c>
      <c r="O246" t="s">
        <v>1147</v>
      </c>
      <c r="R246">
        <v>0.49409999999999998</v>
      </c>
      <c r="S246" t="s">
        <v>57</v>
      </c>
      <c r="T246" s="5" t="s">
        <v>38</v>
      </c>
      <c r="Y246" t="str">
        <f>VLOOKUP(C246,'[1]DBS_KPY Sorumlular'!A:C,2,FALSE)</f>
        <v>Ayşegül AKGÜL</v>
      </c>
      <c r="Z246" t="str">
        <f>VLOOKUP(C246,'[1]DBS_KPY Sorumlular'!A:C,3,FALSE)</f>
        <v>Sinan ERDAŞ</v>
      </c>
      <c r="AA246" t="str">
        <f>VLOOKUP(K246,[1]!Tablo3[#Data],2,FALSE)</f>
        <v>Erkan AKDOĞAN</v>
      </c>
    </row>
    <row r="247" spans="1:27" x14ac:dyDescent="0.25">
      <c r="A247">
        <v>1535</v>
      </c>
      <c r="B247" t="s">
        <v>27</v>
      </c>
      <c r="C247" t="s">
        <v>73</v>
      </c>
      <c r="D247" t="s">
        <v>73</v>
      </c>
      <c r="F247" t="s">
        <v>108</v>
      </c>
      <c r="G247" t="s">
        <v>30</v>
      </c>
      <c r="H247" t="s">
        <v>1148</v>
      </c>
      <c r="I247" s="4">
        <v>46081.875</v>
      </c>
      <c r="J247" t="s">
        <v>1149</v>
      </c>
      <c r="K247" t="s">
        <v>217</v>
      </c>
      <c r="L247" s="5" t="s">
        <v>213</v>
      </c>
      <c r="M247" s="5"/>
      <c r="N247" t="s">
        <v>46</v>
      </c>
      <c r="O247" t="s">
        <v>1150</v>
      </c>
      <c r="R247">
        <v>0.3</v>
      </c>
      <c r="S247" t="s">
        <v>57</v>
      </c>
      <c r="T247" s="5" t="s">
        <v>38</v>
      </c>
      <c r="Y247" t="str">
        <f>VLOOKUP(C247,'[1]DBS_KPY Sorumlular'!A:C,2,FALSE)</f>
        <v>Ayşegül AKGÜL</v>
      </c>
      <c r="Z247" t="str">
        <f>VLOOKUP(C247,'[1]DBS_KPY Sorumlular'!A:C,3,FALSE)</f>
        <v>Sinan ERDAŞ</v>
      </c>
      <c r="AA247" t="str">
        <f>VLOOKUP(K247,[1]!Tablo3[#Data],2,FALSE)</f>
        <v>Erkan AKDOĞAN</v>
      </c>
    </row>
    <row r="248" spans="1:27" x14ac:dyDescent="0.25">
      <c r="A248">
        <v>1536</v>
      </c>
      <c r="B248" t="s">
        <v>27</v>
      </c>
      <c r="C248" t="s">
        <v>73</v>
      </c>
      <c r="D248" t="s">
        <v>73</v>
      </c>
      <c r="F248" t="s">
        <v>74</v>
      </c>
      <c r="G248" t="s">
        <v>30</v>
      </c>
      <c r="H248" t="s">
        <v>1151</v>
      </c>
      <c r="I248" s="4">
        <v>46387.875</v>
      </c>
      <c r="J248" t="s">
        <v>1152</v>
      </c>
      <c r="K248" t="s">
        <v>280</v>
      </c>
      <c r="L248" s="5" t="s">
        <v>213</v>
      </c>
      <c r="M248" s="5"/>
      <c r="N248" t="s">
        <v>46</v>
      </c>
      <c r="O248" t="s">
        <v>1153</v>
      </c>
      <c r="R248">
        <v>0.15</v>
      </c>
      <c r="S248" t="s">
        <v>57</v>
      </c>
      <c r="T248" s="5" t="s">
        <v>38</v>
      </c>
      <c r="Y248" t="str">
        <f>VLOOKUP(C248,'[1]DBS_KPY Sorumlular'!A:C,2,FALSE)</f>
        <v>Ayşegül AKGÜL</v>
      </c>
      <c r="Z248" t="str">
        <f>VLOOKUP(C248,'[1]DBS_KPY Sorumlular'!A:C,3,FALSE)</f>
        <v>Sinan ERDAŞ</v>
      </c>
      <c r="AA248" t="str">
        <f>VLOOKUP(K248,[1]!Tablo3[#Data],2,FALSE)</f>
        <v>Erkan AKDOĞAN</v>
      </c>
    </row>
    <row r="249" spans="1:27" x14ac:dyDescent="0.25">
      <c r="A249">
        <v>1537</v>
      </c>
      <c r="B249" t="s">
        <v>27</v>
      </c>
      <c r="C249" t="s">
        <v>40</v>
      </c>
      <c r="D249" t="s">
        <v>41</v>
      </c>
      <c r="F249" t="s">
        <v>1154</v>
      </c>
      <c r="G249" t="s">
        <v>43</v>
      </c>
      <c r="H249" t="s">
        <v>1155</v>
      </c>
      <c r="I249" s="4">
        <v>45549.875</v>
      </c>
      <c r="J249" t="s">
        <v>1156</v>
      </c>
      <c r="K249" t="s">
        <v>1157</v>
      </c>
      <c r="L249" s="5"/>
      <c r="M249" s="5"/>
      <c r="N249" t="s">
        <v>82</v>
      </c>
      <c r="O249" t="s">
        <v>1158</v>
      </c>
      <c r="R249">
        <v>1</v>
      </c>
      <c r="S249" t="s">
        <v>37</v>
      </c>
      <c r="T249" s="5" t="s">
        <v>48</v>
      </c>
      <c r="U249" t="s">
        <v>1159</v>
      </c>
      <c r="V249" t="s">
        <v>1160</v>
      </c>
      <c r="W249">
        <v>84</v>
      </c>
      <c r="X249" t="s">
        <v>1161</v>
      </c>
      <c r="Y249" t="str">
        <f>VLOOKUP(C249,'[1]DBS_KPY Sorumlular'!A:C,2,FALSE)</f>
        <v>Mustafa AYDIN</v>
      </c>
      <c r="Z249" t="str">
        <f>VLOOKUP(C249,'[1]DBS_KPY Sorumlular'!A:C,3,FALSE)</f>
        <v>Esra DOLAN</v>
      </c>
      <c r="AA249" t="str">
        <f>VLOOKUP(K249,[1]!Tablo3[#Data],2,FALSE)</f>
        <v>Tayfun VİÇE</v>
      </c>
    </row>
    <row r="250" spans="1:27" x14ac:dyDescent="0.25">
      <c r="A250">
        <v>1538</v>
      </c>
      <c r="B250" t="s">
        <v>27</v>
      </c>
      <c r="C250" t="s">
        <v>40</v>
      </c>
      <c r="D250" t="s">
        <v>41</v>
      </c>
      <c r="F250" t="s">
        <v>102</v>
      </c>
      <c r="G250" t="s">
        <v>43</v>
      </c>
      <c r="H250" t="s">
        <v>1162</v>
      </c>
      <c r="I250" s="4">
        <v>45549.875</v>
      </c>
      <c r="K250" t="s">
        <v>1157</v>
      </c>
      <c r="L250" s="5"/>
      <c r="M250" s="5"/>
      <c r="N250" t="s">
        <v>82</v>
      </c>
      <c r="O250" t="s">
        <v>1163</v>
      </c>
      <c r="R250">
        <v>1</v>
      </c>
      <c r="S250" t="s">
        <v>37</v>
      </c>
      <c r="T250" s="5" t="s">
        <v>58</v>
      </c>
      <c r="U250" t="s">
        <v>1164</v>
      </c>
      <c r="V250" t="s">
        <v>1165</v>
      </c>
      <c r="W250">
        <v>108</v>
      </c>
      <c r="X250" t="s">
        <v>107</v>
      </c>
      <c r="Y250" t="str">
        <f>VLOOKUP(C250,'[1]DBS_KPY Sorumlular'!A:C,2,FALSE)</f>
        <v>Mustafa AYDIN</v>
      </c>
      <c r="Z250" t="str">
        <f>VLOOKUP(C250,'[1]DBS_KPY Sorumlular'!A:C,3,FALSE)</f>
        <v>Esra DOLAN</v>
      </c>
      <c r="AA250" t="str">
        <f>VLOOKUP(K250,[1]!Tablo3[#Data],2,FALSE)</f>
        <v>Tayfun VİÇE</v>
      </c>
    </row>
    <row r="251" spans="1:27" x14ac:dyDescent="0.25">
      <c r="A251">
        <v>1539</v>
      </c>
      <c r="B251" t="s">
        <v>27</v>
      </c>
      <c r="C251" t="s">
        <v>40</v>
      </c>
      <c r="D251" t="s">
        <v>41</v>
      </c>
      <c r="F251" t="s">
        <v>102</v>
      </c>
      <c r="G251" t="s">
        <v>43</v>
      </c>
      <c r="H251" t="s">
        <v>1166</v>
      </c>
      <c r="I251" s="4">
        <v>45565.875</v>
      </c>
      <c r="K251" t="s">
        <v>1157</v>
      </c>
      <c r="L251" s="5"/>
      <c r="M251" s="5"/>
      <c r="N251" t="s">
        <v>82</v>
      </c>
      <c r="O251" t="s">
        <v>1167</v>
      </c>
      <c r="R251">
        <v>1</v>
      </c>
      <c r="S251" t="s">
        <v>37</v>
      </c>
      <c r="T251" s="5" t="s">
        <v>58</v>
      </c>
      <c r="U251" t="s">
        <v>1164</v>
      </c>
      <c r="V251" t="s">
        <v>1165</v>
      </c>
      <c r="W251">
        <v>108</v>
      </c>
      <c r="X251" t="s">
        <v>107</v>
      </c>
      <c r="Y251" t="str">
        <f>VLOOKUP(C251,'[1]DBS_KPY Sorumlular'!A:C,2,FALSE)</f>
        <v>Mustafa AYDIN</v>
      </c>
      <c r="Z251" t="str">
        <f>VLOOKUP(C251,'[1]DBS_KPY Sorumlular'!A:C,3,FALSE)</f>
        <v>Esra DOLAN</v>
      </c>
      <c r="AA251" t="str">
        <f>VLOOKUP(K251,[1]!Tablo3[#Data],2,FALSE)</f>
        <v>Tayfun VİÇE</v>
      </c>
    </row>
    <row r="252" spans="1:27" x14ac:dyDescent="0.25">
      <c r="A252">
        <v>1540</v>
      </c>
      <c r="B252" t="s">
        <v>27</v>
      </c>
      <c r="C252" t="s">
        <v>893</v>
      </c>
      <c r="D252" t="s">
        <v>902</v>
      </c>
      <c r="F252" t="s">
        <v>903</v>
      </c>
      <c r="G252" t="s">
        <v>30</v>
      </c>
      <c r="H252" t="s">
        <v>1168</v>
      </c>
      <c r="I252" s="4">
        <v>46021.875</v>
      </c>
      <c r="J252" t="s">
        <v>1169</v>
      </c>
      <c r="K252" t="s">
        <v>1157</v>
      </c>
      <c r="L252" s="5" t="s">
        <v>1170</v>
      </c>
      <c r="M252" s="5"/>
      <c r="N252" t="s">
        <v>35</v>
      </c>
      <c r="O252" t="s">
        <v>1171</v>
      </c>
      <c r="R252">
        <v>0</v>
      </c>
      <c r="S252" t="s">
        <v>37</v>
      </c>
      <c r="T252" s="5" t="s">
        <v>38</v>
      </c>
      <c r="W252">
        <v>55</v>
      </c>
      <c r="X252" t="s">
        <v>907</v>
      </c>
      <c r="Y252" t="str">
        <f>VLOOKUP(C252,'[1]DBS_KPY Sorumlular'!A:C,2,FALSE)</f>
        <v>Seyithan İŞİK</v>
      </c>
      <c r="Z252" t="str">
        <f>VLOOKUP(C252,'[1]DBS_KPY Sorumlular'!A:C,3,FALSE)</f>
        <v>Korhan KÖROĞLU</v>
      </c>
      <c r="AA252" t="str">
        <f>VLOOKUP(K252,[1]!Tablo3[#Data],2,FALSE)</f>
        <v>Tayfun VİÇE</v>
      </c>
    </row>
    <row r="253" spans="1:27" x14ac:dyDescent="0.25">
      <c r="A253">
        <v>1541</v>
      </c>
      <c r="B253" t="s">
        <v>27</v>
      </c>
      <c r="C253" t="s">
        <v>40</v>
      </c>
      <c r="D253" t="s">
        <v>41</v>
      </c>
      <c r="F253" t="s">
        <v>42</v>
      </c>
      <c r="G253" t="s">
        <v>43</v>
      </c>
      <c r="H253" t="s">
        <v>1172</v>
      </c>
      <c r="I253" s="4">
        <v>45837.875</v>
      </c>
      <c r="J253" t="s">
        <v>1173</v>
      </c>
      <c r="K253" t="s">
        <v>1157</v>
      </c>
      <c r="L253" s="5"/>
      <c r="M253" s="5"/>
      <c r="N253" t="s">
        <v>46</v>
      </c>
      <c r="O253" t="s">
        <v>1174</v>
      </c>
      <c r="R253">
        <v>0.7</v>
      </c>
      <c r="S253" t="s">
        <v>37</v>
      </c>
      <c r="T253" s="5" t="s">
        <v>58</v>
      </c>
      <c r="U253" t="s">
        <v>916</v>
      </c>
      <c r="V253" t="s">
        <v>917</v>
      </c>
      <c r="W253">
        <v>74</v>
      </c>
      <c r="X253" t="s">
        <v>234</v>
      </c>
      <c r="Y253" t="str">
        <f>VLOOKUP(C253,'[1]DBS_KPY Sorumlular'!A:C,2,FALSE)</f>
        <v>Mustafa AYDIN</v>
      </c>
      <c r="Z253" t="str">
        <f>VLOOKUP(C253,'[1]DBS_KPY Sorumlular'!A:C,3,FALSE)</f>
        <v>Esra DOLAN</v>
      </c>
      <c r="AA253" t="str">
        <f>VLOOKUP(K253,[1]!Tablo3[#Data],2,FALSE)</f>
        <v>Tayfun VİÇE</v>
      </c>
    </row>
    <row r="254" spans="1:27" x14ac:dyDescent="0.25">
      <c r="A254">
        <v>1542</v>
      </c>
      <c r="B254" t="s">
        <v>27</v>
      </c>
      <c r="C254" t="s">
        <v>40</v>
      </c>
      <c r="D254" t="s">
        <v>41</v>
      </c>
      <c r="F254" t="s">
        <v>102</v>
      </c>
      <c r="G254" t="s">
        <v>43</v>
      </c>
      <c r="H254" t="s">
        <v>1175</v>
      </c>
      <c r="I254" s="4">
        <v>45837.875</v>
      </c>
      <c r="J254" t="s">
        <v>1176</v>
      </c>
      <c r="K254" t="s">
        <v>1157</v>
      </c>
      <c r="L254" s="5"/>
      <c r="M254" s="5"/>
      <c r="N254" t="s">
        <v>46</v>
      </c>
      <c r="O254" t="s">
        <v>1177</v>
      </c>
      <c r="R254">
        <v>0.95</v>
      </c>
      <c r="S254" t="s">
        <v>37</v>
      </c>
      <c r="T254" s="5" t="s">
        <v>48</v>
      </c>
      <c r="U254" t="s">
        <v>1178</v>
      </c>
      <c r="V254" t="s">
        <v>1179</v>
      </c>
      <c r="W254">
        <v>147</v>
      </c>
      <c r="X254" t="s">
        <v>1180</v>
      </c>
      <c r="Y254" t="str">
        <f>VLOOKUP(C254,'[1]DBS_KPY Sorumlular'!A:C,2,FALSE)</f>
        <v>Mustafa AYDIN</v>
      </c>
      <c r="Z254" t="str">
        <f>VLOOKUP(C254,'[1]DBS_KPY Sorumlular'!A:C,3,FALSE)</f>
        <v>Esra DOLAN</v>
      </c>
      <c r="AA254" t="str">
        <f>VLOOKUP(K254,[1]!Tablo3[#Data],2,FALSE)</f>
        <v>Tayfun VİÇE</v>
      </c>
    </row>
    <row r="255" spans="1:27" x14ac:dyDescent="0.25">
      <c r="A255">
        <v>1543</v>
      </c>
      <c r="B255" t="s">
        <v>27</v>
      </c>
      <c r="C255" t="s">
        <v>73</v>
      </c>
      <c r="D255" t="s">
        <v>73</v>
      </c>
      <c r="F255" t="s">
        <v>74</v>
      </c>
      <c r="G255" t="s">
        <v>30</v>
      </c>
      <c r="H255" t="s">
        <v>1181</v>
      </c>
      <c r="I255" s="4">
        <v>46268.875</v>
      </c>
      <c r="J255" t="s">
        <v>1182</v>
      </c>
      <c r="K255" t="s">
        <v>1157</v>
      </c>
      <c r="L255" s="5" t="s">
        <v>1183</v>
      </c>
      <c r="M255" s="5"/>
      <c r="N255" t="s">
        <v>46</v>
      </c>
      <c r="O255" t="s">
        <v>1184</v>
      </c>
      <c r="R255">
        <v>1</v>
      </c>
      <c r="S255" t="s">
        <v>37</v>
      </c>
      <c r="T255" s="5" t="s">
        <v>38</v>
      </c>
      <c r="Y255" t="str">
        <f>VLOOKUP(C255,'[1]DBS_KPY Sorumlular'!A:C,2,FALSE)</f>
        <v>Ayşegül AKGÜL</v>
      </c>
      <c r="Z255" t="str">
        <f>VLOOKUP(C255,'[1]DBS_KPY Sorumlular'!A:C,3,FALSE)</f>
        <v>Sinan ERDAŞ</v>
      </c>
      <c r="AA255" t="str">
        <f>VLOOKUP(K255,[1]!Tablo3[#Data],2,FALSE)</f>
        <v>Tayfun VİÇE</v>
      </c>
    </row>
    <row r="256" spans="1:27" x14ac:dyDescent="0.25">
      <c r="A256">
        <v>1544</v>
      </c>
      <c r="B256" t="s">
        <v>27</v>
      </c>
      <c r="C256" t="s">
        <v>73</v>
      </c>
      <c r="D256" t="s">
        <v>73</v>
      </c>
      <c r="F256" t="s">
        <v>74</v>
      </c>
      <c r="G256" t="s">
        <v>30</v>
      </c>
      <c r="H256" t="s">
        <v>1185</v>
      </c>
      <c r="I256" s="4">
        <v>46262.875</v>
      </c>
      <c r="J256" t="s">
        <v>1101</v>
      </c>
      <c r="K256" t="s">
        <v>1157</v>
      </c>
      <c r="L256" s="5" t="s">
        <v>1186</v>
      </c>
      <c r="M256" s="5"/>
      <c r="N256" t="s">
        <v>46</v>
      </c>
      <c r="O256" t="s">
        <v>1187</v>
      </c>
      <c r="R256">
        <v>0</v>
      </c>
      <c r="S256" t="s">
        <v>37</v>
      </c>
      <c r="T256" s="5" t="s">
        <v>38</v>
      </c>
      <c r="Y256" t="str">
        <f>VLOOKUP(C256,'[1]DBS_KPY Sorumlular'!A:C,2,FALSE)</f>
        <v>Ayşegül AKGÜL</v>
      </c>
      <c r="Z256" t="str">
        <f>VLOOKUP(C256,'[1]DBS_KPY Sorumlular'!A:C,3,FALSE)</f>
        <v>Sinan ERDAŞ</v>
      </c>
      <c r="AA256" t="str">
        <f>VLOOKUP(K256,[1]!Tablo3[#Data],2,FALSE)</f>
        <v>Tayfun VİÇE</v>
      </c>
    </row>
    <row r="257" spans="1:27" x14ac:dyDescent="0.25">
      <c r="A257">
        <v>1545</v>
      </c>
      <c r="B257" t="s">
        <v>27</v>
      </c>
      <c r="C257" t="s">
        <v>40</v>
      </c>
      <c r="D257" t="s">
        <v>41</v>
      </c>
      <c r="F257" t="s">
        <v>102</v>
      </c>
      <c r="G257" t="s">
        <v>43</v>
      </c>
      <c r="H257" t="s">
        <v>1188</v>
      </c>
      <c r="I257" s="4">
        <v>45549.875</v>
      </c>
      <c r="K257" t="s">
        <v>1106</v>
      </c>
      <c r="L257" s="5"/>
      <c r="M257" s="5"/>
      <c r="N257" t="s">
        <v>82</v>
      </c>
      <c r="O257" t="s">
        <v>1189</v>
      </c>
      <c r="R257">
        <v>1</v>
      </c>
      <c r="S257" t="s">
        <v>37</v>
      </c>
      <c r="T257" s="5" t="s">
        <v>58</v>
      </c>
      <c r="U257" t="s">
        <v>1164</v>
      </c>
      <c r="V257" t="s">
        <v>1165</v>
      </c>
      <c r="W257">
        <v>108</v>
      </c>
      <c r="X257" t="s">
        <v>107</v>
      </c>
      <c r="Y257" t="str">
        <f>VLOOKUP(C257,'[1]DBS_KPY Sorumlular'!A:C,2,FALSE)</f>
        <v>Mustafa AYDIN</v>
      </c>
      <c r="Z257" t="str">
        <f>VLOOKUP(C257,'[1]DBS_KPY Sorumlular'!A:C,3,FALSE)</f>
        <v>Esra DOLAN</v>
      </c>
      <c r="AA257" t="str">
        <f>VLOOKUP(K257,[1]!Tablo3[#Data],2,FALSE)</f>
        <v>Tayfun VİÇE</v>
      </c>
    </row>
    <row r="258" spans="1:27" x14ac:dyDescent="0.25">
      <c r="A258">
        <v>1546</v>
      </c>
      <c r="B258" t="s">
        <v>27</v>
      </c>
      <c r="C258" t="s">
        <v>40</v>
      </c>
      <c r="D258" t="s">
        <v>41</v>
      </c>
      <c r="F258" t="s">
        <v>102</v>
      </c>
      <c r="G258" t="s">
        <v>43</v>
      </c>
      <c r="H258" t="s">
        <v>1190</v>
      </c>
      <c r="I258" s="4">
        <v>45535.875</v>
      </c>
      <c r="K258" t="s">
        <v>1106</v>
      </c>
      <c r="L258" s="5"/>
      <c r="M258" s="5"/>
      <c r="N258" t="s">
        <v>82</v>
      </c>
      <c r="O258" t="s">
        <v>1191</v>
      </c>
      <c r="R258">
        <v>1</v>
      </c>
      <c r="S258" t="s">
        <v>37</v>
      </c>
      <c r="T258" s="5" t="s">
        <v>58</v>
      </c>
      <c r="U258" t="s">
        <v>1164</v>
      </c>
      <c r="V258" t="s">
        <v>1165</v>
      </c>
      <c r="W258">
        <v>108</v>
      </c>
      <c r="X258" t="s">
        <v>107</v>
      </c>
      <c r="Y258" t="str">
        <f>VLOOKUP(C258,'[1]DBS_KPY Sorumlular'!A:C,2,FALSE)</f>
        <v>Mustafa AYDIN</v>
      </c>
      <c r="Z258" t="str">
        <f>VLOOKUP(C258,'[1]DBS_KPY Sorumlular'!A:C,3,FALSE)</f>
        <v>Esra DOLAN</v>
      </c>
      <c r="AA258" t="str">
        <f>VLOOKUP(K258,[1]!Tablo3[#Data],2,FALSE)</f>
        <v>Tayfun VİÇE</v>
      </c>
    </row>
    <row r="259" spans="1:27" x14ac:dyDescent="0.25">
      <c r="A259">
        <v>1547</v>
      </c>
      <c r="B259" t="s">
        <v>27</v>
      </c>
      <c r="C259" t="s">
        <v>40</v>
      </c>
      <c r="D259" t="s">
        <v>41</v>
      </c>
      <c r="F259" t="s">
        <v>102</v>
      </c>
      <c r="G259" t="s">
        <v>43</v>
      </c>
      <c r="H259" t="s">
        <v>1192</v>
      </c>
      <c r="I259" s="4">
        <v>45610.875</v>
      </c>
      <c r="K259" t="s">
        <v>1106</v>
      </c>
      <c r="L259" s="5"/>
      <c r="M259" s="5"/>
      <c r="N259" t="s">
        <v>82</v>
      </c>
      <c r="O259" t="s">
        <v>1193</v>
      </c>
      <c r="R259">
        <v>1</v>
      </c>
      <c r="S259" t="s">
        <v>37</v>
      </c>
      <c r="T259" s="5" t="s">
        <v>48</v>
      </c>
      <c r="U259" t="s">
        <v>1194</v>
      </c>
      <c r="V259" t="s">
        <v>1195</v>
      </c>
      <c r="W259">
        <v>108</v>
      </c>
      <c r="X259" t="s">
        <v>107</v>
      </c>
      <c r="Y259" t="str">
        <f>VLOOKUP(C259,'[1]DBS_KPY Sorumlular'!A:C,2,FALSE)</f>
        <v>Mustafa AYDIN</v>
      </c>
      <c r="Z259" t="str">
        <f>VLOOKUP(C259,'[1]DBS_KPY Sorumlular'!A:C,3,FALSE)</f>
        <v>Esra DOLAN</v>
      </c>
      <c r="AA259" t="str">
        <f>VLOOKUP(K259,[1]!Tablo3[#Data],2,FALSE)</f>
        <v>Tayfun VİÇE</v>
      </c>
    </row>
    <row r="260" spans="1:27" x14ac:dyDescent="0.25">
      <c r="A260">
        <v>1548</v>
      </c>
      <c r="B260" t="s">
        <v>27</v>
      </c>
      <c r="C260" t="s">
        <v>40</v>
      </c>
      <c r="D260" t="s">
        <v>41</v>
      </c>
      <c r="F260" t="s">
        <v>52</v>
      </c>
      <c r="G260" t="s">
        <v>43</v>
      </c>
      <c r="H260" t="s">
        <v>1196</v>
      </c>
      <c r="I260" s="4">
        <v>45565.875</v>
      </c>
      <c r="K260" t="s">
        <v>1106</v>
      </c>
      <c r="L260" s="5"/>
      <c r="M260" s="5"/>
      <c r="N260" t="s">
        <v>82</v>
      </c>
      <c r="O260" t="s">
        <v>1197</v>
      </c>
      <c r="R260">
        <v>1</v>
      </c>
      <c r="S260" t="s">
        <v>37</v>
      </c>
      <c r="T260" s="5" t="s">
        <v>58</v>
      </c>
      <c r="U260" t="s">
        <v>134</v>
      </c>
      <c r="V260" t="s">
        <v>135</v>
      </c>
      <c r="W260">
        <v>73</v>
      </c>
      <c r="X260" t="s">
        <v>1198</v>
      </c>
      <c r="Y260" t="str">
        <f>VLOOKUP(C260,'[1]DBS_KPY Sorumlular'!A:C,2,FALSE)</f>
        <v>Mustafa AYDIN</v>
      </c>
      <c r="Z260" t="str">
        <f>VLOOKUP(C260,'[1]DBS_KPY Sorumlular'!A:C,3,FALSE)</f>
        <v>Esra DOLAN</v>
      </c>
      <c r="AA260" t="str">
        <f>VLOOKUP(K260,[1]!Tablo3[#Data],2,FALSE)</f>
        <v>Tayfun VİÇE</v>
      </c>
    </row>
    <row r="261" spans="1:27" x14ac:dyDescent="0.25">
      <c r="A261">
        <v>1549</v>
      </c>
      <c r="B261" t="s">
        <v>27</v>
      </c>
      <c r="C261" t="s">
        <v>40</v>
      </c>
      <c r="D261" t="s">
        <v>41</v>
      </c>
      <c r="F261" t="s">
        <v>102</v>
      </c>
      <c r="G261" t="s">
        <v>43</v>
      </c>
      <c r="H261" t="s">
        <v>1199</v>
      </c>
      <c r="I261" s="4">
        <v>45893.875</v>
      </c>
      <c r="K261" t="s">
        <v>1106</v>
      </c>
      <c r="L261" s="5"/>
      <c r="M261" s="5"/>
      <c r="N261" t="s">
        <v>46</v>
      </c>
      <c r="O261" t="s">
        <v>1200</v>
      </c>
      <c r="R261">
        <v>0.67</v>
      </c>
      <c r="S261" t="s">
        <v>37</v>
      </c>
      <c r="T261" s="5" t="s">
        <v>48</v>
      </c>
      <c r="U261" t="s">
        <v>1201</v>
      </c>
      <c r="V261" t="s">
        <v>1202</v>
      </c>
      <c r="W261">
        <v>263</v>
      </c>
      <c r="X261" t="s">
        <v>628</v>
      </c>
      <c r="Y261" t="str">
        <f>VLOOKUP(C261,'[1]DBS_KPY Sorumlular'!A:C,2,FALSE)</f>
        <v>Mustafa AYDIN</v>
      </c>
      <c r="Z261" t="str">
        <f>VLOOKUP(C261,'[1]DBS_KPY Sorumlular'!A:C,3,FALSE)</f>
        <v>Esra DOLAN</v>
      </c>
      <c r="AA261" t="str">
        <f>VLOOKUP(K261,[1]!Tablo3[#Data],2,FALSE)</f>
        <v>Tayfun VİÇE</v>
      </c>
    </row>
    <row r="262" spans="1:27" x14ac:dyDescent="0.25">
      <c r="A262">
        <v>1550</v>
      </c>
      <c r="B262" t="s">
        <v>27</v>
      </c>
      <c r="C262" t="s">
        <v>40</v>
      </c>
      <c r="D262" t="s">
        <v>41</v>
      </c>
      <c r="F262" t="s">
        <v>113</v>
      </c>
      <c r="G262" t="s">
        <v>43</v>
      </c>
      <c r="H262" t="s">
        <v>1203</v>
      </c>
      <c r="I262" s="4">
        <v>45837.875</v>
      </c>
      <c r="J262" t="s">
        <v>1204</v>
      </c>
      <c r="K262" t="s">
        <v>1106</v>
      </c>
      <c r="L262" s="5"/>
      <c r="M262" s="5"/>
      <c r="N262" t="s">
        <v>46</v>
      </c>
      <c r="O262" t="s">
        <v>1205</v>
      </c>
      <c r="R262">
        <v>0.8</v>
      </c>
      <c r="S262" t="s">
        <v>37</v>
      </c>
      <c r="T262" s="5" t="s">
        <v>58</v>
      </c>
      <c r="U262" t="s">
        <v>123</v>
      </c>
      <c r="V262" t="s">
        <v>124</v>
      </c>
      <c r="W262">
        <v>137</v>
      </c>
      <c r="X262" t="s">
        <v>125</v>
      </c>
      <c r="Y262" t="str">
        <f>VLOOKUP(C262,'[1]DBS_KPY Sorumlular'!A:C,2,FALSE)</f>
        <v>Mustafa AYDIN</v>
      </c>
      <c r="Z262" t="str">
        <f>VLOOKUP(C262,'[1]DBS_KPY Sorumlular'!A:C,3,FALSE)</f>
        <v>Esra DOLAN</v>
      </c>
      <c r="AA262" t="str">
        <f>VLOOKUP(K262,[1]!Tablo3[#Data],2,FALSE)</f>
        <v>Tayfun VİÇE</v>
      </c>
    </row>
    <row r="263" spans="1:27" x14ac:dyDescent="0.25">
      <c r="A263">
        <v>1551</v>
      </c>
      <c r="B263" t="s">
        <v>27</v>
      </c>
      <c r="C263" t="s">
        <v>40</v>
      </c>
      <c r="D263" t="s">
        <v>41</v>
      </c>
      <c r="F263" t="s">
        <v>102</v>
      </c>
      <c r="G263" t="s">
        <v>43</v>
      </c>
      <c r="H263" t="s">
        <v>1206</v>
      </c>
      <c r="I263" s="4">
        <v>45927.875</v>
      </c>
      <c r="J263" t="s">
        <v>1207</v>
      </c>
      <c r="K263" t="s">
        <v>1106</v>
      </c>
      <c r="L263" s="5"/>
      <c r="M263" s="5"/>
      <c r="N263" t="s">
        <v>46</v>
      </c>
      <c r="O263" t="s">
        <v>1208</v>
      </c>
      <c r="R263">
        <v>0.6</v>
      </c>
      <c r="S263" t="s">
        <v>37</v>
      </c>
      <c r="T263" s="5" t="s">
        <v>48</v>
      </c>
      <c r="U263" t="s">
        <v>1209</v>
      </c>
      <c r="V263" t="s">
        <v>1210</v>
      </c>
      <c r="W263">
        <v>30</v>
      </c>
      <c r="X263" t="s">
        <v>327</v>
      </c>
      <c r="Y263" t="str">
        <f>VLOOKUP(C263,'[1]DBS_KPY Sorumlular'!A:C,2,FALSE)</f>
        <v>Mustafa AYDIN</v>
      </c>
      <c r="Z263" t="str">
        <f>VLOOKUP(C263,'[1]DBS_KPY Sorumlular'!A:C,3,FALSE)</f>
        <v>Esra DOLAN</v>
      </c>
      <c r="AA263" t="str">
        <f>VLOOKUP(K263,[1]!Tablo3[#Data],2,FALSE)</f>
        <v>Tayfun VİÇE</v>
      </c>
    </row>
    <row r="264" spans="1:27" x14ac:dyDescent="0.25">
      <c r="A264">
        <v>1552</v>
      </c>
      <c r="B264" t="s">
        <v>27</v>
      </c>
      <c r="C264" t="s">
        <v>137</v>
      </c>
      <c r="D264" t="s">
        <v>138</v>
      </c>
      <c r="E264" t="s">
        <v>138</v>
      </c>
      <c r="F264" t="s">
        <v>139</v>
      </c>
      <c r="G264" t="s">
        <v>140</v>
      </c>
      <c r="H264" t="s">
        <v>1211</v>
      </c>
      <c r="I264" s="4">
        <v>46141.875</v>
      </c>
      <c r="J264" t="s">
        <v>1212</v>
      </c>
      <c r="K264" t="s">
        <v>1106</v>
      </c>
      <c r="L264" s="5" t="s">
        <v>1213</v>
      </c>
      <c r="M264" s="5"/>
      <c r="N264" t="s">
        <v>46</v>
      </c>
      <c r="O264" t="s">
        <v>1214</v>
      </c>
      <c r="R264">
        <v>0.82</v>
      </c>
      <c r="S264" t="s">
        <v>37</v>
      </c>
      <c r="T264" s="5" t="s">
        <v>38</v>
      </c>
      <c r="W264">
        <v>126</v>
      </c>
      <c r="X264" t="s">
        <v>147</v>
      </c>
      <c r="Y264" t="str">
        <f>VLOOKUP(C264,'[1]DBS_KPY Sorumlular'!A:C,2,FALSE)</f>
        <v>Erkan AKDOĞAN</v>
      </c>
      <c r="Z264" t="str">
        <f>VLOOKUP(C264,'[1]DBS_KPY Sorumlular'!A:C,3,FALSE)</f>
        <v>Kadir TOPÇU</v>
      </c>
      <c r="AA264" t="str">
        <f>VLOOKUP(K264,[1]!Tablo3[#Data],2,FALSE)</f>
        <v>Tayfun VİÇE</v>
      </c>
    </row>
    <row r="265" spans="1:27" x14ac:dyDescent="0.25">
      <c r="A265">
        <v>1553</v>
      </c>
      <c r="B265" t="s">
        <v>27</v>
      </c>
      <c r="C265" t="s">
        <v>73</v>
      </c>
      <c r="D265" t="s">
        <v>73</v>
      </c>
      <c r="F265" t="s">
        <v>74</v>
      </c>
      <c r="G265" t="s">
        <v>30</v>
      </c>
      <c r="H265" t="s">
        <v>1215</v>
      </c>
      <c r="I265" s="4">
        <v>46111.875</v>
      </c>
      <c r="J265" t="s">
        <v>1216</v>
      </c>
      <c r="K265" t="s">
        <v>1106</v>
      </c>
      <c r="L265" s="5" t="s">
        <v>1094</v>
      </c>
      <c r="M265" s="5"/>
      <c r="N265" t="s">
        <v>46</v>
      </c>
      <c r="O265" t="s">
        <v>1214</v>
      </c>
      <c r="R265">
        <v>0.63</v>
      </c>
      <c r="S265" t="s">
        <v>37</v>
      </c>
      <c r="T265" s="5" t="s">
        <v>38</v>
      </c>
      <c r="Y265" t="str">
        <f>VLOOKUP(C265,'[1]DBS_KPY Sorumlular'!A:C,2,FALSE)</f>
        <v>Ayşegül AKGÜL</v>
      </c>
      <c r="Z265" t="str">
        <f>VLOOKUP(C265,'[1]DBS_KPY Sorumlular'!A:C,3,FALSE)</f>
        <v>Sinan ERDAŞ</v>
      </c>
      <c r="AA265" t="str">
        <f>VLOOKUP(K265,[1]!Tablo3[#Data],2,FALSE)</f>
        <v>Tayfun VİÇE</v>
      </c>
    </row>
    <row r="266" spans="1:27" x14ac:dyDescent="0.25">
      <c r="A266">
        <v>1554</v>
      </c>
      <c r="B266" t="s">
        <v>27</v>
      </c>
      <c r="C266" t="s">
        <v>73</v>
      </c>
      <c r="D266" t="s">
        <v>73</v>
      </c>
      <c r="F266" t="s">
        <v>108</v>
      </c>
      <c r="G266" t="s">
        <v>30</v>
      </c>
      <c r="H266" t="s">
        <v>1217</v>
      </c>
      <c r="I266" s="4">
        <v>46111.875</v>
      </c>
      <c r="J266" t="s">
        <v>1218</v>
      </c>
      <c r="K266" t="s">
        <v>1106</v>
      </c>
      <c r="L266" s="5" t="s">
        <v>1094</v>
      </c>
      <c r="M266" s="5"/>
      <c r="N266" t="s">
        <v>46</v>
      </c>
      <c r="O266" t="s">
        <v>1219</v>
      </c>
      <c r="R266">
        <v>0.18</v>
      </c>
      <c r="S266" t="s">
        <v>37</v>
      </c>
      <c r="T266" s="5" t="s">
        <v>38</v>
      </c>
      <c r="Y266" t="str">
        <f>VLOOKUP(C266,'[1]DBS_KPY Sorumlular'!A:C,2,FALSE)</f>
        <v>Ayşegül AKGÜL</v>
      </c>
      <c r="Z266" t="str">
        <f>VLOOKUP(C266,'[1]DBS_KPY Sorumlular'!A:C,3,FALSE)</f>
        <v>Sinan ERDAŞ</v>
      </c>
      <c r="AA266" t="str">
        <f>VLOOKUP(K266,[1]!Tablo3[#Data],2,FALSE)</f>
        <v>Tayfun VİÇE</v>
      </c>
    </row>
    <row r="267" spans="1:27" x14ac:dyDescent="0.25">
      <c r="A267">
        <v>1555</v>
      </c>
      <c r="B267" t="s">
        <v>27</v>
      </c>
      <c r="C267" t="s">
        <v>40</v>
      </c>
      <c r="D267" t="s">
        <v>41</v>
      </c>
      <c r="F267" t="s">
        <v>52</v>
      </c>
      <c r="G267" t="s">
        <v>43</v>
      </c>
      <c r="H267" t="s">
        <v>1220</v>
      </c>
      <c r="I267" s="4">
        <v>45837.875</v>
      </c>
      <c r="K267" t="s">
        <v>1221</v>
      </c>
      <c r="L267" s="5"/>
      <c r="M267" s="5"/>
      <c r="N267" t="s">
        <v>46</v>
      </c>
      <c r="O267" t="s">
        <v>1222</v>
      </c>
      <c r="R267">
        <v>0.97</v>
      </c>
      <c r="S267" t="s">
        <v>37</v>
      </c>
      <c r="T267" s="5" t="s">
        <v>58</v>
      </c>
      <c r="U267" t="s">
        <v>956</v>
      </c>
      <c r="V267" t="s">
        <v>957</v>
      </c>
      <c r="W267">
        <v>73</v>
      </c>
      <c r="X267" t="s">
        <v>1198</v>
      </c>
      <c r="Y267" t="str">
        <f>VLOOKUP(C267,'[1]DBS_KPY Sorumlular'!A:C,2,FALSE)</f>
        <v>Mustafa AYDIN</v>
      </c>
      <c r="Z267" t="str">
        <f>VLOOKUP(C267,'[1]DBS_KPY Sorumlular'!A:C,3,FALSE)</f>
        <v>Esra DOLAN</v>
      </c>
      <c r="AA267" t="str">
        <f>VLOOKUP(K267,[1]!Tablo3[#Data],2,FALSE)</f>
        <v>Tayfun VİÇE</v>
      </c>
    </row>
    <row r="268" spans="1:27" x14ac:dyDescent="0.25">
      <c r="A268">
        <v>1556</v>
      </c>
      <c r="B268" t="s">
        <v>27</v>
      </c>
      <c r="C268" t="s">
        <v>40</v>
      </c>
      <c r="D268" t="s">
        <v>41</v>
      </c>
      <c r="F268" t="s">
        <v>102</v>
      </c>
      <c r="G268" t="s">
        <v>43</v>
      </c>
      <c r="H268" t="s">
        <v>1223</v>
      </c>
      <c r="I268" s="4">
        <v>45574.875</v>
      </c>
      <c r="J268" t="s">
        <v>1224</v>
      </c>
      <c r="K268" t="s">
        <v>1221</v>
      </c>
      <c r="L268" s="5"/>
      <c r="M268" s="5"/>
      <c r="N268" t="s">
        <v>82</v>
      </c>
      <c r="O268" t="s">
        <v>1225</v>
      </c>
      <c r="R268">
        <v>1</v>
      </c>
      <c r="S268" t="s">
        <v>37</v>
      </c>
      <c r="T268" s="5" t="s">
        <v>48</v>
      </c>
      <c r="U268" t="s">
        <v>1226</v>
      </c>
      <c r="V268" t="s">
        <v>1227</v>
      </c>
      <c r="W268">
        <v>265</v>
      </c>
      <c r="X268" t="s">
        <v>1228</v>
      </c>
      <c r="Y268" t="str">
        <f>VLOOKUP(C268,'[1]DBS_KPY Sorumlular'!A:C,2,FALSE)</f>
        <v>Mustafa AYDIN</v>
      </c>
      <c r="Z268" t="str">
        <f>VLOOKUP(C268,'[1]DBS_KPY Sorumlular'!A:C,3,FALSE)</f>
        <v>Esra DOLAN</v>
      </c>
      <c r="AA268" t="str">
        <f>VLOOKUP(K268,[1]!Tablo3[#Data],2,FALSE)</f>
        <v>Tayfun VİÇE</v>
      </c>
    </row>
    <row r="269" spans="1:27" x14ac:dyDescent="0.25">
      <c r="A269">
        <v>1558</v>
      </c>
      <c r="B269" t="s">
        <v>27</v>
      </c>
      <c r="C269" t="s">
        <v>40</v>
      </c>
      <c r="D269" t="s">
        <v>41</v>
      </c>
      <c r="F269" t="s">
        <v>102</v>
      </c>
      <c r="G269" t="s">
        <v>43</v>
      </c>
      <c r="H269" t="s">
        <v>1229</v>
      </c>
      <c r="I269" s="4">
        <v>45615.875</v>
      </c>
      <c r="J269" t="s">
        <v>1230</v>
      </c>
      <c r="K269" t="s">
        <v>1221</v>
      </c>
      <c r="L269" s="5"/>
      <c r="M269" s="5"/>
      <c r="N269" t="s">
        <v>82</v>
      </c>
      <c r="O269" t="s">
        <v>1231</v>
      </c>
      <c r="R269">
        <v>1</v>
      </c>
      <c r="S269" t="s">
        <v>37</v>
      </c>
      <c r="T269" s="5" t="s">
        <v>58</v>
      </c>
      <c r="U269" t="s">
        <v>1232</v>
      </c>
      <c r="V269" t="s">
        <v>1233</v>
      </c>
      <c r="W269">
        <v>108</v>
      </c>
      <c r="X269" t="s">
        <v>107</v>
      </c>
      <c r="Y269" t="str">
        <f>VLOOKUP(C269,'[1]DBS_KPY Sorumlular'!A:C,2,FALSE)</f>
        <v>Mustafa AYDIN</v>
      </c>
      <c r="Z269" t="str">
        <f>VLOOKUP(C269,'[1]DBS_KPY Sorumlular'!A:C,3,FALSE)</f>
        <v>Esra DOLAN</v>
      </c>
      <c r="AA269" t="str">
        <f>VLOOKUP(K269,[1]!Tablo3[#Data],2,FALSE)</f>
        <v>Tayfun VİÇE</v>
      </c>
    </row>
    <row r="270" spans="1:27" x14ac:dyDescent="0.25">
      <c r="A270">
        <v>1559</v>
      </c>
      <c r="B270" t="s">
        <v>27</v>
      </c>
      <c r="C270" t="s">
        <v>40</v>
      </c>
      <c r="D270" t="s">
        <v>41</v>
      </c>
      <c r="F270" t="s">
        <v>102</v>
      </c>
      <c r="G270" t="s">
        <v>43</v>
      </c>
      <c r="H270" t="s">
        <v>1234</v>
      </c>
      <c r="I270" s="4">
        <v>45837.875</v>
      </c>
      <c r="J270" t="s">
        <v>1235</v>
      </c>
      <c r="K270" t="s">
        <v>1221</v>
      </c>
      <c r="L270" s="5"/>
      <c r="M270" s="5"/>
      <c r="N270" t="s">
        <v>46</v>
      </c>
      <c r="O270" t="s">
        <v>1236</v>
      </c>
      <c r="R270">
        <v>0.9</v>
      </c>
      <c r="S270" t="s">
        <v>37</v>
      </c>
      <c r="T270" s="5" t="s">
        <v>58</v>
      </c>
      <c r="U270" t="s">
        <v>588</v>
      </c>
      <c r="V270" t="s">
        <v>589</v>
      </c>
      <c r="W270">
        <v>108</v>
      </c>
      <c r="X270" t="s">
        <v>107</v>
      </c>
      <c r="Y270" t="str">
        <f>VLOOKUP(C270,'[1]DBS_KPY Sorumlular'!A:C,2,FALSE)</f>
        <v>Mustafa AYDIN</v>
      </c>
      <c r="Z270" t="str">
        <f>VLOOKUP(C270,'[1]DBS_KPY Sorumlular'!A:C,3,FALSE)</f>
        <v>Esra DOLAN</v>
      </c>
      <c r="AA270" t="str">
        <f>VLOOKUP(K270,[1]!Tablo3[#Data],2,FALSE)</f>
        <v>Tayfun VİÇE</v>
      </c>
    </row>
    <row r="271" spans="1:27" x14ac:dyDescent="0.25">
      <c r="A271">
        <v>1560</v>
      </c>
      <c r="B271" t="s">
        <v>27</v>
      </c>
      <c r="C271" t="s">
        <v>40</v>
      </c>
      <c r="D271" t="s">
        <v>41</v>
      </c>
      <c r="F271" t="s">
        <v>113</v>
      </c>
      <c r="G271" t="s">
        <v>43</v>
      </c>
      <c r="H271" t="s">
        <v>1237</v>
      </c>
      <c r="I271" s="4">
        <v>45700.875</v>
      </c>
      <c r="K271" t="s">
        <v>1221</v>
      </c>
      <c r="L271" s="5"/>
      <c r="M271" s="5"/>
      <c r="N271" t="s">
        <v>82</v>
      </c>
      <c r="O271" t="s">
        <v>1238</v>
      </c>
      <c r="R271">
        <v>1</v>
      </c>
      <c r="S271" t="s">
        <v>37</v>
      </c>
      <c r="T271" s="5" t="s">
        <v>58</v>
      </c>
      <c r="U271" t="s">
        <v>916</v>
      </c>
      <c r="V271" t="s">
        <v>917</v>
      </c>
      <c r="W271">
        <v>171</v>
      </c>
      <c r="X271" t="s">
        <v>1239</v>
      </c>
      <c r="Y271" t="str">
        <f>VLOOKUP(C271,'[1]DBS_KPY Sorumlular'!A:C,2,FALSE)</f>
        <v>Mustafa AYDIN</v>
      </c>
      <c r="Z271" t="str">
        <f>VLOOKUP(C271,'[1]DBS_KPY Sorumlular'!A:C,3,FALSE)</f>
        <v>Esra DOLAN</v>
      </c>
      <c r="AA271" t="str">
        <f>VLOOKUP(K271,[1]!Tablo3[#Data],2,FALSE)</f>
        <v>Tayfun VİÇE</v>
      </c>
    </row>
    <row r="272" spans="1:27" x14ac:dyDescent="0.25">
      <c r="A272">
        <v>1561</v>
      </c>
      <c r="B272" t="s">
        <v>27</v>
      </c>
      <c r="C272" t="s">
        <v>40</v>
      </c>
      <c r="D272" t="s">
        <v>41</v>
      </c>
      <c r="F272" t="s">
        <v>102</v>
      </c>
      <c r="G272" t="s">
        <v>43</v>
      </c>
      <c r="H272" t="s">
        <v>1240</v>
      </c>
      <c r="I272" s="4">
        <v>45837.875</v>
      </c>
      <c r="J272" t="s">
        <v>1241</v>
      </c>
      <c r="K272" t="s">
        <v>1221</v>
      </c>
      <c r="L272" s="5"/>
      <c r="M272" s="5"/>
      <c r="N272" t="s">
        <v>46</v>
      </c>
      <c r="O272" t="s">
        <v>1242</v>
      </c>
      <c r="R272">
        <v>0.99</v>
      </c>
      <c r="S272" t="s">
        <v>37</v>
      </c>
      <c r="T272" s="5" t="s">
        <v>58</v>
      </c>
      <c r="U272" t="s">
        <v>1243</v>
      </c>
      <c r="V272" t="s">
        <v>1244</v>
      </c>
      <c r="W272">
        <v>108</v>
      </c>
      <c r="X272" t="s">
        <v>107</v>
      </c>
      <c r="Y272" t="str">
        <f>VLOOKUP(C272,'[1]DBS_KPY Sorumlular'!A:C,2,FALSE)</f>
        <v>Mustafa AYDIN</v>
      </c>
      <c r="Z272" t="str">
        <f>VLOOKUP(C272,'[1]DBS_KPY Sorumlular'!A:C,3,FALSE)</f>
        <v>Esra DOLAN</v>
      </c>
      <c r="AA272" t="str">
        <f>VLOOKUP(K272,[1]!Tablo3[#Data],2,FALSE)</f>
        <v>Tayfun VİÇE</v>
      </c>
    </row>
    <row r="273" spans="1:27" x14ac:dyDescent="0.25">
      <c r="A273">
        <v>1562</v>
      </c>
      <c r="B273" t="s">
        <v>27</v>
      </c>
      <c r="C273" t="s">
        <v>40</v>
      </c>
      <c r="D273" t="s">
        <v>41</v>
      </c>
      <c r="F273" t="s">
        <v>102</v>
      </c>
      <c r="G273" t="s">
        <v>43</v>
      </c>
      <c r="H273" t="s">
        <v>1245</v>
      </c>
      <c r="I273" s="4">
        <v>45837.875</v>
      </c>
      <c r="J273" t="s">
        <v>1246</v>
      </c>
      <c r="K273" t="s">
        <v>1221</v>
      </c>
      <c r="L273" s="5"/>
      <c r="M273" s="5"/>
      <c r="N273" t="s">
        <v>46</v>
      </c>
      <c r="O273" t="s">
        <v>1247</v>
      </c>
      <c r="R273">
        <v>0.9</v>
      </c>
      <c r="S273" t="s">
        <v>37</v>
      </c>
      <c r="T273" s="5" t="s">
        <v>58</v>
      </c>
      <c r="U273" t="s">
        <v>588</v>
      </c>
      <c r="V273" t="s">
        <v>589</v>
      </c>
      <c r="W273">
        <v>108</v>
      </c>
      <c r="X273" t="s">
        <v>107</v>
      </c>
      <c r="Y273" t="str">
        <f>VLOOKUP(C273,'[1]DBS_KPY Sorumlular'!A:C,2,FALSE)</f>
        <v>Mustafa AYDIN</v>
      </c>
      <c r="Z273" t="str">
        <f>VLOOKUP(C273,'[1]DBS_KPY Sorumlular'!A:C,3,FALSE)</f>
        <v>Esra DOLAN</v>
      </c>
      <c r="AA273" t="str">
        <f>VLOOKUP(K273,[1]!Tablo3[#Data],2,FALSE)</f>
        <v>Tayfun VİÇE</v>
      </c>
    </row>
    <row r="274" spans="1:27" x14ac:dyDescent="0.25">
      <c r="A274">
        <v>1563</v>
      </c>
      <c r="B274" t="s">
        <v>27</v>
      </c>
      <c r="C274" t="s">
        <v>40</v>
      </c>
      <c r="D274" t="s">
        <v>41</v>
      </c>
      <c r="F274" t="s">
        <v>102</v>
      </c>
      <c r="G274" t="s">
        <v>43</v>
      </c>
      <c r="H274" t="s">
        <v>1248</v>
      </c>
      <c r="I274" s="4">
        <v>45564.875</v>
      </c>
      <c r="K274" t="s">
        <v>1221</v>
      </c>
      <c r="L274" s="5"/>
      <c r="M274" s="5"/>
      <c r="N274" t="s">
        <v>82</v>
      </c>
      <c r="O274" t="s">
        <v>1249</v>
      </c>
      <c r="R274">
        <v>1</v>
      </c>
      <c r="S274" t="s">
        <v>37</v>
      </c>
      <c r="T274" s="5" t="s">
        <v>58</v>
      </c>
      <c r="U274" t="s">
        <v>1232</v>
      </c>
      <c r="V274" t="s">
        <v>1233</v>
      </c>
      <c r="W274">
        <v>108</v>
      </c>
      <c r="X274" t="s">
        <v>107</v>
      </c>
      <c r="Y274" t="str">
        <f>VLOOKUP(C274,'[1]DBS_KPY Sorumlular'!A:C,2,FALSE)</f>
        <v>Mustafa AYDIN</v>
      </c>
      <c r="Z274" t="str">
        <f>VLOOKUP(C274,'[1]DBS_KPY Sorumlular'!A:C,3,FALSE)</f>
        <v>Esra DOLAN</v>
      </c>
      <c r="AA274" t="str">
        <f>VLOOKUP(K274,[1]!Tablo3[#Data],2,FALSE)</f>
        <v>Tayfun VİÇE</v>
      </c>
    </row>
    <row r="275" spans="1:27" x14ac:dyDescent="0.25">
      <c r="A275">
        <v>1564</v>
      </c>
      <c r="B275" t="s">
        <v>27</v>
      </c>
      <c r="C275" t="s">
        <v>137</v>
      </c>
      <c r="D275" t="s">
        <v>138</v>
      </c>
      <c r="E275" t="s">
        <v>138</v>
      </c>
      <c r="F275" t="s">
        <v>184</v>
      </c>
      <c r="G275" t="s">
        <v>43</v>
      </c>
      <c r="H275" t="s">
        <v>1250</v>
      </c>
      <c r="I275" s="4">
        <v>46020.875</v>
      </c>
      <c r="J275" t="s">
        <v>1251</v>
      </c>
      <c r="K275" t="s">
        <v>1221</v>
      </c>
      <c r="L275" s="5" t="s">
        <v>1252</v>
      </c>
      <c r="M275" s="5" t="s">
        <v>1253</v>
      </c>
      <c r="N275" t="s">
        <v>46</v>
      </c>
      <c r="O275" t="s">
        <v>1254</v>
      </c>
      <c r="R275">
        <v>0.65</v>
      </c>
      <c r="S275" t="s">
        <v>37</v>
      </c>
      <c r="T275" s="5" t="s">
        <v>38</v>
      </c>
      <c r="W275">
        <v>126</v>
      </c>
      <c r="X275" t="s">
        <v>147</v>
      </c>
      <c r="Y275" t="str">
        <f>VLOOKUP(C275,'[1]DBS_KPY Sorumlular'!A:C,2,FALSE)</f>
        <v>Erkan AKDOĞAN</v>
      </c>
      <c r="Z275" t="str">
        <f>VLOOKUP(C275,'[1]DBS_KPY Sorumlular'!A:C,3,FALSE)</f>
        <v>Kadir TOPÇU</v>
      </c>
      <c r="AA275" t="str">
        <f>VLOOKUP(K275,[1]!Tablo3[#Data],2,FALSE)</f>
        <v>Tayfun VİÇE</v>
      </c>
    </row>
    <row r="276" spans="1:27" x14ac:dyDescent="0.25">
      <c r="A276">
        <v>1564</v>
      </c>
      <c r="B276" t="s">
        <v>27</v>
      </c>
      <c r="C276" t="s">
        <v>137</v>
      </c>
      <c r="D276" t="s">
        <v>138</v>
      </c>
      <c r="E276" t="s">
        <v>138</v>
      </c>
      <c r="F276" t="s">
        <v>184</v>
      </c>
      <c r="G276" t="s">
        <v>43</v>
      </c>
      <c r="H276" t="s">
        <v>1250</v>
      </c>
      <c r="I276" s="4">
        <v>46020.875</v>
      </c>
      <c r="J276" t="s">
        <v>1251</v>
      </c>
      <c r="K276" t="s">
        <v>1221</v>
      </c>
      <c r="L276" s="5" t="s">
        <v>1252</v>
      </c>
      <c r="M276" s="5" t="s">
        <v>1253</v>
      </c>
      <c r="N276" t="s">
        <v>46</v>
      </c>
      <c r="O276" t="s">
        <v>1254</v>
      </c>
      <c r="R276">
        <v>0.65</v>
      </c>
      <c r="S276" t="s">
        <v>37</v>
      </c>
      <c r="T276" s="5" t="s">
        <v>38</v>
      </c>
      <c r="W276">
        <v>86</v>
      </c>
      <c r="X276" t="s">
        <v>189</v>
      </c>
      <c r="Y276" t="str">
        <f>VLOOKUP(C276,'[1]DBS_KPY Sorumlular'!A:C,2,FALSE)</f>
        <v>Erkan AKDOĞAN</v>
      </c>
      <c r="Z276" t="str">
        <f>VLOOKUP(C276,'[1]DBS_KPY Sorumlular'!A:C,3,FALSE)</f>
        <v>Kadir TOPÇU</v>
      </c>
      <c r="AA276" t="str">
        <f>VLOOKUP(K276,[1]!Tablo3[#Data],2,FALSE)</f>
        <v>Tayfun VİÇE</v>
      </c>
    </row>
    <row r="277" spans="1:27" x14ac:dyDescent="0.25">
      <c r="A277">
        <v>1565</v>
      </c>
      <c r="B277" t="s">
        <v>27</v>
      </c>
      <c r="C277" t="s">
        <v>73</v>
      </c>
      <c r="D277" t="s">
        <v>73</v>
      </c>
      <c r="F277" t="s">
        <v>74</v>
      </c>
      <c r="G277" t="s">
        <v>30</v>
      </c>
      <c r="H277" t="s">
        <v>1255</v>
      </c>
      <c r="I277" s="4">
        <v>46037.875</v>
      </c>
      <c r="J277" t="s">
        <v>1256</v>
      </c>
      <c r="K277" t="s">
        <v>1221</v>
      </c>
      <c r="L277" s="5" t="s">
        <v>1257</v>
      </c>
      <c r="M277" s="5"/>
      <c r="N277" t="s">
        <v>46</v>
      </c>
      <c r="O277" t="s">
        <v>1258</v>
      </c>
      <c r="R277">
        <v>0.6</v>
      </c>
      <c r="S277" t="s">
        <v>37</v>
      </c>
      <c r="T277" s="5" t="s">
        <v>38</v>
      </c>
      <c r="Y277" t="str">
        <f>VLOOKUP(C277,'[1]DBS_KPY Sorumlular'!A:C,2,FALSE)</f>
        <v>Ayşegül AKGÜL</v>
      </c>
      <c r="Z277" t="str">
        <f>VLOOKUP(C277,'[1]DBS_KPY Sorumlular'!A:C,3,FALSE)</f>
        <v>Sinan ERDAŞ</v>
      </c>
      <c r="AA277" t="str">
        <f>VLOOKUP(K277,[1]!Tablo3[#Data],2,FALSE)</f>
        <v>Tayfun VİÇE</v>
      </c>
    </row>
    <row r="278" spans="1:27" x14ac:dyDescent="0.25">
      <c r="A278">
        <v>1566</v>
      </c>
      <c r="B278" t="s">
        <v>27</v>
      </c>
      <c r="C278" t="s">
        <v>73</v>
      </c>
      <c r="D278" t="s">
        <v>73</v>
      </c>
      <c r="F278" t="s">
        <v>108</v>
      </c>
      <c r="G278" t="s">
        <v>30</v>
      </c>
      <c r="H278" t="s">
        <v>1259</v>
      </c>
      <c r="I278" s="4">
        <v>46037.875</v>
      </c>
      <c r="J278" t="s">
        <v>1260</v>
      </c>
      <c r="K278" t="s">
        <v>1221</v>
      </c>
      <c r="L278" s="5" t="s">
        <v>1261</v>
      </c>
      <c r="M278" s="5"/>
      <c r="N278" t="s">
        <v>46</v>
      </c>
      <c r="O278" t="s">
        <v>1262</v>
      </c>
      <c r="R278">
        <v>0</v>
      </c>
      <c r="S278" t="s">
        <v>37</v>
      </c>
      <c r="T278" s="5" t="s">
        <v>38</v>
      </c>
      <c r="Y278" t="str">
        <f>VLOOKUP(C278,'[1]DBS_KPY Sorumlular'!A:C,2,FALSE)</f>
        <v>Ayşegül AKGÜL</v>
      </c>
      <c r="Z278" t="str">
        <f>VLOOKUP(C278,'[1]DBS_KPY Sorumlular'!A:C,3,FALSE)</f>
        <v>Sinan ERDAŞ</v>
      </c>
      <c r="AA278" t="str">
        <f>VLOOKUP(K278,[1]!Tablo3[#Data],2,FALSE)</f>
        <v>Tayfun VİÇE</v>
      </c>
    </row>
    <row r="279" spans="1:27" x14ac:dyDescent="0.25">
      <c r="A279">
        <v>1567</v>
      </c>
      <c r="B279" t="s">
        <v>27</v>
      </c>
      <c r="C279" t="s">
        <v>40</v>
      </c>
      <c r="D279" t="s">
        <v>41</v>
      </c>
      <c r="F279" t="s">
        <v>1263</v>
      </c>
      <c r="G279" t="s">
        <v>43</v>
      </c>
      <c r="H279" t="s">
        <v>1264</v>
      </c>
      <c r="I279" s="4">
        <v>45803.875</v>
      </c>
      <c r="K279" t="s">
        <v>1221</v>
      </c>
      <c r="L279" s="5" t="s">
        <v>1265</v>
      </c>
      <c r="M279" s="5"/>
      <c r="N279" t="s">
        <v>82</v>
      </c>
      <c r="O279" t="s">
        <v>1266</v>
      </c>
      <c r="R279">
        <v>1</v>
      </c>
      <c r="S279" t="s">
        <v>37</v>
      </c>
      <c r="T279" s="5" t="s">
        <v>58</v>
      </c>
      <c r="U279" t="s">
        <v>134</v>
      </c>
      <c r="V279" t="s">
        <v>135</v>
      </c>
      <c r="W279">
        <v>89</v>
      </c>
      <c r="X279" t="s">
        <v>1267</v>
      </c>
      <c r="Y279" t="str">
        <f>VLOOKUP(C279,'[1]DBS_KPY Sorumlular'!A:C,2,FALSE)</f>
        <v>Mustafa AYDIN</v>
      </c>
      <c r="Z279" t="str">
        <f>VLOOKUP(C279,'[1]DBS_KPY Sorumlular'!A:C,3,FALSE)</f>
        <v>Esra DOLAN</v>
      </c>
      <c r="AA279" t="str">
        <f>VLOOKUP(K279,[1]!Tablo3[#Data],2,FALSE)</f>
        <v>Tayfun VİÇE</v>
      </c>
    </row>
    <row r="280" spans="1:27" x14ac:dyDescent="0.25">
      <c r="A280">
        <v>1568</v>
      </c>
      <c r="B280" t="s">
        <v>27</v>
      </c>
      <c r="C280" t="s">
        <v>40</v>
      </c>
      <c r="D280" t="s">
        <v>41</v>
      </c>
      <c r="F280" t="s">
        <v>102</v>
      </c>
      <c r="G280" t="s">
        <v>43</v>
      </c>
      <c r="H280" t="s">
        <v>1268</v>
      </c>
      <c r="I280" s="4">
        <v>45700.875</v>
      </c>
      <c r="K280" t="s">
        <v>926</v>
      </c>
      <c r="L280" s="5"/>
      <c r="M280" s="5"/>
      <c r="N280" t="s">
        <v>82</v>
      </c>
      <c r="O280" t="s">
        <v>1269</v>
      </c>
      <c r="R280">
        <v>1</v>
      </c>
      <c r="S280" t="s">
        <v>230</v>
      </c>
      <c r="T280" s="5" t="s">
        <v>58</v>
      </c>
      <c r="U280" t="s">
        <v>752</v>
      </c>
      <c r="V280" t="s">
        <v>753</v>
      </c>
      <c r="W280">
        <v>73</v>
      </c>
      <c r="X280" t="s">
        <v>1198</v>
      </c>
      <c r="Y280" t="str">
        <f>VLOOKUP(C280,'[1]DBS_KPY Sorumlular'!A:C,2,FALSE)</f>
        <v>Mustafa AYDIN</v>
      </c>
      <c r="Z280" t="str">
        <f>VLOOKUP(C280,'[1]DBS_KPY Sorumlular'!A:C,3,FALSE)</f>
        <v>Esra DOLAN</v>
      </c>
      <c r="AA280" t="str">
        <f>VLOOKUP(K280,[1]!Tablo3[#Data],2,FALSE)</f>
        <v>Kadir TOPÇU</v>
      </c>
    </row>
    <row r="281" spans="1:27" x14ac:dyDescent="0.25">
      <c r="A281">
        <v>1569</v>
      </c>
      <c r="B281" t="s">
        <v>27</v>
      </c>
      <c r="C281" t="s">
        <v>40</v>
      </c>
      <c r="D281" t="s">
        <v>41</v>
      </c>
      <c r="F281" t="s">
        <v>102</v>
      </c>
      <c r="G281" t="s">
        <v>43</v>
      </c>
      <c r="H281" t="s">
        <v>1270</v>
      </c>
      <c r="I281" s="4">
        <v>45535.875</v>
      </c>
      <c r="K281" t="s">
        <v>926</v>
      </c>
      <c r="L281" s="5"/>
      <c r="M281" s="5"/>
      <c r="N281" t="s">
        <v>82</v>
      </c>
      <c r="O281" t="s">
        <v>1271</v>
      </c>
      <c r="R281">
        <v>1</v>
      </c>
      <c r="S281" t="s">
        <v>230</v>
      </c>
      <c r="T281" s="5" t="s">
        <v>58</v>
      </c>
      <c r="U281" t="s">
        <v>621</v>
      </c>
      <c r="V281" t="s">
        <v>622</v>
      </c>
      <c r="W281">
        <v>108</v>
      </c>
      <c r="X281" t="s">
        <v>107</v>
      </c>
      <c r="Y281" t="str">
        <f>VLOOKUP(C281,'[1]DBS_KPY Sorumlular'!A:C,2,FALSE)</f>
        <v>Mustafa AYDIN</v>
      </c>
      <c r="Z281" t="str">
        <f>VLOOKUP(C281,'[1]DBS_KPY Sorumlular'!A:C,3,FALSE)</f>
        <v>Esra DOLAN</v>
      </c>
      <c r="AA281" t="str">
        <f>VLOOKUP(K281,[1]!Tablo3[#Data],2,FALSE)</f>
        <v>Kadir TOPÇU</v>
      </c>
    </row>
    <row r="282" spans="1:27" x14ac:dyDescent="0.25">
      <c r="A282">
        <v>1570</v>
      </c>
      <c r="B282" t="s">
        <v>27</v>
      </c>
      <c r="C282" t="s">
        <v>304</v>
      </c>
      <c r="D282" t="s">
        <v>305</v>
      </c>
      <c r="F282" t="s">
        <v>537</v>
      </c>
      <c r="G282" t="s">
        <v>96</v>
      </c>
      <c r="H282" t="s">
        <v>1272</v>
      </c>
      <c r="I282" s="4">
        <v>45564.875</v>
      </c>
      <c r="K282" t="s">
        <v>926</v>
      </c>
      <c r="L282" s="5"/>
      <c r="M282" s="5"/>
      <c r="N282" t="s">
        <v>82</v>
      </c>
      <c r="O282" t="s">
        <v>1273</v>
      </c>
      <c r="R282">
        <v>1</v>
      </c>
      <c r="S282" t="s">
        <v>230</v>
      </c>
      <c r="T282" s="5" t="s">
        <v>38</v>
      </c>
      <c r="W282">
        <v>206</v>
      </c>
      <c r="X282" t="s">
        <v>311</v>
      </c>
      <c r="Y282" t="str">
        <f>VLOOKUP(C282,'[1]DBS_KPY Sorumlular'!A:C,2,FALSE)</f>
        <v>Erkan AKDOĞAN</v>
      </c>
      <c r="Z282" t="str">
        <f>VLOOKUP(C282,'[1]DBS_KPY Sorumlular'!A:C,3,FALSE)</f>
        <v>Kadir TOPÇU</v>
      </c>
      <c r="AA282" t="str">
        <f>VLOOKUP(K282,[1]!Tablo3[#Data],2,FALSE)</f>
        <v>Kadir TOPÇU</v>
      </c>
    </row>
    <row r="283" spans="1:27" x14ac:dyDescent="0.25">
      <c r="A283">
        <v>1571</v>
      </c>
      <c r="B283" t="s">
        <v>27</v>
      </c>
      <c r="C283" t="s">
        <v>893</v>
      </c>
      <c r="D283" t="s">
        <v>902</v>
      </c>
      <c r="F283" t="s">
        <v>903</v>
      </c>
      <c r="G283" t="s">
        <v>30</v>
      </c>
      <c r="H283" t="s">
        <v>1274</v>
      </c>
      <c r="I283" s="4">
        <v>46021.875</v>
      </c>
      <c r="J283" t="s">
        <v>1275</v>
      </c>
      <c r="K283" t="s">
        <v>926</v>
      </c>
      <c r="L283" s="5" t="s">
        <v>1276</v>
      </c>
      <c r="M283" s="5"/>
      <c r="N283" t="s">
        <v>35</v>
      </c>
      <c r="O283" t="s">
        <v>1277</v>
      </c>
      <c r="R283">
        <v>0</v>
      </c>
      <c r="S283" t="s">
        <v>230</v>
      </c>
      <c r="T283" s="5" t="s">
        <v>38</v>
      </c>
      <c r="W283">
        <v>55</v>
      </c>
      <c r="X283" t="s">
        <v>907</v>
      </c>
      <c r="Y283" t="str">
        <f>VLOOKUP(C283,'[1]DBS_KPY Sorumlular'!A:C,2,FALSE)</f>
        <v>Seyithan İŞİK</v>
      </c>
      <c r="Z283" t="str">
        <f>VLOOKUP(C283,'[1]DBS_KPY Sorumlular'!A:C,3,FALSE)</f>
        <v>Korhan KÖROĞLU</v>
      </c>
      <c r="AA283" t="str">
        <f>VLOOKUP(K283,[1]!Tablo3[#Data],2,FALSE)</f>
        <v>Kadir TOPÇU</v>
      </c>
    </row>
    <row r="284" spans="1:27" x14ac:dyDescent="0.25">
      <c r="A284">
        <v>1572</v>
      </c>
      <c r="B284" t="s">
        <v>27</v>
      </c>
      <c r="C284" t="s">
        <v>73</v>
      </c>
      <c r="D284" t="s">
        <v>73</v>
      </c>
      <c r="F284" t="s">
        <v>108</v>
      </c>
      <c r="G284" t="s">
        <v>30</v>
      </c>
      <c r="H284" t="s">
        <v>1278</v>
      </c>
      <c r="I284" s="4">
        <v>45686.875</v>
      </c>
      <c r="J284" t="s">
        <v>1141</v>
      </c>
      <c r="K284" t="s">
        <v>926</v>
      </c>
      <c r="L284" s="5" t="s">
        <v>213</v>
      </c>
      <c r="M284" s="5"/>
      <c r="N284" t="s">
        <v>82</v>
      </c>
      <c r="O284" t="s">
        <v>1279</v>
      </c>
      <c r="R284">
        <v>1</v>
      </c>
      <c r="S284" t="s">
        <v>230</v>
      </c>
      <c r="T284" s="5" t="s">
        <v>38</v>
      </c>
      <c r="W284">
        <v>33</v>
      </c>
      <c r="X284" t="s">
        <v>276</v>
      </c>
      <c r="Y284" t="str">
        <f>VLOOKUP(C284,'[1]DBS_KPY Sorumlular'!A:C,2,FALSE)</f>
        <v>Ayşegül AKGÜL</v>
      </c>
      <c r="Z284" t="str">
        <f>VLOOKUP(C284,'[1]DBS_KPY Sorumlular'!A:C,3,FALSE)</f>
        <v>Sinan ERDAŞ</v>
      </c>
      <c r="AA284" t="str">
        <f>VLOOKUP(K284,[1]!Tablo3[#Data],2,FALSE)</f>
        <v>Kadir TOPÇU</v>
      </c>
    </row>
    <row r="285" spans="1:27" x14ac:dyDescent="0.25">
      <c r="A285">
        <v>1573</v>
      </c>
      <c r="B285" t="s">
        <v>27</v>
      </c>
      <c r="C285" t="s">
        <v>652</v>
      </c>
      <c r="D285" t="s">
        <v>653</v>
      </c>
      <c r="F285" t="s">
        <v>455</v>
      </c>
      <c r="G285" t="s">
        <v>456</v>
      </c>
      <c r="H285" t="s">
        <v>1280</v>
      </c>
      <c r="I285" s="4">
        <v>45762.875</v>
      </c>
      <c r="J285" t="s">
        <v>1281</v>
      </c>
      <c r="K285" t="s">
        <v>926</v>
      </c>
      <c r="L285" s="5" t="s">
        <v>1282</v>
      </c>
      <c r="M285" s="5" t="s">
        <v>1283</v>
      </c>
      <c r="N285" t="s">
        <v>739</v>
      </c>
      <c r="O285" t="s">
        <v>1284</v>
      </c>
      <c r="S285" t="s">
        <v>230</v>
      </c>
      <c r="T285" s="5" t="s">
        <v>48</v>
      </c>
      <c r="U285" t="s">
        <v>1285</v>
      </c>
      <c r="V285" t="s">
        <v>1286</v>
      </c>
      <c r="W285">
        <v>144</v>
      </c>
      <c r="X285" t="s">
        <v>463</v>
      </c>
      <c r="Y285" t="str">
        <f>VLOOKUP(C285,'[1]DBS_KPY Sorumlular'!A:C,2,FALSE)</f>
        <v>Seyithan İŞİK</v>
      </c>
      <c r="Z285" t="str">
        <f>VLOOKUP(C285,'[1]DBS_KPY Sorumlular'!A:C,3,FALSE)</f>
        <v>Korhan KÖROĞLU</v>
      </c>
      <c r="AA285" t="str">
        <f>VLOOKUP(K285,[1]!Tablo3[#Data],2,FALSE)</f>
        <v>Kadir TOPÇU</v>
      </c>
    </row>
    <row r="286" spans="1:27" x14ac:dyDescent="0.25">
      <c r="A286">
        <v>1574</v>
      </c>
      <c r="B286" t="s">
        <v>27</v>
      </c>
      <c r="C286" t="s">
        <v>40</v>
      </c>
      <c r="D286" t="s">
        <v>41</v>
      </c>
      <c r="F286" t="s">
        <v>52</v>
      </c>
      <c r="G286" t="s">
        <v>43</v>
      </c>
      <c r="H286" t="s">
        <v>1287</v>
      </c>
      <c r="I286" s="4">
        <v>45885.875</v>
      </c>
      <c r="K286" t="s">
        <v>926</v>
      </c>
      <c r="L286" s="5"/>
      <c r="M286" s="5"/>
      <c r="N286" t="s">
        <v>46</v>
      </c>
      <c r="O286" t="s">
        <v>1288</v>
      </c>
      <c r="R286">
        <v>0.85</v>
      </c>
      <c r="S286" t="s">
        <v>230</v>
      </c>
      <c r="T286" s="5" t="s">
        <v>58</v>
      </c>
      <c r="U286" t="s">
        <v>366</v>
      </c>
      <c r="V286" t="s">
        <v>367</v>
      </c>
      <c r="W286">
        <v>148</v>
      </c>
      <c r="X286" t="s">
        <v>368</v>
      </c>
      <c r="Y286" t="str">
        <f>VLOOKUP(C286,'[1]DBS_KPY Sorumlular'!A:C,2,FALSE)</f>
        <v>Mustafa AYDIN</v>
      </c>
      <c r="Z286" t="str">
        <f>VLOOKUP(C286,'[1]DBS_KPY Sorumlular'!A:C,3,FALSE)</f>
        <v>Esra DOLAN</v>
      </c>
      <c r="AA286" t="str">
        <f>VLOOKUP(K286,[1]!Tablo3[#Data],2,FALSE)</f>
        <v>Kadir TOPÇU</v>
      </c>
    </row>
    <row r="287" spans="1:27" x14ac:dyDescent="0.25">
      <c r="A287">
        <v>1575</v>
      </c>
      <c r="B287" t="s">
        <v>27</v>
      </c>
      <c r="C287" t="s">
        <v>40</v>
      </c>
      <c r="D287" t="s">
        <v>41</v>
      </c>
      <c r="F287" t="s">
        <v>95</v>
      </c>
      <c r="G287" t="s">
        <v>96</v>
      </c>
      <c r="H287" t="s">
        <v>1289</v>
      </c>
      <c r="I287" s="4">
        <v>45837.875</v>
      </c>
      <c r="J287" t="s">
        <v>1290</v>
      </c>
      <c r="K287" t="s">
        <v>926</v>
      </c>
      <c r="L287" s="5"/>
      <c r="M287" s="5"/>
      <c r="N287" t="s">
        <v>46</v>
      </c>
      <c r="O287" t="s">
        <v>1291</v>
      </c>
      <c r="R287">
        <v>0.9</v>
      </c>
      <c r="S287" t="s">
        <v>230</v>
      </c>
      <c r="T287" s="5" t="s">
        <v>58</v>
      </c>
      <c r="U287" t="s">
        <v>1292</v>
      </c>
      <c r="V287" t="s">
        <v>1293</v>
      </c>
      <c r="W287">
        <v>91</v>
      </c>
      <c r="X287" t="s">
        <v>101</v>
      </c>
      <c r="Y287" t="str">
        <f>VLOOKUP(C287,'[1]DBS_KPY Sorumlular'!A:C,2,FALSE)</f>
        <v>Mustafa AYDIN</v>
      </c>
      <c r="Z287" t="str">
        <f>VLOOKUP(C287,'[1]DBS_KPY Sorumlular'!A:C,3,FALSE)</f>
        <v>Esra DOLAN</v>
      </c>
      <c r="AA287" t="str">
        <f>VLOOKUP(K287,[1]!Tablo3[#Data],2,FALSE)</f>
        <v>Kadir TOPÇU</v>
      </c>
    </row>
    <row r="288" spans="1:27" x14ac:dyDescent="0.25">
      <c r="A288">
        <v>1576</v>
      </c>
      <c r="B288" t="s">
        <v>27</v>
      </c>
      <c r="C288" t="s">
        <v>40</v>
      </c>
      <c r="D288" t="s">
        <v>41</v>
      </c>
      <c r="F288" t="s">
        <v>42</v>
      </c>
      <c r="G288" t="s">
        <v>43</v>
      </c>
      <c r="H288" t="s">
        <v>1294</v>
      </c>
      <c r="I288" s="4">
        <v>46021.875</v>
      </c>
      <c r="J288" t="s">
        <v>1295</v>
      </c>
      <c r="K288" t="s">
        <v>926</v>
      </c>
      <c r="L288" s="5"/>
      <c r="M288" s="5"/>
      <c r="N288" t="s">
        <v>46</v>
      </c>
      <c r="O288" t="s">
        <v>1296</v>
      </c>
      <c r="R288">
        <v>0.62</v>
      </c>
      <c r="S288" t="s">
        <v>230</v>
      </c>
      <c r="T288" s="5" t="s">
        <v>48</v>
      </c>
      <c r="U288" t="s">
        <v>1297</v>
      </c>
      <c r="V288" t="s">
        <v>1298</v>
      </c>
      <c r="W288">
        <v>71</v>
      </c>
      <c r="X288" t="s">
        <v>1299</v>
      </c>
      <c r="Y288" t="str">
        <f>VLOOKUP(C288,'[1]DBS_KPY Sorumlular'!A:C,2,FALSE)</f>
        <v>Mustafa AYDIN</v>
      </c>
      <c r="Z288" t="str">
        <f>VLOOKUP(C288,'[1]DBS_KPY Sorumlular'!A:C,3,FALSE)</f>
        <v>Esra DOLAN</v>
      </c>
      <c r="AA288" t="str">
        <f>VLOOKUP(K288,[1]!Tablo3[#Data],2,FALSE)</f>
        <v>Kadir TOPÇU</v>
      </c>
    </row>
    <row r="289" spans="1:27" x14ac:dyDescent="0.25">
      <c r="A289">
        <v>1577</v>
      </c>
      <c r="B289" t="s">
        <v>27</v>
      </c>
      <c r="C289" t="s">
        <v>73</v>
      </c>
      <c r="D289" t="s">
        <v>73</v>
      </c>
      <c r="F289" t="s">
        <v>383</v>
      </c>
      <c r="G289" t="s">
        <v>384</v>
      </c>
      <c r="H289" t="s">
        <v>1300</v>
      </c>
      <c r="I289" s="4">
        <v>45807.875</v>
      </c>
      <c r="J289" t="s">
        <v>1301</v>
      </c>
      <c r="K289" t="s">
        <v>926</v>
      </c>
      <c r="L289" s="5" t="s">
        <v>1302</v>
      </c>
      <c r="M289" s="5"/>
      <c r="N289" t="s">
        <v>46</v>
      </c>
      <c r="O289" t="s">
        <v>1303</v>
      </c>
      <c r="R289">
        <v>0.95</v>
      </c>
      <c r="S289" t="s">
        <v>230</v>
      </c>
      <c r="T289" s="5" t="s">
        <v>38</v>
      </c>
      <c r="Y289" t="str">
        <f>VLOOKUP(C289,'[1]DBS_KPY Sorumlular'!A:C,2,FALSE)</f>
        <v>Ayşegül AKGÜL</v>
      </c>
      <c r="Z289" t="str">
        <f>VLOOKUP(C289,'[1]DBS_KPY Sorumlular'!A:C,3,FALSE)</f>
        <v>Sinan ERDAŞ</v>
      </c>
      <c r="AA289" t="str">
        <f>VLOOKUP(K289,[1]!Tablo3[#Data],2,FALSE)</f>
        <v>Kadir TOPÇU</v>
      </c>
    </row>
    <row r="290" spans="1:27" x14ac:dyDescent="0.25">
      <c r="A290">
        <v>1578</v>
      </c>
      <c r="B290" t="s">
        <v>27</v>
      </c>
      <c r="C290" t="s">
        <v>402</v>
      </c>
      <c r="D290" t="s">
        <v>403</v>
      </c>
      <c r="F290" t="s">
        <v>383</v>
      </c>
      <c r="G290" t="s">
        <v>384</v>
      </c>
      <c r="H290" t="s">
        <v>1304</v>
      </c>
      <c r="I290" s="4">
        <v>45897.875</v>
      </c>
      <c r="J290" t="s">
        <v>774</v>
      </c>
      <c r="K290" t="s">
        <v>926</v>
      </c>
      <c r="L290" s="5" t="s">
        <v>1305</v>
      </c>
      <c r="M290" s="5"/>
      <c r="N290" t="s">
        <v>46</v>
      </c>
      <c r="O290" t="s">
        <v>1306</v>
      </c>
      <c r="R290">
        <v>0.4</v>
      </c>
      <c r="S290" t="s">
        <v>230</v>
      </c>
      <c r="T290" s="5" t="s">
        <v>48</v>
      </c>
      <c r="U290" t="s">
        <v>1307</v>
      </c>
      <c r="V290" t="s">
        <v>1308</v>
      </c>
      <c r="W290">
        <v>83</v>
      </c>
      <c r="X290" t="s">
        <v>1309</v>
      </c>
      <c r="Y290" t="str">
        <f>VLOOKUP(C290,'[1]DBS_KPY Sorumlular'!A:C,2,FALSE)</f>
        <v>Tayfun VİÇE</v>
      </c>
      <c r="Z290" t="str">
        <f>VLOOKUP(C290,'[1]DBS_KPY Sorumlular'!A:C,3,FALSE)</f>
        <v>Mehmet Ali YAVUZ</v>
      </c>
      <c r="AA290" t="str">
        <f>VLOOKUP(K290,[1]!Tablo3[#Data],2,FALSE)</f>
        <v>Kadir TOPÇU</v>
      </c>
    </row>
    <row r="291" spans="1:27" x14ac:dyDescent="0.25">
      <c r="A291">
        <v>1579</v>
      </c>
      <c r="B291" t="s">
        <v>27</v>
      </c>
      <c r="C291" t="s">
        <v>73</v>
      </c>
      <c r="D291" t="s">
        <v>73</v>
      </c>
      <c r="F291" t="s">
        <v>108</v>
      </c>
      <c r="G291" t="s">
        <v>30</v>
      </c>
      <c r="H291" t="s">
        <v>1310</v>
      </c>
      <c r="I291" s="4">
        <v>45929.875</v>
      </c>
      <c r="J291" t="s">
        <v>1311</v>
      </c>
      <c r="K291" t="s">
        <v>926</v>
      </c>
      <c r="L291" s="5" t="s">
        <v>1312</v>
      </c>
      <c r="M291" s="5"/>
      <c r="N291" t="s">
        <v>46</v>
      </c>
      <c r="O291" t="s">
        <v>1313</v>
      </c>
      <c r="R291">
        <v>0.81</v>
      </c>
      <c r="S291" t="s">
        <v>230</v>
      </c>
      <c r="T291" s="5" t="s">
        <v>38</v>
      </c>
      <c r="Y291" t="str">
        <f>VLOOKUP(C291,'[1]DBS_KPY Sorumlular'!A:C,2,FALSE)</f>
        <v>Ayşegül AKGÜL</v>
      </c>
      <c r="Z291" t="str">
        <f>VLOOKUP(C291,'[1]DBS_KPY Sorumlular'!A:C,3,FALSE)</f>
        <v>Sinan ERDAŞ</v>
      </c>
      <c r="AA291" t="str">
        <f>VLOOKUP(K291,[1]!Tablo3[#Data],2,FALSE)</f>
        <v>Kadir TOPÇU</v>
      </c>
    </row>
    <row r="292" spans="1:27" x14ac:dyDescent="0.25">
      <c r="A292">
        <v>1580</v>
      </c>
      <c r="B292" t="s">
        <v>27</v>
      </c>
      <c r="C292" t="s">
        <v>73</v>
      </c>
      <c r="D292" t="s">
        <v>73</v>
      </c>
      <c r="F292" t="s">
        <v>383</v>
      </c>
      <c r="G292" t="s">
        <v>384</v>
      </c>
      <c r="H292" t="s">
        <v>1314</v>
      </c>
      <c r="I292" s="4">
        <v>46293.875</v>
      </c>
      <c r="J292" t="s">
        <v>1315</v>
      </c>
      <c r="K292" t="s">
        <v>926</v>
      </c>
      <c r="L292" s="5" t="s">
        <v>1316</v>
      </c>
      <c r="M292" s="5"/>
      <c r="N292" t="s">
        <v>46</v>
      </c>
      <c r="O292" t="s">
        <v>1317</v>
      </c>
      <c r="R292">
        <v>0.45</v>
      </c>
      <c r="S292" t="s">
        <v>230</v>
      </c>
      <c r="T292" s="5" t="s">
        <v>38</v>
      </c>
      <c r="Y292" t="str">
        <f>VLOOKUP(C292,'[1]DBS_KPY Sorumlular'!A:C,2,FALSE)</f>
        <v>Ayşegül AKGÜL</v>
      </c>
      <c r="Z292" t="str">
        <f>VLOOKUP(C292,'[1]DBS_KPY Sorumlular'!A:C,3,FALSE)</f>
        <v>Sinan ERDAŞ</v>
      </c>
      <c r="AA292" t="str">
        <f>VLOOKUP(K292,[1]!Tablo3[#Data],2,FALSE)</f>
        <v>Kadir TOPÇU</v>
      </c>
    </row>
    <row r="293" spans="1:27" x14ac:dyDescent="0.25">
      <c r="A293">
        <v>1581</v>
      </c>
      <c r="B293" t="s">
        <v>27</v>
      </c>
      <c r="C293" t="s">
        <v>288</v>
      </c>
      <c r="D293" t="s">
        <v>289</v>
      </c>
      <c r="F293" t="s">
        <v>290</v>
      </c>
      <c r="G293" t="s">
        <v>43</v>
      </c>
      <c r="H293" t="s">
        <v>1318</v>
      </c>
      <c r="I293" s="4">
        <v>46294.875</v>
      </c>
      <c r="J293" t="s">
        <v>1319</v>
      </c>
      <c r="K293" t="s">
        <v>926</v>
      </c>
      <c r="L293" s="5"/>
      <c r="M293" s="5"/>
      <c r="N293" t="s">
        <v>46</v>
      </c>
      <c r="O293" t="s">
        <v>1320</v>
      </c>
      <c r="R293">
        <v>0.49</v>
      </c>
      <c r="S293" t="s">
        <v>230</v>
      </c>
      <c r="T293" s="5" t="s">
        <v>38</v>
      </c>
      <c r="W293">
        <v>23</v>
      </c>
      <c r="X293" t="s">
        <v>295</v>
      </c>
      <c r="Y293" t="str">
        <f>VLOOKUP(C293,'[1]DBS_KPY Sorumlular'!A:C,2,FALSE)</f>
        <v>Sinan ERDAŞ</v>
      </c>
      <c r="Z293" t="str">
        <f>VLOOKUP(C293,'[1]DBS_KPY Sorumlular'!A:C,3,FALSE)</f>
        <v>Ayşegül AKGÜL</v>
      </c>
      <c r="AA293" t="str">
        <f>VLOOKUP(K293,[1]!Tablo3[#Data],2,FALSE)</f>
        <v>Kadir TOPÇU</v>
      </c>
    </row>
    <row r="294" spans="1:27" x14ac:dyDescent="0.25">
      <c r="A294">
        <v>1582</v>
      </c>
      <c r="B294" t="s">
        <v>27</v>
      </c>
      <c r="C294" t="s">
        <v>73</v>
      </c>
      <c r="D294" t="s">
        <v>73</v>
      </c>
      <c r="F294" t="s">
        <v>74</v>
      </c>
      <c r="G294" t="s">
        <v>30</v>
      </c>
      <c r="H294" t="s">
        <v>1321</v>
      </c>
      <c r="I294" s="4">
        <v>47117.875</v>
      </c>
      <c r="J294" t="s">
        <v>1322</v>
      </c>
      <c r="K294" t="s">
        <v>926</v>
      </c>
      <c r="L294" s="5" t="s">
        <v>1323</v>
      </c>
      <c r="M294" s="5"/>
      <c r="N294" t="s">
        <v>46</v>
      </c>
      <c r="O294" t="s">
        <v>1324</v>
      </c>
      <c r="R294">
        <v>0.12</v>
      </c>
      <c r="S294" t="s">
        <v>230</v>
      </c>
      <c r="T294" s="5" t="s">
        <v>38</v>
      </c>
      <c r="Y294" t="str">
        <f>VLOOKUP(C294,'[1]DBS_KPY Sorumlular'!A:C,2,FALSE)</f>
        <v>Ayşegül AKGÜL</v>
      </c>
      <c r="Z294" t="str">
        <f>VLOOKUP(C294,'[1]DBS_KPY Sorumlular'!A:C,3,FALSE)</f>
        <v>Sinan ERDAŞ</v>
      </c>
      <c r="AA294" t="str">
        <f>VLOOKUP(K294,[1]!Tablo3[#Data],2,FALSE)</f>
        <v>Kadir TOPÇU</v>
      </c>
    </row>
    <row r="295" spans="1:27" x14ac:dyDescent="0.25">
      <c r="A295">
        <v>1583</v>
      </c>
      <c r="B295" t="s">
        <v>27</v>
      </c>
      <c r="C295" t="s">
        <v>73</v>
      </c>
      <c r="D295" t="s">
        <v>73</v>
      </c>
      <c r="F295" t="s">
        <v>108</v>
      </c>
      <c r="G295" t="s">
        <v>30</v>
      </c>
      <c r="H295" t="s">
        <v>1325</v>
      </c>
      <c r="I295" s="4">
        <v>47116.875</v>
      </c>
      <c r="J295" t="s">
        <v>1326</v>
      </c>
      <c r="K295" t="s">
        <v>926</v>
      </c>
      <c r="L295" s="5" t="s">
        <v>1327</v>
      </c>
      <c r="M295" s="5"/>
      <c r="N295" t="s">
        <v>46</v>
      </c>
      <c r="O295" t="s">
        <v>1328</v>
      </c>
      <c r="R295">
        <v>0.04</v>
      </c>
      <c r="S295" t="s">
        <v>230</v>
      </c>
      <c r="T295" s="5" t="s">
        <v>38</v>
      </c>
      <c r="Y295" t="str">
        <f>VLOOKUP(C295,'[1]DBS_KPY Sorumlular'!A:C,2,FALSE)</f>
        <v>Ayşegül AKGÜL</v>
      </c>
      <c r="Z295" t="str">
        <f>VLOOKUP(C295,'[1]DBS_KPY Sorumlular'!A:C,3,FALSE)</f>
        <v>Sinan ERDAŞ</v>
      </c>
      <c r="AA295" t="str">
        <f>VLOOKUP(K295,[1]!Tablo3[#Data],2,FALSE)</f>
        <v>Kadir TOPÇU</v>
      </c>
    </row>
    <row r="296" spans="1:27" x14ac:dyDescent="0.25">
      <c r="A296">
        <v>1584</v>
      </c>
      <c r="B296" t="s">
        <v>27</v>
      </c>
      <c r="C296" t="s">
        <v>73</v>
      </c>
      <c r="D296" t="s">
        <v>73</v>
      </c>
      <c r="F296" t="s">
        <v>74</v>
      </c>
      <c r="G296" t="s">
        <v>30</v>
      </c>
      <c r="H296" t="s">
        <v>1329</v>
      </c>
      <c r="I296" s="4">
        <v>46387.875</v>
      </c>
      <c r="J296" t="s">
        <v>1330</v>
      </c>
      <c r="K296" t="s">
        <v>926</v>
      </c>
      <c r="L296" s="5" t="s">
        <v>1331</v>
      </c>
      <c r="M296" s="5"/>
      <c r="N296" t="s">
        <v>46</v>
      </c>
      <c r="O296" t="s">
        <v>1332</v>
      </c>
      <c r="R296">
        <v>0.03</v>
      </c>
      <c r="S296" t="s">
        <v>230</v>
      </c>
      <c r="T296" s="5" t="s">
        <v>38</v>
      </c>
      <c r="Y296" t="str">
        <f>VLOOKUP(C296,'[1]DBS_KPY Sorumlular'!A:C,2,FALSE)</f>
        <v>Ayşegül AKGÜL</v>
      </c>
      <c r="Z296" t="str">
        <f>VLOOKUP(C296,'[1]DBS_KPY Sorumlular'!A:C,3,FALSE)</f>
        <v>Sinan ERDAŞ</v>
      </c>
      <c r="AA296" t="str">
        <f>VLOOKUP(K296,[1]!Tablo3[#Data],2,FALSE)</f>
        <v>Kadir TOPÇU</v>
      </c>
    </row>
    <row r="297" spans="1:27" x14ac:dyDescent="0.25">
      <c r="A297">
        <v>1585</v>
      </c>
      <c r="B297" t="s">
        <v>27</v>
      </c>
      <c r="C297" t="s">
        <v>40</v>
      </c>
      <c r="D297" t="s">
        <v>41</v>
      </c>
      <c r="F297" t="s">
        <v>102</v>
      </c>
      <c r="G297" t="s">
        <v>43</v>
      </c>
      <c r="H297" t="s">
        <v>1333</v>
      </c>
      <c r="I297" s="4">
        <v>45549.875</v>
      </c>
      <c r="K297" t="s">
        <v>1334</v>
      </c>
      <c r="L297" s="5"/>
      <c r="M297" s="5"/>
      <c r="N297" t="s">
        <v>82</v>
      </c>
      <c r="O297" t="s">
        <v>1335</v>
      </c>
      <c r="R297">
        <v>1</v>
      </c>
      <c r="S297" t="s">
        <v>57</v>
      </c>
      <c r="T297" s="5" t="s">
        <v>58</v>
      </c>
      <c r="U297" t="s">
        <v>752</v>
      </c>
      <c r="V297" t="s">
        <v>753</v>
      </c>
      <c r="W297">
        <v>108</v>
      </c>
      <c r="X297" t="s">
        <v>107</v>
      </c>
      <c r="Y297" t="str">
        <f>VLOOKUP(C297,'[1]DBS_KPY Sorumlular'!A:C,2,FALSE)</f>
        <v>Mustafa AYDIN</v>
      </c>
      <c r="Z297" t="str">
        <f>VLOOKUP(C297,'[1]DBS_KPY Sorumlular'!A:C,3,FALSE)</f>
        <v>Esra DOLAN</v>
      </c>
      <c r="AA297" t="str">
        <f>VLOOKUP(K297,[1]!Tablo3[#Data],2,FALSE)</f>
        <v>Erkan AKDOĞAN</v>
      </c>
    </row>
    <row r="298" spans="1:27" x14ac:dyDescent="0.25">
      <c r="A298">
        <v>1586</v>
      </c>
      <c r="B298" t="s">
        <v>27</v>
      </c>
      <c r="C298" t="s">
        <v>40</v>
      </c>
      <c r="D298" t="s">
        <v>41</v>
      </c>
      <c r="F298" t="s">
        <v>102</v>
      </c>
      <c r="G298" t="s">
        <v>43</v>
      </c>
      <c r="H298" t="s">
        <v>1336</v>
      </c>
      <c r="I298" s="4">
        <v>45652.875</v>
      </c>
      <c r="K298" t="s">
        <v>1334</v>
      </c>
      <c r="L298" s="5"/>
      <c r="M298" s="5"/>
      <c r="N298" t="s">
        <v>82</v>
      </c>
      <c r="O298" t="s">
        <v>1337</v>
      </c>
      <c r="R298">
        <v>1</v>
      </c>
      <c r="S298" t="s">
        <v>57</v>
      </c>
      <c r="T298" s="5" t="s">
        <v>58</v>
      </c>
      <c r="U298" t="s">
        <v>752</v>
      </c>
      <c r="V298" t="s">
        <v>753</v>
      </c>
      <c r="W298">
        <v>73</v>
      </c>
      <c r="X298" t="s">
        <v>1198</v>
      </c>
      <c r="Y298" t="str">
        <f>VLOOKUP(C298,'[1]DBS_KPY Sorumlular'!A:C,2,FALSE)</f>
        <v>Mustafa AYDIN</v>
      </c>
      <c r="Z298" t="str">
        <f>VLOOKUP(C298,'[1]DBS_KPY Sorumlular'!A:C,3,FALSE)</f>
        <v>Esra DOLAN</v>
      </c>
      <c r="AA298" t="str">
        <f>VLOOKUP(K298,[1]!Tablo3[#Data],2,FALSE)</f>
        <v>Erkan AKDOĞAN</v>
      </c>
    </row>
    <row r="299" spans="1:27" x14ac:dyDescent="0.25">
      <c r="A299">
        <v>1587</v>
      </c>
      <c r="B299" t="s">
        <v>27</v>
      </c>
      <c r="C299" t="s">
        <v>73</v>
      </c>
      <c r="D299" t="s">
        <v>73</v>
      </c>
      <c r="F299" t="s">
        <v>108</v>
      </c>
      <c r="G299" t="s">
        <v>30</v>
      </c>
      <c r="H299" t="s">
        <v>1338</v>
      </c>
      <c r="I299" s="4">
        <v>46385.875</v>
      </c>
      <c r="J299" t="s">
        <v>1311</v>
      </c>
      <c r="K299" t="s">
        <v>1334</v>
      </c>
      <c r="L299" s="5" t="s">
        <v>1339</v>
      </c>
      <c r="M299" s="5"/>
      <c r="N299" t="s">
        <v>46</v>
      </c>
      <c r="O299" t="s">
        <v>1340</v>
      </c>
      <c r="R299">
        <v>0.3367</v>
      </c>
      <c r="S299" t="s">
        <v>57</v>
      </c>
      <c r="T299" s="5" t="s">
        <v>38</v>
      </c>
      <c r="Y299" t="str">
        <f>VLOOKUP(C299,'[1]DBS_KPY Sorumlular'!A:C,2,FALSE)</f>
        <v>Ayşegül AKGÜL</v>
      </c>
      <c r="Z299" t="str">
        <f>VLOOKUP(C299,'[1]DBS_KPY Sorumlular'!A:C,3,FALSE)</f>
        <v>Sinan ERDAŞ</v>
      </c>
      <c r="AA299" t="str">
        <f>VLOOKUP(K299,[1]!Tablo3[#Data],2,FALSE)</f>
        <v>Erkan AKDOĞAN</v>
      </c>
    </row>
    <row r="300" spans="1:27" x14ac:dyDescent="0.25">
      <c r="A300">
        <v>1588</v>
      </c>
      <c r="B300" t="s">
        <v>27</v>
      </c>
      <c r="C300" t="s">
        <v>73</v>
      </c>
      <c r="D300" t="s">
        <v>73</v>
      </c>
      <c r="F300" t="s">
        <v>74</v>
      </c>
      <c r="G300" t="s">
        <v>30</v>
      </c>
      <c r="H300" t="s">
        <v>1341</v>
      </c>
      <c r="I300" s="4">
        <v>45863.875</v>
      </c>
      <c r="J300" t="s">
        <v>1342</v>
      </c>
      <c r="K300" t="s">
        <v>1334</v>
      </c>
      <c r="L300" s="5" t="s">
        <v>716</v>
      </c>
      <c r="M300" s="5"/>
      <c r="N300" t="s">
        <v>46</v>
      </c>
      <c r="O300" t="s">
        <v>1343</v>
      </c>
      <c r="R300">
        <v>0.8</v>
      </c>
      <c r="S300" t="s">
        <v>57</v>
      </c>
      <c r="T300" s="5" t="s">
        <v>38</v>
      </c>
      <c r="Y300" t="str">
        <f>VLOOKUP(C300,'[1]DBS_KPY Sorumlular'!A:C,2,FALSE)</f>
        <v>Ayşegül AKGÜL</v>
      </c>
      <c r="Z300" t="str">
        <f>VLOOKUP(C300,'[1]DBS_KPY Sorumlular'!A:C,3,FALSE)</f>
        <v>Sinan ERDAŞ</v>
      </c>
      <c r="AA300" t="str">
        <f>VLOOKUP(K300,[1]!Tablo3[#Data],2,FALSE)</f>
        <v>Erkan AKDOĞAN</v>
      </c>
    </row>
    <row r="301" spans="1:27" x14ac:dyDescent="0.25">
      <c r="A301">
        <v>1589</v>
      </c>
      <c r="B301" t="s">
        <v>27</v>
      </c>
      <c r="C301" t="s">
        <v>73</v>
      </c>
      <c r="D301" t="s">
        <v>73</v>
      </c>
      <c r="F301" t="s">
        <v>74</v>
      </c>
      <c r="G301" t="s">
        <v>30</v>
      </c>
      <c r="H301" t="s">
        <v>1344</v>
      </c>
      <c r="I301" s="4">
        <v>46415.875</v>
      </c>
      <c r="J301" t="s">
        <v>1345</v>
      </c>
      <c r="K301" t="s">
        <v>1334</v>
      </c>
      <c r="L301" s="5" t="s">
        <v>1346</v>
      </c>
      <c r="M301" s="5"/>
      <c r="N301" t="s">
        <v>46</v>
      </c>
      <c r="O301" t="s">
        <v>1343</v>
      </c>
      <c r="R301">
        <v>0.65</v>
      </c>
      <c r="S301" t="s">
        <v>57</v>
      </c>
      <c r="T301" s="5" t="s">
        <v>38</v>
      </c>
      <c r="Y301" t="str">
        <f>VLOOKUP(C301,'[1]DBS_KPY Sorumlular'!A:C,2,FALSE)</f>
        <v>Ayşegül AKGÜL</v>
      </c>
      <c r="Z301" t="str">
        <f>VLOOKUP(C301,'[1]DBS_KPY Sorumlular'!A:C,3,FALSE)</f>
        <v>Sinan ERDAŞ</v>
      </c>
      <c r="AA301" t="str">
        <f>VLOOKUP(K301,[1]!Tablo3[#Data],2,FALSE)</f>
        <v>Erkan AKDOĞAN</v>
      </c>
    </row>
    <row r="302" spans="1:27" x14ac:dyDescent="0.25">
      <c r="A302">
        <v>1590</v>
      </c>
      <c r="B302" t="s">
        <v>27</v>
      </c>
      <c r="C302" t="s">
        <v>40</v>
      </c>
      <c r="D302" t="s">
        <v>41</v>
      </c>
      <c r="F302" t="s">
        <v>642</v>
      </c>
      <c r="G302" t="s">
        <v>43</v>
      </c>
      <c r="H302" t="s">
        <v>1347</v>
      </c>
      <c r="I302" s="4">
        <v>45549.875</v>
      </c>
      <c r="K302" t="s">
        <v>1348</v>
      </c>
      <c r="L302" s="5"/>
      <c r="M302" s="5"/>
      <c r="N302" t="s">
        <v>82</v>
      </c>
      <c r="O302" t="s">
        <v>1349</v>
      </c>
      <c r="R302">
        <v>1</v>
      </c>
      <c r="S302" t="s">
        <v>37</v>
      </c>
      <c r="T302" s="5" t="s">
        <v>58</v>
      </c>
      <c r="U302" t="s">
        <v>916</v>
      </c>
      <c r="V302" t="s">
        <v>917</v>
      </c>
      <c r="W302">
        <v>80</v>
      </c>
      <c r="X302" t="s">
        <v>647</v>
      </c>
      <c r="Y302" t="str">
        <f>VLOOKUP(C302,'[1]DBS_KPY Sorumlular'!A:C,2,FALSE)</f>
        <v>Mustafa AYDIN</v>
      </c>
      <c r="Z302" t="str">
        <f>VLOOKUP(C302,'[1]DBS_KPY Sorumlular'!A:C,3,FALSE)</f>
        <v>Esra DOLAN</v>
      </c>
      <c r="AA302" t="str">
        <f>VLOOKUP(K302,[1]!Tablo3[#Data],2,FALSE)</f>
        <v>Tayfun VİÇE</v>
      </c>
    </row>
    <row r="303" spans="1:27" x14ac:dyDescent="0.25">
      <c r="A303">
        <v>1591</v>
      </c>
      <c r="B303" t="s">
        <v>27</v>
      </c>
      <c r="C303" t="s">
        <v>40</v>
      </c>
      <c r="D303" t="s">
        <v>41</v>
      </c>
      <c r="F303" t="s">
        <v>102</v>
      </c>
      <c r="G303" t="s">
        <v>43</v>
      </c>
      <c r="H303" t="s">
        <v>1350</v>
      </c>
      <c r="I303" s="4">
        <v>45746.875</v>
      </c>
      <c r="K303" t="s">
        <v>1348</v>
      </c>
      <c r="L303" s="5"/>
      <c r="M303" s="5"/>
      <c r="N303" t="s">
        <v>82</v>
      </c>
      <c r="O303" t="s">
        <v>1351</v>
      </c>
      <c r="R303">
        <v>1</v>
      </c>
      <c r="S303" t="s">
        <v>37</v>
      </c>
      <c r="T303" s="5" t="s">
        <v>58</v>
      </c>
      <c r="U303" t="s">
        <v>956</v>
      </c>
      <c r="V303" t="s">
        <v>957</v>
      </c>
      <c r="W303">
        <v>73</v>
      </c>
      <c r="X303" t="s">
        <v>1198</v>
      </c>
      <c r="Y303" t="str">
        <f>VLOOKUP(C303,'[1]DBS_KPY Sorumlular'!A:C,2,FALSE)</f>
        <v>Mustafa AYDIN</v>
      </c>
      <c r="Z303" t="str">
        <f>VLOOKUP(C303,'[1]DBS_KPY Sorumlular'!A:C,3,FALSE)</f>
        <v>Esra DOLAN</v>
      </c>
      <c r="AA303" t="str">
        <f>VLOOKUP(K303,[1]!Tablo3[#Data],2,FALSE)</f>
        <v>Tayfun VİÇE</v>
      </c>
    </row>
    <row r="304" spans="1:27" x14ac:dyDescent="0.25">
      <c r="A304">
        <v>1592</v>
      </c>
      <c r="B304" t="s">
        <v>27</v>
      </c>
      <c r="C304" t="s">
        <v>73</v>
      </c>
      <c r="D304" t="s">
        <v>73</v>
      </c>
      <c r="F304" t="s">
        <v>108</v>
      </c>
      <c r="G304" t="s">
        <v>30</v>
      </c>
      <c r="H304" t="s">
        <v>1352</v>
      </c>
      <c r="I304" s="4">
        <v>45596.875</v>
      </c>
      <c r="J304" t="s">
        <v>1353</v>
      </c>
      <c r="K304" t="s">
        <v>1348</v>
      </c>
      <c r="L304" s="5" t="s">
        <v>1354</v>
      </c>
      <c r="M304" s="5"/>
      <c r="N304" t="s">
        <v>82</v>
      </c>
      <c r="O304" t="s">
        <v>1355</v>
      </c>
      <c r="R304">
        <v>1</v>
      </c>
      <c r="S304" t="s">
        <v>37</v>
      </c>
      <c r="T304" s="5" t="s">
        <v>38</v>
      </c>
      <c r="W304">
        <v>33</v>
      </c>
      <c r="X304" t="s">
        <v>276</v>
      </c>
      <c r="Y304" t="str">
        <f>VLOOKUP(C304,'[1]DBS_KPY Sorumlular'!A:C,2,FALSE)</f>
        <v>Ayşegül AKGÜL</v>
      </c>
      <c r="Z304" t="str">
        <f>VLOOKUP(C304,'[1]DBS_KPY Sorumlular'!A:C,3,FALSE)</f>
        <v>Sinan ERDAŞ</v>
      </c>
      <c r="AA304" t="str">
        <f>VLOOKUP(K304,[1]!Tablo3[#Data],2,FALSE)</f>
        <v>Tayfun VİÇE</v>
      </c>
    </row>
    <row r="305" spans="1:27" x14ac:dyDescent="0.25">
      <c r="A305">
        <v>1593</v>
      </c>
      <c r="B305" t="s">
        <v>27</v>
      </c>
      <c r="C305" t="s">
        <v>73</v>
      </c>
      <c r="D305" t="s">
        <v>73</v>
      </c>
      <c r="F305" t="s">
        <v>74</v>
      </c>
      <c r="G305" t="s">
        <v>30</v>
      </c>
      <c r="H305" t="s">
        <v>1356</v>
      </c>
      <c r="I305" s="4">
        <v>46037.875</v>
      </c>
      <c r="J305" t="s">
        <v>1357</v>
      </c>
      <c r="K305" t="s">
        <v>1348</v>
      </c>
      <c r="L305" s="5" t="s">
        <v>1358</v>
      </c>
      <c r="M305" s="5"/>
      <c r="N305" t="s">
        <v>46</v>
      </c>
      <c r="O305" t="s">
        <v>1355</v>
      </c>
      <c r="R305">
        <v>0.43</v>
      </c>
      <c r="S305" t="s">
        <v>37</v>
      </c>
      <c r="T305" s="5" t="s">
        <v>38</v>
      </c>
      <c r="Y305" t="str">
        <f>VLOOKUP(C305,'[1]DBS_KPY Sorumlular'!A:C,2,FALSE)</f>
        <v>Ayşegül AKGÜL</v>
      </c>
      <c r="Z305" t="str">
        <f>VLOOKUP(C305,'[1]DBS_KPY Sorumlular'!A:C,3,FALSE)</f>
        <v>Sinan ERDAŞ</v>
      </c>
      <c r="AA305" t="str">
        <f>VLOOKUP(K305,[1]!Tablo3[#Data],2,FALSE)</f>
        <v>Tayfun VİÇE</v>
      </c>
    </row>
    <row r="306" spans="1:27" x14ac:dyDescent="0.25">
      <c r="A306">
        <v>1594</v>
      </c>
      <c r="B306" t="s">
        <v>27</v>
      </c>
      <c r="C306" t="s">
        <v>40</v>
      </c>
      <c r="D306" t="s">
        <v>41</v>
      </c>
      <c r="F306" t="s">
        <v>102</v>
      </c>
      <c r="G306" t="s">
        <v>43</v>
      </c>
      <c r="H306" t="s">
        <v>1359</v>
      </c>
      <c r="I306" s="4">
        <v>45549.875</v>
      </c>
      <c r="K306" t="s">
        <v>1360</v>
      </c>
      <c r="L306" s="5"/>
      <c r="M306" s="5"/>
      <c r="N306" t="s">
        <v>82</v>
      </c>
      <c r="O306" t="s">
        <v>1361</v>
      </c>
      <c r="R306">
        <v>1</v>
      </c>
      <c r="S306" t="s">
        <v>230</v>
      </c>
      <c r="T306" s="5" t="s">
        <v>48</v>
      </c>
      <c r="U306" t="s">
        <v>1362</v>
      </c>
      <c r="V306" t="s">
        <v>1363</v>
      </c>
      <c r="W306">
        <v>108</v>
      </c>
      <c r="X306" t="s">
        <v>107</v>
      </c>
      <c r="Y306" t="str">
        <f>VLOOKUP(C306,'[1]DBS_KPY Sorumlular'!A:C,2,FALSE)</f>
        <v>Mustafa AYDIN</v>
      </c>
      <c r="Z306" t="str">
        <f>VLOOKUP(C306,'[1]DBS_KPY Sorumlular'!A:C,3,FALSE)</f>
        <v>Esra DOLAN</v>
      </c>
      <c r="AA306" t="str">
        <f>VLOOKUP(K306,[1]!Tablo3[#Data],2,FALSE)</f>
        <v>Kadir TOPÇU</v>
      </c>
    </row>
    <row r="307" spans="1:27" x14ac:dyDescent="0.25">
      <c r="A307">
        <v>1595</v>
      </c>
      <c r="B307" t="s">
        <v>27</v>
      </c>
      <c r="C307" t="s">
        <v>40</v>
      </c>
      <c r="D307" t="s">
        <v>41</v>
      </c>
      <c r="F307" t="s">
        <v>102</v>
      </c>
      <c r="G307" t="s">
        <v>43</v>
      </c>
      <c r="H307" t="s">
        <v>1364</v>
      </c>
      <c r="I307" s="4">
        <v>45585.875</v>
      </c>
      <c r="J307" t="s">
        <v>1365</v>
      </c>
      <c r="K307" t="s">
        <v>1360</v>
      </c>
      <c r="L307" s="5"/>
      <c r="M307" s="5"/>
      <c r="N307" t="s">
        <v>82</v>
      </c>
      <c r="O307" t="s">
        <v>1366</v>
      </c>
      <c r="R307">
        <v>1</v>
      </c>
      <c r="S307" t="s">
        <v>230</v>
      </c>
      <c r="T307" s="5" t="s">
        <v>58</v>
      </c>
      <c r="U307" t="s">
        <v>192</v>
      </c>
      <c r="V307" t="s">
        <v>193</v>
      </c>
      <c r="W307">
        <v>108</v>
      </c>
      <c r="X307" t="s">
        <v>107</v>
      </c>
      <c r="Y307" t="str">
        <f>VLOOKUP(C307,'[1]DBS_KPY Sorumlular'!A:C,2,FALSE)</f>
        <v>Mustafa AYDIN</v>
      </c>
      <c r="Z307" t="str">
        <f>VLOOKUP(C307,'[1]DBS_KPY Sorumlular'!A:C,3,FALSE)</f>
        <v>Esra DOLAN</v>
      </c>
      <c r="AA307" t="str">
        <f>VLOOKUP(K307,[1]!Tablo3[#Data],2,FALSE)</f>
        <v>Kadir TOPÇU</v>
      </c>
    </row>
    <row r="308" spans="1:27" x14ac:dyDescent="0.25">
      <c r="A308">
        <v>1596</v>
      </c>
      <c r="B308" t="s">
        <v>27</v>
      </c>
      <c r="C308" t="s">
        <v>40</v>
      </c>
      <c r="D308" t="s">
        <v>41</v>
      </c>
      <c r="F308" t="s">
        <v>102</v>
      </c>
      <c r="G308" t="s">
        <v>43</v>
      </c>
      <c r="H308" t="s">
        <v>1367</v>
      </c>
      <c r="I308" s="4">
        <v>45549.875</v>
      </c>
      <c r="J308" t="s">
        <v>1368</v>
      </c>
      <c r="K308" t="s">
        <v>1360</v>
      </c>
      <c r="L308" s="5"/>
      <c r="M308" s="5"/>
      <c r="N308" t="s">
        <v>82</v>
      </c>
      <c r="O308" t="s">
        <v>1369</v>
      </c>
      <c r="R308">
        <v>1</v>
      </c>
      <c r="S308" t="s">
        <v>230</v>
      </c>
      <c r="T308" s="5" t="s">
        <v>58</v>
      </c>
      <c r="U308" t="s">
        <v>621</v>
      </c>
      <c r="V308" t="s">
        <v>622</v>
      </c>
      <c r="W308">
        <v>108</v>
      </c>
      <c r="X308" t="s">
        <v>107</v>
      </c>
      <c r="Y308" t="str">
        <f>VLOOKUP(C308,'[1]DBS_KPY Sorumlular'!A:C,2,FALSE)</f>
        <v>Mustafa AYDIN</v>
      </c>
      <c r="Z308" t="str">
        <f>VLOOKUP(C308,'[1]DBS_KPY Sorumlular'!A:C,3,FALSE)</f>
        <v>Esra DOLAN</v>
      </c>
      <c r="AA308" t="str">
        <f>VLOOKUP(K308,[1]!Tablo3[#Data],2,FALSE)</f>
        <v>Kadir TOPÇU</v>
      </c>
    </row>
    <row r="309" spans="1:27" x14ac:dyDescent="0.25">
      <c r="A309">
        <v>1597</v>
      </c>
      <c r="B309" t="s">
        <v>27</v>
      </c>
      <c r="C309" t="s">
        <v>40</v>
      </c>
      <c r="D309" t="s">
        <v>41</v>
      </c>
      <c r="F309" t="s">
        <v>102</v>
      </c>
      <c r="G309" t="s">
        <v>43</v>
      </c>
      <c r="H309" t="s">
        <v>1370</v>
      </c>
      <c r="I309" s="4">
        <v>45899.875</v>
      </c>
      <c r="K309" t="s">
        <v>1360</v>
      </c>
      <c r="L309" s="5"/>
      <c r="M309" s="5"/>
      <c r="N309" t="s">
        <v>46</v>
      </c>
      <c r="O309" t="s">
        <v>1371</v>
      </c>
      <c r="R309">
        <v>0.9</v>
      </c>
      <c r="S309" t="s">
        <v>230</v>
      </c>
      <c r="T309" s="5" t="s">
        <v>58</v>
      </c>
      <c r="U309" t="s">
        <v>192</v>
      </c>
      <c r="V309" t="s">
        <v>193</v>
      </c>
      <c r="W309">
        <v>73</v>
      </c>
      <c r="X309" t="s">
        <v>1198</v>
      </c>
      <c r="Y309" t="str">
        <f>VLOOKUP(C309,'[1]DBS_KPY Sorumlular'!A:C,2,FALSE)</f>
        <v>Mustafa AYDIN</v>
      </c>
      <c r="Z309" t="str">
        <f>VLOOKUP(C309,'[1]DBS_KPY Sorumlular'!A:C,3,FALSE)</f>
        <v>Esra DOLAN</v>
      </c>
      <c r="AA309" t="str">
        <f>VLOOKUP(K309,[1]!Tablo3[#Data],2,FALSE)</f>
        <v>Kadir TOPÇU</v>
      </c>
    </row>
    <row r="310" spans="1:27" x14ac:dyDescent="0.25">
      <c r="A310">
        <v>1598</v>
      </c>
      <c r="B310" t="s">
        <v>27</v>
      </c>
      <c r="C310" t="s">
        <v>893</v>
      </c>
      <c r="D310" t="s">
        <v>902</v>
      </c>
      <c r="F310" t="s">
        <v>903</v>
      </c>
      <c r="G310" t="s">
        <v>30</v>
      </c>
      <c r="H310" t="s">
        <v>1372</v>
      </c>
      <c r="I310" s="4">
        <v>46021.875</v>
      </c>
      <c r="J310" t="s">
        <v>1373</v>
      </c>
      <c r="K310" t="s">
        <v>1360</v>
      </c>
      <c r="L310" s="5" t="s">
        <v>1276</v>
      </c>
      <c r="M310" s="5"/>
      <c r="N310" t="s">
        <v>35</v>
      </c>
      <c r="O310" t="s">
        <v>1374</v>
      </c>
      <c r="R310">
        <v>0</v>
      </c>
      <c r="S310" t="s">
        <v>230</v>
      </c>
      <c r="T310" s="5" t="s">
        <v>38</v>
      </c>
      <c r="W310">
        <v>55</v>
      </c>
      <c r="X310" t="s">
        <v>907</v>
      </c>
      <c r="Y310" t="str">
        <f>VLOOKUP(C310,'[1]DBS_KPY Sorumlular'!A:C,2,FALSE)</f>
        <v>Seyithan İŞİK</v>
      </c>
      <c r="Z310" t="str">
        <f>VLOOKUP(C310,'[1]DBS_KPY Sorumlular'!A:C,3,FALSE)</f>
        <v>Korhan KÖROĞLU</v>
      </c>
      <c r="AA310" t="str">
        <f>VLOOKUP(K310,[1]!Tablo3[#Data],2,FALSE)</f>
        <v>Kadir TOPÇU</v>
      </c>
    </row>
    <row r="311" spans="1:27" x14ac:dyDescent="0.25">
      <c r="A311">
        <v>1599</v>
      </c>
      <c r="B311" t="s">
        <v>27</v>
      </c>
      <c r="C311" t="s">
        <v>402</v>
      </c>
      <c r="D311" t="s">
        <v>403</v>
      </c>
      <c r="F311" t="s">
        <v>383</v>
      </c>
      <c r="G311" t="s">
        <v>384</v>
      </c>
      <c r="H311" t="s">
        <v>1375</v>
      </c>
      <c r="I311" s="4">
        <v>45897.875</v>
      </c>
      <c r="K311" t="s">
        <v>1360</v>
      </c>
      <c r="L311" s="5" t="s">
        <v>1376</v>
      </c>
      <c r="M311" s="5"/>
      <c r="N311" t="s">
        <v>46</v>
      </c>
      <c r="O311" t="s">
        <v>1377</v>
      </c>
      <c r="R311">
        <v>0</v>
      </c>
      <c r="S311" t="s">
        <v>230</v>
      </c>
      <c r="T311" s="5" t="s">
        <v>48</v>
      </c>
      <c r="U311" t="s">
        <v>1378</v>
      </c>
      <c r="V311" t="s">
        <v>1375</v>
      </c>
      <c r="W311">
        <v>96</v>
      </c>
      <c r="X311" t="s">
        <v>1379</v>
      </c>
      <c r="Y311" t="str">
        <f>VLOOKUP(C311,'[1]DBS_KPY Sorumlular'!A:C,2,FALSE)</f>
        <v>Tayfun VİÇE</v>
      </c>
      <c r="Z311" t="str">
        <f>VLOOKUP(C311,'[1]DBS_KPY Sorumlular'!A:C,3,FALSE)</f>
        <v>Mehmet Ali YAVUZ</v>
      </c>
      <c r="AA311" t="str">
        <f>VLOOKUP(K311,[1]!Tablo3[#Data],2,FALSE)</f>
        <v>Kadir TOPÇU</v>
      </c>
    </row>
    <row r="312" spans="1:27" x14ac:dyDescent="0.25">
      <c r="A312">
        <v>1600</v>
      </c>
      <c r="B312" t="s">
        <v>27</v>
      </c>
      <c r="C312" t="s">
        <v>40</v>
      </c>
      <c r="D312" t="s">
        <v>41</v>
      </c>
      <c r="F312" t="s">
        <v>184</v>
      </c>
      <c r="G312" t="s">
        <v>43</v>
      </c>
      <c r="H312" t="s">
        <v>1380</v>
      </c>
      <c r="I312" s="4">
        <v>45868.875</v>
      </c>
      <c r="J312" t="s">
        <v>1381</v>
      </c>
      <c r="K312" t="s">
        <v>1360</v>
      </c>
      <c r="L312" s="5"/>
      <c r="M312" s="5"/>
      <c r="N312" t="s">
        <v>46</v>
      </c>
      <c r="O312" t="s">
        <v>1382</v>
      </c>
      <c r="R312">
        <v>0.8</v>
      </c>
      <c r="S312" t="s">
        <v>230</v>
      </c>
      <c r="T312" s="5" t="s">
        <v>58</v>
      </c>
      <c r="U312" t="s">
        <v>192</v>
      </c>
      <c r="V312" t="s">
        <v>193</v>
      </c>
      <c r="W312">
        <v>68</v>
      </c>
      <c r="X312" t="s">
        <v>51</v>
      </c>
      <c r="Y312" t="str">
        <f>VLOOKUP(C312,'[1]DBS_KPY Sorumlular'!A:C,2,FALSE)</f>
        <v>Mustafa AYDIN</v>
      </c>
      <c r="Z312" t="str">
        <f>VLOOKUP(C312,'[1]DBS_KPY Sorumlular'!A:C,3,FALSE)</f>
        <v>Esra DOLAN</v>
      </c>
      <c r="AA312" t="str">
        <f>VLOOKUP(K312,[1]!Tablo3[#Data],2,FALSE)</f>
        <v>Kadir TOPÇU</v>
      </c>
    </row>
    <row r="313" spans="1:27" x14ac:dyDescent="0.25">
      <c r="A313">
        <v>1601</v>
      </c>
      <c r="B313" t="s">
        <v>27</v>
      </c>
      <c r="C313" t="s">
        <v>40</v>
      </c>
      <c r="D313" t="s">
        <v>41</v>
      </c>
      <c r="F313" t="s">
        <v>113</v>
      </c>
      <c r="G313" t="s">
        <v>43</v>
      </c>
      <c r="H313" t="s">
        <v>1383</v>
      </c>
      <c r="I313" s="4">
        <v>45915.875</v>
      </c>
      <c r="J313" t="s">
        <v>1384</v>
      </c>
      <c r="K313" t="s">
        <v>1360</v>
      </c>
      <c r="L313" s="5"/>
      <c r="M313" s="5"/>
      <c r="N313" t="s">
        <v>46</v>
      </c>
      <c r="O313" t="s">
        <v>1385</v>
      </c>
      <c r="R313">
        <v>0.76</v>
      </c>
      <c r="S313" t="s">
        <v>230</v>
      </c>
      <c r="T313" s="5" t="s">
        <v>58</v>
      </c>
      <c r="U313" t="s">
        <v>169</v>
      </c>
      <c r="V313" t="s">
        <v>170</v>
      </c>
      <c r="W313">
        <v>137</v>
      </c>
      <c r="X313" t="s">
        <v>125</v>
      </c>
      <c r="Y313" t="str">
        <f>VLOOKUP(C313,'[1]DBS_KPY Sorumlular'!A:C,2,FALSE)</f>
        <v>Mustafa AYDIN</v>
      </c>
      <c r="Z313" t="str">
        <f>VLOOKUP(C313,'[1]DBS_KPY Sorumlular'!A:C,3,FALSE)</f>
        <v>Esra DOLAN</v>
      </c>
      <c r="AA313" t="str">
        <f>VLOOKUP(K313,[1]!Tablo3[#Data],2,FALSE)</f>
        <v>Kadir TOPÇU</v>
      </c>
    </row>
    <row r="314" spans="1:27" x14ac:dyDescent="0.25">
      <c r="A314">
        <v>1602</v>
      </c>
      <c r="B314" t="s">
        <v>27</v>
      </c>
      <c r="C314" t="s">
        <v>73</v>
      </c>
      <c r="D314" t="s">
        <v>73</v>
      </c>
      <c r="F314" t="s">
        <v>383</v>
      </c>
      <c r="G314" t="s">
        <v>384</v>
      </c>
      <c r="H314" t="s">
        <v>1386</v>
      </c>
      <c r="I314" s="4">
        <v>45990.875</v>
      </c>
      <c r="J314" t="s">
        <v>1387</v>
      </c>
      <c r="K314" t="s">
        <v>1360</v>
      </c>
      <c r="L314" s="5" t="s">
        <v>1388</v>
      </c>
      <c r="M314" s="5"/>
      <c r="N314" t="s">
        <v>46</v>
      </c>
      <c r="O314" t="s">
        <v>1389</v>
      </c>
      <c r="R314">
        <v>0.9</v>
      </c>
      <c r="S314" t="s">
        <v>230</v>
      </c>
      <c r="T314" s="5" t="s">
        <v>38</v>
      </c>
      <c r="Y314" t="str">
        <f>VLOOKUP(C314,'[1]DBS_KPY Sorumlular'!A:C,2,FALSE)</f>
        <v>Ayşegül AKGÜL</v>
      </c>
      <c r="Z314" t="str">
        <f>VLOOKUP(C314,'[1]DBS_KPY Sorumlular'!A:C,3,FALSE)</f>
        <v>Sinan ERDAŞ</v>
      </c>
      <c r="AA314" t="str">
        <f>VLOOKUP(K314,[1]!Tablo3[#Data],2,FALSE)</f>
        <v>Kadir TOPÇU</v>
      </c>
    </row>
    <row r="315" spans="1:27" x14ac:dyDescent="0.25">
      <c r="A315">
        <v>1603</v>
      </c>
      <c r="B315" t="s">
        <v>27</v>
      </c>
      <c r="C315" t="s">
        <v>73</v>
      </c>
      <c r="D315" t="s">
        <v>73</v>
      </c>
      <c r="F315" t="s">
        <v>74</v>
      </c>
      <c r="G315" t="s">
        <v>30</v>
      </c>
      <c r="H315" t="s">
        <v>1390</v>
      </c>
      <c r="I315" s="4">
        <v>46022.875</v>
      </c>
      <c r="J315" t="s">
        <v>1391</v>
      </c>
      <c r="K315" t="s">
        <v>1360</v>
      </c>
      <c r="L315" s="5" t="s">
        <v>213</v>
      </c>
      <c r="M315" s="5"/>
      <c r="N315" t="s">
        <v>46</v>
      </c>
      <c r="O315" t="s">
        <v>1392</v>
      </c>
      <c r="R315">
        <v>0.3</v>
      </c>
      <c r="S315" t="s">
        <v>230</v>
      </c>
      <c r="T315" s="5" t="s">
        <v>38</v>
      </c>
      <c r="Y315" t="str">
        <f>VLOOKUP(C315,'[1]DBS_KPY Sorumlular'!A:C,2,FALSE)</f>
        <v>Ayşegül AKGÜL</v>
      </c>
      <c r="Z315" t="str">
        <f>VLOOKUP(C315,'[1]DBS_KPY Sorumlular'!A:C,3,FALSE)</f>
        <v>Sinan ERDAŞ</v>
      </c>
      <c r="AA315" t="str">
        <f>VLOOKUP(K315,[1]!Tablo3[#Data],2,FALSE)</f>
        <v>Kadir TOPÇU</v>
      </c>
    </row>
    <row r="316" spans="1:27" x14ac:dyDescent="0.25">
      <c r="A316">
        <v>1604</v>
      </c>
      <c r="B316" t="s">
        <v>27</v>
      </c>
      <c r="C316" t="s">
        <v>73</v>
      </c>
      <c r="D316" t="s">
        <v>73</v>
      </c>
      <c r="F316" t="s">
        <v>74</v>
      </c>
      <c r="G316" t="s">
        <v>30</v>
      </c>
      <c r="H316" t="s">
        <v>1393</v>
      </c>
      <c r="I316" s="4">
        <v>46021.875</v>
      </c>
      <c r="J316" t="s">
        <v>1394</v>
      </c>
      <c r="K316" t="s">
        <v>1360</v>
      </c>
      <c r="L316" s="5" t="s">
        <v>213</v>
      </c>
      <c r="M316" s="5"/>
      <c r="N316" t="s">
        <v>46</v>
      </c>
      <c r="O316" t="s">
        <v>1395</v>
      </c>
      <c r="R316">
        <v>0</v>
      </c>
      <c r="S316" t="s">
        <v>230</v>
      </c>
      <c r="T316" s="5" t="s">
        <v>38</v>
      </c>
      <c r="Y316" t="str">
        <f>VLOOKUP(C316,'[1]DBS_KPY Sorumlular'!A:C,2,FALSE)</f>
        <v>Ayşegül AKGÜL</v>
      </c>
      <c r="Z316" t="str">
        <f>VLOOKUP(C316,'[1]DBS_KPY Sorumlular'!A:C,3,FALSE)</f>
        <v>Sinan ERDAŞ</v>
      </c>
      <c r="AA316" t="str">
        <f>VLOOKUP(K316,[1]!Tablo3[#Data],2,FALSE)</f>
        <v>Kadir TOPÇU</v>
      </c>
    </row>
    <row r="317" spans="1:27" x14ac:dyDescent="0.25">
      <c r="A317">
        <v>1605</v>
      </c>
      <c r="B317" t="s">
        <v>27</v>
      </c>
      <c r="C317" t="s">
        <v>40</v>
      </c>
      <c r="D317" t="s">
        <v>41</v>
      </c>
      <c r="F317" t="s">
        <v>642</v>
      </c>
      <c r="G317" t="s">
        <v>43</v>
      </c>
      <c r="H317" t="s">
        <v>1396</v>
      </c>
      <c r="I317" s="4">
        <v>45549.875</v>
      </c>
      <c r="J317" t="s">
        <v>1397</v>
      </c>
      <c r="K317" t="s">
        <v>1398</v>
      </c>
      <c r="L317" s="5"/>
      <c r="M317" s="5"/>
      <c r="N317" t="s">
        <v>82</v>
      </c>
      <c r="O317" t="s">
        <v>1399</v>
      </c>
      <c r="R317">
        <v>1</v>
      </c>
      <c r="S317" t="s">
        <v>37</v>
      </c>
      <c r="T317" s="5" t="s">
        <v>48</v>
      </c>
      <c r="U317" t="s">
        <v>1400</v>
      </c>
      <c r="V317" t="s">
        <v>1396</v>
      </c>
      <c r="W317">
        <v>80</v>
      </c>
      <c r="X317" t="s">
        <v>647</v>
      </c>
      <c r="Y317" t="str">
        <f>VLOOKUP(C317,'[1]DBS_KPY Sorumlular'!A:C,2,FALSE)</f>
        <v>Mustafa AYDIN</v>
      </c>
      <c r="Z317" t="str">
        <f>VLOOKUP(C317,'[1]DBS_KPY Sorumlular'!A:C,3,FALSE)</f>
        <v>Esra DOLAN</v>
      </c>
      <c r="AA317" t="str">
        <f>VLOOKUP(K317,[1]!Tablo3[#Data],2,FALSE)</f>
        <v>Tayfun VİÇE</v>
      </c>
    </row>
    <row r="318" spans="1:27" x14ac:dyDescent="0.25">
      <c r="A318">
        <v>1606</v>
      </c>
      <c r="B318" t="s">
        <v>27</v>
      </c>
      <c r="C318" t="s">
        <v>40</v>
      </c>
      <c r="D318" t="s">
        <v>41</v>
      </c>
      <c r="F318" t="s">
        <v>42</v>
      </c>
      <c r="G318" t="s">
        <v>43</v>
      </c>
      <c r="H318" t="s">
        <v>1401</v>
      </c>
      <c r="I318" s="4">
        <v>45837.875</v>
      </c>
      <c r="K318" t="s">
        <v>1398</v>
      </c>
      <c r="L318" s="5"/>
      <c r="M318" s="5"/>
      <c r="N318" t="s">
        <v>46</v>
      </c>
      <c r="O318" t="s">
        <v>1402</v>
      </c>
      <c r="R318">
        <v>0.7</v>
      </c>
      <c r="S318" t="s">
        <v>37</v>
      </c>
      <c r="T318" s="5" t="s">
        <v>58</v>
      </c>
      <c r="U318" t="s">
        <v>916</v>
      </c>
      <c r="V318" t="s">
        <v>917</v>
      </c>
      <c r="W318">
        <v>74</v>
      </c>
      <c r="X318" t="s">
        <v>234</v>
      </c>
      <c r="Y318" t="str">
        <f>VLOOKUP(C318,'[1]DBS_KPY Sorumlular'!A:C,2,FALSE)</f>
        <v>Mustafa AYDIN</v>
      </c>
      <c r="Z318" t="str">
        <f>VLOOKUP(C318,'[1]DBS_KPY Sorumlular'!A:C,3,FALSE)</f>
        <v>Esra DOLAN</v>
      </c>
      <c r="AA318" t="str">
        <f>VLOOKUP(K318,[1]!Tablo3[#Data],2,FALSE)</f>
        <v>Tayfun VİÇE</v>
      </c>
    </row>
    <row r="319" spans="1:27" x14ac:dyDescent="0.25">
      <c r="A319">
        <v>1607</v>
      </c>
      <c r="B319" t="s">
        <v>27</v>
      </c>
      <c r="C319" t="s">
        <v>40</v>
      </c>
      <c r="D319" t="s">
        <v>41</v>
      </c>
      <c r="F319" t="s">
        <v>52</v>
      </c>
      <c r="G319" t="s">
        <v>43</v>
      </c>
      <c r="H319" t="s">
        <v>1403</v>
      </c>
      <c r="I319" s="4">
        <v>45610.875</v>
      </c>
      <c r="K319" t="s">
        <v>1398</v>
      </c>
      <c r="L319" s="5"/>
      <c r="M319" s="5"/>
      <c r="N319" t="s">
        <v>82</v>
      </c>
      <c r="O319" t="s">
        <v>1404</v>
      </c>
      <c r="R319">
        <v>1</v>
      </c>
      <c r="S319" t="s">
        <v>37</v>
      </c>
      <c r="T319" s="5" t="s">
        <v>58</v>
      </c>
      <c r="U319" t="s">
        <v>437</v>
      </c>
      <c r="V319" t="s">
        <v>438</v>
      </c>
      <c r="W319">
        <v>131</v>
      </c>
      <c r="X319" t="s">
        <v>61</v>
      </c>
      <c r="Y319" t="str">
        <f>VLOOKUP(C319,'[1]DBS_KPY Sorumlular'!A:C,2,FALSE)</f>
        <v>Mustafa AYDIN</v>
      </c>
      <c r="Z319" t="str">
        <f>VLOOKUP(C319,'[1]DBS_KPY Sorumlular'!A:C,3,FALSE)</f>
        <v>Esra DOLAN</v>
      </c>
      <c r="AA319" t="str">
        <f>VLOOKUP(K319,[1]!Tablo3[#Data],2,FALSE)</f>
        <v>Tayfun VİÇE</v>
      </c>
    </row>
    <row r="320" spans="1:27" x14ac:dyDescent="0.25">
      <c r="A320">
        <v>1608</v>
      </c>
      <c r="B320" t="s">
        <v>27</v>
      </c>
      <c r="C320" t="s">
        <v>40</v>
      </c>
      <c r="D320" t="s">
        <v>41</v>
      </c>
      <c r="F320" t="s">
        <v>52</v>
      </c>
      <c r="G320" t="s">
        <v>43</v>
      </c>
      <c r="H320" t="s">
        <v>1405</v>
      </c>
      <c r="I320" s="4">
        <v>45837.875</v>
      </c>
      <c r="K320" t="s">
        <v>1398</v>
      </c>
      <c r="L320" s="5"/>
      <c r="M320" s="5"/>
      <c r="N320" t="s">
        <v>46</v>
      </c>
      <c r="O320" t="s">
        <v>1406</v>
      </c>
      <c r="R320">
        <v>0.98</v>
      </c>
      <c r="S320" t="s">
        <v>37</v>
      </c>
      <c r="T320" s="5" t="s">
        <v>58</v>
      </c>
      <c r="U320" t="s">
        <v>437</v>
      </c>
      <c r="V320" t="s">
        <v>438</v>
      </c>
      <c r="W320">
        <v>131</v>
      </c>
      <c r="X320" t="s">
        <v>61</v>
      </c>
      <c r="Y320" t="str">
        <f>VLOOKUP(C320,'[1]DBS_KPY Sorumlular'!A:C,2,FALSE)</f>
        <v>Mustafa AYDIN</v>
      </c>
      <c r="Z320" t="str">
        <f>VLOOKUP(C320,'[1]DBS_KPY Sorumlular'!A:C,3,FALSE)</f>
        <v>Esra DOLAN</v>
      </c>
      <c r="AA320" t="str">
        <f>VLOOKUP(K320,[1]!Tablo3[#Data],2,FALSE)</f>
        <v>Tayfun VİÇE</v>
      </c>
    </row>
    <row r="321" spans="1:27" x14ac:dyDescent="0.25">
      <c r="A321">
        <v>1609</v>
      </c>
      <c r="B321" t="s">
        <v>27</v>
      </c>
      <c r="C321" t="s">
        <v>40</v>
      </c>
      <c r="D321" t="s">
        <v>41</v>
      </c>
      <c r="F321" t="s">
        <v>52</v>
      </c>
      <c r="G321" t="s">
        <v>43</v>
      </c>
      <c r="H321" t="s">
        <v>1407</v>
      </c>
      <c r="I321" s="4">
        <v>45726.875</v>
      </c>
      <c r="K321" t="s">
        <v>1398</v>
      </c>
      <c r="L321" s="5"/>
      <c r="M321" s="5"/>
      <c r="N321" t="s">
        <v>82</v>
      </c>
      <c r="O321" t="s">
        <v>1408</v>
      </c>
      <c r="R321">
        <v>1</v>
      </c>
      <c r="S321" t="s">
        <v>37</v>
      </c>
      <c r="T321" s="5" t="s">
        <v>58</v>
      </c>
      <c r="U321" t="s">
        <v>437</v>
      </c>
      <c r="V321" t="s">
        <v>438</v>
      </c>
      <c r="W321">
        <v>131</v>
      </c>
      <c r="X321" t="s">
        <v>61</v>
      </c>
      <c r="Y321" t="str">
        <f>VLOOKUP(C321,'[1]DBS_KPY Sorumlular'!A:C,2,FALSE)</f>
        <v>Mustafa AYDIN</v>
      </c>
      <c r="Z321" t="str">
        <f>VLOOKUP(C321,'[1]DBS_KPY Sorumlular'!A:C,3,FALSE)</f>
        <v>Esra DOLAN</v>
      </c>
      <c r="AA321" t="str">
        <f>VLOOKUP(K321,[1]!Tablo3[#Data],2,FALSE)</f>
        <v>Tayfun VİÇE</v>
      </c>
    </row>
    <row r="322" spans="1:27" x14ac:dyDescent="0.25">
      <c r="A322">
        <v>1610</v>
      </c>
      <c r="B322" t="s">
        <v>27</v>
      </c>
      <c r="C322" t="s">
        <v>40</v>
      </c>
      <c r="D322" t="s">
        <v>41</v>
      </c>
      <c r="F322" t="s">
        <v>52</v>
      </c>
      <c r="G322" t="s">
        <v>43</v>
      </c>
      <c r="H322" t="s">
        <v>1409</v>
      </c>
      <c r="I322" s="4">
        <v>45659.875</v>
      </c>
      <c r="K322" t="s">
        <v>1398</v>
      </c>
      <c r="L322" s="5"/>
      <c r="M322" s="5"/>
      <c r="N322" t="s">
        <v>82</v>
      </c>
      <c r="O322" t="s">
        <v>1410</v>
      </c>
      <c r="R322">
        <v>1</v>
      </c>
      <c r="S322" t="s">
        <v>37</v>
      </c>
      <c r="T322" s="5" t="s">
        <v>58</v>
      </c>
      <c r="U322" t="s">
        <v>437</v>
      </c>
      <c r="V322" t="s">
        <v>438</v>
      </c>
      <c r="W322">
        <v>131</v>
      </c>
      <c r="X322" t="s">
        <v>61</v>
      </c>
      <c r="Y322" t="str">
        <f>VLOOKUP(C322,'[1]DBS_KPY Sorumlular'!A:C,2,FALSE)</f>
        <v>Mustafa AYDIN</v>
      </c>
      <c r="Z322" t="str">
        <f>VLOOKUP(C322,'[1]DBS_KPY Sorumlular'!A:C,3,FALSE)</f>
        <v>Esra DOLAN</v>
      </c>
      <c r="AA322" t="str">
        <f>VLOOKUP(K322,[1]!Tablo3[#Data],2,FALSE)</f>
        <v>Tayfun VİÇE</v>
      </c>
    </row>
    <row r="323" spans="1:27" x14ac:dyDescent="0.25">
      <c r="A323">
        <v>1611</v>
      </c>
      <c r="B323" t="s">
        <v>27</v>
      </c>
      <c r="C323" t="s">
        <v>40</v>
      </c>
      <c r="D323" t="s">
        <v>41</v>
      </c>
      <c r="F323" t="s">
        <v>52</v>
      </c>
      <c r="G323" t="s">
        <v>43</v>
      </c>
      <c r="H323" t="s">
        <v>1411</v>
      </c>
      <c r="I323" s="4">
        <v>45720.875</v>
      </c>
      <c r="K323" t="s">
        <v>1398</v>
      </c>
      <c r="L323" s="5"/>
      <c r="M323" s="5"/>
      <c r="N323" t="s">
        <v>82</v>
      </c>
      <c r="O323" t="s">
        <v>1412</v>
      </c>
      <c r="R323">
        <v>1</v>
      </c>
      <c r="S323" t="s">
        <v>37</v>
      </c>
      <c r="T323" s="5" t="s">
        <v>58</v>
      </c>
      <c r="U323" t="s">
        <v>437</v>
      </c>
      <c r="V323" t="s">
        <v>438</v>
      </c>
      <c r="W323">
        <v>131</v>
      </c>
      <c r="X323" t="s">
        <v>61</v>
      </c>
      <c r="Y323" t="str">
        <f>VLOOKUP(C323,'[1]DBS_KPY Sorumlular'!A:C,2,FALSE)</f>
        <v>Mustafa AYDIN</v>
      </c>
      <c r="Z323" t="str">
        <f>VLOOKUP(C323,'[1]DBS_KPY Sorumlular'!A:C,3,FALSE)</f>
        <v>Esra DOLAN</v>
      </c>
      <c r="AA323" t="str">
        <f>VLOOKUP(K323,[1]!Tablo3[#Data],2,FALSE)</f>
        <v>Tayfun VİÇE</v>
      </c>
    </row>
    <row r="324" spans="1:27" x14ac:dyDescent="0.25">
      <c r="A324">
        <v>1612</v>
      </c>
      <c r="B324" t="s">
        <v>27</v>
      </c>
      <c r="C324" t="s">
        <v>40</v>
      </c>
      <c r="D324" t="s">
        <v>41</v>
      </c>
      <c r="F324" t="s">
        <v>52</v>
      </c>
      <c r="G324" t="s">
        <v>43</v>
      </c>
      <c r="H324" t="s">
        <v>1413</v>
      </c>
      <c r="I324" s="4">
        <v>45837.875</v>
      </c>
      <c r="K324" t="s">
        <v>1398</v>
      </c>
      <c r="L324" s="5"/>
      <c r="M324" s="5"/>
      <c r="N324" t="s">
        <v>46</v>
      </c>
      <c r="O324" t="s">
        <v>1414</v>
      </c>
      <c r="R324">
        <v>0.82</v>
      </c>
      <c r="S324" t="s">
        <v>37</v>
      </c>
      <c r="T324" s="5" t="s">
        <v>58</v>
      </c>
      <c r="U324" t="s">
        <v>437</v>
      </c>
      <c r="V324" t="s">
        <v>438</v>
      </c>
      <c r="W324">
        <v>131</v>
      </c>
      <c r="X324" t="s">
        <v>61</v>
      </c>
      <c r="Y324" t="str">
        <f>VLOOKUP(C324,'[1]DBS_KPY Sorumlular'!A:C,2,FALSE)</f>
        <v>Mustafa AYDIN</v>
      </c>
      <c r="Z324" t="str">
        <f>VLOOKUP(C324,'[1]DBS_KPY Sorumlular'!A:C,3,FALSE)</f>
        <v>Esra DOLAN</v>
      </c>
      <c r="AA324" t="str">
        <f>VLOOKUP(K324,[1]!Tablo3[#Data],2,FALSE)</f>
        <v>Tayfun VİÇE</v>
      </c>
    </row>
    <row r="325" spans="1:27" x14ac:dyDescent="0.25">
      <c r="A325">
        <v>1613</v>
      </c>
      <c r="B325" t="s">
        <v>27</v>
      </c>
      <c r="C325" t="s">
        <v>40</v>
      </c>
      <c r="D325" t="s">
        <v>41</v>
      </c>
      <c r="F325" t="s">
        <v>52</v>
      </c>
      <c r="G325" t="s">
        <v>43</v>
      </c>
      <c r="H325" t="s">
        <v>1415</v>
      </c>
      <c r="I325" s="4">
        <v>45686.875</v>
      </c>
      <c r="K325" t="s">
        <v>1398</v>
      </c>
      <c r="L325" s="5"/>
      <c r="M325" s="5"/>
      <c r="N325" t="s">
        <v>82</v>
      </c>
      <c r="O325" t="s">
        <v>1416</v>
      </c>
      <c r="R325">
        <v>1</v>
      </c>
      <c r="S325" t="s">
        <v>37</v>
      </c>
      <c r="T325" s="5" t="s">
        <v>58</v>
      </c>
      <c r="U325" t="s">
        <v>437</v>
      </c>
      <c r="V325" t="s">
        <v>438</v>
      </c>
      <c r="W325">
        <v>131</v>
      </c>
      <c r="X325" t="s">
        <v>61</v>
      </c>
      <c r="Y325" t="str">
        <f>VLOOKUP(C325,'[1]DBS_KPY Sorumlular'!A:C,2,FALSE)</f>
        <v>Mustafa AYDIN</v>
      </c>
      <c r="Z325" t="str">
        <f>VLOOKUP(C325,'[1]DBS_KPY Sorumlular'!A:C,3,FALSE)</f>
        <v>Esra DOLAN</v>
      </c>
      <c r="AA325" t="str">
        <f>VLOOKUP(K325,[1]!Tablo3[#Data],2,FALSE)</f>
        <v>Tayfun VİÇE</v>
      </c>
    </row>
    <row r="326" spans="1:27" x14ac:dyDescent="0.25">
      <c r="A326">
        <v>1614</v>
      </c>
      <c r="B326" t="s">
        <v>27</v>
      </c>
      <c r="C326" t="s">
        <v>40</v>
      </c>
      <c r="D326" t="s">
        <v>41</v>
      </c>
      <c r="F326" t="s">
        <v>52</v>
      </c>
      <c r="G326" t="s">
        <v>43</v>
      </c>
      <c r="H326" t="s">
        <v>1417</v>
      </c>
      <c r="I326" s="4">
        <v>45837.875</v>
      </c>
      <c r="K326" t="s">
        <v>1398</v>
      </c>
      <c r="L326" s="5"/>
      <c r="M326" s="5"/>
      <c r="N326" t="s">
        <v>46</v>
      </c>
      <c r="O326" t="s">
        <v>1418</v>
      </c>
      <c r="R326">
        <v>0.75</v>
      </c>
      <c r="S326" t="s">
        <v>37</v>
      </c>
      <c r="T326" s="5" t="s">
        <v>58</v>
      </c>
      <c r="U326" t="s">
        <v>437</v>
      </c>
      <c r="V326" t="s">
        <v>438</v>
      </c>
      <c r="W326">
        <v>131</v>
      </c>
      <c r="X326" t="s">
        <v>61</v>
      </c>
      <c r="Y326" t="str">
        <f>VLOOKUP(C326,'[1]DBS_KPY Sorumlular'!A:C,2,FALSE)</f>
        <v>Mustafa AYDIN</v>
      </c>
      <c r="Z326" t="str">
        <f>VLOOKUP(C326,'[1]DBS_KPY Sorumlular'!A:C,3,FALSE)</f>
        <v>Esra DOLAN</v>
      </c>
      <c r="AA326" t="str">
        <f>VLOOKUP(K326,[1]!Tablo3[#Data],2,FALSE)</f>
        <v>Tayfun VİÇE</v>
      </c>
    </row>
    <row r="327" spans="1:27" x14ac:dyDescent="0.25">
      <c r="A327">
        <v>1615</v>
      </c>
      <c r="B327" t="s">
        <v>1419</v>
      </c>
      <c r="C327" t="s">
        <v>40</v>
      </c>
      <c r="D327" t="s">
        <v>41</v>
      </c>
      <c r="F327" t="s">
        <v>52</v>
      </c>
      <c r="G327" t="s">
        <v>43</v>
      </c>
      <c r="H327" t="s">
        <v>1420</v>
      </c>
      <c r="I327" s="4"/>
      <c r="K327" t="s">
        <v>1398</v>
      </c>
      <c r="L327" s="5"/>
      <c r="M327" s="5"/>
      <c r="N327" t="s">
        <v>35</v>
      </c>
      <c r="O327" t="s">
        <v>1421</v>
      </c>
      <c r="S327" t="s">
        <v>37</v>
      </c>
      <c r="T327" s="5" t="s">
        <v>100</v>
      </c>
      <c r="W327">
        <v>131</v>
      </c>
      <c r="X327" t="s">
        <v>61</v>
      </c>
      <c r="Y327" t="str">
        <f>VLOOKUP(C327,'[1]DBS_KPY Sorumlular'!A:C,2,FALSE)</f>
        <v>Mustafa AYDIN</v>
      </c>
      <c r="Z327" t="str">
        <f>VLOOKUP(C327,'[1]DBS_KPY Sorumlular'!A:C,3,FALSE)</f>
        <v>Esra DOLAN</v>
      </c>
      <c r="AA327" t="str">
        <f>VLOOKUP(K327,[1]!Tablo3[#Data],2,FALSE)</f>
        <v>Tayfun VİÇE</v>
      </c>
    </row>
    <row r="328" spans="1:27" x14ac:dyDescent="0.25">
      <c r="A328">
        <v>1616</v>
      </c>
      <c r="B328" t="s">
        <v>27</v>
      </c>
      <c r="C328" t="s">
        <v>40</v>
      </c>
      <c r="D328" t="s">
        <v>41</v>
      </c>
      <c r="F328" t="s">
        <v>52</v>
      </c>
      <c r="G328" t="s">
        <v>43</v>
      </c>
      <c r="H328" t="s">
        <v>1422</v>
      </c>
      <c r="I328" s="4">
        <v>45553.875</v>
      </c>
      <c r="K328" t="s">
        <v>1398</v>
      </c>
      <c r="L328" s="5"/>
      <c r="M328" s="5"/>
      <c r="N328" t="s">
        <v>82</v>
      </c>
      <c r="O328" t="s">
        <v>1423</v>
      </c>
      <c r="R328">
        <v>1</v>
      </c>
      <c r="S328" t="s">
        <v>37</v>
      </c>
      <c r="T328" s="5" t="s">
        <v>58</v>
      </c>
      <c r="U328" t="s">
        <v>437</v>
      </c>
      <c r="V328" t="s">
        <v>438</v>
      </c>
      <c r="W328">
        <v>131</v>
      </c>
      <c r="X328" t="s">
        <v>61</v>
      </c>
      <c r="Y328" t="str">
        <f>VLOOKUP(C328,'[1]DBS_KPY Sorumlular'!A:C,2,FALSE)</f>
        <v>Mustafa AYDIN</v>
      </c>
      <c r="Z328" t="str">
        <f>VLOOKUP(C328,'[1]DBS_KPY Sorumlular'!A:C,3,FALSE)</f>
        <v>Esra DOLAN</v>
      </c>
      <c r="AA328" t="str">
        <f>VLOOKUP(K328,[1]!Tablo3[#Data],2,FALSE)</f>
        <v>Tayfun VİÇE</v>
      </c>
    </row>
    <row r="329" spans="1:27" x14ac:dyDescent="0.25">
      <c r="A329">
        <v>1617</v>
      </c>
      <c r="B329" t="s">
        <v>27</v>
      </c>
      <c r="C329" t="s">
        <v>73</v>
      </c>
      <c r="D329" t="s">
        <v>73</v>
      </c>
      <c r="F329" t="s">
        <v>108</v>
      </c>
      <c r="G329" t="s">
        <v>30</v>
      </c>
      <c r="H329" t="s">
        <v>1424</v>
      </c>
      <c r="I329" s="4">
        <v>45686.875</v>
      </c>
      <c r="J329" t="s">
        <v>1425</v>
      </c>
      <c r="K329" t="s">
        <v>1398</v>
      </c>
      <c r="L329" s="5"/>
      <c r="M329" s="5"/>
      <c r="N329" t="s">
        <v>82</v>
      </c>
      <c r="O329" t="s">
        <v>1426</v>
      </c>
      <c r="R329">
        <v>1</v>
      </c>
      <c r="S329" t="s">
        <v>37</v>
      </c>
      <c r="T329" s="5" t="s">
        <v>38</v>
      </c>
      <c r="W329">
        <v>33</v>
      </c>
      <c r="X329" t="s">
        <v>276</v>
      </c>
      <c r="Y329" t="str">
        <f>VLOOKUP(C329,'[1]DBS_KPY Sorumlular'!A:C,2,FALSE)</f>
        <v>Ayşegül AKGÜL</v>
      </c>
      <c r="Z329" t="str">
        <f>VLOOKUP(C329,'[1]DBS_KPY Sorumlular'!A:C,3,FALSE)</f>
        <v>Sinan ERDAŞ</v>
      </c>
      <c r="AA329" t="str">
        <f>VLOOKUP(K329,[1]!Tablo3[#Data],2,FALSE)</f>
        <v>Tayfun VİÇE</v>
      </c>
    </row>
    <row r="330" spans="1:27" x14ac:dyDescent="0.25">
      <c r="A330">
        <v>1618</v>
      </c>
      <c r="B330" t="s">
        <v>27</v>
      </c>
      <c r="C330" t="s">
        <v>73</v>
      </c>
      <c r="D330" t="s">
        <v>73</v>
      </c>
      <c r="F330" t="s">
        <v>74</v>
      </c>
      <c r="G330" t="s">
        <v>30</v>
      </c>
      <c r="H330" t="s">
        <v>1427</v>
      </c>
      <c r="I330" s="4">
        <v>46357.875</v>
      </c>
      <c r="J330" t="s">
        <v>1428</v>
      </c>
      <c r="K330" t="s">
        <v>1398</v>
      </c>
      <c r="L330" s="5" t="s">
        <v>1429</v>
      </c>
      <c r="M330" s="5"/>
      <c r="N330" t="s">
        <v>46</v>
      </c>
      <c r="O330" t="s">
        <v>1430</v>
      </c>
      <c r="R330">
        <v>0.54</v>
      </c>
      <c r="S330" t="s">
        <v>37</v>
      </c>
      <c r="T330" s="5" t="s">
        <v>38</v>
      </c>
      <c r="Y330" t="str">
        <f>VLOOKUP(C330,'[1]DBS_KPY Sorumlular'!A:C,2,FALSE)</f>
        <v>Ayşegül AKGÜL</v>
      </c>
      <c r="Z330" t="str">
        <f>VLOOKUP(C330,'[1]DBS_KPY Sorumlular'!A:C,3,FALSE)</f>
        <v>Sinan ERDAŞ</v>
      </c>
      <c r="AA330" t="str">
        <f>VLOOKUP(K330,[1]!Tablo3[#Data],2,FALSE)</f>
        <v>Tayfun VİÇE</v>
      </c>
    </row>
    <row r="331" spans="1:27" x14ac:dyDescent="0.25">
      <c r="A331">
        <v>1619</v>
      </c>
      <c r="B331" t="s">
        <v>27</v>
      </c>
      <c r="C331" t="s">
        <v>73</v>
      </c>
      <c r="D331" t="s">
        <v>73</v>
      </c>
      <c r="F331" t="s">
        <v>74</v>
      </c>
      <c r="G331" t="s">
        <v>30</v>
      </c>
      <c r="H331" t="s">
        <v>1431</v>
      </c>
      <c r="I331" s="4">
        <v>46387.875</v>
      </c>
      <c r="J331" t="s">
        <v>1432</v>
      </c>
      <c r="K331" t="s">
        <v>1398</v>
      </c>
      <c r="L331" s="5" t="s">
        <v>1433</v>
      </c>
      <c r="M331" s="5"/>
      <c r="N331" t="s">
        <v>46</v>
      </c>
      <c r="O331" t="s">
        <v>1434</v>
      </c>
      <c r="R331">
        <v>0</v>
      </c>
      <c r="S331" t="s">
        <v>37</v>
      </c>
      <c r="T331" s="5" t="s">
        <v>38</v>
      </c>
      <c r="Y331" t="str">
        <f>VLOOKUP(C331,'[1]DBS_KPY Sorumlular'!A:C,2,FALSE)</f>
        <v>Ayşegül AKGÜL</v>
      </c>
      <c r="Z331" t="str">
        <f>VLOOKUP(C331,'[1]DBS_KPY Sorumlular'!A:C,3,FALSE)</f>
        <v>Sinan ERDAŞ</v>
      </c>
      <c r="AA331" t="str">
        <f>VLOOKUP(K331,[1]!Tablo3[#Data],2,FALSE)</f>
        <v>Tayfun VİÇE</v>
      </c>
    </row>
    <row r="332" spans="1:27" x14ac:dyDescent="0.25">
      <c r="A332">
        <v>1620</v>
      </c>
      <c r="B332" t="s">
        <v>27</v>
      </c>
      <c r="C332" t="s">
        <v>40</v>
      </c>
      <c r="D332" t="s">
        <v>41</v>
      </c>
      <c r="F332" t="s">
        <v>42</v>
      </c>
      <c r="G332" t="s">
        <v>43</v>
      </c>
      <c r="H332" t="s">
        <v>1435</v>
      </c>
      <c r="I332" s="4">
        <v>45549.875</v>
      </c>
      <c r="K332" t="s">
        <v>423</v>
      </c>
      <c r="L332" s="5"/>
      <c r="M332" s="5"/>
      <c r="N332" t="s">
        <v>82</v>
      </c>
      <c r="O332" t="s">
        <v>1436</v>
      </c>
      <c r="R332">
        <v>1</v>
      </c>
      <c r="S332" t="s">
        <v>230</v>
      </c>
      <c r="T332" s="5" t="s">
        <v>100</v>
      </c>
      <c r="W332">
        <v>68</v>
      </c>
      <c r="X332" t="s">
        <v>51</v>
      </c>
      <c r="Y332" t="str">
        <f>VLOOKUP(C332,'[1]DBS_KPY Sorumlular'!A:C,2,FALSE)</f>
        <v>Mustafa AYDIN</v>
      </c>
      <c r="Z332" t="str">
        <f>VLOOKUP(C332,'[1]DBS_KPY Sorumlular'!A:C,3,FALSE)</f>
        <v>Esra DOLAN</v>
      </c>
      <c r="AA332" t="str">
        <f>VLOOKUP(K332,[1]!Tablo3[#Data],2,FALSE)</f>
        <v>Kadir TOPÇU</v>
      </c>
    </row>
    <row r="333" spans="1:27" x14ac:dyDescent="0.25">
      <c r="A333">
        <v>1621</v>
      </c>
      <c r="B333" t="s">
        <v>27</v>
      </c>
      <c r="C333" t="s">
        <v>73</v>
      </c>
      <c r="D333" t="s">
        <v>73</v>
      </c>
      <c r="F333" t="s">
        <v>455</v>
      </c>
      <c r="G333" t="s">
        <v>456</v>
      </c>
      <c r="H333" t="s">
        <v>1437</v>
      </c>
      <c r="I333" s="4">
        <v>45677.875</v>
      </c>
      <c r="J333" t="s">
        <v>1438</v>
      </c>
      <c r="K333" t="s">
        <v>423</v>
      </c>
      <c r="L333" s="5" t="s">
        <v>1439</v>
      </c>
      <c r="M333" s="5"/>
      <c r="N333" t="s">
        <v>82</v>
      </c>
      <c r="O333" t="s">
        <v>1440</v>
      </c>
      <c r="R333">
        <v>1</v>
      </c>
      <c r="S333" t="s">
        <v>230</v>
      </c>
      <c r="T333" s="5" t="s">
        <v>38</v>
      </c>
      <c r="W333">
        <v>33</v>
      </c>
      <c r="X333" t="s">
        <v>276</v>
      </c>
      <c r="Y333" t="str">
        <f>VLOOKUP(C333,'[1]DBS_KPY Sorumlular'!A:C,2,FALSE)</f>
        <v>Ayşegül AKGÜL</v>
      </c>
      <c r="Z333" t="str">
        <f>VLOOKUP(C333,'[1]DBS_KPY Sorumlular'!A:C,3,FALSE)</f>
        <v>Sinan ERDAŞ</v>
      </c>
      <c r="AA333" t="str">
        <f>VLOOKUP(K333,[1]!Tablo3[#Data],2,FALSE)</f>
        <v>Kadir TOPÇU</v>
      </c>
    </row>
    <row r="334" spans="1:27" x14ac:dyDescent="0.25">
      <c r="A334">
        <v>1622</v>
      </c>
      <c r="B334" t="s">
        <v>27</v>
      </c>
      <c r="C334" t="s">
        <v>288</v>
      </c>
      <c r="D334" t="s">
        <v>289</v>
      </c>
      <c r="F334" t="s">
        <v>290</v>
      </c>
      <c r="G334" t="s">
        <v>291</v>
      </c>
      <c r="H334" t="s">
        <v>1441</v>
      </c>
      <c r="I334" s="4">
        <v>45589.875</v>
      </c>
      <c r="J334" t="s">
        <v>1442</v>
      </c>
      <c r="K334" t="s">
        <v>423</v>
      </c>
      <c r="L334" s="5"/>
      <c r="M334" s="5"/>
      <c r="N334" t="s">
        <v>82</v>
      </c>
      <c r="O334" t="s">
        <v>1443</v>
      </c>
      <c r="R334">
        <v>1</v>
      </c>
      <c r="S334" t="s">
        <v>230</v>
      </c>
      <c r="T334" s="5" t="s">
        <v>38</v>
      </c>
      <c r="W334">
        <v>23</v>
      </c>
      <c r="X334" t="s">
        <v>295</v>
      </c>
      <c r="Y334" t="str">
        <f>VLOOKUP(C334,'[1]DBS_KPY Sorumlular'!A:C,2,FALSE)</f>
        <v>Sinan ERDAŞ</v>
      </c>
      <c r="Z334" t="str">
        <f>VLOOKUP(C334,'[1]DBS_KPY Sorumlular'!A:C,3,FALSE)</f>
        <v>Ayşegül AKGÜL</v>
      </c>
      <c r="AA334" t="str">
        <f>VLOOKUP(K334,[1]!Tablo3[#Data],2,FALSE)</f>
        <v>Kadir TOPÇU</v>
      </c>
    </row>
    <row r="335" spans="1:27" x14ac:dyDescent="0.25">
      <c r="A335">
        <v>1623</v>
      </c>
      <c r="B335" t="s">
        <v>27</v>
      </c>
      <c r="C335" t="s">
        <v>304</v>
      </c>
      <c r="D335" t="s">
        <v>305</v>
      </c>
      <c r="F335" t="s">
        <v>306</v>
      </c>
      <c r="G335" t="s">
        <v>96</v>
      </c>
      <c r="H335" t="s">
        <v>1444</v>
      </c>
      <c r="I335" s="4">
        <v>45595.875</v>
      </c>
      <c r="J335" t="s">
        <v>1445</v>
      </c>
      <c r="K335" t="s">
        <v>423</v>
      </c>
      <c r="L335" s="5"/>
      <c r="M335" s="5"/>
      <c r="N335" t="s">
        <v>82</v>
      </c>
      <c r="O335" t="s">
        <v>1446</v>
      </c>
      <c r="R335">
        <v>1</v>
      </c>
      <c r="S335" t="s">
        <v>230</v>
      </c>
      <c r="T335" s="5" t="s">
        <v>38</v>
      </c>
      <c r="W335">
        <v>206</v>
      </c>
      <c r="X335" t="s">
        <v>311</v>
      </c>
      <c r="Y335" t="str">
        <f>VLOOKUP(C335,'[1]DBS_KPY Sorumlular'!A:C,2,FALSE)</f>
        <v>Erkan AKDOĞAN</v>
      </c>
      <c r="Z335" t="str">
        <f>VLOOKUP(C335,'[1]DBS_KPY Sorumlular'!A:C,3,FALSE)</f>
        <v>Kadir TOPÇU</v>
      </c>
      <c r="AA335" t="str">
        <f>VLOOKUP(K335,[1]!Tablo3[#Data],2,FALSE)</f>
        <v>Kadir TOPÇU</v>
      </c>
    </row>
    <row r="336" spans="1:27" x14ac:dyDescent="0.25">
      <c r="A336">
        <v>1624</v>
      </c>
      <c r="B336" t="s">
        <v>27</v>
      </c>
      <c r="C336" t="s">
        <v>40</v>
      </c>
      <c r="D336" t="s">
        <v>65</v>
      </c>
      <c r="F336" t="s">
        <v>66</v>
      </c>
      <c r="G336" t="s">
        <v>30</v>
      </c>
      <c r="H336" t="s">
        <v>1447</v>
      </c>
      <c r="I336" s="4">
        <v>45656.875</v>
      </c>
      <c r="K336" t="s">
        <v>423</v>
      </c>
      <c r="L336" s="5"/>
      <c r="M336" s="5"/>
      <c r="N336" t="s">
        <v>82</v>
      </c>
      <c r="O336" t="s">
        <v>1436</v>
      </c>
      <c r="R336">
        <v>1</v>
      </c>
      <c r="S336" t="s">
        <v>230</v>
      </c>
      <c r="T336" s="5" t="s">
        <v>100</v>
      </c>
      <c r="W336">
        <v>207</v>
      </c>
      <c r="X336" t="s">
        <v>472</v>
      </c>
      <c r="Y336" t="str">
        <f>VLOOKUP(C336,'[1]DBS_KPY Sorumlular'!A:C,2,FALSE)</f>
        <v>Mustafa AYDIN</v>
      </c>
      <c r="Z336" t="str">
        <f>VLOOKUP(C336,'[1]DBS_KPY Sorumlular'!A:C,3,FALSE)</f>
        <v>Esra DOLAN</v>
      </c>
      <c r="AA336" t="str">
        <f>VLOOKUP(K336,[1]!Tablo3[#Data],2,FALSE)</f>
        <v>Kadir TOPÇU</v>
      </c>
    </row>
    <row r="337" spans="1:27" x14ac:dyDescent="0.25">
      <c r="A337">
        <v>1625</v>
      </c>
      <c r="B337" t="s">
        <v>27</v>
      </c>
      <c r="C337" t="s">
        <v>40</v>
      </c>
      <c r="D337" t="s">
        <v>41</v>
      </c>
      <c r="F337" t="s">
        <v>184</v>
      </c>
      <c r="G337" t="s">
        <v>43</v>
      </c>
      <c r="H337" t="s">
        <v>1448</v>
      </c>
      <c r="I337" s="4">
        <v>45852.875</v>
      </c>
      <c r="J337" t="s">
        <v>1449</v>
      </c>
      <c r="K337" t="s">
        <v>423</v>
      </c>
      <c r="L337" s="5"/>
      <c r="M337" s="5"/>
      <c r="N337" t="s">
        <v>46</v>
      </c>
      <c r="O337" t="s">
        <v>1450</v>
      </c>
      <c r="R337">
        <v>0.83</v>
      </c>
      <c r="S337" t="s">
        <v>230</v>
      </c>
      <c r="T337" s="5" t="s">
        <v>100</v>
      </c>
      <c r="W337">
        <v>86</v>
      </c>
      <c r="X337" t="s">
        <v>189</v>
      </c>
      <c r="Y337" t="str">
        <f>VLOOKUP(C337,'[1]DBS_KPY Sorumlular'!A:C,2,FALSE)</f>
        <v>Mustafa AYDIN</v>
      </c>
      <c r="Z337" t="str">
        <f>VLOOKUP(C337,'[1]DBS_KPY Sorumlular'!A:C,3,FALSE)</f>
        <v>Esra DOLAN</v>
      </c>
      <c r="AA337" t="str">
        <f>VLOOKUP(K337,[1]!Tablo3[#Data],2,FALSE)</f>
        <v>Kadir TOPÇU</v>
      </c>
    </row>
    <row r="338" spans="1:27" x14ac:dyDescent="0.25">
      <c r="A338">
        <v>1626</v>
      </c>
      <c r="B338" t="s">
        <v>27</v>
      </c>
      <c r="C338" t="s">
        <v>40</v>
      </c>
      <c r="D338" t="s">
        <v>41</v>
      </c>
      <c r="F338" t="s">
        <v>95</v>
      </c>
      <c r="G338" t="s">
        <v>96</v>
      </c>
      <c r="H338" t="s">
        <v>1451</v>
      </c>
      <c r="I338" s="4">
        <v>45869.875</v>
      </c>
      <c r="J338" t="s">
        <v>1452</v>
      </c>
      <c r="K338" t="s">
        <v>423</v>
      </c>
      <c r="L338" s="5"/>
      <c r="M338" s="5"/>
      <c r="N338" t="s">
        <v>46</v>
      </c>
      <c r="O338" t="s">
        <v>1453</v>
      </c>
      <c r="R338">
        <v>0.9</v>
      </c>
      <c r="S338" t="s">
        <v>230</v>
      </c>
      <c r="T338" s="5" t="s">
        <v>48</v>
      </c>
      <c r="U338" t="s">
        <v>1454</v>
      </c>
      <c r="V338" t="s">
        <v>1455</v>
      </c>
      <c r="W338">
        <v>91</v>
      </c>
      <c r="X338" t="s">
        <v>101</v>
      </c>
      <c r="Y338" t="str">
        <f>VLOOKUP(C338,'[1]DBS_KPY Sorumlular'!A:C,2,FALSE)</f>
        <v>Mustafa AYDIN</v>
      </c>
      <c r="Z338" t="str">
        <f>VLOOKUP(C338,'[1]DBS_KPY Sorumlular'!A:C,3,FALSE)</f>
        <v>Esra DOLAN</v>
      </c>
      <c r="AA338" t="str">
        <f>VLOOKUP(K338,[1]!Tablo3[#Data],2,FALSE)</f>
        <v>Kadir TOPÇU</v>
      </c>
    </row>
    <row r="339" spans="1:27" x14ac:dyDescent="0.25">
      <c r="A339">
        <v>1627</v>
      </c>
      <c r="B339" t="s">
        <v>27</v>
      </c>
      <c r="C339" t="s">
        <v>288</v>
      </c>
      <c r="D339" t="s">
        <v>289</v>
      </c>
      <c r="F339" t="s">
        <v>102</v>
      </c>
      <c r="G339" t="s">
        <v>43</v>
      </c>
      <c r="H339" t="s">
        <v>1456</v>
      </c>
      <c r="I339" s="4">
        <v>45898.875</v>
      </c>
      <c r="K339" t="s">
        <v>423</v>
      </c>
      <c r="L339" s="5" t="s">
        <v>1457</v>
      </c>
      <c r="M339" s="5"/>
      <c r="N339" t="s">
        <v>46</v>
      </c>
      <c r="O339" t="s">
        <v>1458</v>
      </c>
      <c r="R339">
        <v>0.65</v>
      </c>
      <c r="S339" t="s">
        <v>230</v>
      </c>
      <c r="T339" s="5" t="s">
        <v>38</v>
      </c>
      <c r="W339">
        <v>23</v>
      </c>
      <c r="X339" t="s">
        <v>295</v>
      </c>
      <c r="Y339" t="str">
        <f>VLOOKUP(C339,'[1]DBS_KPY Sorumlular'!A:C,2,FALSE)</f>
        <v>Sinan ERDAŞ</v>
      </c>
      <c r="Z339" t="str">
        <f>VLOOKUP(C339,'[1]DBS_KPY Sorumlular'!A:C,3,FALSE)</f>
        <v>Ayşegül AKGÜL</v>
      </c>
      <c r="AA339" t="str">
        <f>VLOOKUP(K339,[1]!Tablo3[#Data],2,FALSE)</f>
        <v>Kadir TOPÇU</v>
      </c>
    </row>
    <row r="340" spans="1:27" x14ac:dyDescent="0.25">
      <c r="A340">
        <v>1628</v>
      </c>
      <c r="B340" t="s">
        <v>27</v>
      </c>
      <c r="C340" t="s">
        <v>40</v>
      </c>
      <c r="D340" t="s">
        <v>41</v>
      </c>
      <c r="F340" t="s">
        <v>42</v>
      </c>
      <c r="G340" t="s">
        <v>43</v>
      </c>
      <c r="H340" t="s">
        <v>1459</v>
      </c>
      <c r="I340" s="4">
        <v>46199.875</v>
      </c>
      <c r="K340" t="s">
        <v>423</v>
      </c>
      <c r="L340" s="5"/>
      <c r="M340" s="5"/>
      <c r="N340" t="s">
        <v>46</v>
      </c>
      <c r="O340" t="s">
        <v>1460</v>
      </c>
      <c r="R340">
        <v>0.06</v>
      </c>
      <c r="S340" t="s">
        <v>230</v>
      </c>
      <c r="T340" s="5" t="s">
        <v>48</v>
      </c>
      <c r="U340" t="s">
        <v>1461</v>
      </c>
      <c r="V340" t="s">
        <v>1462</v>
      </c>
      <c r="W340">
        <v>68</v>
      </c>
      <c r="X340" t="s">
        <v>51</v>
      </c>
      <c r="Y340" t="str">
        <f>VLOOKUP(C340,'[1]DBS_KPY Sorumlular'!A:C,2,FALSE)</f>
        <v>Mustafa AYDIN</v>
      </c>
      <c r="Z340" t="str">
        <f>VLOOKUP(C340,'[1]DBS_KPY Sorumlular'!A:C,3,FALSE)</f>
        <v>Esra DOLAN</v>
      </c>
      <c r="AA340" t="str">
        <f>VLOOKUP(K340,[1]!Tablo3[#Data],2,FALSE)</f>
        <v>Kadir TOPÇU</v>
      </c>
    </row>
    <row r="341" spans="1:27" x14ac:dyDescent="0.25">
      <c r="A341">
        <v>1629</v>
      </c>
      <c r="B341" t="s">
        <v>27</v>
      </c>
      <c r="C341" t="s">
        <v>73</v>
      </c>
      <c r="D341" t="s">
        <v>73</v>
      </c>
      <c r="F341" t="s">
        <v>74</v>
      </c>
      <c r="G341" t="s">
        <v>30</v>
      </c>
      <c r="H341" t="s">
        <v>1463</v>
      </c>
      <c r="I341" s="4">
        <v>47010.875</v>
      </c>
      <c r="J341" t="s">
        <v>400</v>
      </c>
      <c r="K341" t="s">
        <v>423</v>
      </c>
      <c r="L341" s="5" t="s">
        <v>1464</v>
      </c>
      <c r="M341" s="5"/>
      <c r="N341" t="s">
        <v>46</v>
      </c>
      <c r="O341" t="s">
        <v>1465</v>
      </c>
      <c r="R341">
        <v>0</v>
      </c>
      <c r="S341" t="s">
        <v>230</v>
      </c>
      <c r="T341" s="5" t="s">
        <v>38</v>
      </c>
      <c r="Y341" t="str">
        <f>VLOOKUP(C341,'[1]DBS_KPY Sorumlular'!A:C,2,FALSE)</f>
        <v>Ayşegül AKGÜL</v>
      </c>
      <c r="Z341" t="str">
        <f>VLOOKUP(C341,'[1]DBS_KPY Sorumlular'!A:C,3,FALSE)</f>
        <v>Sinan ERDAŞ</v>
      </c>
      <c r="AA341" t="str">
        <f>VLOOKUP(K341,[1]!Tablo3[#Data],2,FALSE)</f>
        <v>Kadir TOPÇU</v>
      </c>
    </row>
    <row r="342" spans="1:27" x14ac:dyDescent="0.25">
      <c r="A342">
        <v>1630</v>
      </c>
      <c r="B342" t="s">
        <v>27</v>
      </c>
      <c r="C342" t="s">
        <v>73</v>
      </c>
      <c r="D342" t="s">
        <v>73</v>
      </c>
      <c r="F342" t="s">
        <v>74</v>
      </c>
      <c r="G342" t="s">
        <v>30</v>
      </c>
      <c r="H342" t="s">
        <v>1466</v>
      </c>
      <c r="I342" s="4">
        <v>47025.875</v>
      </c>
      <c r="J342" t="s">
        <v>1467</v>
      </c>
      <c r="K342" t="s">
        <v>423</v>
      </c>
      <c r="L342" s="5" t="s">
        <v>1468</v>
      </c>
      <c r="M342" s="5"/>
      <c r="N342" t="s">
        <v>46</v>
      </c>
      <c r="O342" t="s">
        <v>1469</v>
      </c>
      <c r="R342">
        <v>0.28000000000000003</v>
      </c>
      <c r="S342" t="s">
        <v>230</v>
      </c>
      <c r="T342" s="5" t="s">
        <v>38</v>
      </c>
      <c r="Y342" t="str">
        <f>VLOOKUP(C342,'[1]DBS_KPY Sorumlular'!A:C,2,FALSE)</f>
        <v>Ayşegül AKGÜL</v>
      </c>
      <c r="Z342" t="str">
        <f>VLOOKUP(C342,'[1]DBS_KPY Sorumlular'!A:C,3,FALSE)</f>
        <v>Sinan ERDAŞ</v>
      </c>
      <c r="AA342" t="str">
        <f>VLOOKUP(K342,[1]!Tablo3[#Data],2,FALSE)</f>
        <v>Kadir TOPÇU</v>
      </c>
    </row>
    <row r="343" spans="1:27" x14ac:dyDescent="0.25">
      <c r="A343">
        <v>1631</v>
      </c>
      <c r="B343" t="s">
        <v>27</v>
      </c>
      <c r="C343" t="s">
        <v>40</v>
      </c>
      <c r="D343" t="s">
        <v>41</v>
      </c>
      <c r="F343" t="s">
        <v>102</v>
      </c>
      <c r="G343" t="s">
        <v>43</v>
      </c>
      <c r="H343" t="s">
        <v>1470</v>
      </c>
      <c r="I343" s="4">
        <v>45404.875</v>
      </c>
      <c r="K343" t="s">
        <v>1471</v>
      </c>
      <c r="L343" s="5"/>
      <c r="M343" s="5"/>
      <c r="N343" t="s">
        <v>82</v>
      </c>
      <c r="O343" t="s">
        <v>1472</v>
      </c>
      <c r="R343">
        <v>1</v>
      </c>
      <c r="S343" t="s">
        <v>37</v>
      </c>
      <c r="T343" s="5" t="s">
        <v>58</v>
      </c>
      <c r="U343" t="s">
        <v>916</v>
      </c>
      <c r="V343" t="s">
        <v>917</v>
      </c>
      <c r="W343">
        <v>22</v>
      </c>
      <c r="X343" t="s">
        <v>1473</v>
      </c>
      <c r="Y343" t="str">
        <f>VLOOKUP(C343,'[1]DBS_KPY Sorumlular'!A:C,2,FALSE)</f>
        <v>Mustafa AYDIN</v>
      </c>
      <c r="Z343" t="str">
        <f>VLOOKUP(C343,'[1]DBS_KPY Sorumlular'!A:C,3,FALSE)</f>
        <v>Esra DOLAN</v>
      </c>
      <c r="AA343" t="str">
        <f>VLOOKUP(K343,[1]!Tablo3[#Data],2,FALSE)</f>
        <v>Tayfun VİÇE</v>
      </c>
    </row>
    <row r="344" spans="1:27" x14ac:dyDescent="0.25">
      <c r="A344">
        <v>1632</v>
      </c>
      <c r="B344" t="s">
        <v>27</v>
      </c>
      <c r="C344" t="s">
        <v>40</v>
      </c>
      <c r="D344" t="s">
        <v>41</v>
      </c>
      <c r="F344" t="s">
        <v>52</v>
      </c>
      <c r="G344" t="s">
        <v>43</v>
      </c>
      <c r="H344" t="s">
        <v>1474</v>
      </c>
      <c r="I344" s="4">
        <v>45837.875</v>
      </c>
      <c r="J344" t="s">
        <v>1475</v>
      </c>
      <c r="K344" t="s">
        <v>1471</v>
      </c>
      <c r="L344" s="5"/>
      <c r="M344" s="5"/>
      <c r="N344" t="s">
        <v>46</v>
      </c>
      <c r="O344" t="s">
        <v>1476</v>
      </c>
      <c r="R344">
        <v>0.98</v>
      </c>
      <c r="S344" t="s">
        <v>37</v>
      </c>
      <c r="T344" s="5" t="s">
        <v>58</v>
      </c>
      <c r="U344" t="s">
        <v>956</v>
      </c>
      <c r="V344" t="s">
        <v>957</v>
      </c>
      <c r="W344">
        <v>73</v>
      </c>
      <c r="X344" t="s">
        <v>1198</v>
      </c>
      <c r="Y344" t="str">
        <f>VLOOKUP(C344,'[1]DBS_KPY Sorumlular'!A:C,2,FALSE)</f>
        <v>Mustafa AYDIN</v>
      </c>
      <c r="Z344" t="str">
        <f>VLOOKUP(C344,'[1]DBS_KPY Sorumlular'!A:C,3,FALSE)</f>
        <v>Esra DOLAN</v>
      </c>
      <c r="AA344" t="str">
        <f>VLOOKUP(K344,[1]!Tablo3[#Data],2,FALSE)</f>
        <v>Tayfun VİÇE</v>
      </c>
    </row>
    <row r="345" spans="1:27" x14ac:dyDescent="0.25">
      <c r="A345">
        <v>1633</v>
      </c>
      <c r="B345" t="s">
        <v>27</v>
      </c>
      <c r="C345" t="s">
        <v>1046</v>
      </c>
      <c r="D345" t="s">
        <v>1047</v>
      </c>
      <c r="F345" t="s">
        <v>113</v>
      </c>
      <c r="G345" t="s">
        <v>43</v>
      </c>
      <c r="H345" t="s">
        <v>1477</v>
      </c>
      <c r="I345" s="4">
        <v>45549.875</v>
      </c>
      <c r="K345" t="s">
        <v>1471</v>
      </c>
      <c r="L345" s="5" t="s">
        <v>1478</v>
      </c>
      <c r="M345" s="5"/>
      <c r="N345" t="s">
        <v>82</v>
      </c>
      <c r="O345" t="s">
        <v>1479</v>
      </c>
      <c r="R345">
        <v>1</v>
      </c>
      <c r="S345" t="s">
        <v>37</v>
      </c>
      <c r="T345" s="5" t="s">
        <v>38</v>
      </c>
      <c r="W345">
        <v>169</v>
      </c>
      <c r="X345" t="s">
        <v>1480</v>
      </c>
      <c r="Y345" t="str">
        <f>VLOOKUP(C345,'[1]DBS_KPY Sorumlular'!A:C,2,FALSE)</f>
        <v>Ayşegül AKGÜL</v>
      </c>
      <c r="Z345" t="str">
        <f>VLOOKUP(C345,'[1]DBS_KPY Sorumlular'!A:C,3,FALSE)</f>
        <v>Sinan ERDAŞ</v>
      </c>
      <c r="AA345" t="str">
        <f>VLOOKUP(K345,[1]!Tablo3[#Data],2,FALSE)</f>
        <v>Tayfun VİÇE</v>
      </c>
    </row>
    <row r="346" spans="1:27" x14ac:dyDescent="0.25">
      <c r="A346">
        <v>1634</v>
      </c>
      <c r="B346" t="s">
        <v>27</v>
      </c>
      <c r="C346" t="s">
        <v>40</v>
      </c>
      <c r="D346" t="s">
        <v>41</v>
      </c>
      <c r="F346" t="s">
        <v>102</v>
      </c>
      <c r="G346" t="s">
        <v>43</v>
      </c>
      <c r="H346" t="s">
        <v>1481</v>
      </c>
      <c r="I346" s="4">
        <v>45837.875</v>
      </c>
      <c r="K346" t="s">
        <v>1471</v>
      </c>
      <c r="L346" s="5"/>
      <c r="M346" s="5"/>
      <c r="N346" t="s">
        <v>46</v>
      </c>
      <c r="O346" t="s">
        <v>1482</v>
      </c>
      <c r="R346">
        <v>0.95</v>
      </c>
      <c r="S346" t="s">
        <v>37</v>
      </c>
      <c r="T346" s="5" t="s">
        <v>58</v>
      </c>
      <c r="U346" t="s">
        <v>1243</v>
      </c>
      <c r="V346" t="s">
        <v>1244</v>
      </c>
      <c r="W346">
        <v>108</v>
      </c>
      <c r="X346" t="s">
        <v>107</v>
      </c>
      <c r="Y346" t="str">
        <f>VLOOKUP(C346,'[1]DBS_KPY Sorumlular'!A:C,2,FALSE)</f>
        <v>Mustafa AYDIN</v>
      </c>
      <c r="Z346" t="str">
        <f>VLOOKUP(C346,'[1]DBS_KPY Sorumlular'!A:C,3,FALSE)</f>
        <v>Esra DOLAN</v>
      </c>
      <c r="AA346" t="str">
        <f>VLOOKUP(K346,[1]!Tablo3[#Data],2,FALSE)</f>
        <v>Tayfun VİÇE</v>
      </c>
    </row>
    <row r="347" spans="1:27" x14ac:dyDescent="0.25">
      <c r="A347">
        <v>1635</v>
      </c>
      <c r="B347" t="s">
        <v>27</v>
      </c>
      <c r="C347" t="s">
        <v>40</v>
      </c>
      <c r="D347" t="s">
        <v>41</v>
      </c>
      <c r="F347" t="s">
        <v>102</v>
      </c>
      <c r="G347" t="s">
        <v>43</v>
      </c>
      <c r="H347" t="s">
        <v>1483</v>
      </c>
      <c r="I347" s="4">
        <v>45837.875</v>
      </c>
      <c r="K347" t="s">
        <v>1471</v>
      </c>
      <c r="L347" s="5"/>
      <c r="M347" s="5"/>
      <c r="N347" t="s">
        <v>46</v>
      </c>
      <c r="O347" t="s">
        <v>1484</v>
      </c>
      <c r="R347">
        <v>0.95</v>
      </c>
      <c r="S347" t="s">
        <v>37</v>
      </c>
      <c r="T347" s="5" t="s">
        <v>58</v>
      </c>
      <c r="U347" t="s">
        <v>1243</v>
      </c>
      <c r="V347" t="s">
        <v>1244</v>
      </c>
      <c r="W347">
        <v>108</v>
      </c>
      <c r="X347" t="s">
        <v>107</v>
      </c>
      <c r="Y347" t="str">
        <f>VLOOKUP(C347,'[1]DBS_KPY Sorumlular'!A:C,2,FALSE)</f>
        <v>Mustafa AYDIN</v>
      </c>
      <c r="Z347" t="str">
        <f>VLOOKUP(C347,'[1]DBS_KPY Sorumlular'!A:C,3,FALSE)</f>
        <v>Esra DOLAN</v>
      </c>
      <c r="AA347" t="str">
        <f>VLOOKUP(K347,[1]!Tablo3[#Data],2,FALSE)</f>
        <v>Tayfun VİÇE</v>
      </c>
    </row>
    <row r="348" spans="1:27" x14ac:dyDescent="0.25">
      <c r="A348">
        <v>1636</v>
      </c>
      <c r="B348" t="s">
        <v>27</v>
      </c>
      <c r="C348" t="s">
        <v>40</v>
      </c>
      <c r="D348" t="s">
        <v>41</v>
      </c>
      <c r="F348" t="s">
        <v>102</v>
      </c>
      <c r="G348" t="s">
        <v>43</v>
      </c>
      <c r="H348" t="s">
        <v>1485</v>
      </c>
      <c r="I348" s="4">
        <v>45642.875</v>
      </c>
      <c r="K348" t="s">
        <v>1471</v>
      </c>
      <c r="L348" s="5"/>
      <c r="M348" s="5"/>
      <c r="N348" t="s">
        <v>82</v>
      </c>
      <c r="O348" t="s">
        <v>1486</v>
      </c>
      <c r="R348">
        <v>1</v>
      </c>
      <c r="S348" t="s">
        <v>37</v>
      </c>
      <c r="T348" s="5" t="s">
        <v>58</v>
      </c>
      <c r="U348" t="s">
        <v>621</v>
      </c>
      <c r="V348" t="s">
        <v>622</v>
      </c>
      <c r="W348">
        <v>108</v>
      </c>
      <c r="X348" t="s">
        <v>107</v>
      </c>
      <c r="Y348" t="str">
        <f>VLOOKUP(C348,'[1]DBS_KPY Sorumlular'!A:C,2,FALSE)</f>
        <v>Mustafa AYDIN</v>
      </c>
      <c r="Z348" t="str">
        <f>VLOOKUP(C348,'[1]DBS_KPY Sorumlular'!A:C,3,FALSE)</f>
        <v>Esra DOLAN</v>
      </c>
      <c r="AA348" t="str">
        <f>VLOOKUP(K348,[1]!Tablo3[#Data],2,FALSE)</f>
        <v>Tayfun VİÇE</v>
      </c>
    </row>
    <row r="349" spans="1:27" x14ac:dyDescent="0.25">
      <c r="A349">
        <v>1637</v>
      </c>
      <c r="B349" t="s">
        <v>27</v>
      </c>
      <c r="C349" t="s">
        <v>40</v>
      </c>
      <c r="D349" t="s">
        <v>41</v>
      </c>
      <c r="F349" t="s">
        <v>391</v>
      </c>
      <c r="G349" t="s">
        <v>43</v>
      </c>
      <c r="H349" t="s">
        <v>1487</v>
      </c>
      <c r="I349" s="4">
        <v>45644.875</v>
      </c>
      <c r="J349" t="s">
        <v>1488</v>
      </c>
      <c r="K349" t="s">
        <v>1471</v>
      </c>
      <c r="L349" s="5"/>
      <c r="M349" s="5"/>
      <c r="N349" t="s">
        <v>82</v>
      </c>
      <c r="O349" t="s">
        <v>1489</v>
      </c>
      <c r="R349">
        <v>1</v>
      </c>
      <c r="S349" t="s">
        <v>37</v>
      </c>
      <c r="T349" s="5" t="s">
        <v>48</v>
      </c>
      <c r="U349" t="s">
        <v>1490</v>
      </c>
      <c r="V349" t="s">
        <v>1491</v>
      </c>
      <c r="W349">
        <v>159</v>
      </c>
      <c r="X349" t="s">
        <v>1492</v>
      </c>
      <c r="Y349" t="str">
        <f>VLOOKUP(C349,'[1]DBS_KPY Sorumlular'!A:C,2,FALSE)</f>
        <v>Mustafa AYDIN</v>
      </c>
      <c r="Z349" t="str">
        <f>VLOOKUP(C349,'[1]DBS_KPY Sorumlular'!A:C,3,FALSE)</f>
        <v>Esra DOLAN</v>
      </c>
      <c r="AA349" t="str">
        <f>VLOOKUP(K349,[1]!Tablo3[#Data],2,FALSE)</f>
        <v>Tayfun VİÇE</v>
      </c>
    </row>
    <row r="350" spans="1:27" x14ac:dyDescent="0.25">
      <c r="A350">
        <v>1638</v>
      </c>
      <c r="B350" t="s">
        <v>27</v>
      </c>
      <c r="C350" t="s">
        <v>73</v>
      </c>
      <c r="D350" t="s">
        <v>73</v>
      </c>
      <c r="F350" t="s">
        <v>108</v>
      </c>
      <c r="G350" t="s">
        <v>30</v>
      </c>
      <c r="H350" t="s">
        <v>1493</v>
      </c>
      <c r="I350" s="4">
        <v>45869.875</v>
      </c>
      <c r="J350" t="s">
        <v>1494</v>
      </c>
      <c r="K350" t="s">
        <v>1106</v>
      </c>
      <c r="L350" s="5" t="s">
        <v>1094</v>
      </c>
      <c r="M350" s="5"/>
      <c r="N350" t="s">
        <v>46</v>
      </c>
      <c r="O350" t="s">
        <v>1495</v>
      </c>
      <c r="R350">
        <v>0.89</v>
      </c>
      <c r="S350" t="s">
        <v>37</v>
      </c>
      <c r="T350" s="5" t="s">
        <v>38</v>
      </c>
      <c r="Y350" t="str">
        <f>VLOOKUP(C350,'[1]DBS_KPY Sorumlular'!A:C,2,FALSE)</f>
        <v>Ayşegül AKGÜL</v>
      </c>
      <c r="Z350" t="str">
        <f>VLOOKUP(C350,'[1]DBS_KPY Sorumlular'!A:C,3,FALSE)</f>
        <v>Sinan ERDAŞ</v>
      </c>
      <c r="AA350" t="str">
        <f>VLOOKUP(K350,[1]!Tablo3[#Data],2,FALSE)</f>
        <v>Tayfun VİÇE</v>
      </c>
    </row>
    <row r="351" spans="1:27" x14ac:dyDescent="0.25">
      <c r="A351">
        <v>1639</v>
      </c>
      <c r="B351" t="s">
        <v>27</v>
      </c>
      <c r="C351" t="s">
        <v>40</v>
      </c>
      <c r="D351" t="s">
        <v>41</v>
      </c>
      <c r="F351" t="s">
        <v>102</v>
      </c>
      <c r="G351" t="s">
        <v>43</v>
      </c>
      <c r="H351" t="s">
        <v>1496</v>
      </c>
      <c r="I351" s="4">
        <v>46147.875</v>
      </c>
      <c r="J351" t="s">
        <v>1497</v>
      </c>
      <c r="K351" t="s">
        <v>1471</v>
      </c>
      <c r="L351" s="5"/>
      <c r="M351" s="5"/>
      <c r="N351" t="s">
        <v>46</v>
      </c>
      <c r="O351" t="s">
        <v>1498</v>
      </c>
      <c r="R351">
        <v>0.25</v>
      </c>
      <c r="S351" t="s">
        <v>37</v>
      </c>
      <c r="T351" s="5" t="s">
        <v>48</v>
      </c>
      <c r="U351" t="s">
        <v>1499</v>
      </c>
      <c r="V351" t="s">
        <v>1500</v>
      </c>
      <c r="W351">
        <v>263</v>
      </c>
      <c r="X351" t="s">
        <v>628</v>
      </c>
      <c r="Y351" t="str">
        <f>VLOOKUP(C351,'[1]DBS_KPY Sorumlular'!A:C,2,FALSE)</f>
        <v>Mustafa AYDIN</v>
      </c>
      <c r="Z351" t="str">
        <f>VLOOKUP(C351,'[1]DBS_KPY Sorumlular'!A:C,3,FALSE)</f>
        <v>Esra DOLAN</v>
      </c>
      <c r="AA351" t="str">
        <f>VLOOKUP(K351,[1]!Tablo3[#Data],2,FALSE)</f>
        <v>Tayfun VİÇE</v>
      </c>
    </row>
    <row r="352" spans="1:27" x14ac:dyDescent="0.25">
      <c r="A352">
        <v>1640</v>
      </c>
      <c r="B352" t="s">
        <v>27</v>
      </c>
      <c r="C352" t="s">
        <v>73</v>
      </c>
      <c r="D352" t="s">
        <v>73</v>
      </c>
      <c r="F352" t="s">
        <v>108</v>
      </c>
      <c r="G352" t="s">
        <v>30</v>
      </c>
      <c r="H352" t="s">
        <v>1501</v>
      </c>
      <c r="I352" s="4">
        <v>45868.875</v>
      </c>
      <c r="J352" t="s">
        <v>1502</v>
      </c>
      <c r="K352" t="s">
        <v>1471</v>
      </c>
      <c r="L352" s="5" t="s">
        <v>1098</v>
      </c>
      <c r="M352" s="5"/>
      <c r="N352" t="s">
        <v>46</v>
      </c>
      <c r="O352" t="s">
        <v>1503</v>
      </c>
      <c r="R352">
        <v>0.63</v>
      </c>
      <c r="S352" t="s">
        <v>37</v>
      </c>
      <c r="T352" s="5" t="s">
        <v>38</v>
      </c>
      <c r="Y352" t="str">
        <f>VLOOKUP(C352,'[1]DBS_KPY Sorumlular'!A:C,2,FALSE)</f>
        <v>Ayşegül AKGÜL</v>
      </c>
      <c r="Z352" t="str">
        <f>VLOOKUP(C352,'[1]DBS_KPY Sorumlular'!A:C,3,FALSE)</f>
        <v>Sinan ERDAŞ</v>
      </c>
      <c r="AA352" t="str">
        <f>VLOOKUP(K352,[1]!Tablo3[#Data],2,FALSE)</f>
        <v>Tayfun VİÇE</v>
      </c>
    </row>
    <row r="353" spans="1:27" x14ac:dyDescent="0.25">
      <c r="A353">
        <v>1641</v>
      </c>
      <c r="B353" t="s">
        <v>27</v>
      </c>
      <c r="C353" t="s">
        <v>40</v>
      </c>
      <c r="D353" t="s">
        <v>41</v>
      </c>
      <c r="F353" t="s">
        <v>102</v>
      </c>
      <c r="G353" t="s">
        <v>43</v>
      </c>
      <c r="H353" t="s">
        <v>1504</v>
      </c>
      <c r="I353" s="4">
        <v>45549.875</v>
      </c>
      <c r="K353" t="s">
        <v>143</v>
      </c>
      <c r="L353" s="5"/>
      <c r="M353" s="5"/>
      <c r="N353" t="s">
        <v>82</v>
      </c>
      <c r="O353" t="s">
        <v>1505</v>
      </c>
      <c r="R353">
        <v>1</v>
      </c>
      <c r="S353" t="s">
        <v>37</v>
      </c>
      <c r="T353" s="5" t="s">
        <v>58</v>
      </c>
      <c r="U353" t="s">
        <v>1164</v>
      </c>
      <c r="V353" t="s">
        <v>1165</v>
      </c>
      <c r="W353">
        <v>108</v>
      </c>
      <c r="X353" t="s">
        <v>107</v>
      </c>
      <c r="Y353" t="str">
        <f>VLOOKUP(C353,'[1]DBS_KPY Sorumlular'!A:C,2,FALSE)</f>
        <v>Mustafa AYDIN</v>
      </c>
      <c r="Z353" t="str">
        <f>VLOOKUP(C353,'[1]DBS_KPY Sorumlular'!A:C,3,FALSE)</f>
        <v>Esra DOLAN</v>
      </c>
      <c r="AA353" t="str">
        <f>VLOOKUP(K353,[1]!Tablo3[#Data],2,FALSE)</f>
        <v>Tayfun VİÇE</v>
      </c>
    </row>
    <row r="354" spans="1:27" x14ac:dyDescent="0.25">
      <c r="A354">
        <v>1642</v>
      </c>
      <c r="B354" t="s">
        <v>27</v>
      </c>
      <c r="C354" t="s">
        <v>40</v>
      </c>
      <c r="D354" t="s">
        <v>41</v>
      </c>
      <c r="F354" t="s">
        <v>95</v>
      </c>
      <c r="G354" t="s">
        <v>96</v>
      </c>
      <c r="H354" t="s">
        <v>1506</v>
      </c>
      <c r="I354" s="4">
        <v>45616.875</v>
      </c>
      <c r="J354" t="s">
        <v>1507</v>
      </c>
      <c r="K354" t="s">
        <v>143</v>
      </c>
      <c r="L354" s="5"/>
      <c r="M354" s="5"/>
      <c r="N354" t="s">
        <v>82</v>
      </c>
      <c r="O354" t="s">
        <v>1508</v>
      </c>
      <c r="R354">
        <v>1</v>
      </c>
      <c r="S354" t="s">
        <v>37</v>
      </c>
      <c r="T354" s="5" t="s">
        <v>48</v>
      </c>
      <c r="U354" t="s">
        <v>1509</v>
      </c>
      <c r="V354" t="s">
        <v>1510</v>
      </c>
      <c r="W354">
        <v>91</v>
      </c>
      <c r="X354" t="s">
        <v>101</v>
      </c>
      <c r="Y354" t="str">
        <f>VLOOKUP(C354,'[1]DBS_KPY Sorumlular'!A:C,2,FALSE)</f>
        <v>Mustafa AYDIN</v>
      </c>
      <c r="Z354" t="str">
        <f>VLOOKUP(C354,'[1]DBS_KPY Sorumlular'!A:C,3,FALSE)</f>
        <v>Esra DOLAN</v>
      </c>
      <c r="AA354" t="str">
        <f>VLOOKUP(K354,[1]!Tablo3[#Data],2,FALSE)</f>
        <v>Tayfun VİÇE</v>
      </c>
    </row>
    <row r="355" spans="1:27" x14ac:dyDescent="0.25">
      <c r="A355">
        <v>1643</v>
      </c>
      <c r="B355" t="s">
        <v>27</v>
      </c>
      <c r="C355" t="s">
        <v>40</v>
      </c>
      <c r="D355" t="s">
        <v>41</v>
      </c>
      <c r="F355" t="s">
        <v>95</v>
      </c>
      <c r="G355" t="s">
        <v>96</v>
      </c>
      <c r="H355" t="s">
        <v>1511</v>
      </c>
      <c r="I355" s="4">
        <v>45656.875</v>
      </c>
      <c r="K355" t="s">
        <v>143</v>
      </c>
      <c r="L355" s="5"/>
      <c r="M355" s="5"/>
      <c r="N355" t="s">
        <v>82</v>
      </c>
      <c r="O355" t="s">
        <v>1512</v>
      </c>
      <c r="R355">
        <v>1</v>
      </c>
      <c r="S355" t="s">
        <v>37</v>
      </c>
      <c r="T355" s="5" t="s">
        <v>48</v>
      </c>
      <c r="U355" t="s">
        <v>1513</v>
      </c>
      <c r="V355" t="s">
        <v>1514</v>
      </c>
      <c r="W355">
        <v>28</v>
      </c>
      <c r="X355" t="s">
        <v>667</v>
      </c>
      <c r="Y355" t="str">
        <f>VLOOKUP(C355,'[1]DBS_KPY Sorumlular'!A:C,2,FALSE)</f>
        <v>Mustafa AYDIN</v>
      </c>
      <c r="Z355" t="str">
        <f>VLOOKUP(C355,'[1]DBS_KPY Sorumlular'!A:C,3,FALSE)</f>
        <v>Esra DOLAN</v>
      </c>
      <c r="AA355" t="str">
        <f>VLOOKUP(K355,[1]!Tablo3[#Data],2,FALSE)</f>
        <v>Tayfun VİÇE</v>
      </c>
    </row>
    <row r="356" spans="1:27" x14ac:dyDescent="0.25">
      <c r="A356">
        <v>1644</v>
      </c>
      <c r="B356" t="s">
        <v>27</v>
      </c>
      <c r="C356" t="s">
        <v>73</v>
      </c>
      <c r="D356" t="s">
        <v>73</v>
      </c>
      <c r="F356" t="s">
        <v>74</v>
      </c>
      <c r="G356" t="s">
        <v>30</v>
      </c>
      <c r="H356" t="s">
        <v>1515</v>
      </c>
      <c r="I356" s="4">
        <v>46037.875</v>
      </c>
      <c r="J356" t="s">
        <v>1516</v>
      </c>
      <c r="K356" t="s">
        <v>143</v>
      </c>
      <c r="L356" s="5" t="s">
        <v>1517</v>
      </c>
      <c r="M356" s="5"/>
      <c r="N356" t="s">
        <v>46</v>
      </c>
      <c r="O356" t="s">
        <v>1518</v>
      </c>
      <c r="R356">
        <v>0.31</v>
      </c>
      <c r="S356" t="s">
        <v>37</v>
      </c>
      <c r="T356" s="5" t="s">
        <v>38</v>
      </c>
      <c r="Y356" t="str">
        <f>VLOOKUP(C356,'[1]DBS_KPY Sorumlular'!A:C,2,FALSE)</f>
        <v>Ayşegül AKGÜL</v>
      </c>
      <c r="Z356" t="str">
        <f>VLOOKUP(C356,'[1]DBS_KPY Sorumlular'!A:C,3,FALSE)</f>
        <v>Sinan ERDAŞ</v>
      </c>
      <c r="AA356" t="str">
        <f>VLOOKUP(K356,[1]!Tablo3[#Data],2,FALSE)</f>
        <v>Tayfun VİÇE</v>
      </c>
    </row>
    <row r="357" spans="1:27" x14ac:dyDescent="0.25">
      <c r="A357">
        <v>1645</v>
      </c>
      <c r="B357" t="s">
        <v>27</v>
      </c>
      <c r="C357" t="s">
        <v>73</v>
      </c>
      <c r="D357" t="s">
        <v>73</v>
      </c>
      <c r="F357" t="s">
        <v>108</v>
      </c>
      <c r="G357" t="s">
        <v>30</v>
      </c>
      <c r="H357" t="s">
        <v>1519</v>
      </c>
      <c r="I357" s="4">
        <v>46037.875</v>
      </c>
      <c r="J357" t="s">
        <v>1520</v>
      </c>
      <c r="K357" t="s">
        <v>143</v>
      </c>
      <c r="L357" s="5" t="s">
        <v>1521</v>
      </c>
      <c r="M357" s="5"/>
      <c r="N357" t="s">
        <v>46</v>
      </c>
      <c r="O357" t="s">
        <v>1522</v>
      </c>
      <c r="R357">
        <v>0.4</v>
      </c>
      <c r="S357" t="s">
        <v>37</v>
      </c>
      <c r="T357" s="5" t="s">
        <v>38</v>
      </c>
      <c r="Y357" t="str">
        <f>VLOOKUP(C357,'[1]DBS_KPY Sorumlular'!A:C,2,FALSE)</f>
        <v>Ayşegül AKGÜL</v>
      </c>
      <c r="Z357" t="str">
        <f>VLOOKUP(C357,'[1]DBS_KPY Sorumlular'!A:C,3,FALSE)</f>
        <v>Sinan ERDAŞ</v>
      </c>
      <c r="AA357" t="str">
        <f>VLOOKUP(K357,[1]!Tablo3[#Data],2,FALSE)</f>
        <v>Tayfun VİÇE</v>
      </c>
    </row>
    <row r="358" spans="1:27" x14ac:dyDescent="0.25">
      <c r="A358">
        <v>1646</v>
      </c>
      <c r="B358" t="s">
        <v>27</v>
      </c>
      <c r="C358" t="s">
        <v>73</v>
      </c>
      <c r="D358" t="s">
        <v>73</v>
      </c>
      <c r="F358" t="s">
        <v>108</v>
      </c>
      <c r="G358" t="s">
        <v>30</v>
      </c>
      <c r="H358" t="s">
        <v>1523</v>
      </c>
      <c r="I358" s="4">
        <v>46021.875</v>
      </c>
      <c r="J358" t="s">
        <v>1524</v>
      </c>
      <c r="K358" t="s">
        <v>143</v>
      </c>
      <c r="L358" s="5" t="s">
        <v>1525</v>
      </c>
      <c r="M358" s="5"/>
      <c r="N358" t="s">
        <v>46</v>
      </c>
      <c r="O358" t="s">
        <v>1526</v>
      </c>
      <c r="R358">
        <v>0</v>
      </c>
      <c r="S358" t="s">
        <v>37</v>
      </c>
      <c r="T358" s="5" t="s">
        <v>38</v>
      </c>
      <c r="Y358" t="str">
        <f>VLOOKUP(C358,'[1]DBS_KPY Sorumlular'!A:C,2,FALSE)</f>
        <v>Ayşegül AKGÜL</v>
      </c>
      <c r="Z358" t="str">
        <f>VLOOKUP(C358,'[1]DBS_KPY Sorumlular'!A:C,3,FALSE)</f>
        <v>Sinan ERDAŞ</v>
      </c>
      <c r="AA358" t="str">
        <f>VLOOKUP(K358,[1]!Tablo3[#Data],2,FALSE)</f>
        <v>Tayfun VİÇE</v>
      </c>
    </row>
    <row r="359" spans="1:27" x14ac:dyDescent="0.25">
      <c r="A359">
        <v>1647</v>
      </c>
      <c r="B359" t="s">
        <v>27</v>
      </c>
      <c r="C359" t="s">
        <v>40</v>
      </c>
      <c r="D359" t="s">
        <v>41</v>
      </c>
      <c r="F359" t="s">
        <v>95</v>
      </c>
      <c r="G359" t="s">
        <v>30</v>
      </c>
      <c r="H359" t="s">
        <v>1527</v>
      </c>
      <c r="I359" s="4">
        <v>45535.875</v>
      </c>
      <c r="K359" t="s">
        <v>1528</v>
      </c>
      <c r="L359" s="5"/>
      <c r="M359" s="5"/>
      <c r="N359" t="s">
        <v>82</v>
      </c>
      <c r="O359" t="s">
        <v>1529</v>
      </c>
      <c r="R359">
        <v>1</v>
      </c>
      <c r="S359" t="s">
        <v>37</v>
      </c>
      <c r="T359" s="5" t="s">
        <v>58</v>
      </c>
      <c r="U359" t="s">
        <v>1530</v>
      </c>
      <c r="V359" t="s">
        <v>1531</v>
      </c>
      <c r="W359">
        <v>151</v>
      </c>
      <c r="X359" t="s">
        <v>1532</v>
      </c>
      <c r="Y359" t="str">
        <f>VLOOKUP(C359,'[1]DBS_KPY Sorumlular'!A:C,2,FALSE)</f>
        <v>Mustafa AYDIN</v>
      </c>
      <c r="Z359" t="str">
        <f>VLOOKUP(C359,'[1]DBS_KPY Sorumlular'!A:C,3,FALSE)</f>
        <v>Esra DOLAN</v>
      </c>
      <c r="AA359" t="str">
        <f>VLOOKUP(K359,[1]!Tablo3[#Data],2,FALSE)</f>
        <v>Tayfun VİÇE</v>
      </c>
    </row>
    <row r="360" spans="1:27" x14ac:dyDescent="0.25">
      <c r="A360">
        <v>1648</v>
      </c>
      <c r="B360" t="s">
        <v>27</v>
      </c>
      <c r="C360" t="s">
        <v>40</v>
      </c>
      <c r="D360" t="s">
        <v>65</v>
      </c>
      <c r="F360" t="s">
        <v>66</v>
      </c>
      <c r="G360" t="s">
        <v>67</v>
      </c>
      <c r="H360" t="s">
        <v>1533</v>
      </c>
      <c r="I360" s="4">
        <v>45868.875</v>
      </c>
      <c r="J360" t="s">
        <v>1534</v>
      </c>
      <c r="K360" t="s">
        <v>1528</v>
      </c>
      <c r="L360" s="5"/>
      <c r="M360" s="5"/>
      <c r="N360" t="s">
        <v>46</v>
      </c>
      <c r="O360" t="s">
        <v>1535</v>
      </c>
      <c r="R360">
        <v>0.97</v>
      </c>
      <c r="S360" t="s">
        <v>37</v>
      </c>
      <c r="T360" s="5" t="s">
        <v>48</v>
      </c>
      <c r="U360" t="s">
        <v>1536</v>
      </c>
      <c r="V360" t="s">
        <v>1537</v>
      </c>
      <c r="W360">
        <v>202</v>
      </c>
      <c r="X360" t="s">
        <v>1045</v>
      </c>
      <c r="Y360" t="str">
        <f>VLOOKUP(C360,'[1]DBS_KPY Sorumlular'!A:C,2,FALSE)</f>
        <v>Mustafa AYDIN</v>
      </c>
      <c r="Z360" t="str">
        <f>VLOOKUP(C360,'[1]DBS_KPY Sorumlular'!A:C,3,FALSE)</f>
        <v>Esra DOLAN</v>
      </c>
      <c r="AA360" t="str">
        <f>VLOOKUP(K360,[1]!Tablo3[#Data],2,FALSE)</f>
        <v>Tayfun VİÇE</v>
      </c>
    </row>
    <row r="361" spans="1:27" x14ac:dyDescent="0.25">
      <c r="A361">
        <v>1649</v>
      </c>
      <c r="B361" t="s">
        <v>27</v>
      </c>
      <c r="C361" t="s">
        <v>40</v>
      </c>
      <c r="D361" t="s">
        <v>41</v>
      </c>
      <c r="F361" t="s">
        <v>95</v>
      </c>
      <c r="G361" t="s">
        <v>96</v>
      </c>
      <c r="H361" t="s">
        <v>1538</v>
      </c>
      <c r="I361" s="4">
        <v>45565.875</v>
      </c>
      <c r="K361" t="s">
        <v>1528</v>
      </c>
      <c r="L361" s="5"/>
      <c r="M361" s="5"/>
      <c r="N361" t="s">
        <v>82</v>
      </c>
      <c r="O361" t="s">
        <v>1539</v>
      </c>
      <c r="R361">
        <v>1</v>
      </c>
      <c r="S361" t="s">
        <v>37</v>
      </c>
      <c r="T361" s="5" t="s">
        <v>100</v>
      </c>
      <c r="W361">
        <v>28</v>
      </c>
      <c r="X361" t="s">
        <v>667</v>
      </c>
      <c r="Y361" t="str">
        <f>VLOOKUP(C361,'[1]DBS_KPY Sorumlular'!A:C,2,FALSE)</f>
        <v>Mustafa AYDIN</v>
      </c>
      <c r="Z361" t="str">
        <f>VLOOKUP(C361,'[1]DBS_KPY Sorumlular'!A:C,3,FALSE)</f>
        <v>Esra DOLAN</v>
      </c>
      <c r="AA361" t="str">
        <f>VLOOKUP(K361,[1]!Tablo3[#Data],2,FALSE)</f>
        <v>Tayfun VİÇE</v>
      </c>
    </row>
    <row r="362" spans="1:27" x14ac:dyDescent="0.25">
      <c r="A362">
        <v>1650</v>
      </c>
      <c r="B362" t="s">
        <v>27</v>
      </c>
      <c r="C362" t="s">
        <v>40</v>
      </c>
      <c r="D362" t="s">
        <v>41</v>
      </c>
      <c r="F362" t="s">
        <v>113</v>
      </c>
      <c r="G362" t="s">
        <v>43</v>
      </c>
      <c r="H362" t="s">
        <v>1540</v>
      </c>
      <c r="I362" s="4">
        <v>45928.875</v>
      </c>
      <c r="J362" t="s">
        <v>1541</v>
      </c>
      <c r="K362" t="s">
        <v>1528</v>
      </c>
      <c r="L362" s="5"/>
      <c r="M362" s="5"/>
      <c r="N362" t="s">
        <v>46</v>
      </c>
      <c r="O362" t="s">
        <v>1542</v>
      </c>
      <c r="R362">
        <v>0.81</v>
      </c>
      <c r="S362" t="s">
        <v>37</v>
      </c>
      <c r="T362" s="5" t="s">
        <v>48</v>
      </c>
      <c r="U362" t="s">
        <v>1543</v>
      </c>
      <c r="V362" t="s">
        <v>1544</v>
      </c>
      <c r="W362">
        <v>87</v>
      </c>
      <c r="X362" t="s">
        <v>119</v>
      </c>
      <c r="Y362" t="str">
        <f>VLOOKUP(C362,'[1]DBS_KPY Sorumlular'!A:C,2,FALSE)</f>
        <v>Mustafa AYDIN</v>
      </c>
      <c r="Z362" t="str">
        <f>VLOOKUP(C362,'[1]DBS_KPY Sorumlular'!A:C,3,FALSE)</f>
        <v>Esra DOLAN</v>
      </c>
      <c r="AA362" t="str">
        <f>VLOOKUP(K362,[1]!Tablo3[#Data],2,FALSE)</f>
        <v>Tayfun VİÇE</v>
      </c>
    </row>
    <row r="363" spans="1:27" x14ac:dyDescent="0.25">
      <c r="A363">
        <v>1651</v>
      </c>
      <c r="B363" t="s">
        <v>27</v>
      </c>
      <c r="C363" t="s">
        <v>73</v>
      </c>
      <c r="D363" t="s">
        <v>73</v>
      </c>
      <c r="F363" t="s">
        <v>74</v>
      </c>
      <c r="G363" t="s">
        <v>30</v>
      </c>
      <c r="H363" t="s">
        <v>1545</v>
      </c>
      <c r="I363" s="4">
        <v>46263.875</v>
      </c>
      <c r="J363" t="s">
        <v>1546</v>
      </c>
      <c r="K363" t="s">
        <v>1528</v>
      </c>
      <c r="L363" s="5" t="s">
        <v>1547</v>
      </c>
      <c r="M363" s="5"/>
      <c r="N363" t="s">
        <v>46</v>
      </c>
      <c r="O363" t="s">
        <v>1548</v>
      </c>
      <c r="R363">
        <v>0.52</v>
      </c>
      <c r="S363" t="s">
        <v>37</v>
      </c>
      <c r="T363" s="5" t="s">
        <v>38</v>
      </c>
      <c r="Y363" t="str">
        <f>VLOOKUP(C363,'[1]DBS_KPY Sorumlular'!A:C,2,FALSE)</f>
        <v>Ayşegül AKGÜL</v>
      </c>
      <c r="Z363" t="str">
        <f>VLOOKUP(C363,'[1]DBS_KPY Sorumlular'!A:C,3,FALSE)</f>
        <v>Sinan ERDAŞ</v>
      </c>
      <c r="AA363" t="str">
        <f>VLOOKUP(K363,[1]!Tablo3[#Data],2,FALSE)</f>
        <v>Tayfun VİÇE</v>
      </c>
    </row>
    <row r="364" spans="1:27" x14ac:dyDescent="0.25">
      <c r="A364">
        <v>1652</v>
      </c>
      <c r="B364" t="s">
        <v>27</v>
      </c>
      <c r="C364" t="s">
        <v>304</v>
      </c>
      <c r="D364" t="s">
        <v>305</v>
      </c>
      <c r="F364" t="s">
        <v>306</v>
      </c>
      <c r="G364" t="s">
        <v>96</v>
      </c>
      <c r="H364" t="s">
        <v>1549</v>
      </c>
      <c r="I364" s="4">
        <v>45544.875</v>
      </c>
      <c r="K364" t="s">
        <v>1550</v>
      </c>
      <c r="L364" s="5" t="s">
        <v>1551</v>
      </c>
      <c r="M364" s="5"/>
      <c r="N364" t="s">
        <v>82</v>
      </c>
      <c r="O364" t="s">
        <v>1552</v>
      </c>
      <c r="R364">
        <v>1</v>
      </c>
      <c r="S364" t="s">
        <v>230</v>
      </c>
      <c r="T364" s="5" t="s">
        <v>38</v>
      </c>
      <c r="W364">
        <v>206</v>
      </c>
      <c r="X364" t="s">
        <v>311</v>
      </c>
      <c r="Y364" t="str">
        <f>VLOOKUP(C364,'[1]DBS_KPY Sorumlular'!A:C,2,FALSE)</f>
        <v>Erkan AKDOĞAN</v>
      </c>
      <c r="Z364" t="str">
        <f>VLOOKUP(C364,'[1]DBS_KPY Sorumlular'!A:C,3,FALSE)</f>
        <v>Kadir TOPÇU</v>
      </c>
      <c r="AA364" t="str">
        <f>VLOOKUP(K364,[1]!Tablo3[#Data],2,FALSE)</f>
        <v>Kadir TOPÇU</v>
      </c>
    </row>
    <row r="365" spans="1:27" x14ac:dyDescent="0.25">
      <c r="A365">
        <v>1653</v>
      </c>
      <c r="B365" t="s">
        <v>27</v>
      </c>
      <c r="C365" t="s">
        <v>73</v>
      </c>
      <c r="D365" t="s">
        <v>73</v>
      </c>
      <c r="F365" t="s">
        <v>74</v>
      </c>
      <c r="G365" t="s">
        <v>30</v>
      </c>
      <c r="H365" t="s">
        <v>1553</v>
      </c>
      <c r="I365" s="4">
        <v>46021.875</v>
      </c>
      <c r="J365" t="s">
        <v>1554</v>
      </c>
      <c r="K365" t="s">
        <v>1550</v>
      </c>
      <c r="L365" s="5" t="s">
        <v>1555</v>
      </c>
      <c r="M365" s="5"/>
      <c r="N365" t="s">
        <v>82</v>
      </c>
      <c r="O365" t="s">
        <v>1556</v>
      </c>
      <c r="R365">
        <v>1</v>
      </c>
      <c r="S365" t="s">
        <v>230</v>
      </c>
      <c r="T365" s="5" t="s">
        <v>38</v>
      </c>
      <c r="Y365" t="str">
        <f>VLOOKUP(C365,'[1]DBS_KPY Sorumlular'!A:C,2,FALSE)</f>
        <v>Ayşegül AKGÜL</v>
      </c>
      <c r="Z365" t="str">
        <f>VLOOKUP(C365,'[1]DBS_KPY Sorumlular'!A:C,3,FALSE)</f>
        <v>Sinan ERDAŞ</v>
      </c>
      <c r="AA365" t="str">
        <f>VLOOKUP(K365,[1]!Tablo3[#Data],2,FALSE)</f>
        <v>Kadir TOPÇU</v>
      </c>
    </row>
    <row r="366" spans="1:27" x14ac:dyDescent="0.25">
      <c r="A366">
        <v>1654</v>
      </c>
      <c r="B366" t="s">
        <v>27</v>
      </c>
      <c r="C366" t="s">
        <v>73</v>
      </c>
      <c r="D366" t="s">
        <v>73</v>
      </c>
      <c r="F366" t="s">
        <v>108</v>
      </c>
      <c r="G366" t="s">
        <v>30</v>
      </c>
      <c r="H366" t="s">
        <v>1557</v>
      </c>
      <c r="I366" s="4">
        <v>45740.875</v>
      </c>
      <c r="J366" t="s">
        <v>1558</v>
      </c>
      <c r="K366" t="s">
        <v>1550</v>
      </c>
      <c r="L366" s="5" t="s">
        <v>1559</v>
      </c>
      <c r="M366" s="5"/>
      <c r="N366" t="s">
        <v>82</v>
      </c>
      <c r="O366" t="s">
        <v>1560</v>
      </c>
      <c r="R366">
        <v>1</v>
      </c>
      <c r="S366" t="s">
        <v>230</v>
      </c>
      <c r="T366" s="5" t="s">
        <v>38</v>
      </c>
      <c r="W366">
        <v>33</v>
      </c>
      <c r="X366" t="s">
        <v>276</v>
      </c>
      <c r="Y366" t="str">
        <f>VLOOKUP(C366,'[1]DBS_KPY Sorumlular'!A:C,2,FALSE)</f>
        <v>Ayşegül AKGÜL</v>
      </c>
      <c r="Z366" t="str">
        <f>VLOOKUP(C366,'[1]DBS_KPY Sorumlular'!A:C,3,FALSE)</f>
        <v>Sinan ERDAŞ</v>
      </c>
      <c r="AA366" t="str">
        <f>VLOOKUP(K366,[1]!Tablo3[#Data],2,FALSE)</f>
        <v>Kadir TOPÇU</v>
      </c>
    </row>
    <row r="367" spans="1:27" x14ac:dyDescent="0.25">
      <c r="A367">
        <v>1655</v>
      </c>
      <c r="B367" t="s">
        <v>27</v>
      </c>
      <c r="C367" t="s">
        <v>73</v>
      </c>
      <c r="D367" t="s">
        <v>73</v>
      </c>
      <c r="F367" t="s">
        <v>74</v>
      </c>
      <c r="G367" t="s">
        <v>30</v>
      </c>
      <c r="H367" t="s">
        <v>1561</v>
      </c>
      <c r="I367" s="4">
        <v>45740.875</v>
      </c>
      <c r="J367" t="s">
        <v>664</v>
      </c>
      <c r="K367" t="s">
        <v>1550</v>
      </c>
      <c r="L367" s="5" t="s">
        <v>1562</v>
      </c>
      <c r="M367" s="5"/>
      <c r="N367" t="s">
        <v>82</v>
      </c>
      <c r="O367" t="s">
        <v>1563</v>
      </c>
      <c r="R367">
        <v>1</v>
      </c>
      <c r="S367" t="s">
        <v>230</v>
      </c>
      <c r="T367" s="5" t="s">
        <v>38</v>
      </c>
      <c r="W367">
        <v>206</v>
      </c>
      <c r="X367" t="s">
        <v>311</v>
      </c>
      <c r="Y367" t="str">
        <f>VLOOKUP(C367,'[1]DBS_KPY Sorumlular'!A:C,2,FALSE)</f>
        <v>Ayşegül AKGÜL</v>
      </c>
      <c r="Z367" t="str">
        <f>VLOOKUP(C367,'[1]DBS_KPY Sorumlular'!A:C,3,FALSE)</f>
        <v>Sinan ERDAŞ</v>
      </c>
      <c r="AA367" t="str">
        <f>VLOOKUP(K367,[1]!Tablo3[#Data],2,FALSE)</f>
        <v>Kadir TOPÇU</v>
      </c>
    </row>
    <row r="368" spans="1:27" x14ac:dyDescent="0.25">
      <c r="A368">
        <v>1656</v>
      </c>
      <c r="B368" t="s">
        <v>27</v>
      </c>
      <c r="C368" t="s">
        <v>40</v>
      </c>
      <c r="D368" t="s">
        <v>41</v>
      </c>
      <c r="F368" t="s">
        <v>113</v>
      </c>
      <c r="G368" t="s">
        <v>43</v>
      </c>
      <c r="H368" t="s">
        <v>1564</v>
      </c>
      <c r="I368" s="4">
        <v>45837.875</v>
      </c>
      <c r="J368" t="s">
        <v>1565</v>
      </c>
      <c r="K368" t="s">
        <v>1550</v>
      </c>
      <c r="L368" s="5"/>
      <c r="M368" s="5"/>
      <c r="N368" t="s">
        <v>46</v>
      </c>
      <c r="O368" t="s">
        <v>1566</v>
      </c>
      <c r="R368">
        <v>0.84</v>
      </c>
      <c r="S368" t="s">
        <v>230</v>
      </c>
      <c r="T368" s="5" t="s">
        <v>58</v>
      </c>
      <c r="U368" t="s">
        <v>286</v>
      </c>
      <c r="V368" t="s">
        <v>287</v>
      </c>
      <c r="W368">
        <v>137</v>
      </c>
      <c r="X368" t="s">
        <v>125</v>
      </c>
      <c r="Y368" t="str">
        <f>VLOOKUP(C368,'[1]DBS_KPY Sorumlular'!A:C,2,FALSE)</f>
        <v>Mustafa AYDIN</v>
      </c>
      <c r="Z368" t="str">
        <f>VLOOKUP(C368,'[1]DBS_KPY Sorumlular'!A:C,3,FALSE)</f>
        <v>Esra DOLAN</v>
      </c>
      <c r="AA368" t="str">
        <f>VLOOKUP(K368,[1]!Tablo3[#Data],2,FALSE)</f>
        <v>Kadir TOPÇU</v>
      </c>
    </row>
    <row r="369" spans="1:27" x14ac:dyDescent="0.25">
      <c r="A369">
        <v>1657</v>
      </c>
      <c r="B369" t="s">
        <v>27</v>
      </c>
      <c r="C369" t="s">
        <v>40</v>
      </c>
      <c r="D369" t="s">
        <v>41</v>
      </c>
      <c r="F369" t="s">
        <v>42</v>
      </c>
      <c r="G369" t="s">
        <v>43</v>
      </c>
      <c r="H369" t="s">
        <v>1567</v>
      </c>
      <c r="I369" s="4">
        <v>46012.875</v>
      </c>
      <c r="J369" t="s">
        <v>1568</v>
      </c>
      <c r="K369" t="s">
        <v>1550</v>
      </c>
      <c r="L369" s="5"/>
      <c r="M369" s="5"/>
      <c r="N369" t="s">
        <v>46</v>
      </c>
      <c r="O369" t="s">
        <v>1569</v>
      </c>
      <c r="R369">
        <v>0.45</v>
      </c>
      <c r="S369" t="s">
        <v>230</v>
      </c>
      <c r="T369" s="5" t="s">
        <v>48</v>
      </c>
      <c r="U369" t="s">
        <v>1570</v>
      </c>
      <c r="V369" t="s">
        <v>1571</v>
      </c>
      <c r="W369">
        <v>114</v>
      </c>
      <c r="X369" t="s">
        <v>136</v>
      </c>
      <c r="Y369" t="str">
        <f>VLOOKUP(C369,'[1]DBS_KPY Sorumlular'!A:C,2,FALSE)</f>
        <v>Mustafa AYDIN</v>
      </c>
      <c r="Z369" t="str">
        <f>VLOOKUP(C369,'[1]DBS_KPY Sorumlular'!A:C,3,FALSE)</f>
        <v>Esra DOLAN</v>
      </c>
      <c r="AA369" t="str">
        <f>VLOOKUP(K369,[1]!Tablo3[#Data],2,FALSE)</f>
        <v>Kadir TOPÇU</v>
      </c>
    </row>
    <row r="370" spans="1:27" x14ac:dyDescent="0.25">
      <c r="A370">
        <v>1658</v>
      </c>
      <c r="B370" t="s">
        <v>27</v>
      </c>
      <c r="C370" t="s">
        <v>40</v>
      </c>
      <c r="D370" t="s">
        <v>41</v>
      </c>
      <c r="F370" t="s">
        <v>1572</v>
      </c>
      <c r="G370" t="s">
        <v>43</v>
      </c>
      <c r="H370" t="s">
        <v>1573</v>
      </c>
      <c r="I370" s="4">
        <v>45960.875</v>
      </c>
      <c r="J370" t="s">
        <v>1574</v>
      </c>
      <c r="K370" t="s">
        <v>1550</v>
      </c>
      <c r="L370" s="5"/>
      <c r="M370" s="5"/>
      <c r="N370" t="s">
        <v>46</v>
      </c>
      <c r="O370" t="s">
        <v>1575</v>
      </c>
      <c r="R370">
        <v>0.26</v>
      </c>
      <c r="S370" t="s">
        <v>230</v>
      </c>
      <c r="T370" s="5" t="s">
        <v>48</v>
      </c>
      <c r="U370" t="s">
        <v>1576</v>
      </c>
      <c r="V370" t="s">
        <v>1573</v>
      </c>
      <c r="W370">
        <v>134</v>
      </c>
      <c r="X370" t="s">
        <v>1577</v>
      </c>
      <c r="Y370" t="str">
        <f>VLOOKUP(C370,'[1]DBS_KPY Sorumlular'!A:C,2,FALSE)</f>
        <v>Mustafa AYDIN</v>
      </c>
      <c r="Z370" t="str">
        <f>VLOOKUP(C370,'[1]DBS_KPY Sorumlular'!A:C,3,FALSE)</f>
        <v>Esra DOLAN</v>
      </c>
      <c r="AA370" t="str">
        <f>VLOOKUP(K370,[1]!Tablo3[#Data],2,FALSE)</f>
        <v>Kadir TOPÇU</v>
      </c>
    </row>
    <row r="371" spans="1:27" x14ac:dyDescent="0.25">
      <c r="A371">
        <v>1659</v>
      </c>
      <c r="B371" t="s">
        <v>27</v>
      </c>
      <c r="C371" t="s">
        <v>73</v>
      </c>
      <c r="D371" t="s">
        <v>73</v>
      </c>
      <c r="F371" t="s">
        <v>74</v>
      </c>
      <c r="G371" t="s">
        <v>30</v>
      </c>
      <c r="H371" t="s">
        <v>1578</v>
      </c>
      <c r="I371" s="4">
        <v>46263.875</v>
      </c>
      <c r="J371" t="s">
        <v>1579</v>
      </c>
      <c r="K371" t="s">
        <v>1106</v>
      </c>
      <c r="L371" s="5" t="s">
        <v>1186</v>
      </c>
      <c r="M371" s="5" t="s">
        <v>1580</v>
      </c>
      <c r="N371" t="s">
        <v>46</v>
      </c>
      <c r="O371" t="s">
        <v>1581</v>
      </c>
      <c r="R371">
        <v>0</v>
      </c>
      <c r="S371" t="s">
        <v>37</v>
      </c>
      <c r="T371" s="5" t="s">
        <v>38</v>
      </c>
      <c r="Y371" t="str">
        <f>VLOOKUP(C371,'[1]DBS_KPY Sorumlular'!A:C,2,FALSE)</f>
        <v>Ayşegül AKGÜL</v>
      </c>
      <c r="Z371" t="str">
        <f>VLOOKUP(C371,'[1]DBS_KPY Sorumlular'!A:C,3,FALSE)</f>
        <v>Sinan ERDAŞ</v>
      </c>
      <c r="AA371" t="str">
        <f>VLOOKUP(K371,[1]!Tablo3[#Data],2,FALSE)</f>
        <v>Tayfun VİÇE</v>
      </c>
    </row>
    <row r="372" spans="1:27" x14ac:dyDescent="0.25">
      <c r="A372">
        <v>1660</v>
      </c>
      <c r="B372" t="s">
        <v>27</v>
      </c>
      <c r="C372" t="s">
        <v>652</v>
      </c>
      <c r="D372" t="s">
        <v>653</v>
      </c>
      <c r="F372" t="s">
        <v>455</v>
      </c>
      <c r="G372" t="s">
        <v>456</v>
      </c>
      <c r="H372" t="s">
        <v>1582</v>
      </c>
      <c r="I372" s="4">
        <v>45762.875</v>
      </c>
      <c r="J372" t="s">
        <v>1583</v>
      </c>
      <c r="K372" t="s">
        <v>678</v>
      </c>
      <c r="L372" s="5" t="s">
        <v>1584</v>
      </c>
      <c r="M372" s="5" t="s">
        <v>1585</v>
      </c>
      <c r="N372" t="s">
        <v>82</v>
      </c>
      <c r="O372" t="s">
        <v>1586</v>
      </c>
      <c r="R372">
        <v>1</v>
      </c>
      <c r="S372" t="s">
        <v>230</v>
      </c>
      <c r="T372" s="5" t="s">
        <v>48</v>
      </c>
      <c r="U372" t="s">
        <v>1587</v>
      </c>
      <c r="V372" t="s">
        <v>1588</v>
      </c>
      <c r="W372">
        <v>144</v>
      </c>
      <c r="X372" t="s">
        <v>463</v>
      </c>
      <c r="Y372" t="str">
        <f>VLOOKUP(C372,'[1]DBS_KPY Sorumlular'!A:C,2,FALSE)</f>
        <v>Seyithan İŞİK</v>
      </c>
      <c r="Z372" t="str">
        <f>VLOOKUP(C372,'[1]DBS_KPY Sorumlular'!A:C,3,FALSE)</f>
        <v>Korhan KÖROĞLU</v>
      </c>
      <c r="AA372" t="str">
        <f>VLOOKUP(K372,[1]!Tablo3[#Data],2,FALSE)</f>
        <v>Kadir TOPÇU</v>
      </c>
    </row>
    <row r="373" spans="1:27" x14ac:dyDescent="0.25">
      <c r="A373">
        <v>1661</v>
      </c>
      <c r="B373" t="s">
        <v>27</v>
      </c>
      <c r="C373" t="s">
        <v>652</v>
      </c>
      <c r="D373" t="s">
        <v>653</v>
      </c>
      <c r="F373" t="s">
        <v>455</v>
      </c>
      <c r="G373" t="s">
        <v>456</v>
      </c>
      <c r="H373" t="s">
        <v>1589</v>
      </c>
      <c r="I373" s="4">
        <v>45809.875</v>
      </c>
      <c r="J373" t="s">
        <v>1590</v>
      </c>
      <c r="K373" t="s">
        <v>280</v>
      </c>
      <c r="L373" s="5" t="s">
        <v>1591</v>
      </c>
      <c r="M373" s="5" t="s">
        <v>1585</v>
      </c>
      <c r="N373" t="s">
        <v>46</v>
      </c>
      <c r="O373" t="s">
        <v>1592</v>
      </c>
      <c r="R373">
        <v>0.15</v>
      </c>
      <c r="S373" t="s">
        <v>57</v>
      </c>
      <c r="T373" s="5" t="s">
        <v>48</v>
      </c>
      <c r="U373" t="s">
        <v>1593</v>
      </c>
      <c r="V373" t="s">
        <v>1594</v>
      </c>
      <c r="W373">
        <v>144</v>
      </c>
      <c r="X373" t="s">
        <v>463</v>
      </c>
      <c r="Y373" t="str">
        <f>VLOOKUP(C373,'[1]DBS_KPY Sorumlular'!A:C,2,FALSE)</f>
        <v>Seyithan İŞİK</v>
      </c>
      <c r="Z373" t="str">
        <f>VLOOKUP(C373,'[1]DBS_KPY Sorumlular'!A:C,3,FALSE)</f>
        <v>Korhan KÖROĞLU</v>
      </c>
      <c r="AA373" t="str">
        <f>VLOOKUP(K373,[1]!Tablo3[#Data],2,FALSE)</f>
        <v>Erkan AKDOĞAN</v>
      </c>
    </row>
    <row r="374" spans="1:27" x14ac:dyDescent="0.25">
      <c r="A374">
        <v>1662</v>
      </c>
      <c r="B374" t="s">
        <v>27</v>
      </c>
      <c r="C374" t="s">
        <v>652</v>
      </c>
      <c r="D374" t="s">
        <v>653</v>
      </c>
      <c r="F374" t="s">
        <v>455</v>
      </c>
      <c r="G374" t="s">
        <v>456</v>
      </c>
      <c r="H374" t="s">
        <v>1595</v>
      </c>
      <c r="I374" s="4">
        <v>45809.875</v>
      </c>
      <c r="J374" t="s">
        <v>1596</v>
      </c>
      <c r="K374" t="s">
        <v>217</v>
      </c>
      <c r="L374" s="5" t="s">
        <v>1597</v>
      </c>
      <c r="M374" s="5" t="s">
        <v>1585</v>
      </c>
      <c r="N374" t="s">
        <v>46</v>
      </c>
      <c r="O374" t="s">
        <v>1598</v>
      </c>
      <c r="R374">
        <v>0.3</v>
      </c>
      <c r="S374" t="s">
        <v>57</v>
      </c>
      <c r="T374" s="5" t="s">
        <v>48</v>
      </c>
      <c r="U374" t="s">
        <v>1599</v>
      </c>
      <c r="V374" t="s">
        <v>1600</v>
      </c>
      <c r="W374">
        <v>144</v>
      </c>
      <c r="X374" t="s">
        <v>463</v>
      </c>
      <c r="Y374" t="str">
        <f>VLOOKUP(C374,'[1]DBS_KPY Sorumlular'!A:C,2,FALSE)</f>
        <v>Seyithan İŞİK</v>
      </c>
      <c r="Z374" t="str">
        <f>VLOOKUP(C374,'[1]DBS_KPY Sorumlular'!A:C,3,FALSE)</f>
        <v>Korhan KÖROĞLU</v>
      </c>
      <c r="AA374" t="str">
        <f>VLOOKUP(K374,[1]!Tablo3[#Data],2,FALSE)</f>
        <v>Erkan AKDOĞAN</v>
      </c>
    </row>
    <row r="375" spans="1:27" x14ac:dyDescent="0.25">
      <c r="A375">
        <v>1663</v>
      </c>
      <c r="B375" t="s">
        <v>27</v>
      </c>
      <c r="C375" t="s">
        <v>843</v>
      </c>
      <c r="D375" t="s">
        <v>1601</v>
      </c>
      <c r="F375" t="s">
        <v>1602</v>
      </c>
      <c r="G375" t="s">
        <v>291</v>
      </c>
      <c r="H375" t="s">
        <v>1603</v>
      </c>
      <c r="I375" s="4">
        <v>46497.875</v>
      </c>
      <c r="J375" t="s">
        <v>1604</v>
      </c>
      <c r="K375" t="s">
        <v>678</v>
      </c>
      <c r="L375" s="5" t="s">
        <v>1605</v>
      </c>
      <c r="M375" s="5"/>
      <c r="N375" t="s">
        <v>46</v>
      </c>
      <c r="O375" t="s">
        <v>1606</v>
      </c>
      <c r="R375">
        <v>0.2324</v>
      </c>
      <c r="S375" t="s">
        <v>230</v>
      </c>
      <c r="T375" s="5" t="s">
        <v>38</v>
      </c>
      <c r="W375">
        <v>23</v>
      </c>
      <c r="X375" t="s">
        <v>295</v>
      </c>
      <c r="Y375" t="str">
        <f>VLOOKUP(C375,'[1]DBS_KPY Sorumlular'!A:C,2,FALSE)</f>
        <v>Sinan ERDAŞ</v>
      </c>
      <c r="Z375" t="str">
        <f>VLOOKUP(C375,'[1]DBS_KPY Sorumlular'!A:C,3,FALSE)</f>
        <v>Ayşegül AKGÜL</v>
      </c>
      <c r="AA375" t="str">
        <f>VLOOKUP(K375,[1]!Tablo3[#Data],2,FALSE)</f>
        <v>Kadir TOPÇU</v>
      </c>
    </row>
    <row r="376" spans="1:27" x14ac:dyDescent="0.25">
      <c r="A376">
        <v>1664</v>
      </c>
      <c r="B376" t="s">
        <v>27</v>
      </c>
      <c r="C376" t="s">
        <v>843</v>
      </c>
      <c r="D376" t="s">
        <v>1601</v>
      </c>
      <c r="F376" t="s">
        <v>1602</v>
      </c>
      <c r="G376" t="s">
        <v>291</v>
      </c>
      <c r="H376" t="s">
        <v>1607</v>
      </c>
      <c r="I376" s="4">
        <v>46377.875</v>
      </c>
      <c r="J376" t="s">
        <v>1608</v>
      </c>
      <c r="K376" t="s">
        <v>678</v>
      </c>
      <c r="L376" s="5" t="s">
        <v>1609</v>
      </c>
      <c r="M376" s="5"/>
      <c r="N376" t="s">
        <v>46</v>
      </c>
      <c r="O376" t="s">
        <v>1610</v>
      </c>
      <c r="R376">
        <v>0.26</v>
      </c>
      <c r="S376" t="s">
        <v>230</v>
      </c>
      <c r="T376" s="5" t="s">
        <v>38</v>
      </c>
      <c r="W376">
        <v>23</v>
      </c>
      <c r="X376" t="s">
        <v>295</v>
      </c>
      <c r="Y376" t="str">
        <f>VLOOKUP(C376,'[1]DBS_KPY Sorumlular'!A:C,2,FALSE)</f>
        <v>Sinan ERDAŞ</v>
      </c>
      <c r="Z376" t="str">
        <f>VLOOKUP(C376,'[1]DBS_KPY Sorumlular'!A:C,3,FALSE)</f>
        <v>Ayşegül AKGÜL</v>
      </c>
      <c r="AA376" t="str">
        <f>VLOOKUP(K376,[1]!Tablo3[#Data],2,FALSE)</f>
        <v>Kadir TOPÇU</v>
      </c>
    </row>
    <row r="377" spans="1:27" x14ac:dyDescent="0.25">
      <c r="A377">
        <v>1665</v>
      </c>
      <c r="B377" t="s">
        <v>27</v>
      </c>
      <c r="C377" t="s">
        <v>843</v>
      </c>
      <c r="D377" t="s">
        <v>1601</v>
      </c>
      <c r="F377" t="s">
        <v>1602</v>
      </c>
      <c r="G377" t="s">
        <v>291</v>
      </c>
      <c r="H377" t="s">
        <v>1611</v>
      </c>
      <c r="I377" s="4">
        <v>46197.875</v>
      </c>
      <c r="J377" t="s">
        <v>1612</v>
      </c>
      <c r="K377" t="s">
        <v>1360</v>
      </c>
      <c r="L377" s="5" t="s">
        <v>1613</v>
      </c>
      <c r="M377" s="5"/>
      <c r="N377" t="s">
        <v>46</v>
      </c>
      <c r="O377" t="s">
        <v>1614</v>
      </c>
      <c r="R377">
        <v>0.42959999999999998</v>
      </c>
      <c r="S377" t="s">
        <v>230</v>
      </c>
      <c r="T377" s="5" t="s">
        <v>38</v>
      </c>
      <c r="W377">
        <v>23</v>
      </c>
      <c r="X377" t="s">
        <v>295</v>
      </c>
      <c r="Y377" t="str">
        <f>VLOOKUP(C377,'[1]DBS_KPY Sorumlular'!A:C,2,FALSE)</f>
        <v>Sinan ERDAŞ</v>
      </c>
      <c r="Z377" t="str">
        <f>VLOOKUP(C377,'[1]DBS_KPY Sorumlular'!A:C,3,FALSE)</f>
        <v>Ayşegül AKGÜL</v>
      </c>
      <c r="AA377" t="str">
        <f>VLOOKUP(K377,[1]!Tablo3[#Data],2,FALSE)</f>
        <v>Kadir TOPÇU</v>
      </c>
    </row>
    <row r="378" spans="1:27" x14ac:dyDescent="0.25">
      <c r="A378">
        <v>1666</v>
      </c>
      <c r="B378" t="s">
        <v>27</v>
      </c>
      <c r="C378" t="s">
        <v>40</v>
      </c>
      <c r="D378" t="s">
        <v>65</v>
      </c>
      <c r="F378" t="s">
        <v>66</v>
      </c>
      <c r="G378" t="s">
        <v>67</v>
      </c>
      <c r="H378" t="s">
        <v>1615</v>
      </c>
      <c r="I378" s="4">
        <v>45837.875</v>
      </c>
      <c r="J378" t="s">
        <v>1616</v>
      </c>
      <c r="K378" t="s">
        <v>1157</v>
      </c>
      <c r="L378" s="5" t="s">
        <v>1617</v>
      </c>
      <c r="M378" s="5" t="s">
        <v>1585</v>
      </c>
      <c r="N378" t="s">
        <v>46</v>
      </c>
      <c r="O378" t="s">
        <v>1618</v>
      </c>
      <c r="R378">
        <v>0.98</v>
      </c>
      <c r="S378" t="s">
        <v>37</v>
      </c>
      <c r="T378" s="5" t="s">
        <v>100</v>
      </c>
      <c r="W378">
        <v>79</v>
      </c>
      <c r="X378" t="s">
        <v>1619</v>
      </c>
      <c r="Y378" t="str">
        <f>VLOOKUP(C378,'[1]DBS_KPY Sorumlular'!A:C,2,FALSE)</f>
        <v>Mustafa AYDIN</v>
      </c>
      <c r="Z378" t="str">
        <f>VLOOKUP(C378,'[1]DBS_KPY Sorumlular'!A:C,3,FALSE)</f>
        <v>Esra DOLAN</v>
      </c>
      <c r="AA378" t="str">
        <f>VLOOKUP(K378,[1]!Tablo3[#Data],2,FALSE)</f>
        <v>Tayfun VİÇE</v>
      </c>
    </row>
    <row r="379" spans="1:27" x14ac:dyDescent="0.25">
      <c r="A379">
        <v>1667</v>
      </c>
      <c r="B379" t="s">
        <v>27</v>
      </c>
      <c r="C379" t="s">
        <v>40</v>
      </c>
      <c r="D379" t="s">
        <v>65</v>
      </c>
      <c r="F379" t="s">
        <v>66</v>
      </c>
      <c r="G379" t="s">
        <v>67</v>
      </c>
      <c r="H379" t="s">
        <v>1620</v>
      </c>
      <c r="I379" s="4">
        <v>45559.875</v>
      </c>
      <c r="J379" t="s">
        <v>1621</v>
      </c>
      <c r="K379" t="s">
        <v>1528</v>
      </c>
      <c r="L379" s="5" t="s">
        <v>1622</v>
      </c>
      <c r="M379" s="5" t="s">
        <v>1580</v>
      </c>
      <c r="N379" t="s">
        <v>82</v>
      </c>
      <c r="O379" t="s">
        <v>1623</v>
      </c>
      <c r="R379">
        <v>1</v>
      </c>
      <c r="S379" t="s">
        <v>37</v>
      </c>
      <c r="T379" s="5" t="s">
        <v>100</v>
      </c>
      <c r="W379">
        <v>103</v>
      </c>
      <c r="X379" t="s">
        <v>353</v>
      </c>
      <c r="Y379" t="str">
        <f>VLOOKUP(C379,'[1]DBS_KPY Sorumlular'!A:C,2,FALSE)</f>
        <v>Mustafa AYDIN</v>
      </c>
      <c r="Z379" t="str">
        <f>VLOOKUP(C379,'[1]DBS_KPY Sorumlular'!A:C,3,FALSE)</f>
        <v>Esra DOLAN</v>
      </c>
      <c r="AA379" t="str">
        <f>VLOOKUP(K379,[1]!Tablo3[#Data],2,FALSE)</f>
        <v>Tayfun VİÇE</v>
      </c>
    </row>
    <row r="380" spans="1:27" x14ac:dyDescent="0.25">
      <c r="A380">
        <v>1668</v>
      </c>
      <c r="B380" t="s">
        <v>27</v>
      </c>
      <c r="C380" t="s">
        <v>40</v>
      </c>
      <c r="D380" t="s">
        <v>65</v>
      </c>
      <c r="F380" t="s">
        <v>66</v>
      </c>
      <c r="G380" t="s">
        <v>67</v>
      </c>
      <c r="H380" t="s">
        <v>1624</v>
      </c>
      <c r="I380" s="4">
        <v>45868.875</v>
      </c>
      <c r="J380" t="s">
        <v>1625</v>
      </c>
      <c r="K380" t="s">
        <v>1334</v>
      </c>
      <c r="L380" s="5"/>
      <c r="M380" s="5" t="s">
        <v>1585</v>
      </c>
      <c r="N380" t="s">
        <v>46</v>
      </c>
      <c r="O380" t="s">
        <v>1626</v>
      </c>
      <c r="R380">
        <v>0.8</v>
      </c>
      <c r="S380" t="s">
        <v>57</v>
      </c>
      <c r="T380" s="5" t="s">
        <v>48</v>
      </c>
      <c r="U380" t="s">
        <v>1627</v>
      </c>
      <c r="V380" t="s">
        <v>1628</v>
      </c>
      <c r="W380">
        <v>203</v>
      </c>
      <c r="X380" t="s">
        <v>72</v>
      </c>
      <c r="Y380" t="str">
        <f>VLOOKUP(C380,'[1]DBS_KPY Sorumlular'!A:C,2,FALSE)</f>
        <v>Mustafa AYDIN</v>
      </c>
      <c r="Z380" t="str">
        <f>VLOOKUP(C380,'[1]DBS_KPY Sorumlular'!A:C,3,FALSE)</f>
        <v>Esra DOLAN</v>
      </c>
      <c r="AA380" t="str">
        <f>VLOOKUP(K380,[1]!Tablo3[#Data],2,FALSE)</f>
        <v>Erkan AKDOĞAN</v>
      </c>
    </row>
    <row r="381" spans="1:27" x14ac:dyDescent="0.25">
      <c r="A381">
        <v>1669</v>
      </c>
      <c r="B381" t="s">
        <v>27</v>
      </c>
      <c r="C381" t="s">
        <v>40</v>
      </c>
      <c r="D381" t="s">
        <v>65</v>
      </c>
      <c r="F381" t="s">
        <v>66</v>
      </c>
      <c r="G381" t="s">
        <v>67</v>
      </c>
      <c r="H381" t="s">
        <v>1629</v>
      </c>
      <c r="I381" s="4">
        <v>45868.875</v>
      </c>
      <c r="J381" t="s">
        <v>1625</v>
      </c>
      <c r="K381" t="s">
        <v>1360</v>
      </c>
      <c r="L381" s="5"/>
      <c r="M381" s="5"/>
      <c r="N381" t="s">
        <v>46</v>
      </c>
      <c r="O381" t="s">
        <v>1630</v>
      </c>
      <c r="R381">
        <v>0.75</v>
      </c>
      <c r="S381" t="s">
        <v>230</v>
      </c>
      <c r="T381" s="5" t="s">
        <v>48</v>
      </c>
      <c r="U381" t="s">
        <v>1631</v>
      </c>
      <c r="V381" t="s">
        <v>1632</v>
      </c>
      <c r="W381">
        <v>203</v>
      </c>
      <c r="X381" t="s">
        <v>72</v>
      </c>
      <c r="Y381" t="str">
        <f>VLOOKUP(C381,'[1]DBS_KPY Sorumlular'!A:C,2,FALSE)</f>
        <v>Mustafa AYDIN</v>
      </c>
      <c r="Z381" t="str">
        <f>VLOOKUP(C381,'[1]DBS_KPY Sorumlular'!A:C,3,FALSE)</f>
        <v>Esra DOLAN</v>
      </c>
      <c r="AA381" t="str">
        <f>VLOOKUP(K381,[1]!Tablo3[#Data],2,FALSE)</f>
        <v>Kadir TOPÇU</v>
      </c>
    </row>
    <row r="382" spans="1:27" x14ac:dyDescent="0.25">
      <c r="A382">
        <v>1670</v>
      </c>
      <c r="B382" t="s">
        <v>27</v>
      </c>
      <c r="C382" t="s">
        <v>40</v>
      </c>
      <c r="D382" t="s">
        <v>65</v>
      </c>
      <c r="F382" t="s">
        <v>66</v>
      </c>
      <c r="G382" t="s">
        <v>30</v>
      </c>
      <c r="H382" t="s">
        <v>1633</v>
      </c>
      <c r="I382" s="4">
        <v>45837.875</v>
      </c>
      <c r="J382" t="s">
        <v>1634</v>
      </c>
      <c r="K382" t="s">
        <v>1398</v>
      </c>
      <c r="L382" s="5"/>
      <c r="M382" s="5" t="s">
        <v>1580</v>
      </c>
      <c r="N382" t="s">
        <v>46</v>
      </c>
      <c r="O382" t="s">
        <v>1635</v>
      </c>
      <c r="R382">
        <v>0.95</v>
      </c>
      <c r="S382" t="s">
        <v>37</v>
      </c>
      <c r="T382" s="5" t="s">
        <v>100</v>
      </c>
      <c r="W382">
        <v>65</v>
      </c>
      <c r="X382" t="s">
        <v>374</v>
      </c>
      <c r="Y382" t="str">
        <f>VLOOKUP(C382,'[1]DBS_KPY Sorumlular'!A:C,2,FALSE)</f>
        <v>Mustafa AYDIN</v>
      </c>
      <c r="Z382" t="str">
        <f>VLOOKUP(C382,'[1]DBS_KPY Sorumlular'!A:C,3,FALSE)</f>
        <v>Esra DOLAN</v>
      </c>
      <c r="AA382" t="str">
        <f>VLOOKUP(K382,[1]!Tablo3[#Data],2,FALSE)</f>
        <v>Tayfun VİÇE</v>
      </c>
    </row>
    <row r="383" spans="1:27" x14ac:dyDescent="0.25">
      <c r="A383">
        <v>1671</v>
      </c>
      <c r="B383" t="s">
        <v>27</v>
      </c>
      <c r="C383" t="s">
        <v>40</v>
      </c>
      <c r="D383" t="s">
        <v>65</v>
      </c>
      <c r="F383" t="s">
        <v>66</v>
      </c>
      <c r="G383" t="s">
        <v>30</v>
      </c>
      <c r="H383" t="s">
        <v>1636</v>
      </c>
      <c r="I383" s="4">
        <v>45746.875</v>
      </c>
      <c r="J383" t="s">
        <v>1637</v>
      </c>
      <c r="K383" t="s">
        <v>152</v>
      </c>
      <c r="L383" s="5"/>
      <c r="M383" s="5" t="s">
        <v>1638</v>
      </c>
      <c r="N383" t="s">
        <v>82</v>
      </c>
      <c r="O383" t="s">
        <v>1639</v>
      </c>
      <c r="R383">
        <v>1</v>
      </c>
      <c r="S383" t="s">
        <v>57</v>
      </c>
      <c r="T383" s="5" t="s">
        <v>100</v>
      </c>
      <c r="W383">
        <v>207</v>
      </c>
      <c r="X383" t="s">
        <v>472</v>
      </c>
      <c r="Y383" t="str">
        <f>VLOOKUP(C383,'[1]DBS_KPY Sorumlular'!A:C,2,FALSE)</f>
        <v>Mustafa AYDIN</v>
      </c>
      <c r="Z383" t="str">
        <f>VLOOKUP(C383,'[1]DBS_KPY Sorumlular'!A:C,3,FALSE)</f>
        <v>Esra DOLAN</v>
      </c>
      <c r="AA383" t="str">
        <f>VLOOKUP(K383,[1]!Tablo3[#Data],2,FALSE)</f>
        <v>Erkan AKDOĞAN</v>
      </c>
    </row>
    <row r="384" spans="1:27" x14ac:dyDescent="0.25">
      <c r="A384">
        <v>1672</v>
      </c>
      <c r="B384" t="s">
        <v>27</v>
      </c>
      <c r="C384" t="s">
        <v>40</v>
      </c>
      <c r="D384" t="s">
        <v>65</v>
      </c>
      <c r="F384" t="s">
        <v>66</v>
      </c>
      <c r="G384" t="s">
        <v>67</v>
      </c>
      <c r="H384" t="s">
        <v>1640</v>
      </c>
      <c r="I384" s="4">
        <v>46126.875</v>
      </c>
      <c r="J384" t="s">
        <v>1641</v>
      </c>
      <c r="K384" t="s">
        <v>217</v>
      </c>
      <c r="L384" s="5"/>
      <c r="M384" s="5" t="s">
        <v>1638</v>
      </c>
      <c r="N384" t="s">
        <v>46</v>
      </c>
      <c r="O384" t="s">
        <v>1642</v>
      </c>
      <c r="R384">
        <v>0.3</v>
      </c>
      <c r="S384" t="s">
        <v>57</v>
      </c>
      <c r="T384" s="5" t="s">
        <v>48</v>
      </c>
      <c r="U384" t="s">
        <v>1643</v>
      </c>
      <c r="V384" t="s">
        <v>1644</v>
      </c>
      <c r="W384">
        <v>203</v>
      </c>
      <c r="X384" t="s">
        <v>72</v>
      </c>
      <c r="Y384" t="str">
        <f>VLOOKUP(C384,'[1]DBS_KPY Sorumlular'!A:C,2,FALSE)</f>
        <v>Mustafa AYDIN</v>
      </c>
      <c r="Z384" t="str">
        <f>VLOOKUP(C384,'[1]DBS_KPY Sorumlular'!A:C,3,FALSE)</f>
        <v>Esra DOLAN</v>
      </c>
      <c r="AA384" t="str">
        <f>VLOOKUP(K384,[1]!Tablo3[#Data],2,FALSE)</f>
        <v>Erkan AKDOĞAN</v>
      </c>
    </row>
    <row r="385" spans="1:27" x14ac:dyDescent="0.25">
      <c r="A385">
        <v>1673</v>
      </c>
      <c r="B385" t="s">
        <v>27</v>
      </c>
      <c r="C385" t="s">
        <v>40</v>
      </c>
      <c r="D385" t="s">
        <v>65</v>
      </c>
      <c r="F385" t="s">
        <v>66</v>
      </c>
      <c r="G385" t="s">
        <v>30</v>
      </c>
      <c r="H385" t="s">
        <v>1645</v>
      </c>
      <c r="I385" s="4">
        <v>45837.875</v>
      </c>
      <c r="J385" t="s">
        <v>1646</v>
      </c>
      <c r="K385" t="s">
        <v>325</v>
      </c>
      <c r="L385" s="5" t="s">
        <v>1647</v>
      </c>
      <c r="M385" s="5" t="s">
        <v>1638</v>
      </c>
      <c r="N385" t="s">
        <v>82</v>
      </c>
      <c r="O385" t="s">
        <v>1648</v>
      </c>
      <c r="R385">
        <v>1</v>
      </c>
      <c r="S385" t="s">
        <v>230</v>
      </c>
      <c r="T385" s="5" t="s">
        <v>48</v>
      </c>
      <c r="U385" t="s">
        <v>1649</v>
      </c>
      <c r="V385" t="s">
        <v>1650</v>
      </c>
      <c r="W385">
        <v>207</v>
      </c>
      <c r="X385" t="s">
        <v>472</v>
      </c>
      <c r="Y385" t="str">
        <f>VLOOKUP(C385,'[1]DBS_KPY Sorumlular'!A:C,2,FALSE)</f>
        <v>Mustafa AYDIN</v>
      </c>
      <c r="Z385" t="str">
        <f>VLOOKUP(C385,'[1]DBS_KPY Sorumlular'!A:C,3,FALSE)</f>
        <v>Esra DOLAN</v>
      </c>
      <c r="AA385" t="str">
        <f>VLOOKUP(K385,[1]!Tablo3[#Data],2,FALSE)</f>
        <v>Kadir TOPÇU</v>
      </c>
    </row>
    <row r="386" spans="1:27" x14ac:dyDescent="0.25">
      <c r="A386">
        <v>1674</v>
      </c>
      <c r="B386" t="s">
        <v>27</v>
      </c>
      <c r="C386" t="s">
        <v>40</v>
      </c>
      <c r="D386" t="s">
        <v>65</v>
      </c>
      <c r="F386" t="s">
        <v>66</v>
      </c>
      <c r="G386" t="s">
        <v>67</v>
      </c>
      <c r="H386" t="s">
        <v>1651</v>
      </c>
      <c r="I386" s="4">
        <v>45868.875</v>
      </c>
      <c r="J386" t="s">
        <v>1652</v>
      </c>
      <c r="K386" t="s">
        <v>611</v>
      </c>
      <c r="L386" s="5"/>
      <c r="M386" s="5" t="s">
        <v>1638</v>
      </c>
      <c r="N386" t="s">
        <v>46</v>
      </c>
      <c r="O386" t="s">
        <v>1653</v>
      </c>
      <c r="R386">
        <v>0.95</v>
      </c>
      <c r="S386" t="s">
        <v>230</v>
      </c>
      <c r="T386" s="5" t="s">
        <v>48</v>
      </c>
      <c r="U386" t="s">
        <v>1654</v>
      </c>
      <c r="V386" t="s">
        <v>1655</v>
      </c>
      <c r="W386">
        <v>203</v>
      </c>
      <c r="X386" t="s">
        <v>72</v>
      </c>
      <c r="Y386" t="str">
        <f>VLOOKUP(C386,'[1]DBS_KPY Sorumlular'!A:C,2,FALSE)</f>
        <v>Mustafa AYDIN</v>
      </c>
      <c r="Z386" t="str">
        <f>VLOOKUP(C386,'[1]DBS_KPY Sorumlular'!A:C,3,FALSE)</f>
        <v>Esra DOLAN</v>
      </c>
      <c r="AA386" t="str">
        <f>VLOOKUP(K386,[1]!Tablo3[#Data],2,FALSE)</f>
        <v>Kadir TOPÇU</v>
      </c>
    </row>
    <row r="387" spans="1:27" x14ac:dyDescent="0.25">
      <c r="A387">
        <v>1675</v>
      </c>
      <c r="B387" t="s">
        <v>27</v>
      </c>
      <c r="C387" t="s">
        <v>40</v>
      </c>
      <c r="D387" t="s">
        <v>65</v>
      </c>
      <c r="F387" t="s">
        <v>66</v>
      </c>
      <c r="G387" t="s">
        <v>67</v>
      </c>
      <c r="H387" t="s">
        <v>1656</v>
      </c>
      <c r="I387" s="4">
        <v>45837.875</v>
      </c>
      <c r="J387" t="s">
        <v>1657</v>
      </c>
      <c r="K387" t="s">
        <v>1002</v>
      </c>
      <c r="L387" s="5" t="s">
        <v>1658</v>
      </c>
      <c r="M387" s="5" t="s">
        <v>1638</v>
      </c>
      <c r="N387" t="s">
        <v>46</v>
      </c>
      <c r="O387" t="s">
        <v>1659</v>
      </c>
      <c r="R387">
        <v>0.95</v>
      </c>
      <c r="S387" t="s">
        <v>230</v>
      </c>
      <c r="T387" s="5" t="s">
        <v>48</v>
      </c>
      <c r="U387" t="s">
        <v>1660</v>
      </c>
      <c r="V387" t="s">
        <v>1661</v>
      </c>
      <c r="W387">
        <v>207</v>
      </c>
      <c r="X387" t="s">
        <v>472</v>
      </c>
      <c r="Y387" t="str">
        <f>VLOOKUP(C387,'[1]DBS_KPY Sorumlular'!A:C,2,FALSE)</f>
        <v>Mustafa AYDIN</v>
      </c>
      <c r="Z387" t="str">
        <f>VLOOKUP(C387,'[1]DBS_KPY Sorumlular'!A:C,3,FALSE)</f>
        <v>Esra DOLAN</v>
      </c>
      <c r="AA387" t="str">
        <f>VLOOKUP(K387,[1]!Tablo3[#Data],2,FALSE)</f>
        <v>Kadir TOPÇU</v>
      </c>
    </row>
    <row r="388" spans="1:27" x14ac:dyDescent="0.25">
      <c r="A388">
        <v>1676</v>
      </c>
      <c r="B388" t="s">
        <v>27</v>
      </c>
      <c r="C388" t="s">
        <v>40</v>
      </c>
      <c r="D388" t="s">
        <v>65</v>
      </c>
      <c r="F388" t="s">
        <v>486</v>
      </c>
      <c r="G388" t="s">
        <v>67</v>
      </c>
      <c r="H388" t="s">
        <v>1662</v>
      </c>
      <c r="I388" s="4">
        <v>45867.875</v>
      </c>
      <c r="J388" t="s">
        <v>1663</v>
      </c>
      <c r="K388" t="s">
        <v>1029</v>
      </c>
      <c r="L388" s="5"/>
      <c r="M388" s="5" t="s">
        <v>1638</v>
      </c>
      <c r="N388" t="s">
        <v>46</v>
      </c>
      <c r="O388" t="s">
        <v>1664</v>
      </c>
      <c r="R388">
        <v>0.98</v>
      </c>
      <c r="S388" t="s">
        <v>37</v>
      </c>
      <c r="T388" s="5" t="s">
        <v>48</v>
      </c>
      <c r="U388" t="s">
        <v>1665</v>
      </c>
      <c r="V388" t="s">
        <v>1666</v>
      </c>
      <c r="W388">
        <v>203</v>
      </c>
      <c r="X388" t="s">
        <v>72</v>
      </c>
      <c r="Y388" t="str">
        <f>VLOOKUP(C388,'[1]DBS_KPY Sorumlular'!A:C,2,FALSE)</f>
        <v>Mustafa AYDIN</v>
      </c>
      <c r="Z388" t="str">
        <f>VLOOKUP(C388,'[1]DBS_KPY Sorumlular'!A:C,3,FALSE)</f>
        <v>Esra DOLAN</v>
      </c>
      <c r="AA388" t="str">
        <f>VLOOKUP(K388,[1]!Tablo3[#Data],2,FALSE)</f>
        <v>Tayfun VİÇE</v>
      </c>
    </row>
    <row r="389" spans="1:27" x14ac:dyDescent="0.25">
      <c r="A389">
        <v>1677</v>
      </c>
      <c r="B389" t="s">
        <v>27</v>
      </c>
      <c r="C389" t="s">
        <v>40</v>
      </c>
      <c r="D389" t="s">
        <v>65</v>
      </c>
      <c r="F389" t="s">
        <v>52</v>
      </c>
      <c r="G389" t="s">
        <v>67</v>
      </c>
      <c r="H389" t="s">
        <v>1667</v>
      </c>
      <c r="I389" s="4">
        <v>45899.875</v>
      </c>
      <c r="J389" t="s">
        <v>1668</v>
      </c>
      <c r="K389" t="s">
        <v>280</v>
      </c>
      <c r="L389" s="5"/>
      <c r="M389" s="5" t="s">
        <v>1638</v>
      </c>
      <c r="N389" t="s">
        <v>46</v>
      </c>
      <c r="O389" t="s">
        <v>1669</v>
      </c>
      <c r="R389">
        <v>0.05</v>
      </c>
      <c r="S389" t="s">
        <v>57</v>
      </c>
      <c r="T389" s="5" t="s">
        <v>100</v>
      </c>
      <c r="W389">
        <v>203</v>
      </c>
      <c r="X389" t="s">
        <v>72</v>
      </c>
      <c r="Y389" t="str">
        <f>VLOOKUP(C389,'[1]DBS_KPY Sorumlular'!A:C,2,FALSE)</f>
        <v>Mustafa AYDIN</v>
      </c>
      <c r="Z389" t="str">
        <f>VLOOKUP(C389,'[1]DBS_KPY Sorumlular'!A:C,3,FALSE)</f>
        <v>Esra DOLAN</v>
      </c>
      <c r="AA389" t="str">
        <f>VLOOKUP(K389,[1]!Tablo3[#Data],2,FALSE)</f>
        <v>Erkan AKDOĞAN</v>
      </c>
    </row>
    <row r="390" spans="1:27" x14ac:dyDescent="0.25">
      <c r="A390">
        <v>1678</v>
      </c>
      <c r="B390" t="s">
        <v>27</v>
      </c>
      <c r="C390" t="s">
        <v>40</v>
      </c>
      <c r="D390" t="s">
        <v>65</v>
      </c>
      <c r="F390" t="s">
        <v>486</v>
      </c>
      <c r="G390" t="s">
        <v>67</v>
      </c>
      <c r="H390" t="s">
        <v>1670</v>
      </c>
      <c r="I390" s="4">
        <v>45899.875</v>
      </c>
      <c r="K390" t="s">
        <v>1334</v>
      </c>
      <c r="L390" s="5"/>
      <c r="M390" s="5" t="s">
        <v>1638</v>
      </c>
      <c r="N390" t="s">
        <v>46</v>
      </c>
      <c r="O390" t="s">
        <v>1671</v>
      </c>
      <c r="R390">
        <v>0.95</v>
      </c>
      <c r="S390" t="s">
        <v>57</v>
      </c>
      <c r="T390" s="5" t="s">
        <v>48</v>
      </c>
      <c r="U390" t="s">
        <v>1672</v>
      </c>
      <c r="V390" t="s">
        <v>1673</v>
      </c>
      <c r="W390">
        <v>103</v>
      </c>
      <c r="X390" t="s">
        <v>353</v>
      </c>
      <c r="Y390" t="str">
        <f>VLOOKUP(C390,'[1]DBS_KPY Sorumlular'!A:C,2,FALSE)</f>
        <v>Mustafa AYDIN</v>
      </c>
      <c r="Z390" t="str">
        <f>VLOOKUP(C390,'[1]DBS_KPY Sorumlular'!A:C,3,FALSE)</f>
        <v>Esra DOLAN</v>
      </c>
      <c r="AA390" t="str">
        <f>VLOOKUP(K390,[1]!Tablo3[#Data],2,FALSE)</f>
        <v>Erkan AKDOĞAN</v>
      </c>
    </row>
    <row r="391" spans="1:27" x14ac:dyDescent="0.25">
      <c r="A391">
        <v>1679</v>
      </c>
      <c r="B391" t="s">
        <v>1419</v>
      </c>
      <c r="C391" t="s">
        <v>1674</v>
      </c>
      <c r="D391" t="s">
        <v>1675</v>
      </c>
      <c r="F391" t="s">
        <v>52</v>
      </c>
      <c r="G391" t="s">
        <v>291</v>
      </c>
      <c r="H391" t="s">
        <v>1676</v>
      </c>
      <c r="I391" s="4"/>
      <c r="J391" t="s">
        <v>1677</v>
      </c>
      <c r="K391" t="s">
        <v>33</v>
      </c>
      <c r="L391" s="5"/>
      <c r="M391" s="5"/>
      <c r="N391" t="s">
        <v>35</v>
      </c>
      <c r="O391" t="s">
        <v>1678</v>
      </c>
      <c r="S391" t="s">
        <v>37</v>
      </c>
      <c r="T391" s="5" t="s">
        <v>48</v>
      </c>
      <c r="U391" t="s">
        <v>1679</v>
      </c>
      <c r="V391" t="s">
        <v>1676</v>
      </c>
      <c r="W391">
        <v>152</v>
      </c>
      <c r="X391" t="s">
        <v>1680</v>
      </c>
      <c r="Y391" t="str">
        <f>VLOOKUP(C391,'[1]DBS_KPY Sorumlular'!A:C,2,FALSE)</f>
        <v>Kadir TOPÇU</v>
      </c>
      <c r="Z391" t="str">
        <f>VLOOKUP(C391,'[1]DBS_KPY Sorumlular'!A:C,3,FALSE)</f>
        <v>Erkan AKDOĞAN</v>
      </c>
      <c r="AA391" t="str">
        <f>VLOOKUP(K391,[1]!Tablo3[#Data],2,FALSE)</f>
        <v>Tayfun VİÇE</v>
      </c>
    </row>
    <row r="392" spans="1:27" x14ac:dyDescent="0.25">
      <c r="A392">
        <v>1680</v>
      </c>
      <c r="B392" t="s">
        <v>1419</v>
      </c>
      <c r="C392" t="s">
        <v>1674</v>
      </c>
      <c r="D392" t="s">
        <v>1675</v>
      </c>
      <c r="F392" t="s">
        <v>52</v>
      </c>
      <c r="G392" t="s">
        <v>291</v>
      </c>
      <c r="H392" t="s">
        <v>1681</v>
      </c>
      <c r="I392" s="4"/>
      <c r="J392" t="s">
        <v>1682</v>
      </c>
      <c r="K392" t="s">
        <v>33</v>
      </c>
      <c r="L392" s="5"/>
      <c r="M392" s="5"/>
      <c r="N392" t="s">
        <v>35</v>
      </c>
      <c r="O392" t="s">
        <v>1683</v>
      </c>
      <c r="S392" t="s">
        <v>37</v>
      </c>
      <c r="T392" s="5" t="s">
        <v>48</v>
      </c>
      <c r="U392" t="s">
        <v>1684</v>
      </c>
      <c r="V392" t="s">
        <v>1685</v>
      </c>
      <c r="W392">
        <v>148</v>
      </c>
      <c r="X392" t="s">
        <v>368</v>
      </c>
      <c r="Y392" t="str">
        <f>VLOOKUP(C392,'[1]DBS_KPY Sorumlular'!A:C,2,FALSE)</f>
        <v>Kadir TOPÇU</v>
      </c>
      <c r="Z392" t="str">
        <f>VLOOKUP(C392,'[1]DBS_KPY Sorumlular'!A:C,3,FALSE)</f>
        <v>Erkan AKDOĞAN</v>
      </c>
      <c r="AA392" t="str">
        <f>VLOOKUP(K392,[1]!Tablo3[#Data],2,FALSE)</f>
        <v>Tayfun VİÇE</v>
      </c>
    </row>
    <row r="393" spans="1:27" x14ac:dyDescent="0.25">
      <c r="A393">
        <v>1681</v>
      </c>
      <c r="B393" t="s">
        <v>1419</v>
      </c>
      <c r="C393" t="s">
        <v>1674</v>
      </c>
      <c r="D393" t="s">
        <v>1675</v>
      </c>
      <c r="F393" t="s">
        <v>52</v>
      </c>
      <c r="G393" t="s">
        <v>291</v>
      </c>
      <c r="H393" t="s">
        <v>1686</v>
      </c>
      <c r="I393" s="4"/>
      <c r="J393" t="s">
        <v>1687</v>
      </c>
      <c r="K393" t="s">
        <v>33</v>
      </c>
      <c r="L393" s="5"/>
      <c r="M393" s="5"/>
      <c r="N393" t="s">
        <v>35</v>
      </c>
      <c r="O393" t="s">
        <v>1688</v>
      </c>
      <c r="S393" t="s">
        <v>37</v>
      </c>
      <c r="T393" s="5" t="s">
        <v>48</v>
      </c>
      <c r="U393" t="s">
        <v>1689</v>
      </c>
      <c r="V393" t="s">
        <v>1686</v>
      </c>
      <c r="W393">
        <v>76</v>
      </c>
      <c r="X393" t="s">
        <v>443</v>
      </c>
      <c r="Y393" t="str">
        <f>VLOOKUP(C393,'[1]DBS_KPY Sorumlular'!A:C,2,FALSE)</f>
        <v>Kadir TOPÇU</v>
      </c>
      <c r="Z393" t="str">
        <f>VLOOKUP(C393,'[1]DBS_KPY Sorumlular'!A:C,3,FALSE)</f>
        <v>Erkan AKDOĞAN</v>
      </c>
      <c r="AA393" t="str">
        <f>VLOOKUP(K393,[1]!Tablo3[#Data],2,FALSE)</f>
        <v>Tayfun VİÇE</v>
      </c>
    </row>
    <row r="394" spans="1:27" x14ac:dyDescent="0.25">
      <c r="A394">
        <v>1682</v>
      </c>
      <c r="B394" t="s">
        <v>1419</v>
      </c>
      <c r="C394" t="s">
        <v>1690</v>
      </c>
      <c r="D394" t="s">
        <v>1691</v>
      </c>
      <c r="F394" t="s">
        <v>1154</v>
      </c>
      <c r="G394" t="s">
        <v>384</v>
      </c>
      <c r="H394" t="s">
        <v>1692</v>
      </c>
      <c r="I394" s="4"/>
      <c r="J394" t="s">
        <v>1693</v>
      </c>
      <c r="K394" t="s">
        <v>33</v>
      </c>
      <c r="L394" s="5"/>
      <c r="M394" s="5"/>
      <c r="N394" t="s">
        <v>35</v>
      </c>
      <c r="O394" t="s">
        <v>1694</v>
      </c>
      <c r="S394" t="s">
        <v>37</v>
      </c>
      <c r="T394" s="5" t="s">
        <v>38</v>
      </c>
      <c r="W394">
        <v>115</v>
      </c>
      <c r="X394" t="s">
        <v>350</v>
      </c>
      <c r="Y394" t="str">
        <f>VLOOKUP(C394,'[1]DBS_KPY Sorumlular'!A:C,2,FALSE)</f>
        <v>Tayfun VİÇE</v>
      </c>
      <c r="Z394" t="str">
        <f>VLOOKUP(C394,'[1]DBS_KPY Sorumlular'!A:C,3,FALSE)</f>
        <v>Mehmet Ali YAVUZ</v>
      </c>
      <c r="AA394" t="str">
        <f>VLOOKUP(K394,[1]!Tablo3[#Data],2,FALSE)</f>
        <v>Tayfun VİÇE</v>
      </c>
    </row>
    <row r="395" spans="1:27" x14ac:dyDescent="0.25">
      <c r="A395">
        <v>1683</v>
      </c>
      <c r="B395" t="s">
        <v>1419</v>
      </c>
      <c r="C395" t="s">
        <v>1674</v>
      </c>
      <c r="D395" t="s">
        <v>1675</v>
      </c>
      <c r="F395" t="s">
        <v>66</v>
      </c>
      <c r="G395" t="s">
        <v>30</v>
      </c>
      <c r="H395" t="s">
        <v>1695</v>
      </c>
      <c r="I395" s="4"/>
      <c r="J395" t="s">
        <v>1696</v>
      </c>
      <c r="K395" t="s">
        <v>33</v>
      </c>
      <c r="L395" s="5"/>
      <c r="M395" s="5"/>
      <c r="N395" t="s">
        <v>35</v>
      </c>
      <c r="O395" t="s">
        <v>1697</v>
      </c>
      <c r="S395" t="s">
        <v>37</v>
      </c>
      <c r="T395" s="5" t="s">
        <v>48</v>
      </c>
      <c r="U395" t="s">
        <v>1698</v>
      </c>
      <c r="V395" t="s">
        <v>1699</v>
      </c>
      <c r="W395">
        <v>65</v>
      </c>
      <c r="X395" t="s">
        <v>374</v>
      </c>
      <c r="Y395" t="str">
        <f>VLOOKUP(C395,'[1]DBS_KPY Sorumlular'!A:C,2,FALSE)</f>
        <v>Kadir TOPÇU</v>
      </c>
      <c r="Z395" t="str">
        <f>VLOOKUP(C395,'[1]DBS_KPY Sorumlular'!A:C,3,FALSE)</f>
        <v>Erkan AKDOĞAN</v>
      </c>
      <c r="AA395" t="str">
        <f>VLOOKUP(K395,[1]!Tablo3[#Data],2,FALSE)</f>
        <v>Tayfun VİÇE</v>
      </c>
    </row>
    <row r="396" spans="1:27" x14ac:dyDescent="0.25">
      <c r="A396">
        <v>1684</v>
      </c>
      <c r="B396" t="s">
        <v>1419</v>
      </c>
      <c r="C396" t="s">
        <v>1674</v>
      </c>
      <c r="D396" t="s">
        <v>1700</v>
      </c>
      <c r="F396" t="s">
        <v>95</v>
      </c>
      <c r="G396" t="s">
        <v>291</v>
      </c>
      <c r="H396" t="s">
        <v>1701</v>
      </c>
      <c r="I396" s="4"/>
      <c r="J396" t="s">
        <v>1702</v>
      </c>
      <c r="K396" t="s">
        <v>33</v>
      </c>
      <c r="L396" s="5" t="s">
        <v>1703</v>
      </c>
      <c r="M396" s="5" t="s">
        <v>1704</v>
      </c>
      <c r="N396" t="s">
        <v>35</v>
      </c>
      <c r="O396" t="s">
        <v>1705</v>
      </c>
      <c r="S396" t="s">
        <v>37</v>
      </c>
      <c r="T396" s="5" t="s">
        <v>48</v>
      </c>
      <c r="U396" t="s">
        <v>1706</v>
      </c>
      <c r="V396" t="s">
        <v>1701</v>
      </c>
      <c r="W396">
        <v>94</v>
      </c>
      <c r="X396" t="s">
        <v>1707</v>
      </c>
      <c r="Y396" t="str">
        <f>VLOOKUP(C396,'[1]DBS_KPY Sorumlular'!A:C,2,FALSE)</f>
        <v>Kadir TOPÇU</v>
      </c>
      <c r="Z396" t="str">
        <f>VLOOKUP(C396,'[1]DBS_KPY Sorumlular'!A:C,3,FALSE)</f>
        <v>Erkan AKDOĞAN</v>
      </c>
      <c r="AA396" t="str">
        <f>VLOOKUP(K396,[1]!Tablo3[#Data],2,FALSE)</f>
        <v>Tayfun VİÇE</v>
      </c>
    </row>
    <row r="397" spans="1:27" x14ac:dyDescent="0.25">
      <c r="A397">
        <v>1685</v>
      </c>
      <c r="B397" t="s">
        <v>1419</v>
      </c>
      <c r="C397" t="s">
        <v>1674</v>
      </c>
      <c r="D397" t="s">
        <v>1700</v>
      </c>
      <c r="F397" t="s">
        <v>95</v>
      </c>
      <c r="G397" t="s">
        <v>96</v>
      </c>
      <c r="H397" t="s">
        <v>1708</v>
      </c>
      <c r="I397" s="4"/>
      <c r="J397" t="s">
        <v>1709</v>
      </c>
      <c r="K397" t="s">
        <v>33</v>
      </c>
      <c r="L397" s="5" t="s">
        <v>1710</v>
      </c>
      <c r="M397" s="5"/>
      <c r="N397" t="s">
        <v>35</v>
      </c>
      <c r="O397" t="s">
        <v>1711</v>
      </c>
      <c r="S397" t="s">
        <v>37</v>
      </c>
      <c r="T397" s="5" t="s">
        <v>48</v>
      </c>
      <c r="U397" t="s">
        <v>1712</v>
      </c>
      <c r="V397" t="s">
        <v>1708</v>
      </c>
      <c r="W397">
        <v>91</v>
      </c>
      <c r="X397" t="s">
        <v>101</v>
      </c>
      <c r="Y397" t="str">
        <f>VLOOKUP(C397,'[1]DBS_KPY Sorumlular'!A:C,2,FALSE)</f>
        <v>Kadir TOPÇU</v>
      </c>
      <c r="Z397" t="str">
        <f>VLOOKUP(C397,'[1]DBS_KPY Sorumlular'!A:C,3,FALSE)</f>
        <v>Erkan AKDOĞAN</v>
      </c>
      <c r="AA397" t="str">
        <f>VLOOKUP(K397,[1]!Tablo3[#Data],2,FALSE)</f>
        <v>Tayfun VİÇE</v>
      </c>
    </row>
    <row r="398" spans="1:27" x14ac:dyDescent="0.25">
      <c r="A398">
        <v>1686</v>
      </c>
      <c r="B398" t="s">
        <v>1419</v>
      </c>
      <c r="C398" t="s">
        <v>1674</v>
      </c>
      <c r="D398" t="s">
        <v>1700</v>
      </c>
      <c r="F398" t="s">
        <v>95</v>
      </c>
      <c r="G398" t="s">
        <v>291</v>
      </c>
      <c r="H398" t="s">
        <v>1713</v>
      </c>
      <c r="I398" s="4"/>
      <c r="J398" t="s">
        <v>1714</v>
      </c>
      <c r="K398" t="s">
        <v>33</v>
      </c>
      <c r="L398" s="5" t="s">
        <v>1710</v>
      </c>
      <c r="M398" s="5"/>
      <c r="N398" t="s">
        <v>35</v>
      </c>
      <c r="O398" t="s">
        <v>1715</v>
      </c>
      <c r="S398" t="s">
        <v>37</v>
      </c>
      <c r="T398" s="5" t="s">
        <v>48</v>
      </c>
      <c r="U398" t="s">
        <v>1716</v>
      </c>
      <c r="V398" t="s">
        <v>1713</v>
      </c>
      <c r="W398">
        <v>94</v>
      </c>
      <c r="X398" t="s">
        <v>1707</v>
      </c>
      <c r="Y398" t="str">
        <f>VLOOKUP(C398,'[1]DBS_KPY Sorumlular'!A:C,2,FALSE)</f>
        <v>Kadir TOPÇU</v>
      </c>
      <c r="Z398" t="str">
        <f>VLOOKUP(C398,'[1]DBS_KPY Sorumlular'!A:C,3,FALSE)</f>
        <v>Erkan AKDOĞAN</v>
      </c>
      <c r="AA398" t="str">
        <f>VLOOKUP(K398,[1]!Tablo3[#Data],2,FALSE)</f>
        <v>Tayfun VİÇE</v>
      </c>
    </row>
    <row r="399" spans="1:27" x14ac:dyDescent="0.25">
      <c r="A399">
        <v>1687</v>
      </c>
      <c r="B399" t="s">
        <v>1419</v>
      </c>
      <c r="C399" t="s">
        <v>1674</v>
      </c>
      <c r="D399" t="s">
        <v>1717</v>
      </c>
      <c r="F399" t="s">
        <v>102</v>
      </c>
      <c r="G399" t="s">
        <v>43</v>
      </c>
      <c r="H399" t="s">
        <v>1718</v>
      </c>
      <c r="I399" s="4"/>
      <c r="J399" t="s">
        <v>1719</v>
      </c>
      <c r="K399" t="s">
        <v>33</v>
      </c>
      <c r="L399" s="5"/>
      <c r="M399" s="5"/>
      <c r="N399" t="s">
        <v>35</v>
      </c>
      <c r="O399" t="s">
        <v>1720</v>
      </c>
      <c r="S399" t="s">
        <v>37</v>
      </c>
      <c r="T399" s="5" t="s">
        <v>48</v>
      </c>
      <c r="U399" t="s">
        <v>1721</v>
      </c>
      <c r="V399" t="s">
        <v>1722</v>
      </c>
      <c r="W399">
        <v>108</v>
      </c>
      <c r="X399" t="s">
        <v>107</v>
      </c>
      <c r="Y399" t="str">
        <f>VLOOKUP(C399,'[1]DBS_KPY Sorumlular'!A:C,2,FALSE)</f>
        <v>Kadir TOPÇU</v>
      </c>
      <c r="Z399" t="str">
        <f>VLOOKUP(C399,'[1]DBS_KPY Sorumlular'!A:C,3,FALSE)</f>
        <v>Erkan AKDOĞAN</v>
      </c>
      <c r="AA399" t="str">
        <f>VLOOKUP(K399,[1]!Tablo3[#Data],2,FALSE)</f>
        <v>Tayfun VİÇE</v>
      </c>
    </row>
    <row r="400" spans="1:27" x14ac:dyDescent="0.25">
      <c r="A400">
        <v>1689</v>
      </c>
      <c r="B400" t="s">
        <v>1419</v>
      </c>
      <c r="C400" t="s">
        <v>1723</v>
      </c>
      <c r="D400" t="s">
        <v>1724</v>
      </c>
      <c r="F400" t="s">
        <v>1725</v>
      </c>
      <c r="G400" t="s">
        <v>67</v>
      </c>
      <c r="H400" t="s">
        <v>1726</v>
      </c>
      <c r="I400" s="4"/>
      <c r="J400" t="s">
        <v>1727</v>
      </c>
      <c r="K400" t="s">
        <v>33</v>
      </c>
      <c r="L400" s="5" t="s">
        <v>1728</v>
      </c>
      <c r="M400" s="5" t="s">
        <v>35</v>
      </c>
      <c r="N400" t="s">
        <v>35</v>
      </c>
      <c r="O400" t="s">
        <v>1729</v>
      </c>
      <c r="S400" t="s">
        <v>37</v>
      </c>
      <c r="T400" s="5" t="s">
        <v>38</v>
      </c>
      <c r="Y400" t="str">
        <f>VLOOKUP(C400,'[1]DBS_KPY Sorumlular'!A:C,2,FALSE)</f>
        <v>Erkan AKDOĞAN</v>
      </c>
      <c r="Z400" t="str">
        <f>VLOOKUP(C400,'[1]DBS_KPY Sorumlular'!A:C,3,FALSE)</f>
        <v>Kadir TOPÇU</v>
      </c>
      <c r="AA400" t="str">
        <f>VLOOKUP(K400,[1]!Tablo3[#Data],2,FALSE)</f>
        <v>Tayfun VİÇE</v>
      </c>
    </row>
    <row r="401" spans="1:27" x14ac:dyDescent="0.25">
      <c r="A401">
        <v>1690</v>
      </c>
      <c r="B401" t="s">
        <v>1419</v>
      </c>
      <c r="C401" t="s">
        <v>73</v>
      </c>
      <c r="D401" t="s">
        <v>73</v>
      </c>
      <c r="F401" t="s">
        <v>74</v>
      </c>
      <c r="G401" t="s">
        <v>30</v>
      </c>
      <c r="H401" t="s">
        <v>1730</v>
      </c>
      <c r="I401" s="4"/>
      <c r="J401" t="s">
        <v>1731</v>
      </c>
      <c r="K401" t="s">
        <v>33</v>
      </c>
      <c r="L401" s="5" t="s">
        <v>1732</v>
      </c>
      <c r="M401" s="5"/>
      <c r="N401" t="s">
        <v>35</v>
      </c>
      <c r="O401" t="s">
        <v>1733</v>
      </c>
      <c r="S401" t="s">
        <v>37</v>
      </c>
      <c r="T401" s="5" t="s">
        <v>38</v>
      </c>
      <c r="Y401" t="str">
        <f>VLOOKUP(C401,'[1]DBS_KPY Sorumlular'!A:C,2,FALSE)</f>
        <v>Ayşegül AKGÜL</v>
      </c>
      <c r="Z401" t="str">
        <f>VLOOKUP(C401,'[1]DBS_KPY Sorumlular'!A:C,3,FALSE)</f>
        <v>Sinan ERDAŞ</v>
      </c>
      <c r="AA401" t="str">
        <f>VLOOKUP(K401,[1]!Tablo3[#Data],2,FALSE)</f>
        <v>Tayfun VİÇE</v>
      </c>
    </row>
    <row r="402" spans="1:27" x14ac:dyDescent="0.25">
      <c r="A402">
        <v>1691</v>
      </c>
      <c r="B402" t="s">
        <v>27</v>
      </c>
      <c r="C402" t="s">
        <v>40</v>
      </c>
      <c r="D402" t="s">
        <v>65</v>
      </c>
      <c r="F402" t="s">
        <v>52</v>
      </c>
      <c r="G402" t="s">
        <v>30</v>
      </c>
      <c r="H402" t="s">
        <v>1734</v>
      </c>
      <c r="I402" s="4">
        <v>45869.875</v>
      </c>
      <c r="J402" t="s">
        <v>1735</v>
      </c>
      <c r="K402" t="s">
        <v>54</v>
      </c>
      <c r="L402" s="5"/>
      <c r="M402" s="5"/>
      <c r="N402" t="s">
        <v>46</v>
      </c>
      <c r="O402" t="s">
        <v>1736</v>
      </c>
      <c r="R402">
        <v>0.33</v>
      </c>
      <c r="S402" t="s">
        <v>57</v>
      </c>
      <c r="T402" s="5" t="s">
        <v>48</v>
      </c>
      <c r="U402" t="s">
        <v>1737</v>
      </c>
      <c r="V402" t="s">
        <v>1738</v>
      </c>
      <c r="W402">
        <v>65</v>
      </c>
      <c r="X402" t="s">
        <v>374</v>
      </c>
      <c r="Y402" t="str">
        <f>VLOOKUP(C402,'[1]DBS_KPY Sorumlular'!A:C,2,FALSE)</f>
        <v>Mustafa AYDIN</v>
      </c>
      <c r="Z402" t="str">
        <f>VLOOKUP(C402,'[1]DBS_KPY Sorumlular'!A:C,3,FALSE)</f>
        <v>Esra DOLAN</v>
      </c>
      <c r="AA402" t="str">
        <f>VLOOKUP(K402,[1]!Tablo3[#Data],2,FALSE)</f>
        <v>Erkan AKDOĞAN</v>
      </c>
    </row>
    <row r="403" spans="1:27" x14ac:dyDescent="0.25">
      <c r="A403">
        <v>1692</v>
      </c>
      <c r="B403" t="s">
        <v>1419</v>
      </c>
      <c r="C403" t="s">
        <v>73</v>
      </c>
      <c r="D403" t="s">
        <v>73</v>
      </c>
      <c r="F403" t="s">
        <v>108</v>
      </c>
      <c r="G403" t="s">
        <v>30</v>
      </c>
      <c r="H403" t="s">
        <v>1739</v>
      </c>
      <c r="I403" s="4"/>
      <c r="J403" t="s">
        <v>1740</v>
      </c>
      <c r="K403" t="s">
        <v>54</v>
      </c>
      <c r="L403" s="5"/>
      <c r="M403" s="5"/>
      <c r="N403" t="s">
        <v>35</v>
      </c>
      <c r="O403" t="s">
        <v>1741</v>
      </c>
      <c r="S403" t="s">
        <v>57</v>
      </c>
      <c r="T403" s="5" t="s">
        <v>38</v>
      </c>
      <c r="Y403" t="str">
        <f>VLOOKUP(C403,'[1]DBS_KPY Sorumlular'!A:C,2,FALSE)</f>
        <v>Ayşegül AKGÜL</v>
      </c>
      <c r="Z403" t="str">
        <f>VLOOKUP(C403,'[1]DBS_KPY Sorumlular'!A:C,3,FALSE)</f>
        <v>Sinan ERDAŞ</v>
      </c>
      <c r="AA403" t="str">
        <f>VLOOKUP(K403,[1]!Tablo3[#Data],2,FALSE)</f>
        <v>Erkan AKDOĞAN</v>
      </c>
    </row>
    <row r="404" spans="1:27" x14ac:dyDescent="0.25">
      <c r="A404">
        <v>1693</v>
      </c>
      <c r="B404" t="s">
        <v>1419</v>
      </c>
      <c r="C404" t="s">
        <v>40</v>
      </c>
      <c r="D404" t="s">
        <v>65</v>
      </c>
      <c r="F404" t="s">
        <v>66</v>
      </c>
      <c r="G404" t="s">
        <v>30</v>
      </c>
      <c r="H404" t="s">
        <v>1742</v>
      </c>
      <c r="I404" s="4"/>
      <c r="J404" t="s">
        <v>1743</v>
      </c>
      <c r="K404" t="s">
        <v>54</v>
      </c>
      <c r="L404" s="5"/>
      <c r="M404" s="5"/>
      <c r="N404" t="s">
        <v>35</v>
      </c>
      <c r="O404" t="s">
        <v>1744</v>
      </c>
      <c r="S404" t="s">
        <v>57</v>
      </c>
      <c r="T404" s="5" t="s">
        <v>48</v>
      </c>
      <c r="U404" t="s">
        <v>1745</v>
      </c>
      <c r="V404" t="s">
        <v>1746</v>
      </c>
      <c r="W404">
        <v>79</v>
      </c>
      <c r="X404" t="s">
        <v>1619</v>
      </c>
      <c r="Y404" t="str">
        <f>VLOOKUP(C404,'[1]DBS_KPY Sorumlular'!A:C,2,FALSE)</f>
        <v>Mustafa AYDIN</v>
      </c>
      <c r="Z404" t="str">
        <f>VLOOKUP(C404,'[1]DBS_KPY Sorumlular'!A:C,3,FALSE)</f>
        <v>Esra DOLAN</v>
      </c>
      <c r="AA404" t="str">
        <f>VLOOKUP(K404,[1]!Tablo3[#Data],2,FALSE)</f>
        <v>Erkan AKDOĞAN</v>
      </c>
    </row>
    <row r="405" spans="1:27" x14ac:dyDescent="0.25">
      <c r="A405">
        <v>1694</v>
      </c>
      <c r="B405" t="s">
        <v>1419</v>
      </c>
      <c r="C405" t="s">
        <v>73</v>
      </c>
      <c r="D405" t="s">
        <v>73</v>
      </c>
      <c r="F405" t="s">
        <v>74</v>
      </c>
      <c r="G405" t="s">
        <v>30</v>
      </c>
      <c r="H405" t="s">
        <v>91</v>
      </c>
      <c r="I405" s="4"/>
      <c r="J405" t="s">
        <v>474</v>
      </c>
      <c r="K405" t="s">
        <v>54</v>
      </c>
      <c r="L405" s="5"/>
      <c r="M405" s="5"/>
      <c r="N405" t="s">
        <v>35</v>
      </c>
      <c r="O405" t="s">
        <v>1747</v>
      </c>
      <c r="S405" t="s">
        <v>57</v>
      </c>
      <c r="T405" s="5" t="s">
        <v>38</v>
      </c>
      <c r="Y405" t="str">
        <f>VLOOKUP(C405,'[1]DBS_KPY Sorumlular'!A:C,2,FALSE)</f>
        <v>Ayşegül AKGÜL</v>
      </c>
      <c r="Z405" t="str">
        <f>VLOOKUP(C405,'[1]DBS_KPY Sorumlular'!A:C,3,FALSE)</f>
        <v>Sinan ERDAŞ</v>
      </c>
      <c r="AA405" t="str">
        <f>VLOOKUP(K405,[1]!Tablo3[#Data],2,FALSE)</f>
        <v>Erkan AKDOĞAN</v>
      </c>
    </row>
    <row r="406" spans="1:27" x14ac:dyDescent="0.25">
      <c r="A406">
        <v>1695</v>
      </c>
      <c r="B406" t="s">
        <v>1419</v>
      </c>
      <c r="C406" t="s">
        <v>73</v>
      </c>
      <c r="D406" t="s">
        <v>73</v>
      </c>
      <c r="F406" t="s">
        <v>74</v>
      </c>
      <c r="G406" t="s">
        <v>384</v>
      </c>
      <c r="H406" t="s">
        <v>1748</v>
      </c>
      <c r="I406" s="4"/>
      <c r="J406" t="s">
        <v>1749</v>
      </c>
      <c r="K406" t="s">
        <v>54</v>
      </c>
      <c r="L406" s="5"/>
      <c r="M406" s="5"/>
      <c r="N406" t="s">
        <v>35</v>
      </c>
      <c r="O406" t="s">
        <v>1750</v>
      </c>
      <c r="S406" t="s">
        <v>57</v>
      </c>
      <c r="T406" s="5" t="s">
        <v>38</v>
      </c>
      <c r="Y406" t="str">
        <f>VLOOKUP(C406,'[1]DBS_KPY Sorumlular'!A:C,2,FALSE)</f>
        <v>Ayşegül AKGÜL</v>
      </c>
      <c r="Z406" t="str">
        <f>VLOOKUP(C406,'[1]DBS_KPY Sorumlular'!A:C,3,FALSE)</f>
        <v>Sinan ERDAŞ</v>
      </c>
      <c r="AA406" t="str">
        <f>VLOOKUP(K406,[1]!Tablo3[#Data],2,FALSE)</f>
        <v>Erkan AKDOĞAN</v>
      </c>
    </row>
    <row r="407" spans="1:27" x14ac:dyDescent="0.25">
      <c r="A407">
        <v>1696</v>
      </c>
      <c r="B407" t="s">
        <v>1419</v>
      </c>
      <c r="C407" t="s">
        <v>1723</v>
      </c>
      <c r="D407" t="s">
        <v>1751</v>
      </c>
      <c r="F407" t="s">
        <v>66</v>
      </c>
      <c r="G407" t="s">
        <v>67</v>
      </c>
      <c r="H407" t="s">
        <v>1752</v>
      </c>
      <c r="I407" s="4"/>
      <c r="J407" t="s">
        <v>1753</v>
      </c>
      <c r="K407" t="s">
        <v>98</v>
      </c>
      <c r="L407" s="5" t="s">
        <v>1754</v>
      </c>
      <c r="M407" s="5" t="s">
        <v>35</v>
      </c>
      <c r="N407" t="s">
        <v>35</v>
      </c>
      <c r="O407" t="s">
        <v>1755</v>
      </c>
      <c r="S407" t="s">
        <v>37</v>
      </c>
      <c r="T407" s="5" t="s">
        <v>38</v>
      </c>
      <c r="Y407" t="str">
        <f>VLOOKUP(C407,'[1]DBS_KPY Sorumlular'!A:C,2,FALSE)</f>
        <v>Erkan AKDOĞAN</v>
      </c>
      <c r="Z407" t="str">
        <f>VLOOKUP(C407,'[1]DBS_KPY Sorumlular'!A:C,3,FALSE)</f>
        <v>Kadir TOPÇU</v>
      </c>
      <c r="AA407" t="str">
        <f>VLOOKUP(K407,[1]!Tablo3[#Data],2,FALSE)</f>
        <v>Tayfun VİÇE</v>
      </c>
    </row>
    <row r="408" spans="1:27" x14ac:dyDescent="0.25">
      <c r="A408">
        <v>1697</v>
      </c>
      <c r="B408" t="s">
        <v>1419</v>
      </c>
      <c r="C408" t="s">
        <v>1674</v>
      </c>
      <c r="D408" t="s">
        <v>1700</v>
      </c>
      <c r="F408" t="s">
        <v>95</v>
      </c>
      <c r="G408" t="s">
        <v>96</v>
      </c>
      <c r="H408" t="s">
        <v>1756</v>
      </c>
      <c r="I408" s="4"/>
      <c r="K408" t="s">
        <v>98</v>
      </c>
      <c r="L408" s="5"/>
      <c r="M408" s="5"/>
      <c r="N408" t="s">
        <v>35</v>
      </c>
      <c r="O408" t="s">
        <v>1757</v>
      </c>
      <c r="S408" t="s">
        <v>37</v>
      </c>
      <c r="T408" s="5" t="s">
        <v>48</v>
      </c>
      <c r="U408" t="s">
        <v>1758</v>
      </c>
      <c r="V408" t="s">
        <v>1756</v>
      </c>
      <c r="W408">
        <v>28</v>
      </c>
      <c r="X408" t="s">
        <v>667</v>
      </c>
      <c r="Y408" t="str">
        <f>VLOOKUP(C408,'[1]DBS_KPY Sorumlular'!A:C,2,FALSE)</f>
        <v>Kadir TOPÇU</v>
      </c>
      <c r="Z408" t="str">
        <f>VLOOKUP(C408,'[1]DBS_KPY Sorumlular'!A:C,3,FALSE)</f>
        <v>Erkan AKDOĞAN</v>
      </c>
      <c r="AA408" t="str">
        <f>VLOOKUP(K408,[1]!Tablo3[#Data],2,FALSE)</f>
        <v>Tayfun VİÇE</v>
      </c>
    </row>
    <row r="409" spans="1:27" x14ac:dyDescent="0.25">
      <c r="A409">
        <v>1698</v>
      </c>
      <c r="B409" t="s">
        <v>1419</v>
      </c>
      <c r="C409" t="s">
        <v>1674</v>
      </c>
      <c r="D409" t="s">
        <v>1717</v>
      </c>
      <c r="F409" t="s">
        <v>95</v>
      </c>
      <c r="G409" t="s">
        <v>43</v>
      </c>
      <c r="H409" t="s">
        <v>1759</v>
      </c>
      <c r="I409" s="4"/>
      <c r="J409" t="s">
        <v>1760</v>
      </c>
      <c r="K409" t="s">
        <v>98</v>
      </c>
      <c r="L409" s="5"/>
      <c r="M409" s="5" t="s">
        <v>1761</v>
      </c>
      <c r="N409" t="s">
        <v>35</v>
      </c>
      <c r="O409" t="s">
        <v>1762</v>
      </c>
      <c r="S409" t="s">
        <v>37</v>
      </c>
      <c r="T409" s="5" t="s">
        <v>48</v>
      </c>
      <c r="U409" t="s">
        <v>1763</v>
      </c>
      <c r="V409" t="s">
        <v>1764</v>
      </c>
      <c r="W409">
        <v>114</v>
      </c>
      <c r="X409" t="s">
        <v>136</v>
      </c>
      <c r="Y409" t="str">
        <f>VLOOKUP(C409,'[1]DBS_KPY Sorumlular'!A:C,2,FALSE)</f>
        <v>Kadir TOPÇU</v>
      </c>
      <c r="Z409" t="str">
        <f>VLOOKUP(C409,'[1]DBS_KPY Sorumlular'!A:C,3,FALSE)</f>
        <v>Erkan AKDOĞAN</v>
      </c>
      <c r="AA409" t="str">
        <f>VLOOKUP(K409,[1]!Tablo3[#Data],2,FALSE)</f>
        <v>Tayfun VİÇE</v>
      </c>
    </row>
    <row r="410" spans="1:27" x14ac:dyDescent="0.25">
      <c r="A410">
        <v>1699</v>
      </c>
      <c r="B410" t="s">
        <v>1419</v>
      </c>
      <c r="C410" t="s">
        <v>137</v>
      </c>
      <c r="D410" t="s">
        <v>138</v>
      </c>
      <c r="E410" t="s">
        <v>138</v>
      </c>
      <c r="F410" t="s">
        <v>66</v>
      </c>
      <c r="G410" t="s">
        <v>140</v>
      </c>
      <c r="H410" t="s">
        <v>1765</v>
      </c>
      <c r="I410" s="4"/>
      <c r="J410" t="s">
        <v>1766</v>
      </c>
      <c r="K410" t="s">
        <v>98</v>
      </c>
      <c r="L410" s="5" t="s">
        <v>1767</v>
      </c>
      <c r="M410" s="5" t="s">
        <v>1768</v>
      </c>
      <c r="N410" t="s">
        <v>35</v>
      </c>
      <c r="O410" t="s">
        <v>1769</v>
      </c>
      <c r="S410" t="s">
        <v>37</v>
      </c>
      <c r="T410" s="5" t="s">
        <v>38</v>
      </c>
      <c r="W410">
        <v>192</v>
      </c>
      <c r="X410" t="s">
        <v>1770</v>
      </c>
      <c r="Y410" t="str">
        <f>VLOOKUP(C410,'[1]DBS_KPY Sorumlular'!A:C,2,FALSE)</f>
        <v>Erkan AKDOĞAN</v>
      </c>
      <c r="Z410" t="str">
        <f>VLOOKUP(C410,'[1]DBS_KPY Sorumlular'!A:C,3,FALSE)</f>
        <v>Kadir TOPÇU</v>
      </c>
      <c r="AA410" t="str">
        <f>VLOOKUP(K410,[1]!Tablo3[#Data],2,FALSE)</f>
        <v>Tayfun VİÇE</v>
      </c>
    </row>
    <row r="411" spans="1:27" x14ac:dyDescent="0.25">
      <c r="A411">
        <v>1700</v>
      </c>
      <c r="B411" t="s">
        <v>1419</v>
      </c>
      <c r="C411" t="s">
        <v>1674</v>
      </c>
      <c r="D411" t="s">
        <v>1717</v>
      </c>
      <c r="F411" t="s">
        <v>1771</v>
      </c>
      <c r="G411" t="s">
        <v>43</v>
      </c>
      <c r="H411" t="s">
        <v>1772</v>
      </c>
      <c r="I411" s="4"/>
      <c r="J411" t="s">
        <v>1773</v>
      </c>
      <c r="K411" t="s">
        <v>98</v>
      </c>
      <c r="L411" s="5"/>
      <c r="M411" s="5"/>
      <c r="N411" t="s">
        <v>35</v>
      </c>
      <c r="O411" t="s">
        <v>1774</v>
      </c>
      <c r="S411" t="s">
        <v>37</v>
      </c>
      <c r="T411" s="5" t="s">
        <v>48</v>
      </c>
      <c r="U411" t="s">
        <v>1775</v>
      </c>
      <c r="V411" t="s">
        <v>1772</v>
      </c>
      <c r="W411">
        <v>62</v>
      </c>
      <c r="X411" t="s">
        <v>680</v>
      </c>
      <c r="Y411" t="str">
        <f>VLOOKUP(C411,'[1]DBS_KPY Sorumlular'!A:C,2,FALSE)</f>
        <v>Kadir TOPÇU</v>
      </c>
      <c r="Z411" t="str">
        <f>VLOOKUP(C411,'[1]DBS_KPY Sorumlular'!A:C,3,FALSE)</f>
        <v>Erkan AKDOĞAN</v>
      </c>
      <c r="AA411" t="str">
        <f>VLOOKUP(K411,[1]!Tablo3[#Data],2,FALSE)</f>
        <v>Tayfun VİÇE</v>
      </c>
    </row>
    <row r="412" spans="1:27" x14ac:dyDescent="0.25">
      <c r="A412">
        <v>1701</v>
      </c>
      <c r="B412" t="s">
        <v>1419</v>
      </c>
      <c r="C412" t="s">
        <v>73</v>
      </c>
      <c r="D412" t="s">
        <v>73</v>
      </c>
      <c r="F412" t="s">
        <v>66</v>
      </c>
      <c r="G412" t="s">
        <v>30</v>
      </c>
      <c r="H412" t="s">
        <v>126</v>
      </c>
      <c r="I412" s="4"/>
      <c r="J412" t="s">
        <v>1776</v>
      </c>
      <c r="K412" t="s">
        <v>98</v>
      </c>
      <c r="L412" s="5" t="s">
        <v>1777</v>
      </c>
      <c r="M412" s="5"/>
      <c r="N412" t="s">
        <v>35</v>
      </c>
      <c r="O412" t="s">
        <v>1778</v>
      </c>
      <c r="S412" t="s">
        <v>37</v>
      </c>
      <c r="T412" s="5" t="s">
        <v>38</v>
      </c>
      <c r="Y412" t="str">
        <f>VLOOKUP(C412,'[1]DBS_KPY Sorumlular'!A:C,2,FALSE)</f>
        <v>Ayşegül AKGÜL</v>
      </c>
      <c r="Z412" t="str">
        <f>VLOOKUP(C412,'[1]DBS_KPY Sorumlular'!A:C,3,FALSE)</f>
        <v>Sinan ERDAŞ</v>
      </c>
      <c r="AA412" t="str">
        <f>VLOOKUP(K412,[1]!Tablo3[#Data],2,FALSE)</f>
        <v>Tayfun VİÇE</v>
      </c>
    </row>
    <row r="413" spans="1:27" x14ac:dyDescent="0.25">
      <c r="A413">
        <v>1702</v>
      </c>
      <c r="B413" t="s">
        <v>1419</v>
      </c>
      <c r="C413" t="s">
        <v>73</v>
      </c>
      <c r="D413" t="s">
        <v>73</v>
      </c>
      <c r="F413" t="s">
        <v>66</v>
      </c>
      <c r="G413" t="s">
        <v>30</v>
      </c>
      <c r="H413" t="s">
        <v>1779</v>
      </c>
      <c r="I413" s="4"/>
      <c r="J413" t="s">
        <v>1780</v>
      </c>
      <c r="K413" t="s">
        <v>98</v>
      </c>
      <c r="L413" s="5"/>
      <c r="M413" s="5"/>
      <c r="N413" t="s">
        <v>35</v>
      </c>
      <c r="O413" t="s">
        <v>1781</v>
      </c>
      <c r="S413" t="s">
        <v>37</v>
      </c>
      <c r="T413" s="5" t="s">
        <v>38</v>
      </c>
      <c r="Y413" t="str">
        <f>VLOOKUP(C413,'[1]DBS_KPY Sorumlular'!A:C,2,FALSE)</f>
        <v>Ayşegül AKGÜL</v>
      </c>
      <c r="Z413" t="str">
        <f>VLOOKUP(C413,'[1]DBS_KPY Sorumlular'!A:C,3,FALSE)</f>
        <v>Sinan ERDAŞ</v>
      </c>
      <c r="AA413" t="str">
        <f>VLOOKUP(K413,[1]!Tablo3[#Data],2,FALSE)</f>
        <v>Tayfun VİÇE</v>
      </c>
    </row>
    <row r="414" spans="1:27" x14ac:dyDescent="0.25">
      <c r="A414">
        <v>1703</v>
      </c>
      <c r="B414" t="s">
        <v>1419</v>
      </c>
      <c r="C414" t="s">
        <v>73</v>
      </c>
      <c r="D414" t="s">
        <v>73</v>
      </c>
      <c r="F414" t="s">
        <v>66</v>
      </c>
      <c r="G414" t="s">
        <v>456</v>
      </c>
      <c r="H414" t="s">
        <v>1782</v>
      </c>
      <c r="I414" s="4"/>
      <c r="J414" t="s">
        <v>1783</v>
      </c>
      <c r="K414" t="s">
        <v>98</v>
      </c>
      <c r="L414" s="5" t="s">
        <v>1784</v>
      </c>
      <c r="M414" s="5"/>
      <c r="N414" t="s">
        <v>35</v>
      </c>
      <c r="O414" t="s">
        <v>1785</v>
      </c>
      <c r="S414" t="s">
        <v>37</v>
      </c>
      <c r="T414" s="5" t="s">
        <v>58</v>
      </c>
      <c r="Y414" t="str">
        <f>VLOOKUP(C414,'[1]DBS_KPY Sorumlular'!A:C,2,FALSE)</f>
        <v>Ayşegül AKGÜL</v>
      </c>
      <c r="Z414" t="str">
        <f>VLOOKUP(C414,'[1]DBS_KPY Sorumlular'!A:C,3,FALSE)</f>
        <v>Sinan ERDAŞ</v>
      </c>
      <c r="AA414" t="str">
        <f>VLOOKUP(K414,[1]!Tablo3[#Data],2,FALSE)</f>
        <v>Tayfun VİÇE</v>
      </c>
    </row>
    <row r="415" spans="1:27" x14ac:dyDescent="0.25">
      <c r="A415">
        <v>1704</v>
      </c>
      <c r="B415" t="s">
        <v>1419</v>
      </c>
      <c r="C415" t="s">
        <v>73</v>
      </c>
      <c r="D415" t="s">
        <v>73</v>
      </c>
      <c r="F415" t="s">
        <v>66</v>
      </c>
      <c r="G415" t="s">
        <v>384</v>
      </c>
      <c r="H415" t="s">
        <v>1786</v>
      </c>
      <c r="I415" s="4"/>
      <c r="J415" t="s">
        <v>1787</v>
      </c>
      <c r="K415" t="s">
        <v>98</v>
      </c>
      <c r="L415" s="5"/>
      <c r="M415" s="5"/>
      <c r="N415" t="s">
        <v>35</v>
      </c>
      <c r="O415" t="s">
        <v>1788</v>
      </c>
      <c r="S415" t="s">
        <v>37</v>
      </c>
      <c r="T415" s="5" t="s">
        <v>38</v>
      </c>
      <c r="Y415" t="str">
        <f>VLOOKUP(C415,'[1]DBS_KPY Sorumlular'!A:C,2,FALSE)</f>
        <v>Ayşegül AKGÜL</v>
      </c>
      <c r="Z415" t="str">
        <f>VLOOKUP(C415,'[1]DBS_KPY Sorumlular'!A:C,3,FALSE)</f>
        <v>Sinan ERDAŞ</v>
      </c>
      <c r="AA415" t="str">
        <f>VLOOKUP(K415,[1]!Tablo3[#Data],2,FALSE)</f>
        <v>Tayfun VİÇE</v>
      </c>
    </row>
    <row r="416" spans="1:27" x14ac:dyDescent="0.25">
      <c r="A416">
        <v>1705</v>
      </c>
      <c r="B416" t="s">
        <v>1419</v>
      </c>
      <c r="C416" t="s">
        <v>1674</v>
      </c>
      <c r="D416" t="s">
        <v>1675</v>
      </c>
      <c r="F416" t="s">
        <v>66</v>
      </c>
      <c r="G416" t="s">
        <v>67</v>
      </c>
      <c r="H416" t="s">
        <v>1789</v>
      </c>
      <c r="I416" s="4"/>
      <c r="J416" t="s">
        <v>1790</v>
      </c>
      <c r="K416" t="s">
        <v>98</v>
      </c>
      <c r="L416" s="5" t="s">
        <v>1791</v>
      </c>
      <c r="M416" s="5"/>
      <c r="N416" t="s">
        <v>35</v>
      </c>
      <c r="O416" t="s">
        <v>1792</v>
      </c>
      <c r="S416" t="s">
        <v>37</v>
      </c>
      <c r="T416" s="5" t="s">
        <v>48</v>
      </c>
      <c r="U416" t="s">
        <v>1793</v>
      </c>
      <c r="V416" t="s">
        <v>1794</v>
      </c>
      <c r="W416">
        <v>208</v>
      </c>
      <c r="X416" t="s">
        <v>594</v>
      </c>
      <c r="Y416" t="str">
        <f>VLOOKUP(C416,'[1]DBS_KPY Sorumlular'!A:C,2,FALSE)</f>
        <v>Kadir TOPÇU</v>
      </c>
      <c r="Z416" t="str">
        <f>VLOOKUP(C416,'[1]DBS_KPY Sorumlular'!A:C,3,FALSE)</f>
        <v>Erkan AKDOĞAN</v>
      </c>
      <c r="AA416" t="str">
        <f>VLOOKUP(K416,[1]!Tablo3[#Data],2,FALSE)</f>
        <v>Tayfun VİÇE</v>
      </c>
    </row>
    <row r="417" spans="1:27" x14ac:dyDescent="0.25">
      <c r="A417">
        <v>1706</v>
      </c>
      <c r="B417" t="s">
        <v>1419</v>
      </c>
      <c r="C417" t="s">
        <v>73</v>
      </c>
      <c r="D417" t="s">
        <v>73</v>
      </c>
      <c r="F417" t="s">
        <v>66</v>
      </c>
      <c r="G417" t="s">
        <v>30</v>
      </c>
      <c r="H417" t="s">
        <v>1795</v>
      </c>
      <c r="I417" s="4"/>
      <c r="J417" t="s">
        <v>270</v>
      </c>
      <c r="K417" t="s">
        <v>152</v>
      </c>
      <c r="L417" s="5"/>
      <c r="M417" s="5"/>
      <c r="N417" t="s">
        <v>35</v>
      </c>
      <c r="O417" t="s">
        <v>1796</v>
      </c>
      <c r="S417" t="s">
        <v>57</v>
      </c>
      <c r="T417" s="5" t="s">
        <v>38</v>
      </c>
      <c r="Y417" t="str">
        <f>VLOOKUP(C417,'[1]DBS_KPY Sorumlular'!A:C,2,FALSE)</f>
        <v>Ayşegül AKGÜL</v>
      </c>
      <c r="Z417" t="str">
        <f>VLOOKUP(C417,'[1]DBS_KPY Sorumlular'!A:C,3,FALSE)</f>
        <v>Sinan ERDAŞ</v>
      </c>
      <c r="AA417" t="str">
        <f>VLOOKUP(K417,[1]!Tablo3[#Data],2,FALSE)</f>
        <v>Erkan AKDOĞAN</v>
      </c>
    </row>
    <row r="418" spans="1:27" x14ac:dyDescent="0.25">
      <c r="A418">
        <v>1707</v>
      </c>
      <c r="B418" t="s">
        <v>1419</v>
      </c>
      <c r="C418" t="s">
        <v>73</v>
      </c>
      <c r="D418" t="s">
        <v>73</v>
      </c>
      <c r="F418" t="s">
        <v>74</v>
      </c>
      <c r="G418" t="s">
        <v>30</v>
      </c>
      <c r="H418" t="s">
        <v>1797</v>
      </c>
      <c r="I418" s="4"/>
      <c r="J418" t="s">
        <v>1798</v>
      </c>
      <c r="K418" t="s">
        <v>459</v>
      </c>
      <c r="L418" s="5" t="s">
        <v>1799</v>
      </c>
      <c r="M418" s="5"/>
      <c r="N418" t="s">
        <v>35</v>
      </c>
      <c r="O418" t="s">
        <v>1800</v>
      </c>
      <c r="S418" t="s">
        <v>57</v>
      </c>
      <c r="T418" s="5" t="s">
        <v>38</v>
      </c>
      <c r="Y418" t="str">
        <f>VLOOKUP(C418,'[1]DBS_KPY Sorumlular'!A:C,2,FALSE)</f>
        <v>Ayşegül AKGÜL</v>
      </c>
      <c r="Z418" t="str">
        <f>VLOOKUP(C418,'[1]DBS_KPY Sorumlular'!A:C,3,FALSE)</f>
        <v>Sinan ERDAŞ</v>
      </c>
      <c r="AA418" t="str">
        <f>VLOOKUP(K418,[1]!Tablo3[#Data],2,FALSE)</f>
        <v>Erkan AKDOĞAN</v>
      </c>
    </row>
    <row r="419" spans="1:27" x14ac:dyDescent="0.25">
      <c r="A419">
        <v>1708</v>
      </c>
      <c r="B419" t="s">
        <v>27</v>
      </c>
      <c r="C419" t="s">
        <v>40</v>
      </c>
      <c r="D419" t="s">
        <v>41</v>
      </c>
      <c r="F419" t="s">
        <v>184</v>
      </c>
      <c r="G419" t="s">
        <v>43</v>
      </c>
      <c r="H419" t="s">
        <v>1801</v>
      </c>
      <c r="I419" s="4">
        <v>46283.875</v>
      </c>
      <c r="J419" t="s">
        <v>1802</v>
      </c>
      <c r="K419" t="s">
        <v>152</v>
      </c>
      <c r="L419" s="5"/>
      <c r="M419" s="5"/>
      <c r="N419" t="s">
        <v>46</v>
      </c>
      <c r="O419" t="s">
        <v>1803</v>
      </c>
      <c r="R419">
        <v>0.21</v>
      </c>
      <c r="S419" t="s">
        <v>57</v>
      </c>
      <c r="T419" s="5" t="s">
        <v>48</v>
      </c>
      <c r="U419" t="s">
        <v>1804</v>
      </c>
      <c r="V419" t="s">
        <v>1805</v>
      </c>
      <c r="W419">
        <v>86</v>
      </c>
      <c r="X419" t="s">
        <v>189</v>
      </c>
      <c r="Y419" t="str">
        <f>VLOOKUP(C419,'[1]DBS_KPY Sorumlular'!A:C,2,FALSE)</f>
        <v>Mustafa AYDIN</v>
      </c>
      <c r="Z419" t="str">
        <f>VLOOKUP(C419,'[1]DBS_KPY Sorumlular'!A:C,3,FALSE)</f>
        <v>Esra DOLAN</v>
      </c>
      <c r="AA419" t="str">
        <f>VLOOKUP(K419,[1]!Tablo3[#Data],2,FALSE)</f>
        <v>Erkan AKDOĞAN</v>
      </c>
    </row>
    <row r="420" spans="1:27" x14ac:dyDescent="0.25">
      <c r="A420">
        <v>1709</v>
      </c>
      <c r="B420" t="s">
        <v>27</v>
      </c>
      <c r="C420" t="s">
        <v>40</v>
      </c>
      <c r="D420" t="s">
        <v>41</v>
      </c>
      <c r="F420" t="s">
        <v>66</v>
      </c>
      <c r="G420" t="s">
        <v>30</v>
      </c>
      <c r="H420" t="s">
        <v>1806</v>
      </c>
      <c r="I420" s="4">
        <v>45837.875</v>
      </c>
      <c r="J420" t="s">
        <v>1807</v>
      </c>
      <c r="K420" t="s">
        <v>152</v>
      </c>
      <c r="L420" s="5"/>
      <c r="M420" s="5"/>
      <c r="N420" t="s">
        <v>46</v>
      </c>
      <c r="O420" t="s">
        <v>1808</v>
      </c>
      <c r="R420">
        <v>0.95</v>
      </c>
      <c r="S420" t="s">
        <v>57</v>
      </c>
      <c r="T420" s="5" t="s">
        <v>58</v>
      </c>
      <c r="U420" t="s">
        <v>1809</v>
      </c>
      <c r="V420" t="s">
        <v>1810</v>
      </c>
      <c r="W420">
        <v>258</v>
      </c>
      <c r="X420" t="s">
        <v>1811</v>
      </c>
      <c r="Y420" t="str">
        <f>VLOOKUP(C420,'[1]DBS_KPY Sorumlular'!A:C,2,FALSE)</f>
        <v>Mustafa AYDIN</v>
      </c>
      <c r="Z420" t="str">
        <f>VLOOKUP(C420,'[1]DBS_KPY Sorumlular'!A:C,3,FALSE)</f>
        <v>Esra DOLAN</v>
      </c>
      <c r="AA420" t="str">
        <f>VLOOKUP(K420,[1]!Tablo3[#Data],2,FALSE)</f>
        <v>Erkan AKDOĞAN</v>
      </c>
    </row>
    <row r="421" spans="1:27" x14ac:dyDescent="0.25">
      <c r="A421">
        <v>1710</v>
      </c>
      <c r="B421" t="s">
        <v>1419</v>
      </c>
      <c r="C421" t="s">
        <v>40</v>
      </c>
      <c r="D421" t="s">
        <v>65</v>
      </c>
      <c r="F421" t="s">
        <v>66</v>
      </c>
      <c r="G421" t="s">
        <v>30</v>
      </c>
      <c r="H421" t="s">
        <v>1812</v>
      </c>
      <c r="I421" s="4"/>
      <c r="K421" t="s">
        <v>152</v>
      </c>
      <c r="L421" s="5"/>
      <c r="M421" s="5"/>
      <c r="N421" t="s">
        <v>35</v>
      </c>
      <c r="O421" t="s">
        <v>1813</v>
      </c>
      <c r="S421" t="s">
        <v>57</v>
      </c>
      <c r="T421" s="5" t="s">
        <v>100</v>
      </c>
      <c r="W421">
        <v>79</v>
      </c>
      <c r="X421" t="s">
        <v>1619</v>
      </c>
      <c r="Y421" t="str">
        <f>VLOOKUP(C421,'[1]DBS_KPY Sorumlular'!A:C,2,FALSE)</f>
        <v>Mustafa AYDIN</v>
      </c>
      <c r="Z421" t="str">
        <f>VLOOKUP(C421,'[1]DBS_KPY Sorumlular'!A:C,3,FALSE)</f>
        <v>Esra DOLAN</v>
      </c>
      <c r="AA421" t="str">
        <f>VLOOKUP(K421,[1]!Tablo3[#Data],2,FALSE)</f>
        <v>Erkan AKDOĞAN</v>
      </c>
    </row>
    <row r="422" spans="1:27" x14ac:dyDescent="0.25">
      <c r="A422">
        <v>1711</v>
      </c>
      <c r="B422" t="s">
        <v>1419</v>
      </c>
      <c r="C422" t="s">
        <v>652</v>
      </c>
      <c r="D422" t="s">
        <v>653</v>
      </c>
      <c r="F422" t="s">
        <v>455</v>
      </c>
      <c r="G422" t="s">
        <v>456</v>
      </c>
      <c r="H422" t="s">
        <v>1814</v>
      </c>
      <c r="I422" s="4"/>
      <c r="J422" t="s">
        <v>1815</v>
      </c>
      <c r="K422" t="s">
        <v>152</v>
      </c>
      <c r="L422" s="5"/>
      <c r="M422" s="5"/>
      <c r="N422" t="s">
        <v>35</v>
      </c>
      <c r="O422" t="s">
        <v>1816</v>
      </c>
      <c r="S422" t="s">
        <v>57</v>
      </c>
      <c r="T422" s="5" t="s">
        <v>100</v>
      </c>
      <c r="W422">
        <v>144</v>
      </c>
      <c r="X422" t="s">
        <v>463</v>
      </c>
      <c r="Y422" t="str">
        <f>VLOOKUP(C422,'[1]DBS_KPY Sorumlular'!A:C,2,FALSE)</f>
        <v>Seyithan İŞİK</v>
      </c>
      <c r="Z422" t="str">
        <f>VLOOKUP(C422,'[1]DBS_KPY Sorumlular'!A:C,3,FALSE)</f>
        <v>Korhan KÖROĞLU</v>
      </c>
      <c r="AA422" t="str">
        <f>VLOOKUP(K422,[1]!Tablo3[#Data],2,FALSE)</f>
        <v>Erkan AKDOĞAN</v>
      </c>
    </row>
    <row r="423" spans="1:27" x14ac:dyDescent="0.25">
      <c r="A423">
        <v>1712</v>
      </c>
      <c r="B423" t="s">
        <v>1419</v>
      </c>
      <c r="C423" t="s">
        <v>1674</v>
      </c>
      <c r="D423" t="s">
        <v>1717</v>
      </c>
      <c r="F423" t="s">
        <v>42</v>
      </c>
      <c r="G423" t="s">
        <v>43</v>
      </c>
      <c r="H423" t="s">
        <v>1817</v>
      </c>
      <c r="I423" s="4"/>
      <c r="J423" t="s">
        <v>1818</v>
      </c>
      <c r="K423" t="s">
        <v>152</v>
      </c>
      <c r="L423" s="5"/>
      <c r="M423" s="5"/>
      <c r="N423" t="s">
        <v>35</v>
      </c>
      <c r="O423" t="s">
        <v>1819</v>
      </c>
      <c r="S423" t="s">
        <v>57</v>
      </c>
      <c r="T423" s="5" t="s">
        <v>48</v>
      </c>
      <c r="U423" t="s">
        <v>1820</v>
      </c>
      <c r="V423" t="s">
        <v>1817</v>
      </c>
      <c r="W423">
        <v>44</v>
      </c>
      <c r="X423" t="s">
        <v>1821</v>
      </c>
      <c r="Y423" t="str">
        <f>VLOOKUP(C423,'[1]DBS_KPY Sorumlular'!A:C,2,FALSE)</f>
        <v>Kadir TOPÇU</v>
      </c>
      <c r="Z423" t="str">
        <f>VLOOKUP(C423,'[1]DBS_KPY Sorumlular'!A:C,3,FALSE)</f>
        <v>Erkan AKDOĞAN</v>
      </c>
      <c r="AA423" t="str">
        <f>VLOOKUP(K423,[1]!Tablo3[#Data],2,FALSE)</f>
        <v>Erkan AKDOĞAN</v>
      </c>
    </row>
    <row r="424" spans="1:27" x14ac:dyDescent="0.25">
      <c r="A424">
        <v>1713</v>
      </c>
      <c r="B424" t="s">
        <v>1419</v>
      </c>
      <c r="C424" t="s">
        <v>1674</v>
      </c>
      <c r="D424" t="s">
        <v>1717</v>
      </c>
      <c r="F424" t="s">
        <v>42</v>
      </c>
      <c r="G424" t="s">
        <v>43</v>
      </c>
      <c r="H424" t="s">
        <v>1822</v>
      </c>
      <c r="I424" s="4"/>
      <c r="J424" t="s">
        <v>1823</v>
      </c>
      <c r="K424" t="s">
        <v>152</v>
      </c>
      <c r="L424" s="5"/>
      <c r="M424" s="5"/>
      <c r="N424" t="s">
        <v>1824</v>
      </c>
      <c r="O424" t="s">
        <v>1825</v>
      </c>
      <c r="S424" t="s">
        <v>57</v>
      </c>
      <c r="T424" s="5" t="s">
        <v>100</v>
      </c>
      <c r="W424">
        <v>68</v>
      </c>
      <c r="X424" t="s">
        <v>51</v>
      </c>
      <c r="Y424" t="str">
        <f>VLOOKUP(C424,'[1]DBS_KPY Sorumlular'!A:C,2,FALSE)</f>
        <v>Kadir TOPÇU</v>
      </c>
      <c r="Z424" t="str">
        <f>VLOOKUP(C424,'[1]DBS_KPY Sorumlular'!A:C,3,FALSE)</f>
        <v>Erkan AKDOĞAN</v>
      </c>
      <c r="AA424" t="str">
        <f>VLOOKUP(K424,[1]!Tablo3[#Data],2,FALSE)</f>
        <v>Erkan AKDOĞAN</v>
      </c>
    </row>
    <row r="425" spans="1:27" x14ac:dyDescent="0.25">
      <c r="A425">
        <v>1714</v>
      </c>
      <c r="B425" t="s">
        <v>1419</v>
      </c>
      <c r="C425" t="s">
        <v>1674</v>
      </c>
      <c r="D425" t="s">
        <v>1717</v>
      </c>
      <c r="F425" t="s">
        <v>882</v>
      </c>
      <c r="G425" t="s">
        <v>43</v>
      </c>
      <c r="H425" t="s">
        <v>1826</v>
      </c>
      <c r="I425" s="4"/>
      <c r="J425" t="s">
        <v>1827</v>
      </c>
      <c r="K425" t="s">
        <v>152</v>
      </c>
      <c r="L425" s="5"/>
      <c r="M425" s="5"/>
      <c r="N425" t="s">
        <v>35</v>
      </c>
      <c r="O425" t="s">
        <v>1828</v>
      </c>
      <c r="S425" t="s">
        <v>57</v>
      </c>
      <c r="T425" s="5" t="s">
        <v>48</v>
      </c>
      <c r="U425" t="s">
        <v>1829</v>
      </c>
      <c r="V425" t="s">
        <v>1826</v>
      </c>
      <c r="W425">
        <v>115</v>
      </c>
      <c r="X425" t="s">
        <v>350</v>
      </c>
      <c r="Y425" t="str">
        <f>VLOOKUP(C425,'[1]DBS_KPY Sorumlular'!A:C,2,FALSE)</f>
        <v>Kadir TOPÇU</v>
      </c>
      <c r="Z425" t="str">
        <f>VLOOKUP(C425,'[1]DBS_KPY Sorumlular'!A:C,3,FALSE)</f>
        <v>Erkan AKDOĞAN</v>
      </c>
      <c r="AA425" t="str">
        <f>VLOOKUP(K425,[1]!Tablo3[#Data],2,FALSE)</f>
        <v>Erkan AKDOĞAN</v>
      </c>
    </row>
    <row r="426" spans="1:27" x14ac:dyDescent="0.25">
      <c r="A426">
        <v>1715</v>
      </c>
      <c r="B426" t="s">
        <v>1419</v>
      </c>
      <c r="C426" t="s">
        <v>652</v>
      </c>
      <c r="D426" t="s">
        <v>653</v>
      </c>
      <c r="F426" t="s">
        <v>455</v>
      </c>
      <c r="G426" t="s">
        <v>456</v>
      </c>
      <c r="H426" t="s">
        <v>1830</v>
      </c>
      <c r="I426" s="4"/>
      <c r="J426" t="s">
        <v>1831</v>
      </c>
      <c r="K426" t="s">
        <v>152</v>
      </c>
      <c r="L426" s="5"/>
      <c r="M426" s="5"/>
      <c r="N426" t="s">
        <v>35</v>
      </c>
      <c r="O426" t="s">
        <v>1832</v>
      </c>
      <c r="S426" t="s">
        <v>57</v>
      </c>
      <c r="T426" s="5" t="s">
        <v>100</v>
      </c>
      <c r="W426">
        <v>144</v>
      </c>
      <c r="X426" t="s">
        <v>463</v>
      </c>
      <c r="Y426" t="str">
        <f>VLOOKUP(C426,'[1]DBS_KPY Sorumlular'!A:C,2,FALSE)</f>
        <v>Seyithan İŞİK</v>
      </c>
      <c r="Z426" t="str">
        <f>VLOOKUP(C426,'[1]DBS_KPY Sorumlular'!A:C,3,FALSE)</f>
        <v>Korhan KÖROĞLU</v>
      </c>
      <c r="AA426" t="str">
        <f>VLOOKUP(K426,[1]!Tablo3[#Data],2,FALSE)</f>
        <v>Erkan AKDOĞAN</v>
      </c>
    </row>
    <row r="427" spans="1:27" x14ac:dyDescent="0.25">
      <c r="A427">
        <v>1716</v>
      </c>
      <c r="B427" t="s">
        <v>1419</v>
      </c>
      <c r="C427" t="s">
        <v>1723</v>
      </c>
      <c r="D427" t="s">
        <v>1724</v>
      </c>
      <c r="F427" t="s">
        <v>184</v>
      </c>
      <c r="G427" t="s">
        <v>43</v>
      </c>
      <c r="H427" t="s">
        <v>1833</v>
      </c>
      <c r="I427" s="4"/>
      <c r="J427" t="s">
        <v>1834</v>
      </c>
      <c r="K427" t="s">
        <v>152</v>
      </c>
      <c r="L427" s="5" t="s">
        <v>1835</v>
      </c>
      <c r="M427" s="5" t="s">
        <v>1836</v>
      </c>
      <c r="N427" t="s">
        <v>35</v>
      </c>
      <c r="O427" t="s">
        <v>1837</v>
      </c>
      <c r="S427" t="s">
        <v>57</v>
      </c>
      <c r="T427" s="5" t="s">
        <v>38</v>
      </c>
      <c r="Y427" t="str">
        <f>VLOOKUP(C427,'[1]DBS_KPY Sorumlular'!A:C,2,FALSE)</f>
        <v>Erkan AKDOĞAN</v>
      </c>
      <c r="Z427" t="str">
        <f>VLOOKUP(C427,'[1]DBS_KPY Sorumlular'!A:C,3,FALSE)</f>
        <v>Kadir TOPÇU</v>
      </c>
      <c r="AA427" t="str">
        <f>VLOOKUP(K427,[1]!Tablo3[#Data],2,FALSE)</f>
        <v>Erkan AKDOĞAN</v>
      </c>
    </row>
    <row r="428" spans="1:27" x14ac:dyDescent="0.25">
      <c r="A428">
        <v>1717</v>
      </c>
      <c r="B428" t="s">
        <v>1419</v>
      </c>
      <c r="C428" t="s">
        <v>73</v>
      </c>
      <c r="D428" t="s">
        <v>73</v>
      </c>
      <c r="F428" t="s">
        <v>66</v>
      </c>
      <c r="G428" t="s">
        <v>30</v>
      </c>
      <c r="H428" t="s">
        <v>171</v>
      </c>
      <c r="I428" s="4"/>
      <c r="J428" t="s">
        <v>1838</v>
      </c>
      <c r="K428" t="s">
        <v>152</v>
      </c>
      <c r="L428" s="5"/>
      <c r="M428" s="5"/>
      <c r="N428" t="s">
        <v>35</v>
      </c>
      <c r="O428" t="s">
        <v>174</v>
      </c>
      <c r="S428" t="s">
        <v>57</v>
      </c>
      <c r="T428" s="5" t="s">
        <v>38</v>
      </c>
      <c r="Y428" t="str">
        <f>VLOOKUP(C428,'[1]DBS_KPY Sorumlular'!A:C,2,FALSE)</f>
        <v>Ayşegül AKGÜL</v>
      </c>
      <c r="Z428" t="str">
        <f>VLOOKUP(C428,'[1]DBS_KPY Sorumlular'!A:C,3,FALSE)</f>
        <v>Sinan ERDAŞ</v>
      </c>
      <c r="AA428" t="str">
        <f>VLOOKUP(K428,[1]!Tablo3[#Data],2,FALSE)</f>
        <v>Erkan AKDOĞAN</v>
      </c>
    </row>
    <row r="429" spans="1:27" x14ac:dyDescent="0.25">
      <c r="A429">
        <v>1718</v>
      </c>
      <c r="B429" t="s">
        <v>1419</v>
      </c>
      <c r="C429" t="s">
        <v>73</v>
      </c>
      <c r="D429" t="s">
        <v>73</v>
      </c>
      <c r="F429" t="s">
        <v>66</v>
      </c>
      <c r="G429" t="s">
        <v>30</v>
      </c>
      <c r="H429" t="s">
        <v>1839</v>
      </c>
      <c r="I429" s="4"/>
      <c r="K429" t="s">
        <v>152</v>
      </c>
      <c r="L429" s="5"/>
      <c r="M429" s="5"/>
      <c r="N429" t="s">
        <v>35</v>
      </c>
      <c r="O429" t="s">
        <v>1840</v>
      </c>
      <c r="S429" t="s">
        <v>57</v>
      </c>
      <c r="T429" s="5" t="s">
        <v>38</v>
      </c>
      <c r="Y429" t="str">
        <f>VLOOKUP(C429,'[1]DBS_KPY Sorumlular'!A:C,2,FALSE)</f>
        <v>Ayşegül AKGÜL</v>
      </c>
      <c r="Z429" t="str">
        <f>VLOOKUP(C429,'[1]DBS_KPY Sorumlular'!A:C,3,FALSE)</f>
        <v>Sinan ERDAŞ</v>
      </c>
      <c r="AA429" t="str">
        <f>VLOOKUP(K429,[1]!Tablo3[#Data],2,FALSE)</f>
        <v>Erkan AKDOĞAN</v>
      </c>
    </row>
    <row r="430" spans="1:27" x14ac:dyDescent="0.25">
      <c r="A430">
        <v>1719</v>
      </c>
      <c r="B430" t="s">
        <v>1419</v>
      </c>
      <c r="C430" t="s">
        <v>73</v>
      </c>
      <c r="D430" t="s">
        <v>73</v>
      </c>
      <c r="F430" t="s">
        <v>66</v>
      </c>
      <c r="G430" t="s">
        <v>30</v>
      </c>
      <c r="H430" t="s">
        <v>1841</v>
      </c>
      <c r="I430" s="4"/>
      <c r="K430" t="s">
        <v>152</v>
      </c>
      <c r="L430" s="5"/>
      <c r="M430" s="5"/>
      <c r="N430" t="s">
        <v>35</v>
      </c>
      <c r="O430" t="s">
        <v>1842</v>
      </c>
      <c r="S430" t="s">
        <v>57</v>
      </c>
      <c r="T430" s="5" t="s">
        <v>38</v>
      </c>
      <c r="Y430" t="str">
        <f>VLOOKUP(C430,'[1]DBS_KPY Sorumlular'!A:C,2,FALSE)</f>
        <v>Ayşegül AKGÜL</v>
      </c>
      <c r="Z430" t="str">
        <f>VLOOKUP(C430,'[1]DBS_KPY Sorumlular'!A:C,3,FALSE)</f>
        <v>Sinan ERDAŞ</v>
      </c>
      <c r="AA430" t="str">
        <f>VLOOKUP(K430,[1]!Tablo3[#Data],2,FALSE)</f>
        <v>Erkan AKDOĞAN</v>
      </c>
    </row>
    <row r="431" spans="1:27" x14ac:dyDescent="0.25">
      <c r="A431">
        <v>1721</v>
      </c>
      <c r="B431" t="s">
        <v>1419</v>
      </c>
      <c r="C431" t="s">
        <v>652</v>
      </c>
      <c r="D431" t="s">
        <v>653</v>
      </c>
      <c r="F431" t="s">
        <v>455</v>
      </c>
      <c r="G431" t="s">
        <v>456</v>
      </c>
      <c r="H431" t="s">
        <v>1843</v>
      </c>
      <c r="I431" s="4"/>
      <c r="K431" t="s">
        <v>181</v>
      </c>
      <c r="L431" s="5"/>
      <c r="M431" s="5"/>
      <c r="N431" t="s">
        <v>35</v>
      </c>
      <c r="O431" t="s">
        <v>1844</v>
      </c>
      <c r="S431" t="s">
        <v>57</v>
      </c>
      <c r="T431" s="5" t="s">
        <v>48</v>
      </c>
      <c r="U431" t="s">
        <v>1845</v>
      </c>
      <c r="V431" t="s">
        <v>1843</v>
      </c>
      <c r="W431">
        <v>144</v>
      </c>
      <c r="X431" t="s">
        <v>463</v>
      </c>
      <c r="Y431" t="str">
        <f>VLOOKUP(C431,'[1]DBS_KPY Sorumlular'!A:C,2,FALSE)</f>
        <v>Seyithan İŞİK</v>
      </c>
      <c r="Z431" t="str">
        <f>VLOOKUP(C431,'[1]DBS_KPY Sorumlular'!A:C,3,FALSE)</f>
        <v>Korhan KÖROĞLU</v>
      </c>
      <c r="AA431" t="str">
        <f>VLOOKUP(K431,[1]!Tablo3[#Data],2,FALSE)</f>
        <v>Erkan AKDOĞAN</v>
      </c>
    </row>
    <row r="432" spans="1:27" x14ac:dyDescent="0.25">
      <c r="A432">
        <v>1722</v>
      </c>
      <c r="B432" t="s">
        <v>1419</v>
      </c>
      <c r="C432" t="s">
        <v>40</v>
      </c>
      <c r="D432" t="s">
        <v>65</v>
      </c>
      <c r="F432" t="s">
        <v>66</v>
      </c>
      <c r="G432" t="s">
        <v>67</v>
      </c>
      <c r="H432" t="s">
        <v>1846</v>
      </c>
      <c r="I432" s="4"/>
      <c r="J432" t="s">
        <v>1847</v>
      </c>
      <c r="K432" t="s">
        <v>181</v>
      </c>
      <c r="L432" s="5"/>
      <c r="M432" s="5"/>
      <c r="N432" t="s">
        <v>35</v>
      </c>
      <c r="O432" t="s">
        <v>1848</v>
      </c>
      <c r="S432" t="s">
        <v>57</v>
      </c>
      <c r="T432" s="5" t="s">
        <v>48</v>
      </c>
      <c r="U432" t="s">
        <v>1849</v>
      </c>
      <c r="V432" t="s">
        <v>1850</v>
      </c>
      <c r="W432">
        <v>90</v>
      </c>
      <c r="X432" t="s">
        <v>1851</v>
      </c>
      <c r="Y432" t="str">
        <f>VLOOKUP(C432,'[1]DBS_KPY Sorumlular'!A:C,2,FALSE)</f>
        <v>Mustafa AYDIN</v>
      </c>
      <c r="Z432" t="str">
        <f>VLOOKUP(C432,'[1]DBS_KPY Sorumlular'!A:C,3,FALSE)</f>
        <v>Esra DOLAN</v>
      </c>
      <c r="AA432" t="str">
        <f>VLOOKUP(K432,[1]!Tablo3[#Data],2,FALSE)</f>
        <v>Erkan AKDOĞAN</v>
      </c>
    </row>
    <row r="433" spans="1:27" x14ac:dyDescent="0.25">
      <c r="A433">
        <v>1723</v>
      </c>
      <c r="B433" t="s">
        <v>1419</v>
      </c>
      <c r="C433" t="s">
        <v>304</v>
      </c>
      <c r="D433" t="s">
        <v>305</v>
      </c>
      <c r="F433" t="s">
        <v>306</v>
      </c>
      <c r="G433" t="s">
        <v>96</v>
      </c>
      <c r="H433" t="s">
        <v>1852</v>
      </c>
      <c r="I433" s="4"/>
      <c r="J433" t="s">
        <v>1853</v>
      </c>
      <c r="K433" t="s">
        <v>181</v>
      </c>
      <c r="L433" s="5"/>
      <c r="M433" s="5"/>
      <c r="N433" t="s">
        <v>35</v>
      </c>
      <c r="O433" t="s">
        <v>1854</v>
      </c>
      <c r="S433" t="s">
        <v>57</v>
      </c>
      <c r="T433" s="5" t="s">
        <v>38</v>
      </c>
      <c r="Y433" t="str">
        <f>VLOOKUP(C433,'[1]DBS_KPY Sorumlular'!A:C,2,FALSE)</f>
        <v>Erkan AKDOĞAN</v>
      </c>
      <c r="Z433" t="str">
        <f>VLOOKUP(C433,'[1]DBS_KPY Sorumlular'!A:C,3,FALSE)</f>
        <v>Kadir TOPÇU</v>
      </c>
      <c r="AA433" t="str">
        <f>VLOOKUP(K433,[1]!Tablo3[#Data],2,FALSE)</f>
        <v>Erkan AKDOĞAN</v>
      </c>
    </row>
    <row r="434" spans="1:27" x14ac:dyDescent="0.25">
      <c r="A434">
        <v>1725</v>
      </c>
      <c r="B434" t="s">
        <v>1419</v>
      </c>
      <c r="C434" t="s">
        <v>304</v>
      </c>
      <c r="D434" t="s">
        <v>305</v>
      </c>
      <c r="F434" t="s">
        <v>306</v>
      </c>
      <c r="G434" t="s">
        <v>96</v>
      </c>
      <c r="H434" t="s">
        <v>1855</v>
      </c>
      <c r="I434" s="4"/>
      <c r="J434" t="s">
        <v>1856</v>
      </c>
      <c r="K434" t="s">
        <v>181</v>
      </c>
      <c r="L434" s="5"/>
      <c r="M434" s="5"/>
      <c r="N434" t="s">
        <v>35</v>
      </c>
      <c r="O434" t="s">
        <v>1857</v>
      </c>
      <c r="S434" t="s">
        <v>57</v>
      </c>
      <c r="T434" s="5" t="s">
        <v>38</v>
      </c>
      <c r="Y434" t="str">
        <f>VLOOKUP(C434,'[1]DBS_KPY Sorumlular'!A:C,2,FALSE)</f>
        <v>Erkan AKDOĞAN</v>
      </c>
      <c r="Z434" t="str">
        <f>VLOOKUP(C434,'[1]DBS_KPY Sorumlular'!A:C,3,FALSE)</f>
        <v>Kadir TOPÇU</v>
      </c>
      <c r="AA434" t="str">
        <f>VLOOKUP(K434,[1]!Tablo3[#Data],2,FALSE)</f>
        <v>Erkan AKDOĞAN</v>
      </c>
    </row>
    <row r="435" spans="1:27" x14ac:dyDescent="0.25">
      <c r="A435">
        <v>1726</v>
      </c>
      <c r="B435" t="s">
        <v>1419</v>
      </c>
      <c r="C435" t="s">
        <v>73</v>
      </c>
      <c r="D435" t="s">
        <v>73</v>
      </c>
      <c r="F435" t="s">
        <v>66</v>
      </c>
      <c r="G435" t="s">
        <v>30</v>
      </c>
      <c r="H435" t="s">
        <v>211</v>
      </c>
      <c r="I435" s="4"/>
      <c r="J435" t="s">
        <v>1858</v>
      </c>
      <c r="K435" t="s">
        <v>181</v>
      </c>
      <c r="L435" s="5"/>
      <c r="M435" s="5"/>
      <c r="N435" t="s">
        <v>35</v>
      </c>
      <c r="O435" t="s">
        <v>1859</v>
      </c>
      <c r="S435" t="s">
        <v>57</v>
      </c>
      <c r="T435" s="5" t="s">
        <v>38</v>
      </c>
      <c r="Y435" t="str">
        <f>VLOOKUP(C435,'[1]DBS_KPY Sorumlular'!A:C,2,FALSE)</f>
        <v>Ayşegül AKGÜL</v>
      </c>
      <c r="Z435" t="str">
        <f>VLOOKUP(C435,'[1]DBS_KPY Sorumlular'!A:C,3,FALSE)</f>
        <v>Sinan ERDAŞ</v>
      </c>
      <c r="AA435" t="str">
        <f>VLOOKUP(K435,[1]!Tablo3[#Data],2,FALSE)</f>
        <v>Erkan AKDOĞAN</v>
      </c>
    </row>
    <row r="436" spans="1:27" x14ac:dyDescent="0.25">
      <c r="A436">
        <v>1727</v>
      </c>
      <c r="B436" t="s">
        <v>1419</v>
      </c>
      <c r="C436" t="s">
        <v>1674</v>
      </c>
      <c r="D436" t="s">
        <v>1675</v>
      </c>
      <c r="F436" t="s">
        <v>537</v>
      </c>
      <c r="G436" t="s">
        <v>96</v>
      </c>
      <c r="H436" t="s">
        <v>1860</v>
      </c>
      <c r="I436" s="4"/>
      <c r="J436" t="s">
        <v>1861</v>
      </c>
      <c r="K436" t="s">
        <v>181</v>
      </c>
      <c r="L436" s="5"/>
      <c r="M436" s="5"/>
      <c r="N436" t="s">
        <v>35</v>
      </c>
      <c r="O436" t="s">
        <v>1862</v>
      </c>
      <c r="S436" t="s">
        <v>57</v>
      </c>
      <c r="T436" s="5" t="s">
        <v>48</v>
      </c>
      <c r="U436" t="s">
        <v>1863</v>
      </c>
      <c r="V436" t="s">
        <v>1860</v>
      </c>
      <c r="W436">
        <v>212</v>
      </c>
      <c r="X436" t="s">
        <v>1864</v>
      </c>
      <c r="Y436" t="str">
        <f>VLOOKUP(C436,'[1]DBS_KPY Sorumlular'!A:C,2,FALSE)</f>
        <v>Kadir TOPÇU</v>
      </c>
      <c r="Z436" t="str">
        <f>VLOOKUP(C436,'[1]DBS_KPY Sorumlular'!A:C,3,FALSE)</f>
        <v>Erkan AKDOĞAN</v>
      </c>
      <c r="AA436" t="str">
        <f>VLOOKUP(K436,[1]!Tablo3[#Data],2,FALSE)</f>
        <v>Erkan AKDOĞAN</v>
      </c>
    </row>
    <row r="437" spans="1:27" x14ac:dyDescent="0.25">
      <c r="A437">
        <v>1728</v>
      </c>
      <c r="B437" t="s">
        <v>1419</v>
      </c>
      <c r="C437" t="s">
        <v>1674</v>
      </c>
      <c r="D437" t="s">
        <v>1675</v>
      </c>
      <c r="F437" t="s">
        <v>66</v>
      </c>
      <c r="G437" t="s">
        <v>67</v>
      </c>
      <c r="H437" t="s">
        <v>1865</v>
      </c>
      <c r="I437" s="4"/>
      <c r="J437" t="s">
        <v>1866</v>
      </c>
      <c r="K437" t="s">
        <v>181</v>
      </c>
      <c r="L437" s="5"/>
      <c r="M437" s="5"/>
      <c r="N437" t="s">
        <v>35</v>
      </c>
      <c r="O437" t="s">
        <v>1867</v>
      </c>
      <c r="S437" t="s">
        <v>57</v>
      </c>
      <c r="T437" s="5" t="s">
        <v>48</v>
      </c>
      <c r="U437" t="s">
        <v>1868</v>
      </c>
      <c r="V437" t="s">
        <v>1865</v>
      </c>
      <c r="W437">
        <v>208</v>
      </c>
      <c r="X437" t="s">
        <v>594</v>
      </c>
      <c r="Y437" t="str">
        <f>VLOOKUP(C437,'[1]DBS_KPY Sorumlular'!A:C,2,FALSE)</f>
        <v>Kadir TOPÇU</v>
      </c>
      <c r="Z437" t="str">
        <f>VLOOKUP(C437,'[1]DBS_KPY Sorumlular'!A:C,3,FALSE)</f>
        <v>Erkan AKDOĞAN</v>
      </c>
      <c r="AA437" t="str">
        <f>VLOOKUP(K437,[1]!Tablo3[#Data],2,FALSE)</f>
        <v>Erkan AKDOĞAN</v>
      </c>
    </row>
    <row r="438" spans="1:27" x14ac:dyDescent="0.25">
      <c r="A438">
        <v>1729</v>
      </c>
      <c r="B438" t="s">
        <v>1419</v>
      </c>
      <c r="C438" t="s">
        <v>1674</v>
      </c>
      <c r="D438" t="s">
        <v>1717</v>
      </c>
      <c r="F438" t="s">
        <v>113</v>
      </c>
      <c r="G438" t="s">
        <v>43</v>
      </c>
      <c r="H438" t="s">
        <v>1869</v>
      </c>
      <c r="I438" s="4"/>
      <c r="J438" t="s">
        <v>1870</v>
      </c>
      <c r="K438" t="s">
        <v>181</v>
      </c>
      <c r="L438" s="5" t="s">
        <v>1871</v>
      </c>
      <c r="M438" s="5" t="s">
        <v>1872</v>
      </c>
      <c r="N438" t="s">
        <v>35</v>
      </c>
      <c r="O438" t="s">
        <v>1873</v>
      </c>
      <c r="S438" t="s">
        <v>57</v>
      </c>
      <c r="T438" s="5" t="s">
        <v>48</v>
      </c>
      <c r="U438" t="s">
        <v>1874</v>
      </c>
      <c r="V438" t="s">
        <v>1875</v>
      </c>
      <c r="W438">
        <v>211</v>
      </c>
      <c r="X438" t="s">
        <v>1876</v>
      </c>
      <c r="Y438" t="str">
        <f>VLOOKUP(C438,'[1]DBS_KPY Sorumlular'!A:C,2,FALSE)</f>
        <v>Kadir TOPÇU</v>
      </c>
      <c r="Z438" t="str">
        <f>VLOOKUP(C438,'[1]DBS_KPY Sorumlular'!A:C,3,FALSE)</f>
        <v>Erkan AKDOĞAN</v>
      </c>
      <c r="AA438" t="str">
        <f>VLOOKUP(K438,[1]!Tablo3[#Data],2,FALSE)</f>
        <v>Erkan AKDOĞAN</v>
      </c>
    </row>
    <row r="439" spans="1:27" x14ac:dyDescent="0.25">
      <c r="A439">
        <v>1730</v>
      </c>
      <c r="B439" t="s">
        <v>1419</v>
      </c>
      <c r="C439" t="s">
        <v>1674</v>
      </c>
      <c r="D439" t="s">
        <v>1675</v>
      </c>
      <c r="F439" t="s">
        <v>52</v>
      </c>
      <c r="G439" t="s">
        <v>67</v>
      </c>
      <c r="H439" t="s">
        <v>1877</v>
      </c>
      <c r="I439" s="4"/>
      <c r="J439" t="s">
        <v>1878</v>
      </c>
      <c r="K439" t="s">
        <v>611</v>
      </c>
      <c r="L439" s="5" t="s">
        <v>1879</v>
      </c>
      <c r="M439" s="5"/>
      <c r="N439" t="s">
        <v>35</v>
      </c>
      <c r="O439" t="s">
        <v>1880</v>
      </c>
      <c r="S439" t="s">
        <v>230</v>
      </c>
      <c r="T439" s="5" t="s">
        <v>48</v>
      </c>
      <c r="U439" t="s">
        <v>1881</v>
      </c>
      <c r="V439" t="s">
        <v>1882</v>
      </c>
      <c r="W439">
        <v>103</v>
      </c>
      <c r="X439" t="s">
        <v>353</v>
      </c>
      <c r="Y439" t="str">
        <f>VLOOKUP(C439,'[1]DBS_KPY Sorumlular'!A:C,2,FALSE)</f>
        <v>Kadir TOPÇU</v>
      </c>
      <c r="Z439" t="str">
        <f>VLOOKUP(C439,'[1]DBS_KPY Sorumlular'!A:C,3,FALSE)</f>
        <v>Erkan AKDOĞAN</v>
      </c>
      <c r="AA439" t="str">
        <f>VLOOKUP(K439,[1]!Tablo3[#Data],2,FALSE)</f>
        <v>Kadir TOPÇU</v>
      </c>
    </row>
    <row r="440" spans="1:27" x14ac:dyDescent="0.25">
      <c r="A440">
        <v>1731</v>
      </c>
      <c r="B440" t="s">
        <v>1419</v>
      </c>
      <c r="C440" t="s">
        <v>1674</v>
      </c>
      <c r="D440" t="s">
        <v>1675</v>
      </c>
      <c r="F440" t="s">
        <v>52</v>
      </c>
      <c r="G440" t="s">
        <v>67</v>
      </c>
      <c r="H440" t="s">
        <v>1883</v>
      </c>
      <c r="I440" s="4"/>
      <c r="J440" t="s">
        <v>1884</v>
      </c>
      <c r="K440" t="s">
        <v>232</v>
      </c>
      <c r="L440" s="5"/>
      <c r="M440" s="5"/>
      <c r="N440" t="s">
        <v>35</v>
      </c>
      <c r="O440" t="s">
        <v>1885</v>
      </c>
      <c r="S440" t="s">
        <v>57</v>
      </c>
      <c r="T440" s="5" t="s">
        <v>48</v>
      </c>
      <c r="U440" t="s">
        <v>1886</v>
      </c>
      <c r="V440" t="s">
        <v>1883</v>
      </c>
      <c r="W440">
        <v>103</v>
      </c>
      <c r="X440" t="s">
        <v>353</v>
      </c>
      <c r="Y440" t="str">
        <f>VLOOKUP(C440,'[1]DBS_KPY Sorumlular'!A:C,2,FALSE)</f>
        <v>Kadir TOPÇU</v>
      </c>
      <c r="Z440" t="str">
        <f>VLOOKUP(C440,'[1]DBS_KPY Sorumlular'!A:C,3,FALSE)</f>
        <v>Erkan AKDOĞAN</v>
      </c>
      <c r="AA440" t="str">
        <f>VLOOKUP(K440,[1]!Tablo3[#Data],2,FALSE)</f>
        <v>Erkan AKDOĞAN</v>
      </c>
    </row>
    <row r="441" spans="1:27" x14ac:dyDescent="0.25">
      <c r="A441">
        <v>1732</v>
      </c>
      <c r="B441" t="s">
        <v>1419</v>
      </c>
      <c r="C441" t="s">
        <v>40</v>
      </c>
      <c r="D441" t="s">
        <v>65</v>
      </c>
      <c r="F441" t="s">
        <v>52</v>
      </c>
      <c r="G441" t="s">
        <v>67</v>
      </c>
      <c r="H441" t="s">
        <v>1887</v>
      </c>
      <c r="I441" s="4"/>
      <c r="J441" t="s">
        <v>1888</v>
      </c>
      <c r="K441" t="s">
        <v>232</v>
      </c>
      <c r="L441" s="5" t="s">
        <v>1889</v>
      </c>
      <c r="M441" s="5"/>
      <c r="N441" t="s">
        <v>35</v>
      </c>
      <c r="O441" t="s">
        <v>1890</v>
      </c>
      <c r="S441" t="s">
        <v>57</v>
      </c>
      <c r="T441" s="5" t="s">
        <v>48</v>
      </c>
      <c r="U441" t="s">
        <v>1891</v>
      </c>
      <c r="V441" t="s">
        <v>1892</v>
      </c>
      <c r="W441">
        <v>103</v>
      </c>
      <c r="X441" t="s">
        <v>353</v>
      </c>
      <c r="Y441" t="str">
        <f>VLOOKUP(C441,'[1]DBS_KPY Sorumlular'!A:C,2,FALSE)</f>
        <v>Mustafa AYDIN</v>
      </c>
      <c r="Z441" t="str">
        <f>VLOOKUP(C441,'[1]DBS_KPY Sorumlular'!A:C,3,FALSE)</f>
        <v>Esra DOLAN</v>
      </c>
      <c r="AA441" t="str">
        <f>VLOOKUP(K441,[1]!Tablo3[#Data],2,FALSE)</f>
        <v>Erkan AKDOĞAN</v>
      </c>
    </row>
    <row r="442" spans="1:27" x14ac:dyDescent="0.25">
      <c r="A442">
        <v>1733</v>
      </c>
      <c r="B442" t="s">
        <v>1419</v>
      </c>
      <c r="C442" t="s">
        <v>652</v>
      </c>
      <c r="D442" t="s">
        <v>653</v>
      </c>
      <c r="F442" t="s">
        <v>455</v>
      </c>
      <c r="G442" t="s">
        <v>456</v>
      </c>
      <c r="H442" t="s">
        <v>1893</v>
      </c>
      <c r="I442" s="4"/>
      <c r="J442" t="s">
        <v>1894</v>
      </c>
      <c r="K442" t="s">
        <v>232</v>
      </c>
      <c r="L442" s="5" t="s">
        <v>1895</v>
      </c>
      <c r="M442" s="5" t="s">
        <v>1896</v>
      </c>
      <c r="N442" t="s">
        <v>35</v>
      </c>
      <c r="O442" t="s">
        <v>1897</v>
      </c>
      <c r="S442" t="s">
        <v>57</v>
      </c>
      <c r="T442" s="5" t="s">
        <v>100</v>
      </c>
      <c r="W442">
        <v>144</v>
      </c>
      <c r="X442" t="s">
        <v>463</v>
      </c>
      <c r="Y442" t="str">
        <f>VLOOKUP(C442,'[1]DBS_KPY Sorumlular'!A:C,2,FALSE)</f>
        <v>Seyithan İŞİK</v>
      </c>
      <c r="Z442" t="str">
        <f>VLOOKUP(C442,'[1]DBS_KPY Sorumlular'!A:C,3,FALSE)</f>
        <v>Korhan KÖROĞLU</v>
      </c>
      <c r="AA442" t="str">
        <f>VLOOKUP(K442,[1]!Tablo3[#Data],2,FALSE)</f>
        <v>Erkan AKDOĞAN</v>
      </c>
    </row>
    <row r="443" spans="1:27" x14ac:dyDescent="0.25">
      <c r="A443">
        <v>1734</v>
      </c>
      <c r="B443" t="s">
        <v>1419</v>
      </c>
      <c r="C443" t="s">
        <v>1674</v>
      </c>
      <c r="D443" t="s">
        <v>1700</v>
      </c>
      <c r="F443" t="s">
        <v>95</v>
      </c>
      <c r="G443" t="s">
        <v>291</v>
      </c>
      <c r="H443" t="s">
        <v>1898</v>
      </c>
      <c r="I443" s="4"/>
      <c r="J443" t="s">
        <v>1899</v>
      </c>
      <c r="K443" t="s">
        <v>232</v>
      </c>
      <c r="L443" s="5" t="s">
        <v>1900</v>
      </c>
      <c r="M443" s="5"/>
      <c r="N443" t="s">
        <v>35</v>
      </c>
      <c r="O443" t="s">
        <v>1901</v>
      </c>
      <c r="S443" t="s">
        <v>57</v>
      </c>
      <c r="T443" s="5" t="s">
        <v>48</v>
      </c>
      <c r="U443" t="s">
        <v>1902</v>
      </c>
      <c r="V443" t="s">
        <v>1903</v>
      </c>
      <c r="W443">
        <v>22</v>
      </c>
      <c r="X443" t="s">
        <v>1473</v>
      </c>
      <c r="Y443" t="str">
        <f>VLOOKUP(C443,'[1]DBS_KPY Sorumlular'!A:C,2,FALSE)</f>
        <v>Kadir TOPÇU</v>
      </c>
      <c r="Z443" t="str">
        <f>VLOOKUP(C443,'[1]DBS_KPY Sorumlular'!A:C,3,FALSE)</f>
        <v>Erkan AKDOĞAN</v>
      </c>
      <c r="AA443" t="str">
        <f>VLOOKUP(K443,[1]!Tablo3[#Data],2,FALSE)</f>
        <v>Erkan AKDOĞAN</v>
      </c>
    </row>
    <row r="444" spans="1:27" x14ac:dyDescent="0.25">
      <c r="A444">
        <v>1735</v>
      </c>
      <c r="B444" t="s">
        <v>1419</v>
      </c>
      <c r="C444" t="s">
        <v>1674</v>
      </c>
      <c r="D444" t="s">
        <v>1717</v>
      </c>
      <c r="F444" t="s">
        <v>642</v>
      </c>
      <c r="G444" t="s">
        <v>43</v>
      </c>
      <c r="H444" t="s">
        <v>1904</v>
      </c>
      <c r="I444" s="4"/>
      <c r="J444" t="s">
        <v>1905</v>
      </c>
      <c r="K444" t="s">
        <v>232</v>
      </c>
      <c r="L444" s="5"/>
      <c r="M444" s="5" t="s">
        <v>1906</v>
      </c>
      <c r="N444" t="s">
        <v>35</v>
      </c>
      <c r="O444" t="s">
        <v>1907</v>
      </c>
      <c r="S444" t="s">
        <v>57</v>
      </c>
      <c r="T444" s="5" t="s">
        <v>48</v>
      </c>
      <c r="U444" t="s">
        <v>1908</v>
      </c>
      <c r="V444" t="s">
        <v>1904</v>
      </c>
      <c r="W444">
        <v>80</v>
      </c>
      <c r="X444" t="s">
        <v>647</v>
      </c>
      <c r="Y444" t="str">
        <f>VLOOKUP(C444,'[1]DBS_KPY Sorumlular'!A:C,2,FALSE)</f>
        <v>Kadir TOPÇU</v>
      </c>
      <c r="Z444" t="str">
        <f>VLOOKUP(C444,'[1]DBS_KPY Sorumlular'!A:C,3,FALSE)</f>
        <v>Erkan AKDOĞAN</v>
      </c>
      <c r="AA444" t="str">
        <f>VLOOKUP(K444,[1]!Tablo3[#Data],2,FALSE)</f>
        <v>Erkan AKDOĞAN</v>
      </c>
    </row>
    <row r="445" spans="1:27" x14ac:dyDescent="0.25">
      <c r="A445">
        <v>1736</v>
      </c>
      <c r="B445" t="s">
        <v>1419</v>
      </c>
      <c r="C445" t="s">
        <v>40</v>
      </c>
      <c r="D445" t="s">
        <v>65</v>
      </c>
      <c r="F445" t="s">
        <v>66</v>
      </c>
      <c r="G445" t="s">
        <v>67</v>
      </c>
      <c r="H445" t="s">
        <v>1909</v>
      </c>
      <c r="I445" s="4"/>
      <c r="K445" t="s">
        <v>232</v>
      </c>
      <c r="L445" s="5"/>
      <c r="M445" s="5"/>
      <c r="N445" t="s">
        <v>35</v>
      </c>
      <c r="O445" t="s">
        <v>1910</v>
      </c>
      <c r="S445" t="s">
        <v>57</v>
      </c>
      <c r="T445" s="5" t="s">
        <v>100</v>
      </c>
      <c r="W445">
        <v>203</v>
      </c>
      <c r="X445" t="s">
        <v>72</v>
      </c>
      <c r="Y445" t="str">
        <f>VLOOKUP(C445,'[1]DBS_KPY Sorumlular'!A:C,2,FALSE)</f>
        <v>Mustafa AYDIN</v>
      </c>
      <c r="Z445" t="str">
        <f>VLOOKUP(C445,'[1]DBS_KPY Sorumlular'!A:C,3,FALSE)</f>
        <v>Esra DOLAN</v>
      </c>
      <c r="AA445" t="str">
        <f>VLOOKUP(K445,[1]!Tablo3[#Data],2,FALSE)</f>
        <v>Erkan AKDOĞAN</v>
      </c>
    </row>
    <row r="446" spans="1:27" x14ac:dyDescent="0.25">
      <c r="A446">
        <v>1737</v>
      </c>
      <c r="B446" t="s">
        <v>27</v>
      </c>
      <c r="C446" t="s">
        <v>304</v>
      </c>
      <c r="D446" t="s">
        <v>305</v>
      </c>
      <c r="F446" t="s">
        <v>306</v>
      </c>
      <c r="G446" t="s">
        <v>67</v>
      </c>
      <c r="H446" t="s">
        <v>1911</v>
      </c>
      <c r="I446" s="4">
        <v>45290.875</v>
      </c>
      <c r="J446" t="s">
        <v>1912</v>
      </c>
      <c r="K446" t="s">
        <v>232</v>
      </c>
      <c r="L446" s="5" t="s">
        <v>1913</v>
      </c>
      <c r="M446" s="5"/>
      <c r="N446" t="s">
        <v>82</v>
      </c>
      <c r="O446" t="s">
        <v>1914</v>
      </c>
      <c r="R446">
        <v>1</v>
      </c>
      <c r="S446" t="s">
        <v>57</v>
      </c>
      <c r="T446" s="5" t="s">
        <v>38</v>
      </c>
      <c r="W446">
        <v>206</v>
      </c>
      <c r="X446" t="s">
        <v>311</v>
      </c>
      <c r="Y446" t="str">
        <f>VLOOKUP(C446,'[1]DBS_KPY Sorumlular'!A:C,2,FALSE)</f>
        <v>Erkan AKDOĞAN</v>
      </c>
      <c r="Z446" t="str">
        <f>VLOOKUP(C446,'[1]DBS_KPY Sorumlular'!A:C,3,FALSE)</f>
        <v>Kadir TOPÇU</v>
      </c>
      <c r="AA446" t="str">
        <f>VLOOKUP(K446,[1]!Tablo3[#Data],2,FALSE)</f>
        <v>Erkan AKDOĞAN</v>
      </c>
    </row>
    <row r="447" spans="1:27" x14ac:dyDescent="0.25">
      <c r="A447">
        <v>1738</v>
      </c>
      <c r="B447" t="s">
        <v>1419</v>
      </c>
      <c r="C447" t="s">
        <v>1723</v>
      </c>
      <c r="D447" t="s">
        <v>1724</v>
      </c>
      <c r="F447" t="s">
        <v>184</v>
      </c>
      <c r="G447" t="s">
        <v>43</v>
      </c>
      <c r="H447" t="s">
        <v>1915</v>
      </c>
      <c r="I447" s="4"/>
      <c r="J447" t="s">
        <v>1916</v>
      </c>
      <c r="K447" t="s">
        <v>232</v>
      </c>
      <c r="L447" s="5" t="s">
        <v>1917</v>
      </c>
      <c r="M447" s="5" t="s">
        <v>35</v>
      </c>
      <c r="N447" t="s">
        <v>35</v>
      </c>
      <c r="O447" t="s">
        <v>1918</v>
      </c>
      <c r="S447" t="s">
        <v>57</v>
      </c>
      <c r="T447" s="5" t="s">
        <v>38</v>
      </c>
      <c r="Y447" t="str">
        <f>VLOOKUP(C447,'[1]DBS_KPY Sorumlular'!A:C,2,FALSE)</f>
        <v>Erkan AKDOĞAN</v>
      </c>
      <c r="Z447" t="str">
        <f>VLOOKUP(C447,'[1]DBS_KPY Sorumlular'!A:C,3,FALSE)</f>
        <v>Kadir TOPÇU</v>
      </c>
      <c r="AA447" t="str">
        <f>VLOOKUP(K447,[1]!Tablo3[#Data],2,FALSE)</f>
        <v>Erkan AKDOĞAN</v>
      </c>
    </row>
    <row r="448" spans="1:27" x14ac:dyDescent="0.25">
      <c r="A448">
        <v>1739</v>
      </c>
      <c r="B448" t="s">
        <v>1419</v>
      </c>
      <c r="C448" t="s">
        <v>652</v>
      </c>
      <c r="D448" t="s">
        <v>653</v>
      </c>
      <c r="F448" t="s">
        <v>455</v>
      </c>
      <c r="G448" t="s">
        <v>456</v>
      </c>
      <c r="H448" t="s">
        <v>1919</v>
      </c>
      <c r="I448" s="4"/>
      <c r="J448" t="s">
        <v>1920</v>
      </c>
      <c r="K448" t="s">
        <v>232</v>
      </c>
      <c r="L448" s="5"/>
      <c r="M448" s="5"/>
      <c r="N448" t="s">
        <v>35</v>
      </c>
      <c r="O448" t="s">
        <v>1921</v>
      </c>
      <c r="S448" t="s">
        <v>57</v>
      </c>
      <c r="T448" s="5" t="s">
        <v>100</v>
      </c>
      <c r="W448">
        <v>144</v>
      </c>
      <c r="X448" t="s">
        <v>463</v>
      </c>
      <c r="Y448" t="str">
        <f>VLOOKUP(C448,'[1]DBS_KPY Sorumlular'!A:C,2,FALSE)</f>
        <v>Seyithan İŞİK</v>
      </c>
      <c r="Z448" t="str">
        <f>VLOOKUP(C448,'[1]DBS_KPY Sorumlular'!A:C,3,FALSE)</f>
        <v>Korhan KÖROĞLU</v>
      </c>
      <c r="AA448" t="str">
        <f>VLOOKUP(K448,[1]!Tablo3[#Data],2,FALSE)</f>
        <v>Erkan AKDOĞAN</v>
      </c>
    </row>
    <row r="449" spans="1:27" x14ac:dyDescent="0.25">
      <c r="A449">
        <v>1740</v>
      </c>
      <c r="B449" t="s">
        <v>1419</v>
      </c>
      <c r="C449" t="s">
        <v>73</v>
      </c>
      <c r="D449" t="s">
        <v>73</v>
      </c>
      <c r="F449" t="s">
        <v>66</v>
      </c>
      <c r="G449" t="s">
        <v>30</v>
      </c>
      <c r="H449" t="s">
        <v>245</v>
      </c>
      <c r="I449" s="4">
        <v>46387.875</v>
      </c>
      <c r="J449" t="s">
        <v>1922</v>
      </c>
      <c r="K449" t="s">
        <v>232</v>
      </c>
      <c r="L449" s="5"/>
      <c r="M449" s="5"/>
      <c r="N449" t="s">
        <v>35</v>
      </c>
      <c r="O449" t="s">
        <v>1923</v>
      </c>
      <c r="S449" t="s">
        <v>57</v>
      </c>
      <c r="T449" s="5" t="s">
        <v>38</v>
      </c>
      <c r="Y449" t="str">
        <f>VLOOKUP(C449,'[1]DBS_KPY Sorumlular'!A:C,2,FALSE)</f>
        <v>Ayşegül AKGÜL</v>
      </c>
      <c r="Z449" t="str">
        <f>VLOOKUP(C449,'[1]DBS_KPY Sorumlular'!A:C,3,FALSE)</f>
        <v>Sinan ERDAŞ</v>
      </c>
      <c r="AA449" t="str">
        <f>VLOOKUP(K449,[1]!Tablo3[#Data],2,FALSE)</f>
        <v>Erkan AKDOĞAN</v>
      </c>
    </row>
    <row r="450" spans="1:27" x14ac:dyDescent="0.25">
      <c r="A450">
        <v>1741</v>
      </c>
      <c r="B450" t="s">
        <v>1419</v>
      </c>
      <c r="C450" t="s">
        <v>73</v>
      </c>
      <c r="D450" t="s">
        <v>73</v>
      </c>
      <c r="F450" t="s">
        <v>66</v>
      </c>
      <c r="G450" t="s">
        <v>30</v>
      </c>
      <c r="H450" t="s">
        <v>1924</v>
      </c>
      <c r="I450" s="4"/>
      <c r="J450" t="s">
        <v>400</v>
      </c>
      <c r="K450" t="s">
        <v>232</v>
      </c>
      <c r="L450" s="5"/>
      <c r="M450" s="5"/>
      <c r="N450" t="s">
        <v>35</v>
      </c>
      <c r="O450" t="s">
        <v>1925</v>
      </c>
      <c r="S450" t="s">
        <v>57</v>
      </c>
      <c r="T450" s="5" t="s">
        <v>38</v>
      </c>
      <c r="Y450" t="str">
        <f>VLOOKUP(C450,'[1]DBS_KPY Sorumlular'!A:C,2,FALSE)</f>
        <v>Ayşegül AKGÜL</v>
      </c>
      <c r="Z450" t="str">
        <f>VLOOKUP(C450,'[1]DBS_KPY Sorumlular'!A:C,3,FALSE)</f>
        <v>Sinan ERDAŞ</v>
      </c>
      <c r="AA450" t="str">
        <f>VLOOKUP(K450,[1]!Tablo3[#Data],2,FALSE)</f>
        <v>Erkan AKDOĞAN</v>
      </c>
    </row>
    <row r="451" spans="1:27" x14ac:dyDescent="0.25">
      <c r="A451">
        <v>1742</v>
      </c>
      <c r="B451" t="s">
        <v>1419</v>
      </c>
      <c r="C451" t="s">
        <v>1674</v>
      </c>
      <c r="D451" t="s">
        <v>1675</v>
      </c>
      <c r="F451" t="s">
        <v>486</v>
      </c>
      <c r="G451" t="s">
        <v>30</v>
      </c>
      <c r="H451" t="s">
        <v>1926</v>
      </c>
      <c r="I451" s="4"/>
      <c r="J451" t="s">
        <v>1927</v>
      </c>
      <c r="K451" t="s">
        <v>232</v>
      </c>
      <c r="L451" s="5" t="s">
        <v>1928</v>
      </c>
      <c r="M451" s="5"/>
      <c r="N451" t="s">
        <v>35</v>
      </c>
      <c r="O451" t="s">
        <v>1929</v>
      </c>
      <c r="S451" t="s">
        <v>57</v>
      </c>
      <c r="T451" s="5" t="s">
        <v>48</v>
      </c>
      <c r="U451" t="s">
        <v>1930</v>
      </c>
      <c r="V451" t="s">
        <v>1926</v>
      </c>
      <c r="W451">
        <v>206</v>
      </c>
      <c r="X451" t="s">
        <v>311</v>
      </c>
      <c r="Y451" t="str">
        <f>VLOOKUP(C451,'[1]DBS_KPY Sorumlular'!A:C,2,FALSE)</f>
        <v>Kadir TOPÇU</v>
      </c>
      <c r="Z451" t="str">
        <f>VLOOKUP(C451,'[1]DBS_KPY Sorumlular'!A:C,3,FALSE)</f>
        <v>Erkan AKDOĞAN</v>
      </c>
      <c r="AA451" t="str">
        <f>VLOOKUP(K451,[1]!Tablo3[#Data],2,FALSE)</f>
        <v>Erkan AKDOĞAN</v>
      </c>
    </row>
    <row r="452" spans="1:27" x14ac:dyDescent="0.25">
      <c r="A452">
        <v>1743</v>
      </c>
      <c r="B452" t="s">
        <v>1419</v>
      </c>
      <c r="C452" t="s">
        <v>1674</v>
      </c>
      <c r="D452" t="s">
        <v>1675</v>
      </c>
      <c r="F452" t="s">
        <v>52</v>
      </c>
      <c r="G452" t="s">
        <v>67</v>
      </c>
      <c r="H452" t="s">
        <v>1931</v>
      </c>
      <c r="I452" s="4"/>
      <c r="J452" t="s">
        <v>1932</v>
      </c>
      <c r="K452" t="s">
        <v>232</v>
      </c>
      <c r="L452" s="5" t="s">
        <v>1928</v>
      </c>
      <c r="M452" s="5"/>
      <c r="N452" t="s">
        <v>35</v>
      </c>
      <c r="O452" t="s">
        <v>1933</v>
      </c>
      <c r="S452" t="s">
        <v>57</v>
      </c>
      <c r="T452" s="5" t="s">
        <v>48</v>
      </c>
      <c r="U452" t="s">
        <v>1934</v>
      </c>
      <c r="V452" t="s">
        <v>1935</v>
      </c>
      <c r="W452">
        <v>103</v>
      </c>
      <c r="X452" t="s">
        <v>353</v>
      </c>
      <c r="Y452" t="str">
        <f>VLOOKUP(C452,'[1]DBS_KPY Sorumlular'!A:C,2,FALSE)</f>
        <v>Kadir TOPÇU</v>
      </c>
      <c r="Z452" t="str">
        <f>VLOOKUP(C452,'[1]DBS_KPY Sorumlular'!A:C,3,FALSE)</f>
        <v>Erkan AKDOĞAN</v>
      </c>
      <c r="AA452" t="str">
        <f>VLOOKUP(K452,[1]!Tablo3[#Data],2,FALSE)</f>
        <v>Erkan AKDOĞAN</v>
      </c>
    </row>
    <row r="453" spans="1:27" x14ac:dyDescent="0.25">
      <c r="A453">
        <v>1744</v>
      </c>
      <c r="B453" t="s">
        <v>1419</v>
      </c>
      <c r="C453" t="s">
        <v>1674</v>
      </c>
      <c r="D453" t="s">
        <v>1675</v>
      </c>
      <c r="F453" t="s">
        <v>52</v>
      </c>
      <c r="G453" t="s">
        <v>67</v>
      </c>
      <c r="H453" t="s">
        <v>1936</v>
      </c>
      <c r="I453" s="4"/>
      <c r="J453" t="s">
        <v>1937</v>
      </c>
      <c r="K453" t="s">
        <v>217</v>
      </c>
      <c r="L453" s="5" t="s">
        <v>1928</v>
      </c>
      <c r="M453" s="5"/>
      <c r="N453" t="s">
        <v>35</v>
      </c>
      <c r="O453" t="s">
        <v>1938</v>
      </c>
      <c r="S453" t="s">
        <v>57</v>
      </c>
      <c r="T453" s="5" t="s">
        <v>48</v>
      </c>
      <c r="U453" t="s">
        <v>1939</v>
      </c>
      <c r="V453" t="s">
        <v>1940</v>
      </c>
      <c r="W453">
        <v>103</v>
      </c>
      <c r="X453" t="s">
        <v>353</v>
      </c>
      <c r="Y453" t="str">
        <f>VLOOKUP(C453,'[1]DBS_KPY Sorumlular'!A:C,2,FALSE)</f>
        <v>Kadir TOPÇU</v>
      </c>
      <c r="Z453" t="str">
        <f>VLOOKUP(C453,'[1]DBS_KPY Sorumlular'!A:C,3,FALSE)</f>
        <v>Erkan AKDOĞAN</v>
      </c>
      <c r="AA453" t="str">
        <f>VLOOKUP(K453,[1]!Tablo3[#Data],2,FALSE)</f>
        <v>Erkan AKDOĞAN</v>
      </c>
    </row>
    <row r="454" spans="1:27" x14ac:dyDescent="0.25">
      <c r="A454">
        <v>1745</v>
      </c>
      <c r="B454" t="s">
        <v>1419</v>
      </c>
      <c r="C454" t="s">
        <v>1674</v>
      </c>
      <c r="D454" t="s">
        <v>1675</v>
      </c>
      <c r="F454" t="s">
        <v>66</v>
      </c>
      <c r="G454" t="s">
        <v>96</v>
      </c>
      <c r="H454" t="s">
        <v>1941</v>
      </c>
      <c r="I454" s="4"/>
      <c r="J454" t="s">
        <v>1942</v>
      </c>
      <c r="K454" t="s">
        <v>232</v>
      </c>
      <c r="L454" s="5" t="s">
        <v>1943</v>
      </c>
      <c r="M454" s="5"/>
      <c r="N454" t="s">
        <v>35</v>
      </c>
      <c r="O454" t="s">
        <v>1944</v>
      </c>
      <c r="S454" t="s">
        <v>57</v>
      </c>
      <c r="T454" s="5" t="s">
        <v>48</v>
      </c>
      <c r="U454" t="s">
        <v>1945</v>
      </c>
      <c r="V454" t="s">
        <v>1946</v>
      </c>
      <c r="W454">
        <v>28</v>
      </c>
      <c r="X454" t="s">
        <v>667</v>
      </c>
      <c r="Y454" t="str">
        <f>VLOOKUP(C454,'[1]DBS_KPY Sorumlular'!A:C,2,FALSE)</f>
        <v>Kadir TOPÇU</v>
      </c>
      <c r="Z454" t="str">
        <f>VLOOKUP(C454,'[1]DBS_KPY Sorumlular'!A:C,3,FALSE)</f>
        <v>Erkan AKDOĞAN</v>
      </c>
      <c r="AA454" t="str">
        <f>VLOOKUP(K454,[1]!Tablo3[#Data],2,FALSE)</f>
        <v>Erkan AKDOĞAN</v>
      </c>
    </row>
    <row r="455" spans="1:27" x14ac:dyDescent="0.25">
      <c r="A455">
        <v>1746</v>
      </c>
      <c r="B455" t="s">
        <v>27</v>
      </c>
      <c r="C455" t="s">
        <v>40</v>
      </c>
      <c r="D455" t="s">
        <v>65</v>
      </c>
      <c r="F455" t="s">
        <v>66</v>
      </c>
      <c r="G455" t="s">
        <v>67</v>
      </c>
      <c r="H455" t="s">
        <v>1947</v>
      </c>
      <c r="I455" s="4">
        <v>45868.875</v>
      </c>
      <c r="J455" t="s">
        <v>1948</v>
      </c>
      <c r="K455" t="s">
        <v>217</v>
      </c>
      <c r="L455" s="5"/>
      <c r="M455" s="5"/>
      <c r="N455" t="s">
        <v>46</v>
      </c>
      <c r="O455" t="s">
        <v>1949</v>
      </c>
      <c r="R455">
        <v>0.8</v>
      </c>
      <c r="S455" t="s">
        <v>57</v>
      </c>
      <c r="T455" s="5" t="s">
        <v>48</v>
      </c>
      <c r="U455" t="s">
        <v>1950</v>
      </c>
      <c r="V455" t="s">
        <v>1951</v>
      </c>
      <c r="W455">
        <v>203</v>
      </c>
      <c r="X455" t="s">
        <v>72</v>
      </c>
      <c r="Y455" t="str">
        <f>VLOOKUP(C455,'[1]DBS_KPY Sorumlular'!A:C,2,FALSE)</f>
        <v>Mustafa AYDIN</v>
      </c>
      <c r="Z455" t="str">
        <f>VLOOKUP(C455,'[1]DBS_KPY Sorumlular'!A:C,3,FALSE)</f>
        <v>Esra DOLAN</v>
      </c>
      <c r="AA455" t="str">
        <f>VLOOKUP(K455,[1]!Tablo3[#Data],2,FALSE)</f>
        <v>Erkan AKDOĞAN</v>
      </c>
    </row>
    <row r="456" spans="1:27" x14ac:dyDescent="0.25">
      <c r="A456">
        <v>1747</v>
      </c>
      <c r="B456" t="s">
        <v>1419</v>
      </c>
      <c r="C456" t="s">
        <v>1674</v>
      </c>
      <c r="D456" t="s">
        <v>1675</v>
      </c>
      <c r="F456" t="s">
        <v>66</v>
      </c>
      <c r="G456" t="s">
        <v>67</v>
      </c>
      <c r="H456" t="s">
        <v>1952</v>
      </c>
      <c r="I456" s="4"/>
      <c r="J456" t="s">
        <v>1953</v>
      </c>
      <c r="K456" t="s">
        <v>217</v>
      </c>
      <c r="L456" s="5"/>
      <c r="M456" s="5"/>
      <c r="N456" t="s">
        <v>35</v>
      </c>
      <c r="O456" t="s">
        <v>1954</v>
      </c>
      <c r="S456" t="s">
        <v>57</v>
      </c>
      <c r="T456" s="5" t="s">
        <v>48</v>
      </c>
      <c r="U456" t="s">
        <v>1955</v>
      </c>
      <c r="V456" t="s">
        <v>1956</v>
      </c>
      <c r="W456">
        <v>203</v>
      </c>
      <c r="X456" t="s">
        <v>72</v>
      </c>
      <c r="Y456" t="str">
        <f>VLOOKUP(C456,'[1]DBS_KPY Sorumlular'!A:C,2,FALSE)</f>
        <v>Kadir TOPÇU</v>
      </c>
      <c r="Z456" t="str">
        <f>VLOOKUP(C456,'[1]DBS_KPY Sorumlular'!A:C,3,FALSE)</f>
        <v>Erkan AKDOĞAN</v>
      </c>
      <c r="AA456" t="str">
        <f>VLOOKUP(K456,[1]!Tablo3[#Data],2,FALSE)</f>
        <v>Erkan AKDOĞAN</v>
      </c>
    </row>
    <row r="457" spans="1:27" x14ac:dyDescent="0.25">
      <c r="A457">
        <v>1748</v>
      </c>
      <c r="B457" t="s">
        <v>1419</v>
      </c>
      <c r="C457" t="s">
        <v>1674</v>
      </c>
      <c r="D457" t="s">
        <v>1675</v>
      </c>
      <c r="F457" t="s">
        <v>66</v>
      </c>
      <c r="G457" t="s">
        <v>67</v>
      </c>
      <c r="H457" t="s">
        <v>1957</v>
      </c>
      <c r="I457" s="4"/>
      <c r="J457" t="s">
        <v>1958</v>
      </c>
      <c r="K457" t="s">
        <v>217</v>
      </c>
      <c r="L457" s="5"/>
      <c r="M457" s="5"/>
      <c r="N457" t="s">
        <v>35</v>
      </c>
      <c r="O457" t="s">
        <v>1959</v>
      </c>
      <c r="S457" t="s">
        <v>57</v>
      </c>
      <c r="T457" s="5" t="s">
        <v>48</v>
      </c>
      <c r="U457" t="s">
        <v>1960</v>
      </c>
      <c r="V457" t="s">
        <v>1961</v>
      </c>
      <c r="W457">
        <v>104</v>
      </c>
      <c r="X457" t="s">
        <v>703</v>
      </c>
      <c r="Y457" t="str">
        <f>VLOOKUP(C457,'[1]DBS_KPY Sorumlular'!A:C,2,FALSE)</f>
        <v>Kadir TOPÇU</v>
      </c>
      <c r="Z457" t="str">
        <f>VLOOKUP(C457,'[1]DBS_KPY Sorumlular'!A:C,3,FALSE)</f>
        <v>Erkan AKDOĞAN</v>
      </c>
      <c r="AA457" t="str">
        <f>VLOOKUP(K457,[1]!Tablo3[#Data],2,FALSE)</f>
        <v>Erkan AKDOĞAN</v>
      </c>
    </row>
    <row r="458" spans="1:27" x14ac:dyDescent="0.25">
      <c r="A458">
        <v>1749</v>
      </c>
      <c r="B458" t="s">
        <v>1419</v>
      </c>
      <c r="C458" t="s">
        <v>1674</v>
      </c>
      <c r="D458" t="s">
        <v>1717</v>
      </c>
      <c r="F458" t="s">
        <v>42</v>
      </c>
      <c r="G458" t="s">
        <v>43</v>
      </c>
      <c r="H458" t="s">
        <v>1962</v>
      </c>
      <c r="I458" s="4"/>
      <c r="J458" t="s">
        <v>1963</v>
      </c>
      <c r="K458" t="s">
        <v>217</v>
      </c>
      <c r="L458" s="5"/>
      <c r="M458" s="5"/>
      <c r="N458" t="s">
        <v>35</v>
      </c>
      <c r="O458" t="s">
        <v>1964</v>
      </c>
      <c r="S458" t="s">
        <v>57</v>
      </c>
      <c r="T458" s="5" t="s">
        <v>48</v>
      </c>
      <c r="U458" t="s">
        <v>1965</v>
      </c>
      <c r="V458" t="s">
        <v>1962</v>
      </c>
      <c r="W458">
        <v>68</v>
      </c>
      <c r="X458" t="s">
        <v>51</v>
      </c>
      <c r="Y458" t="str">
        <f>VLOOKUP(C458,'[1]DBS_KPY Sorumlular'!A:C,2,FALSE)</f>
        <v>Kadir TOPÇU</v>
      </c>
      <c r="Z458" t="str">
        <f>VLOOKUP(C458,'[1]DBS_KPY Sorumlular'!A:C,3,FALSE)</f>
        <v>Erkan AKDOĞAN</v>
      </c>
      <c r="AA458" t="str">
        <f>VLOOKUP(K458,[1]!Tablo3[#Data],2,FALSE)</f>
        <v>Erkan AKDOĞAN</v>
      </c>
    </row>
    <row r="459" spans="1:27" x14ac:dyDescent="0.25">
      <c r="A459">
        <v>1750</v>
      </c>
      <c r="B459" t="s">
        <v>1419</v>
      </c>
      <c r="C459" t="s">
        <v>40</v>
      </c>
      <c r="D459" t="s">
        <v>65</v>
      </c>
      <c r="F459" t="s">
        <v>52</v>
      </c>
      <c r="G459" t="s">
        <v>67</v>
      </c>
      <c r="H459" t="s">
        <v>1966</v>
      </c>
      <c r="I459" s="4"/>
      <c r="K459" t="s">
        <v>217</v>
      </c>
      <c r="L459" s="5"/>
      <c r="M459" s="5"/>
      <c r="N459" t="s">
        <v>35</v>
      </c>
      <c r="O459" t="s">
        <v>1967</v>
      </c>
      <c r="S459" t="s">
        <v>57</v>
      </c>
      <c r="T459" s="5" t="s">
        <v>48</v>
      </c>
      <c r="U459" t="s">
        <v>1968</v>
      </c>
      <c r="V459" t="s">
        <v>1969</v>
      </c>
      <c r="W459">
        <v>103</v>
      </c>
      <c r="X459" t="s">
        <v>353</v>
      </c>
      <c r="Y459" t="str">
        <f>VLOOKUP(C459,'[1]DBS_KPY Sorumlular'!A:C,2,FALSE)</f>
        <v>Mustafa AYDIN</v>
      </c>
      <c r="Z459" t="str">
        <f>VLOOKUP(C459,'[1]DBS_KPY Sorumlular'!A:C,3,FALSE)</f>
        <v>Esra DOLAN</v>
      </c>
      <c r="AA459" t="str">
        <f>VLOOKUP(K459,[1]!Tablo3[#Data],2,FALSE)</f>
        <v>Erkan AKDOĞAN</v>
      </c>
    </row>
    <row r="460" spans="1:27" x14ac:dyDescent="0.25">
      <c r="A460">
        <v>1751</v>
      </c>
      <c r="B460" t="s">
        <v>1419</v>
      </c>
      <c r="C460" t="s">
        <v>1674</v>
      </c>
      <c r="D460" t="s">
        <v>1717</v>
      </c>
      <c r="F460" t="s">
        <v>52</v>
      </c>
      <c r="G460" t="s">
        <v>291</v>
      </c>
      <c r="H460" t="s">
        <v>1970</v>
      </c>
      <c r="I460" s="4"/>
      <c r="J460" t="s">
        <v>1971</v>
      </c>
      <c r="K460" t="s">
        <v>217</v>
      </c>
      <c r="L460" s="5"/>
      <c r="M460" s="5"/>
      <c r="N460" t="s">
        <v>35</v>
      </c>
      <c r="O460" t="s">
        <v>1972</v>
      </c>
      <c r="S460" t="s">
        <v>57</v>
      </c>
      <c r="T460" s="5" t="s">
        <v>48</v>
      </c>
      <c r="U460" t="s">
        <v>1973</v>
      </c>
      <c r="V460" t="s">
        <v>1974</v>
      </c>
      <c r="W460">
        <v>72</v>
      </c>
      <c r="X460" t="s">
        <v>341</v>
      </c>
      <c r="Y460" t="str">
        <f>VLOOKUP(C460,'[1]DBS_KPY Sorumlular'!A:C,2,FALSE)</f>
        <v>Kadir TOPÇU</v>
      </c>
      <c r="Z460" t="str">
        <f>VLOOKUP(C460,'[1]DBS_KPY Sorumlular'!A:C,3,FALSE)</f>
        <v>Erkan AKDOĞAN</v>
      </c>
      <c r="AA460" t="str">
        <f>VLOOKUP(K460,[1]!Tablo3[#Data],2,FALSE)</f>
        <v>Erkan AKDOĞAN</v>
      </c>
    </row>
    <row r="461" spans="1:27" x14ac:dyDescent="0.25">
      <c r="A461">
        <v>1753</v>
      </c>
      <c r="B461" t="s">
        <v>1419</v>
      </c>
      <c r="C461" t="s">
        <v>304</v>
      </c>
      <c r="D461" t="s">
        <v>305</v>
      </c>
      <c r="F461" t="s">
        <v>306</v>
      </c>
      <c r="G461" t="s">
        <v>96</v>
      </c>
      <c r="H461" t="s">
        <v>1975</v>
      </c>
      <c r="I461" s="4"/>
      <c r="J461" t="s">
        <v>1976</v>
      </c>
      <c r="K461" t="s">
        <v>217</v>
      </c>
      <c r="L461" s="5"/>
      <c r="M461" s="5"/>
      <c r="N461" t="s">
        <v>35</v>
      </c>
      <c r="O461" t="s">
        <v>1977</v>
      </c>
      <c r="S461" t="s">
        <v>57</v>
      </c>
      <c r="T461" s="5" t="s">
        <v>38</v>
      </c>
      <c r="Y461" t="str">
        <f>VLOOKUP(C461,'[1]DBS_KPY Sorumlular'!A:C,2,FALSE)</f>
        <v>Erkan AKDOĞAN</v>
      </c>
      <c r="Z461" t="str">
        <f>VLOOKUP(C461,'[1]DBS_KPY Sorumlular'!A:C,3,FALSE)</f>
        <v>Kadir TOPÇU</v>
      </c>
      <c r="AA461" t="str">
        <f>VLOOKUP(K461,[1]!Tablo3[#Data],2,FALSE)</f>
        <v>Erkan AKDOĞAN</v>
      </c>
    </row>
    <row r="462" spans="1:27" x14ac:dyDescent="0.25">
      <c r="A462">
        <v>1754</v>
      </c>
      <c r="B462" t="s">
        <v>27</v>
      </c>
      <c r="C462" t="s">
        <v>304</v>
      </c>
      <c r="D462" t="s">
        <v>305</v>
      </c>
      <c r="F462" t="s">
        <v>306</v>
      </c>
      <c r="G462" t="s">
        <v>96</v>
      </c>
      <c r="H462" t="s">
        <v>1978</v>
      </c>
      <c r="I462" s="4">
        <v>46021.875</v>
      </c>
      <c r="J462" t="s">
        <v>1979</v>
      </c>
      <c r="K462" t="s">
        <v>217</v>
      </c>
      <c r="L462" s="5" t="s">
        <v>1980</v>
      </c>
      <c r="M462" s="5"/>
      <c r="N462" t="s">
        <v>46</v>
      </c>
      <c r="O462" t="s">
        <v>1981</v>
      </c>
      <c r="R462">
        <v>0.01</v>
      </c>
      <c r="S462" t="s">
        <v>57</v>
      </c>
      <c r="T462" s="5" t="s">
        <v>38</v>
      </c>
      <c r="Y462" t="str">
        <f>VLOOKUP(C462,'[1]DBS_KPY Sorumlular'!A:C,2,FALSE)</f>
        <v>Erkan AKDOĞAN</v>
      </c>
      <c r="Z462" t="str">
        <f>VLOOKUP(C462,'[1]DBS_KPY Sorumlular'!A:C,3,FALSE)</f>
        <v>Kadir TOPÇU</v>
      </c>
      <c r="AA462" t="str">
        <f>VLOOKUP(K462,[1]!Tablo3[#Data],2,FALSE)</f>
        <v>Erkan AKDOĞAN</v>
      </c>
    </row>
    <row r="463" spans="1:27" x14ac:dyDescent="0.25">
      <c r="A463">
        <v>1755</v>
      </c>
      <c r="B463" t="s">
        <v>1419</v>
      </c>
      <c r="C463" t="s">
        <v>1674</v>
      </c>
      <c r="D463" t="s">
        <v>1717</v>
      </c>
      <c r="F463" t="s">
        <v>52</v>
      </c>
      <c r="G463" t="s">
        <v>291</v>
      </c>
      <c r="H463" t="s">
        <v>1982</v>
      </c>
      <c r="I463" s="4"/>
      <c r="K463" t="s">
        <v>217</v>
      </c>
      <c r="L463" s="5"/>
      <c r="M463" s="5"/>
      <c r="N463" t="s">
        <v>35</v>
      </c>
      <c r="O463" t="s">
        <v>1983</v>
      </c>
      <c r="S463" t="s">
        <v>57</v>
      </c>
      <c r="T463" s="5" t="s">
        <v>48</v>
      </c>
      <c r="U463" t="s">
        <v>1984</v>
      </c>
      <c r="V463" t="s">
        <v>1985</v>
      </c>
      <c r="W463">
        <v>72</v>
      </c>
      <c r="X463" t="s">
        <v>341</v>
      </c>
      <c r="Y463" t="str">
        <f>VLOOKUP(C463,'[1]DBS_KPY Sorumlular'!A:C,2,FALSE)</f>
        <v>Kadir TOPÇU</v>
      </c>
      <c r="Z463" t="str">
        <f>VLOOKUP(C463,'[1]DBS_KPY Sorumlular'!A:C,3,FALSE)</f>
        <v>Erkan AKDOĞAN</v>
      </c>
      <c r="AA463" t="str">
        <f>VLOOKUP(K463,[1]!Tablo3[#Data],2,FALSE)</f>
        <v>Erkan AKDOĞAN</v>
      </c>
    </row>
    <row r="464" spans="1:27" x14ac:dyDescent="0.25">
      <c r="A464">
        <v>1756</v>
      </c>
      <c r="B464" t="s">
        <v>1419</v>
      </c>
      <c r="C464" t="s">
        <v>1674</v>
      </c>
      <c r="D464" t="s">
        <v>1717</v>
      </c>
      <c r="F464" t="s">
        <v>102</v>
      </c>
      <c r="G464" t="s">
        <v>43</v>
      </c>
      <c r="H464" t="s">
        <v>1986</v>
      </c>
      <c r="I464" s="4"/>
      <c r="J464" t="s">
        <v>1987</v>
      </c>
      <c r="K464" t="s">
        <v>217</v>
      </c>
      <c r="L464" s="5" t="s">
        <v>1988</v>
      </c>
      <c r="M464" s="5" t="s">
        <v>1989</v>
      </c>
      <c r="N464" t="s">
        <v>739</v>
      </c>
      <c r="O464" t="s">
        <v>1990</v>
      </c>
      <c r="S464" t="s">
        <v>57</v>
      </c>
      <c r="T464" s="5" t="s">
        <v>100</v>
      </c>
      <c r="W464">
        <v>70</v>
      </c>
      <c r="X464" t="s">
        <v>711</v>
      </c>
      <c r="Y464" t="str">
        <f>VLOOKUP(C464,'[1]DBS_KPY Sorumlular'!A:C,2,FALSE)</f>
        <v>Kadir TOPÇU</v>
      </c>
      <c r="Z464" t="str">
        <f>VLOOKUP(C464,'[1]DBS_KPY Sorumlular'!A:C,3,FALSE)</f>
        <v>Erkan AKDOĞAN</v>
      </c>
      <c r="AA464" t="str">
        <f>VLOOKUP(K464,[1]!Tablo3[#Data],2,FALSE)</f>
        <v>Erkan AKDOĞAN</v>
      </c>
    </row>
    <row r="465" spans="1:27" x14ac:dyDescent="0.25">
      <c r="A465">
        <v>1757</v>
      </c>
      <c r="B465" t="s">
        <v>1419</v>
      </c>
      <c r="C465" t="s">
        <v>1723</v>
      </c>
      <c r="D465" t="s">
        <v>1724</v>
      </c>
      <c r="F465" t="s">
        <v>184</v>
      </c>
      <c r="G465" t="s">
        <v>43</v>
      </c>
      <c r="H465" t="s">
        <v>1991</v>
      </c>
      <c r="I465" s="4"/>
      <c r="J465" t="s">
        <v>1992</v>
      </c>
      <c r="K465" t="s">
        <v>217</v>
      </c>
      <c r="L465" s="5" t="s">
        <v>1993</v>
      </c>
      <c r="M465" s="5" t="s">
        <v>35</v>
      </c>
      <c r="N465" t="s">
        <v>35</v>
      </c>
      <c r="O465" t="s">
        <v>1994</v>
      </c>
      <c r="S465" t="s">
        <v>57</v>
      </c>
      <c r="T465" s="5" t="s">
        <v>38</v>
      </c>
      <c r="Y465" t="str">
        <f>VLOOKUP(C465,'[1]DBS_KPY Sorumlular'!A:C,2,FALSE)</f>
        <v>Erkan AKDOĞAN</v>
      </c>
      <c r="Z465" t="str">
        <f>VLOOKUP(C465,'[1]DBS_KPY Sorumlular'!A:C,3,FALSE)</f>
        <v>Kadir TOPÇU</v>
      </c>
      <c r="AA465" t="str">
        <f>VLOOKUP(K465,[1]!Tablo3[#Data],2,FALSE)</f>
        <v>Erkan AKDOĞAN</v>
      </c>
    </row>
    <row r="466" spans="1:27" x14ac:dyDescent="0.25">
      <c r="A466">
        <v>1758</v>
      </c>
      <c r="B466" t="s">
        <v>1419</v>
      </c>
      <c r="C466" t="s">
        <v>1674</v>
      </c>
      <c r="D466" t="s">
        <v>1700</v>
      </c>
      <c r="F466" t="s">
        <v>95</v>
      </c>
      <c r="G466" t="s">
        <v>291</v>
      </c>
      <c r="H466" t="s">
        <v>1995</v>
      </c>
      <c r="I466" s="4"/>
      <c r="J466" t="s">
        <v>1996</v>
      </c>
      <c r="K466" t="s">
        <v>217</v>
      </c>
      <c r="L466" s="5" t="s">
        <v>1997</v>
      </c>
      <c r="M466" s="5"/>
      <c r="N466" t="s">
        <v>35</v>
      </c>
      <c r="O466" t="s">
        <v>1998</v>
      </c>
      <c r="S466" t="s">
        <v>57</v>
      </c>
      <c r="T466" s="5" t="s">
        <v>48</v>
      </c>
      <c r="U466" t="s">
        <v>1999</v>
      </c>
      <c r="V466" t="s">
        <v>1995</v>
      </c>
      <c r="W466">
        <v>28</v>
      </c>
      <c r="X466" t="s">
        <v>667</v>
      </c>
      <c r="Y466" t="str">
        <f>VLOOKUP(C466,'[1]DBS_KPY Sorumlular'!A:C,2,FALSE)</f>
        <v>Kadir TOPÇU</v>
      </c>
      <c r="Z466" t="str">
        <f>VLOOKUP(C466,'[1]DBS_KPY Sorumlular'!A:C,3,FALSE)</f>
        <v>Erkan AKDOĞAN</v>
      </c>
      <c r="AA466" t="str">
        <f>VLOOKUP(K466,[1]!Tablo3[#Data],2,FALSE)</f>
        <v>Erkan AKDOĞAN</v>
      </c>
    </row>
    <row r="467" spans="1:27" x14ac:dyDescent="0.25">
      <c r="A467">
        <v>1759</v>
      </c>
      <c r="B467" t="s">
        <v>1419</v>
      </c>
      <c r="C467" t="s">
        <v>40</v>
      </c>
      <c r="D467" t="s">
        <v>65</v>
      </c>
      <c r="F467" t="s">
        <v>66</v>
      </c>
      <c r="G467" t="s">
        <v>30</v>
      </c>
      <c r="H467" t="s">
        <v>2000</v>
      </c>
      <c r="I467" s="4"/>
      <c r="K467" t="s">
        <v>217</v>
      </c>
      <c r="L467" s="5"/>
      <c r="M467" s="5"/>
      <c r="N467" t="s">
        <v>35</v>
      </c>
      <c r="O467" t="s">
        <v>2001</v>
      </c>
      <c r="S467" t="s">
        <v>57</v>
      </c>
      <c r="T467" s="5" t="s">
        <v>100</v>
      </c>
      <c r="W467">
        <v>79</v>
      </c>
      <c r="X467" t="s">
        <v>1619</v>
      </c>
      <c r="Y467" t="str">
        <f>VLOOKUP(C467,'[1]DBS_KPY Sorumlular'!A:C,2,FALSE)</f>
        <v>Mustafa AYDIN</v>
      </c>
      <c r="Z467" t="str">
        <f>VLOOKUP(C467,'[1]DBS_KPY Sorumlular'!A:C,3,FALSE)</f>
        <v>Esra DOLAN</v>
      </c>
      <c r="AA467" t="str">
        <f>VLOOKUP(K467,[1]!Tablo3[#Data],2,FALSE)</f>
        <v>Erkan AKDOĞAN</v>
      </c>
    </row>
    <row r="468" spans="1:27" x14ac:dyDescent="0.25">
      <c r="A468">
        <v>1760</v>
      </c>
      <c r="B468" t="s">
        <v>27</v>
      </c>
      <c r="C468" t="s">
        <v>40</v>
      </c>
      <c r="D468" t="s">
        <v>65</v>
      </c>
      <c r="F468" t="s">
        <v>66</v>
      </c>
      <c r="G468" t="s">
        <v>67</v>
      </c>
      <c r="H468" t="s">
        <v>2002</v>
      </c>
      <c r="I468" s="4">
        <v>45868.875</v>
      </c>
      <c r="J468" t="s">
        <v>2003</v>
      </c>
      <c r="K468" t="s">
        <v>217</v>
      </c>
      <c r="L468" s="5"/>
      <c r="M468" s="5"/>
      <c r="N468" t="s">
        <v>46</v>
      </c>
      <c r="O468" t="s">
        <v>2004</v>
      </c>
      <c r="R468">
        <v>0.66</v>
      </c>
      <c r="S468" t="s">
        <v>57</v>
      </c>
      <c r="T468" s="5" t="s">
        <v>48</v>
      </c>
      <c r="U468" t="s">
        <v>2005</v>
      </c>
      <c r="V468" t="s">
        <v>2006</v>
      </c>
      <c r="W468">
        <v>208</v>
      </c>
      <c r="X468" t="s">
        <v>594</v>
      </c>
      <c r="Y468" t="str">
        <f>VLOOKUP(C468,'[1]DBS_KPY Sorumlular'!A:C,2,FALSE)</f>
        <v>Mustafa AYDIN</v>
      </c>
      <c r="Z468" t="str">
        <f>VLOOKUP(C468,'[1]DBS_KPY Sorumlular'!A:C,3,FALSE)</f>
        <v>Esra DOLAN</v>
      </c>
      <c r="AA468" t="str">
        <f>VLOOKUP(K468,[1]!Tablo3[#Data],2,FALSE)</f>
        <v>Erkan AKDOĞAN</v>
      </c>
    </row>
    <row r="469" spans="1:27" x14ac:dyDescent="0.25">
      <c r="A469">
        <v>1761</v>
      </c>
      <c r="B469" t="s">
        <v>1419</v>
      </c>
      <c r="C469" t="s">
        <v>40</v>
      </c>
      <c r="D469" t="s">
        <v>65</v>
      </c>
      <c r="F469" t="s">
        <v>113</v>
      </c>
      <c r="G469" t="s">
        <v>30</v>
      </c>
      <c r="H469" t="s">
        <v>2007</v>
      </c>
      <c r="I469" s="4"/>
      <c r="K469" t="s">
        <v>217</v>
      </c>
      <c r="L469" s="5"/>
      <c r="M469" s="5"/>
      <c r="N469" t="s">
        <v>35</v>
      </c>
      <c r="O469" t="s">
        <v>2008</v>
      </c>
      <c r="S469" t="s">
        <v>57</v>
      </c>
      <c r="T469" s="5" t="s">
        <v>100</v>
      </c>
      <c r="W469">
        <v>79</v>
      </c>
      <c r="X469" t="s">
        <v>1619</v>
      </c>
      <c r="Y469" t="str">
        <f>VLOOKUP(C469,'[1]DBS_KPY Sorumlular'!A:C,2,FALSE)</f>
        <v>Mustafa AYDIN</v>
      </c>
      <c r="Z469" t="str">
        <f>VLOOKUP(C469,'[1]DBS_KPY Sorumlular'!A:C,3,FALSE)</f>
        <v>Esra DOLAN</v>
      </c>
      <c r="AA469" t="str">
        <f>VLOOKUP(K469,[1]!Tablo3[#Data],2,FALSE)</f>
        <v>Erkan AKDOĞAN</v>
      </c>
    </row>
    <row r="470" spans="1:27" x14ac:dyDescent="0.25">
      <c r="A470">
        <v>1762</v>
      </c>
      <c r="B470" t="s">
        <v>1419</v>
      </c>
      <c r="C470" t="s">
        <v>40</v>
      </c>
      <c r="D470" t="s">
        <v>65</v>
      </c>
      <c r="F470" t="s">
        <v>66</v>
      </c>
      <c r="G470" t="s">
        <v>30</v>
      </c>
      <c r="H470" t="s">
        <v>2009</v>
      </c>
      <c r="I470" s="4"/>
      <c r="K470" t="s">
        <v>217</v>
      </c>
      <c r="L470" s="5"/>
      <c r="M470" s="5"/>
      <c r="N470" t="s">
        <v>35</v>
      </c>
      <c r="O470" t="s">
        <v>2010</v>
      </c>
      <c r="S470" t="s">
        <v>57</v>
      </c>
      <c r="T470" s="5" t="s">
        <v>100</v>
      </c>
      <c r="W470">
        <v>79</v>
      </c>
      <c r="X470" t="s">
        <v>1619</v>
      </c>
      <c r="Y470" t="str">
        <f>VLOOKUP(C470,'[1]DBS_KPY Sorumlular'!A:C,2,FALSE)</f>
        <v>Mustafa AYDIN</v>
      </c>
      <c r="Z470" t="str">
        <f>VLOOKUP(C470,'[1]DBS_KPY Sorumlular'!A:C,3,FALSE)</f>
        <v>Esra DOLAN</v>
      </c>
      <c r="AA470" t="str">
        <f>VLOOKUP(K470,[1]!Tablo3[#Data],2,FALSE)</f>
        <v>Erkan AKDOĞAN</v>
      </c>
    </row>
    <row r="471" spans="1:27" x14ac:dyDescent="0.25">
      <c r="A471">
        <v>1763</v>
      </c>
      <c r="B471" t="s">
        <v>1419</v>
      </c>
      <c r="C471" t="s">
        <v>652</v>
      </c>
      <c r="D471" t="s">
        <v>653</v>
      </c>
      <c r="F471" t="s">
        <v>455</v>
      </c>
      <c r="G471" t="s">
        <v>456</v>
      </c>
      <c r="H471" t="s">
        <v>2011</v>
      </c>
      <c r="I471" s="4"/>
      <c r="J471" t="s">
        <v>2012</v>
      </c>
      <c r="K471" t="s">
        <v>217</v>
      </c>
      <c r="L471" s="5" t="s">
        <v>2013</v>
      </c>
      <c r="M471" s="5"/>
      <c r="N471" t="s">
        <v>35</v>
      </c>
      <c r="O471" t="s">
        <v>2014</v>
      </c>
      <c r="S471" t="s">
        <v>57</v>
      </c>
      <c r="T471" s="5" t="s">
        <v>100</v>
      </c>
      <c r="W471">
        <v>151</v>
      </c>
      <c r="X471" t="s">
        <v>1532</v>
      </c>
      <c r="Y471" t="str">
        <f>VLOOKUP(C471,'[1]DBS_KPY Sorumlular'!A:C,2,FALSE)</f>
        <v>Seyithan İŞİK</v>
      </c>
      <c r="Z471" t="str">
        <f>VLOOKUP(C471,'[1]DBS_KPY Sorumlular'!A:C,3,FALSE)</f>
        <v>Korhan KÖROĞLU</v>
      </c>
      <c r="AA471" t="str">
        <f>VLOOKUP(K471,[1]!Tablo3[#Data],2,FALSE)</f>
        <v>Erkan AKDOĞAN</v>
      </c>
    </row>
    <row r="472" spans="1:27" x14ac:dyDescent="0.25">
      <c r="A472">
        <v>1764</v>
      </c>
      <c r="B472" t="s">
        <v>1419</v>
      </c>
      <c r="C472" t="s">
        <v>73</v>
      </c>
      <c r="D472" t="s">
        <v>73</v>
      </c>
      <c r="F472" t="s">
        <v>66</v>
      </c>
      <c r="G472" t="s">
        <v>30</v>
      </c>
      <c r="H472" t="s">
        <v>301</v>
      </c>
      <c r="I472" s="4"/>
      <c r="J472" t="s">
        <v>2015</v>
      </c>
      <c r="K472" t="s">
        <v>217</v>
      </c>
      <c r="L472" s="5"/>
      <c r="M472" s="5"/>
      <c r="N472" t="s">
        <v>35</v>
      </c>
      <c r="O472" t="s">
        <v>2016</v>
      </c>
      <c r="S472" t="s">
        <v>57</v>
      </c>
      <c r="T472" s="5" t="s">
        <v>38</v>
      </c>
      <c r="Y472" t="str">
        <f>VLOOKUP(C472,'[1]DBS_KPY Sorumlular'!A:C,2,FALSE)</f>
        <v>Ayşegül AKGÜL</v>
      </c>
      <c r="Z472" t="str">
        <f>VLOOKUP(C472,'[1]DBS_KPY Sorumlular'!A:C,3,FALSE)</f>
        <v>Sinan ERDAŞ</v>
      </c>
      <c r="AA472" t="str">
        <f>VLOOKUP(K472,[1]!Tablo3[#Data],2,FALSE)</f>
        <v>Erkan AKDOĞAN</v>
      </c>
    </row>
    <row r="473" spans="1:27" x14ac:dyDescent="0.25">
      <c r="A473">
        <v>1765</v>
      </c>
      <c r="B473" t="s">
        <v>1419</v>
      </c>
      <c r="C473" t="s">
        <v>73</v>
      </c>
      <c r="D473" t="s">
        <v>73</v>
      </c>
      <c r="F473" t="s">
        <v>42</v>
      </c>
      <c r="G473" t="s">
        <v>43</v>
      </c>
      <c r="H473" t="s">
        <v>2017</v>
      </c>
      <c r="I473" s="4"/>
      <c r="K473" t="s">
        <v>217</v>
      </c>
      <c r="L473" s="5"/>
      <c r="M473" s="5"/>
      <c r="N473" t="s">
        <v>35</v>
      </c>
      <c r="O473" t="s">
        <v>2018</v>
      </c>
      <c r="S473" t="s">
        <v>57</v>
      </c>
      <c r="T473" s="5" t="s">
        <v>38</v>
      </c>
      <c r="Y473" t="str">
        <f>VLOOKUP(C473,'[1]DBS_KPY Sorumlular'!A:C,2,FALSE)</f>
        <v>Ayşegül AKGÜL</v>
      </c>
      <c r="Z473" t="str">
        <f>VLOOKUP(C473,'[1]DBS_KPY Sorumlular'!A:C,3,FALSE)</f>
        <v>Sinan ERDAŞ</v>
      </c>
      <c r="AA473" t="str">
        <f>VLOOKUP(K473,[1]!Tablo3[#Data],2,FALSE)</f>
        <v>Erkan AKDOĞAN</v>
      </c>
    </row>
    <row r="474" spans="1:27" x14ac:dyDescent="0.25">
      <c r="A474">
        <v>1766</v>
      </c>
      <c r="B474" t="s">
        <v>1419</v>
      </c>
      <c r="C474" t="s">
        <v>1674</v>
      </c>
      <c r="D474" t="s">
        <v>1675</v>
      </c>
      <c r="F474" t="s">
        <v>95</v>
      </c>
      <c r="G474" t="s">
        <v>291</v>
      </c>
      <c r="H474" t="s">
        <v>2019</v>
      </c>
      <c r="I474" s="4"/>
      <c r="J474" t="s">
        <v>2020</v>
      </c>
      <c r="K474" t="s">
        <v>217</v>
      </c>
      <c r="L474" s="5"/>
      <c r="M474" s="5"/>
      <c r="N474" t="s">
        <v>35</v>
      </c>
      <c r="O474" t="s">
        <v>2021</v>
      </c>
      <c r="S474" t="s">
        <v>57</v>
      </c>
      <c r="T474" s="5" t="s">
        <v>48</v>
      </c>
      <c r="U474" t="s">
        <v>2022</v>
      </c>
      <c r="V474" t="s">
        <v>2019</v>
      </c>
      <c r="W474">
        <v>150</v>
      </c>
      <c r="X474" t="s">
        <v>485</v>
      </c>
      <c r="Y474" t="str">
        <f>VLOOKUP(C474,'[1]DBS_KPY Sorumlular'!A:C,2,FALSE)</f>
        <v>Kadir TOPÇU</v>
      </c>
      <c r="Z474" t="str">
        <f>VLOOKUP(C474,'[1]DBS_KPY Sorumlular'!A:C,3,FALSE)</f>
        <v>Erkan AKDOĞAN</v>
      </c>
      <c r="AA474" t="str">
        <f>VLOOKUP(K474,[1]!Tablo3[#Data],2,FALSE)</f>
        <v>Erkan AKDOĞAN</v>
      </c>
    </row>
    <row r="475" spans="1:27" x14ac:dyDescent="0.25">
      <c r="A475">
        <v>1767</v>
      </c>
      <c r="B475" t="s">
        <v>1419</v>
      </c>
      <c r="C475" t="s">
        <v>1674</v>
      </c>
      <c r="D475" t="s">
        <v>1717</v>
      </c>
      <c r="F475" t="s">
        <v>642</v>
      </c>
      <c r="G475" t="s">
        <v>43</v>
      </c>
      <c r="H475" t="s">
        <v>2023</v>
      </c>
      <c r="I475" s="4"/>
      <c r="J475" t="s">
        <v>2024</v>
      </c>
      <c r="K475" t="s">
        <v>217</v>
      </c>
      <c r="L475" s="5"/>
      <c r="M475" s="5" t="s">
        <v>2025</v>
      </c>
      <c r="N475" t="s">
        <v>35</v>
      </c>
      <c r="O475" t="s">
        <v>2026</v>
      </c>
      <c r="S475" t="s">
        <v>57</v>
      </c>
      <c r="T475" s="5" t="s">
        <v>48</v>
      </c>
      <c r="U475" t="s">
        <v>2027</v>
      </c>
      <c r="V475" t="s">
        <v>2028</v>
      </c>
      <c r="W475">
        <v>80</v>
      </c>
      <c r="X475" t="s">
        <v>647</v>
      </c>
      <c r="Y475" t="str">
        <f>VLOOKUP(C475,'[1]DBS_KPY Sorumlular'!A:C,2,FALSE)</f>
        <v>Kadir TOPÇU</v>
      </c>
      <c r="Z475" t="str">
        <f>VLOOKUP(C475,'[1]DBS_KPY Sorumlular'!A:C,3,FALSE)</f>
        <v>Erkan AKDOĞAN</v>
      </c>
      <c r="AA475" t="str">
        <f>VLOOKUP(K475,[1]!Tablo3[#Data],2,FALSE)</f>
        <v>Erkan AKDOĞAN</v>
      </c>
    </row>
    <row r="476" spans="1:27" x14ac:dyDescent="0.25">
      <c r="A476">
        <v>1768</v>
      </c>
      <c r="B476" t="s">
        <v>1419</v>
      </c>
      <c r="C476" t="s">
        <v>1674</v>
      </c>
      <c r="D476" t="s">
        <v>1675</v>
      </c>
      <c r="F476" t="s">
        <v>52</v>
      </c>
      <c r="G476" t="s">
        <v>67</v>
      </c>
      <c r="H476" t="s">
        <v>2029</v>
      </c>
      <c r="I476" s="4"/>
      <c r="J476" t="s">
        <v>2030</v>
      </c>
      <c r="K476" t="s">
        <v>280</v>
      </c>
      <c r="L476" s="5" t="s">
        <v>2031</v>
      </c>
      <c r="M476" s="5"/>
      <c r="N476" t="s">
        <v>35</v>
      </c>
      <c r="O476" t="s">
        <v>2032</v>
      </c>
      <c r="S476" t="s">
        <v>57</v>
      </c>
      <c r="T476" s="5" t="s">
        <v>48</v>
      </c>
      <c r="U476" t="s">
        <v>2033</v>
      </c>
      <c r="V476" t="s">
        <v>2034</v>
      </c>
      <c r="W476">
        <v>103</v>
      </c>
      <c r="X476" t="s">
        <v>353</v>
      </c>
      <c r="Y476" t="str">
        <f>VLOOKUP(C476,'[1]DBS_KPY Sorumlular'!A:C,2,FALSE)</f>
        <v>Kadir TOPÇU</v>
      </c>
      <c r="Z476" t="str">
        <f>VLOOKUP(C476,'[1]DBS_KPY Sorumlular'!A:C,3,FALSE)</f>
        <v>Erkan AKDOĞAN</v>
      </c>
      <c r="AA476" t="str">
        <f>VLOOKUP(K476,[1]!Tablo3[#Data],2,FALSE)</f>
        <v>Erkan AKDOĞAN</v>
      </c>
    </row>
    <row r="477" spans="1:27" x14ac:dyDescent="0.25">
      <c r="A477">
        <v>1769</v>
      </c>
      <c r="B477" t="s">
        <v>1419</v>
      </c>
      <c r="C477" t="s">
        <v>1674</v>
      </c>
      <c r="D477" t="s">
        <v>1675</v>
      </c>
      <c r="F477" t="s">
        <v>52</v>
      </c>
      <c r="G477" t="s">
        <v>67</v>
      </c>
      <c r="H477" t="s">
        <v>2035</v>
      </c>
      <c r="I477" s="4"/>
      <c r="J477" t="s">
        <v>2036</v>
      </c>
      <c r="K477" t="s">
        <v>309</v>
      </c>
      <c r="L477" s="5"/>
      <c r="M477" s="5"/>
      <c r="N477" t="s">
        <v>35</v>
      </c>
      <c r="O477" t="s">
        <v>2037</v>
      </c>
      <c r="S477" t="s">
        <v>57</v>
      </c>
      <c r="T477" s="5" t="s">
        <v>48</v>
      </c>
      <c r="U477" t="s">
        <v>2038</v>
      </c>
      <c r="V477" t="s">
        <v>2035</v>
      </c>
      <c r="W477">
        <v>103</v>
      </c>
      <c r="X477" t="s">
        <v>353</v>
      </c>
      <c r="Y477" t="str">
        <f>VLOOKUP(C477,'[1]DBS_KPY Sorumlular'!A:C,2,FALSE)</f>
        <v>Kadir TOPÇU</v>
      </c>
      <c r="Z477" t="str">
        <f>VLOOKUP(C477,'[1]DBS_KPY Sorumlular'!A:C,3,FALSE)</f>
        <v>Erkan AKDOĞAN</v>
      </c>
      <c r="AA477" t="str">
        <f>VLOOKUP(K477,[1]!Tablo3[#Data],2,FALSE)</f>
        <v>Erkan AKDOĞAN</v>
      </c>
    </row>
    <row r="478" spans="1:27" x14ac:dyDescent="0.25">
      <c r="A478">
        <v>1770</v>
      </c>
      <c r="B478" t="s">
        <v>1419</v>
      </c>
      <c r="C478" t="s">
        <v>1674</v>
      </c>
      <c r="D478" t="s">
        <v>1675</v>
      </c>
      <c r="F478" t="s">
        <v>52</v>
      </c>
      <c r="G478" t="s">
        <v>30</v>
      </c>
      <c r="H478" t="s">
        <v>2039</v>
      </c>
      <c r="I478" s="4"/>
      <c r="J478" t="s">
        <v>2040</v>
      </c>
      <c r="K478" t="s">
        <v>309</v>
      </c>
      <c r="L478" s="5"/>
      <c r="M478" s="5"/>
      <c r="N478" t="s">
        <v>35</v>
      </c>
      <c r="O478" t="s">
        <v>2041</v>
      </c>
      <c r="S478" t="s">
        <v>57</v>
      </c>
      <c r="T478" s="5" t="s">
        <v>48</v>
      </c>
      <c r="U478" t="s">
        <v>2042</v>
      </c>
      <c r="V478" t="s">
        <v>2043</v>
      </c>
      <c r="W478">
        <v>65</v>
      </c>
      <c r="X478" t="s">
        <v>374</v>
      </c>
      <c r="Y478" t="str">
        <f>VLOOKUP(C478,'[1]DBS_KPY Sorumlular'!A:C,2,FALSE)</f>
        <v>Kadir TOPÇU</v>
      </c>
      <c r="Z478" t="str">
        <f>VLOOKUP(C478,'[1]DBS_KPY Sorumlular'!A:C,3,FALSE)</f>
        <v>Erkan AKDOĞAN</v>
      </c>
      <c r="AA478" t="str">
        <f>VLOOKUP(K478,[1]!Tablo3[#Data],2,FALSE)</f>
        <v>Erkan AKDOĞAN</v>
      </c>
    </row>
    <row r="479" spans="1:27" x14ac:dyDescent="0.25">
      <c r="A479">
        <v>1771</v>
      </c>
      <c r="B479" t="s">
        <v>1419</v>
      </c>
      <c r="C479" t="s">
        <v>1674</v>
      </c>
      <c r="D479" t="s">
        <v>1675</v>
      </c>
      <c r="F479" t="s">
        <v>52</v>
      </c>
      <c r="G479" t="s">
        <v>30</v>
      </c>
      <c r="H479" t="s">
        <v>2044</v>
      </c>
      <c r="I479" s="4"/>
      <c r="J479" t="s">
        <v>2045</v>
      </c>
      <c r="K479" t="s">
        <v>309</v>
      </c>
      <c r="L479" s="5"/>
      <c r="M479" s="5"/>
      <c r="N479" t="s">
        <v>35</v>
      </c>
      <c r="O479" t="s">
        <v>2046</v>
      </c>
      <c r="S479" t="s">
        <v>57</v>
      </c>
      <c r="T479" s="5" t="s">
        <v>48</v>
      </c>
      <c r="U479" t="s">
        <v>2047</v>
      </c>
      <c r="V479" t="s">
        <v>2044</v>
      </c>
      <c r="W479">
        <v>65</v>
      </c>
      <c r="X479" t="s">
        <v>374</v>
      </c>
      <c r="Y479" t="str">
        <f>VLOOKUP(C479,'[1]DBS_KPY Sorumlular'!A:C,2,FALSE)</f>
        <v>Kadir TOPÇU</v>
      </c>
      <c r="Z479" t="str">
        <f>VLOOKUP(C479,'[1]DBS_KPY Sorumlular'!A:C,3,FALSE)</f>
        <v>Erkan AKDOĞAN</v>
      </c>
      <c r="AA479" t="str">
        <f>VLOOKUP(K479,[1]!Tablo3[#Data],2,FALSE)</f>
        <v>Erkan AKDOĞAN</v>
      </c>
    </row>
    <row r="480" spans="1:27" x14ac:dyDescent="0.25">
      <c r="A480">
        <v>1772</v>
      </c>
      <c r="B480" t="s">
        <v>1419</v>
      </c>
      <c r="C480" t="s">
        <v>40</v>
      </c>
      <c r="D480" t="s">
        <v>41</v>
      </c>
      <c r="F480" t="s">
        <v>532</v>
      </c>
      <c r="G480" t="s">
        <v>43</v>
      </c>
      <c r="H480" t="s">
        <v>2048</v>
      </c>
      <c r="I480" s="4"/>
      <c r="K480" t="s">
        <v>309</v>
      </c>
      <c r="L480" s="5"/>
      <c r="M480" s="5"/>
      <c r="N480" t="s">
        <v>35</v>
      </c>
      <c r="O480" t="s">
        <v>2049</v>
      </c>
      <c r="S480" t="s">
        <v>57</v>
      </c>
      <c r="T480" s="5" t="s">
        <v>48</v>
      </c>
      <c r="U480" t="s">
        <v>2050</v>
      </c>
      <c r="V480" t="s">
        <v>2051</v>
      </c>
      <c r="W480">
        <v>86</v>
      </c>
      <c r="X480" t="s">
        <v>189</v>
      </c>
      <c r="Y480" t="str">
        <f>VLOOKUP(C480,'[1]DBS_KPY Sorumlular'!A:C,2,FALSE)</f>
        <v>Mustafa AYDIN</v>
      </c>
      <c r="Z480" t="str">
        <f>VLOOKUP(C480,'[1]DBS_KPY Sorumlular'!A:C,3,FALSE)</f>
        <v>Esra DOLAN</v>
      </c>
      <c r="AA480" t="str">
        <f>VLOOKUP(K480,[1]!Tablo3[#Data],2,FALSE)</f>
        <v>Erkan AKDOĞAN</v>
      </c>
    </row>
    <row r="481" spans="1:27" x14ac:dyDescent="0.25">
      <c r="A481">
        <v>1773</v>
      </c>
      <c r="B481" t="s">
        <v>27</v>
      </c>
      <c r="C481" t="s">
        <v>40</v>
      </c>
      <c r="D481" t="s">
        <v>65</v>
      </c>
      <c r="F481" t="s">
        <v>52</v>
      </c>
      <c r="G481" t="s">
        <v>67</v>
      </c>
      <c r="H481" t="s">
        <v>2052</v>
      </c>
      <c r="I481" s="4">
        <v>46021.875</v>
      </c>
      <c r="J481" t="s">
        <v>2053</v>
      </c>
      <c r="K481" t="s">
        <v>309</v>
      </c>
      <c r="L481" s="5"/>
      <c r="M481" s="5"/>
      <c r="N481" t="s">
        <v>46</v>
      </c>
      <c r="O481" t="s">
        <v>2054</v>
      </c>
      <c r="R481">
        <v>0.15</v>
      </c>
      <c r="S481" t="s">
        <v>57</v>
      </c>
      <c r="T481" s="5" t="s">
        <v>48</v>
      </c>
      <c r="U481" t="s">
        <v>2055</v>
      </c>
      <c r="V481" t="s">
        <v>2056</v>
      </c>
      <c r="W481">
        <v>103</v>
      </c>
      <c r="X481" t="s">
        <v>353</v>
      </c>
      <c r="Y481" t="str">
        <f>VLOOKUP(C481,'[1]DBS_KPY Sorumlular'!A:C,2,FALSE)</f>
        <v>Mustafa AYDIN</v>
      </c>
      <c r="Z481" t="str">
        <f>VLOOKUP(C481,'[1]DBS_KPY Sorumlular'!A:C,3,FALSE)</f>
        <v>Esra DOLAN</v>
      </c>
      <c r="AA481" t="str">
        <f>VLOOKUP(K481,[1]!Tablo3[#Data],2,FALSE)</f>
        <v>Erkan AKDOĞAN</v>
      </c>
    </row>
    <row r="482" spans="1:27" x14ac:dyDescent="0.25">
      <c r="A482">
        <v>1774</v>
      </c>
      <c r="B482" t="s">
        <v>1419</v>
      </c>
      <c r="C482" t="s">
        <v>40</v>
      </c>
      <c r="D482" t="s">
        <v>65</v>
      </c>
      <c r="F482" t="s">
        <v>66</v>
      </c>
      <c r="G482" t="s">
        <v>67</v>
      </c>
      <c r="H482" t="s">
        <v>2057</v>
      </c>
      <c r="I482" s="4"/>
      <c r="K482" t="s">
        <v>309</v>
      </c>
      <c r="L482" s="5"/>
      <c r="M482" s="5"/>
      <c r="N482" t="s">
        <v>35</v>
      </c>
      <c r="O482" t="s">
        <v>2058</v>
      </c>
      <c r="S482" t="s">
        <v>57</v>
      </c>
      <c r="T482" s="5" t="s">
        <v>100</v>
      </c>
      <c r="W482">
        <v>103</v>
      </c>
      <c r="X482" t="s">
        <v>353</v>
      </c>
      <c r="Y482" t="str">
        <f>VLOOKUP(C482,'[1]DBS_KPY Sorumlular'!A:C,2,FALSE)</f>
        <v>Mustafa AYDIN</v>
      </c>
      <c r="Z482" t="str">
        <f>VLOOKUP(C482,'[1]DBS_KPY Sorumlular'!A:C,3,FALSE)</f>
        <v>Esra DOLAN</v>
      </c>
      <c r="AA482" t="str">
        <f>VLOOKUP(K482,[1]!Tablo3[#Data],2,FALSE)</f>
        <v>Erkan AKDOĞAN</v>
      </c>
    </row>
    <row r="483" spans="1:27" x14ac:dyDescent="0.25">
      <c r="A483">
        <v>1775</v>
      </c>
      <c r="B483" t="s">
        <v>1419</v>
      </c>
      <c r="C483" t="s">
        <v>73</v>
      </c>
      <c r="D483" t="s">
        <v>73</v>
      </c>
      <c r="F483" t="s">
        <v>66</v>
      </c>
      <c r="G483" t="s">
        <v>30</v>
      </c>
      <c r="H483" t="s">
        <v>2059</v>
      </c>
      <c r="I483" s="4"/>
      <c r="J483" t="s">
        <v>2060</v>
      </c>
      <c r="K483" t="s">
        <v>309</v>
      </c>
      <c r="L483" s="5"/>
      <c r="M483" s="5"/>
      <c r="N483" t="s">
        <v>35</v>
      </c>
      <c r="O483" t="s">
        <v>2061</v>
      </c>
      <c r="S483" t="s">
        <v>57</v>
      </c>
      <c r="T483" s="5" t="s">
        <v>38</v>
      </c>
      <c r="Y483" t="str">
        <f>VLOOKUP(C483,'[1]DBS_KPY Sorumlular'!A:C,2,FALSE)</f>
        <v>Ayşegül AKGÜL</v>
      </c>
      <c r="Z483" t="str">
        <f>VLOOKUP(C483,'[1]DBS_KPY Sorumlular'!A:C,3,FALSE)</f>
        <v>Sinan ERDAŞ</v>
      </c>
      <c r="AA483" t="str">
        <f>VLOOKUP(K483,[1]!Tablo3[#Data],2,FALSE)</f>
        <v>Erkan AKDOĞAN</v>
      </c>
    </row>
    <row r="484" spans="1:27" x14ac:dyDescent="0.25">
      <c r="A484">
        <v>1776</v>
      </c>
      <c r="B484" t="s">
        <v>1419</v>
      </c>
      <c r="C484" t="s">
        <v>1674</v>
      </c>
      <c r="D484" t="s">
        <v>1717</v>
      </c>
      <c r="F484" t="s">
        <v>102</v>
      </c>
      <c r="G484" t="s">
        <v>43</v>
      </c>
      <c r="H484" t="s">
        <v>2062</v>
      </c>
      <c r="I484" s="4"/>
      <c r="J484" t="s">
        <v>2063</v>
      </c>
      <c r="K484" t="s">
        <v>309</v>
      </c>
      <c r="L484" s="5"/>
      <c r="M484" s="5"/>
      <c r="N484" t="s">
        <v>35</v>
      </c>
      <c r="O484" t="s">
        <v>2064</v>
      </c>
      <c r="S484" t="s">
        <v>57</v>
      </c>
      <c r="T484" s="5" t="s">
        <v>48</v>
      </c>
      <c r="U484" t="s">
        <v>2065</v>
      </c>
      <c r="V484" t="s">
        <v>2066</v>
      </c>
      <c r="W484">
        <v>263</v>
      </c>
      <c r="X484" t="s">
        <v>628</v>
      </c>
      <c r="Y484" t="str">
        <f>VLOOKUP(C484,'[1]DBS_KPY Sorumlular'!A:C,2,FALSE)</f>
        <v>Kadir TOPÇU</v>
      </c>
      <c r="Z484" t="str">
        <f>VLOOKUP(C484,'[1]DBS_KPY Sorumlular'!A:C,3,FALSE)</f>
        <v>Erkan AKDOĞAN</v>
      </c>
      <c r="AA484" t="str">
        <f>VLOOKUP(K484,[1]!Tablo3[#Data],2,FALSE)</f>
        <v>Erkan AKDOĞAN</v>
      </c>
    </row>
    <row r="485" spans="1:27" x14ac:dyDescent="0.25">
      <c r="A485">
        <v>1777</v>
      </c>
      <c r="B485" t="s">
        <v>1419</v>
      </c>
      <c r="C485" t="s">
        <v>652</v>
      </c>
      <c r="D485" t="s">
        <v>653</v>
      </c>
      <c r="F485" t="s">
        <v>66</v>
      </c>
      <c r="G485" t="s">
        <v>456</v>
      </c>
      <c r="H485" t="s">
        <v>2067</v>
      </c>
      <c r="I485" s="4"/>
      <c r="K485" t="s">
        <v>309</v>
      </c>
      <c r="L485" s="5"/>
      <c r="M485" s="5"/>
      <c r="N485" t="s">
        <v>35</v>
      </c>
      <c r="O485" t="s">
        <v>2068</v>
      </c>
      <c r="S485" t="s">
        <v>57</v>
      </c>
      <c r="T485" s="5" t="s">
        <v>48</v>
      </c>
      <c r="U485" t="s">
        <v>2069</v>
      </c>
      <c r="V485" t="s">
        <v>2067</v>
      </c>
      <c r="W485">
        <v>144</v>
      </c>
      <c r="X485" t="s">
        <v>463</v>
      </c>
      <c r="Y485" t="str">
        <f>VLOOKUP(C485,'[1]DBS_KPY Sorumlular'!A:C,2,FALSE)</f>
        <v>Seyithan İŞİK</v>
      </c>
      <c r="Z485" t="str">
        <f>VLOOKUP(C485,'[1]DBS_KPY Sorumlular'!A:C,3,FALSE)</f>
        <v>Korhan KÖROĞLU</v>
      </c>
      <c r="AA485" t="str">
        <f>VLOOKUP(K485,[1]!Tablo3[#Data],2,FALSE)</f>
        <v>Erkan AKDOĞAN</v>
      </c>
    </row>
    <row r="486" spans="1:27" x14ac:dyDescent="0.25">
      <c r="A486">
        <v>1778</v>
      </c>
      <c r="B486" t="s">
        <v>1419</v>
      </c>
      <c r="C486" t="s">
        <v>652</v>
      </c>
      <c r="D486" t="s">
        <v>653</v>
      </c>
      <c r="F486" t="s">
        <v>66</v>
      </c>
      <c r="G486" t="s">
        <v>456</v>
      </c>
      <c r="H486" t="s">
        <v>2070</v>
      </c>
      <c r="I486" s="4"/>
      <c r="K486" t="s">
        <v>309</v>
      </c>
      <c r="L486" s="5"/>
      <c r="M486" s="5"/>
      <c r="N486" t="s">
        <v>35</v>
      </c>
      <c r="O486" t="s">
        <v>2071</v>
      </c>
      <c r="S486" t="s">
        <v>57</v>
      </c>
      <c r="T486" s="5" t="s">
        <v>48</v>
      </c>
      <c r="U486" t="s">
        <v>2072</v>
      </c>
      <c r="V486" t="s">
        <v>2070</v>
      </c>
      <c r="W486">
        <v>144</v>
      </c>
      <c r="X486" t="s">
        <v>463</v>
      </c>
      <c r="Y486" t="str">
        <f>VLOOKUP(C486,'[1]DBS_KPY Sorumlular'!A:C,2,FALSE)</f>
        <v>Seyithan İŞİK</v>
      </c>
      <c r="Z486" t="str">
        <f>VLOOKUP(C486,'[1]DBS_KPY Sorumlular'!A:C,3,FALSE)</f>
        <v>Korhan KÖROĞLU</v>
      </c>
      <c r="AA486" t="str">
        <f>VLOOKUP(K486,[1]!Tablo3[#Data],2,FALSE)</f>
        <v>Erkan AKDOĞAN</v>
      </c>
    </row>
    <row r="487" spans="1:27" x14ac:dyDescent="0.25">
      <c r="A487">
        <v>1779</v>
      </c>
      <c r="B487" t="s">
        <v>1419</v>
      </c>
      <c r="C487" t="s">
        <v>652</v>
      </c>
      <c r="D487" t="s">
        <v>653</v>
      </c>
      <c r="F487" t="s">
        <v>66</v>
      </c>
      <c r="G487" t="s">
        <v>456</v>
      </c>
      <c r="H487" t="s">
        <v>2073</v>
      </c>
      <c r="I487" s="4"/>
      <c r="K487" t="s">
        <v>309</v>
      </c>
      <c r="L487" s="5"/>
      <c r="M487" s="5"/>
      <c r="N487" t="s">
        <v>35</v>
      </c>
      <c r="O487" t="s">
        <v>2074</v>
      </c>
      <c r="S487" t="s">
        <v>57</v>
      </c>
      <c r="T487" s="5" t="s">
        <v>48</v>
      </c>
      <c r="U487" t="s">
        <v>2075</v>
      </c>
      <c r="V487" t="s">
        <v>2073</v>
      </c>
      <c r="W487">
        <v>144</v>
      </c>
      <c r="X487" t="s">
        <v>463</v>
      </c>
      <c r="Y487" t="str">
        <f>VLOOKUP(C487,'[1]DBS_KPY Sorumlular'!A:C,2,FALSE)</f>
        <v>Seyithan İŞİK</v>
      </c>
      <c r="Z487" t="str">
        <f>VLOOKUP(C487,'[1]DBS_KPY Sorumlular'!A:C,3,FALSE)</f>
        <v>Korhan KÖROĞLU</v>
      </c>
      <c r="AA487" t="str">
        <f>VLOOKUP(K487,[1]!Tablo3[#Data],2,FALSE)</f>
        <v>Erkan AKDOĞAN</v>
      </c>
    </row>
    <row r="488" spans="1:27" x14ac:dyDescent="0.25">
      <c r="A488">
        <v>1780</v>
      </c>
      <c r="B488" t="s">
        <v>1419</v>
      </c>
      <c r="C488" t="s">
        <v>652</v>
      </c>
      <c r="D488" t="s">
        <v>653</v>
      </c>
      <c r="F488" t="s">
        <v>66</v>
      </c>
      <c r="G488" t="s">
        <v>456</v>
      </c>
      <c r="H488" t="s">
        <v>2076</v>
      </c>
      <c r="I488" s="4"/>
      <c r="K488" t="s">
        <v>309</v>
      </c>
      <c r="L488" s="5"/>
      <c r="M488" s="5"/>
      <c r="N488" t="s">
        <v>35</v>
      </c>
      <c r="O488" t="s">
        <v>2077</v>
      </c>
      <c r="S488" t="s">
        <v>57</v>
      </c>
      <c r="T488" s="5" t="s">
        <v>48</v>
      </c>
      <c r="U488" t="s">
        <v>2078</v>
      </c>
      <c r="V488" t="s">
        <v>2076</v>
      </c>
      <c r="W488">
        <v>144</v>
      </c>
      <c r="X488" t="s">
        <v>463</v>
      </c>
      <c r="Y488" t="str">
        <f>VLOOKUP(C488,'[1]DBS_KPY Sorumlular'!A:C,2,FALSE)</f>
        <v>Seyithan İŞİK</v>
      </c>
      <c r="Z488" t="str">
        <f>VLOOKUP(C488,'[1]DBS_KPY Sorumlular'!A:C,3,FALSE)</f>
        <v>Korhan KÖROĞLU</v>
      </c>
      <c r="AA488" t="str">
        <f>VLOOKUP(K488,[1]!Tablo3[#Data],2,FALSE)</f>
        <v>Erkan AKDOĞAN</v>
      </c>
    </row>
    <row r="489" spans="1:27" x14ac:dyDescent="0.25">
      <c r="A489">
        <v>1781</v>
      </c>
      <c r="B489" t="s">
        <v>1419</v>
      </c>
      <c r="C489" t="s">
        <v>1674</v>
      </c>
      <c r="D489" t="s">
        <v>1717</v>
      </c>
      <c r="F489" t="s">
        <v>642</v>
      </c>
      <c r="G489" t="s">
        <v>43</v>
      </c>
      <c r="H489" t="s">
        <v>2079</v>
      </c>
      <c r="I489" s="4"/>
      <c r="J489" t="s">
        <v>2080</v>
      </c>
      <c r="K489" t="s">
        <v>309</v>
      </c>
      <c r="L489" s="5"/>
      <c r="M489" s="5"/>
      <c r="N489" t="s">
        <v>35</v>
      </c>
      <c r="O489" t="s">
        <v>2081</v>
      </c>
      <c r="S489" t="s">
        <v>57</v>
      </c>
      <c r="T489" s="5" t="s">
        <v>48</v>
      </c>
      <c r="U489" t="s">
        <v>2082</v>
      </c>
      <c r="V489" t="s">
        <v>2083</v>
      </c>
      <c r="W489">
        <v>80</v>
      </c>
      <c r="X489" t="s">
        <v>647</v>
      </c>
      <c r="Y489" t="str">
        <f>VLOOKUP(C489,'[1]DBS_KPY Sorumlular'!A:C,2,FALSE)</f>
        <v>Kadir TOPÇU</v>
      </c>
      <c r="Z489" t="str">
        <f>VLOOKUP(C489,'[1]DBS_KPY Sorumlular'!A:C,3,FALSE)</f>
        <v>Erkan AKDOĞAN</v>
      </c>
      <c r="AA489" t="str">
        <f>VLOOKUP(K489,[1]!Tablo3[#Data],2,FALSE)</f>
        <v>Erkan AKDOĞAN</v>
      </c>
    </row>
    <row r="490" spans="1:27" x14ac:dyDescent="0.25">
      <c r="A490">
        <v>1782</v>
      </c>
      <c r="B490" t="s">
        <v>1419</v>
      </c>
      <c r="C490" t="s">
        <v>73</v>
      </c>
      <c r="D490" t="s">
        <v>73</v>
      </c>
      <c r="F490" t="s">
        <v>66</v>
      </c>
      <c r="G490" t="s">
        <v>30</v>
      </c>
      <c r="H490" t="s">
        <v>320</v>
      </c>
      <c r="I490" s="4"/>
      <c r="J490" t="s">
        <v>2084</v>
      </c>
      <c r="K490" t="s">
        <v>309</v>
      </c>
      <c r="L490" s="5"/>
      <c r="M490" s="5"/>
      <c r="N490" t="s">
        <v>35</v>
      </c>
      <c r="O490" t="s">
        <v>2085</v>
      </c>
      <c r="S490" t="s">
        <v>57</v>
      </c>
      <c r="T490" s="5" t="s">
        <v>38</v>
      </c>
      <c r="Y490" t="str">
        <f>VLOOKUP(C490,'[1]DBS_KPY Sorumlular'!A:C,2,FALSE)</f>
        <v>Ayşegül AKGÜL</v>
      </c>
      <c r="Z490" t="str">
        <f>VLOOKUP(C490,'[1]DBS_KPY Sorumlular'!A:C,3,FALSE)</f>
        <v>Sinan ERDAŞ</v>
      </c>
      <c r="AA490" t="str">
        <f>VLOOKUP(K490,[1]!Tablo3[#Data],2,FALSE)</f>
        <v>Erkan AKDOĞAN</v>
      </c>
    </row>
    <row r="491" spans="1:27" x14ac:dyDescent="0.25">
      <c r="A491">
        <v>1783</v>
      </c>
      <c r="B491" t="s">
        <v>1419</v>
      </c>
      <c r="C491" t="s">
        <v>1674</v>
      </c>
      <c r="D491" t="s">
        <v>1717</v>
      </c>
      <c r="F491" t="s">
        <v>113</v>
      </c>
      <c r="G491" t="s">
        <v>43</v>
      </c>
      <c r="H491" t="s">
        <v>2086</v>
      </c>
      <c r="I491" s="4"/>
      <c r="J491" t="s">
        <v>2087</v>
      </c>
      <c r="K491" t="s">
        <v>309</v>
      </c>
      <c r="L491" s="5"/>
      <c r="M491" s="5" t="s">
        <v>2088</v>
      </c>
      <c r="N491" t="s">
        <v>35</v>
      </c>
      <c r="O491" t="s">
        <v>2089</v>
      </c>
      <c r="S491" t="s">
        <v>57</v>
      </c>
      <c r="T491" s="5" t="s">
        <v>48</v>
      </c>
      <c r="U491" t="s">
        <v>2090</v>
      </c>
      <c r="V491" t="s">
        <v>2086</v>
      </c>
      <c r="W491">
        <v>169</v>
      </c>
      <c r="X491" t="s">
        <v>1480</v>
      </c>
      <c r="Y491" t="str">
        <f>VLOOKUP(C491,'[1]DBS_KPY Sorumlular'!A:C,2,FALSE)</f>
        <v>Kadir TOPÇU</v>
      </c>
      <c r="Z491" t="str">
        <f>VLOOKUP(C491,'[1]DBS_KPY Sorumlular'!A:C,3,FALSE)</f>
        <v>Erkan AKDOĞAN</v>
      </c>
      <c r="AA491" t="str">
        <f>VLOOKUP(K491,[1]!Tablo3[#Data],2,FALSE)</f>
        <v>Erkan AKDOĞAN</v>
      </c>
    </row>
    <row r="492" spans="1:27" x14ac:dyDescent="0.25">
      <c r="A492">
        <v>1784</v>
      </c>
      <c r="B492" t="s">
        <v>1419</v>
      </c>
      <c r="C492" t="s">
        <v>1674</v>
      </c>
      <c r="D492" t="s">
        <v>1675</v>
      </c>
      <c r="F492" t="s">
        <v>52</v>
      </c>
      <c r="G492" t="s">
        <v>67</v>
      </c>
      <c r="H492" t="s">
        <v>2091</v>
      </c>
      <c r="I492" s="4"/>
      <c r="J492" t="s">
        <v>2092</v>
      </c>
      <c r="K492" t="s">
        <v>325</v>
      </c>
      <c r="L492" s="5"/>
      <c r="M492" s="5"/>
      <c r="N492" t="s">
        <v>35</v>
      </c>
      <c r="O492" t="s">
        <v>2093</v>
      </c>
      <c r="S492" t="s">
        <v>230</v>
      </c>
      <c r="T492" s="5" t="s">
        <v>48</v>
      </c>
      <c r="U492" t="s">
        <v>2094</v>
      </c>
      <c r="V492" t="s">
        <v>2091</v>
      </c>
      <c r="W492">
        <v>103</v>
      </c>
      <c r="X492" t="s">
        <v>353</v>
      </c>
      <c r="Y492" t="str">
        <f>VLOOKUP(C492,'[1]DBS_KPY Sorumlular'!A:C,2,FALSE)</f>
        <v>Kadir TOPÇU</v>
      </c>
      <c r="Z492" t="str">
        <f>VLOOKUP(C492,'[1]DBS_KPY Sorumlular'!A:C,3,FALSE)</f>
        <v>Erkan AKDOĞAN</v>
      </c>
      <c r="AA492" t="str">
        <f>VLOOKUP(K492,[1]!Tablo3[#Data],2,FALSE)</f>
        <v>Kadir TOPÇU</v>
      </c>
    </row>
    <row r="493" spans="1:27" x14ac:dyDescent="0.25">
      <c r="A493">
        <v>1785</v>
      </c>
      <c r="B493" t="s">
        <v>1419</v>
      </c>
      <c r="C493" t="s">
        <v>40</v>
      </c>
      <c r="D493" t="s">
        <v>41</v>
      </c>
      <c r="F493" t="s">
        <v>52</v>
      </c>
      <c r="G493" t="s">
        <v>291</v>
      </c>
      <c r="H493" t="s">
        <v>2095</v>
      </c>
      <c r="I493" s="4"/>
      <c r="K493" t="s">
        <v>325</v>
      </c>
      <c r="L493" s="5" t="s">
        <v>2096</v>
      </c>
      <c r="M493" s="5"/>
      <c r="N493" t="s">
        <v>35</v>
      </c>
      <c r="O493" t="s">
        <v>2097</v>
      </c>
      <c r="S493" t="s">
        <v>230</v>
      </c>
      <c r="T493" s="5" t="s">
        <v>48</v>
      </c>
      <c r="U493" t="s">
        <v>2098</v>
      </c>
      <c r="V493" t="s">
        <v>2099</v>
      </c>
      <c r="W493">
        <v>103</v>
      </c>
      <c r="X493" t="s">
        <v>353</v>
      </c>
      <c r="Y493" t="str">
        <f>VLOOKUP(C493,'[1]DBS_KPY Sorumlular'!A:C,2,FALSE)</f>
        <v>Mustafa AYDIN</v>
      </c>
      <c r="Z493" t="str">
        <f>VLOOKUP(C493,'[1]DBS_KPY Sorumlular'!A:C,3,FALSE)</f>
        <v>Esra DOLAN</v>
      </c>
      <c r="AA493" t="str">
        <f>VLOOKUP(K493,[1]!Tablo3[#Data],2,FALSE)</f>
        <v>Kadir TOPÇU</v>
      </c>
    </row>
    <row r="494" spans="1:27" x14ac:dyDescent="0.25">
      <c r="A494">
        <v>1786</v>
      </c>
      <c r="B494" t="s">
        <v>1419</v>
      </c>
      <c r="C494" t="s">
        <v>40</v>
      </c>
      <c r="D494" t="s">
        <v>65</v>
      </c>
      <c r="F494" t="s">
        <v>52</v>
      </c>
      <c r="G494" t="s">
        <v>67</v>
      </c>
      <c r="H494" t="s">
        <v>2100</v>
      </c>
      <c r="I494" s="4"/>
      <c r="J494" t="s">
        <v>2101</v>
      </c>
      <c r="K494" t="s">
        <v>325</v>
      </c>
      <c r="L494" s="5"/>
      <c r="M494" s="5"/>
      <c r="N494" t="s">
        <v>35</v>
      </c>
      <c r="O494" t="s">
        <v>2102</v>
      </c>
      <c r="S494" t="s">
        <v>230</v>
      </c>
      <c r="T494" s="5" t="s">
        <v>48</v>
      </c>
      <c r="U494" t="s">
        <v>2103</v>
      </c>
      <c r="V494" t="s">
        <v>2100</v>
      </c>
      <c r="W494">
        <v>103</v>
      </c>
      <c r="X494" t="s">
        <v>353</v>
      </c>
      <c r="Y494" t="str">
        <f>VLOOKUP(C494,'[1]DBS_KPY Sorumlular'!A:C,2,FALSE)</f>
        <v>Mustafa AYDIN</v>
      </c>
      <c r="Z494" t="str">
        <f>VLOOKUP(C494,'[1]DBS_KPY Sorumlular'!A:C,3,FALSE)</f>
        <v>Esra DOLAN</v>
      </c>
      <c r="AA494" t="str">
        <f>VLOOKUP(K494,[1]!Tablo3[#Data],2,FALSE)</f>
        <v>Kadir TOPÇU</v>
      </c>
    </row>
    <row r="495" spans="1:27" x14ac:dyDescent="0.25">
      <c r="A495">
        <v>1787</v>
      </c>
      <c r="B495" t="s">
        <v>1419</v>
      </c>
      <c r="C495" t="s">
        <v>1674</v>
      </c>
      <c r="D495" t="s">
        <v>1675</v>
      </c>
      <c r="F495" t="s">
        <v>66</v>
      </c>
      <c r="G495" t="s">
        <v>30</v>
      </c>
      <c r="H495" t="s">
        <v>2104</v>
      </c>
      <c r="I495" s="4"/>
      <c r="J495" t="s">
        <v>2105</v>
      </c>
      <c r="K495" t="s">
        <v>325</v>
      </c>
      <c r="L495" s="5"/>
      <c r="M495" s="5"/>
      <c r="N495" t="s">
        <v>35</v>
      </c>
      <c r="O495" t="s">
        <v>2106</v>
      </c>
      <c r="S495" t="s">
        <v>230</v>
      </c>
      <c r="T495" s="5" t="s">
        <v>48</v>
      </c>
      <c r="U495" t="s">
        <v>2107</v>
      </c>
      <c r="V495" t="s">
        <v>2104</v>
      </c>
      <c r="W495">
        <v>65</v>
      </c>
      <c r="X495" t="s">
        <v>374</v>
      </c>
      <c r="Y495" t="str">
        <f>VLOOKUP(C495,'[1]DBS_KPY Sorumlular'!A:C,2,FALSE)</f>
        <v>Kadir TOPÇU</v>
      </c>
      <c r="Z495" t="str">
        <f>VLOOKUP(C495,'[1]DBS_KPY Sorumlular'!A:C,3,FALSE)</f>
        <v>Erkan AKDOĞAN</v>
      </c>
      <c r="AA495" t="str">
        <f>VLOOKUP(K495,[1]!Tablo3[#Data],2,FALSE)</f>
        <v>Kadir TOPÇU</v>
      </c>
    </row>
    <row r="496" spans="1:27" x14ac:dyDescent="0.25">
      <c r="A496">
        <v>1788</v>
      </c>
      <c r="B496" t="s">
        <v>1419</v>
      </c>
      <c r="C496" t="s">
        <v>1674</v>
      </c>
      <c r="D496" t="s">
        <v>1717</v>
      </c>
      <c r="F496" t="s">
        <v>52</v>
      </c>
      <c r="G496" t="s">
        <v>43</v>
      </c>
      <c r="H496" t="s">
        <v>2108</v>
      </c>
      <c r="I496" s="4"/>
      <c r="J496" t="s">
        <v>2109</v>
      </c>
      <c r="K496" t="s">
        <v>325</v>
      </c>
      <c r="L496" s="5"/>
      <c r="M496" s="5" t="s">
        <v>2110</v>
      </c>
      <c r="N496" t="s">
        <v>35</v>
      </c>
      <c r="O496" t="s">
        <v>2111</v>
      </c>
      <c r="S496" t="s">
        <v>230</v>
      </c>
      <c r="T496" s="5" t="s">
        <v>48</v>
      </c>
      <c r="U496" t="s">
        <v>2112</v>
      </c>
      <c r="V496" t="s">
        <v>2113</v>
      </c>
      <c r="W496">
        <v>171</v>
      </c>
      <c r="X496" t="s">
        <v>1239</v>
      </c>
      <c r="Y496" t="str">
        <f>VLOOKUP(C496,'[1]DBS_KPY Sorumlular'!A:C,2,FALSE)</f>
        <v>Kadir TOPÇU</v>
      </c>
      <c r="Z496" t="str">
        <f>VLOOKUP(C496,'[1]DBS_KPY Sorumlular'!A:C,3,FALSE)</f>
        <v>Erkan AKDOĞAN</v>
      </c>
      <c r="AA496" t="str">
        <f>VLOOKUP(K496,[1]!Tablo3[#Data],2,FALSE)</f>
        <v>Kadir TOPÇU</v>
      </c>
    </row>
    <row r="497" spans="1:27" x14ac:dyDescent="0.25">
      <c r="A497">
        <v>1789</v>
      </c>
      <c r="B497" t="s">
        <v>1419</v>
      </c>
      <c r="C497" t="s">
        <v>1674</v>
      </c>
      <c r="D497" t="s">
        <v>1717</v>
      </c>
      <c r="F497" t="s">
        <v>52</v>
      </c>
      <c r="G497" t="s">
        <v>291</v>
      </c>
      <c r="H497" t="s">
        <v>2114</v>
      </c>
      <c r="I497" s="4"/>
      <c r="K497" t="s">
        <v>325</v>
      </c>
      <c r="L497" s="5"/>
      <c r="M497" s="5"/>
      <c r="N497" t="s">
        <v>35</v>
      </c>
      <c r="O497" t="s">
        <v>2115</v>
      </c>
      <c r="S497" t="s">
        <v>230</v>
      </c>
      <c r="T497" s="5" t="s">
        <v>48</v>
      </c>
      <c r="U497" t="s">
        <v>2116</v>
      </c>
      <c r="V497" t="s">
        <v>2117</v>
      </c>
      <c r="W497">
        <v>166</v>
      </c>
      <c r="X497" t="s">
        <v>2118</v>
      </c>
      <c r="Y497" t="str">
        <f>VLOOKUP(C497,'[1]DBS_KPY Sorumlular'!A:C,2,FALSE)</f>
        <v>Kadir TOPÇU</v>
      </c>
      <c r="Z497" t="str">
        <f>VLOOKUP(C497,'[1]DBS_KPY Sorumlular'!A:C,3,FALSE)</f>
        <v>Erkan AKDOĞAN</v>
      </c>
      <c r="AA497" t="str">
        <f>VLOOKUP(K497,[1]!Tablo3[#Data],2,FALSE)</f>
        <v>Kadir TOPÇU</v>
      </c>
    </row>
    <row r="498" spans="1:27" x14ac:dyDescent="0.25">
      <c r="A498">
        <v>1790</v>
      </c>
      <c r="B498" t="s">
        <v>1419</v>
      </c>
      <c r="C498" t="s">
        <v>1674</v>
      </c>
      <c r="D498" t="s">
        <v>1717</v>
      </c>
      <c r="F498" t="s">
        <v>52</v>
      </c>
      <c r="G498" t="s">
        <v>291</v>
      </c>
      <c r="H498" t="s">
        <v>2119</v>
      </c>
      <c r="I498" s="4"/>
      <c r="K498" t="s">
        <v>325</v>
      </c>
      <c r="L498" s="5"/>
      <c r="M498" s="5"/>
      <c r="N498" t="s">
        <v>35</v>
      </c>
      <c r="O498" t="s">
        <v>2120</v>
      </c>
      <c r="S498" t="s">
        <v>230</v>
      </c>
      <c r="T498" s="5" t="s">
        <v>48</v>
      </c>
      <c r="U498" t="s">
        <v>2121</v>
      </c>
      <c r="V498" t="s">
        <v>2122</v>
      </c>
      <c r="W498">
        <v>103</v>
      </c>
      <c r="X498" t="s">
        <v>353</v>
      </c>
      <c r="Y498" t="str">
        <f>VLOOKUP(C498,'[1]DBS_KPY Sorumlular'!A:C,2,FALSE)</f>
        <v>Kadir TOPÇU</v>
      </c>
      <c r="Z498" t="str">
        <f>VLOOKUP(C498,'[1]DBS_KPY Sorumlular'!A:C,3,FALSE)</f>
        <v>Erkan AKDOĞAN</v>
      </c>
      <c r="AA498" t="str">
        <f>VLOOKUP(K498,[1]!Tablo3[#Data],2,FALSE)</f>
        <v>Kadir TOPÇU</v>
      </c>
    </row>
    <row r="499" spans="1:27" x14ac:dyDescent="0.25">
      <c r="A499">
        <v>1792</v>
      </c>
      <c r="B499" t="s">
        <v>1419</v>
      </c>
      <c r="C499" t="s">
        <v>652</v>
      </c>
      <c r="D499" t="s">
        <v>653</v>
      </c>
      <c r="F499" t="s">
        <v>455</v>
      </c>
      <c r="G499" t="s">
        <v>456</v>
      </c>
      <c r="H499" t="s">
        <v>2123</v>
      </c>
      <c r="I499" s="4"/>
      <c r="J499" t="s">
        <v>2124</v>
      </c>
      <c r="K499" t="s">
        <v>325</v>
      </c>
      <c r="L499" s="5"/>
      <c r="M499" s="5"/>
      <c r="N499" t="s">
        <v>35</v>
      </c>
      <c r="O499" t="s">
        <v>2125</v>
      </c>
      <c r="S499" t="s">
        <v>230</v>
      </c>
      <c r="T499" s="5" t="s">
        <v>48</v>
      </c>
      <c r="U499" t="s">
        <v>2126</v>
      </c>
      <c r="V499" t="s">
        <v>2127</v>
      </c>
      <c r="W499">
        <v>179</v>
      </c>
      <c r="X499" t="s">
        <v>2128</v>
      </c>
      <c r="Y499" t="str">
        <f>VLOOKUP(C499,'[1]DBS_KPY Sorumlular'!A:C,2,FALSE)</f>
        <v>Seyithan İŞİK</v>
      </c>
      <c r="Z499" t="str">
        <f>VLOOKUP(C499,'[1]DBS_KPY Sorumlular'!A:C,3,FALSE)</f>
        <v>Korhan KÖROĞLU</v>
      </c>
      <c r="AA499" t="str">
        <f>VLOOKUP(K499,[1]!Tablo3[#Data],2,FALSE)</f>
        <v>Kadir TOPÇU</v>
      </c>
    </row>
    <row r="500" spans="1:27" x14ac:dyDescent="0.25">
      <c r="A500">
        <v>1793</v>
      </c>
      <c r="B500" t="s">
        <v>1419</v>
      </c>
      <c r="C500" t="s">
        <v>73</v>
      </c>
      <c r="D500" t="s">
        <v>73</v>
      </c>
      <c r="F500" t="s">
        <v>74</v>
      </c>
      <c r="G500" t="s">
        <v>30</v>
      </c>
      <c r="H500" t="s">
        <v>354</v>
      </c>
      <c r="I500" s="4"/>
      <c r="J500" t="s">
        <v>2129</v>
      </c>
      <c r="K500" t="s">
        <v>325</v>
      </c>
      <c r="L500" s="5"/>
      <c r="M500" s="5"/>
      <c r="N500" t="s">
        <v>35</v>
      </c>
      <c r="O500" t="s">
        <v>357</v>
      </c>
      <c r="S500" t="s">
        <v>230</v>
      </c>
      <c r="T500" s="5" t="s">
        <v>38</v>
      </c>
      <c r="Y500" t="str">
        <f>VLOOKUP(C500,'[1]DBS_KPY Sorumlular'!A:C,2,FALSE)</f>
        <v>Ayşegül AKGÜL</v>
      </c>
      <c r="Z500" t="str">
        <f>VLOOKUP(C500,'[1]DBS_KPY Sorumlular'!A:C,3,FALSE)</f>
        <v>Sinan ERDAŞ</v>
      </c>
      <c r="AA500" t="str">
        <f>VLOOKUP(K500,[1]!Tablo3[#Data],2,FALSE)</f>
        <v>Kadir TOPÇU</v>
      </c>
    </row>
    <row r="501" spans="1:27" x14ac:dyDescent="0.25">
      <c r="A501">
        <v>1794</v>
      </c>
      <c r="B501" t="s">
        <v>1419</v>
      </c>
      <c r="C501" t="s">
        <v>73</v>
      </c>
      <c r="D501" t="s">
        <v>73</v>
      </c>
      <c r="F501" t="s">
        <v>74</v>
      </c>
      <c r="G501" t="s">
        <v>30</v>
      </c>
      <c r="H501" t="s">
        <v>2130</v>
      </c>
      <c r="I501" s="4"/>
      <c r="J501" t="s">
        <v>400</v>
      </c>
      <c r="K501" t="s">
        <v>325</v>
      </c>
      <c r="L501" s="5"/>
      <c r="M501" s="5"/>
      <c r="N501" t="s">
        <v>35</v>
      </c>
      <c r="O501" t="s">
        <v>2131</v>
      </c>
      <c r="S501" t="s">
        <v>230</v>
      </c>
      <c r="T501" s="5" t="s">
        <v>38</v>
      </c>
      <c r="Y501" t="str">
        <f>VLOOKUP(C501,'[1]DBS_KPY Sorumlular'!A:C,2,FALSE)</f>
        <v>Ayşegül AKGÜL</v>
      </c>
      <c r="Z501" t="str">
        <f>VLOOKUP(C501,'[1]DBS_KPY Sorumlular'!A:C,3,FALSE)</f>
        <v>Sinan ERDAŞ</v>
      </c>
      <c r="AA501" t="str">
        <f>VLOOKUP(K501,[1]!Tablo3[#Data],2,FALSE)</f>
        <v>Kadir TOPÇU</v>
      </c>
    </row>
    <row r="502" spans="1:27" x14ac:dyDescent="0.25">
      <c r="A502">
        <v>1795</v>
      </c>
      <c r="B502" t="s">
        <v>1419</v>
      </c>
      <c r="C502" t="s">
        <v>40</v>
      </c>
      <c r="D502" t="s">
        <v>41</v>
      </c>
      <c r="F502" t="s">
        <v>184</v>
      </c>
      <c r="G502" t="s">
        <v>43</v>
      </c>
      <c r="H502" t="s">
        <v>2132</v>
      </c>
      <c r="I502" s="4"/>
      <c r="J502" t="s">
        <v>2133</v>
      </c>
      <c r="K502" t="s">
        <v>325</v>
      </c>
      <c r="L502" s="5"/>
      <c r="M502" s="5"/>
      <c r="N502" t="s">
        <v>35</v>
      </c>
      <c r="O502" t="s">
        <v>2134</v>
      </c>
      <c r="S502" t="s">
        <v>230</v>
      </c>
      <c r="T502" s="5" t="s">
        <v>48</v>
      </c>
      <c r="U502" t="s">
        <v>2135</v>
      </c>
      <c r="V502" t="s">
        <v>2132</v>
      </c>
      <c r="W502">
        <v>86</v>
      </c>
      <c r="X502" t="s">
        <v>189</v>
      </c>
      <c r="Y502" t="str">
        <f>VLOOKUP(C502,'[1]DBS_KPY Sorumlular'!A:C,2,FALSE)</f>
        <v>Mustafa AYDIN</v>
      </c>
      <c r="Z502" t="str">
        <f>VLOOKUP(C502,'[1]DBS_KPY Sorumlular'!A:C,3,FALSE)</f>
        <v>Esra DOLAN</v>
      </c>
      <c r="AA502" t="str">
        <f>VLOOKUP(K502,[1]!Tablo3[#Data],2,FALSE)</f>
        <v>Kadir TOPÇU</v>
      </c>
    </row>
    <row r="503" spans="1:27" x14ac:dyDescent="0.25">
      <c r="A503">
        <v>1796</v>
      </c>
      <c r="B503" t="s">
        <v>1419</v>
      </c>
      <c r="C503" t="s">
        <v>1674</v>
      </c>
      <c r="D503" t="s">
        <v>1675</v>
      </c>
      <c r="F503" t="s">
        <v>95</v>
      </c>
      <c r="G503" t="s">
        <v>96</v>
      </c>
      <c r="H503" t="s">
        <v>2136</v>
      </c>
      <c r="I503" s="4"/>
      <c r="J503" t="s">
        <v>2137</v>
      </c>
      <c r="K503" t="s">
        <v>325</v>
      </c>
      <c r="L503" s="5"/>
      <c r="M503" s="5"/>
      <c r="N503" t="s">
        <v>35</v>
      </c>
      <c r="O503" t="s">
        <v>2138</v>
      </c>
      <c r="S503" t="s">
        <v>230</v>
      </c>
      <c r="T503" s="5" t="s">
        <v>48</v>
      </c>
      <c r="U503" t="s">
        <v>2139</v>
      </c>
      <c r="V503" t="s">
        <v>2140</v>
      </c>
      <c r="W503">
        <v>144</v>
      </c>
      <c r="X503" t="s">
        <v>463</v>
      </c>
      <c r="Y503" t="str">
        <f>VLOOKUP(C503,'[1]DBS_KPY Sorumlular'!A:C,2,FALSE)</f>
        <v>Kadir TOPÇU</v>
      </c>
      <c r="Z503" t="str">
        <f>VLOOKUP(C503,'[1]DBS_KPY Sorumlular'!A:C,3,FALSE)</f>
        <v>Erkan AKDOĞAN</v>
      </c>
      <c r="AA503" t="str">
        <f>VLOOKUP(K503,[1]!Tablo3[#Data],2,FALSE)</f>
        <v>Kadir TOPÇU</v>
      </c>
    </row>
    <row r="504" spans="1:27" x14ac:dyDescent="0.25">
      <c r="A504">
        <v>1797</v>
      </c>
      <c r="B504" t="s">
        <v>1419</v>
      </c>
      <c r="C504" t="s">
        <v>1674</v>
      </c>
      <c r="D504" t="s">
        <v>1675</v>
      </c>
      <c r="F504" t="s">
        <v>2141</v>
      </c>
      <c r="G504" t="s">
        <v>67</v>
      </c>
      <c r="H504" t="s">
        <v>2142</v>
      </c>
      <c r="I504" s="4"/>
      <c r="J504" t="s">
        <v>2143</v>
      </c>
      <c r="K504" t="s">
        <v>325</v>
      </c>
      <c r="L504" s="5"/>
      <c r="M504" s="5"/>
      <c r="N504" t="s">
        <v>1824</v>
      </c>
      <c r="O504" t="s">
        <v>2144</v>
      </c>
      <c r="S504" t="s">
        <v>230</v>
      </c>
      <c r="T504" s="5" t="s">
        <v>100</v>
      </c>
      <c r="W504">
        <v>108</v>
      </c>
      <c r="X504" t="s">
        <v>107</v>
      </c>
      <c r="Y504" t="str">
        <f>VLOOKUP(C504,'[1]DBS_KPY Sorumlular'!A:C,2,FALSE)</f>
        <v>Kadir TOPÇU</v>
      </c>
      <c r="Z504" t="str">
        <f>VLOOKUP(C504,'[1]DBS_KPY Sorumlular'!A:C,3,FALSE)</f>
        <v>Erkan AKDOĞAN</v>
      </c>
      <c r="AA504" t="str">
        <f>VLOOKUP(K504,[1]!Tablo3[#Data],2,FALSE)</f>
        <v>Kadir TOPÇU</v>
      </c>
    </row>
    <row r="505" spans="1:27" x14ac:dyDescent="0.25">
      <c r="A505">
        <v>1798</v>
      </c>
      <c r="B505" t="s">
        <v>1419</v>
      </c>
      <c r="C505" t="s">
        <v>1674</v>
      </c>
      <c r="D505" t="s">
        <v>1675</v>
      </c>
      <c r="F505" t="s">
        <v>537</v>
      </c>
      <c r="G505" t="s">
        <v>96</v>
      </c>
      <c r="H505" t="s">
        <v>2145</v>
      </c>
      <c r="I505" s="4"/>
      <c r="J505" t="s">
        <v>2146</v>
      </c>
      <c r="K505" t="s">
        <v>611</v>
      </c>
      <c r="L505" s="5" t="s">
        <v>2147</v>
      </c>
      <c r="M505" s="5"/>
      <c r="N505" t="s">
        <v>35</v>
      </c>
      <c r="O505" t="s">
        <v>2148</v>
      </c>
      <c r="S505" t="s">
        <v>230</v>
      </c>
      <c r="T505" s="5" t="s">
        <v>48</v>
      </c>
      <c r="U505" t="s">
        <v>2149</v>
      </c>
      <c r="V505" t="s">
        <v>2150</v>
      </c>
      <c r="W505">
        <v>206</v>
      </c>
      <c r="X505" t="s">
        <v>311</v>
      </c>
      <c r="Y505" t="str">
        <f>VLOOKUP(C505,'[1]DBS_KPY Sorumlular'!A:C,2,FALSE)</f>
        <v>Kadir TOPÇU</v>
      </c>
      <c r="Z505" t="str">
        <f>VLOOKUP(C505,'[1]DBS_KPY Sorumlular'!A:C,3,FALSE)</f>
        <v>Erkan AKDOĞAN</v>
      </c>
      <c r="AA505" t="str">
        <f>VLOOKUP(K505,[1]!Tablo3[#Data],2,FALSE)</f>
        <v>Kadir TOPÇU</v>
      </c>
    </row>
    <row r="506" spans="1:27" x14ac:dyDescent="0.25">
      <c r="A506">
        <v>1799</v>
      </c>
      <c r="B506" t="s">
        <v>1419</v>
      </c>
      <c r="C506" t="s">
        <v>1674</v>
      </c>
      <c r="D506" t="s">
        <v>1675</v>
      </c>
      <c r="F506" t="s">
        <v>52</v>
      </c>
      <c r="G506" t="s">
        <v>67</v>
      </c>
      <c r="H506" t="s">
        <v>2151</v>
      </c>
      <c r="I506" s="4"/>
      <c r="J506" t="s">
        <v>2152</v>
      </c>
      <c r="K506" t="s">
        <v>325</v>
      </c>
      <c r="L506" s="5" t="s">
        <v>2153</v>
      </c>
      <c r="M506" s="5"/>
      <c r="N506" t="s">
        <v>35</v>
      </c>
      <c r="O506" t="s">
        <v>2154</v>
      </c>
      <c r="S506" t="s">
        <v>230</v>
      </c>
      <c r="T506" s="5" t="s">
        <v>48</v>
      </c>
      <c r="U506" t="s">
        <v>2155</v>
      </c>
      <c r="V506" t="s">
        <v>2151</v>
      </c>
      <c r="W506">
        <v>103</v>
      </c>
      <c r="X506" t="s">
        <v>353</v>
      </c>
      <c r="Y506" t="str">
        <f>VLOOKUP(C506,'[1]DBS_KPY Sorumlular'!A:C,2,FALSE)</f>
        <v>Kadir TOPÇU</v>
      </c>
      <c r="Z506" t="str">
        <f>VLOOKUP(C506,'[1]DBS_KPY Sorumlular'!A:C,3,FALSE)</f>
        <v>Erkan AKDOĞAN</v>
      </c>
      <c r="AA506" t="str">
        <f>VLOOKUP(K506,[1]!Tablo3[#Data],2,FALSE)</f>
        <v>Kadir TOPÇU</v>
      </c>
    </row>
    <row r="507" spans="1:27" x14ac:dyDescent="0.25">
      <c r="A507">
        <v>1800</v>
      </c>
      <c r="B507" t="s">
        <v>27</v>
      </c>
      <c r="C507" t="s">
        <v>304</v>
      </c>
      <c r="D507" t="s">
        <v>305</v>
      </c>
      <c r="F507" t="s">
        <v>306</v>
      </c>
      <c r="G507" t="s">
        <v>96</v>
      </c>
      <c r="H507" t="s">
        <v>2156</v>
      </c>
      <c r="I507" s="4">
        <v>45656.875</v>
      </c>
      <c r="K507" t="s">
        <v>364</v>
      </c>
      <c r="L507" s="5" t="s">
        <v>2157</v>
      </c>
      <c r="M507" s="5"/>
      <c r="N507" t="s">
        <v>82</v>
      </c>
      <c r="O507" t="s">
        <v>2158</v>
      </c>
      <c r="R507">
        <v>1</v>
      </c>
      <c r="S507" t="s">
        <v>230</v>
      </c>
      <c r="T507" s="5" t="s">
        <v>38</v>
      </c>
      <c r="W507">
        <v>206</v>
      </c>
      <c r="X507" t="s">
        <v>311</v>
      </c>
      <c r="Y507" t="str">
        <f>VLOOKUP(C507,'[1]DBS_KPY Sorumlular'!A:C,2,FALSE)</f>
        <v>Erkan AKDOĞAN</v>
      </c>
      <c r="Z507" t="str">
        <f>VLOOKUP(C507,'[1]DBS_KPY Sorumlular'!A:C,3,FALSE)</f>
        <v>Kadir TOPÇU</v>
      </c>
      <c r="AA507" t="str">
        <f>VLOOKUP(K507,[1]!Tablo3[#Data],2,FALSE)</f>
        <v>Kadir TOPÇU</v>
      </c>
    </row>
    <row r="508" spans="1:27" x14ac:dyDescent="0.25">
      <c r="A508">
        <v>1801</v>
      </c>
      <c r="B508" t="s">
        <v>1419</v>
      </c>
      <c r="C508" t="s">
        <v>1674</v>
      </c>
      <c r="D508" t="s">
        <v>1675</v>
      </c>
      <c r="F508" t="s">
        <v>2159</v>
      </c>
      <c r="G508" t="s">
        <v>43</v>
      </c>
      <c r="H508" t="s">
        <v>2160</v>
      </c>
      <c r="I508" s="4"/>
      <c r="J508" t="s">
        <v>2161</v>
      </c>
      <c r="K508" t="s">
        <v>364</v>
      </c>
      <c r="L508" s="5"/>
      <c r="M508" s="5"/>
      <c r="N508" t="s">
        <v>35</v>
      </c>
      <c r="O508" t="s">
        <v>2162</v>
      </c>
      <c r="S508" t="s">
        <v>230</v>
      </c>
      <c r="T508" s="5" t="s">
        <v>48</v>
      </c>
      <c r="U508" t="s">
        <v>2163</v>
      </c>
      <c r="V508" t="s">
        <v>2160</v>
      </c>
      <c r="W508">
        <v>76</v>
      </c>
      <c r="X508" t="s">
        <v>443</v>
      </c>
      <c r="Y508" t="str">
        <f>VLOOKUP(C508,'[1]DBS_KPY Sorumlular'!A:C,2,FALSE)</f>
        <v>Kadir TOPÇU</v>
      </c>
      <c r="Z508" t="str">
        <f>VLOOKUP(C508,'[1]DBS_KPY Sorumlular'!A:C,3,FALSE)</f>
        <v>Erkan AKDOĞAN</v>
      </c>
      <c r="AA508" t="str">
        <f>VLOOKUP(K508,[1]!Tablo3[#Data],2,FALSE)</f>
        <v>Kadir TOPÇU</v>
      </c>
    </row>
    <row r="509" spans="1:27" x14ac:dyDescent="0.25">
      <c r="A509">
        <v>1802</v>
      </c>
      <c r="B509" t="s">
        <v>1419</v>
      </c>
      <c r="C509" t="s">
        <v>1674</v>
      </c>
      <c r="D509" t="s">
        <v>1675</v>
      </c>
      <c r="F509" t="s">
        <v>52</v>
      </c>
      <c r="G509" t="s">
        <v>291</v>
      </c>
      <c r="H509" t="s">
        <v>2164</v>
      </c>
      <c r="I509" s="4"/>
      <c r="J509" t="s">
        <v>2165</v>
      </c>
      <c r="K509" t="s">
        <v>364</v>
      </c>
      <c r="L509" s="5"/>
      <c r="M509" s="5"/>
      <c r="N509" t="s">
        <v>35</v>
      </c>
      <c r="O509" t="s">
        <v>2166</v>
      </c>
      <c r="S509" t="s">
        <v>230</v>
      </c>
      <c r="T509" s="5" t="s">
        <v>48</v>
      </c>
      <c r="U509" t="s">
        <v>2167</v>
      </c>
      <c r="V509" t="s">
        <v>2164</v>
      </c>
      <c r="W509">
        <v>152</v>
      </c>
      <c r="X509" t="s">
        <v>1680</v>
      </c>
      <c r="Y509" t="str">
        <f>VLOOKUP(C509,'[1]DBS_KPY Sorumlular'!A:C,2,FALSE)</f>
        <v>Kadir TOPÇU</v>
      </c>
      <c r="Z509" t="str">
        <f>VLOOKUP(C509,'[1]DBS_KPY Sorumlular'!A:C,3,FALSE)</f>
        <v>Erkan AKDOĞAN</v>
      </c>
      <c r="AA509" t="str">
        <f>VLOOKUP(K509,[1]!Tablo3[#Data],2,FALSE)</f>
        <v>Kadir TOPÇU</v>
      </c>
    </row>
    <row r="510" spans="1:27" x14ac:dyDescent="0.25">
      <c r="A510">
        <v>1804</v>
      </c>
      <c r="B510" t="s">
        <v>1419</v>
      </c>
      <c r="C510" t="s">
        <v>1674</v>
      </c>
      <c r="D510" t="s">
        <v>1675</v>
      </c>
      <c r="F510" t="s">
        <v>66</v>
      </c>
      <c r="G510" t="s">
        <v>30</v>
      </c>
      <c r="H510" t="s">
        <v>2168</v>
      </c>
      <c r="I510" s="4"/>
      <c r="J510" t="s">
        <v>2169</v>
      </c>
      <c r="K510" t="s">
        <v>364</v>
      </c>
      <c r="L510" s="5"/>
      <c r="M510" s="5"/>
      <c r="N510" t="s">
        <v>35</v>
      </c>
      <c r="O510" t="s">
        <v>2170</v>
      </c>
      <c r="S510" t="s">
        <v>230</v>
      </c>
      <c r="T510" s="5" t="s">
        <v>48</v>
      </c>
      <c r="U510" t="s">
        <v>2171</v>
      </c>
      <c r="V510" t="s">
        <v>2172</v>
      </c>
      <c r="W510">
        <v>65</v>
      </c>
      <c r="X510" t="s">
        <v>374</v>
      </c>
      <c r="Y510" t="str">
        <f>VLOOKUP(C510,'[1]DBS_KPY Sorumlular'!A:C,2,FALSE)</f>
        <v>Kadir TOPÇU</v>
      </c>
      <c r="Z510" t="str">
        <f>VLOOKUP(C510,'[1]DBS_KPY Sorumlular'!A:C,3,FALSE)</f>
        <v>Erkan AKDOĞAN</v>
      </c>
      <c r="AA510" t="str">
        <f>VLOOKUP(K510,[1]!Tablo3[#Data],2,FALSE)</f>
        <v>Kadir TOPÇU</v>
      </c>
    </row>
    <row r="511" spans="1:27" x14ac:dyDescent="0.25">
      <c r="A511">
        <v>1805</v>
      </c>
      <c r="B511" t="s">
        <v>1419</v>
      </c>
      <c r="C511" t="s">
        <v>1674</v>
      </c>
      <c r="D511" t="s">
        <v>1717</v>
      </c>
      <c r="F511" t="s">
        <v>42</v>
      </c>
      <c r="G511" t="s">
        <v>43</v>
      </c>
      <c r="H511" t="s">
        <v>2173</v>
      </c>
      <c r="I511" s="4"/>
      <c r="J511" t="s">
        <v>2174</v>
      </c>
      <c r="K511" t="s">
        <v>364</v>
      </c>
      <c r="L511" s="5"/>
      <c r="M511" s="5"/>
      <c r="N511" t="s">
        <v>35</v>
      </c>
      <c r="O511" t="s">
        <v>2175</v>
      </c>
      <c r="S511" t="s">
        <v>230</v>
      </c>
      <c r="T511" s="5" t="s">
        <v>48</v>
      </c>
      <c r="U511" t="s">
        <v>2176</v>
      </c>
      <c r="V511" t="s">
        <v>2173</v>
      </c>
      <c r="W511">
        <v>68</v>
      </c>
      <c r="X511" t="s">
        <v>51</v>
      </c>
      <c r="Y511" t="str">
        <f>VLOOKUP(C511,'[1]DBS_KPY Sorumlular'!A:C,2,FALSE)</f>
        <v>Kadir TOPÇU</v>
      </c>
      <c r="Z511" t="str">
        <f>VLOOKUP(C511,'[1]DBS_KPY Sorumlular'!A:C,3,FALSE)</f>
        <v>Erkan AKDOĞAN</v>
      </c>
      <c r="AA511" t="str">
        <f>VLOOKUP(K511,[1]!Tablo3[#Data],2,FALSE)</f>
        <v>Kadir TOPÇU</v>
      </c>
    </row>
    <row r="512" spans="1:27" x14ac:dyDescent="0.25">
      <c r="A512">
        <v>1806</v>
      </c>
      <c r="B512" t="s">
        <v>1419</v>
      </c>
      <c r="C512" t="s">
        <v>288</v>
      </c>
      <c r="D512" t="s">
        <v>289</v>
      </c>
      <c r="F512" t="s">
        <v>42</v>
      </c>
      <c r="G512" t="s">
        <v>291</v>
      </c>
      <c r="H512" t="s">
        <v>2177</v>
      </c>
      <c r="I512" s="4"/>
      <c r="K512" t="s">
        <v>364</v>
      </c>
      <c r="L512" s="5" t="s">
        <v>2178</v>
      </c>
      <c r="M512" s="5" t="s">
        <v>2179</v>
      </c>
      <c r="N512" t="s">
        <v>1824</v>
      </c>
      <c r="O512" t="s">
        <v>2180</v>
      </c>
      <c r="S512" t="s">
        <v>230</v>
      </c>
      <c r="T512" s="5" t="s">
        <v>38</v>
      </c>
      <c r="W512">
        <v>23</v>
      </c>
      <c r="X512" t="s">
        <v>295</v>
      </c>
      <c r="Y512" t="str">
        <f>VLOOKUP(C512,'[1]DBS_KPY Sorumlular'!A:C,2,FALSE)</f>
        <v>Sinan ERDAŞ</v>
      </c>
      <c r="Z512" t="str">
        <f>VLOOKUP(C512,'[1]DBS_KPY Sorumlular'!A:C,3,FALSE)</f>
        <v>Ayşegül AKGÜL</v>
      </c>
      <c r="AA512" t="str">
        <f>VLOOKUP(K512,[1]!Tablo3[#Data],2,FALSE)</f>
        <v>Kadir TOPÇU</v>
      </c>
    </row>
    <row r="513" spans="1:27" x14ac:dyDescent="0.25">
      <c r="A513">
        <v>1807</v>
      </c>
      <c r="B513" t="s">
        <v>1419</v>
      </c>
      <c r="C513" t="s">
        <v>1674</v>
      </c>
      <c r="D513" t="s">
        <v>1717</v>
      </c>
      <c r="F513" t="s">
        <v>102</v>
      </c>
      <c r="G513" t="s">
        <v>43</v>
      </c>
      <c r="H513" t="s">
        <v>2181</v>
      </c>
      <c r="I513" s="4"/>
      <c r="K513" t="s">
        <v>364</v>
      </c>
      <c r="L513" s="5" t="s">
        <v>2182</v>
      </c>
      <c r="M513" s="5" t="s">
        <v>2183</v>
      </c>
      <c r="N513" t="s">
        <v>739</v>
      </c>
      <c r="O513" t="s">
        <v>2184</v>
      </c>
      <c r="S513" t="s">
        <v>230</v>
      </c>
      <c r="T513" s="5" t="s">
        <v>100</v>
      </c>
      <c r="W513">
        <v>30</v>
      </c>
      <c r="X513" t="s">
        <v>327</v>
      </c>
      <c r="Y513" t="str">
        <f>VLOOKUP(C513,'[1]DBS_KPY Sorumlular'!A:C,2,FALSE)</f>
        <v>Kadir TOPÇU</v>
      </c>
      <c r="Z513" t="str">
        <f>VLOOKUP(C513,'[1]DBS_KPY Sorumlular'!A:C,3,FALSE)</f>
        <v>Erkan AKDOĞAN</v>
      </c>
      <c r="AA513" t="str">
        <f>VLOOKUP(K513,[1]!Tablo3[#Data],2,FALSE)</f>
        <v>Kadir TOPÇU</v>
      </c>
    </row>
    <row r="514" spans="1:27" x14ac:dyDescent="0.25">
      <c r="A514">
        <v>1808</v>
      </c>
      <c r="B514" t="s">
        <v>27</v>
      </c>
      <c r="C514" t="s">
        <v>40</v>
      </c>
      <c r="D514" t="s">
        <v>41</v>
      </c>
      <c r="F514" t="s">
        <v>383</v>
      </c>
      <c r="G514" t="s">
        <v>384</v>
      </c>
      <c r="H514" t="s">
        <v>2185</v>
      </c>
      <c r="I514" s="4">
        <v>45804.875</v>
      </c>
      <c r="K514" t="s">
        <v>364</v>
      </c>
      <c r="L514" s="5"/>
      <c r="M514" s="5"/>
      <c r="N514" t="s">
        <v>82</v>
      </c>
      <c r="O514" t="s">
        <v>2186</v>
      </c>
      <c r="R514">
        <v>1</v>
      </c>
      <c r="S514" t="s">
        <v>230</v>
      </c>
      <c r="T514" s="5" t="s">
        <v>58</v>
      </c>
      <c r="U514" t="s">
        <v>254</v>
      </c>
      <c r="V514" t="s">
        <v>255</v>
      </c>
      <c r="W514">
        <v>134</v>
      </c>
      <c r="X514" t="s">
        <v>1577</v>
      </c>
      <c r="Y514" t="str">
        <f>VLOOKUP(C514,'[1]DBS_KPY Sorumlular'!A:C,2,FALSE)</f>
        <v>Mustafa AYDIN</v>
      </c>
      <c r="Z514" t="str">
        <f>VLOOKUP(C514,'[1]DBS_KPY Sorumlular'!A:C,3,FALSE)</f>
        <v>Esra DOLAN</v>
      </c>
      <c r="AA514" t="str">
        <f>VLOOKUP(K514,[1]!Tablo3[#Data],2,FALSE)</f>
        <v>Kadir TOPÇU</v>
      </c>
    </row>
    <row r="515" spans="1:27" x14ac:dyDescent="0.25">
      <c r="A515">
        <v>1809</v>
      </c>
      <c r="B515" t="s">
        <v>27</v>
      </c>
      <c r="C515" t="s">
        <v>40</v>
      </c>
      <c r="D515" t="s">
        <v>41</v>
      </c>
      <c r="F515" t="s">
        <v>52</v>
      </c>
      <c r="G515" t="s">
        <v>30</v>
      </c>
      <c r="H515" t="s">
        <v>2187</v>
      </c>
      <c r="I515" s="4">
        <v>45667.875</v>
      </c>
      <c r="K515" t="s">
        <v>364</v>
      </c>
      <c r="L515" s="5"/>
      <c r="M515" s="5"/>
      <c r="N515" t="s">
        <v>82</v>
      </c>
      <c r="O515" t="s">
        <v>2188</v>
      </c>
      <c r="R515">
        <v>1</v>
      </c>
      <c r="S515" t="s">
        <v>230</v>
      </c>
      <c r="T515" s="5" t="s">
        <v>58</v>
      </c>
      <c r="U515" t="s">
        <v>366</v>
      </c>
      <c r="V515" t="s">
        <v>367</v>
      </c>
      <c r="W515">
        <v>258</v>
      </c>
      <c r="X515" t="s">
        <v>1811</v>
      </c>
      <c r="Y515" t="str">
        <f>VLOOKUP(C515,'[1]DBS_KPY Sorumlular'!A:C,2,FALSE)</f>
        <v>Mustafa AYDIN</v>
      </c>
      <c r="Z515" t="str">
        <f>VLOOKUP(C515,'[1]DBS_KPY Sorumlular'!A:C,3,FALSE)</f>
        <v>Esra DOLAN</v>
      </c>
      <c r="AA515" t="str">
        <f>VLOOKUP(K515,[1]!Tablo3[#Data],2,FALSE)</f>
        <v>Kadir TOPÇU</v>
      </c>
    </row>
    <row r="516" spans="1:27" x14ac:dyDescent="0.25">
      <c r="A516">
        <v>1810</v>
      </c>
      <c r="B516" t="s">
        <v>1419</v>
      </c>
      <c r="C516" t="s">
        <v>40</v>
      </c>
      <c r="D516" t="s">
        <v>65</v>
      </c>
      <c r="F516" t="s">
        <v>52</v>
      </c>
      <c r="G516" t="s">
        <v>67</v>
      </c>
      <c r="H516" t="s">
        <v>2189</v>
      </c>
      <c r="I516" s="4"/>
      <c r="J516" t="s">
        <v>2190</v>
      </c>
      <c r="K516" t="s">
        <v>364</v>
      </c>
      <c r="L516" s="5"/>
      <c r="M516" s="5"/>
      <c r="N516" t="s">
        <v>35</v>
      </c>
      <c r="O516" t="s">
        <v>2191</v>
      </c>
      <c r="S516" t="s">
        <v>230</v>
      </c>
      <c r="T516" s="5" t="s">
        <v>48</v>
      </c>
      <c r="U516" t="s">
        <v>2192</v>
      </c>
      <c r="V516" t="s">
        <v>2193</v>
      </c>
      <c r="W516">
        <v>103</v>
      </c>
      <c r="X516" t="s">
        <v>353</v>
      </c>
      <c r="Y516" t="str">
        <f>VLOOKUP(C516,'[1]DBS_KPY Sorumlular'!A:C,2,FALSE)</f>
        <v>Mustafa AYDIN</v>
      </c>
      <c r="Z516" t="str">
        <f>VLOOKUP(C516,'[1]DBS_KPY Sorumlular'!A:C,3,FALSE)</f>
        <v>Esra DOLAN</v>
      </c>
      <c r="AA516" t="str">
        <f>VLOOKUP(K516,[1]!Tablo3[#Data],2,FALSE)</f>
        <v>Kadir TOPÇU</v>
      </c>
    </row>
    <row r="517" spans="1:27" x14ac:dyDescent="0.25">
      <c r="A517">
        <v>1811</v>
      </c>
      <c r="B517" t="s">
        <v>1419</v>
      </c>
      <c r="C517" t="s">
        <v>73</v>
      </c>
      <c r="D517" t="s">
        <v>73</v>
      </c>
      <c r="F517" t="s">
        <v>455</v>
      </c>
      <c r="G517" t="s">
        <v>456</v>
      </c>
      <c r="H517" t="s">
        <v>2194</v>
      </c>
      <c r="I517" s="4"/>
      <c r="J517" t="s">
        <v>2195</v>
      </c>
      <c r="K517" t="s">
        <v>364</v>
      </c>
      <c r="L517" s="5"/>
      <c r="M517" s="5"/>
      <c r="N517" t="s">
        <v>35</v>
      </c>
      <c r="O517" t="s">
        <v>2196</v>
      </c>
      <c r="S517" t="s">
        <v>230</v>
      </c>
      <c r="T517" s="5" t="s">
        <v>58</v>
      </c>
      <c r="Y517" t="str">
        <f>VLOOKUP(C517,'[1]DBS_KPY Sorumlular'!A:C,2,FALSE)</f>
        <v>Ayşegül AKGÜL</v>
      </c>
      <c r="Z517" t="str">
        <f>VLOOKUP(C517,'[1]DBS_KPY Sorumlular'!A:C,3,FALSE)</f>
        <v>Sinan ERDAŞ</v>
      </c>
      <c r="AA517" t="str">
        <f>VLOOKUP(K517,[1]!Tablo3[#Data],2,FALSE)</f>
        <v>Kadir TOPÇU</v>
      </c>
    </row>
    <row r="518" spans="1:27" x14ac:dyDescent="0.25">
      <c r="A518">
        <v>1812</v>
      </c>
      <c r="B518" t="s">
        <v>1419</v>
      </c>
      <c r="C518" t="s">
        <v>652</v>
      </c>
      <c r="D518" t="s">
        <v>653</v>
      </c>
      <c r="F518" t="s">
        <v>455</v>
      </c>
      <c r="G518" t="s">
        <v>456</v>
      </c>
      <c r="H518" t="s">
        <v>2197</v>
      </c>
      <c r="I518" s="4"/>
      <c r="K518" t="s">
        <v>364</v>
      </c>
      <c r="L518" s="5"/>
      <c r="M518" s="5"/>
      <c r="N518" t="s">
        <v>35</v>
      </c>
      <c r="O518" t="s">
        <v>2198</v>
      </c>
      <c r="S518" t="s">
        <v>230</v>
      </c>
      <c r="T518" s="5" t="s">
        <v>48</v>
      </c>
      <c r="U518" t="s">
        <v>2199</v>
      </c>
      <c r="V518" t="s">
        <v>2197</v>
      </c>
      <c r="W518">
        <v>144</v>
      </c>
      <c r="X518" t="s">
        <v>463</v>
      </c>
      <c r="Y518" t="str">
        <f>VLOOKUP(C518,'[1]DBS_KPY Sorumlular'!A:C,2,FALSE)</f>
        <v>Seyithan İŞİK</v>
      </c>
      <c r="Z518" t="str">
        <f>VLOOKUP(C518,'[1]DBS_KPY Sorumlular'!A:C,3,FALSE)</f>
        <v>Korhan KÖROĞLU</v>
      </c>
      <c r="AA518" t="str">
        <f>VLOOKUP(K518,[1]!Tablo3[#Data],2,FALSE)</f>
        <v>Kadir TOPÇU</v>
      </c>
    </row>
    <row r="519" spans="1:27" x14ac:dyDescent="0.25">
      <c r="A519">
        <v>1813</v>
      </c>
      <c r="B519" t="s">
        <v>1419</v>
      </c>
      <c r="C519" t="s">
        <v>1674</v>
      </c>
      <c r="D519" t="s">
        <v>1675</v>
      </c>
      <c r="F519" t="s">
        <v>52</v>
      </c>
      <c r="G519" t="s">
        <v>67</v>
      </c>
      <c r="H519" t="s">
        <v>2200</v>
      </c>
      <c r="I519" s="4"/>
      <c r="J519" t="s">
        <v>2201</v>
      </c>
      <c r="K519" t="s">
        <v>364</v>
      </c>
      <c r="L519" s="5"/>
      <c r="M519" s="5"/>
      <c r="N519" t="s">
        <v>35</v>
      </c>
      <c r="O519" t="s">
        <v>2202</v>
      </c>
      <c r="S519" t="s">
        <v>230</v>
      </c>
      <c r="T519" s="5" t="s">
        <v>48</v>
      </c>
      <c r="U519" t="s">
        <v>2203</v>
      </c>
      <c r="V519" t="s">
        <v>2200</v>
      </c>
      <c r="W519">
        <v>103</v>
      </c>
      <c r="X519" t="s">
        <v>353</v>
      </c>
      <c r="Y519" t="str">
        <f>VLOOKUP(C519,'[1]DBS_KPY Sorumlular'!A:C,2,FALSE)</f>
        <v>Kadir TOPÇU</v>
      </c>
      <c r="Z519" t="str">
        <f>VLOOKUP(C519,'[1]DBS_KPY Sorumlular'!A:C,3,FALSE)</f>
        <v>Erkan AKDOĞAN</v>
      </c>
      <c r="AA519" t="str">
        <f>VLOOKUP(K519,[1]!Tablo3[#Data],2,FALSE)</f>
        <v>Kadir TOPÇU</v>
      </c>
    </row>
    <row r="520" spans="1:27" x14ac:dyDescent="0.25">
      <c r="A520">
        <v>1814</v>
      </c>
      <c r="B520" t="s">
        <v>1419</v>
      </c>
      <c r="C520" t="s">
        <v>1674</v>
      </c>
      <c r="D520" t="s">
        <v>1700</v>
      </c>
      <c r="F520" t="s">
        <v>95</v>
      </c>
      <c r="G520" t="s">
        <v>96</v>
      </c>
      <c r="H520" t="s">
        <v>2204</v>
      </c>
      <c r="I520" s="4"/>
      <c r="K520" t="s">
        <v>364</v>
      </c>
      <c r="L520" s="5" t="s">
        <v>2205</v>
      </c>
      <c r="M520" s="5"/>
      <c r="N520" t="s">
        <v>35</v>
      </c>
      <c r="O520" t="s">
        <v>2206</v>
      </c>
      <c r="S520" t="s">
        <v>230</v>
      </c>
      <c r="T520" s="5" t="s">
        <v>48</v>
      </c>
      <c r="U520" t="s">
        <v>2207</v>
      </c>
      <c r="V520" t="s">
        <v>2204</v>
      </c>
      <c r="W520">
        <v>22</v>
      </c>
      <c r="X520" t="s">
        <v>1473</v>
      </c>
      <c r="Y520" t="str">
        <f>VLOOKUP(C520,'[1]DBS_KPY Sorumlular'!A:C,2,FALSE)</f>
        <v>Kadir TOPÇU</v>
      </c>
      <c r="Z520" t="str">
        <f>VLOOKUP(C520,'[1]DBS_KPY Sorumlular'!A:C,3,FALSE)</f>
        <v>Erkan AKDOĞAN</v>
      </c>
      <c r="AA520" t="str">
        <f>VLOOKUP(K520,[1]!Tablo3[#Data],2,FALSE)</f>
        <v>Kadir TOPÇU</v>
      </c>
    </row>
    <row r="521" spans="1:27" x14ac:dyDescent="0.25">
      <c r="A521">
        <v>1815</v>
      </c>
      <c r="B521" t="s">
        <v>1419</v>
      </c>
      <c r="C521" t="s">
        <v>304</v>
      </c>
      <c r="D521" t="s">
        <v>305</v>
      </c>
      <c r="F521" t="s">
        <v>306</v>
      </c>
      <c r="G521" t="s">
        <v>96</v>
      </c>
      <c r="H521" t="s">
        <v>2208</v>
      </c>
      <c r="I521" s="4"/>
      <c r="J521" t="s">
        <v>2208</v>
      </c>
      <c r="K521" t="s">
        <v>364</v>
      </c>
      <c r="L521" s="5"/>
      <c r="M521" s="5"/>
      <c r="N521" t="s">
        <v>35</v>
      </c>
      <c r="O521" t="s">
        <v>2209</v>
      </c>
      <c r="S521" t="s">
        <v>230</v>
      </c>
      <c r="T521" s="5" t="s">
        <v>38</v>
      </c>
      <c r="Y521" t="str">
        <f>VLOOKUP(C521,'[1]DBS_KPY Sorumlular'!A:C,2,FALSE)</f>
        <v>Erkan AKDOĞAN</v>
      </c>
      <c r="Z521" t="str">
        <f>VLOOKUP(C521,'[1]DBS_KPY Sorumlular'!A:C,3,FALSE)</f>
        <v>Kadir TOPÇU</v>
      </c>
      <c r="AA521" t="str">
        <f>VLOOKUP(K521,[1]!Tablo3[#Data],2,FALSE)</f>
        <v>Kadir TOPÇU</v>
      </c>
    </row>
    <row r="522" spans="1:27" x14ac:dyDescent="0.25">
      <c r="A522">
        <v>1816</v>
      </c>
      <c r="B522" t="s">
        <v>1419</v>
      </c>
      <c r="C522" t="s">
        <v>73</v>
      </c>
      <c r="D522" t="s">
        <v>73</v>
      </c>
      <c r="F522" t="s">
        <v>74</v>
      </c>
      <c r="G522" t="s">
        <v>30</v>
      </c>
      <c r="H522" t="s">
        <v>395</v>
      </c>
      <c r="I522" s="4"/>
      <c r="J522" t="s">
        <v>396</v>
      </c>
      <c r="K522" t="s">
        <v>364</v>
      </c>
      <c r="L522" s="5"/>
      <c r="M522" s="5"/>
      <c r="N522" t="s">
        <v>35</v>
      </c>
      <c r="O522" t="s">
        <v>2210</v>
      </c>
      <c r="S522" t="s">
        <v>230</v>
      </c>
      <c r="T522" s="5" t="s">
        <v>38</v>
      </c>
      <c r="Y522" t="str">
        <f>VLOOKUP(C522,'[1]DBS_KPY Sorumlular'!A:C,2,FALSE)</f>
        <v>Ayşegül AKGÜL</v>
      </c>
      <c r="Z522" t="str">
        <f>VLOOKUP(C522,'[1]DBS_KPY Sorumlular'!A:C,3,FALSE)</f>
        <v>Sinan ERDAŞ</v>
      </c>
      <c r="AA522" t="str">
        <f>VLOOKUP(K522,[1]!Tablo3[#Data],2,FALSE)</f>
        <v>Kadir TOPÇU</v>
      </c>
    </row>
    <row r="523" spans="1:27" x14ac:dyDescent="0.25">
      <c r="A523">
        <v>1817</v>
      </c>
      <c r="B523" t="s">
        <v>1419</v>
      </c>
      <c r="C523" t="s">
        <v>73</v>
      </c>
      <c r="D523" t="s">
        <v>73</v>
      </c>
      <c r="F523" t="s">
        <v>74</v>
      </c>
      <c r="G523" t="s">
        <v>30</v>
      </c>
      <c r="H523" t="s">
        <v>2211</v>
      </c>
      <c r="I523" s="4"/>
      <c r="J523" t="s">
        <v>400</v>
      </c>
      <c r="K523" t="s">
        <v>364</v>
      </c>
      <c r="L523" s="5"/>
      <c r="M523" s="5"/>
      <c r="N523" t="s">
        <v>35</v>
      </c>
      <c r="O523" t="s">
        <v>2212</v>
      </c>
      <c r="S523" t="s">
        <v>230</v>
      </c>
      <c r="T523" s="5" t="s">
        <v>38</v>
      </c>
      <c r="Y523" t="str">
        <f>VLOOKUP(C523,'[1]DBS_KPY Sorumlular'!A:C,2,FALSE)</f>
        <v>Ayşegül AKGÜL</v>
      </c>
      <c r="Z523" t="str">
        <f>VLOOKUP(C523,'[1]DBS_KPY Sorumlular'!A:C,3,FALSE)</f>
        <v>Sinan ERDAŞ</v>
      </c>
      <c r="AA523" t="str">
        <f>VLOOKUP(K523,[1]!Tablo3[#Data],2,FALSE)</f>
        <v>Kadir TOPÇU</v>
      </c>
    </row>
    <row r="524" spans="1:27" x14ac:dyDescent="0.25">
      <c r="A524">
        <v>1818</v>
      </c>
      <c r="B524" t="s">
        <v>1419</v>
      </c>
      <c r="C524" t="s">
        <v>1674</v>
      </c>
      <c r="D524" t="s">
        <v>1675</v>
      </c>
      <c r="F524" t="s">
        <v>52</v>
      </c>
      <c r="G524" t="s">
        <v>30</v>
      </c>
      <c r="H524" t="s">
        <v>2213</v>
      </c>
      <c r="I524" s="4"/>
      <c r="J524" t="s">
        <v>2214</v>
      </c>
      <c r="K524" t="s">
        <v>435</v>
      </c>
      <c r="L524" s="5"/>
      <c r="M524" s="5" t="s">
        <v>2215</v>
      </c>
      <c r="N524" t="s">
        <v>35</v>
      </c>
      <c r="O524" t="s">
        <v>2216</v>
      </c>
      <c r="S524" t="s">
        <v>37</v>
      </c>
      <c r="T524" s="5" t="s">
        <v>48</v>
      </c>
      <c r="U524" t="s">
        <v>2217</v>
      </c>
      <c r="V524" t="s">
        <v>2213</v>
      </c>
      <c r="W524">
        <v>65</v>
      </c>
      <c r="X524" t="s">
        <v>374</v>
      </c>
      <c r="Y524" t="str">
        <f>VLOOKUP(C524,'[1]DBS_KPY Sorumlular'!A:C,2,FALSE)</f>
        <v>Kadir TOPÇU</v>
      </c>
      <c r="Z524" t="str">
        <f>VLOOKUP(C524,'[1]DBS_KPY Sorumlular'!A:C,3,FALSE)</f>
        <v>Erkan AKDOĞAN</v>
      </c>
      <c r="AA524" t="str">
        <f>VLOOKUP(K524,[1]!Tablo3[#Data],2,FALSE)</f>
        <v>Tayfun VİÇE</v>
      </c>
    </row>
    <row r="525" spans="1:27" x14ac:dyDescent="0.25">
      <c r="A525">
        <v>1819</v>
      </c>
      <c r="B525" t="s">
        <v>1419</v>
      </c>
      <c r="C525" t="s">
        <v>1674</v>
      </c>
      <c r="D525" t="s">
        <v>1675</v>
      </c>
      <c r="F525" t="s">
        <v>52</v>
      </c>
      <c r="G525" t="s">
        <v>30</v>
      </c>
      <c r="H525" t="s">
        <v>2218</v>
      </c>
      <c r="I525" s="4"/>
      <c r="J525" t="s">
        <v>2219</v>
      </c>
      <c r="K525" t="s">
        <v>435</v>
      </c>
      <c r="L525" s="5"/>
      <c r="M525" s="5"/>
      <c r="N525" t="s">
        <v>35</v>
      </c>
      <c r="O525" t="s">
        <v>2220</v>
      </c>
      <c r="S525" t="s">
        <v>37</v>
      </c>
      <c r="T525" s="5" t="s">
        <v>48</v>
      </c>
      <c r="U525" t="s">
        <v>2221</v>
      </c>
      <c r="V525" t="s">
        <v>2222</v>
      </c>
      <c r="W525">
        <v>65</v>
      </c>
      <c r="X525" t="s">
        <v>374</v>
      </c>
      <c r="Y525" t="str">
        <f>VLOOKUP(C525,'[1]DBS_KPY Sorumlular'!A:C,2,FALSE)</f>
        <v>Kadir TOPÇU</v>
      </c>
      <c r="Z525" t="str">
        <f>VLOOKUP(C525,'[1]DBS_KPY Sorumlular'!A:C,3,FALSE)</f>
        <v>Erkan AKDOĞAN</v>
      </c>
      <c r="AA525" t="str">
        <f>VLOOKUP(K525,[1]!Tablo3[#Data],2,FALSE)</f>
        <v>Tayfun VİÇE</v>
      </c>
    </row>
    <row r="526" spans="1:27" x14ac:dyDescent="0.25">
      <c r="A526">
        <v>1820</v>
      </c>
      <c r="B526" t="s">
        <v>1419</v>
      </c>
      <c r="C526" t="s">
        <v>1674</v>
      </c>
      <c r="D526" t="s">
        <v>1675</v>
      </c>
      <c r="F526" t="s">
        <v>52</v>
      </c>
      <c r="G526" t="s">
        <v>30</v>
      </c>
      <c r="H526" t="s">
        <v>2223</v>
      </c>
      <c r="I526" s="4"/>
      <c r="J526" t="s">
        <v>2224</v>
      </c>
      <c r="K526" t="s">
        <v>435</v>
      </c>
      <c r="L526" s="5"/>
      <c r="M526" s="5"/>
      <c r="N526" t="s">
        <v>35</v>
      </c>
      <c r="O526" t="s">
        <v>2225</v>
      </c>
      <c r="S526" t="s">
        <v>37</v>
      </c>
      <c r="T526" s="5" t="s">
        <v>48</v>
      </c>
      <c r="U526" t="s">
        <v>2226</v>
      </c>
      <c r="V526" t="s">
        <v>2227</v>
      </c>
      <c r="W526">
        <v>65</v>
      </c>
      <c r="X526" t="s">
        <v>374</v>
      </c>
      <c r="Y526" t="str">
        <f>VLOOKUP(C526,'[1]DBS_KPY Sorumlular'!A:C,2,FALSE)</f>
        <v>Kadir TOPÇU</v>
      </c>
      <c r="Z526" t="str">
        <f>VLOOKUP(C526,'[1]DBS_KPY Sorumlular'!A:C,3,FALSE)</f>
        <v>Erkan AKDOĞAN</v>
      </c>
      <c r="AA526" t="str">
        <f>VLOOKUP(K526,[1]!Tablo3[#Data],2,FALSE)</f>
        <v>Tayfun VİÇE</v>
      </c>
    </row>
    <row r="527" spans="1:27" x14ac:dyDescent="0.25">
      <c r="A527">
        <v>1821</v>
      </c>
      <c r="B527" t="s">
        <v>1419</v>
      </c>
      <c r="C527" t="s">
        <v>1674</v>
      </c>
      <c r="D527" t="s">
        <v>1675</v>
      </c>
      <c r="F527" t="s">
        <v>52</v>
      </c>
      <c r="G527" t="s">
        <v>30</v>
      </c>
      <c r="H527" t="s">
        <v>2228</v>
      </c>
      <c r="I527" s="4"/>
      <c r="K527" t="s">
        <v>435</v>
      </c>
      <c r="L527" s="5"/>
      <c r="M527" s="5"/>
      <c r="N527" t="s">
        <v>1824</v>
      </c>
      <c r="O527" t="s">
        <v>2229</v>
      </c>
      <c r="S527" t="s">
        <v>37</v>
      </c>
      <c r="T527" s="5" t="s">
        <v>100</v>
      </c>
      <c r="W527">
        <v>79</v>
      </c>
      <c r="X527" t="s">
        <v>1619</v>
      </c>
      <c r="Y527" t="str">
        <f>VLOOKUP(C527,'[1]DBS_KPY Sorumlular'!A:C,2,FALSE)</f>
        <v>Kadir TOPÇU</v>
      </c>
      <c r="Z527" t="str">
        <f>VLOOKUP(C527,'[1]DBS_KPY Sorumlular'!A:C,3,FALSE)</f>
        <v>Erkan AKDOĞAN</v>
      </c>
      <c r="AA527" t="str">
        <f>VLOOKUP(K527,[1]!Tablo3[#Data],2,FALSE)</f>
        <v>Tayfun VİÇE</v>
      </c>
    </row>
    <row r="528" spans="1:27" x14ac:dyDescent="0.25">
      <c r="A528">
        <v>1822</v>
      </c>
      <c r="B528" t="s">
        <v>1419</v>
      </c>
      <c r="C528" t="s">
        <v>1674</v>
      </c>
      <c r="D528" t="s">
        <v>1700</v>
      </c>
      <c r="F528" t="s">
        <v>95</v>
      </c>
      <c r="G528" t="s">
        <v>291</v>
      </c>
      <c r="H528" t="s">
        <v>2230</v>
      </c>
      <c r="I528" s="4"/>
      <c r="K528" t="s">
        <v>435</v>
      </c>
      <c r="L528" s="5" t="s">
        <v>2231</v>
      </c>
      <c r="M528" s="5"/>
      <c r="N528" t="s">
        <v>35</v>
      </c>
      <c r="O528" t="s">
        <v>2232</v>
      </c>
      <c r="S528" t="s">
        <v>37</v>
      </c>
      <c r="T528" s="5" t="s">
        <v>48</v>
      </c>
      <c r="U528" t="s">
        <v>2233</v>
      </c>
      <c r="V528" t="s">
        <v>2230</v>
      </c>
      <c r="W528">
        <v>94</v>
      </c>
      <c r="X528" t="s">
        <v>1707</v>
      </c>
      <c r="Y528" t="str">
        <f>VLOOKUP(C528,'[1]DBS_KPY Sorumlular'!A:C,2,FALSE)</f>
        <v>Kadir TOPÇU</v>
      </c>
      <c r="Z528" t="str">
        <f>VLOOKUP(C528,'[1]DBS_KPY Sorumlular'!A:C,3,FALSE)</f>
        <v>Erkan AKDOĞAN</v>
      </c>
      <c r="AA528" t="str">
        <f>VLOOKUP(K528,[1]!Tablo3[#Data],2,FALSE)</f>
        <v>Tayfun VİÇE</v>
      </c>
    </row>
    <row r="529" spans="1:27" x14ac:dyDescent="0.25">
      <c r="A529">
        <v>1823</v>
      </c>
      <c r="B529" t="s">
        <v>1419</v>
      </c>
      <c r="C529" t="s">
        <v>1674</v>
      </c>
      <c r="D529" t="s">
        <v>1717</v>
      </c>
      <c r="F529" t="s">
        <v>52</v>
      </c>
      <c r="G529" t="s">
        <v>291</v>
      </c>
      <c r="H529" t="s">
        <v>2234</v>
      </c>
      <c r="I529" s="4"/>
      <c r="K529" t="s">
        <v>435</v>
      </c>
      <c r="L529" s="5"/>
      <c r="M529" s="5"/>
      <c r="N529" t="s">
        <v>35</v>
      </c>
      <c r="O529" t="s">
        <v>2235</v>
      </c>
      <c r="S529" t="s">
        <v>37</v>
      </c>
      <c r="T529" s="5" t="s">
        <v>48</v>
      </c>
      <c r="U529" t="s">
        <v>2236</v>
      </c>
      <c r="V529" t="s">
        <v>2237</v>
      </c>
      <c r="W529">
        <v>87</v>
      </c>
      <c r="X529" t="s">
        <v>119</v>
      </c>
      <c r="Y529" t="str">
        <f>VLOOKUP(C529,'[1]DBS_KPY Sorumlular'!A:C,2,FALSE)</f>
        <v>Kadir TOPÇU</v>
      </c>
      <c r="Z529" t="str">
        <f>VLOOKUP(C529,'[1]DBS_KPY Sorumlular'!A:C,3,FALSE)</f>
        <v>Erkan AKDOĞAN</v>
      </c>
      <c r="AA529" t="str">
        <f>VLOOKUP(K529,[1]!Tablo3[#Data],2,FALSE)</f>
        <v>Tayfun VİÇE</v>
      </c>
    </row>
    <row r="530" spans="1:27" x14ac:dyDescent="0.25">
      <c r="A530">
        <v>1826</v>
      </c>
      <c r="B530" t="s">
        <v>1419</v>
      </c>
      <c r="C530" t="s">
        <v>73</v>
      </c>
      <c r="D530" t="s">
        <v>73</v>
      </c>
      <c r="F530" t="s">
        <v>74</v>
      </c>
      <c r="G530" t="s">
        <v>30</v>
      </c>
      <c r="H530" t="s">
        <v>2238</v>
      </c>
      <c r="I530" s="4">
        <v>46690.875</v>
      </c>
      <c r="J530" t="s">
        <v>2239</v>
      </c>
      <c r="K530" t="s">
        <v>435</v>
      </c>
      <c r="L530" s="5" t="s">
        <v>2240</v>
      </c>
      <c r="M530" s="5"/>
      <c r="N530" t="s">
        <v>35</v>
      </c>
      <c r="O530" t="s">
        <v>2241</v>
      </c>
      <c r="S530" t="s">
        <v>37</v>
      </c>
      <c r="T530" s="5" t="s">
        <v>38</v>
      </c>
      <c r="Y530" t="str">
        <f>VLOOKUP(C530,'[1]DBS_KPY Sorumlular'!A:C,2,FALSE)</f>
        <v>Ayşegül AKGÜL</v>
      </c>
      <c r="Z530" t="str">
        <f>VLOOKUP(C530,'[1]DBS_KPY Sorumlular'!A:C,3,FALSE)</f>
        <v>Sinan ERDAŞ</v>
      </c>
      <c r="AA530" t="str">
        <f>VLOOKUP(K530,[1]!Tablo3[#Data],2,FALSE)</f>
        <v>Tayfun VİÇE</v>
      </c>
    </row>
    <row r="531" spans="1:27" x14ac:dyDescent="0.25">
      <c r="A531">
        <v>1827</v>
      </c>
      <c r="B531" t="s">
        <v>1419</v>
      </c>
      <c r="C531" t="s">
        <v>73</v>
      </c>
      <c r="D531" t="s">
        <v>73</v>
      </c>
      <c r="F531" t="s">
        <v>74</v>
      </c>
      <c r="G531" t="s">
        <v>30</v>
      </c>
      <c r="H531" t="s">
        <v>2242</v>
      </c>
      <c r="I531" s="4">
        <v>46168.875</v>
      </c>
      <c r="J531" t="s">
        <v>2243</v>
      </c>
      <c r="K531" t="s">
        <v>435</v>
      </c>
      <c r="L531" s="5" t="s">
        <v>2240</v>
      </c>
      <c r="M531" s="5"/>
      <c r="N531" t="s">
        <v>35</v>
      </c>
      <c r="O531" t="s">
        <v>2244</v>
      </c>
      <c r="S531" t="s">
        <v>37</v>
      </c>
      <c r="T531" s="5" t="s">
        <v>38</v>
      </c>
      <c r="Y531" t="str">
        <f>VLOOKUP(C531,'[1]DBS_KPY Sorumlular'!A:C,2,FALSE)</f>
        <v>Ayşegül AKGÜL</v>
      </c>
      <c r="Z531" t="str">
        <f>VLOOKUP(C531,'[1]DBS_KPY Sorumlular'!A:C,3,FALSE)</f>
        <v>Sinan ERDAŞ</v>
      </c>
      <c r="AA531" t="str">
        <f>VLOOKUP(K531,[1]!Tablo3[#Data],2,FALSE)</f>
        <v>Tayfun VİÇE</v>
      </c>
    </row>
    <row r="532" spans="1:27" x14ac:dyDescent="0.25">
      <c r="A532">
        <v>1828</v>
      </c>
      <c r="B532" t="s">
        <v>1419</v>
      </c>
      <c r="C532" t="s">
        <v>1674</v>
      </c>
      <c r="D532" t="s">
        <v>1717</v>
      </c>
      <c r="F532" t="s">
        <v>113</v>
      </c>
      <c r="G532" t="s">
        <v>43</v>
      </c>
      <c r="H532" t="s">
        <v>2245</v>
      </c>
      <c r="I532" s="4"/>
      <c r="J532" t="s">
        <v>2246</v>
      </c>
      <c r="K532" t="s">
        <v>435</v>
      </c>
      <c r="L532" s="5" t="s">
        <v>2247</v>
      </c>
      <c r="M532" s="5"/>
      <c r="N532" t="s">
        <v>35</v>
      </c>
      <c r="O532" t="s">
        <v>2248</v>
      </c>
      <c r="S532" t="s">
        <v>37</v>
      </c>
      <c r="T532" s="5" t="s">
        <v>58</v>
      </c>
      <c r="U532" t="s">
        <v>2249</v>
      </c>
      <c r="V532" t="s">
        <v>2250</v>
      </c>
      <c r="W532">
        <v>108</v>
      </c>
      <c r="X532" t="s">
        <v>107</v>
      </c>
      <c r="Y532" t="str">
        <f>VLOOKUP(C532,'[1]DBS_KPY Sorumlular'!A:C,2,FALSE)</f>
        <v>Kadir TOPÇU</v>
      </c>
      <c r="Z532" t="str">
        <f>VLOOKUP(C532,'[1]DBS_KPY Sorumlular'!A:C,3,FALSE)</f>
        <v>Erkan AKDOĞAN</v>
      </c>
      <c r="AA532" t="str">
        <f>VLOOKUP(K532,[1]!Tablo3[#Data],2,FALSE)</f>
        <v>Tayfun VİÇE</v>
      </c>
    </row>
    <row r="533" spans="1:27" x14ac:dyDescent="0.25">
      <c r="A533">
        <v>1829</v>
      </c>
      <c r="B533" t="s">
        <v>1419</v>
      </c>
      <c r="C533" t="s">
        <v>1674</v>
      </c>
      <c r="D533" t="s">
        <v>1675</v>
      </c>
      <c r="F533" t="s">
        <v>66</v>
      </c>
      <c r="G533" t="s">
        <v>96</v>
      </c>
      <c r="H533" t="s">
        <v>2251</v>
      </c>
      <c r="I533" s="4"/>
      <c r="J533" t="s">
        <v>2252</v>
      </c>
      <c r="K533" t="s">
        <v>435</v>
      </c>
      <c r="L533" s="5"/>
      <c r="M533" s="5"/>
      <c r="N533" t="s">
        <v>35</v>
      </c>
      <c r="O533" t="s">
        <v>2253</v>
      </c>
      <c r="S533" t="s">
        <v>37</v>
      </c>
      <c r="T533" s="5" t="s">
        <v>48</v>
      </c>
      <c r="U533" t="s">
        <v>2254</v>
      </c>
      <c r="V533" t="s">
        <v>2255</v>
      </c>
      <c r="W533">
        <v>208</v>
      </c>
      <c r="X533" t="s">
        <v>594</v>
      </c>
      <c r="Y533" t="str">
        <f>VLOOKUP(C533,'[1]DBS_KPY Sorumlular'!A:C,2,FALSE)</f>
        <v>Kadir TOPÇU</v>
      </c>
      <c r="Z533" t="str">
        <f>VLOOKUP(C533,'[1]DBS_KPY Sorumlular'!A:C,3,FALSE)</f>
        <v>Erkan AKDOĞAN</v>
      </c>
      <c r="AA533" t="str">
        <f>VLOOKUP(K533,[1]!Tablo3[#Data],2,FALSE)</f>
        <v>Tayfun VİÇE</v>
      </c>
    </row>
    <row r="534" spans="1:27" x14ac:dyDescent="0.25">
      <c r="A534">
        <v>1830</v>
      </c>
      <c r="B534" t="s">
        <v>1419</v>
      </c>
      <c r="C534" t="s">
        <v>1674</v>
      </c>
      <c r="D534" t="s">
        <v>1675</v>
      </c>
      <c r="F534" t="s">
        <v>439</v>
      </c>
      <c r="G534" t="s">
        <v>291</v>
      </c>
      <c r="H534" t="s">
        <v>2256</v>
      </c>
      <c r="I534" s="4"/>
      <c r="J534" t="s">
        <v>2257</v>
      </c>
      <c r="K534" t="s">
        <v>435</v>
      </c>
      <c r="L534" s="5"/>
      <c r="M534" s="5"/>
      <c r="N534" t="s">
        <v>35</v>
      </c>
      <c r="O534" t="s">
        <v>2258</v>
      </c>
      <c r="S534" t="s">
        <v>37</v>
      </c>
      <c r="T534" s="5" t="s">
        <v>48</v>
      </c>
      <c r="U534" t="s">
        <v>2259</v>
      </c>
      <c r="V534" t="s">
        <v>2256</v>
      </c>
      <c r="W534">
        <v>148</v>
      </c>
      <c r="X534" t="s">
        <v>368</v>
      </c>
      <c r="Y534" t="str">
        <f>VLOOKUP(C534,'[1]DBS_KPY Sorumlular'!A:C,2,FALSE)</f>
        <v>Kadir TOPÇU</v>
      </c>
      <c r="Z534" t="str">
        <f>VLOOKUP(C534,'[1]DBS_KPY Sorumlular'!A:C,3,FALSE)</f>
        <v>Erkan AKDOĞAN</v>
      </c>
      <c r="AA534" t="str">
        <f>VLOOKUP(K534,[1]!Tablo3[#Data],2,FALSE)</f>
        <v>Tayfun VİÇE</v>
      </c>
    </row>
    <row r="535" spans="1:27" x14ac:dyDescent="0.25">
      <c r="A535">
        <v>1831</v>
      </c>
      <c r="B535" t="s">
        <v>1419</v>
      </c>
      <c r="C535" t="s">
        <v>1674</v>
      </c>
      <c r="D535" t="s">
        <v>1675</v>
      </c>
      <c r="F535" t="s">
        <v>66</v>
      </c>
      <c r="G535" t="s">
        <v>67</v>
      </c>
      <c r="H535" t="s">
        <v>2260</v>
      </c>
      <c r="I535" s="4"/>
      <c r="J535" t="s">
        <v>2261</v>
      </c>
      <c r="K535" t="s">
        <v>435</v>
      </c>
      <c r="L535" s="5"/>
      <c r="M535" s="5"/>
      <c r="N535" t="s">
        <v>35</v>
      </c>
      <c r="O535" t="s">
        <v>2262</v>
      </c>
      <c r="S535" t="s">
        <v>37</v>
      </c>
      <c r="T535" s="5" t="s">
        <v>48</v>
      </c>
      <c r="U535" t="s">
        <v>2263</v>
      </c>
      <c r="V535" t="s">
        <v>2260</v>
      </c>
      <c r="W535">
        <v>203</v>
      </c>
      <c r="X535" t="s">
        <v>72</v>
      </c>
      <c r="Y535" t="str">
        <f>VLOOKUP(C535,'[1]DBS_KPY Sorumlular'!A:C,2,FALSE)</f>
        <v>Kadir TOPÇU</v>
      </c>
      <c r="Z535" t="str">
        <f>VLOOKUP(C535,'[1]DBS_KPY Sorumlular'!A:C,3,FALSE)</f>
        <v>Erkan AKDOĞAN</v>
      </c>
      <c r="AA535" t="str">
        <f>VLOOKUP(K535,[1]!Tablo3[#Data],2,FALSE)</f>
        <v>Tayfun VİÇE</v>
      </c>
    </row>
    <row r="536" spans="1:27" x14ac:dyDescent="0.25">
      <c r="A536">
        <v>1832</v>
      </c>
      <c r="B536" t="s">
        <v>1419</v>
      </c>
      <c r="C536" t="s">
        <v>40</v>
      </c>
      <c r="D536" t="s">
        <v>65</v>
      </c>
      <c r="F536" t="s">
        <v>52</v>
      </c>
      <c r="G536" t="s">
        <v>30</v>
      </c>
      <c r="H536" t="s">
        <v>2264</v>
      </c>
      <c r="I536" s="4"/>
      <c r="K536" t="s">
        <v>435</v>
      </c>
      <c r="L536" s="5"/>
      <c r="M536" s="5"/>
      <c r="N536" t="s">
        <v>35</v>
      </c>
      <c r="O536" t="s">
        <v>2265</v>
      </c>
      <c r="S536" t="s">
        <v>37</v>
      </c>
      <c r="T536" s="5" t="s">
        <v>48</v>
      </c>
      <c r="U536" t="s">
        <v>2266</v>
      </c>
      <c r="V536" t="s">
        <v>2267</v>
      </c>
      <c r="W536">
        <v>65</v>
      </c>
      <c r="X536" t="s">
        <v>374</v>
      </c>
      <c r="Y536" t="str">
        <f>VLOOKUP(C536,'[1]DBS_KPY Sorumlular'!A:C,2,FALSE)</f>
        <v>Mustafa AYDIN</v>
      </c>
      <c r="Z536" t="str">
        <f>VLOOKUP(C536,'[1]DBS_KPY Sorumlular'!A:C,3,FALSE)</f>
        <v>Esra DOLAN</v>
      </c>
      <c r="AA536" t="str">
        <f>VLOOKUP(K536,[1]!Tablo3[#Data],2,FALSE)</f>
        <v>Tayfun VİÇE</v>
      </c>
    </row>
    <row r="537" spans="1:27" x14ac:dyDescent="0.25">
      <c r="A537">
        <v>1833</v>
      </c>
      <c r="B537" t="s">
        <v>1419</v>
      </c>
      <c r="C537" t="s">
        <v>40</v>
      </c>
      <c r="D537" t="s">
        <v>65</v>
      </c>
      <c r="F537" t="s">
        <v>66</v>
      </c>
      <c r="G537" t="s">
        <v>30</v>
      </c>
      <c r="H537" t="s">
        <v>2268</v>
      </c>
      <c r="I537" s="4"/>
      <c r="K537" t="s">
        <v>435</v>
      </c>
      <c r="L537" s="5"/>
      <c r="M537" s="5"/>
      <c r="N537" t="s">
        <v>35</v>
      </c>
      <c r="O537" t="s">
        <v>2269</v>
      </c>
      <c r="S537" t="s">
        <v>37</v>
      </c>
      <c r="T537" s="5" t="s">
        <v>100</v>
      </c>
      <c r="W537">
        <v>79</v>
      </c>
      <c r="X537" t="s">
        <v>1619</v>
      </c>
      <c r="Y537" t="str">
        <f>VLOOKUP(C537,'[1]DBS_KPY Sorumlular'!A:C,2,FALSE)</f>
        <v>Mustafa AYDIN</v>
      </c>
      <c r="Z537" t="str">
        <f>VLOOKUP(C537,'[1]DBS_KPY Sorumlular'!A:C,3,FALSE)</f>
        <v>Esra DOLAN</v>
      </c>
      <c r="AA537" t="str">
        <f>VLOOKUP(K537,[1]!Tablo3[#Data],2,FALSE)</f>
        <v>Tayfun VİÇE</v>
      </c>
    </row>
    <row r="538" spans="1:27" x14ac:dyDescent="0.25">
      <c r="A538">
        <v>1834</v>
      </c>
      <c r="B538" t="s">
        <v>1419</v>
      </c>
      <c r="C538" t="s">
        <v>40</v>
      </c>
      <c r="D538" t="s">
        <v>65</v>
      </c>
      <c r="F538" t="s">
        <v>66</v>
      </c>
      <c r="G538" t="s">
        <v>30</v>
      </c>
      <c r="H538" t="s">
        <v>2270</v>
      </c>
      <c r="I538" s="4"/>
      <c r="K538" t="s">
        <v>435</v>
      </c>
      <c r="L538" s="5"/>
      <c r="M538" s="5"/>
      <c r="N538" t="s">
        <v>35</v>
      </c>
      <c r="O538" t="s">
        <v>2271</v>
      </c>
      <c r="S538" t="s">
        <v>37</v>
      </c>
      <c r="T538" s="5" t="s">
        <v>48</v>
      </c>
      <c r="U538" t="s">
        <v>2272</v>
      </c>
      <c r="V538" t="s">
        <v>2273</v>
      </c>
      <c r="W538">
        <v>79</v>
      </c>
      <c r="X538" t="s">
        <v>1619</v>
      </c>
      <c r="Y538" t="str">
        <f>VLOOKUP(C538,'[1]DBS_KPY Sorumlular'!A:C,2,FALSE)</f>
        <v>Mustafa AYDIN</v>
      </c>
      <c r="Z538" t="str">
        <f>VLOOKUP(C538,'[1]DBS_KPY Sorumlular'!A:C,3,FALSE)</f>
        <v>Esra DOLAN</v>
      </c>
      <c r="AA538" t="str">
        <f>VLOOKUP(K538,[1]!Tablo3[#Data],2,FALSE)</f>
        <v>Tayfun VİÇE</v>
      </c>
    </row>
    <row r="539" spans="1:27" x14ac:dyDescent="0.25">
      <c r="A539">
        <v>1835</v>
      </c>
      <c r="B539" t="s">
        <v>1419</v>
      </c>
      <c r="C539" t="s">
        <v>402</v>
      </c>
      <c r="D539" t="s">
        <v>403</v>
      </c>
      <c r="F539" t="s">
        <v>52</v>
      </c>
      <c r="G539" t="s">
        <v>384</v>
      </c>
      <c r="H539" t="s">
        <v>2274</v>
      </c>
      <c r="I539" s="4"/>
      <c r="J539" t="s">
        <v>2275</v>
      </c>
      <c r="K539" t="s">
        <v>435</v>
      </c>
      <c r="L539" s="5" t="s">
        <v>2276</v>
      </c>
      <c r="M539" s="5"/>
      <c r="N539" t="s">
        <v>35</v>
      </c>
      <c r="O539" t="s">
        <v>2277</v>
      </c>
      <c r="S539" t="s">
        <v>37</v>
      </c>
      <c r="T539" s="5" t="s">
        <v>100</v>
      </c>
      <c r="W539">
        <v>65</v>
      </c>
      <c r="X539" t="s">
        <v>374</v>
      </c>
      <c r="Y539" t="str">
        <f>VLOOKUP(C539,'[1]DBS_KPY Sorumlular'!A:C,2,FALSE)</f>
        <v>Tayfun VİÇE</v>
      </c>
      <c r="Z539" t="str">
        <f>VLOOKUP(C539,'[1]DBS_KPY Sorumlular'!A:C,3,FALSE)</f>
        <v>Mehmet Ali YAVUZ</v>
      </c>
      <c r="AA539" t="str">
        <f>VLOOKUP(K539,[1]!Tablo3[#Data],2,FALSE)</f>
        <v>Tayfun VİÇE</v>
      </c>
    </row>
    <row r="540" spans="1:27" x14ac:dyDescent="0.25">
      <c r="A540">
        <v>1836</v>
      </c>
      <c r="B540" t="s">
        <v>1419</v>
      </c>
      <c r="C540" t="s">
        <v>402</v>
      </c>
      <c r="D540" t="s">
        <v>403</v>
      </c>
      <c r="F540" t="s">
        <v>383</v>
      </c>
      <c r="G540" t="s">
        <v>384</v>
      </c>
      <c r="H540" t="s">
        <v>2278</v>
      </c>
      <c r="I540" s="4"/>
      <c r="J540" t="s">
        <v>2279</v>
      </c>
      <c r="K540" t="s">
        <v>435</v>
      </c>
      <c r="L540" s="5" t="s">
        <v>2280</v>
      </c>
      <c r="M540" s="5"/>
      <c r="N540" t="s">
        <v>35</v>
      </c>
      <c r="O540" t="s">
        <v>2281</v>
      </c>
      <c r="S540" t="s">
        <v>37</v>
      </c>
      <c r="T540" s="5" t="s">
        <v>100</v>
      </c>
      <c r="W540">
        <v>83</v>
      </c>
      <c r="X540" t="s">
        <v>1309</v>
      </c>
      <c r="Y540" t="str">
        <f>VLOOKUP(C540,'[1]DBS_KPY Sorumlular'!A:C,2,FALSE)</f>
        <v>Tayfun VİÇE</v>
      </c>
      <c r="Z540" t="str">
        <f>VLOOKUP(C540,'[1]DBS_KPY Sorumlular'!A:C,3,FALSE)</f>
        <v>Mehmet Ali YAVUZ</v>
      </c>
      <c r="AA540" t="str">
        <f>VLOOKUP(K540,[1]!Tablo3[#Data],2,FALSE)</f>
        <v>Tayfun VİÇE</v>
      </c>
    </row>
    <row r="541" spans="1:27" x14ac:dyDescent="0.25">
      <c r="A541">
        <v>1837</v>
      </c>
      <c r="B541" t="s">
        <v>1419</v>
      </c>
      <c r="C541" t="s">
        <v>40</v>
      </c>
      <c r="D541" t="s">
        <v>65</v>
      </c>
      <c r="F541" t="s">
        <v>66</v>
      </c>
      <c r="G541" t="s">
        <v>67</v>
      </c>
      <c r="H541" t="s">
        <v>2282</v>
      </c>
      <c r="I541" s="4"/>
      <c r="J541" t="s">
        <v>2283</v>
      </c>
      <c r="K541" t="s">
        <v>435</v>
      </c>
      <c r="L541" s="5"/>
      <c r="M541" s="5"/>
      <c r="N541" t="s">
        <v>35</v>
      </c>
      <c r="O541" t="s">
        <v>2284</v>
      </c>
      <c r="S541" t="s">
        <v>37</v>
      </c>
      <c r="T541" s="5" t="s">
        <v>48</v>
      </c>
      <c r="U541" t="s">
        <v>2285</v>
      </c>
      <c r="V541" t="s">
        <v>2286</v>
      </c>
      <c r="W541">
        <v>203</v>
      </c>
      <c r="X541" t="s">
        <v>72</v>
      </c>
      <c r="Y541" t="str">
        <f>VLOOKUP(C541,'[1]DBS_KPY Sorumlular'!A:C,2,FALSE)</f>
        <v>Mustafa AYDIN</v>
      </c>
      <c r="Z541" t="str">
        <f>VLOOKUP(C541,'[1]DBS_KPY Sorumlular'!A:C,3,FALSE)</f>
        <v>Esra DOLAN</v>
      </c>
      <c r="AA541" t="str">
        <f>VLOOKUP(K541,[1]!Tablo3[#Data],2,FALSE)</f>
        <v>Tayfun VİÇE</v>
      </c>
    </row>
    <row r="542" spans="1:27" x14ac:dyDescent="0.25">
      <c r="A542">
        <v>1838</v>
      </c>
      <c r="B542" t="s">
        <v>1419</v>
      </c>
      <c r="C542" t="s">
        <v>73</v>
      </c>
      <c r="D542" t="s">
        <v>73</v>
      </c>
      <c r="F542" t="s">
        <v>74</v>
      </c>
      <c r="G542" t="s">
        <v>30</v>
      </c>
      <c r="H542" t="s">
        <v>448</v>
      </c>
      <c r="I542" s="4"/>
      <c r="J542" t="s">
        <v>2287</v>
      </c>
      <c r="K542" t="s">
        <v>435</v>
      </c>
      <c r="L542" s="5"/>
      <c r="M542" s="5"/>
      <c r="N542" t="s">
        <v>35</v>
      </c>
      <c r="O542" t="s">
        <v>2288</v>
      </c>
      <c r="S542" t="s">
        <v>37</v>
      </c>
      <c r="T542" s="5" t="s">
        <v>38</v>
      </c>
      <c r="Y542" t="str">
        <f>VLOOKUP(C542,'[1]DBS_KPY Sorumlular'!A:C,2,FALSE)</f>
        <v>Ayşegül AKGÜL</v>
      </c>
      <c r="Z542" t="str">
        <f>VLOOKUP(C542,'[1]DBS_KPY Sorumlular'!A:C,3,FALSE)</f>
        <v>Sinan ERDAŞ</v>
      </c>
      <c r="AA542" t="str">
        <f>VLOOKUP(K542,[1]!Tablo3[#Data],2,FALSE)</f>
        <v>Tayfun VİÇE</v>
      </c>
    </row>
    <row r="543" spans="1:27" x14ac:dyDescent="0.25">
      <c r="A543">
        <v>1839</v>
      </c>
      <c r="B543" t="s">
        <v>1419</v>
      </c>
      <c r="C543" t="s">
        <v>1674</v>
      </c>
      <c r="D543" t="s">
        <v>1700</v>
      </c>
      <c r="F543" t="s">
        <v>95</v>
      </c>
      <c r="G543" t="s">
        <v>291</v>
      </c>
      <c r="H543" t="s">
        <v>2289</v>
      </c>
      <c r="I543" s="4"/>
      <c r="K543" t="s">
        <v>435</v>
      </c>
      <c r="L543" s="5"/>
      <c r="M543" s="5"/>
      <c r="N543" t="s">
        <v>35</v>
      </c>
      <c r="O543" t="s">
        <v>2290</v>
      </c>
      <c r="S543" t="s">
        <v>37</v>
      </c>
      <c r="T543" s="5" t="s">
        <v>48</v>
      </c>
      <c r="U543" t="s">
        <v>2291</v>
      </c>
      <c r="V543" t="s">
        <v>2292</v>
      </c>
      <c r="W543">
        <v>94</v>
      </c>
      <c r="X543" t="s">
        <v>1707</v>
      </c>
      <c r="Y543" t="str">
        <f>VLOOKUP(C543,'[1]DBS_KPY Sorumlular'!A:C,2,FALSE)</f>
        <v>Kadir TOPÇU</v>
      </c>
      <c r="Z543" t="str">
        <f>VLOOKUP(C543,'[1]DBS_KPY Sorumlular'!A:C,3,FALSE)</f>
        <v>Erkan AKDOĞAN</v>
      </c>
      <c r="AA543" t="str">
        <f>VLOOKUP(K543,[1]!Tablo3[#Data],2,FALSE)</f>
        <v>Tayfun VİÇE</v>
      </c>
    </row>
    <row r="544" spans="1:27" x14ac:dyDescent="0.25">
      <c r="A544">
        <v>1840</v>
      </c>
      <c r="B544" t="s">
        <v>1419</v>
      </c>
      <c r="C544" t="s">
        <v>40</v>
      </c>
      <c r="D544" t="s">
        <v>41</v>
      </c>
      <c r="F544" t="s">
        <v>113</v>
      </c>
      <c r="G544" t="s">
        <v>43</v>
      </c>
      <c r="H544" t="s">
        <v>2293</v>
      </c>
      <c r="I544" s="4"/>
      <c r="K544" t="s">
        <v>459</v>
      </c>
      <c r="L544" s="5"/>
      <c r="M544" s="5"/>
      <c r="N544" t="s">
        <v>35</v>
      </c>
      <c r="O544" t="s">
        <v>2294</v>
      </c>
      <c r="S544" t="s">
        <v>57</v>
      </c>
      <c r="T544" s="5" t="s">
        <v>48</v>
      </c>
      <c r="U544" t="s">
        <v>2295</v>
      </c>
      <c r="V544" t="s">
        <v>2296</v>
      </c>
      <c r="W544">
        <v>169</v>
      </c>
      <c r="X544" t="s">
        <v>1480</v>
      </c>
      <c r="Y544" t="str">
        <f>VLOOKUP(C544,'[1]DBS_KPY Sorumlular'!A:C,2,FALSE)</f>
        <v>Mustafa AYDIN</v>
      </c>
      <c r="Z544" t="str">
        <f>VLOOKUP(C544,'[1]DBS_KPY Sorumlular'!A:C,3,FALSE)</f>
        <v>Esra DOLAN</v>
      </c>
      <c r="AA544" t="str">
        <f>VLOOKUP(K544,[1]!Tablo3[#Data],2,FALSE)</f>
        <v>Erkan AKDOĞAN</v>
      </c>
    </row>
    <row r="545" spans="1:27" x14ac:dyDescent="0.25">
      <c r="A545">
        <v>1841</v>
      </c>
      <c r="B545" t="s">
        <v>1419</v>
      </c>
      <c r="C545" t="s">
        <v>40</v>
      </c>
      <c r="D545" t="s">
        <v>41</v>
      </c>
      <c r="F545" t="s">
        <v>306</v>
      </c>
      <c r="G545" t="s">
        <v>30</v>
      </c>
      <c r="H545" t="s">
        <v>2297</v>
      </c>
      <c r="I545" s="4"/>
      <c r="K545" t="s">
        <v>459</v>
      </c>
      <c r="L545" s="5"/>
      <c r="M545" s="5"/>
      <c r="N545" t="s">
        <v>35</v>
      </c>
      <c r="O545" t="s">
        <v>2298</v>
      </c>
      <c r="S545" t="s">
        <v>57</v>
      </c>
      <c r="T545" s="5" t="s">
        <v>48</v>
      </c>
      <c r="U545" t="s">
        <v>2299</v>
      </c>
      <c r="V545" t="s">
        <v>2300</v>
      </c>
      <c r="W545">
        <v>150</v>
      </c>
      <c r="X545" t="s">
        <v>485</v>
      </c>
      <c r="Y545" t="str">
        <f>VLOOKUP(C545,'[1]DBS_KPY Sorumlular'!A:C,2,FALSE)</f>
        <v>Mustafa AYDIN</v>
      </c>
      <c r="Z545" t="str">
        <f>VLOOKUP(C545,'[1]DBS_KPY Sorumlular'!A:C,3,FALSE)</f>
        <v>Esra DOLAN</v>
      </c>
      <c r="AA545" t="str">
        <f>VLOOKUP(K545,[1]!Tablo3[#Data],2,FALSE)</f>
        <v>Erkan AKDOĞAN</v>
      </c>
    </row>
    <row r="546" spans="1:27" x14ac:dyDescent="0.25">
      <c r="A546">
        <v>1842</v>
      </c>
      <c r="B546" t="s">
        <v>1419</v>
      </c>
      <c r="C546" t="s">
        <v>1674</v>
      </c>
      <c r="D546" t="s">
        <v>1675</v>
      </c>
      <c r="F546" t="s">
        <v>52</v>
      </c>
      <c r="G546" t="s">
        <v>67</v>
      </c>
      <c r="H546" t="s">
        <v>2301</v>
      </c>
      <c r="I546" s="4"/>
      <c r="J546" t="s">
        <v>2302</v>
      </c>
      <c r="K546" t="s">
        <v>459</v>
      </c>
      <c r="L546" s="5"/>
      <c r="M546" s="5"/>
      <c r="N546" t="s">
        <v>35</v>
      </c>
      <c r="O546" t="s">
        <v>2303</v>
      </c>
      <c r="S546" t="s">
        <v>57</v>
      </c>
      <c r="T546" s="5" t="s">
        <v>48</v>
      </c>
      <c r="U546" t="s">
        <v>2304</v>
      </c>
      <c r="V546" t="s">
        <v>2305</v>
      </c>
      <c r="W546">
        <v>203</v>
      </c>
      <c r="X546" t="s">
        <v>72</v>
      </c>
      <c r="Y546" t="str">
        <f>VLOOKUP(C546,'[1]DBS_KPY Sorumlular'!A:C,2,FALSE)</f>
        <v>Kadir TOPÇU</v>
      </c>
      <c r="Z546" t="str">
        <f>VLOOKUP(C546,'[1]DBS_KPY Sorumlular'!A:C,3,FALSE)</f>
        <v>Erkan AKDOĞAN</v>
      </c>
      <c r="AA546" t="str">
        <f>VLOOKUP(K546,[1]!Tablo3[#Data],2,FALSE)</f>
        <v>Erkan AKDOĞAN</v>
      </c>
    </row>
    <row r="547" spans="1:27" x14ac:dyDescent="0.25">
      <c r="A547">
        <v>1843</v>
      </c>
      <c r="B547" t="s">
        <v>1419</v>
      </c>
      <c r="C547" t="s">
        <v>40</v>
      </c>
      <c r="D547" t="s">
        <v>65</v>
      </c>
      <c r="F547" t="s">
        <v>74</v>
      </c>
      <c r="G547" t="s">
        <v>30</v>
      </c>
      <c r="H547" t="s">
        <v>2306</v>
      </c>
      <c r="I547" s="4"/>
      <c r="K547" t="s">
        <v>459</v>
      </c>
      <c r="L547" s="5"/>
      <c r="M547" s="5"/>
      <c r="N547" t="s">
        <v>35</v>
      </c>
      <c r="O547" t="s">
        <v>2307</v>
      </c>
      <c r="S547" t="s">
        <v>57</v>
      </c>
      <c r="T547" s="5" t="s">
        <v>48</v>
      </c>
      <c r="U547" t="s">
        <v>2308</v>
      </c>
      <c r="V547" t="s">
        <v>2309</v>
      </c>
      <c r="W547">
        <v>65</v>
      </c>
      <c r="X547" t="s">
        <v>374</v>
      </c>
      <c r="Y547" t="str">
        <f>VLOOKUP(C547,'[1]DBS_KPY Sorumlular'!A:C,2,FALSE)</f>
        <v>Mustafa AYDIN</v>
      </c>
      <c r="Z547" t="str">
        <f>VLOOKUP(C547,'[1]DBS_KPY Sorumlular'!A:C,3,FALSE)</f>
        <v>Esra DOLAN</v>
      </c>
      <c r="AA547" t="str">
        <f>VLOOKUP(K547,[1]!Tablo3[#Data],2,FALSE)</f>
        <v>Erkan AKDOĞAN</v>
      </c>
    </row>
    <row r="548" spans="1:27" x14ac:dyDescent="0.25">
      <c r="A548">
        <v>1844</v>
      </c>
      <c r="B548" t="s">
        <v>1419</v>
      </c>
      <c r="C548" t="s">
        <v>1674</v>
      </c>
      <c r="D548" t="s">
        <v>1717</v>
      </c>
      <c r="F548" t="s">
        <v>642</v>
      </c>
      <c r="G548" t="s">
        <v>43</v>
      </c>
      <c r="H548" t="s">
        <v>2310</v>
      </c>
      <c r="I548" s="4"/>
      <c r="J548" t="s">
        <v>2311</v>
      </c>
      <c r="K548" t="s">
        <v>459</v>
      </c>
      <c r="L548" s="5" t="s">
        <v>2312</v>
      </c>
      <c r="M548" s="5"/>
      <c r="N548" t="s">
        <v>35</v>
      </c>
      <c r="O548" t="s">
        <v>2313</v>
      </c>
      <c r="S548" t="s">
        <v>57</v>
      </c>
      <c r="T548" s="5" t="s">
        <v>48</v>
      </c>
      <c r="U548" t="s">
        <v>2314</v>
      </c>
      <c r="V548" t="s">
        <v>2310</v>
      </c>
      <c r="W548">
        <v>80</v>
      </c>
      <c r="X548" t="s">
        <v>647</v>
      </c>
      <c r="Y548" t="str">
        <f>VLOOKUP(C548,'[1]DBS_KPY Sorumlular'!A:C,2,FALSE)</f>
        <v>Kadir TOPÇU</v>
      </c>
      <c r="Z548" t="str">
        <f>VLOOKUP(C548,'[1]DBS_KPY Sorumlular'!A:C,3,FALSE)</f>
        <v>Erkan AKDOĞAN</v>
      </c>
      <c r="AA548" t="str">
        <f>VLOOKUP(K548,[1]!Tablo3[#Data],2,FALSE)</f>
        <v>Erkan AKDOĞAN</v>
      </c>
    </row>
    <row r="549" spans="1:27" x14ac:dyDescent="0.25">
      <c r="A549">
        <v>1845</v>
      </c>
      <c r="B549" t="s">
        <v>27</v>
      </c>
      <c r="C549" t="s">
        <v>40</v>
      </c>
      <c r="D549" t="s">
        <v>65</v>
      </c>
      <c r="F549" t="s">
        <v>66</v>
      </c>
      <c r="G549" t="s">
        <v>67</v>
      </c>
      <c r="H549" t="s">
        <v>2315</v>
      </c>
      <c r="I549" s="4">
        <v>45868.875</v>
      </c>
      <c r="J549" t="s">
        <v>2316</v>
      </c>
      <c r="K549" t="s">
        <v>459</v>
      </c>
      <c r="L549" s="5"/>
      <c r="M549" s="5"/>
      <c r="N549" t="s">
        <v>46</v>
      </c>
      <c r="O549" t="s">
        <v>2317</v>
      </c>
      <c r="R549">
        <v>0.8</v>
      </c>
      <c r="S549" t="s">
        <v>57</v>
      </c>
      <c r="T549" s="5" t="s">
        <v>48</v>
      </c>
      <c r="U549" t="s">
        <v>2318</v>
      </c>
      <c r="V549" t="s">
        <v>2319</v>
      </c>
      <c r="W549">
        <v>203</v>
      </c>
      <c r="X549" t="s">
        <v>72</v>
      </c>
      <c r="Y549" t="str">
        <f>VLOOKUP(C549,'[1]DBS_KPY Sorumlular'!A:C,2,FALSE)</f>
        <v>Mustafa AYDIN</v>
      </c>
      <c r="Z549" t="str">
        <f>VLOOKUP(C549,'[1]DBS_KPY Sorumlular'!A:C,3,FALSE)</f>
        <v>Esra DOLAN</v>
      </c>
      <c r="AA549" t="str">
        <f>VLOOKUP(K549,[1]!Tablo3[#Data],2,FALSE)</f>
        <v>Erkan AKDOĞAN</v>
      </c>
    </row>
    <row r="550" spans="1:27" x14ac:dyDescent="0.25">
      <c r="A550">
        <v>1846</v>
      </c>
      <c r="B550" t="s">
        <v>1419</v>
      </c>
      <c r="C550" t="s">
        <v>73</v>
      </c>
      <c r="D550" t="s">
        <v>73</v>
      </c>
      <c r="F550" t="s">
        <v>74</v>
      </c>
      <c r="G550" t="s">
        <v>30</v>
      </c>
      <c r="H550" t="s">
        <v>473</v>
      </c>
      <c r="I550" s="4"/>
      <c r="J550" t="s">
        <v>474</v>
      </c>
      <c r="K550" t="s">
        <v>459</v>
      </c>
      <c r="L550" s="5"/>
      <c r="M550" s="5"/>
      <c r="N550" t="s">
        <v>35</v>
      </c>
      <c r="O550" t="s">
        <v>2320</v>
      </c>
      <c r="S550" t="s">
        <v>57</v>
      </c>
      <c r="T550" s="5" t="s">
        <v>38</v>
      </c>
      <c r="Y550" t="str">
        <f>VLOOKUP(C550,'[1]DBS_KPY Sorumlular'!A:C,2,FALSE)</f>
        <v>Ayşegül AKGÜL</v>
      </c>
      <c r="Z550" t="str">
        <f>VLOOKUP(C550,'[1]DBS_KPY Sorumlular'!A:C,3,FALSE)</f>
        <v>Sinan ERDAŞ</v>
      </c>
      <c r="AA550" t="str">
        <f>VLOOKUP(K550,[1]!Tablo3[#Data],2,FALSE)</f>
        <v>Erkan AKDOĞAN</v>
      </c>
    </row>
    <row r="551" spans="1:27" x14ac:dyDescent="0.25">
      <c r="A551">
        <v>1847</v>
      </c>
      <c r="B551" t="s">
        <v>1419</v>
      </c>
      <c r="C551" t="s">
        <v>73</v>
      </c>
      <c r="D551" t="s">
        <v>73</v>
      </c>
      <c r="F551" t="s">
        <v>455</v>
      </c>
      <c r="G551" t="s">
        <v>456</v>
      </c>
      <c r="H551" t="s">
        <v>2321</v>
      </c>
      <c r="I551" s="4"/>
      <c r="J551" t="s">
        <v>2322</v>
      </c>
      <c r="K551" t="s">
        <v>459</v>
      </c>
      <c r="L551" s="5" t="s">
        <v>1784</v>
      </c>
      <c r="M551" s="5"/>
      <c r="N551" t="s">
        <v>35</v>
      </c>
      <c r="O551" t="s">
        <v>2323</v>
      </c>
      <c r="S551" t="s">
        <v>57</v>
      </c>
      <c r="T551" s="5" t="s">
        <v>38</v>
      </c>
      <c r="Y551" t="str">
        <f>VLOOKUP(C551,'[1]DBS_KPY Sorumlular'!A:C,2,FALSE)</f>
        <v>Ayşegül AKGÜL</v>
      </c>
      <c r="Z551" t="str">
        <f>VLOOKUP(C551,'[1]DBS_KPY Sorumlular'!A:C,3,FALSE)</f>
        <v>Sinan ERDAŞ</v>
      </c>
      <c r="AA551" t="str">
        <f>VLOOKUP(K551,[1]!Tablo3[#Data],2,FALSE)</f>
        <v>Erkan AKDOĞAN</v>
      </c>
    </row>
    <row r="552" spans="1:27" x14ac:dyDescent="0.25">
      <c r="A552">
        <v>1848</v>
      </c>
      <c r="B552" t="s">
        <v>1419</v>
      </c>
      <c r="C552" t="s">
        <v>73</v>
      </c>
      <c r="D552" t="s">
        <v>73</v>
      </c>
      <c r="F552" t="s">
        <v>42</v>
      </c>
      <c r="G552" t="s">
        <v>30</v>
      </c>
      <c r="H552" t="s">
        <v>2324</v>
      </c>
      <c r="I552" s="4"/>
      <c r="J552" t="s">
        <v>2325</v>
      </c>
      <c r="K552" t="s">
        <v>459</v>
      </c>
      <c r="L552" s="5"/>
      <c r="M552" s="5"/>
      <c r="N552" t="s">
        <v>35</v>
      </c>
      <c r="O552" t="s">
        <v>2326</v>
      </c>
      <c r="S552" t="s">
        <v>57</v>
      </c>
      <c r="T552" s="5" t="s">
        <v>38</v>
      </c>
      <c r="Y552" t="str">
        <f>VLOOKUP(C552,'[1]DBS_KPY Sorumlular'!A:C,2,FALSE)</f>
        <v>Ayşegül AKGÜL</v>
      </c>
      <c r="Z552" t="str">
        <f>VLOOKUP(C552,'[1]DBS_KPY Sorumlular'!A:C,3,FALSE)</f>
        <v>Sinan ERDAŞ</v>
      </c>
      <c r="AA552" t="str">
        <f>VLOOKUP(K552,[1]!Tablo3[#Data],2,FALSE)</f>
        <v>Erkan AKDOĞAN</v>
      </c>
    </row>
    <row r="553" spans="1:27" x14ac:dyDescent="0.25">
      <c r="A553">
        <v>1849</v>
      </c>
      <c r="B553" t="s">
        <v>1419</v>
      </c>
      <c r="C553" t="s">
        <v>652</v>
      </c>
      <c r="D553" t="s">
        <v>653</v>
      </c>
      <c r="F553" t="s">
        <v>455</v>
      </c>
      <c r="G553" t="s">
        <v>456</v>
      </c>
      <c r="H553" t="s">
        <v>2327</v>
      </c>
      <c r="I553" s="4"/>
      <c r="K553" t="s">
        <v>226</v>
      </c>
      <c r="L553" s="5"/>
      <c r="M553" s="5"/>
      <c r="N553" t="s">
        <v>35</v>
      </c>
      <c r="O553" t="s">
        <v>2328</v>
      </c>
      <c r="S553" t="s">
        <v>230</v>
      </c>
      <c r="T553" s="5" t="s">
        <v>48</v>
      </c>
      <c r="U553" t="s">
        <v>2329</v>
      </c>
      <c r="V553" t="s">
        <v>2327</v>
      </c>
      <c r="W553">
        <v>144</v>
      </c>
      <c r="X553" t="s">
        <v>463</v>
      </c>
      <c r="Y553" t="str">
        <f>VLOOKUP(C553,'[1]DBS_KPY Sorumlular'!A:C,2,FALSE)</f>
        <v>Seyithan İŞİK</v>
      </c>
      <c r="Z553" t="str">
        <f>VLOOKUP(C553,'[1]DBS_KPY Sorumlular'!A:C,3,FALSE)</f>
        <v>Korhan KÖROĞLU</v>
      </c>
      <c r="AA553" t="str">
        <f>VLOOKUP(K553,[1]!Tablo3[#Data],2,FALSE)</f>
        <v>Kadir TOPÇU</v>
      </c>
    </row>
    <row r="554" spans="1:27" x14ac:dyDescent="0.25">
      <c r="A554">
        <v>1850</v>
      </c>
      <c r="B554" t="s">
        <v>1419</v>
      </c>
      <c r="C554" t="s">
        <v>652</v>
      </c>
      <c r="D554" t="s">
        <v>653</v>
      </c>
      <c r="F554" t="s">
        <v>455</v>
      </c>
      <c r="G554" t="s">
        <v>456</v>
      </c>
      <c r="H554" t="s">
        <v>2330</v>
      </c>
      <c r="I554" s="4"/>
      <c r="K554" t="s">
        <v>226</v>
      </c>
      <c r="L554" s="5"/>
      <c r="M554" s="5"/>
      <c r="N554" t="s">
        <v>35</v>
      </c>
      <c r="O554" t="s">
        <v>2331</v>
      </c>
      <c r="S554" t="s">
        <v>230</v>
      </c>
      <c r="T554" s="5" t="s">
        <v>48</v>
      </c>
      <c r="U554" t="s">
        <v>2332</v>
      </c>
      <c r="V554" t="s">
        <v>2330</v>
      </c>
      <c r="W554">
        <v>144</v>
      </c>
      <c r="X554" t="s">
        <v>463</v>
      </c>
      <c r="Y554" t="str">
        <f>VLOOKUP(C554,'[1]DBS_KPY Sorumlular'!A:C,2,FALSE)</f>
        <v>Seyithan İŞİK</v>
      </c>
      <c r="Z554" t="str">
        <f>VLOOKUP(C554,'[1]DBS_KPY Sorumlular'!A:C,3,FALSE)</f>
        <v>Korhan KÖROĞLU</v>
      </c>
      <c r="AA554" t="str">
        <f>VLOOKUP(K554,[1]!Tablo3[#Data],2,FALSE)</f>
        <v>Kadir TOPÇU</v>
      </c>
    </row>
    <row r="555" spans="1:27" x14ac:dyDescent="0.25">
      <c r="A555">
        <v>1851</v>
      </c>
      <c r="B555" t="s">
        <v>1419</v>
      </c>
      <c r="C555" t="s">
        <v>1674</v>
      </c>
      <c r="D555" t="s">
        <v>1675</v>
      </c>
      <c r="F555" t="s">
        <v>52</v>
      </c>
      <c r="G555" t="s">
        <v>67</v>
      </c>
      <c r="H555" t="s">
        <v>2333</v>
      </c>
      <c r="I555" s="4"/>
      <c r="J555" t="s">
        <v>2334</v>
      </c>
      <c r="K555" t="s">
        <v>226</v>
      </c>
      <c r="L555" s="5"/>
      <c r="M555" s="5"/>
      <c r="N555" t="s">
        <v>35</v>
      </c>
      <c r="O555" t="s">
        <v>2335</v>
      </c>
      <c r="S555" t="s">
        <v>230</v>
      </c>
      <c r="T555" s="5" t="s">
        <v>48</v>
      </c>
      <c r="U555" t="s">
        <v>2336</v>
      </c>
      <c r="V555" t="s">
        <v>2333</v>
      </c>
      <c r="W555">
        <v>103</v>
      </c>
      <c r="X555" t="s">
        <v>353</v>
      </c>
      <c r="Y555" t="str">
        <f>VLOOKUP(C555,'[1]DBS_KPY Sorumlular'!A:C,2,FALSE)</f>
        <v>Kadir TOPÇU</v>
      </c>
      <c r="Z555" t="str">
        <f>VLOOKUP(C555,'[1]DBS_KPY Sorumlular'!A:C,3,FALSE)</f>
        <v>Erkan AKDOĞAN</v>
      </c>
      <c r="AA555" t="str">
        <f>VLOOKUP(K555,[1]!Tablo3[#Data],2,FALSE)</f>
        <v>Kadir TOPÇU</v>
      </c>
    </row>
    <row r="556" spans="1:27" x14ac:dyDescent="0.25">
      <c r="A556">
        <v>1852</v>
      </c>
      <c r="B556" t="s">
        <v>1419</v>
      </c>
      <c r="C556" t="s">
        <v>1674</v>
      </c>
      <c r="D556" t="s">
        <v>1675</v>
      </c>
      <c r="F556" t="s">
        <v>52</v>
      </c>
      <c r="G556" t="s">
        <v>67</v>
      </c>
      <c r="H556" t="s">
        <v>2337</v>
      </c>
      <c r="I556" s="4"/>
      <c r="J556" t="s">
        <v>2338</v>
      </c>
      <c r="K556" t="s">
        <v>226</v>
      </c>
      <c r="L556" s="5"/>
      <c r="M556" s="5"/>
      <c r="N556" t="s">
        <v>35</v>
      </c>
      <c r="O556" t="s">
        <v>2339</v>
      </c>
      <c r="S556" t="s">
        <v>230</v>
      </c>
      <c r="T556" s="5" t="s">
        <v>48</v>
      </c>
      <c r="U556" t="s">
        <v>2340</v>
      </c>
      <c r="V556" t="s">
        <v>2337</v>
      </c>
      <c r="W556">
        <v>103</v>
      </c>
      <c r="X556" t="s">
        <v>353</v>
      </c>
      <c r="Y556" t="str">
        <f>VLOOKUP(C556,'[1]DBS_KPY Sorumlular'!A:C,2,FALSE)</f>
        <v>Kadir TOPÇU</v>
      </c>
      <c r="Z556" t="str">
        <f>VLOOKUP(C556,'[1]DBS_KPY Sorumlular'!A:C,3,FALSE)</f>
        <v>Erkan AKDOĞAN</v>
      </c>
      <c r="AA556" t="str">
        <f>VLOOKUP(K556,[1]!Tablo3[#Data],2,FALSE)</f>
        <v>Kadir TOPÇU</v>
      </c>
    </row>
    <row r="557" spans="1:27" x14ac:dyDescent="0.25">
      <c r="A557">
        <v>1853</v>
      </c>
      <c r="B557" t="s">
        <v>27</v>
      </c>
      <c r="C557" t="s">
        <v>40</v>
      </c>
      <c r="D557" t="s">
        <v>65</v>
      </c>
      <c r="F557" t="s">
        <v>66</v>
      </c>
      <c r="G557" t="s">
        <v>67</v>
      </c>
      <c r="H557" t="s">
        <v>2341</v>
      </c>
      <c r="I557" s="4">
        <v>45851.875</v>
      </c>
      <c r="J557" t="s">
        <v>2342</v>
      </c>
      <c r="K557" t="s">
        <v>226</v>
      </c>
      <c r="L557" s="5"/>
      <c r="M557" s="5"/>
      <c r="N557" t="s">
        <v>46</v>
      </c>
      <c r="O557" t="s">
        <v>2343</v>
      </c>
      <c r="R557">
        <v>0.4</v>
      </c>
      <c r="S557" t="s">
        <v>230</v>
      </c>
      <c r="T557" s="5" t="s">
        <v>48</v>
      </c>
      <c r="U557" t="s">
        <v>2344</v>
      </c>
      <c r="V557" t="s">
        <v>2345</v>
      </c>
      <c r="W557">
        <v>203</v>
      </c>
      <c r="X557" t="s">
        <v>72</v>
      </c>
      <c r="Y557" t="str">
        <f>VLOOKUP(C557,'[1]DBS_KPY Sorumlular'!A:C,2,FALSE)</f>
        <v>Mustafa AYDIN</v>
      </c>
      <c r="Z557" t="str">
        <f>VLOOKUP(C557,'[1]DBS_KPY Sorumlular'!A:C,3,FALSE)</f>
        <v>Esra DOLAN</v>
      </c>
      <c r="AA557" t="str">
        <f>VLOOKUP(K557,[1]!Tablo3[#Data],2,FALSE)</f>
        <v>Kadir TOPÇU</v>
      </c>
    </row>
    <row r="558" spans="1:27" x14ac:dyDescent="0.25">
      <c r="A558">
        <v>1854</v>
      </c>
      <c r="B558" t="s">
        <v>27</v>
      </c>
      <c r="C558" t="s">
        <v>40</v>
      </c>
      <c r="D558" t="s">
        <v>41</v>
      </c>
      <c r="F558" t="s">
        <v>439</v>
      </c>
      <c r="G558" t="s">
        <v>291</v>
      </c>
      <c r="H558" t="s">
        <v>2346</v>
      </c>
      <c r="I558" s="4">
        <v>45985.875</v>
      </c>
      <c r="J558" t="s">
        <v>2347</v>
      </c>
      <c r="K558" t="s">
        <v>226</v>
      </c>
      <c r="L558" s="5" t="s">
        <v>2348</v>
      </c>
      <c r="M558" s="5"/>
      <c r="N558" t="s">
        <v>46</v>
      </c>
      <c r="O558" t="s">
        <v>2349</v>
      </c>
      <c r="R558">
        <v>0</v>
      </c>
      <c r="S558" t="s">
        <v>230</v>
      </c>
      <c r="T558" s="5" t="s">
        <v>48</v>
      </c>
      <c r="U558" t="s">
        <v>2350</v>
      </c>
      <c r="V558" t="s">
        <v>2346</v>
      </c>
      <c r="W558">
        <v>150</v>
      </c>
      <c r="X558" t="s">
        <v>485</v>
      </c>
      <c r="Y558" t="str">
        <f>VLOOKUP(C558,'[1]DBS_KPY Sorumlular'!A:C,2,FALSE)</f>
        <v>Mustafa AYDIN</v>
      </c>
      <c r="Z558" t="str">
        <f>VLOOKUP(C558,'[1]DBS_KPY Sorumlular'!A:C,3,FALSE)</f>
        <v>Esra DOLAN</v>
      </c>
      <c r="AA558" t="str">
        <f>VLOOKUP(K558,[1]!Tablo3[#Data],2,FALSE)</f>
        <v>Kadir TOPÇU</v>
      </c>
    </row>
    <row r="559" spans="1:27" x14ac:dyDescent="0.25">
      <c r="A559">
        <v>1855</v>
      </c>
      <c r="B559" t="s">
        <v>1419</v>
      </c>
      <c r="C559" t="s">
        <v>1674</v>
      </c>
      <c r="D559" t="s">
        <v>1700</v>
      </c>
      <c r="F559" t="s">
        <v>95</v>
      </c>
      <c r="G559" t="s">
        <v>96</v>
      </c>
      <c r="H559" t="s">
        <v>2351</v>
      </c>
      <c r="I559" s="4"/>
      <c r="K559" t="s">
        <v>226</v>
      </c>
      <c r="L559" s="5" t="s">
        <v>1997</v>
      </c>
      <c r="M559" s="5"/>
      <c r="N559" t="s">
        <v>35</v>
      </c>
      <c r="O559" t="s">
        <v>2352</v>
      </c>
      <c r="S559" t="s">
        <v>230</v>
      </c>
      <c r="T559" s="5" t="s">
        <v>48</v>
      </c>
      <c r="U559" t="s">
        <v>2353</v>
      </c>
      <c r="V559" t="s">
        <v>2351</v>
      </c>
      <c r="W559">
        <v>94</v>
      </c>
      <c r="X559" t="s">
        <v>1707</v>
      </c>
      <c r="Y559" t="str">
        <f>VLOOKUP(C559,'[1]DBS_KPY Sorumlular'!A:C,2,FALSE)</f>
        <v>Kadir TOPÇU</v>
      </c>
      <c r="Z559" t="str">
        <f>VLOOKUP(C559,'[1]DBS_KPY Sorumlular'!A:C,3,FALSE)</f>
        <v>Erkan AKDOĞAN</v>
      </c>
      <c r="AA559" t="str">
        <f>VLOOKUP(K559,[1]!Tablo3[#Data],2,FALSE)</f>
        <v>Kadir TOPÇU</v>
      </c>
    </row>
    <row r="560" spans="1:27" x14ac:dyDescent="0.25">
      <c r="A560">
        <v>1856</v>
      </c>
      <c r="B560" t="s">
        <v>1419</v>
      </c>
      <c r="C560" t="s">
        <v>1674</v>
      </c>
      <c r="D560" t="s">
        <v>1717</v>
      </c>
      <c r="F560" t="s">
        <v>52</v>
      </c>
      <c r="G560" t="s">
        <v>291</v>
      </c>
      <c r="H560" t="s">
        <v>2354</v>
      </c>
      <c r="I560" s="4"/>
      <c r="J560" t="s">
        <v>2355</v>
      </c>
      <c r="K560" t="s">
        <v>226</v>
      </c>
      <c r="L560" s="5"/>
      <c r="M560" s="5"/>
      <c r="N560" t="s">
        <v>35</v>
      </c>
      <c r="O560" t="s">
        <v>2356</v>
      </c>
      <c r="S560" t="s">
        <v>230</v>
      </c>
      <c r="T560" s="5" t="s">
        <v>48</v>
      </c>
      <c r="U560" t="s">
        <v>2357</v>
      </c>
      <c r="V560" t="s">
        <v>2358</v>
      </c>
      <c r="W560">
        <v>166</v>
      </c>
      <c r="X560" t="s">
        <v>2118</v>
      </c>
      <c r="Y560" t="str">
        <f>VLOOKUP(C560,'[1]DBS_KPY Sorumlular'!A:C,2,FALSE)</f>
        <v>Kadir TOPÇU</v>
      </c>
      <c r="Z560" t="str">
        <f>VLOOKUP(C560,'[1]DBS_KPY Sorumlular'!A:C,3,FALSE)</f>
        <v>Erkan AKDOĞAN</v>
      </c>
      <c r="AA560" t="str">
        <f>VLOOKUP(K560,[1]!Tablo3[#Data],2,FALSE)</f>
        <v>Kadir TOPÇU</v>
      </c>
    </row>
    <row r="561" spans="1:27" x14ac:dyDescent="0.25">
      <c r="A561">
        <v>1857</v>
      </c>
      <c r="B561" t="s">
        <v>1419</v>
      </c>
      <c r="C561" t="s">
        <v>1674</v>
      </c>
      <c r="D561" t="s">
        <v>1717</v>
      </c>
      <c r="F561" t="s">
        <v>52</v>
      </c>
      <c r="G561" t="s">
        <v>291</v>
      </c>
      <c r="H561" t="s">
        <v>2359</v>
      </c>
      <c r="I561" s="4"/>
      <c r="K561" t="s">
        <v>226</v>
      </c>
      <c r="L561" s="5"/>
      <c r="M561" s="5"/>
      <c r="N561" t="s">
        <v>1824</v>
      </c>
      <c r="O561" t="s">
        <v>2360</v>
      </c>
      <c r="S561" t="s">
        <v>230</v>
      </c>
      <c r="T561" s="5" t="s">
        <v>100</v>
      </c>
      <c r="W561">
        <v>68</v>
      </c>
      <c r="X561" t="s">
        <v>51</v>
      </c>
      <c r="Y561" t="str">
        <f>VLOOKUP(C561,'[1]DBS_KPY Sorumlular'!A:C,2,FALSE)</f>
        <v>Kadir TOPÇU</v>
      </c>
      <c r="Z561" t="str">
        <f>VLOOKUP(C561,'[1]DBS_KPY Sorumlular'!A:C,3,FALSE)</f>
        <v>Erkan AKDOĞAN</v>
      </c>
      <c r="AA561" t="str">
        <f>VLOOKUP(K561,[1]!Tablo3[#Data],2,FALSE)</f>
        <v>Kadir TOPÇU</v>
      </c>
    </row>
    <row r="562" spans="1:27" x14ac:dyDescent="0.25">
      <c r="A562">
        <v>1858</v>
      </c>
      <c r="B562" t="s">
        <v>1419</v>
      </c>
      <c r="C562" t="s">
        <v>40</v>
      </c>
      <c r="D562" t="s">
        <v>65</v>
      </c>
      <c r="F562" t="s">
        <v>52</v>
      </c>
      <c r="G562" t="s">
        <v>67</v>
      </c>
      <c r="H562" t="s">
        <v>2361</v>
      </c>
      <c r="I562" s="4"/>
      <c r="J562" t="s">
        <v>2362</v>
      </c>
      <c r="K562" t="s">
        <v>226</v>
      </c>
      <c r="L562" s="5"/>
      <c r="M562" s="5"/>
      <c r="N562" t="s">
        <v>35</v>
      </c>
      <c r="O562" t="s">
        <v>2363</v>
      </c>
      <c r="S562" t="s">
        <v>230</v>
      </c>
      <c r="T562" s="5" t="s">
        <v>48</v>
      </c>
      <c r="U562" t="s">
        <v>2364</v>
      </c>
      <c r="V562" t="s">
        <v>2365</v>
      </c>
      <c r="W562">
        <v>203</v>
      </c>
      <c r="X562" t="s">
        <v>72</v>
      </c>
      <c r="Y562" t="str">
        <f>VLOOKUP(C562,'[1]DBS_KPY Sorumlular'!A:C,2,FALSE)</f>
        <v>Mustafa AYDIN</v>
      </c>
      <c r="Z562" t="str">
        <f>VLOOKUP(C562,'[1]DBS_KPY Sorumlular'!A:C,3,FALSE)</f>
        <v>Esra DOLAN</v>
      </c>
      <c r="AA562" t="str">
        <f>VLOOKUP(K562,[1]!Tablo3[#Data],2,FALSE)</f>
        <v>Kadir TOPÇU</v>
      </c>
    </row>
    <row r="563" spans="1:27" x14ac:dyDescent="0.25">
      <c r="A563">
        <v>1859</v>
      </c>
      <c r="B563" t="s">
        <v>1419</v>
      </c>
      <c r="C563" t="s">
        <v>304</v>
      </c>
      <c r="D563" t="s">
        <v>305</v>
      </c>
      <c r="F563" t="s">
        <v>486</v>
      </c>
      <c r="G563" t="s">
        <v>67</v>
      </c>
      <c r="H563" t="s">
        <v>2366</v>
      </c>
      <c r="I563" s="4"/>
      <c r="J563" t="s">
        <v>2367</v>
      </c>
      <c r="K563" t="s">
        <v>226</v>
      </c>
      <c r="L563" s="5"/>
      <c r="M563" s="5"/>
      <c r="N563" t="s">
        <v>35</v>
      </c>
      <c r="O563" t="s">
        <v>2368</v>
      </c>
      <c r="S563" t="s">
        <v>230</v>
      </c>
      <c r="T563" s="5" t="s">
        <v>38</v>
      </c>
      <c r="Y563" t="str">
        <f>VLOOKUP(C563,'[1]DBS_KPY Sorumlular'!A:C,2,FALSE)</f>
        <v>Erkan AKDOĞAN</v>
      </c>
      <c r="Z563" t="str">
        <f>VLOOKUP(C563,'[1]DBS_KPY Sorumlular'!A:C,3,FALSE)</f>
        <v>Kadir TOPÇU</v>
      </c>
      <c r="AA563" t="str">
        <f>VLOOKUP(K563,[1]!Tablo3[#Data],2,FALSE)</f>
        <v>Kadir TOPÇU</v>
      </c>
    </row>
    <row r="564" spans="1:27" x14ac:dyDescent="0.25">
      <c r="A564">
        <v>1860</v>
      </c>
      <c r="B564" t="s">
        <v>1419</v>
      </c>
      <c r="C564" t="s">
        <v>402</v>
      </c>
      <c r="D564" t="s">
        <v>403</v>
      </c>
      <c r="F564" t="s">
        <v>383</v>
      </c>
      <c r="G564" t="s">
        <v>384</v>
      </c>
      <c r="H564" t="s">
        <v>2369</v>
      </c>
      <c r="I564" s="4"/>
      <c r="J564" t="s">
        <v>2370</v>
      </c>
      <c r="K564" t="s">
        <v>226</v>
      </c>
      <c r="L564" s="5" t="s">
        <v>2371</v>
      </c>
      <c r="M564" s="5"/>
      <c r="N564" t="s">
        <v>35</v>
      </c>
      <c r="O564" t="s">
        <v>2372</v>
      </c>
      <c r="S564" t="s">
        <v>230</v>
      </c>
      <c r="T564" s="5" t="s">
        <v>100</v>
      </c>
      <c r="W564">
        <v>94</v>
      </c>
      <c r="X564" t="s">
        <v>1707</v>
      </c>
      <c r="Y564" t="str">
        <f>VLOOKUP(C564,'[1]DBS_KPY Sorumlular'!A:C,2,FALSE)</f>
        <v>Tayfun VİÇE</v>
      </c>
      <c r="Z564" t="str">
        <f>VLOOKUP(C564,'[1]DBS_KPY Sorumlular'!A:C,3,FALSE)</f>
        <v>Mehmet Ali YAVUZ</v>
      </c>
      <c r="AA564" t="str">
        <f>VLOOKUP(K564,[1]!Tablo3[#Data],2,FALSE)</f>
        <v>Kadir TOPÇU</v>
      </c>
    </row>
    <row r="565" spans="1:27" x14ac:dyDescent="0.25">
      <c r="A565">
        <v>1861</v>
      </c>
      <c r="B565" t="s">
        <v>1419</v>
      </c>
      <c r="C565" t="s">
        <v>1674</v>
      </c>
      <c r="D565" t="s">
        <v>1700</v>
      </c>
      <c r="F565" t="s">
        <v>95</v>
      </c>
      <c r="G565" t="s">
        <v>291</v>
      </c>
      <c r="H565" t="s">
        <v>2373</v>
      </c>
      <c r="I565" s="4"/>
      <c r="J565" t="s">
        <v>1996</v>
      </c>
      <c r="K565" t="s">
        <v>226</v>
      </c>
      <c r="L565" s="5" t="s">
        <v>2374</v>
      </c>
      <c r="M565" s="5"/>
      <c r="N565" t="s">
        <v>1824</v>
      </c>
      <c r="O565" t="s">
        <v>2375</v>
      </c>
      <c r="S565" t="s">
        <v>230</v>
      </c>
      <c r="T565" s="5" t="s">
        <v>100</v>
      </c>
      <c r="W565">
        <v>28</v>
      </c>
      <c r="X565" t="s">
        <v>667</v>
      </c>
      <c r="Y565" t="str">
        <f>VLOOKUP(C565,'[1]DBS_KPY Sorumlular'!A:C,2,FALSE)</f>
        <v>Kadir TOPÇU</v>
      </c>
      <c r="Z565" t="str">
        <f>VLOOKUP(C565,'[1]DBS_KPY Sorumlular'!A:C,3,FALSE)</f>
        <v>Erkan AKDOĞAN</v>
      </c>
      <c r="AA565" t="str">
        <f>VLOOKUP(K565,[1]!Tablo3[#Data],2,FALSE)</f>
        <v>Kadir TOPÇU</v>
      </c>
    </row>
    <row r="566" spans="1:27" x14ac:dyDescent="0.25">
      <c r="A566">
        <v>1862</v>
      </c>
      <c r="B566" t="s">
        <v>1419</v>
      </c>
      <c r="C566" t="s">
        <v>652</v>
      </c>
      <c r="D566" t="s">
        <v>653</v>
      </c>
      <c r="F566" t="s">
        <v>455</v>
      </c>
      <c r="G566" t="s">
        <v>456</v>
      </c>
      <c r="H566" t="s">
        <v>2376</v>
      </c>
      <c r="I566" s="4"/>
      <c r="J566" t="s">
        <v>2377</v>
      </c>
      <c r="K566" t="s">
        <v>226</v>
      </c>
      <c r="L566" s="5"/>
      <c r="M566" s="5"/>
      <c r="N566" t="s">
        <v>35</v>
      </c>
      <c r="O566" t="s">
        <v>2378</v>
      </c>
      <c r="S566" t="s">
        <v>230</v>
      </c>
      <c r="T566" s="5" t="s">
        <v>48</v>
      </c>
      <c r="U566" t="s">
        <v>2379</v>
      </c>
      <c r="V566" t="s">
        <v>2376</v>
      </c>
      <c r="W566">
        <v>144</v>
      </c>
      <c r="X566" t="s">
        <v>463</v>
      </c>
      <c r="Y566" t="str">
        <f>VLOOKUP(C566,'[1]DBS_KPY Sorumlular'!A:C,2,FALSE)</f>
        <v>Seyithan İŞİK</v>
      </c>
      <c r="Z566" t="str">
        <f>VLOOKUP(C566,'[1]DBS_KPY Sorumlular'!A:C,3,FALSE)</f>
        <v>Korhan KÖROĞLU</v>
      </c>
      <c r="AA566" t="str">
        <f>VLOOKUP(K566,[1]!Tablo3[#Data],2,FALSE)</f>
        <v>Kadir TOPÇU</v>
      </c>
    </row>
    <row r="567" spans="1:27" x14ac:dyDescent="0.25">
      <c r="A567">
        <v>1864</v>
      </c>
      <c r="B567" t="s">
        <v>27</v>
      </c>
      <c r="C567" t="s">
        <v>40</v>
      </c>
      <c r="D567" t="s">
        <v>65</v>
      </c>
      <c r="F567" t="s">
        <v>66</v>
      </c>
      <c r="G567" t="s">
        <v>30</v>
      </c>
      <c r="H567" t="s">
        <v>2380</v>
      </c>
      <c r="I567" s="4">
        <v>45844.875</v>
      </c>
      <c r="J567" t="s">
        <v>2381</v>
      </c>
      <c r="K567" t="s">
        <v>226</v>
      </c>
      <c r="L567" s="5"/>
      <c r="M567" s="5"/>
      <c r="N567" t="s">
        <v>82</v>
      </c>
      <c r="O567" t="s">
        <v>2382</v>
      </c>
      <c r="R567">
        <v>1</v>
      </c>
      <c r="S567" t="s">
        <v>230</v>
      </c>
      <c r="T567" s="5" t="s">
        <v>48</v>
      </c>
      <c r="U567" t="s">
        <v>2383</v>
      </c>
      <c r="V567" t="s">
        <v>2384</v>
      </c>
      <c r="W567">
        <v>207</v>
      </c>
      <c r="X567" t="s">
        <v>472</v>
      </c>
      <c r="Y567" t="str">
        <f>VLOOKUP(C567,'[1]DBS_KPY Sorumlular'!A:C,2,FALSE)</f>
        <v>Mustafa AYDIN</v>
      </c>
      <c r="Z567" t="str">
        <f>VLOOKUP(C567,'[1]DBS_KPY Sorumlular'!A:C,3,FALSE)</f>
        <v>Esra DOLAN</v>
      </c>
      <c r="AA567" t="str">
        <f>VLOOKUP(K567,[1]!Tablo3[#Data],2,FALSE)</f>
        <v>Kadir TOPÇU</v>
      </c>
    </row>
    <row r="568" spans="1:27" x14ac:dyDescent="0.25">
      <c r="A568">
        <v>1865</v>
      </c>
      <c r="B568" t="s">
        <v>1419</v>
      </c>
      <c r="C568" t="s">
        <v>1674</v>
      </c>
      <c r="D568" t="s">
        <v>1717</v>
      </c>
      <c r="F568" t="s">
        <v>113</v>
      </c>
      <c r="G568" t="s">
        <v>43</v>
      </c>
      <c r="H568" t="s">
        <v>2385</v>
      </c>
      <c r="I568" s="4"/>
      <c r="J568" t="s">
        <v>2386</v>
      </c>
      <c r="K568" t="s">
        <v>226</v>
      </c>
      <c r="L568" s="5"/>
      <c r="M568" s="5"/>
      <c r="N568" t="s">
        <v>35</v>
      </c>
      <c r="O568" t="s">
        <v>2387</v>
      </c>
      <c r="S568" t="s">
        <v>230</v>
      </c>
      <c r="T568" s="5" t="s">
        <v>48</v>
      </c>
      <c r="U568" t="s">
        <v>2388</v>
      </c>
      <c r="V568" t="s">
        <v>2389</v>
      </c>
      <c r="W568">
        <v>87</v>
      </c>
      <c r="X568" t="s">
        <v>119</v>
      </c>
      <c r="Y568" t="str">
        <f>VLOOKUP(C568,'[1]DBS_KPY Sorumlular'!A:C,2,FALSE)</f>
        <v>Kadir TOPÇU</v>
      </c>
      <c r="Z568" t="str">
        <f>VLOOKUP(C568,'[1]DBS_KPY Sorumlular'!A:C,3,FALSE)</f>
        <v>Erkan AKDOĞAN</v>
      </c>
      <c r="AA568" t="str">
        <f>VLOOKUP(K568,[1]!Tablo3[#Data],2,FALSE)</f>
        <v>Kadir TOPÇU</v>
      </c>
    </row>
    <row r="569" spans="1:27" x14ac:dyDescent="0.25">
      <c r="A569">
        <v>1866</v>
      </c>
      <c r="B569" t="s">
        <v>1419</v>
      </c>
      <c r="C569" t="s">
        <v>73</v>
      </c>
      <c r="D569" t="s">
        <v>73</v>
      </c>
      <c r="F569" t="s">
        <v>74</v>
      </c>
      <c r="G569" t="s">
        <v>30</v>
      </c>
      <c r="H569" t="s">
        <v>511</v>
      </c>
      <c r="I569" s="4"/>
      <c r="J569" t="s">
        <v>2390</v>
      </c>
      <c r="K569" t="s">
        <v>226</v>
      </c>
      <c r="L569" s="5"/>
      <c r="M569" s="5"/>
      <c r="N569" t="s">
        <v>35</v>
      </c>
      <c r="O569" t="s">
        <v>2391</v>
      </c>
      <c r="S569" t="s">
        <v>230</v>
      </c>
      <c r="T569" s="5" t="s">
        <v>38</v>
      </c>
      <c r="Y569" t="str">
        <f>VLOOKUP(C569,'[1]DBS_KPY Sorumlular'!A:C,2,FALSE)</f>
        <v>Ayşegül AKGÜL</v>
      </c>
      <c r="Z569" t="str">
        <f>VLOOKUP(C569,'[1]DBS_KPY Sorumlular'!A:C,3,FALSE)</f>
        <v>Sinan ERDAŞ</v>
      </c>
      <c r="AA569" t="str">
        <f>VLOOKUP(K569,[1]!Tablo3[#Data],2,FALSE)</f>
        <v>Kadir TOPÇU</v>
      </c>
    </row>
    <row r="570" spans="1:27" x14ac:dyDescent="0.25">
      <c r="A570">
        <v>1867</v>
      </c>
      <c r="B570" t="s">
        <v>1419</v>
      </c>
      <c r="C570" t="s">
        <v>73</v>
      </c>
      <c r="D570" t="s">
        <v>73</v>
      </c>
      <c r="F570" t="s">
        <v>74</v>
      </c>
      <c r="G570" t="s">
        <v>30</v>
      </c>
      <c r="H570" t="s">
        <v>2392</v>
      </c>
      <c r="I570" s="4"/>
      <c r="J570" t="s">
        <v>400</v>
      </c>
      <c r="K570" t="s">
        <v>226</v>
      </c>
      <c r="L570" s="5"/>
      <c r="M570" s="5"/>
      <c r="N570" t="s">
        <v>35</v>
      </c>
      <c r="O570" t="s">
        <v>2393</v>
      </c>
      <c r="S570" t="s">
        <v>230</v>
      </c>
      <c r="T570" s="5" t="s">
        <v>38</v>
      </c>
      <c r="Y570" t="str">
        <f>VLOOKUP(C570,'[1]DBS_KPY Sorumlular'!A:C,2,FALSE)</f>
        <v>Ayşegül AKGÜL</v>
      </c>
      <c r="Z570" t="str">
        <f>VLOOKUP(C570,'[1]DBS_KPY Sorumlular'!A:C,3,FALSE)</f>
        <v>Sinan ERDAŞ</v>
      </c>
      <c r="AA570" t="str">
        <f>VLOOKUP(K570,[1]!Tablo3[#Data],2,FALSE)</f>
        <v>Kadir TOPÇU</v>
      </c>
    </row>
    <row r="571" spans="1:27" x14ac:dyDescent="0.25">
      <c r="A571">
        <v>1868</v>
      </c>
      <c r="B571" t="s">
        <v>27</v>
      </c>
      <c r="C571" t="s">
        <v>73</v>
      </c>
      <c r="D571" t="s">
        <v>73</v>
      </c>
      <c r="F571" t="s">
        <v>383</v>
      </c>
      <c r="G571" t="s">
        <v>384</v>
      </c>
      <c r="H571" t="s">
        <v>2394</v>
      </c>
      <c r="I571" s="4">
        <v>45094.875</v>
      </c>
      <c r="J571" t="s">
        <v>2395</v>
      </c>
      <c r="K571" t="s">
        <v>226</v>
      </c>
      <c r="L571" s="5"/>
      <c r="M571" s="5"/>
      <c r="N571" t="s">
        <v>35</v>
      </c>
      <c r="O571" t="s">
        <v>2396</v>
      </c>
      <c r="R571">
        <v>1</v>
      </c>
      <c r="S571" t="s">
        <v>230</v>
      </c>
      <c r="T571" s="5" t="s">
        <v>38</v>
      </c>
      <c r="Y571" t="str">
        <f>VLOOKUP(C571,'[1]DBS_KPY Sorumlular'!A:C,2,FALSE)</f>
        <v>Ayşegül AKGÜL</v>
      </c>
      <c r="Z571" t="str">
        <f>VLOOKUP(C571,'[1]DBS_KPY Sorumlular'!A:C,3,FALSE)</f>
        <v>Sinan ERDAŞ</v>
      </c>
      <c r="AA571" t="str">
        <f>VLOOKUP(K571,[1]!Tablo3[#Data],2,FALSE)</f>
        <v>Kadir TOPÇU</v>
      </c>
    </row>
    <row r="572" spans="1:27" x14ac:dyDescent="0.25">
      <c r="A572">
        <v>1869</v>
      </c>
      <c r="B572" t="s">
        <v>1419</v>
      </c>
      <c r="C572" t="s">
        <v>73</v>
      </c>
      <c r="D572" t="s">
        <v>73</v>
      </c>
      <c r="E572" t="s">
        <v>305</v>
      </c>
      <c r="F572" t="s">
        <v>383</v>
      </c>
      <c r="G572" t="s">
        <v>384</v>
      </c>
      <c r="H572" t="s">
        <v>2397</v>
      </c>
      <c r="I572" s="4">
        <v>46371.875</v>
      </c>
      <c r="J572" t="s">
        <v>2398</v>
      </c>
      <c r="K572" t="s">
        <v>226</v>
      </c>
      <c r="L572" s="5"/>
      <c r="M572" s="5"/>
      <c r="N572" t="s">
        <v>35</v>
      </c>
      <c r="O572" t="s">
        <v>2399</v>
      </c>
      <c r="S572" t="s">
        <v>230</v>
      </c>
      <c r="T572" s="5" t="s">
        <v>38</v>
      </c>
      <c r="Y572" t="str">
        <f>VLOOKUP(C572,'[1]DBS_KPY Sorumlular'!A:C,2,FALSE)</f>
        <v>Ayşegül AKGÜL</v>
      </c>
      <c r="Z572" t="str">
        <f>VLOOKUP(C572,'[1]DBS_KPY Sorumlular'!A:C,3,FALSE)</f>
        <v>Sinan ERDAŞ</v>
      </c>
      <c r="AA572" t="str">
        <f>VLOOKUP(K572,[1]!Tablo3[#Data],2,FALSE)</f>
        <v>Kadir TOPÇU</v>
      </c>
    </row>
    <row r="573" spans="1:27" x14ac:dyDescent="0.25">
      <c r="A573">
        <v>1870</v>
      </c>
      <c r="B573" t="s">
        <v>1419</v>
      </c>
      <c r="C573" t="s">
        <v>73</v>
      </c>
      <c r="D573" t="s">
        <v>73</v>
      </c>
      <c r="F573" t="s">
        <v>42</v>
      </c>
      <c r="G573" t="s">
        <v>30</v>
      </c>
      <c r="H573" t="s">
        <v>2400</v>
      </c>
      <c r="I573" s="4"/>
      <c r="J573" t="s">
        <v>2401</v>
      </c>
      <c r="K573" t="s">
        <v>226</v>
      </c>
      <c r="L573" s="5"/>
      <c r="M573" s="5"/>
      <c r="N573" t="s">
        <v>35</v>
      </c>
      <c r="O573" t="s">
        <v>2402</v>
      </c>
      <c r="S573" t="s">
        <v>230</v>
      </c>
      <c r="T573" s="5" t="s">
        <v>38</v>
      </c>
      <c r="Y573" t="str">
        <f>VLOOKUP(C573,'[1]DBS_KPY Sorumlular'!A:C,2,FALSE)</f>
        <v>Ayşegül AKGÜL</v>
      </c>
      <c r="Z573" t="str">
        <f>VLOOKUP(C573,'[1]DBS_KPY Sorumlular'!A:C,3,FALSE)</f>
        <v>Sinan ERDAŞ</v>
      </c>
      <c r="AA573" t="str">
        <f>VLOOKUP(K573,[1]!Tablo3[#Data],2,FALSE)</f>
        <v>Kadir TOPÇU</v>
      </c>
    </row>
    <row r="574" spans="1:27" x14ac:dyDescent="0.25">
      <c r="A574">
        <v>1871</v>
      </c>
      <c r="B574" t="s">
        <v>1419</v>
      </c>
      <c r="C574" t="s">
        <v>40</v>
      </c>
      <c r="D574" t="s">
        <v>41</v>
      </c>
      <c r="F574" t="s">
        <v>113</v>
      </c>
      <c r="G574" t="s">
        <v>43</v>
      </c>
      <c r="H574" t="s">
        <v>2403</v>
      </c>
      <c r="I574" s="4"/>
      <c r="K574" t="s">
        <v>534</v>
      </c>
      <c r="L574" s="5"/>
      <c r="M574" s="5"/>
      <c r="N574" t="s">
        <v>35</v>
      </c>
      <c r="O574" t="s">
        <v>2404</v>
      </c>
      <c r="S574" t="s">
        <v>57</v>
      </c>
      <c r="T574" s="5" t="s">
        <v>48</v>
      </c>
      <c r="U574" t="s">
        <v>2405</v>
      </c>
      <c r="V574" t="s">
        <v>2406</v>
      </c>
      <c r="W574">
        <v>169</v>
      </c>
      <c r="X574" t="s">
        <v>1480</v>
      </c>
      <c r="Y574" t="str">
        <f>VLOOKUP(C574,'[1]DBS_KPY Sorumlular'!A:C,2,FALSE)</f>
        <v>Mustafa AYDIN</v>
      </c>
      <c r="Z574" t="str">
        <f>VLOOKUP(C574,'[1]DBS_KPY Sorumlular'!A:C,3,FALSE)</f>
        <v>Esra DOLAN</v>
      </c>
      <c r="AA574" t="str">
        <f>VLOOKUP(K574,[1]!Tablo3[#Data],2,FALSE)</f>
        <v>Erkan AKDOĞAN</v>
      </c>
    </row>
    <row r="575" spans="1:27" x14ac:dyDescent="0.25">
      <c r="A575">
        <v>1872</v>
      </c>
      <c r="B575" t="s">
        <v>1419</v>
      </c>
      <c r="C575" t="s">
        <v>40</v>
      </c>
      <c r="D575" t="s">
        <v>65</v>
      </c>
      <c r="F575" t="s">
        <v>66</v>
      </c>
      <c r="G575" t="s">
        <v>67</v>
      </c>
      <c r="H575" t="s">
        <v>2407</v>
      </c>
      <c r="I575" s="4"/>
      <c r="J575" t="s">
        <v>2408</v>
      </c>
      <c r="K575" t="s">
        <v>534</v>
      </c>
      <c r="L575" s="5"/>
      <c r="M575" s="5"/>
      <c r="N575" t="s">
        <v>35</v>
      </c>
      <c r="O575" t="s">
        <v>2409</v>
      </c>
      <c r="S575" t="s">
        <v>57</v>
      </c>
      <c r="T575" s="5" t="s">
        <v>48</v>
      </c>
      <c r="U575" t="s">
        <v>2410</v>
      </c>
      <c r="V575" t="s">
        <v>2411</v>
      </c>
      <c r="W575">
        <v>208</v>
      </c>
      <c r="X575" t="s">
        <v>594</v>
      </c>
      <c r="Y575" t="str">
        <f>VLOOKUP(C575,'[1]DBS_KPY Sorumlular'!A:C,2,FALSE)</f>
        <v>Mustafa AYDIN</v>
      </c>
      <c r="Z575" t="str">
        <f>VLOOKUP(C575,'[1]DBS_KPY Sorumlular'!A:C,3,FALSE)</f>
        <v>Esra DOLAN</v>
      </c>
      <c r="AA575" t="str">
        <f>VLOOKUP(K575,[1]!Tablo3[#Data],2,FALSE)</f>
        <v>Erkan AKDOĞAN</v>
      </c>
    </row>
    <row r="576" spans="1:27" x14ac:dyDescent="0.25">
      <c r="A576">
        <v>1873</v>
      </c>
      <c r="B576" t="s">
        <v>1419</v>
      </c>
      <c r="C576" t="s">
        <v>304</v>
      </c>
      <c r="D576" t="s">
        <v>305</v>
      </c>
      <c r="F576" t="s">
        <v>66</v>
      </c>
      <c r="G576" t="s">
        <v>67</v>
      </c>
      <c r="H576" t="s">
        <v>2412</v>
      </c>
      <c r="I576" s="4"/>
      <c r="J576" t="s">
        <v>2413</v>
      </c>
      <c r="K576" t="s">
        <v>534</v>
      </c>
      <c r="L576" s="5" t="s">
        <v>2414</v>
      </c>
      <c r="M576" s="5"/>
      <c r="N576" t="s">
        <v>35</v>
      </c>
      <c r="O576" t="s">
        <v>2415</v>
      </c>
      <c r="S576" t="s">
        <v>57</v>
      </c>
      <c r="T576" s="5" t="s">
        <v>38</v>
      </c>
      <c r="Y576" t="str">
        <f>VLOOKUP(C576,'[1]DBS_KPY Sorumlular'!A:C,2,FALSE)</f>
        <v>Erkan AKDOĞAN</v>
      </c>
      <c r="Z576" t="str">
        <f>VLOOKUP(C576,'[1]DBS_KPY Sorumlular'!A:C,3,FALSE)</f>
        <v>Kadir TOPÇU</v>
      </c>
      <c r="AA576" t="str">
        <f>VLOOKUP(K576,[1]!Tablo3[#Data],2,FALSE)</f>
        <v>Erkan AKDOĞAN</v>
      </c>
    </row>
    <row r="577" spans="1:27" x14ac:dyDescent="0.25">
      <c r="A577">
        <v>1874</v>
      </c>
      <c r="B577" t="s">
        <v>1419</v>
      </c>
      <c r="C577" t="s">
        <v>73</v>
      </c>
      <c r="D577" t="s">
        <v>73</v>
      </c>
      <c r="F577" t="s">
        <v>74</v>
      </c>
      <c r="G577" t="s">
        <v>30</v>
      </c>
      <c r="H577" t="s">
        <v>2416</v>
      </c>
      <c r="I577" s="4"/>
      <c r="J577" t="s">
        <v>2417</v>
      </c>
      <c r="K577" t="s">
        <v>534</v>
      </c>
      <c r="L577" s="5" t="s">
        <v>2418</v>
      </c>
      <c r="M577" s="5"/>
      <c r="N577" t="s">
        <v>35</v>
      </c>
      <c r="O577" t="s">
        <v>2419</v>
      </c>
      <c r="S577" t="s">
        <v>57</v>
      </c>
      <c r="T577" s="5" t="s">
        <v>38</v>
      </c>
      <c r="Y577" t="str">
        <f>VLOOKUP(C577,'[1]DBS_KPY Sorumlular'!A:C,2,FALSE)</f>
        <v>Ayşegül AKGÜL</v>
      </c>
      <c r="Z577" t="str">
        <f>VLOOKUP(C577,'[1]DBS_KPY Sorumlular'!A:C,3,FALSE)</f>
        <v>Sinan ERDAŞ</v>
      </c>
      <c r="AA577" t="str">
        <f>VLOOKUP(K577,[1]!Tablo3[#Data],2,FALSE)</f>
        <v>Erkan AKDOĞAN</v>
      </c>
    </row>
    <row r="578" spans="1:27" x14ac:dyDescent="0.25">
      <c r="A578">
        <v>1875</v>
      </c>
      <c r="B578" t="s">
        <v>27</v>
      </c>
      <c r="C578" t="s">
        <v>40</v>
      </c>
      <c r="D578" t="s">
        <v>65</v>
      </c>
      <c r="F578" t="s">
        <v>66</v>
      </c>
      <c r="G578" t="s">
        <v>30</v>
      </c>
      <c r="H578" t="s">
        <v>2420</v>
      </c>
      <c r="I578" s="4">
        <v>45837.875</v>
      </c>
      <c r="J578" t="s">
        <v>2421</v>
      </c>
      <c r="K578" t="s">
        <v>534</v>
      </c>
      <c r="L578" s="5"/>
      <c r="M578" s="5"/>
      <c r="N578" t="s">
        <v>46</v>
      </c>
      <c r="O578" t="s">
        <v>2422</v>
      </c>
      <c r="R578">
        <v>0.99</v>
      </c>
      <c r="S578" t="s">
        <v>57</v>
      </c>
      <c r="T578" s="5" t="s">
        <v>48</v>
      </c>
      <c r="U578" t="s">
        <v>2423</v>
      </c>
      <c r="V578" t="s">
        <v>2424</v>
      </c>
      <c r="W578">
        <v>207</v>
      </c>
      <c r="X578" t="s">
        <v>472</v>
      </c>
      <c r="Y578" t="str">
        <f>VLOOKUP(C578,'[1]DBS_KPY Sorumlular'!A:C,2,FALSE)</f>
        <v>Mustafa AYDIN</v>
      </c>
      <c r="Z578" t="str">
        <f>VLOOKUP(C578,'[1]DBS_KPY Sorumlular'!A:C,3,FALSE)</f>
        <v>Esra DOLAN</v>
      </c>
      <c r="AA578" t="str">
        <f>VLOOKUP(K578,[1]!Tablo3[#Data],2,FALSE)</f>
        <v>Erkan AKDOĞAN</v>
      </c>
    </row>
    <row r="579" spans="1:27" x14ac:dyDescent="0.25">
      <c r="A579">
        <v>1876</v>
      </c>
      <c r="B579" t="s">
        <v>1419</v>
      </c>
      <c r="C579" t="s">
        <v>893</v>
      </c>
      <c r="D579" t="s">
        <v>902</v>
      </c>
      <c r="F579" t="s">
        <v>2425</v>
      </c>
      <c r="G579" t="s">
        <v>30</v>
      </c>
      <c r="H579" t="s">
        <v>2426</v>
      </c>
      <c r="I579" s="4"/>
      <c r="J579" t="s">
        <v>2427</v>
      </c>
      <c r="K579" t="s">
        <v>534</v>
      </c>
      <c r="L579" s="5" t="s">
        <v>2428</v>
      </c>
      <c r="M579" s="5"/>
      <c r="N579" t="s">
        <v>35</v>
      </c>
      <c r="O579" t="s">
        <v>2429</v>
      </c>
      <c r="S579" t="s">
        <v>57</v>
      </c>
      <c r="T579" s="5" t="s">
        <v>38</v>
      </c>
      <c r="W579">
        <v>184</v>
      </c>
      <c r="X579" t="s">
        <v>901</v>
      </c>
      <c r="Y579" t="str">
        <f>VLOOKUP(C579,'[1]DBS_KPY Sorumlular'!A:C,2,FALSE)</f>
        <v>Seyithan İŞİK</v>
      </c>
      <c r="Z579" t="str">
        <f>VLOOKUP(C579,'[1]DBS_KPY Sorumlular'!A:C,3,FALSE)</f>
        <v>Korhan KÖROĞLU</v>
      </c>
      <c r="AA579" t="str">
        <f>VLOOKUP(K579,[1]!Tablo3[#Data],2,FALSE)</f>
        <v>Erkan AKDOĞAN</v>
      </c>
    </row>
    <row r="580" spans="1:27" x14ac:dyDescent="0.25">
      <c r="A580">
        <v>1877</v>
      </c>
      <c r="B580" t="s">
        <v>1419</v>
      </c>
      <c r="C580" t="s">
        <v>73</v>
      </c>
      <c r="D580" t="s">
        <v>73</v>
      </c>
      <c r="F580" t="s">
        <v>74</v>
      </c>
      <c r="G580" t="s">
        <v>30</v>
      </c>
      <c r="H580" t="s">
        <v>552</v>
      </c>
      <c r="I580" s="4"/>
      <c r="J580" t="s">
        <v>2430</v>
      </c>
      <c r="K580" t="s">
        <v>534</v>
      </c>
      <c r="L580" s="5"/>
      <c r="M580" s="5"/>
      <c r="N580" t="s">
        <v>35</v>
      </c>
      <c r="O580" t="s">
        <v>2431</v>
      </c>
      <c r="S580" t="s">
        <v>57</v>
      </c>
      <c r="T580" s="5" t="s">
        <v>38</v>
      </c>
      <c r="Y580" t="str">
        <f>VLOOKUP(C580,'[1]DBS_KPY Sorumlular'!A:C,2,FALSE)</f>
        <v>Ayşegül AKGÜL</v>
      </c>
      <c r="Z580" t="str">
        <f>VLOOKUP(C580,'[1]DBS_KPY Sorumlular'!A:C,3,FALSE)</f>
        <v>Sinan ERDAŞ</v>
      </c>
      <c r="AA580" t="str">
        <f>VLOOKUP(K580,[1]!Tablo3[#Data],2,FALSE)</f>
        <v>Erkan AKDOĞAN</v>
      </c>
    </row>
    <row r="581" spans="1:27" x14ac:dyDescent="0.25">
      <c r="A581">
        <v>1878</v>
      </c>
      <c r="B581" t="s">
        <v>1419</v>
      </c>
      <c r="C581" t="s">
        <v>73</v>
      </c>
      <c r="D581" t="s">
        <v>73</v>
      </c>
      <c r="F581" t="s">
        <v>455</v>
      </c>
      <c r="G581" t="s">
        <v>456</v>
      </c>
      <c r="H581" t="s">
        <v>2432</v>
      </c>
      <c r="I581" s="4"/>
      <c r="J581" t="s">
        <v>2433</v>
      </c>
      <c r="K581" t="s">
        <v>534</v>
      </c>
      <c r="L581" s="5"/>
      <c r="M581" s="5"/>
      <c r="N581" t="s">
        <v>35</v>
      </c>
      <c r="O581" t="s">
        <v>2434</v>
      </c>
      <c r="S581" t="s">
        <v>57</v>
      </c>
      <c r="T581" s="5" t="s">
        <v>38</v>
      </c>
      <c r="Y581" t="str">
        <f>VLOOKUP(C581,'[1]DBS_KPY Sorumlular'!A:C,2,FALSE)</f>
        <v>Ayşegül AKGÜL</v>
      </c>
      <c r="Z581" t="str">
        <f>VLOOKUP(C581,'[1]DBS_KPY Sorumlular'!A:C,3,FALSE)</f>
        <v>Sinan ERDAŞ</v>
      </c>
      <c r="AA581" t="str">
        <f>VLOOKUP(K581,[1]!Tablo3[#Data],2,FALSE)</f>
        <v>Erkan AKDOĞAN</v>
      </c>
    </row>
    <row r="582" spans="1:27" x14ac:dyDescent="0.25">
      <c r="A582">
        <v>1879</v>
      </c>
      <c r="B582" t="s">
        <v>1419</v>
      </c>
      <c r="C582" t="s">
        <v>73</v>
      </c>
      <c r="D582" t="s">
        <v>73</v>
      </c>
      <c r="F582" t="s">
        <v>455</v>
      </c>
      <c r="G582" t="s">
        <v>456</v>
      </c>
      <c r="H582" t="s">
        <v>2435</v>
      </c>
      <c r="I582" s="4"/>
      <c r="J582" t="s">
        <v>2436</v>
      </c>
      <c r="K582" t="s">
        <v>534</v>
      </c>
      <c r="L582" s="5"/>
      <c r="M582" s="5"/>
      <c r="N582" t="s">
        <v>35</v>
      </c>
      <c r="O582" t="s">
        <v>2437</v>
      </c>
      <c r="S582" t="s">
        <v>57</v>
      </c>
      <c r="T582" s="5" t="s">
        <v>38</v>
      </c>
      <c r="Y582" t="str">
        <f>VLOOKUP(C582,'[1]DBS_KPY Sorumlular'!A:C,2,FALSE)</f>
        <v>Ayşegül AKGÜL</v>
      </c>
      <c r="Z582" t="str">
        <f>VLOOKUP(C582,'[1]DBS_KPY Sorumlular'!A:C,3,FALSE)</f>
        <v>Sinan ERDAŞ</v>
      </c>
      <c r="AA582" t="str">
        <f>VLOOKUP(K582,[1]!Tablo3[#Data],2,FALSE)</f>
        <v>Erkan AKDOĞAN</v>
      </c>
    </row>
    <row r="583" spans="1:27" x14ac:dyDescent="0.25">
      <c r="A583">
        <v>1880</v>
      </c>
      <c r="B583" t="s">
        <v>1419</v>
      </c>
      <c r="C583" t="s">
        <v>1674</v>
      </c>
      <c r="D583" t="s">
        <v>1700</v>
      </c>
      <c r="F583" t="s">
        <v>95</v>
      </c>
      <c r="G583" t="s">
        <v>96</v>
      </c>
      <c r="H583" t="s">
        <v>2438</v>
      </c>
      <c r="I583" s="4"/>
      <c r="J583" t="s">
        <v>2439</v>
      </c>
      <c r="K583" t="s">
        <v>534</v>
      </c>
      <c r="L583" s="5" t="s">
        <v>2440</v>
      </c>
      <c r="M583" s="5"/>
      <c r="N583" t="s">
        <v>35</v>
      </c>
      <c r="O583" t="s">
        <v>2441</v>
      </c>
      <c r="S583" t="s">
        <v>57</v>
      </c>
      <c r="T583" s="5" t="s">
        <v>48</v>
      </c>
      <c r="U583" t="s">
        <v>2442</v>
      </c>
      <c r="V583" t="s">
        <v>2438</v>
      </c>
      <c r="W583">
        <v>28</v>
      </c>
      <c r="X583" t="s">
        <v>667</v>
      </c>
      <c r="Y583" t="str">
        <f>VLOOKUP(C583,'[1]DBS_KPY Sorumlular'!A:C,2,FALSE)</f>
        <v>Kadir TOPÇU</v>
      </c>
      <c r="Z583" t="str">
        <f>VLOOKUP(C583,'[1]DBS_KPY Sorumlular'!A:C,3,FALSE)</f>
        <v>Erkan AKDOĞAN</v>
      </c>
      <c r="AA583" t="str">
        <f>VLOOKUP(K583,[1]!Tablo3[#Data],2,FALSE)</f>
        <v>Erkan AKDOĞAN</v>
      </c>
    </row>
    <row r="584" spans="1:27" x14ac:dyDescent="0.25">
      <c r="A584">
        <v>1881</v>
      </c>
      <c r="B584" t="s">
        <v>1419</v>
      </c>
      <c r="C584" t="s">
        <v>1674</v>
      </c>
      <c r="D584" t="s">
        <v>1717</v>
      </c>
      <c r="F584" t="s">
        <v>113</v>
      </c>
      <c r="G584" t="s">
        <v>43</v>
      </c>
      <c r="H584" t="s">
        <v>2443</v>
      </c>
      <c r="I584" s="4"/>
      <c r="J584" t="s">
        <v>2444</v>
      </c>
      <c r="K584" t="s">
        <v>534</v>
      </c>
      <c r="L584" s="5"/>
      <c r="M584" s="5"/>
      <c r="N584" t="s">
        <v>35</v>
      </c>
      <c r="O584" t="s">
        <v>2445</v>
      </c>
      <c r="S584" t="s">
        <v>57</v>
      </c>
      <c r="T584" s="5" t="s">
        <v>48</v>
      </c>
      <c r="U584" t="s">
        <v>2446</v>
      </c>
      <c r="V584" t="s">
        <v>2443</v>
      </c>
      <c r="W584">
        <v>169</v>
      </c>
      <c r="X584" t="s">
        <v>1480</v>
      </c>
      <c r="Y584" t="str">
        <f>VLOOKUP(C584,'[1]DBS_KPY Sorumlular'!A:C,2,FALSE)</f>
        <v>Kadir TOPÇU</v>
      </c>
      <c r="Z584" t="str">
        <f>VLOOKUP(C584,'[1]DBS_KPY Sorumlular'!A:C,3,FALSE)</f>
        <v>Erkan AKDOĞAN</v>
      </c>
      <c r="AA584" t="str">
        <f>VLOOKUP(K584,[1]!Tablo3[#Data],2,FALSE)</f>
        <v>Erkan AKDOĞAN</v>
      </c>
    </row>
    <row r="585" spans="1:27" x14ac:dyDescent="0.25">
      <c r="A585">
        <v>1882</v>
      </c>
      <c r="B585" t="s">
        <v>1419</v>
      </c>
      <c r="C585" t="s">
        <v>73</v>
      </c>
      <c r="D585" t="s">
        <v>73</v>
      </c>
      <c r="F585" t="s">
        <v>74</v>
      </c>
      <c r="G585" t="s">
        <v>30</v>
      </c>
      <c r="H585" t="s">
        <v>2447</v>
      </c>
      <c r="I585" s="4"/>
      <c r="J585" t="s">
        <v>664</v>
      </c>
      <c r="K585" t="s">
        <v>568</v>
      </c>
      <c r="L585" s="5"/>
      <c r="M585" s="5"/>
      <c r="N585" t="s">
        <v>35</v>
      </c>
      <c r="O585" t="s">
        <v>2448</v>
      </c>
      <c r="S585" t="s">
        <v>57</v>
      </c>
      <c r="T585" s="5" t="s">
        <v>38</v>
      </c>
      <c r="Y585" t="str">
        <f>VLOOKUP(C585,'[1]DBS_KPY Sorumlular'!A:C,2,FALSE)</f>
        <v>Ayşegül AKGÜL</v>
      </c>
      <c r="Z585" t="str">
        <f>VLOOKUP(C585,'[1]DBS_KPY Sorumlular'!A:C,3,FALSE)</f>
        <v>Sinan ERDAŞ</v>
      </c>
      <c r="AA585" t="str">
        <f>VLOOKUP(K585,[1]!Tablo3[#Data],2,FALSE)</f>
        <v>Erkan AKDOĞAN</v>
      </c>
    </row>
    <row r="586" spans="1:27" x14ac:dyDescent="0.25">
      <c r="A586">
        <v>1883</v>
      </c>
      <c r="B586" t="s">
        <v>1419</v>
      </c>
      <c r="C586" t="s">
        <v>73</v>
      </c>
      <c r="D586" t="s">
        <v>73</v>
      </c>
      <c r="F586" t="s">
        <v>74</v>
      </c>
      <c r="G586" t="s">
        <v>30</v>
      </c>
      <c r="H586" t="s">
        <v>2449</v>
      </c>
      <c r="I586" s="4"/>
      <c r="J586" t="s">
        <v>2450</v>
      </c>
      <c r="K586" t="s">
        <v>568</v>
      </c>
      <c r="L586" s="5"/>
      <c r="M586" s="5"/>
      <c r="N586" t="s">
        <v>35</v>
      </c>
      <c r="O586" t="s">
        <v>2451</v>
      </c>
      <c r="S586" t="s">
        <v>57</v>
      </c>
      <c r="T586" s="5" t="s">
        <v>38</v>
      </c>
      <c r="Y586" t="str">
        <f>VLOOKUP(C586,'[1]DBS_KPY Sorumlular'!A:C,2,FALSE)</f>
        <v>Ayşegül AKGÜL</v>
      </c>
      <c r="Z586" t="str">
        <f>VLOOKUP(C586,'[1]DBS_KPY Sorumlular'!A:C,3,FALSE)</f>
        <v>Sinan ERDAŞ</v>
      </c>
      <c r="AA586" t="str">
        <f>VLOOKUP(K586,[1]!Tablo3[#Data],2,FALSE)</f>
        <v>Erkan AKDOĞAN</v>
      </c>
    </row>
    <row r="587" spans="1:27" x14ac:dyDescent="0.25">
      <c r="A587">
        <v>1884</v>
      </c>
      <c r="B587" t="s">
        <v>1419</v>
      </c>
      <c r="C587" t="s">
        <v>73</v>
      </c>
      <c r="D587" t="s">
        <v>73</v>
      </c>
      <c r="F587" t="s">
        <v>74</v>
      </c>
      <c r="G587" t="s">
        <v>30</v>
      </c>
      <c r="H587" t="s">
        <v>2452</v>
      </c>
      <c r="I587" s="4"/>
      <c r="K587" t="s">
        <v>568</v>
      </c>
      <c r="L587" s="5"/>
      <c r="M587" s="5"/>
      <c r="N587" t="s">
        <v>35</v>
      </c>
      <c r="O587" t="s">
        <v>2453</v>
      </c>
      <c r="S587" t="s">
        <v>57</v>
      </c>
      <c r="T587" s="5" t="s">
        <v>38</v>
      </c>
      <c r="Y587" t="str">
        <f>VLOOKUP(C587,'[1]DBS_KPY Sorumlular'!A:C,2,FALSE)</f>
        <v>Ayşegül AKGÜL</v>
      </c>
      <c r="Z587" t="str">
        <f>VLOOKUP(C587,'[1]DBS_KPY Sorumlular'!A:C,3,FALSE)</f>
        <v>Sinan ERDAŞ</v>
      </c>
      <c r="AA587" t="str">
        <f>VLOOKUP(K587,[1]!Tablo3[#Data],2,FALSE)</f>
        <v>Erkan AKDOĞAN</v>
      </c>
    </row>
    <row r="588" spans="1:27" x14ac:dyDescent="0.25">
      <c r="A588">
        <v>1885</v>
      </c>
      <c r="B588" t="s">
        <v>1419</v>
      </c>
      <c r="C588" t="s">
        <v>304</v>
      </c>
      <c r="D588" t="s">
        <v>305</v>
      </c>
      <c r="F588" t="s">
        <v>486</v>
      </c>
      <c r="G588" t="s">
        <v>30</v>
      </c>
      <c r="H588" t="s">
        <v>2454</v>
      </c>
      <c r="I588" s="4"/>
      <c r="J588" t="s">
        <v>2455</v>
      </c>
      <c r="K588" t="s">
        <v>568</v>
      </c>
      <c r="L588" s="5"/>
      <c r="M588" s="5"/>
      <c r="N588" t="s">
        <v>35</v>
      </c>
      <c r="O588" t="s">
        <v>2456</v>
      </c>
      <c r="S588" t="s">
        <v>57</v>
      </c>
      <c r="T588" s="5" t="s">
        <v>38</v>
      </c>
      <c r="Y588" t="str">
        <f>VLOOKUP(C588,'[1]DBS_KPY Sorumlular'!A:C,2,FALSE)</f>
        <v>Erkan AKDOĞAN</v>
      </c>
      <c r="Z588" t="str">
        <f>VLOOKUP(C588,'[1]DBS_KPY Sorumlular'!A:C,3,FALSE)</f>
        <v>Kadir TOPÇU</v>
      </c>
      <c r="AA588" t="str">
        <f>VLOOKUP(K588,[1]!Tablo3[#Data],2,FALSE)</f>
        <v>Erkan AKDOĞAN</v>
      </c>
    </row>
    <row r="589" spans="1:27" x14ac:dyDescent="0.25">
      <c r="A589">
        <v>1886</v>
      </c>
      <c r="B589" t="s">
        <v>1419</v>
      </c>
      <c r="C589" t="s">
        <v>73</v>
      </c>
      <c r="D589" t="s">
        <v>73</v>
      </c>
      <c r="F589" t="s">
        <v>74</v>
      </c>
      <c r="G589" t="s">
        <v>30</v>
      </c>
      <c r="H589" t="s">
        <v>574</v>
      </c>
      <c r="I589" s="4"/>
      <c r="J589" t="s">
        <v>2457</v>
      </c>
      <c r="K589" t="s">
        <v>568</v>
      </c>
      <c r="L589" s="5"/>
      <c r="M589" s="5"/>
      <c r="N589" t="s">
        <v>35</v>
      </c>
      <c r="O589" t="s">
        <v>2458</v>
      </c>
      <c r="S589" t="s">
        <v>57</v>
      </c>
      <c r="T589" s="5" t="s">
        <v>38</v>
      </c>
      <c r="Y589" t="str">
        <f>VLOOKUP(C589,'[1]DBS_KPY Sorumlular'!A:C,2,FALSE)</f>
        <v>Ayşegül AKGÜL</v>
      </c>
      <c r="Z589" t="str">
        <f>VLOOKUP(C589,'[1]DBS_KPY Sorumlular'!A:C,3,FALSE)</f>
        <v>Sinan ERDAŞ</v>
      </c>
      <c r="AA589" t="str">
        <f>VLOOKUP(K589,[1]!Tablo3[#Data],2,FALSE)</f>
        <v>Erkan AKDOĞAN</v>
      </c>
    </row>
    <row r="590" spans="1:27" x14ac:dyDescent="0.25">
      <c r="A590">
        <v>1887</v>
      </c>
      <c r="B590" t="s">
        <v>1419</v>
      </c>
      <c r="C590" t="s">
        <v>73</v>
      </c>
      <c r="D590" t="s">
        <v>73</v>
      </c>
      <c r="F590" t="s">
        <v>74</v>
      </c>
      <c r="G590" t="s">
        <v>30</v>
      </c>
      <c r="H590" t="s">
        <v>2459</v>
      </c>
      <c r="I590" s="4"/>
      <c r="K590" t="s">
        <v>568</v>
      </c>
      <c r="L590" s="5"/>
      <c r="M590" s="5"/>
      <c r="N590" t="s">
        <v>35</v>
      </c>
      <c r="O590" t="s">
        <v>2453</v>
      </c>
      <c r="S590" t="s">
        <v>57</v>
      </c>
      <c r="T590" s="5" t="s">
        <v>38</v>
      </c>
      <c r="Y590" t="str">
        <f>VLOOKUP(C590,'[1]DBS_KPY Sorumlular'!A:C,2,FALSE)</f>
        <v>Ayşegül AKGÜL</v>
      </c>
      <c r="Z590" t="str">
        <f>VLOOKUP(C590,'[1]DBS_KPY Sorumlular'!A:C,3,FALSE)</f>
        <v>Sinan ERDAŞ</v>
      </c>
      <c r="AA590" t="str">
        <f>VLOOKUP(K590,[1]!Tablo3[#Data],2,FALSE)</f>
        <v>Erkan AKDOĞAN</v>
      </c>
    </row>
    <row r="591" spans="1:27" x14ac:dyDescent="0.25">
      <c r="A591">
        <v>1888</v>
      </c>
      <c r="B591" t="s">
        <v>1419</v>
      </c>
      <c r="C591" t="s">
        <v>1674</v>
      </c>
      <c r="D591" t="s">
        <v>1717</v>
      </c>
      <c r="F591" t="s">
        <v>882</v>
      </c>
      <c r="G591" t="s">
        <v>43</v>
      </c>
      <c r="H591" t="s">
        <v>2460</v>
      </c>
      <c r="I591" s="4"/>
      <c r="K591" t="s">
        <v>586</v>
      </c>
      <c r="L591" s="5"/>
      <c r="M591" s="5"/>
      <c r="N591" t="s">
        <v>35</v>
      </c>
      <c r="O591" t="s">
        <v>2461</v>
      </c>
      <c r="S591" t="s">
        <v>37</v>
      </c>
      <c r="T591" s="5" t="s">
        <v>48</v>
      </c>
      <c r="U591" t="s">
        <v>2462</v>
      </c>
      <c r="V591" t="s">
        <v>2463</v>
      </c>
      <c r="W591">
        <v>114</v>
      </c>
      <c r="X591" t="s">
        <v>136</v>
      </c>
      <c r="Y591" t="str">
        <f>VLOOKUP(C591,'[1]DBS_KPY Sorumlular'!A:C,2,FALSE)</f>
        <v>Kadir TOPÇU</v>
      </c>
      <c r="Z591" t="str">
        <f>VLOOKUP(C591,'[1]DBS_KPY Sorumlular'!A:C,3,FALSE)</f>
        <v>Erkan AKDOĞAN</v>
      </c>
      <c r="AA591" t="str">
        <f>VLOOKUP(K591,[1]!Tablo3[#Data],2,FALSE)</f>
        <v>Tayfun VİÇE</v>
      </c>
    </row>
    <row r="592" spans="1:27" x14ac:dyDescent="0.25">
      <c r="A592">
        <v>1889</v>
      </c>
      <c r="B592" t="s">
        <v>1419</v>
      </c>
      <c r="C592" t="s">
        <v>1723</v>
      </c>
      <c r="D592" t="s">
        <v>1751</v>
      </c>
      <c r="F592" t="s">
        <v>537</v>
      </c>
      <c r="G592" t="s">
        <v>96</v>
      </c>
      <c r="H592" t="s">
        <v>2464</v>
      </c>
      <c r="I592" s="4"/>
      <c r="J592" t="s">
        <v>2465</v>
      </c>
      <c r="K592" t="s">
        <v>586</v>
      </c>
      <c r="L592" s="5" t="s">
        <v>2466</v>
      </c>
      <c r="M592" s="5" t="s">
        <v>35</v>
      </c>
      <c r="N592" t="s">
        <v>35</v>
      </c>
      <c r="O592" t="s">
        <v>2467</v>
      </c>
      <c r="S592" t="s">
        <v>37</v>
      </c>
      <c r="T592" s="5" t="s">
        <v>38</v>
      </c>
      <c r="Y592" t="str">
        <f>VLOOKUP(C592,'[1]DBS_KPY Sorumlular'!A:C,2,FALSE)</f>
        <v>Erkan AKDOĞAN</v>
      </c>
      <c r="Z592" t="str">
        <f>VLOOKUP(C592,'[1]DBS_KPY Sorumlular'!A:C,3,FALSE)</f>
        <v>Kadir TOPÇU</v>
      </c>
      <c r="AA592" t="str">
        <f>VLOOKUP(K592,[1]!Tablo3[#Data],2,FALSE)</f>
        <v>Tayfun VİÇE</v>
      </c>
    </row>
    <row r="593" spans="1:27" x14ac:dyDescent="0.25">
      <c r="A593">
        <v>1892</v>
      </c>
      <c r="B593" t="s">
        <v>1419</v>
      </c>
      <c r="C593" t="s">
        <v>1674</v>
      </c>
      <c r="D593" t="s">
        <v>1717</v>
      </c>
      <c r="F593" t="s">
        <v>42</v>
      </c>
      <c r="G593" t="s">
        <v>43</v>
      </c>
      <c r="H593" t="s">
        <v>2468</v>
      </c>
      <c r="I593" s="4"/>
      <c r="J593" t="s">
        <v>2469</v>
      </c>
      <c r="K593" t="s">
        <v>586</v>
      </c>
      <c r="L593" s="5"/>
      <c r="M593" s="5"/>
      <c r="N593" t="s">
        <v>35</v>
      </c>
      <c r="O593" t="s">
        <v>2470</v>
      </c>
      <c r="S593" t="s">
        <v>37</v>
      </c>
      <c r="T593" s="5" t="s">
        <v>48</v>
      </c>
      <c r="U593" t="s">
        <v>2471</v>
      </c>
      <c r="V593" t="s">
        <v>2472</v>
      </c>
      <c r="W593">
        <v>263</v>
      </c>
      <c r="X593" t="s">
        <v>628</v>
      </c>
      <c r="Y593" t="str">
        <f>VLOOKUP(C593,'[1]DBS_KPY Sorumlular'!A:C,2,FALSE)</f>
        <v>Kadir TOPÇU</v>
      </c>
      <c r="Z593" t="str">
        <f>VLOOKUP(C593,'[1]DBS_KPY Sorumlular'!A:C,3,FALSE)</f>
        <v>Erkan AKDOĞAN</v>
      </c>
      <c r="AA593" t="str">
        <f>VLOOKUP(K593,[1]!Tablo3[#Data],2,FALSE)</f>
        <v>Tayfun VİÇE</v>
      </c>
    </row>
    <row r="594" spans="1:27" x14ac:dyDescent="0.25">
      <c r="A594">
        <v>1893</v>
      </c>
      <c r="B594" t="s">
        <v>1419</v>
      </c>
      <c r="C594" t="s">
        <v>40</v>
      </c>
      <c r="D594" t="s">
        <v>65</v>
      </c>
      <c r="F594" t="s">
        <v>66</v>
      </c>
      <c r="G594" t="s">
        <v>67</v>
      </c>
      <c r="H594" t="s">
        <v>2473</v>
      </c>
      <c r="I594" s="4"/>
      <c r="K594" t="s">
        <v>586</v>
      </c>
      <c r="L594" s="5" t="s">
        <v>2474</v>
      </c>
      <c r="M594" s="5"/>
      <c r="N594" t="s">
        <v>35</v>
      </c>
      <c r="O594" t="s">
        <v>2475</v>
      </c>
      <c r="S594" t="s">
        <v>37</v>
      </c>
      <c r="T594" s="5" t="s">
        <v>48</v>
      </c>
      <c r="U594" t="s">
        <v>2476</v>
      </c>
      <c r="V594" t="s">
        <v>2477</v>
      </c>
      <c r="W594">
        <v>203</v>
      </c>
      <c r="X594" t="s">
        <v>72</v>
      </c>
      <c r="Y594" t="str">
        <f>VLOOKUP(C594,'[1]DBS_KPY Sorumlular'!A:C,2,FALSE)</f>
        <v>Mustafa AYDIN</v>
      </c>
      <c r="Z594" t="str">
        <f>VLOOKUP(C594,'[1]DBS_KPY Sorumlular'!A:C,3,FALSE)</f>
        <v>Esra DOLAN</v>
      </c>
      <c r="AA594" t="str">
        <f>VLOOKUP(K594,[1]!Tablo3[#Data],2,FALSE)</f>
        <v>Tayfun VİÇE</v>
      </c>
    </row>
    <row r="595" spans="1:27" x14ac:dyDescent="0.25">
      <c r="A595">
        <v>1894</v>
      </c>
      <c r="B595" t="s">
        <v>1419</v>
      </c>
      <c r="C595" t="s">
        <v>1723</v>
      </c>
      <c r="D595" t="s">
        <v>2478</v>
      </c>
      <c r="F595" t="s">
        <v>66</v>
      </c>
      <c r="G595" t="s">
        <v>96</v>
      </c>
      <c r="H595" t="s">
        <v>2479</v>
      </c>
      <c r="I595" s="4"/>
      <c r="J595" t="s">
        <v>2480</v>
      </c>
      <c r="K595" t="s">
        <v>586</v>
      </c>
      <c r="L595" s="5" t="s">
        <v>2481</v>
      </c>
      <c r="M595" s="5" t="s">
        <v>2482</v>
      </c>
      <c r="N595" t="s">
        <v>35</v>
      </c>
      <c r="O595" t="s">
        <v>2483</v>
      </c>
      <c r="S595" t="s">
        <v>37</v>
      </c>
      <c r="T595" s="5" t="s">
        <v>38</v>
      </c>
      <c r="Y595" t="str">
        <f>VLOOKUP(C595,'[1]DBS_KPY Sorumlular'!A:C,2,FALSE)</f>
        <v>Erkan AKDOĞAN</v>
      </c>
      <c r="Z595" t="str">
        <f>VLOOKUP(C595,'[1]DBS_KPY Sorumlular'!A:C,3,FALSE)</f>
        <v>Kadir TOPÇU</v>
      </c>
      <c r="AA595" t="str">
        <f>VLOOKUP(K595,[1]!Tablo3[#Data],2,FALSE)</f>
        <v>Tayfun VİÇE</v>
      </c>
    </row>
    <row r="596" spans="1:27" x14ac:dyDescent="0.25">
      <c r="A596">
        <v>1895</v>
      </c>
      <c r="B596" t="s">
        <v>1419</v>
      </c>
      <c r="C596" t="s">
        <v>73</v>
      </c>
      <c r="D596" t="s">
        <v>73</v>
      </c>
      <c r="F596" t="s">
        <v>74</v>
      </c>
      <c r="G596" t="s">
        <v>30</v>
      </c>
      <c r="H596" t="s">
        <v>598</v>
      </c>
      <c r="I596" s="4"/>
      <c r="J596" t="s">
        <v>2484</v>
      </c>
      <c r="K596" t="s">
        <v>586</v>
      </c>
      <c r="L596" s="5"/>
      <c r="M596" s="5"/>
      <c r="N596" t="s">
        <v>35</v>
      </c>
      <c r="O596" t="s">
        <v>2485</v>
      </c>
      <c r="S596" t="s">
        <v>37</v>
      </c>
      <c r="T596" s="5" t="s">
        <v>38</v>
      </c>
      <c r="Y596" t="str">
        <f>VLOOKUP(C596,'[1]DBS_KPY Sorumlular'!A:C,2,FALSE)</f>
        <v>Ayşegül AKGÜL</v>
      </c>
      <c r="Z596" t="str">
        <f>VLOOKUP(C596,'[1]DBS_KPY Sorumlular'!A:C,3,FALSE)</f>
        <v>Sinan ERDAŞ</v>
      </c>
      <c r="AA596" t="str">
        <f>VLOOKUP(K596,[1]!Tablo3[#Data],2,FALSE)</f>
        <v>Tayfun VİÇE</v>
      </c>
    </row>
    <row r="597" spans="1:27" x14ac:dyDescent="0.25">
      <c r="A597">
        <v>1896</v>
      </c>
      <c r="B597" t="s">
        <v>1419</v>
      </c>
      <c r="C597" t="s">
        <v>73</v>
      </c>
      <c r="D597" t="s">
        <v>73</v>
      </c>
      <c r="F597" t="s">
        <v>42</v>
      </c>
      <c r="G597" t="s">
        <v>30</v>
      </c>
      <c r="H597" t="s">
        <v>2486</v>
      </c>
      <c r="I597" s="4"/>
      <c r="J597" t="s">
        <v>2487</v>
      </c>
      <c r="K597" t="s">
        <v>586</v>
      </c>
      <c r="L597" s="5"/>
      <c r="M597" s="5"/>
      <c r="N597" t="s">
        <v>35</v>
      </c>
      <c r="O597" t="s">
        <v>2488</v>
      </c>
      <c r="S597" t="s">
        <v>37</v>
      </c>
      <c r="T597" s="5" t="s">
        <v>38</v>
      </c>
      <c r="Y597" t="str">
        <f>VLOOKUP(C597,'[1]DBS_KPY Sorumlular'!A:C,2,FALSE)</f>
        <v>Ayşegül AKGÜL</v>
      </c>
      <c r="Z597" t="str">
        <f>VLOOKUP(C597,'[1]DBS_KPY Sorumlular'!A:C,3,FALSE)</f>
        <v>Sinan ERDAŞ</v>
      </c>
      <c r="AA597" t="str">
        <f>VLOOKUP(K597,[1]!Tablo3[#Data],2,FALSE)</f>
        <v>Tayfun VİÇE</v>
      </c>
    </row>
    <row r="598" spans="1:27" x14ac:dyDescent="0.25">
      <c r="A598">
        <v>1897</v>
      </c>
      <c r="B598" t="s">
        <v>1419</v>
      </c>
      <c r="C598" t="s">
        <v>73</v>
      </c>
      <c r="D598" t="s">
        <v>73</v>
      </c>
      <c r="F598" t="s">
        <v>108</v>
      </c>
      <c r="G598" t="s">
        <v>30</v>
      </c>
      <c r="H598" t="s">
        <v>2489</v>
      </c>
      <c r="I598" s="4">
        <v>47087.875</v>
      </c>
      <c r="J598" t="s">
        <v>2490</v>
      </c>
      <c r="K598" t="s">
        <v>586</v>
      </c>
      <c r="L598" s="5" t="s">
        <v>2491</v>
      </c>
      <c r="M598" s="5"/>
      <c r="N598" t="s">
        <v>35</v>
      </c>
      <c r="O598" t="s">
        <v>2492</v>
      </c>
      <c r="S598" t="s">
        <v>37</v>
      </c>
      <c r="T598" s="5" t="s">
        <v>38</v>
      </c>
      <c r="Y598" t="str">
        <f>VLOOKUP(C598,'[1]DBS_KPY Sorumlular'!A:C,2,FALSE)</f>
        <v>Ayşegül AKGÜL</v>
      </c>
      <c r="Z598" t="str">
        <f>VLOOKUP(C598,'[1]DBS_KPY Sorumlular'!A:C,3,FALSE)</f>
        <v>Sinan ERDAŞ</v>
      </c>
      <c r="AA598" t="str">
        <f>VLOOKUP(K598,[1]!Tablo3[#Data],2,FALSE)</f>
        <v>Tayfun VİÇE</v>
      </c>
    </row>
    <row r="599" spans="1:27" x14ac:dyDescent="0.25">
      <c r="A599">
        <v>1898</v>
      </c>
      <c r="B599" t="s">
        <v>1419</v>
      </c>
      <c r="C599" t="s">
        <v>73</v>
      </c>
      <c r="D599" t="s">
        <v>73</v>
      </c>
      <c r="F599" t="s">
        <v>108</v>
      </c>
      <c r="G599" t="s">
        <v>30</v>
      </c>
      <c r="H599" t="s">
        <v>2493</v>
      </c>
      <c r="I599" s="4">
        <v>47087.875</v>
      </c>
      <c r="J599" t="s">
        <v>2494</v>
      </c>
      <c r="K599" t="s">
        <v>586</v>
      </c>
      <c r="L599" s="5" t="s">
        <v>2491</v>
      </c>
      <c r="M599" s="5"/>
      <c r="N599" t="s">
        <v>35</v>
      </c>
      <c r="O599" t="s">
        <v>2495</v>
      </c>
      <c r="S599" t="s">
        <v>37</v>
      </c>
      <c r="T599" s="5" t="s">
        <v>38</v>
      </c>
      <c r="Y599" t="str">
        <f>VLOOKUP(C599,'[1]DBS_KPY Sorumlular'!A:C,2,FALSE)</f>
        <v>Ayşegül AKGÜL</v>
      </c>
      <c r="Z599" t="str">
        <f>VLOOKUP(C599,'[1]DBS_KPY Sorumlular'!A:C,3,FALSE)</f>
        <v>Sinan ERDAŞ</v>
      </c>
      <c r="AA599" t="str">
        <f>VLOOKUP(K599,[1]!Tablo3[#Data],2,FALSE)</f>
        <v>Tayfun VİÇE</v>
      </c>
    </row>
    <row r="600" spans="1:27" x14ac:dyDescent="0.25">
      <c r="A600">
        <v>1899</v>
      </c>
      <c r="B600" t="s">
        <v>1419</v>
      </c>
      <c r="C600" t="s">
        <v>73</v>
      </c>
      <c r="D600" t="s">
        <v>73</v>
      </c>
      <c r="F600" t="s">
        <v>108</v>
      </c>
      <c r="G600" t="s">
        <v>30</v>
      </c>
      <c r="H600" t="s">
        <v>2496</v>
      </c>
      <c r="I600" s="4">
        <v>47087.875</v>
      </c>
      <c r="J600" t="s">
        <v>2497</v>
      </c>
      <c r="K600" t="s">
        <v>586</v>
      </c>
      <c r="L600" s="5" t="s">
        <v>2491</v>
      </c>
      <c r="M600" s="5"/>
      <c r="N600" t="s">
        <v>35</v>
      </c>
      <c r="O600" t="s">
        <v>2498</v>
      </c>
      <c r="S600" t="s">
        <v>37</v>
      </c>
      <c r="T600" s="5" t="s">
        <v>38</v>
      </c>
      <c r="Y600" t="str">
        <f>VLOOKUP(C600,'[1]DBS_KPY Sorumlular'!A:C,2,FALSE)</f>
        <v>Ayşegül AKGÜL</v>
      </c>
      <c r="Z600" t="str">
        <f>VLOOKUP(C600,'[1]DBS_KPY Sorumlular'!A:C,3,FALSE)</f>
        <v>Sinan ERDAŞ</v>
      </c>
      <c r="AA600" t="str">
        <f>VLOOKUP(K600,[1]!Tablo3[#Data],2,FALSE)</f>
        <v>Tayfun VİÇE</v>
      </c>
    </row>
    <row r="601" spans="1:27" x14ac:dyDescent="0.25">
      <c r="A601">
        <v>1900</v>
      </c>
      <c r="B601" t="s">
        <v>1419</v>
      </c>
      <c r="C601" t="s">
        <v>73</v>
      </c>
      <c r="D601" t="s">
        <v>73</v>
      </c>
      <c r="F601" t="s">
        <v>108</v>
      </c>
      <c r="G601" t="s">
        <v>30</v>
      </c>
      <c r="H601" t="s">
        <v>2499</v>
      </c>
      <c r="I601" s="4">
        <v>47087.875</v>
      </c>
      <c r="J601" t="s">
        <v>2500</v>
      </c>
      <c r="K601" t="s">
        <v>586</v>
      </c>
      <c r="L601" s="5" t="s">
        <v>2491</v>
      </c>
      <c r="M601" s="5"/>
      <c r="N601" t="s">
        <v>35</v>
      </c>
      <c r="O601" t="s">
        <v>2501</v>
      </c>
      <c r="S601" t="s">
        <v>37</v>
      </c>
      <c r="T601" s="5" t="s">
        <v>38</v>
      </c>
      <c r="Y601" t="str">
        <f>VLOOKUP(C601,'[1]DBS_KPY Sorumlular'!A:C,2,FALSE)</f>
        <v>Ayşegül AKGÜL</v>
      </c>
      <c r="Z601" t="str">
        <f>VLOOKUP(C601,'[1]DBS_KPY Sorumlular'!A:C,3,FALSE)</f>
        <v>Sinan ERDAŞ</v>
      </c>
      <c r="AA601" t="str">
        <f>VLOOKUP(K601,[1]!Tablo3[#Data],2,FALSE)</f>
        <v>Tayfun VİÇE</v>
      </c>
    </row>
    <row r="602" spans="1:27" x14ac:dyDescent="0.25">
      <c r="A602">
        <v>1901</v>
      </c>
      <c r="B602" t="s">
        <v>1419</v>
      </c>
      <c r="C602" t="s">
        <v>1674</v>
      </c>
      <c r="D602" t="s">
        <v>1675</v>
      </c>
      <c r="F602" t="s">
        <v>52</v>
      </c>
      <c r="G602" t="s">
        <v>67</v>
      </c>
      <c r="H602" t="s">
        <v>2502</v>
      </c>
      <c r="I602" s="4"/>
      <c r="J602" t="s">
        <v>2503</v>
      </c>
      <c r="K602" t="s">
        <v>611</v>
      </c>
      <c r="L602" s="5"/>
      <c r="M602" s="5"/>
      <c r="N602" t="s">
        <v>35</v>
      </c>
      <c r="O602" t="s">
        <v>2504</v>
      </c>
      <c r="S602" t="s">
        <v>230</v>
      </c>
      <c r="T602" s="5" t="s">
        <v>48</v>
      </c>
      <c r="U602" t="s">
        <v>2505</v>
      </c>
      <c r="V602" t="s">
        <v>2502</v>
      </c>
      <c r="W602">
        <v>103</v>
      </c>
      <c r="X602" t="s">
        <v>353</v>
      </c>
      <c r="Y602" t="str">
        <f>VLOOKUP(C602,'[1]DBS_KPY Sorumlular'!A:C,2,FALSE)</f>
        <v>Kadir TOPÇU</v>
      </c>
      <c r="Z602" t="str">
        <f>VLOOKUP(C602,'[1]DBS_KPY Sorumlular'!A:C,3,FALSE)</f>
        <v>Erkan AKDOĞAN</v>
      </c>
      <c r="AA602" t="str">
        <f>VLOOKUP(K602,[1]!Tablo3[#Data],2,FALSE)</f>
        <v>Kadir TOPÇU</v>
      </c>
    </row>
    <row r="603" spans="1:27" x14ac:dyDescent="0.25">
      <c r="A603">
        <v>1902</v>
      </c>
      <c r="B603" t="s">
        <v>1419</v>
      </c>
      <c r="C603" t="s">
        <v>1674</v>
      </c>
      <c r="D603" t="s">
        <v>1675</v>
      </c>
      <c r="F603" t="s">
        <v>306</v>
      </c>
      <c r="G603" t="s">
        <v>96</v>
      </c>
      <c r="H603" t="s">
        <v>2506</v>
      </c>
      <c r="I603" s="4"/>
      <c r="K603" t="s">
        <v>611</v>
      </c>
      <c r="L603" s="5"/>
      <c r="M603" s="5"/>
      <c r="N603" t="s">
        <v>1824</v>
      </c>
      <c r="O603" t="s">
        <v>2507</v>
      </c>
      <c r="S603" t="s">
        <v>230</v>
      </c>
      <c r="T603" s="5" t="s">
        <v>100</v>
      </c>
      <c r="W603">
        <v>28</v>
      </c>
      <c r="X603" t="s">
        <v>667</v>
      </c>
      <c r="Y603" t="str">
        <f>VLOOKUP(C603,'[1]DBS_KPY Sorumlular'!A:C,2,FALSE)</f>
        <v>Kadir TOPÇU</v>
      </c>
      <c r="Z603" t="str">
        <f>VLOOKUP(C603,'[1]DBS_KPY Sorumlular'!A:C,3,FALSE)</f>
        <v>Erkan AKDOĞAN</v>
      </c>
      <c r="AA603" t="str">
        <f>VLOOKUP(K603,[1]!Tablo3[#Data],2,FALSE)</f>
        <v>Kadir TOPÇU</v>
      </c>
    </row>
    <row r="604" spans="1:27" x14ac:dyDescent="0.25">
      <c r="A604">
        <v>1903</v>
      </c>
      <c r="B604" t="s">
        <v>27</v>
      </c>
      <c r="C604" t="s">
        <v>40</v>
      </c>
      <c r="D604" t="s">
        <v>41</v>
      </c>
      <c r="F604" t="s">
        <v>391</v>
      </c>
      <c r="G604" t="s">
        <v>43</v>
      </c>
      <c r="H604" t="s">
        <v>2508</v>
      </c>
      <c r="I604" s="4">
        <v>45967.875</v>
      </c>
      <c r="J604" t="s">
        <v>2509</v>
      </c>
      <c r="K604" t="s">
        <v>611</v>
      </c>
      <c r="L604" s="5"/>
      <c r="M604" s="5"/>
      <c r="N604" t="s">
        <v>46</v>
      </c>
      <c r="O604" t="s">
        <v>2510</v>
      </c>
      <c r="R604">
        <v>0.67</v>
      </c>
      <c r="S604" t="s">
        <v>230</v>
      </c>
      <c r="T604" s="5" t="s">
        <v>48</v>
      </c>
      <c r="U604" t="s">
        <v>626</v>
      </c>
      <c r="V604" t="s">
        <v>627</v>
      </c>
      <c r="W604">
        <v>263</v>
      </c>
      <c r="X604" t="s">
        <v>628</v>
      </c>
      <c r="Y604" t="str">
        <f>VLOOKUP(C604,'[1]DBS_KPY Sorumlular'!A:C,2,FALSE)</f>
        <v>Mustafa AYDIN</v>
      </c>
      <c r="Z604" t="str">
        <f>VLOOKUP(C604,'[1]DBS_KPY Sorumlular'!A:C,3,FALSE)</f>
        <v>Esra DOLAN</v>
      </c>
      <c r="AA604" t="str">
        <f>VLOOKUP(K604,[1]!Tablo3[#Data],2,FALSE)</f>
        <v>Kadir TOPÇU</v>
      </c>
    </row>
    <row r="605" spans="1:27" x14ac:dyDescent="0.25">
      <c r="A605">
        <v>1904</v>
      </c>
      <c r="B605" t="s">
        <v>27</v>
      </c>
      <c r="C605" t="s">
        <v>40</v>
      </c>
      <c r="D605" t="s">
        <v>65</v>
      </c>
      <c r="F605" t="s">
        <v>52</v>
      </c>
      <c r="G605" t="s">
        <v>67</v>
      </c>
      <c r="H605" t="s">
        <v>2511</v>
      </c>
      <c r="I605" s="4">
        <v>46053.875</v>
      </c>
      <c r="J605" t="s">
        <v>2512</v>
      </c>
      <c r="K605" t="s">
        <v>611</v>
      </c>
      <c r="L605" s="5"/>
      <c r="M605" s="5"/>
      <c r="N605" t="s">
        <v>46</v>
      </c>
      <c r="O605" t="s">
        <v>2513</v>
      </c>
      <c r="R605">
        <v>0.45</v>
      </c>
      <c r="S605" t="s">
        <v>230</v>
      </c>
      <c r="T605" s="5" t="s">
        <v>48</v>
      </c>
      <c r="U605" t="s">
        <v>2514</v>
      </c>
      <c r="V605" t="s">
        <v>2515</v>
      </c>
      <c r="W605">
        <v>103</v>
      </c>
      <c r="X605" t="s">
        <v>353</v>
      </c>
      <c r="Y605" t="str">
        <f>VLOOKUP(C605,'[1]DBS_KPY Sorumlular'!A:C,2,FALSE)</f>
        <v>Mustafa AYDIN</v>
      </c>
      <c r="Z605" t="str">
        <f>VLOOKUP(C605,'[1]DBS_KPY Sorumlular'!A:C,3,FALSE)</f>
        <v>Esra DOLAN</v>
      </c>
      <c r="AA605" t="str">
        <f>VLOOKUP(K605,[1]!Tablo3[#Data],2,FALSE)</f>
        <v>Kadir TOPÇU</v>
      </c>
    </row>
    <row r="606" spans="1:27" x14ac:dyDescent="0.25">
      <c r="A606">
        <v>1905</v>
      </c>
      <c r="B606" t="s">
        <v>1419</v>
      </c>
      <c r="C606" t="s">
        <v>304</v>
      </c>
      <c r="D606" t="s">
        <v>305</v>
      </c>
      <c r="F606" t="s">
        <v>306</v>
      </c>
      <c r="G606" t="s">
        <v>96</v>
      </c>
      <c r="H606" t="s">
        <v>2516</v>
      </c>
      <c r="I606" s="4"/>
      <c r="J606" t="s">
        <v>2517</v>
      </c>
      <c r="K606" t="s">
        <v>181</v>
      </c>
      <c r="L606" s="5"/>
      <c r="M606" s="5"/>
      <c r="N606" t="s">
        <v>35</v>
      </c>
      <c r="O606" t="s">
        <v>2518</v>
      </c>
      <c r="S606" t="s">
        <v>230</v>
      </c>
      <c r="T606" s="5" t="s">
        <v>38</v>
      </c>
      <c r="Y606" t="str">
        <f>VLOOKUP(C606,'[1]DBS_KPY Sorumlular'!A:C,2,FALSE)</f>
        <v>Erkan AKDOĞAN</v>
      </c>
      <c r="Z606" t="str">
        <f>VLOOKUP(C606,'[1]DBS_KPY Sorumlular'!A:C,3,FALSE)</f>
        <v>Kadir TOPÇU</v>
      </c>
      <c r="AA606" t="str">
        <f>VLOOKUP(K606,[1]!Tablo3[#Data],2,FALSE)</f>
        <v>Erkan AKDOĞAN</v>
      </c>
    </row>
    <row r="607" spans="1:27" x14ac:dyDescent="0.25">
      <c r="A607">
        <v>1906</v>
      </c>
      <c r="B607" t="s">
        <v>27</v>
      </c>
      <c r="C607" t="s">
        <v>304</v>
      </c>
      <c r="D607" t="s">
        <v>305</v>
      </c>
      <c r="F607" t="s">
        <v>306</v>
      </c>
      <c r="G607" t="s">
        <v>96</v>
      </c>
      <c r="H607" t="s">
        <v>2519</v>
      </c>
      <c r="I607" s="4">
        <v>44925.875</v>
      </c>
      <c r="J607" t="s">
        <v>2520</v>
      </c>
      <c r="K607" t="s">
        <v>181</v>
      </c>
      <c r="L607" s="5" t="s">
        <v>2521</v>
      </c>
      <c r="M607" s="5"/>
      <c r="N607" t="s">
        <v>82</v>
      </c>
      <c r="O607" t="s">
        <v>2522</v>
      </c>
      <c r="R607">
        <v>1</v>
      </c>
      <c r="S607" t="s">
        <v>230</v>
      </c>
      <c r="T607" s="5" t="s">
        <v>38</v>
      </c>
      <c r="W607">
        <v>206</v>
      </c>
      <c r="X607" t="s">
        <v>311</v>
      </c>
      <c r="Y607" t="str">
        <f>VLOOKUP(C607,'[1]DBS_KPY Sorumlular'!A:C,2,FALSE)</f>
        <v>Erkan AKDOĞAN</v>
      </c>
      <c r="Z607" t="str">
        <f>VLOOKUP(C607,'[1]DBS_KPY Sorumlular'!A:C,3,FALSE)</f>
        <v>Kadir TOPÇU</v>
      </c>
      <c r="AA607" t="str">
        <f>VLOOKUP(K607,[1]!Tablo3[#Data],2,FALSE)</f>
        <v>Erkan AKDOĞAN</v>
      </c>
    </row>
    <row r="608" spans="1:27" x14ac:dyDescent="0.25">
      <c r="A608">
        <v>1907</v>
      </c>
      <c r="B608" t="s">
        <v>1419</v>
      </c>
      <c r="C608" t="s">
        <v>652</v>
      </c>
      <c r="D608" t="s">
        <v>653</v>
      </c>
      <c r="F608" t="s">
        <v>455</v>
      </c>
      <c r="G608" t="s">
        <v>456</v>
      </c>
      <c r="H608" t="s">
        <v>2523</v>
      </c>
      <c r="I608" s="4"/>
      <c r="J608" t="s">
        <v>2524</v>
      </c>
      <c r="K608" t="s">
        <v>611</v>
      </c>
      <c r="L608" s="5"/>
      <c r="M608" s="5"/>
      <c r="N608" t="s">
        <v>35</v>
      </c>
      <c r="O608" t="s">
        <v>2525</v>
      </c>
      <c r="S608" t="s">
        <v>230</v>
      </c>
      <c r="T608" s="5" t="s">
        <v>48</v>
      </c>
      <c r="U608" t="s">
        <v>2526</v>
      </c>
      <c r="V608" t="s">
        <v>2527</v>
      </c>
      <c r="W608">
        <v>144</v>
      </c>
      <c r="X608" t="s">
        <v>463</v>
      </c>
      <c r="Y608" t="str">
        <f>VLOOKUP(C608,'[1]DBS_KPY Sorumlular'!A:C,2,FALSE)</f>
        <v>Seyithan İŞİK</v>
      </c>
      <c r="Z608" t="str">
        <f>VLOOKUP(C608,'[1]DBS_KPY Sorumlular'!A:C,3,FALSE)</f>
        <v>Korhan KÖROĞLU</v>
      </c>
      <c r="AA608" t="str">
        <f>VLOOKUP(K608,[1]!Tablo3[#Data],2,FALSE)</f>
        <v>Kadir TOPÇU</v>
      </c>
    </row>
    <row r="609" spans="1:27" x14ac:dyDescent="0.25">
      <c r="A609">
        <v>1908</v>
      </c>
      <c r="B609" t="s">
        <v>1419</v>
      </c>
      <c r="C609" t="s">
        <v>1674</v>
      </c>
      <c r="D609" t="s">
        <v>1675</v>
      </c>
      <c r="F609" t="s">
        <v>184</v>
      </c>
      <c r="G609" t="s">
        <v>43</v>
      </c>
      <c r="H609" t="s">
        <v>2528</v>
      </c>
      <c r="I609" s="4"/>
      <c r="J609" t="s">
        <v>2529</v>
      </c>
      <c r="K609" t="s">
        <v>611</v>
      </c>
      <c r="L609" s="5"/>
      <c r="M609" s="5"/>
      <c r="N609" t="s">
        <v>35</v>
      </c>
      <c r="O609" t="s">
        <v>2530</v>
      </c>
      <c r="S609" t="s">
        <v>230</v>
      </c>
      <c r="T609" s="5" t="s">
        <v>48</v>
      </c>
      <c r="U609" t="s">
        <v>2531</v>
      </c>
      <c r="V609" t="s">
        <v>2528</v>
      </c>
      <c r="W609">
        <v>86</v>
      </c>
      <c r="X609" t="s">
        <v>189</v>
      </c>
      <c r="Y609" t="str">
        <f>VLOOKUP(C609,'[1]DBS_KPY Sorumlular'!A:C,2,FALSE)</f>
        <v>Kadir TOPÇU</v>
      </c>
      <c r="Z609" t="str">
        <f>VLOOKUP(C609,'[1]DBS_KPY Sorumlular'!A:C,3,FALSE)</f>
        <v>Erkan AKDOĞAN</v>
      </c>
      <c r="AA609" t="str">
        <f>VLOOKUP(K609,[1]!Tablo3[#Data],2,FALSE)</f>
        <v>Kadir TOPÇU</v>
      </c>
    </row>
    <row r="610" spans="1:27" x14ac:dyDescent="0.25">
      <c r="A610">
        <v>1909</v>
      </c>
      <c r="B610" t="s">
        <v>27</v>
      </c>
      <c r="C610" t="s">
        <v>40</v>
      </c>
      <c r="D610" t="s">
        <v>65</v>
      </c>
      <c r="F610" t="s">
        <v>113</v>
      </c>
      <c r="G610" t="s">
        <v>43</v>
      </c>
      <c r="H610" t="s">
        <v>2532</v>
      </c>
      <c r="I610" s="4">
        <v>45625.875</v>
      </c>
      <c r="K610" t="s">
        <v>611</v>
      </c>
      <c r="L610" s="5"/>
      <c r="M610" s="5"/>
      <c r="N610" t="s">
        <v>82</v>
      </c>
      <c r="O610" t="s">
        <v>2533</v>
      </c>
      <c r="R610">
        <v>1</v>
      </c>
      <c r="S610" t="s">
        <v>230</v>
      </c>
      <c r="T610" s="5" t="s">
        <v>100</v>
      </c>
      <c r="W610">
        <v>79</v>
      </c>
      <c r="X610" t="s">
        <v>1619</v>
      </c>
      <c r="Y610" t="str">
        <f>VLOOKUP(C610,'[1]DBS_KPY Sorumlular'!A:C,2,FALSE)</f>
        <v>Mustafa AYDIN</v>
      </c>
      <c r="Z610" t="str">
        <f>VLOOKUP(C610,'[1]DBS_KPY Sorumlular'!A:C,3,FALSE)</f>
        <v>Esra DOLAN</v>
      </c>
      <c r="AA610" t="str">
        <f>VLOOKUP(K610,[1]!Tablo3[#Data],2,FALSE)</f>
        <v>Kadir TOPÇU</v>
      </c>
    </row>
    <row r="611" spans="1:27" x14ac:dyDescent="0.25">
      <c r="A611">
        <v>1910</v>
      </c>
      <c r="B611" t="s">
        <v>1419</v>
      </c>
      <c r="C611" t="s">
        <v>40</v>
      </c>
      <c r="D611" t="s">
        <v>65</v>
      </c>
      <c r="F611" t="s">
        <v>66</v>
      </c>
      <c r="G611" t="s">
        <v>67</v>
      </c>
      <c r="H611" t="s">
        <v>2534</v>
      </c>
      <c r="I611" s="4"/>
      <c r="K611" t="s">
        <v>611</v>
      </c>
      <c r="L611" s="5"/>
      <c r="M611" s="5"/>
      <c r="N611" t="s">
        <v>35</v>
      </c>
      <c r="O611" t="s">
        <v>2535</v>
      </c>
      <c r="S611" t="s">
        <v>230</v>
      </c>
      <c r="T611" s="5" t="s">
        <v>48</v>
      </c>
      <c r="U611" t="s">
        <v>2536</v>
      </c>
      <c r="V611" t="s">
        <v>2537</v>
      </c>
      <c r="W611">
        <v>208</v>
      </c>
      <c r="X611" t="s">
        <v>594</v>
      </c>
      <c r="Y611" t="str">
        <f>VLOOKUP(C611,'[1]DBS_KPY Sorumlular'!A:C,2,FALSE)</f>
        <v>Mustafa AYDIN</v>
      </c>
      <c r="Z611" t="str">
        <f>VLOOKUP(C611,'[1]DBS_KPY Sorumlular'!A:C,3,FALSE)</f>
        <v>Esra DOLAN</v>
      </c>
      <c r="AA611" t="str">
        <f>VLOOKUP(K611,[1]!Tablo3[#Data],2,FALSE)</f>
        <v>Kadir TOPÇU</v>
      </c>
    </row>
    <row r="612" spans="1:27" x14ac:dyDescent="0.25">
      <c r="A612">
        <v>1911</v>
      </c>
      <c r="B612" t="s">
        <v>1419</v>
      </c>
      <c r="C612" t="s">
        <v>1674</v>
      </c>
      <c r="D612" t="s">
        <v>1717</v>
      </c>
      <c r="F612" t="s">
        <v>95</v>
      </c>
      <c r="G612" t="s">
        <v>43</v>
      </c>
      <c r="H612" t="s">
        <v>2538</v>
      </c>
      <c r="I612" s="4"/>
      <c r="J612" t="s">
        <v>2539</v>
      </c>
      <c r="K612" t="s">
        <v>611</v>
      </c>
      <c r="L612" s="5"/>
      <c r="M612" s="5" t="s">
        <v>2540</v>
      </c>
      <c r="N612" t="s">
        <v>35</v>
      </c>
      <c r="O612" t="s">
        <v>2541</v>
      </c>
      <c r="S612" t="s">
        <v>230</v>
      </c>
      <c r="T612" s="5" t="s">
        <v>48</v>
      </c>
      <c r="U612" t="s">
        <v>2542</v>
      </c>
      <c r="V612" t="s">
        <v>2538</v>
      </c>
      <c r="W612">
        <v>30</v>
      </c>
      <c r="X612" t="s">
        <v>327</v>
      </c>
      <c r="Y612" t="str">
        <f>VLOOKUP(C612,'[1]DBS_KPY Sorumlular'!A:C,2,FALSE)</f>
        <v>Kadir TOPÇU</v>
      </c>
      <c r="Z612" t="str">
        <f>VLOOKUP(C612,'[1]DBS_KPY Sorumlular'!A:C,3,FALSE)</f>
        <v>Erkan AKDOĞAN</v>
      </c>
      <c r="AA612" t="str">
        <f>VLOOKUP(K612,[1]!Tablo3[#Data],2,FALSE)</f>
        <v>Kadir TOPÇU</v>
      </c>
    </row>
    <row r="613" spans="1:27" x14ac:dyDescent="0.25">
      <c r="A613">
        <v>1912</v>
      </c>
      <c r="B613" t="s">
        <v>1419</v>
      </c>
      <c r="C613" t="s">
        <v>137</v>
      </c>
      <c r="D613" t="s">
        <v>138</v>
      </c>
      <c r="E613" t="s">
        <v>138</v>
      </c>
      <c r="F613" t="s">
        <v>2543</v>
      </c>
      <c r="G613" t="s">
        <v>140</v>
      </c>
      <c r="H613" t="s">
        <v>2544</v>
      </c>
      <c r="I613" s="4"/>
      <c r="J613" t="s">
        <v>2545</v>
      </c>
      <c r="K613" t="s">
        <v>611</v>
      </c>
      <c r="L613" s="5" t="s">
        <v>2546</v>
      </c>
      <c r="M613" s="5" t="s">
        <v>2547</v>
      </c>
      <c r="N613" t="s">
        <v>35</v>
      </c>
      <c r="O613" t="s">
        <v>2548</v>
      </c>
      <c r="S613" t="s">
        <v>230</v>
      </c>
      <c r="T613" s="5" t="s">
        <v>38</v>
      </c>
      <c r="W613">
        <v>192</v>
      </c>
      <c r="X613" t="s">
        <v>1770</v>
      </c>
      <c r="Y613" t="str">
        <f>VLOOKUP(C613,'[1]DBS_KPY Sorumlular'!A:C,2,FALSE)</f>
        <v>Erkan AKDOĞAN</v>
      </c>
      <c r="Z613" t="str">
        <f>VLOOKUP(C613,'[1]DBS_KPY Sorumlular'!A:C,3,FALSE)</f>
        <v>Kadir TOPÇU</v>
      </c>
      <c r="AA613" t="str">
        <f>VLOOKUP(K613,[1]!Tablo3[#Data],2,FALSE)</f>
        <v>Kadir TOPÇU</v>
      </c>
    </row>
    <row r="614" spans="1:27" x14ac:dyDescent="0.25">
      <c r="A614">
        <v>1913</v>
      </c>
      <c r="B614" t="s">
        <v>1419</v>
      </c>
      <c r="C614" t="s">
        <v>73</v>
      </c>
      <c r="D614" t="s">
        <v>73</v>
      </c>
      <c r="F614" t="s">
        <v>74</v>
      </c>
      <c r="G614" t="s">
        <v>30</v>
      </c>
      <c r="H614" t="s">
        <v>629</v>
      </c>
      <c r="I614" s="4"/>
      <c r="J614" t="s">
        <v>2549</v>
      </c>
      <c r="K614" t="s">
        <v>611</v>
      </c>
      <c r="L614" s="5"/>
      <c r="M614" s="5"/>
      <c r="N614" t="s">
        <v>35</v>
      </c>
      <c r="O614" t="s">
        <v>2550</v>
      </c>
      <c r="S614" t="s">
        <v>230</v>
      </c>
      <c r="T614" s="5" t="s">
        <v>38</v>
      </c>
      <c r="Y614" t="str">
        <f>VLOOKUP(C614,'[1]DBS_KPY Sorumlular'!A:C,2,FALSE)</f>
        <v>Ayşegül AKGÜL</v>
      </c>
      <c r="Z614" t="str">
        <f>VLOOKUP(C614,'[1]DBS_KPY Sorumlular'!A:C,3,FALSE)</f>
        <v>Sinan ERDAŞ</v>
      </c>
      <c r="AA614" t="str">
        <f>VLOOKUP(K614,[1]!Tablo3[#Data],2,FALSE)</f>
        <v>Kadir TOPÇU</v>
      </c>
    </row>
    <row r="615" spans="1:27" x14ac:dyDescent="0.25">
      <c r="A615">
        <v>1914</v>
      </c>
      <c r="B615" t="s">
        <v>1419</v>
      </c>
      <c r="C615" t="s">
        <v>73</v>
      </c>
      <c r="D615" t="s">
        <v>73</v>
      </c>
      <c r="F615" t="s">
        <v>74</v>
      </c>
      <c r="G615" t="s">
        <v>30</v>
      </c>
      <c r="H615" t="s">
        <v>2551</v>
      </c>
      <c r="I615" s="4"/>
      <c r="J615" t="s">
        <v>2552</v>
      </c>
      <c r="K615" t="s">
        <v>611</v>
      </c>
      <c r="L615" s="5"/>
      <c r="M615" s="5"/>
      <c r="N615" t="s">
        <v>35</v>
      </c>
      <c r="O615" t="s">
        <v>2553</v>
      </c>
      <c r="S615" t="s">
        <v>230</v>
      </c>
      <c r="T615" s="5" t="s">
        <v>38</v>
      </c>
      <c r="Y615" t="str">
        <f>VLOOKUP(C615,'[1]DBS_KPY Sorumlular'!A:C,2,FALSE)</f>
        <v>Ayşegül AKGÜL</v>
      </c>
      <c r="Z615" t="str">
        <f>VLOOKUP(C615,'[1]DBS_KPY Sorumlular'!A:C,3,FALSE)</f>
        <v>Sinan ERDAŞ</v>
      </c>
      <c r="AA615" t="str">
        <f>VLOOKUP(K615,[1]!Tablo3[#Data],2,FALSE)</f>
        <v>Kadir TOPÇU</v>
      </c>
    </row>
    <row r="616" spans="1:27" x14ac:dyDescent="0.25">
      <c r="A616">
        <v>1915</v>
      </c>
      <c r="B616" t="s">
        <v>1419</v>
      </c>
      <c r="C616" t="s">
        <v>1723</v>
      </c>
      <c r="D616" t="s">
        <v>1751</v>
      </c>
      <c r="F616" t="s">
        <v>537</v>
      </c>
      <c r="G616" t="s">
        <v>67</v>
      </c>
      <c r="H616" t="s">
        <v>2554</v>
      </c>
      <c r="I616" s="4"/>
      <c r="J616" t="s">
        <v>2555</v>
      </c>
      <c r="K616" t="s">
        <v>181</v>
      </c>
      <c r="L616" s="5" t="s">
        <v>2556</v>
      </c>
      <c r="M616" s="5" t="s">
        <v>35</v>
      </c>
      <c r="N616" t="s">
        <v>35</v>
      </c>
      <c r="O616" t="s">
        <v>2557</v>
      </c>
      <c r="S616" t="s">
        <v>230</v>
      </c>
      <c r="T616" s="5" t="s">
        <v>38</v>
      </c>
      <c r="Y616" t="str">
        <f>VLOOKUP(C616,'[1]DBS_KPY Sorumlular'!A:C,2,FALSE)</f>
        <v>Erkan AKDOĞAN</v>
      </c>
      <c r="Z616" t="str">
        <f>VLOOKUP(C616,'[1]DBS_KPY Sorumlular'!A:C,3,FALSE)</f>
        <v>Kadir TOPÇU</v>
      </c>
      <c r="AA616" t="str">
        <f>VLOOKUP(K616,[1]!Tablo3[#Data],2,FALSE)</f>
        <v>Erkan AKDOĞAN</v>
      </c>
    </row>
    <row r="617" spans="1:27" x14ac:dyDescent="0.25">
      <c r="A617">
        <v>1916</v>
      </c>
      <c r="B617" t="s">
        <v>27</v>
      </c>
      <c r="C617" t="s">
        <v>40</v>
      </c>
      <c r="D617" t="s">
        <v>41</v>
      </c>
      <c r="F617" t="s">
        <v>102</v>
      </c>
      <c r="G617" t="s">
        <v>43</v>
      </c>
      <c r="H617" t="s">
        <v>2558</v>
      </c>
      <c r="I617" s="4">
        <v>46132.875</v>
      </c>
      <c r="J617" t="s">
        <v>2559</v>
      </c>
      <c r="K617" t="s">
        <v>636</v>
      </c>
      <c r="L617" s="5"/>
      <c r="M617" s="5"/>
      <c r="N617" t="s">
        <v>46</v>
      </c>
      <c r="O617" t="s">
        <v>2560</v>
      </c>
      <c r="R617">
        <v>0</v>
      </c>
      <c r="S617" t="s">
        <v>57</v>
      </c>
      <c r="T617" s="5" t="s">
        <v>48</v>
      </c>
      <c r="U617" t="s">
        <v>2561</v>
      </c>
      <c r="V617" t="s">
        <v>2562</v>
      </c>
      <c r="W617">
        <v>108</v>
      </c>
      <c r="X617" t="s">
        <v>107</v>
      </c>
      <c r="Y617" t="str">
        <f>VLOOKUP(C617,'[1]DBS_KPY Sorumlular'!A:C,2,FALSE)</f>
        <v>Mustafa AYDIN</v>
      </c>
      <c r="Z617" t="str">
        <f>VLOOKUP(C617,'[1]DBS_KPY Sorumlular'!A:C,3,FALSE)</f>
        <v>Esra DOLAN</v>
      </c>
      <c r="AA617" t="str">
        <f>VLOOKUP(K617,[1]!Tablo3[#Data],2,FALSE)</f>
        <v>Erkan AKDOĞAN</v>
      </c>
    </row>
    <row r="618" spans="1:27" x14ac:dyDescent="0.25">
      <c r="A618">
        <v>1917</v>
      </c>
      <c r="B618" t="s">
        <v>1419</v>
      </c>
      <c r="C618" t="s">
        <v>1723</v>
      </c>
      <c r="D618" t="s">
        <v>2478</v>
      </c>
      <c r="F618" t="s">
        <v>66</v>
      </c>
      <c r="G618" t="s">
        <v>67</v>
      </c>
      <c r="H618" t="s">
        <v>2563</v>
      </c>
      <c r="I618" s="4"/>
      <c r="J618" t="s">
        <v>2564</v>
      </c>
      <c r="K618" t="s">
        <v>636</v>
      </c>
      <c r="L618" s="5" t="s">
        <v>2565</v>
      </c>
      <c r="M618" s="5" t="s">
        <v>35</v>
      </c>
      <c r="N618" t="s">
        <v>35</v>
      </c>
      <c r="O618" t="s">
        <v>2566</v>
      </c>
      <c r="S618" t="s">
        <v>57</v>
      </c>
      <c r="T618" s="5" t="s">
        <v>38</v>
      </c>
      <c r="Y618" t="str">
        <f>VLOOKUP(C618,'[1]DBS_KPY Sorumlular'!A:C,2,FALSE)</f>
        <v>Erkan AKDOĞAN</v>
      </c>
      <c r="Z618" t="str">
        <f>VLOOKUP(C618,'[1]DBS_KPY Sorumlular'!A:C,3,FALSE)</f>
        <v>Kadir TOPÇU</v>
      </c>
      <c r="AA618" t="str">
        <f>VLOOKUP(K618,[1]!Tablo3[#Data],2,FALSE)</f>
        <v>Erkan AKDOĞAN</v>
      </c>
    </row>
    <row r="619" spans="1:27" x14ac:dyDescent="0.25">
      <c r="A619">
        <v>1918</v>
      </c>
      <c r="B619" t="s">
        <v>1419</v>
      </c>
      <c r="C619" t="s">
        <v>1723</v>
      </c>
      <c r="D619" t="s">
        <v>1751</v>
      </c>
      <c r="F619" t="s">
        <v>66</v>
      </c>
      <c r="G619" t="s">
        <v>67</v>
      </c>
      <c r="H619" t="s">
        <v>2567</v>
      </c>
      <c r="I619" s="4"/>
      <c r="J619" t="s">
        <v>2568</v>
      </c>
      <c r="K619" t="s">
        <v>636</v>
      </c>
      <c r="L619" s="5" t="s">
        <v>2569</v>
      </c>
      <c r="M619" s="5" t="s">
        <v>35</v>
      </c>
      <c r="N619" t="s">
        <v>35</v>
      </c>
      <c r="O619" t="s">
        <v>2570</v>
      </c>
      <c r="S619" t="s">
        <v>57</v>
      </c>
      <c r="T619" s="5" t="s">
        <v>38</v>
      </c>
      <c r="Y619" t="str">
        <f>VLOOKUP(C619,'[1]DBS_KPY Sorumlular'!A:C,2,FALSE)</f>
        <v>Erkan AKDOĞAN</v>
      </c>
      <c r="Z619" t="str">
        <f>VLOOKUP(C619,'[1]DBS_KPY Sorumlular'!A:C,3,FALSE)</f>
        <v>Kadir TOPÇU</v>
      </c>
      <c r="AA619" t="str">
        <f>VLOOKUP(K619,[1]!Tablo3[#Data],2,FALSE)</f>
        <v>Erkan AKDOĞAN</v>
      </c>
    </row>
    <row r="620" spans="1:27" x14ac:dyDescent="0.25">
      <c r="A620">
        <v>1919</v>
      </c>
      <c r="B620" t="s">
        <v>1419</v>
      </c>
      <c r="C620" t="s">
        <v>304</v>
      </c>
      <c r="D620" t="s">
        <v>305</v>
      </c>
      <c r="F620" t="s">
        <v>306</v>
      </c>
      <c r="G620" t="s">
        <v>67</v>
      </c>
      <c r="H620" t="s">
        <v>2571</v>
      </c>
      <c r="I620" s="4"/>
      <c r="J620" t="s">
        <v>2572</v>
      </c>
      <c r="K620" t="s">
        <v>636</v>
      </c>
      <c r="L620" s="5" t="s">
        <v>2414</v>
      </c>
      <c r="M620" s="5"/>
      <c r="N620" t="s">
        <v>35</v>
      </c>
      <c r="O620" t="s">
        <v>2573</v>
      </c>
      <c r="S620" t="s">
        <v>57</v>
      </c>
      <c r="T620" s="5" t="s">
        <v>38</v>
      </c>
      <c r="Y620" t="str">
        <f>VLOOKUP(C620,'[1]DBS_KPY Sorumlular'!A:C,2,FALSE)</f>
        <v>Erkan AKDOĞAN</v>
      </c>
      <c r="Z620" t="str">
        <f>VLOOKUP(C620,'[1]DBS_KPY Sorumlular'!A:C,3,FALSE)</f>
        <v>Kadir TOPÇU</v>
      </c>
      <c r="AA620" t="str">
        <f>VLOOKUP(K620,[1]!Tablo3[#Data],2,FALSE)</f>
        <v>Erkan AKDOĞAN</v>
      </c>
    </row>
    <row r="621" spans="1:27" x14ac:dyDescent="0.25">
      <c r="A621">
        <v>1920</v>
      </c>
      <c r="B621" t="s">
        <v>1419</v>
      </c>
      <c r="C621" t="s">
        <v>1674</v>
      </c>
      <c r="D621" t="s">
        <v>1675</v>
      </c>
      <c r="F621" t="s">
        <v>52</v>
      </c>
      <c r="G621" t="s">
        <v>67</v>
      </c>
      <c r="H621" t="s">
        <v>2574</v>
      </c>
      <c r="I621" s="4"/>
      <c r="J621" t="s">
        <v>2575</v>
      </c>
      <c r="K621" t="s">
        <v>636</v>
      </c>
      <c r="L621" s="5"/>
      <c r="M621" s="5"/>
      <c r="N621" t="s">
        <v>35</v>
      </c>
      <c r="O621" t="s">
        <v>2576</v>
      </c>
      <c r="S621" t="s">
        <v>57</v>
      </c>
      <c r="T621" s="5" t="s">
        <v>48</v>
      </c>
      <c r="U621" t="s">
        <v>2577</v>
      </c>
      <c r="V621" t="s">
        <v>2574</v>
      </c>
      <c r="W621">
        <v>103</v>
      </c>
      <c r="X621" t="s">
        <v>353</v>
      </c>
      <c r="Y621" t="str">
        <f>VLOOKUP(C621,'[1]DBS_KPY Sorumlular'!A:C,2,FALSE)</f>
        <v>Kadir TOPÇU</v>
      </c>
      <c r="Z621" t="str">
        <f>VLOOKUP(C621,'[1]DBS_KPY Sorumlular'!A:C,3,FALSE)</f>
        <v>Erkan AKDOĞAN</v>
      </c>
      <c r="AA621" t="str">
        <f>VLOOKUP(K621,[1]!Tablo3[#Data],2,FALSE)</f>
        <v>Erkan AKDOĞAN</v>
      </c>
    </row>
    <row r="622" spans="1:27" x14ac:dyDescent="0.25">
      <c r="A622">
        <v>1921</v>
      </c>
      <c r="B622" t="s">
        <v>27</v>
      </c>
      <c r="C622" t="s">
        <v>40</v>
      </c>
      <c r="D622" t="s">
        <v>41</v>
      </c>
      <c r="F622" t="s">
        <v>113</v>
      </c>
      <c r="G622" t="s">
        <v>43</v>
      </c>
      <c r="H622" t="s">
        <v>2578</v>
      </c>
      <c r="I622" s="4">
        <v>45804.875</v>
      </c>
      <c r="K622" t="s">
        <v>636</v>
      </c>
      <c r="L622" s="5"/>
      <c r="M622" s="5"/>
      <c r="N622" t="s">
        <v>82</v>
      </c>
      <c r="O622" t="s">
        <v>2579</v>
      </c>
      <c r="R622">
        <v>1</v>
      </c>
      <c r="S622" t="s">
        <v>57</v>
      </c>
      <c r="T622" s="5" t="s">
        <v>58</v>
      </c>
      <c r="U622" t="s">
        <v>254</v>
      </c>
      <c r="V622" t="s">
        <v>255</v>
      </c>
      <c r="W622">
        <v>169</v>
      </c>
      <c r="X622" t="s">
        <v>1480</v>
      </c>
      <c r="Y622" t="str">
        <f>VLOOKUP(C622,'[1]DBS_KPY Sorumlular'!A:C,2,FALSE)</f>
        <v>Mustafa AYDIN</v>
      </c>
      <c r="Z622" t="str">
        <f>VLOOKUP(C622,'[1]DBS_KPY Sorumlular'!A:C,3,FALSE)</f>
        <v>Esra DOLAN</v>
      </c>
      <c r="AA622" t="str">
        <f>VLOOKUP(K622,[1]!Tablo3[#Data],2,FALSE)</f>
        <v>Erkan AKDOĞAN</v>
      </c>
    </row>
    <row r="623" spans="1:27" x14ac:dyDescent="0.25">
      <c r="A623">
        <v>1922</v>
      </c>
      <c r="B623" t="s">
        <v>1419</v>
      </c>
      <c r="C623" t="s">
        <v>304</v>
      </c>
      <c r="D623" t="s">
        <v>305</v>
      </c>
      <c r="F623" t="s">
        <v>486</v>
      </c>
      <c r="G623" t="s">
        <v>67</v>
      </c>
      <c r="H623" t="s">
        <v>2580</v>
      </c>
      <c r="I623" s="4">
        <v>45656.875</v>
      </c>
      <c r="J623" t="s">
        <v>2581</v>
      </c>
      <c r="K623" t="s">
        <v>636</v>
      </c>
      <c r="L623" s="5" t="s">
        <v>2582</v>
      </c>
      <c r="M623" s="5"/>
      <c r="N623" t="s">
        <v>82</v>
      </c>
      <c r="O623" t="s">
        <v>2583</v>
      </c>
      <c r="R623">
        <v>1</v>
      </c>
      <c r="S623" t="s">
        <v>57</v>
      </c>
      <c r="T623" s="5" t="s">
        <v>38</v>
      </c>
      <c r="W623">
        <v>13</v>
      </c>
      <c r="X623" t="s">
        <v>2584</v>
      </c>
      <c r="Y623" t="str">
        <f>VLOOKUP(C623,'[1]DBS_KPY Sorumlular'!A:C,2,FALSE)</f>
        <v>Erkan AKDOĞAN</v>
      </c>
      <c r="Z623" t="str">
        <f>VLOOKUP(C623,'[1]DBS_KPY Sorumlular'!A:C,3,FALSE)</f>
        <v>Kadir TOPÇU</v>
      </c>
      <c r="AA623" t="str">
        <f>VLOOKUP(K623,[1]!Tablo3[#Data],2,FALSE)</f>
        <v>Erkan AKDOĞAN</v>
      </c>
    </row>
    <row r="624" spans="1:27" x14ac:dyDescent="0.25">
      <c r="A624">
        <v>1923</v>
      </c>
      <c r="B624" t="s">
        <v>1419</v>
      </c>
      <c r="C624" t="s">
        <v>304</v>
      </c>
      <c r="D624" t="s">
        <v>305</v>
      </c>
      <c r="F624" t="s">
        <v>306</v>
      </c>
      <c r="G624" t="s">
        <v>96</v>
      </c>
      <c r="H624" t="s">
        <v>2585</v>
      </c>
      <c r="I624" s="4"/>
      <c r="J624" t="s">
        <v>2586</v>
      </c>
      <c r="K624" t="s">
        <v>636</v>
      </c>
      <c r="L624" s="5"/>
      <c r="M624" s="5"/>
      <c r="N624" t="s">
        <v>35</v>
      </c>
      <c r="O624" t="s">
        <v>2587</v>
      </c>
      <c r="S624" t="s">
        <v>57</v>
      </c>
      <c r="T624" s="5" t="s">
        <v>38</v>
      </c>
      <c r="Y624" t="str">
        <f>VLOOKUP(C624,'[1]DBS_KPY Sorumlular'!A:C,2,FALSE)</f>
        <v>Erkan AKDOĞAN</v>
      </c>
      <c r="Z624" t="str">
        <f>VLOOKUP(C624,'[1]DBS_KPY Sorumlular'!A:C,3,FALSE)</f>
        <v>Kadir TOPÇU</v>
      </c>
      <c r="AA624" t="str">
        <f>VLOOKUP(K624,[1]!Tablo3[#Data],2,FALSE)</f>
        <v>Erkan AKDOĞAN</v>
      </c>
    </row>
    <row r="625" spans="1:27" x14ac:dyDescent="0.25">
      <c r="A625">
        <v>1924</v>
      </c>
      <c r="B625" t="s">
        <v>1419</v>
      </c>
      <c r="C625" t="s">
        <v>73</v>
      </c>
      <c r="D625" t="s">
        <v>73</v>
      </c>
      <c r="F625" t="s">
        <v>486</v>
      </c>
      <c r="G625" t="s">
        <v>30</v>
      </c>
      <c r="H625" t="s">
        <v>2588</v>
      </c>
      <c r="I625" s="4"/>
      <c r="J625" t="s">
        <v>2589</v>
      </c>
      <c r="K625" t="s">
        <v>636</v>
      </c>
      <c r="L625" s="5"/>
      <c r="M625" s="5"/>
      <c r="N625" t="s">
        <v>35</v>
      </c>
      <c r="O625" t="s">
        <v>2590</v>
      </c>
      <c r="S625" t="s">
        <v>57</v>
      </c>
      <c r="T625" s="5" t="s">
        <v>38</v>
      </c>
      <c r="Y625" t="str">
        <f>VLOOKUP(C625,'[1]DBS_KPY Sorumlular'!A:C,2,FALSE)</f>
        <v>Ayşegül AKGÜL</v>
      </c>
      <c r="Z625" t="str">
        <f>VLOOKUP(C625,'[1]DBS_KPY Sorumlular'!A:C,3,FALSE)</f>
        <v>Sinan ERDAŞ</v>
      </c>
      <c r="AA625" t="str">
        <f>VLOOKUP(K625,[1]!Tablo3[#Data],2,FALSE)</f>
        <v>Erkan AKDOĞAN</v>
      </c>
    </row>
    <row r="626" spans="1:27" x14ac:dyDescent="0.25">
      <c r="A626">
        <v>1925</v>
      </c>
      <c r="B626" t="s">
        <v>1419</v>
      </c>
      <c r="C626" t="s">
        <v>73</v>
      </c>
      <c r="D626" t="s">
        <v>73</v>
      </c>
      <c r="F626" t="s">
        <v>486</v>
      </c>
      <c r="G626" t="s">
        <v>30</v>
      </c>
      <c r="H626" t="s">
        <v>2591</v>
      </c>
      <c r="I626" s="4"/>
      <c r="J626" t="s">
        <v>2592</v>
      </c>
      <c r="K626" t="s">
        <v>636</v>
      </c>
      <c r="L626" s="5"/>
      <c r="M626" s="5"/>
      <c r="N626" t="s">
        <v>35</v>
      </c>
      <c r="O626" t="s">
        <v>2593</v>
      </c>
      <c r="S626" t="s">
        <v>57</v>
      </c>
      <c r="T626" s="5" t="s">
        <v>38</v>
      </c>
      <c r="Y626" t="str">
        <f>VLOOKUP(C626,'[1]DBS_KPY Sorumlular'!A:C,2,FALSE)</f>
        <v>Ayşegül AKGÜL</v>
      </c>
      <c r="Z626" t="str">
        <f>VLOOKUP(C626,'[1]DBS_KPY Sorumlular'!A:C,3,FALSE)</f>
        <v>Sinan ERDAŞ</v>
      </c>
      <c r="AA626" t="str">
        <f>VLOOKUP(K626,[1]!Tablo3[#Data],2,FALSE)</f>
        <v>Erkan AKDOĞAN</v>
      </c>
    </row>
    <row r="627" spans="1:27" x14ac:dyDescent="0.25">
      <c r="A627">
        <v>1926</v>
      </c>
      <c r="B627" t="s">
        <v>1419</v>
      </c>
      <c r="C627" t="s">
        <v>73</v>
      </c>
      <c r="D627" t="s">
        <v>73</v>
      </c>
      <c r="F627" t="s">
        <v>486</v>
      </c>
      <c r="G627" t="s">
        <v>30</v>
      </c>
      <c r="H627" t="s">
        <v>2594</v>
      </c>
      <c r="I627" s="4"/>
      <c r="J627" t="s">
        <v>2595</v>
      </c>
      <c r="K627" t="s">
        <v>636</v>
      </c>
      <c r="L627" s="5"/>
      <c r="M627" s="5"/>
      <c r="N627" t="s">
        <v>35</v>
      </c>
      <c r="O627" t="s">
        <v>2596</v>
      </c>
      <c r="S627" t="s">
        <v>57</v>
      </c>
      <c r="T627" s="5" t="s">
        <v>38</v>
      </c>
      <c r="Y627" t="str">
        <f>VLOOKUP(C627,'[1]DBS_KPY Sorumlular'!A:C,2,FALSE)</f>
        <v>Ayşegül AKGÜL</v>
      </c>
      <c r="Z627" t="str">
        <f>VLOOKUP(C627,'[1]DBS_KPY Sorumlular'!A:C,3,FALSE)</f>
        <v>Sinan ERDAŞ</v>
      </c>
      <c r="AA627" t="str">
        <f>VLOOKUP(K627,[1]!Tablo3[#Data],2,FALSE)</f>
        <v>Erkan AKDOĞAN</v>
      </c>
    </row>
    <row r="628" spans="1:27" x14ac:dyDescent="0.25">
      <c r="A628">
        <v>1927</v>
      </c>
      <c r="B628" t="s">
        <v>1419</v>
      </c>
      <c r="C628" t="s">
        <v>1674</v>
      </c>
      <c r="D628" t="s">
        <v>1675</v>
      </c>
      <c r="F628" t="s">
        <v>306</v>
      </c>
      <c r="G628" t="s">
        <v>96</v>
      </c>
      <c r="H628" t="s">
        <v>2597</v>
      </c>
      <c r="I628" s="4"/>
      <c r="J628" t="s">
        <v>2598</v>
      </c>
      <c r="K628" t="s">
        <v>636</v>
      </c>
      <c r="L628" s="5"/>
      <c r="M628" s="5"/>
      <c r="N628" t="s">
        <v>35</v>
      </c>
      <c r="O628" t="s">
        <v>2599</v>
      </c>
      <c r="S628" t="s">
        <v>57</v>
      </c>
      <c r="T628" s="5" t="s">
        <v>48</v>
      </c>
      <c r="U628" t="s">
        <v>2600</v>
      </c>
      <c r="V628" t="s">
        <v>2597</v>
      </c>
      <c r="W628">
        <v>28</v>
      </c>
      <c r="X628" t="s">
        <v>667</v>
      </c>
      <c r="Y628" t="str">
        <f>VLOOKUP(C628,'[1]DBS_KPY Sorumlular'!A:C,2,FALSE)</f>
        <v>Kadir TOPÇU</v>
      </c>
      <c r="Z628" t="str">
        <f>VLOOKUP(C628,'[1]DBS_KPY Sorumlular'!A:C,3,FALSE)</f>
        <v>Erkan AKDOĞAN</v>
      </c>
      <c r="AA628" t="str">
        <f>VLOOKUP(K628,[1]!Tablo3[#Data],2,FALSE)</f>
        <v>Erkan AKDOĞAN</v>
      </c>
    </row>
    <row r="629" spans="1:27" x14ac:dyDescent="0.25">
      <c r="A629">
        <v>1928</v>
      </c>
      <c r="B629" t="s">
        <v>1419</v>
      </c>
      <c r="C629" t="s">
        <v>1674</v>
      </c>
      <c r="D629" t="s">
        <v>1675</v>
      </c>
      <c r="F629" t="s">
        <v>52</v>
      </c>
      <c r="G629" t="s">
        <v>67</v>
      </c>
      <c r="H629" t="s">
        <v>2601</v>
      </c>
      <c r="I629" s="4"/>
      <c r="J629" t="s">
        <v>2602</v>
      </c>
      <c r="K629" t="s">
        <v>636</v>
      </c>
      <c r="L629" s="5"/>
      <c r="M629" s="5"/>
      <c r="N629" t="s">
        <v>35</v>
      </c>
      <c r="O629" t="s">
        <v>2603</v>
      </c>
      <c r="S629" t="s">
        <v>57</v>
      </c>
      <c r="T629" s="5" t="s">
        <v>48</v>
      </c>
      <c r="U629" t="s">
        <v>2604</v>
      </c>
      <c r="V629" t="s">
        <v>2601</v>
      </c>
      <c r="W629">
        <v>103</v>
      </c>
      <c r="X629" t="s">
        <v>353</v>
      </c>
      <c r="Y629" t="str">
        <f>VLOOKUP(C629,'[1]DBS_KPY Sorumlular'!A:C,2,FALSE)</f>
        <v>Kadir TOPÇU</v>
      </c>
      <c r="Z629" t="str">
        <f>VLOOKUP(C629,'[1]DBS_KPY Sorumlular'!A:C,3,FALSE)</f>
        <v>Erkan AKDOĞAN</v>
      </c>
      <c r="AA629" t="str">
        <f>VLOOKUP(K629,[1]!Tablo3[#Data],2,FALSE)</f>
        <v>Erkan AKDOĞAN</v>
      </c>
    </row>
    <row r="630" spans="1:27" x14ac:dyDescent="0.25">
      <c r="A630">
        <v>1929</v>
      </c>
      <c r="B630" t="s">
        <v>1419</v>
      </c>
      <c r="C630" t="s">
        <v>1674</v>
      </c>
      <c r="D630" t="s">
        <v>1717</v>
      </c>
      <c r="F630" t="s">
        <v>184</v>
      </c>
      <c r="G630" t="s">
        <v>43</v>
      </c>
      <c r="H630" t="s">
        <v>2605</v>
      </c>
      <c r="I630" s="4"/>
      <c r="J630" t="s">
        <v>2606</v>
      </c>
      <c r="K630" t="s">
        <v>636</v>
      </c>
      <c r="L630" s="5"/>
      <c r="M630" s="5"/>
      <c r="N630" t="s">
        <v>35</v>
      </c>
      <c r="O630" t="s">
        <v>2607</v>
      </c>
      <c r="S630" t="s">
        <v>57</v>
      </c>
      <c r="T630" s="5" t="s">
        <v>48</v>
      </c>
      <c r="U630" t="s">
        <v>2608</v>
      </c>
      <c r="V630" t="s">
        <v>2609</v>
      </c>
      <c r="W630">
        <v>138</v>
      </c>
      <c r="X630" t="s">
        <v>881</v>
      </c>
      <c r="Y630" t="str">
        <f>VLOOKUP(C630,'[1]DBS_KPY Sorumlular'!A:C,2,FALSE)</f>
        <v>Kadir TOPÇU</v>
      </c>
      <c r="Z630" t="str">
        <f>VLOOKUP(C630,'[1]DBS_KPY Sorumlular'!A:C,3,FALSE)</f>
        <v>Erkan AKDOĞAN</v>
      </c>
      <c r="AA630" t="str">
        <f>VLOOKUP(K630,[1]!Tablo3[#Data],2,FALSE)</f>
        <v>Erkan AKDOĞAN</v>
      </c>
    </row>
    <row r="631" spans="1:27" x14ac:dyDescent="0.25">
      <c r="A631">
        <v>1930</v>
      </c>
      <c r="B631" t="s">
        <v>1419</v>
      </c>
      <c r="C631" t="s">
        <v>40</v>
      </c>
      <c r="D631" t="s">
        <v>65</v>
      </c>
      <c r="F631" t="s">
        <v>486</v>
      </c>
      <c r="G631" t="s">
        <v>30</v>
      </c>
      <c r="H631" t="s">
        <v>2610</v>
      </c>
      <c r="I631" s="4"/>
      <c r="J631" t="s">
        <v>2611</v>
      </c>
      <c r="K631" t="s">
        <v>152</v>
      </c>
      <c r="L631" s="5"/>
      <c r="M631" s="5"/>
      <c r="N631" t="s">
        <v>35</v>
      </c>
      <c r="O631" t="s">
        <v>2612</v>
      </c>
      <c r="S631" t="s">
        <v>57</v>
      </c>
      <c r="T631" s="5" t="s">
        <v>48</v>
      </c>
      <c r="U631" t="s">
        <v>2613</v>
      </c>
      <c r="V631" t="s">
        <v>2614</v>
      </c>
      <c r="W631">
        <v>207</v>
      </c>
      <c r="X631" t="s">
        <v>472</v>
      </c>
      <c r="Y631" t="str">
        <f>VLOOKUP(C631,'[1]DBS_KPY Sorumlular'!A:C,2,FALSE)</f>
        <v>Mustafa AYDIN</v>
      </c>
      <c r="Z631" t="str">
        <f>VLOOKUP(C631,'[1]DBS_KPY Sorumlular'!A:C,3,FALSE)</f>
        <v>Esra DOLAN</v>
      </c>
      <c r="AA631" t="str">
        <f>VLOOKUP(K631,[1]!Tablo3[#Data],2,FALSE)</f>
        <v>Erkan AKDOĞAN</v>
      </c>
    </row>
    <row r="632" spans="1:27" x14ac:dyDescent="0.25">
      <c r="A632">
        <v>1931</v>
      </c>
      <c r="B632" t="s">
        <v>1419</v>
      </c>
      <c r="C632" t="s">
        <v>40</v>
      </c>
      <c r="D632" t="s">
        <v>65</v>
      </c>
      <c r="F632" t="s">
        <v>486</v>
      </c>
      <c r="G632" t="s">
        <v>67</v>
      </c>
      <c r="H632" t="s">
        <v>2615</v>
      </c>
      <c r="I632" s="4"/>
      <c r="K632" t="s">
        <v>636</v>
      </c>
      <c r="L632" s="5"/>
      <c r="M632" s="5"/>
      <c r="N632" t="s">
        <v>35</v>
      </c>
      <c r="O632" t="s">
        <v>2616</v>
      </c>
      <c r="S632" t="s">
        <v>57</v>
      </c>
      <c r="T632" s="5" t="s">
        <v>100</v>
      </c>
      <c r="W632">
        <v>90</v>
      </c>
      <c r="X632" t="s">
        <v>1851</v>
      </c>
      <c r="Y632" t="str">
        <f>VLOOKUP(C632,'[1]DBS_KPY Sorumlular'!A:C,2,FALSE)</f>
        <v>Mustafa AYDIN</v>
      </c>
      <c r="Z632" t="str">
        <f>VLOOKUP(C632,'[1]DBS_KPY Sorumlular'!A:C,3,FALSE)</f>
        <v>Esra DOLAN</v>
      </c>
      <c r="AA632" t="str">
        <f>VLOOKUP(K632,[1]!Tablo3[#Data],2,FALSE)</f>
        <v>Erkan AKDOĞAN</v>
      </c>
    </row>
    <row r="633" spans="1:27" x14ac:dyDescent="0.25">
      <c r="A633">
        <v>1932</v>
      </c>
      <c r="B633" t="s">
        <v>1419</v>
      </c>
      <c r="C633" t="s">
        <v>304</v>
      </c>
      <c r="D633" t="s">
        <v>305</v>
      </c>
      <c r="F633" t="s">
        <v>486</v>
      </c>
      <c r="G633" t="s">
        <v>67</v>
      </c>
      <c r="H633" t="s">
        <v>2617</v>
      </c>
      <c r="I633" s="4"/>
      <c r="J633" t="s">
        <v>2618</v>
      </c>
      <c r="K633" t="s">
        <v>636</v>
      </c>
      <c r="L633" s="5"/>
      <c r="M633" s="5"/>
      <c r="N633" t="s">
        <v>35</v>
      </c>
      <c r="O633" t="s">
        <v>2619</v>
      </c>
      <c r="S633" t="s">
        <v>57</v>
      </c>
      <c r="T633" s="5" t="s">
        <v>38</v>
      </c>
      <c r="Y633" t="str">
        <f>VLOOKUP(C633,'[1]DBS_KPY Sorumlular'!A:C,2,FALSE)</f>
        <v>Erkan AKDOĞAN</v>
      </c>
      <c r="Z633" t="str">
        <f>VLOOKUP(C633,'[1]DBS_KPY Sorumlular'!A:C,3,FALSE)</f>
        <v>Kadir TOPÇU</v>
      </c>
      <c r="AA633" t="str">
        <f>VLOOKUP(K633,[1]!Tablo3[#Data],2,FALSE)</f>
        <v>Erkan AKDOĞAN</v>
      </c>
    </row>
    <row r="634" spans="1:27" x14ac:dyDescent="0.25">
      <c r="A634">
        <v>1933</v>
      </c>
      <c r="B634" t="s">
        <v>27</v>
      </c>
      <c r="C634" t="s">
        <v>304</v>
      </c>
      <c r="D634" t="s">
        <v>305</v>
      </c>
      <c r="F634" t="s">
        <v>306</v>
      </c>
      <c r="G634" t="s">
        <v>96</v>
      </c>
      <c r="H634" t="s">
        <v>2620</v>
      </c>
      <c r="I634" s="4">
        <v>45443.875</v>
      </c>
      <c r="J634" t="s">
        <v>2621</v>
      </c>
      <c r="K634" t="s">
        <v>636</v>
      </c>
      <c r="L634" s="5" t="s">
        <v>1551</v>
      </c>
      <c r="M634" s="5"/>
      <c r="N634" t="s">
        <v>82</v>
      </c>
      <c r="O634" t="s">
        <v>2622</v>
      </c>
      <c r="R634">
        <v>1</v>
      </c>
      <c r="S634" t="s">
        <v>57</v>
      </c>
      <c r="T634" s="5" t="s">
        <v>38</v>
      </c>
      <c r="W634">
        <v>206</v>
      </c>
      <c r="X634" t="s">
        <v>311</v>
      </c>
      <c r="Y634" t="str">
        <f>VLOOKUP(C634,'[1]DBS_KPY Sorumlular'!A:C,2,FALSE)</f>
        <v>Erkan AKDOĞAN</v>
      </c>
      <c r="Z634" t="str">
        <f>VLOOKUP(C634,'[1]DBS_KPY Sorumlular'!A:C,3,FALSE)</f>
        <v>Kadir TOPÇU</v>
      </c>
      <c r="AA634" t="str">
        <f>VLOOKUP(K634,[1]!Tablo3[#Data],2,FALSE)</f>
        <v>Erkan AKDOĞAN</v>
      </c>
    </row>
    <row r="635" spans="1:27" x14ac:dyDescent="0.25">
      <c r="A635">
        <v>1934</v>
      </c>
      <c r="B635" t="s">
        <v>1419</v>
      </c>
      <c r="C635" t="s">
        <v>304</v>
      </c>
      <c r="D635" t="s">
        <v>305</v>
      </c>
      <c r="F635" t="s">
        <v>486</v>
      </c>
      <c r="G635" t="s">
        <v>96</v>
      </c>
      <c r="H635" t="s">
        <v>2623</v>
      </c>
      <c r="I635" s="4"/>
      <c r="J635" t="s">
        <v>2624</v>
      </c>
      <c r="K635" t="s">
        <v>636</v>
      </c>
      <c r="L635" s="5"/>
      <c r="M635" s="5"/>
      <c r="N635" t="s">
        <v>35</v>
      </c>
      <c r="O635" t="s">
        <v>2625</v>
      </c>
      <c r="S635" t="s">
        <v>57</v>
      </c>
      <c r="T635" s="5" t="s">
        <v>38</v>
      </c>
      <c r="Y635" t="str">
        <f>VLOOKUP(C635,'[1]DBS_KPY Sorumlular'!A:C,2,FALSE)</f>
        <v>Erkan AKDOĞAN</v>
      </c>
      <c r="Z635" t="str">
        <f>VLOOKUP(C635,'[1]DBS_KPY Sorumlular'!A:C,3,FALSE)</f>
        <v>Kadir TOPÇU</v>
      </c>
      <c r="AA635" t="str">
        <f>VLOOKUP(K635,[1]!Tablo3[#Data],2,FALSE)</f>
        <v>Erkan AKDOĞAN</v>
      </c>
    </row>
    <row r="636" spans="1:27" x14ac:dyDescent="0.25">
      <c r="A636">
        <v>1935</v>
      </c>
      <c r="B636" t="s">
        <v>1419</v>
      </c>
      <c r="C636" t="s">
        <v>304</v>
      </c>
      <c r="D636" t="s">
        <v>305</v>
      </c>
      <c r="F636" t="s">
        <v>306</v>
      </c>
      <c r="G636" t="s">
        <v>96</v>
      </c>
      <c r="H636" t="s">
        <v>2626</v>
      </c>
      <c r="I636" s="4"/>
      <c r="J636" t="s">
        <v>2627</v>
      </c>
      <c r="K636" t="s">
        <v>636</v>
      </c>
      <c r="L636" s="5"/>
      <c r="M636" s="5"/>
      <c r="N636" t="s">
        <v>35</v>
      </c>
      <c r="O636" t="s">
        <v>2628</v>
      </c>
      <c r="S636" t="s">
        <v>57</v>
      </c>
      <c r="T636" s="5" t="s">
        <v>38</v>
      </c>
      <c r="Y636" t="str">
        <f>VLOOKUP(C636,'[1]DBS_KPY Sorumlular'!A:C,2,FALSE)</f>
        <v>Erkan AKDOĞAN</v>
      </c>
      <c r="Z636" t="str">
        <f>VLOOKUP(C636,'[1]DBS_KPY Sorumlular'!A:C,3,FALSE)</f>
        <v>Kadir TOPÇU</v>
      </c>
      <c r="AA636" t="str">
        <f>VLOOKUP(K636,[1]!Tablo3[#Data],2,FALSE)</f>
        <v>Erkan AKDOĞAN</v>
      </c>
    </row>
    <row r="637" spans="1:27" x14ac:dyDescent="0.25">
      <c r="A637">
        <v>1936</v>
      </c>
      <c r="B637" t="s">
        <v>1419</v>
      </c>
      <c r="C637" t="s">
        <v>73</v>
      </c>
      <c r="D637" t="s">
        <v>73</v>
      </c>
      <c r="F637" t="s">
        <v>486</v>
      </c>
      <c r="G637" t="s">
        <v>30</v>
      </c>
      <c r="H637" t="s">
        <v>671</v>
      </c>
      <c r="I637" s="4"/>
      <c r="J637" t="s">
        <v>2629</v>
      </c>
      <c r="K637" t="s">
        <v>636</v>
      </c>
      <c r="L637" s="5"/>
      <c r="M637" s="5"/>
      <c r="N637" t="s">
        <v>35</v>
      </c>
      <c r="O637" t="s">
        <v>2630</v>
      </c>
      <c r="S637" t="s">
        <v>57</v>
      </c>
      <c r="T637" s="5" t="s">
        <v>38</v>
      </c>
      <c r="Y637" t="str">
        <f>VLOOKUP(C637,'[1]DBS_KPY Sorumlular'!A:C,2,FALSE)</f>
        <v>Ayşegül AKGÜL</v>
      </c>
      <c r="Z637" t="str">
        <f>VLOOKUP(C637,'[1]DBS_KPY Sorumlular'!A:C,3,FALSE)</f>
        <v>Sinan ERDAŞ</v>
      </c>
      <c r="AA637" t="str">
        <f>VLOOKUP(K637,[1]!Tablo3[#Data],2,FALSE)</f>
        <v>Erkan AKDOĞAN</v>
      </c>
    </row>
    <row r="638" spans="1:27" x14ac:dyDescent="0.25">
      <c r="A638">
        <v>1937</v>
      </c>
      <c r="B638" t="s">
        <v>1419</v>
      </c>
      <c r="C638" t="s">
        <v>73</v>
      </c>
      <c r="D638" t="s">
        <v>73</v>
      </c>
      <c r="F638" t="s">
        <v>486</v>
      </c>
      <c r="G638" t="s">
        <v>456</v>
      </c>
      <c r="H638" t="s">
        <v>2631</v>
      </c>
      <c r="I638" s="4"/>
      <c r="K638" t="s">
        <v>636</v>
      </c>
      <c r="L638" s="5"/>
      <c r="M638" s="5"/>
      <c r="N638" t="s">
        <v>35</v>
      </c>
      <c r="O638" t="s">
        <v>2632</v>
      </c>
      <c r="S638" t="s">
        <v>57</v>
      </c>
      <c r="T638" s="5" t="s">
        <v>38</v>
      </c>
      <c r="Y638" t="str">
        <f>VLOOKUP(C638,'[1]DBS_KPY Sorumlular'!A:C,2,FALSE)</f>
        <v>Ayşegül AKGÜL</v>
      </c>
      <c r="Z638" t="str">
        <f>VLOOKUP(C638,'[1]DBS_KPY Sorumlular'!A:C,3,FALSE)</f>
        <v>Sinan ERDAŞ</v>
      </c>
      <c r="AA638" t="str">
        <f>VLOOKUP(K638,[1]!Tablo3[#Data],2,FALSE)</f>
        <v>Erkan AKDOĞAN</v>
      </c>
    </row>
    <row r="639" spans="1:27" x14ac:dyDescent="0.25">
      <c r="A639">
        <v>1938</v>
      </c>
      <c r="B639" t="s">
        <v>1419</v>
      </c>
      <c r="C639" t="s">
        <v>1674</v>
      </c>
      <c r="D639" t="s">
        <v>1717</v>
      </c>
      <c r="F639" t="s">
        <v>102</v>
      </c>
      <c r="G639" t="s">
        <v>43</v>
      </c>
      <c r="H639" t="s">
        <v>2633</v>
      </c>
      <c r="I639" s="4"/>
      <c r="J639" t="s">
        <v>2634</v>
      </c>
      <c r="K639" t="s">
        <v>636</v>
      </c>
      <c r="L639" s="5"/>
      <c r="M639" s="5" t="s">
        <v>2635</v>
      </c>
      <c r="N639" t="s">
        <v>35</v>
      </c>
      <c r="O639" t="s">
        <v>2636</v>
      </c>
      <c r="S639" t="s">
        <v>57</v>
      </c>
      <c r="T639" s="5" t="s">
        <v>48</v>
      </c>
      <c r="U639" t="s">
        <v>2637</v>
      </c>
      <c r="V639" t="s">
        <v>2638</v>
      </c>
      <c r="W639">
        <v>166</v>
      </c>
      <c r="X639" t="s">
        <v>2118</v>
      </c>
      <c r="Y639" t="str">
        <f>VLOOKUP(C639,'[1]DBS_KPY Sorumlular'!A:C,2,FALSE)</f>
        <v>Kadir TOPÇU</v>
      </c>
      <c r="Z639" t="str">
        <f>VLOOKUP(C639,'[1]DBS_KPY Sorumlular'!A:C,3,FALSE)</f>
        <v>Erkan AKDOĞAN</v>
      </c>
      <c r="AA639" t="str">
        <f>VLOOKUP(K639,[1]!Tablo3[#Data],2,FALSE)</f>
        <v>Erkan AKDOĞAN</v>
      </c>
    </row>
    <row r="640" spans="1:27" x14ac:dyDescent="0.25">
      <c r="A640">
        <v>1939</v>
      </c>
      <c r="B640" t="s">
        <v>1419</v>
      </c>
      <c r="C640" t="s">
        <v>1674</v>
      </c>
      <c r="D640" t="s">
        <v>1717</v>
      </c>
      <c r="F640" t="s">
        <v>113</v>
      </c>
      <c r="G640" t="s">
        <v>43</v>
      </c>
      <c r="H640" t="s">
        <v>2639</v>
      </c>
      <c r="I640" s="4"/>
      <c r="J640" t="s">
        <v>2640</v>
      </c>
      <c r="K640" t="s">
        <v>636</v>
      </c>
      <c r="L640" s="5"/>
      <c r="M640" s="5" t="s">
        <v>2641</v>
      </c>
      <c r="N640" t="s">
        <v>35</v>
      </c>
      <c r="O640" t="s">
        <v>2642</v>
      </c>
      <c r="S640" t="s">
        <v>57</v>
      </c>
      <c r="T640" s="5" t="s">
        <v>48</v>
      </c>
      <c r="U640" t="s">
        <v>2643</v>
      </c>
      <c r="V640" t="s">
        <v>2639</v>
      </c>
      <c r="W640">
        <v>169</v>
      </c>
      <c r="X640" t="s">
        <v>1480</v>
      </c>
      <c r="Y640" t="str">
        <f>VLOOKUP(C640,'[1]DBS_KPY Sorumlular'!A:C,2,FALSE)</f>
        <v>Kadir TOPÇU</v>
      </c>
      <c r="Z640" t="str">
        <f>VLOOKUP(C640,'[1]DBS_KPY Sorumlular'!A:C,3,FALSE)</f>
        <v>Erkan AKDOĞAN</v>
      </c>
      <c r="AA640" t="str">
        <f>VLOOKUP(K640,[1]!Tablo3[#Data],2,FALSE)</f>
        <v>Erkan AKDOĞAN</v>
      </c>
    </row>
    <row r="641" spans="1:27" x14ac:dyDescent="0.25">
      <c r="A641">
        <v>1940</v>
      </c>
      <c r="B641" t="s">
        <v>1419</v>
      </c>
      <c r="C641" t="s">
        <v>288</v>
      </c>
      <c r="D641" t="s">
        <v>2644</v>
      </c>
      <c r="E641" t="s">
        <v>2645</v>
      </c>
      <c r="F641" t="s">
        <v>486</v>
      </c>
      <c r="G641" t="s">
        <v>30</v>
      </c>
      <c r="H641" t="s">
        <v>2646</v>
      </c>
      <c r="I641" s="4"/>
      <c r="K641" t="s">
        <v>678</v>
      </c>
      <c r="L641" s="5" t="s">
        <v>2647</v>
      </c>
      <c r="M641" s="5" t="s">
        <v>2648</v>
      </c>
      <c r="N641" t="s">
        <v>35</v>
      </c>
      <c r="O641" t="s">
        <v>2649</v>
      </c>
      <c r="S641" t="s">
        <v>230</v>
      </c>
      <c r="T641" s="5" t="s">
        <v>38</v>
      </c>
      <c r="W641">
        <v>89</v>
      </c>
      <c r="X641" t="s">
        <v>1267</v>
      </c>
      <c r="Y641" t="str">
        <f>VLOOKUP(C641,'[1]DBS_KPY Sorumlular'!A:C,2,FALSE)</f>
        <v>Sinan ERDAŞ</v>
      </c>
      <c r="Z641" t="str">
        <f>VLOOKUP(C641,'[1]DBS_KPY Sorumlular'!A:C,3,FALSE)</f>
        <v>Ayşegül AKGÜL</v>
      </c>
      <c r="AA641" t="str">
        <f>VLOOKUP(K641,[1]!Tablo3[#Data],2,FALSE)</f>
        <v>Kadir TOPÇU</v>
      </c>
    </row>
    <row r="642" spans="1:27" x14ac:dyDescent="0.25">
      <c r="A642">
        <v>1941</v>
      </c>
      <c r="B642" t="s">
        <v>27</v>
      </c>
      <c r="C642" t="s">
        <v>40</v>
      </c>
      <c r="D642" t="s">
        <v>41</v>
      </c>
      <c r="F642" t="s">
        <v>52</v>
      </c>
      <c r="G642" t="s">
        <v>43</v>
      </c>
      <c r="H642" t="s">
        <v>2650</v>
      </c>
      <c r="I642" s="4"/>
      <c r="K642" t="s">
        <v>226</v>
      </c>
      <c r="L642" s="5" t="s">
        <v>2651</v>
      </c>
      <c r="M642" s="5"/>
      <c r="N642" t="s">
        <v>739</v>
      </c>
      <c r="O642" t="s">
        <v>2652</v>
      </c>
      <c r="R642">
        <v>0</v>
      </c>
      <c r="S642" t="s">
        <v>230</v>
      </c>
      <c r="T642" s="5" t="s">
        <v>100</v>
      </c>
      <c r="W642">
        <v>258</v>
      </c>
      <c r="X642" t="s">
        <v>1811</v>
      </c>
      <c r="Y642" t="str">
        <f>VLOOKUP(C642,'[1]DBS_KPY Sorumlular'!A:C,2,FALSE)</f>
        <v>Mustafa AYDIN</v>
      </c>
      <c r="Z642" t="str">
        <f>VLOOKUP(C642,'[1]DBS_KPY Sorumlular'!A:C,3,FALSE)</f>
        <v>Esra DOLAN</v>
      </c>
      <c r="AA642" t="str">
        <f>VLOOKUP(K642,[1]!Tablo3[#Data],2,FALSE)</f>
        <v>Kadir TOPÇU</v>
      </c>
    </row>
    <row r="643" spans="1:27" x14ac:dyDescent="0.25">
      <c r="A643">
        <v>1942</v>
      </c>
      <c r="B643" t="s">
        <v>1419</v>
      </c>
      <c r="C643" t="s">
        <v>40</v>
      </c>
      <c r="D643" t="s">
        <v>41</v>
      </c>
      <c r="F643" t="s">
        <v>455</v>
      </c>
      <c r="G643" t="s">
        <v>43</v>
      </c>
      <c r="H643" t="s">
        <v>2653</v>
      </c>
      <c r="I643" s="4"/>
      <c r="K643" t="s">
        <v>678</v>
      </c>
      <c r="L643" s="5" t="s">
        <v>2654</v>
      </c>
      <c r="M643" s="5"/>
      <c r="N643" t="s">
        <v>35</v>
      </c>
      <c r="O643" t="s">
        <v>2655</v>
      </c>
      <c r="S643" t="s">
        <v>230</v>
      </c>
      <c r="T643" s="5" t="s">
        <v>100</v>
      </c>
      <c r="W643">
        <v>144</v>
      </c>
      <c r="X643" t="s">
        <v>463</v>
      </c>
      <c r="Y643" t="str">
        <f>VLOOKUP(C643,'[1]DBS_KPY Sorumlular'!A:C,2,FALSE)</f>
        <v>Mustafa AYDIN</v>
      </c>
      <c r="Z643" t="str">
        <f>VLOOKUP(C643,'[1]DBS_KPY Sorumlular'!A:C,3,FALSE)</f>
        <v>Esra DOLAN</v>
      </c>
      <c r="AA643" t="str">
        <f>VLOOKUP(K643,[1]!Tablo3[#Data],2,FALSE)</f>
        <v>Kadir TOPÇU</v>
      </c>
    </row>
    <row r="644" spans="1:27" x14ac:dyDescent="0.25">
      <c r="A644">
        <v>1943</v>
      </c>
      <c r="B644" t="s">
        <v>27</v>
      </c>
      <c r="C644" t="s">
        <v>40</v>
      </c>
      <c r="D644" t="s">
        <v>65</v>
      </c>
      <c r="F644" t="s">
        <v>486</v>
      </c>
      <c r="G644" t="s">
        <v>67</v>
      </c>
      <c r="H644" t="s">
        <v>2656</v>
      </c>
      <c r="I644" s="4">
        <v>45929.875</v>
      </c>
      <c r="J644" t="s">
        <v>2657</v>
      </c>
      <c r="K644" t="s">
        <v>678</v>
      </c>
      <c r="L644" s="5"/>
      <c r="M644" s="5"/>
      <c r="N644" t="s">
        <v>46</v>
      </c>
      <c r="O644" t="s">
        <v>2658</v>
      </c>
      <c r="R644">
        <v>0.3</v>
      </c>
      <c r="S644" t="s">
        <v>230</v>
      </c>
      <c r="T644" s="5" t="s">
        <v>48</v>
      </c>
      <c r="U644" t="s">
        <v>2659</v>
      </c>
      <c r="V644" t="s">
        <v>2660</v>
      </c>
      <c r="W644">
        <v>208</v>
      </c>
      <c r="X644" t="s">
        <v>594</v>
      </c>
      <c r="Y644" t="str">
        <f>VLOOKUP(C644,'[1]DBS_KPY Sorumlular'!A:C,2,FALSE)</f>
        <v>Mustafa AYDIN</v>
      </c>
      <c r="Z644" t="str">
        <f>VLOOKUP(C644,'[1]DBS_KPY Sorumlular'!A:C,3,FALSE)</f>
        <v>Esra DOLAN</v>
      </c>
      <c r="AA644" t="str">
        <f>VLOOKUP(K644,[1]!Tablo3[#Data],2,FALSE)</f>
        <v>Kadir TOPÇU</v>
      </c>
    </row>
    <row r="645" spans="1:27" x14ac:dyDescent="0.25">
      <c r="A645">
        <v>1944</v>
      </c>
      <c r="B645" t="s">
        <v>1419</v>
      </c>
      <c r="C645" t="s">
        <v>652</v>
      </c>
      <c r="D645" t="s">
        <v>653</v>
      </c>
      <c r="F645" t="s">
        <v>455</v>
      </c>
      <c r="G645" t="s">
        <v>456</v>
      </c>
      <c r="H645" t="s">
        <v>2661</v>
      </c>
      <c r="I645" s="4"/>
      <c r="J645" t="s">
        <v>2662</v>
      </c>
      <c r="K645" t="s">
        <v>678</v>
      </c>
      <c r="L645" s="5"/>
      <c r="M645" s="5"/>
      <c r="N645" t="s">
        <v>35</v>
      </c>
      <c r="O645" t="s">
        <v>2663</v>
      </c>
      <c r="S645" t="s">
        <v>230</v>
      </c>
      <c r="T645" s="5" t="s">
        <v>100</v>
      </c>
      <c r="W645">
        <v>144</v>
      </c>
      <c r="X645" t="s">
        <v>463</v>
      </c>
      <c r="Y645" t="str">
        <f>VLOOKUP(C645,'[1]DBS_KPY Sorumlular'!A:C,2,FALSE)</f>
        <v>Seyithan İŞİK</v>
      </c>
      <c r="Z645" t="str">
        <f>VLOOKUP(C645,'[1]DBS_KPY Sorumlular'!A:C,3,FALSE)</f>
        <v>Korhan KÖROĞLU</v>
      </c>
      <c r="AA645" t="str">
        <f>VLOOKUP(K645,[1]!Tablo3[#Data],2,FALSE)</f>
        <v>Kadir TOPÇU</v>
      </c>
    </row>
    <row r="646" spans="1:27" x14ac:dyDescent="0.25">
      <c r="A646">
        <v>1945</v>
      </c>
      <c r="B646" t="s">
        <v>1419</v>
      </c>
      <c r="C646" t="s">
        <v>304</v>
      </c>
      <c r="D646" t="s">
        <v>305</v>
      </c>
      <c r="F646" t="s">
        <v>306</v>
      </c>
      <c r="G646" t="s">
        <v>96</v>
      </c>
      <c r="H646" t="s">
        <v>2664</v>
      </c>
      <c r="I646" s="4"/>
      <c r="J646" t="s">
        <v>2665</v>
      </c>
      <c r="K646" t="s">
        <v>678</v>
      </c>
      <c r="L646" s="5"/>
      <c r="M646" s="5"/>
      <c r="N646" t="s">
        <v>35</v>
      </c>
      <c r="O646" t="s">
        <v>2666</v>
      </c>
      <c r="S646" t="s">
        <v>230</v>
      </c>
      <c r="T646" s="5" t="s">
        <v>38</v>
      </c>
      <c r="Y646" t="str">
        <f>VLOOKUP(C646,'[1]DBS_KPY Sorumlular'!A:C,2,FALSE)</f>
        <v>Erkan AKDOĞAN</v>
      </c>
      <c r="Z646" t="str">
        <f>VLOOKUP(C646,'[1]DBS_KPY Sorumlular'!A:C,3,FALSE)</f>
        <v>Kadir TOPÇU</v>
      </c>
      <c r="AA646" t="str">
        <f>VLOOKUP(K646,[1]!Tablo3[#Data],2,FALSE)</f>
        <v>Kadir TOPÇU</v>
      </c>
    </row>
    <row r="647" spans="1:27" x14ac:dyDescent="0.25">
      <c r="A647">
        <v>1946</v>
      </c>
      <c r="B647" t="s">
        <v>1419</v>
      </c>
      <c r="C647" t="s">
        <v>1723</v>
      </c>
      <c r="D647" t="s">
        <v>1751</v>
      </c>
      <c r="F647" t="s">
        <v>486</v>
      </c>
      <c r="G647" t="s">
        <v>67</v>
      </c>
      <c r="H647" t="s">
        <v>2667</v>
      </c>
      <c r="I647" s="4"/>
      <c r="J647" t="s">
        <v>2668</v>
      </c>
      <c r="K647" t="s">
        <v>678</v>
      </c>
      <c r="L647" s="5" t="s">
        <v>2669</v>
      </c>
      <c r="M647" s="5" t="s">
        <v>2670</v>
      </c>
      <c r="N647" t="s">
        <v>35</v>
      </c>
      <c r="O647" t="s">
        <v>2671</v>
      </c>
      <c r="S647" t="s">
        <v>230</v>
      </c>
      <c r="T647" s="5" t="s">
        <v>38</v>
      </c>
      <c r="Y647" t="str">
        <f>VLOOKUP(C647,'[1]DBS_KPY Sorumlular'!A:C,2,FALSE)</f>
        <v>Erkan AKDOĞAN</v>
      </c>
      <c r="Z647" t="str">
        <f>VLOOKUP(C647,'[1]DBS_KPY Sorumlular'!A:C,3,FALSE)</f>
        <v>Kadir TOPÇU</v>
      </c>
      <c r="AA647" t="str">
        <f>VLOOKUP(K647,[1]!Tablo3[#Data],2,FALSE)</f>
        <v>Kadir TOPÇU</v>
      </c>
    </row>
    <row r="648" spans="1:27" x14ac:dyDescent="0.25">
      <c r="A648">
        <v>1947</v>
      </c>
      <c r="B648" t="s">
        <v>1419</v>
      </c>
      <c r="C648" t="s">
        <v>402</v>
      </c>
      <c r="D648" t="s">
        <v>403</v>
      </c>
      <c r="F648" t="s">
        <v>383</v>
      </c>
      <c r="G648" t="s">
        <v>384</v>
      </c>
      <c r="H648" t="s">
        <v>2672</v>
      </c>
      <c r="I648" s="4"/>
      <c r="J648" t="s">
        <v>2673</v>
      </c>
      <c r="K648" t="s">
        <v>678</v>
      </c>
      <c r="L648" s="5" t="s">
        <v>2674</v>
      </c>
      <c r="M648" s="5" t="s">
        <v>2675</v>
      </c>
      <c r="N648" t="s">
        <v>35</v>
      </c>
      <c r="O648" t="s">
        <v>2676</v>
      </c>
      <c r="S648" t="s">
        <v>230</v>
      </c>
      <c r="T648" s="5" t="s">
        <v>100</v>
      </c>
      <c r="W648">
        <v>231</v>
      </c>
      <c r="X648" t="s">
        <v>2677</v>
      </c>
      <c r="Y648" t="str">
        <f>VLOOKUP(C648,'[1]DBS_KPY Sorumlular'!A:C,2,FALSE)</f>
        <v>Tayfun VİÇE</v>
      </c>
      <c r="Z648" t="str">
        <f>VLOOKUP(C648,'[1]DBS_KPY Sorumlular'!A:C,3,FALSE)</f>
        <v>Mehmet Ali YAVUZ</v>
      </c>
      <c r="AA648" t="str">
        <f>VLOOKUP(K648,[1]!Tablo3[#Data],2,FALSE)</f>
        <v>Kadir TOPÇU</v>
      </c>
    </row>
    <row r="649" spans="1:27" x14ac:dyDescent="0.25">
      <c r="A649">
        <v>1948</v>
      </c>
      <c r="B649" t="s">
        <v>1419</v>
      </c>
      <c r="C649" t="s">
        <v>304</v>
      </c>
      <c r="D649" t="s">
        <v>305</v>
      </c>
      <c r="F649" t="s">
        <v>486</v>
      </c>
      <c r="G649" t="s">
        <v>67</v>
      </c>
      <c r="H649" t="s">
        <v>2678</v>
      </c>
      <c r="I649" s="4"/>
      <c r="J649" t="s">
        <v>2679</v>
      </c>
      <c r="K649" t="s">
        <v>678</v>
      </c>
      <c r="L649" s="5"/>
      <c r="M649" s="5"/>
      <c r="N649" t="s">
        <v>35</v>
      </c>
      <c r="O649" t="s">
        <v>2680</v>
      </c>
      <c r="S649" t="s">
        <v>230</v>
      </c>
      <c r="T649" s="5" t="s">
        <v>38</v>
      </c>
      <c r="Y649" t="str">
        <f>VLOOKUP(C649,'[1]DBS_KPY Sorumlular'!A:C,2,FALSE)</f>
        <v>Erkan AKDOĞAN</v>
      </c>
      <c r="Z649" t="str">
        <f>VLOOKUP(C649,'[1]DBS_KPY Sorumlular'!A:C,3,FALSE)</f>
        <v>Kadir TOPÇU</v>
      </c>
      <c r="AA649" t="str">
        <f>VLOOKUP(K649,[1]!Tablo3[#Data],2,FALSE)</f>
        <v>Kadir TOPÇU</v>
      </c>
    </row>
    <row r="650" spans="1:27" x14ac:dyDescent="0.25">
      <c r="A650">
        <v>1949</v>
      </c>
      <c r="B650" t="s">
        <v>1419</v>
      </c>
      <c r="C650" t="s">
        <v>1674</v>
      </c>
      <c r="D650" t="s">
        <v>1675</v>
      </c>
      <c r="F650" t="s">
        <v>52</v>
      </c>
      <c r="G650" t="s">
        <v>30</v>
      </c>
      <c r="H650" t="s">
        <v>2681</v>
      </c>
      <c r="I650" s="4"/>
      <c r="J650" t="s">
        <v>2682</v>
      </c>
      <c r="K650" t="s">
        <v>678</v>
      </c>
      <c r="L650" s="5"/>
      <c r="M650" s="5"/>
      <c r="N650" t="s">
        <v>35</v>
      </c>
      <c r="O650" t="s">
        <v>2683</v>
      </c>
      <c r="S650" t="s">
        <v>230</v>
      </c>
      <c r="T650" s="5" t="s">
        <v>48</v>
      </c>
      <c r="U650" t="s">
        <v>2684</v>
      </c>
      <c r="V650" t="s">
        <v>2685</v>
      </c>
      <c r="W650">
        <v>65</v>
      </c>
      <c r="X650" t="s">
        <v>374</v>
      </c>
      <c r="Y650" t="str">
        <f>VLOOKUP(C650,'[1]DBS_KPY Sorumlular'!A:C,2,FALSE)</f>
        <v>Kadir TOPÇU</v>
      </c>
      <c r="Z650" t="str">
        <f>VLOOKUP(C650,'[1]DBS_KPY Sorumlular'!A:C,3,FALSE)</f>
        <v>Erkan AKDOĞAN</v>
      </c>
      <c r="AA650" t="str">
        <f>VLOOKUP(K650,[1]!Tablo3[#Data],2,FALSE)</f>
        <v>Kadir TOPÇU</v>
      </c>
    </row>
    <row r="651" spans="1:27" x14ac:dyDescent="0.25">
      <c r="A651">
        <v>1950</v>
      </c>
      <c r="B651" t="s">
        <v>1419</v>
      </c>
      <c r="C651" t="s">
        <v>1674</v>
      </c>
      <c r="D651" t="s">
        <v>1717</v>
      </c>
      <c r="F651" t="s">
        <v>52</v>
      </c>
      <c r="G651" t="s">
        <v>291</v>
      </c>
      <c r="H651" t="s">
        <v>2686</v>
      </c>
      <c r="I651" s="4"/>
      <c r="J651" t="s">
        <v>2687</v>
      </c>
      <c r="K651" t="s">
        <v>678</v>
      </c>
      <c r="L651" s="5"/>
      <c r="M651" s="5"/>
      <c r="N651" t="s">
        <v>35</v>
      </c>
      <c r="O651" t="s">
        <v>2688</v>
      </c>
      <c r="S651" t="s">
        <v>230</v>
      </c>
      <c r="T651" s="5" t="s">
        <v>48</v>
      </c>
      <c r="U651" t="s">
        <v>2689</v>
      </c>
      <c r="V651" t="s">
        <v>2690</v>
      </c>
      <c r="W651">
        <v>169</v>
      </c>
      <c r="X651" t="s">
        <v>1480</v>
      </c>
      <c r="Y651" t="str">
        <f>VLOOKUP(C651,'[1]DBS_KPY Sorumlular'!A:C,2,FALSE)</f>
        <v>Kadir TOPÇU</v>
      </c>
      <c r="Z651" t="str">
        <f>VLOOKUP(C651,'[1]DBS_KPY Sorumlular'!A:C,3,FALSE)</f>
        <v>Erkan AKDOĞAN</v>
      </c>
      <c r="AA651" t="str">
        <f>VLOOKUP(K651,[1]!Tablo3[#Data],2,FALSE)</f>
        <v>Kadir TOPÇU</v>
      </c>
    </row>
    <row r="652" spans="1:27" x14ac:dyDescent="0.25">
      <c r="A652">
        <v>1951</v>
      </c>
      <c r="B652" t="s">
        <v>1419</v>
      </c>
      <c r="C652" t="s">
        <v>1674</v>
      </c>
      <c r="D652" t="s">
        <v>1717</v>
      </c>
      <c r="F652" t="s">
        <v>52</v>
      </c>
      <c r="G652" t="s">
        <v>291</v>
      </c>
      <c r="H652" t="s">
        <v>2691</v>
      </c>
      <c r="I652" s="4"/>
      <c r="J652" t="s">
        <v>2692</v>
      </c>
      <c r="K652" t="s">
        <v>678</v>
      </c>
      <c r="L652" s="5"/>
      <c r="M652" s="5"/>
      <c r="N652" t="s">
        <v>35</v>
      </c>
      <c r="O652" t="s">
        <v>2693</v>
      </c>
      <c r="S652" t="s">
        <v>230</v>
      </c>
      <c r="T652" s="5" t="s">
        <v>48</v>
      </c>
      <c r="U652" t="s">
        <v>2694</v>
      </c>
      <c r="V652" t="s">
        <v>2695</v>
      </c>
      <c r="W652">
        <v>72</v>
      </c>
      <c r="X652" t="s">
        <v>341</v>
      </c>
      <c r="Y652" t="str">
        <f>VLOOKUP(C652,'[1]DBS_KPY Sorumlular'!A:C,2,FALSE)</f>
        <v>Kadir TOPÇU</v>
      </c>
      <c r="Z652" t="str">
        <f>VLOOKUP(C652,'[1]DBS_KPY Sorumlular'!A:C,3,FALSE)</f>
        <v>Erkan AKDOĞAN</v>
      </c>
      <c r="AA652" t="str">
        <f>VLOOKUP(K652,[1]!Tablo3[#Data],2,FALSE)</f>
        <v>Kadir TOPÇU</v>
      </c>
    </row>
    <row r="653" spans="1:27" x14ac:dyDescent="0.25">
      <c r="A653">
        <v>1952</v>
      </c>
      <c r="B653" t="s">
        <v>1419</v>
      </c>
      <c r="C653" t="s">
        <v>652</v>
      </c>
      <c r="D653" t="s">
        <v>653</v>
      </c>
      <c r="F653" t="s">
        <v>455</v>
      </c>
      <c r="G653" t="s">
        <v>456</v>
      </c>
      <c r="H653" t="s">
        <v>2696</v>
      </c>
      <c r="I653" s="4"/>
      <c r="K653" t="s">
        <v>678</v>
      </c>
      <c r="L653" s="5"/>
      <c r="M653" s="5"/>
      <c r="N653" t="s">
        <v>35</v>
      </c>
      <c r="O653" t="s">
        <v>2697</v>
      </c>
      <c r="S653" t="s">
        <v>230</v>
      </c>
      <c r="T653" s="5" t="s">
        <v>48</v>
      </c>
      <c r="U653" t="s">
        <v>2698</v>
      </c>
      <c r="V653" t="s">
        <v>2696</v>
      </c>
      <c r="W653">
        <v>144</v>
      </c>
      <c r="X653" t="s">
        <v>463</v>
      </c>
      <c r="Y653" t="str">
        <f>VLOOKUP(C653,'[1]DBS_KPY Sorumlular'!A:C,2,FALSE)</f>
        <v>Seyithan İŞİK</v>
      </c>
      <c r="Z653" t="str">
        <f>VLOOKUP(C653,'[1]DBS_KPY Sorumlular'!A:C,3,FALSE)</f>
        <v>Korhan KÖROĞLU</v>
      </c>
      <c r="AA653" t="str">
        <f>VLOOKUP(K653,[1]!Tablo3[#Data],2,FALSE)</f>
        <v>Kadir TOPÇU</v>
      </c>
    </row>
    <row r="654" spans="1:27" x14ac:dyDescent="0.25">
      <c r="A654">
        <v>1953</v>
      </c>
      <c r="B654" t="s">
        <v>1419</v>
      </c>
      <c r="C654" t="s">
        <v>40</v>
      </c>
      <c r="D654" t="s">
        <v>65</v>
      </c>
      <c r="F654" t="s">
        <v>486</v>
      </c>
      <c r="G654" t="s">
        <v>30</v>
      </c>
      <c r="H654" t="s">
        <v>2699</v>
      </c>
      <c r="I654" s="4"/>
      <c r="K654" t="s">
        <v>678</v>
      </c>
      <c r="L654" s="5"/>
      <c r="M654" s="5"/>
      <c r="N654" t="s">
        <v>35</v>
      </c>
      <c r="O654" t="s">
        <v>2700</v>
      </c>
      <c r="S654" t="s">
        <v>230</v>
      </c>
      <c r="T654" s="5" t="s">
        <v>100</v>
      </c>
      <c r="W654">
        <v>79</v>
      </c>
      <c r="X654" t="s">
        <v>1619</v>
      </c>
      <c r="Y654" t="str">
        <f>VLOOKUP(C654,'[1]DBS_KPY Sorumlular'!A:C,2,FALSE)</f>
        <v>Mustafa AYDIN</v>
      </c>
      <c r="Z654" t="str">
        <f>VLOOKUP(C654,'[1]DBS_KPY Sorumlular'!A:C,3,FALSE)</f>
        <v>Esra DOLAN</v>
      </c>
      <c r="AA654" t="str">
        <f>VLOOKUP(K654,[1]!Tablo3[#Data],2,FALSE)</f>
        <v>Kadir TOPÇU</v>
      </c>
    </row>
    <row r="655" spans="1:27" x14ac:dyDescent="0.25">
      <c r="A655">
        <v>1954</v>
      </c>
      <c r="B655" t="s">
        <v>1419</v>
      </c>
      <c r="C655" t="s">
        <v>40</v>
      </c>
      <c r="D655" t="s">
        <v>65</v>
      </c>
      <c r="F655" t="s">
        <v>486</v>
      </c>
      <c r="G655" t="s">
        <v>67</v>
      </c>
      <c r="H655" t="s">
        <v>2701</v>
      </c>
      <c r="I655" s="4"/>
      <c r="J655" t="s">
        <v>2702</v>
      </c>
      <c r="K655" t="s">
        <v>678</v>
      </c>
      <c r="L655" s="5"/>
      <c r="M655" s="5"/>
      <c r="N655" t="s">
        <v>35</v>
      </c>
      <c r="O655" t="s">
        <v>2703</v>
      </c>
      <c r="S655" t="s">
        <v>230</v>
      </c>
      <c r="T655" s="5" t="s">
        <v>48</v>
      </c>
      <c r="U655" t="s">
        <v>2704</v>
      </c>
      <c r="V655" t="s">
        <v>2705</v>
      </c>
      <c r="W655">
        <v>208</v>
      </c>
      <c r="X655" t="s">
        <v>594</v>
      </c>
      <c r="Y655" t="str">
        <f>VLOOKUP(C655,'[1]DBS_KPY Sorumlular'!A:C,2,FALSE)</f>
        <v>Mustafa AYDIN</v>
      </c>
      <c r="Z655" t="str">
        <f>VLOOKUP(C655,'[1]DBS_KPY Sorumlular'!A:C,3,FALSE)</f>
        <v>Esra DOLAN</v>
      </c>
      <c r="AA655" t="str">
        <f>VLOOKUP(K655,[1]!Tablo3[#Data],2,FALSE)</f>
        <v>Kadir TOPÇU</v>
      </c>
    </row>
    <row r="656" spans="1:27" x14ac:dyDescent="0.25">
      <c r="A656">
        <v>1955</v>
      </c>
      <c r="B656" t="s">
        <v>1419</v>
      </c>
      <c r="C656" t="s">
        <v>304</v>
      </c>
      <c r="D656" t="s">
        <v>305</v>
      </c>
      <c r="F656" t="s">
        <v>306</v>
      </c>
      <c r="G656" t="s">
        <v>96</v>
      </c>
      <c r="H656" t="s">
        <v>2706</v>
      </c>
      <c r="I656" s="4"/>
      <c r="K656" t="s">
        <v>678</v>
      </c>
      <c r="L656" s="5"/>
      <c r="M656" s="5"/>
      <c r="N656" t="s">
        <v>35</v>
      </c>
      <c r="O656" t="s">
        <v>2707</v>
      </c>
      <c r="S656" t="s">
        <v>230</v>
      </c>
      <c r="T656" s="5" t="s">
        <v>38</v>
      </c>
      <c r="Y656" t="str">
        <f>VLOOKUP(C656,'[1]DBS_KPY Sorumlular'!A:C,2,FALSE)</f>
        <v>Erkan AKDOĞAN</v>
      </c>
      <c r="Z656" t="str">
        <f>VLOOKUP(C656,'[1]DBS_KPY Sorumlular'!A:C,3,FALSE)</f>
        <v>Kadir TOPÇU</v>
      </c>
      <c r="AA656" t="str">
        <f>VLOOKUP(K656,[1]!Tablo3[#Data],2,FALSE)</f>
        <v>Kadir TOPÇU</v>
      </c>
    </row>
    <row r="657" spans="1:27" x14ac:dyDescent="0.25">
      <c r="A657">
        <v>1956</v>
      </c>
      <c r="B657" t="s">
        <v>1419</v>
      </c>
      <c r="C657" t="s">
        <v>652</v>
      </c>
      <c r="D657" t="s">
        <v>653</v>
      </c>
      <c r="F657" t="s">
        <v>455</v>
      </c>
      <c r="G657" t="s">
        <v>456</v>
      </c>
      <c r="H657" t="s">
        <v>2708</v>
      </c>
      <c r="I657" s="4"/>
      <c r="J657" t="s">
        <v>2709</v>
      </c>
      <c r="K657" t="s">
        <v>678</v>
      </c>
      <c r="L657" s="5"/>
      <c r="M657" s="5"/>
      <c r="N657" t="s">
        <v>35</v>
      </c>
      <c r="O657" t="s">
        <v>2710</v>
      </c>
      <c r="S657" t="s">
        <v>230</v>
      </c>
      <c r="T657" s="5" t="s">
        <v>100</v>
      </c>
      <c r="W657">
        <v>144</v>
      </c>
      <c r="X657" t="s">
        <v>463</v>
      </c>
      <c r="Y657" t="str">
        <f>VLOOKUP(C657,'[1]DBS_KPY Sorumlular'!A:C,2,FALSE)</f>
        <v>Seyithan İŞİK</v>
      </c>
      <c r="Z657" t="str">
        <f>VLOOKUP(C657,'[1]DBS_KPY Sorumlular'!A:C,3,FALSE)</f>
        <v>Korhan KÖROĞLU</v>
      </c>
      <c r="AA657" t="str">
        <f>VLOOKUP(K657,[1]!Tablo3[#Data],2,FALSE)</f>
        <v>Kadir TOPÇU</v>
      </c>
    </row>
    <row r="658" spans="1:27" x14ac:dyDescent="0.25">
      <c r="A658">
        <v>1957</v>
      </c>
      <c r="B658" t="s">
        <v>1419</v>
      </c>
      <c r="C658" t="s">
        <v>843</v>
      </c>
      <c r="D658" t="s">
        <v>844</v>
      </c>
      <c r="F658" t="s">
        <v>290</v>
      </c>
      <c r="G658" t="s">
        <v>291</v>
      </c>
      <c r="H658" t="s">
        <v>2711</v>
      </c>
      <c r="I658" s="4">
        <v>46355.875</v>
      </c>
      <c r="J658" t="s">
        <v>2712</v>
      </c>
      <c r="K658" t="s">
        <v>678</v>
      </c>
      <c r="L658" s="5" t="s">
        <v>2713</v>
      </c>
      <c r="M658" s="5"/>
      <c r="N658" t="s">
        <v>35</v>
      </c>
      <c r="O658" t="s">
        <v>2714</v>
      </c>
      <c r="S658" t="s">
        <v>230</v>
      </c>
      <c r="T658" s="5" t="s">
        <v>38</v>
      </c>
      <c r="W658">
        <v>23</v>
      </c>
      <c r="X658" t="s">
        <v>295</v>
      </c>
      <c r="Y658" t="str">
        <f>VLOOKUP(C658,'[1]DBS_KPY Sorumlular'!A:C,2,FALSE)</f>
        <v>Sinan ERDAŞ</v>
      </c>
      <c r="Z658" t="str">
        <f>VLOOKUP(C658,'[1]DBS_KPY Sorumlular'!A:C,3,FALSE)</f>
        <v>Ayşegül AKGÜL</v>
      </c>
      <c r="AA658" t="str">
        <f>VLOOKUP(K658,[1]!Tablo3[#Data],2,FALSE)</f>
        <v>Kadir TOPÇU</v>
      </c>
    </row>
    <row r="659" spans="1:27" x14ac:dyDescent="0.25">
      <c r="A659">
        <v>1958</v>
      </c>
      <c r="B659" t="s">
        <v>1419</v>
      </c>
      <c r="C659" t="s">
        <v>304</v>
      </c>
      <c r="D659" t="s">
        <v>305</v>
      </c>
      <c r="F659" t="s">
        <v>486</v>
      </c>
      <c r="G659" t="s">
        <v>67</v>
      </c>
      <c r="H659" t="s">
        <v>2715</v>
      </c>
      <c r="I659" s="4"/>
      <c r="J659" t="s">
        <v>2716</v>
      </c>
      <c r="K659" t="s">
        <v>678</v>
      </c>
      <c r="L659" s="5" t="s">
        <v>2414</v>
      </c>
      <c r="M659" s="5"/>
      <c r="N659" t="s">
        <v>35</v>
      </c>
      <c r="O659" t="s">
        <v>2717</v>
      </c>
      <c r="S659" t="s">
        <v>230</v>
      </c>
      <c r="T659" s="5" t="s">
        <v>38</v>
      </c>
      <c r="Y659" t="str">
        <f>VLOOKUP(C659,'[1]DBS_KPY Sorumlular'!A:C,2,FALSE)</f>
        <v>Erkan AKDOĞAN</v>
      </c>
      <c r="Z659" t="str">
        <f>VLOOKUP(C659,'[1]DBS_KPY Sorumlular'!A:C,3,FALSE)</f>
        <v>Kadir TOPÇU</v>
      </c>
      <c r="AA659" t="str">
        <f>VLOOKUP(K659,[1]!Tablo3[#Data],2,FALSE)</f>
        <v>Kadir TOPÇU</v>
      </c>
    </row>
    <row r="660" spans="1:27" x14ac:dyDescent="0.25">
      <c r="A660">
        <v>1959</v>
      </c>
      <c r="B660" t="s">
        <v>1419</v>
      </c>
      <c r="C660" t="s">
        <v>304</v>
      </c>
      <c r="D660" t="s">
        <v>305</v>
      </c>
      <c r="F660" t="s">
        <v>306</v>
      </c>
      <c r="G660" t="s">
        <v>96</v>
      </c>
      <c r="H660" t="s">
        <v>2718</v>
      </c>
      <c r="I660" s="4"/>
      <c r="K660" t="s">
        <v>678</v>
      </c>
      <c r="L660" s="5" t="s">
        <v>2414</v>
      </c>
      <c r="M660" s="5"/>
      <c r="N660" t="s">
        <v>35</v>
      </c>
      <c r="O660" t="s">
        <v>2719</v>
      </c>
      <c r="S660" t="s">
        <v>230</v>
      </c>
      <c r="T660" s="5" t="s">
        <v>38</v>
      </c>
      <c r="Y660" t="str">
        <f>VLOOKUP(C660,'[1]DBS_KPY Sorumlular'!A:C,2,FALSE)</f>
        <v>Erkan AKDOĞAN</v>
      </c>
      <c r="Z660" t="str">
        <f>VLOOKUP(C660,'[1]DBS_KPY Sorumlular'!A:C,3,FALSE)</f>
        <v>Kadir TOPÇU</v>
      </c>
      <c r="AA660" t="str">
        <f>VLOOKUP(K660,[1]!Tablo3[#Data],2,FALSE)</f>
        <v>Kadir TOPÇU</v>
      </c>
    </row>
    <row r="661" spans="1:27" x14ac:dyDescent="0.25">
      <c r="A661">
        <v>1960</v>
      </c>
      <c r="B661" t="s">
        <v>1419</v>
      </c>
      <c r="C661" t="s">
        <v>304</v>
      </c>
      <c r="D661" t="s">
        <v>305</v>
      </c>
      <c r="F661" t="s">
        <v>306</v>
      </c>
      <c r="G661" t="s">
        <v>96</v>
      </c>
      <c r="H661" t="s">
        <v>2720</v>
      </c>
      <c r="I661" s="4"/>
      <c r="J661" t="s">
        <v>2721</v>
      </c>
      <c r="K661" t="s">
        <v>678</v>
      </c>
      <c r="L661" s="5" t="s">
        <v>2414</v>
      </c>
      <c r="M661" s="5"/>
      <c r="N661" t="s">
        <v>35</v>
      </c>
      <c r="O661" t="s">
        <v>2722</v>
      </c>
      <c r="S661" t="s">
        <v>230</v>
      </c>
      <c r="T661" s="5" t="s">
        <v>38</v>
      </c>
      <c r="Y661" t="str">
        <f>VLOOKUP(C661,'[1]DBS_KPY Sorumlular'!A:C,2,FALSE)</f>
        <v>Erkan AKDOĞAN</v>
      </c>
      <c r="Z661" t="str">
        <f>VLOOKUP(C661,'[1]DBS_KPY Sorumlular'!A:C,3,FALSE)</f>
        <v>Kadir TOPÇU</v>
      </c>
      <c r="AA661" t="str">
        <f>VLOOKUP(K661,[1]!Tablo3[#Data],2,FALSE)</f>
        <v>Kadir TOPÇU</v>
      </c>
    </row>
    <row r="662" spans="1:27" x14ac:dyDescent="0.25">
      <c r="A662">
        <v>1961</v>
      </c>
      <c r="B662" t="s">
        <v>1419</v>
      </c>
      <c r="C662" t="s">
        <v>1723</v>
      </c>
      <c r="D662" t="s">
        <v>1724</v>
      </c>
      <c r="F662" t="s">
        <v>184</v>
      </c>
      <c r="G662" t="s">
        <v>43</v>
      </c>
      <c r="H662" t="s">
        <v>2723</v>
      </c>
      <c r="I662" s="4"/>
      <c r="J662" t="s">
        <v>2724</v>
      </c>
      <c r="K662" t="s">
        <v>678</v>
      </c>
      <c r="L662" s="5" t="s">
        <v>2725</v>
      </c>
      <c r="M662" s="5" t="s">
        <v>35</v>
      </c>
      <c r="N662" t="s">
        <v>35</v>
      </c>
      <c r="O662" t="s">
        <v>2726</v>
      </c>
      <c r="S662" t="s">
        <v>230</v>
      </c>
      <c r="T662" s="5" t="s">
        <v>38</v>
      </c>
      <c r="Y662" t="str">
        <f>VLOOKUP(C662,'[1]DBS_KPY Sorumlular'!A:C,2,FALSE)</f>
        <v>Erkan AKDOĞAN</v>
      </c>
      <c r="Z662" t="str">
        <f>VLOOKUP(C662,'[1]DBS_KPY Sorumlular'!A:C,3,FALSE)</f>
        <v>Kadir TOPÇU</v>
      </c>
      <c r="AA662" t="str">
        <f>VLOOKUP(K662,[1]!Tablo3[#Data],2,FALSE)</f>
        <v>Kadir TOPÇU</v>
      </c>
    </row>
    <row r="663" spans="1:27" x14ac:dyDescent="0.25">
      <c r="A663">
        <v>1962</v>
      </c>
      <c r="B663" t="s">
        <v>1419</v>
      </c>
      <c r="C663" t="s">
        <v>304</v>
      </c>
      <c r="D663" t="s">
        <v>305</v>
      </c>
      <c r="F663" t="s">
        <v>306</v>
      </c>
      <c r="G663" t="s">
        <v>96</v>
      </c>
      <c r="H663" t="s">
        <v>2727</v>
      </c>
      <c r="I663" s="4"/>
      <c r="J663" t="s">
        <v>2728</v>
      </c>
      <c r="K663" t="s">
        <v>678</v>
      </c>
      <c r="L663" s="5" t="s">
        <v>2414</v>
      </c>
      <c r="M663" s="5"/>
      <c r="N663" t="s">
        <v>35</v>
      </c>
      <c r="O663" t="s">
        <v>2729</v>
      </c>
      <c r="S663" t="s">
        <v>230</v>
      </c>
      <c r="T663" s="5" t="s">
        <v>38</v>
      </c>
      <c r="Y663" t="str">
        <f>VLOOKUP(C663,'[1]DBS_KPY Sorumlular'!A:C,2,FALSE)</f>
        <v>Erkan AKDOĞAN</v>
      </c>
      <c r="Z663" t="str">
        <f>VLOOKUP(C663,'[1]DBS_KPY Sorumlular'!A:C,3,FALSE)</f>
        <v>Kadir TOPÇU</v>
      </c>
      <c r="AA663" t="str">
        <f>VLOOKUP(K663,[1]!Tablo3[#Data],2,FALSE)</f>
        <v>Kadir TOPÇU</v>
      </c>
    </row>
    <row r="664" spans="1:27" x14ac:dyDescent="0.25">
      <c r="A664">
        <v>1963</v>
      </c>
      <c r="B664" t="s">
        <v>1419</v>
      </c>
      <c r="C664" t="s">
        <v>304</v>
      </c>
      <c r="D664" t="s">
        <v>305</v>
      </c>
      <c r="F664" t="s">
        <v>306</v>
      </c>
      <c r="G664" t="s">
        <v>96</v>
      </c>
      <c r="H664" t="s">
        <v>2730</v>
      </c>
      <c r="I664" s="4"/>
      <c r="J664" t="s">
        <v>2731</v>
      </c>
      <c r="K664" t="s">
        <v>678</v>
      </c>
      <c r="L664" s="5" t="s">
        <v>2414</v>
      </c>
      <c r="M664" s="5"/>
      <c r="N664" t="s">
        <v>35</v>
      </c>
      <c r="O664" t="s">
        <v>2732</v>
      </c>
      <c r="S664" t="s">
        <v>230</v>
      </c>
      <c r="T664" s="5" t="s">
        <v>38</v>
      </c>
      <c r="Y664" t="str">
        <f>VLOOKUP(C664,'[1]DBS_KPY Sorumlular'!A:C,2,FALSE)</f>
        <v>Erkan AKDOĞAN</v>
      </c>
      <c r="Z664" t="str">
        <f>VLOOKUP(C664,'[1]DBS_KPY Sorumlular'!A:C,3,FALSE)</f>
        <v>Kadir TOPÇU</v>
      </c>
      <c r="AA664" t="str">
        <f>VLOOKUP(K664,[1]!Tablo3[#Data],2,FALSE)</f>
        <v>Kadir TOPÇU</v>
      </c>
    </row>
    <row r="665" spans="1:27" x14ac:dyDescent="0.25">
      <c r="A665">
        <v>1964</v>
      </c>
      <c r="B665" t="s">
        <v>1419</v>
      </c>
      <c r="C665" t="s">
        <v>73</v>
      </c>
      <c r="D665" t="s">
        <v>73</v>
      </c>
      <c r="F665" t="s">
        <v>486</v>
      </c>
      <c r="G665" t="s">
        <v>30</v>
      </c>
      <c r="H665" t="s">
        <v>729</v>
      </c>
      <c r="I665" s="4"/>
      <c r="J665" t="s">
        <v>2733</v>
      </c>
      <c r="K665" t="s">
        <v>678</v>
      </c>
      <c r="L665" s="5"/>
      <c r="M665" s="5"/>
      <c r="N665" t="s">
        <v>35</v>
      </c>
      <c r="O665" t="s">
        <v>2734</v>
      </c>
      <c r="S665" t="s">
        <v>230</v>
      </c>
      <c r="T665" s="5" t="s">
        <v>38</v>
      </c>
      <c r="Y665" t="str">
        <f>VLOOKUP(C665,'[1]DBS_KPY Sorumlular'!A:C,2,FALSE)</f>
        <v>Ayşegül AKGÜL</v>
      </c>
      <c r="Z665" t="str">
        <f>VLOOKUP(C665,'[1]DBS_KPY Sorumlular'!A:C,3,FALSE)</f>
        <v>Sinan ERDAŞ</v>
      </c>
      <c r="AA665" t="str">
        <f>VLOOKUP(K665,[1]!Tablo3[#Data],2,FALSE)</f>
        <v>Kadir TOPÇU</v>
      </c>
    </row>
    <row r="666" spans="1:27" x14ac:dyDescent="0.25">
      <c r="A666">
        <v>1965</v>
      </c>
      <c r="B666" t="s">
        <v>1419</v>
      </c>
      <c r="C666" t="s">
        <v>1674</v>
      </c>
      <c r="D666" t="s">
        <v>1717</v>
      </c>
      <c r="F666" t="s">
        <v>52</v>
      </c>
      <c r="G666" t="s">
        <v>291</v>
      </c>
      <c r="H666" t="s">
        <v>2735</v>
      </c>
      <c r="I666" s="4"/>
      <c r="J666" t="s">
        <v>2736</v>
      </c>
      <c r="K666" t="s">
        <v>678</v>
      </c>
      <c r="L666" s="5"/>
      <c r="M666" s="5"/>
      <c r="N666" t="s">
        <v>35</v>
      </c>
      <c r="O666" t="s">
        <v>2737</v>
      </c>
      <c r="S666" t="s">
        <v>230</v>
      </c>
      <c r="T666" s="5" t="s">
        <v>48</v>
      </c>
      <c r="U666" t="s">
        <v>2738</v>
      </c>
      <c r="V666" t="s">
        <v>2739</v>
      </c>
      <c r="W666">
        <v>115</v>
      </c>
      <c r="X666" t="s">
        <v>350</v>
      </c>
      <c r="Y666" t="str">
        <f>VLOOKUP(C666,'[1]DBS_KPY Sorumlular'!A:C,2,FALSE)</f>
        <v>Kadir TOPÇU</v>
      </c>
      <c r="Z666" t="str">
        <f>VLOOKUP(C666,'[1]DBS_KPY Sorumlular'!A:C,3,FALSE)</f>
        <v>Erkan AKDOĞAN</v>
      </c>
      <c r="AA666" t="str">
        <f>VLOOKUP(K666,[1]!Tablo3[#Data],2,FALSE)</f>
        <v>Kadir TOPÇU</v>
      </c>
    </row>
    <row r="667" spans="1:27" x14ac:dyDescent="0.25">
      <c r="A667">
        <v>1966</v>
      </c>
      <c r="B667" t="s">
        <v>1419</v>
      </c>
      <c r="C667" t="s">
        <v>1674</v>
      </c>
      <c r="D667" t="s">
        <v>1717</v>
      </c>
      <c r="F667" t="s">
        <v>882</v>
      </c>
      <c r="G667" t="s">
        <v>43</v>
      </c>
      <c r="H667" t="s">
        <v>2740</v>
      </c>
      <c r="I667" s="4"/>
      <c r="J667" t="s">
        <v>2741</v>
      </c>
      <c r="K667" t="s">
        <v>678</v>
      </c>
      <c r="L667" s="5"/>
      <c r="M667" s="5" t="s">
        <v>2742</v>
      </c>
      <c r="N667" t="s">
        <v>35</v>
      </c>
      <c r="O667" t="s">
        <v>2743</v>
      </c>
      <c r="S667" t="s">
        <v>230</v>
      </c>
      <c r="T667" s="5" t="s">
        <v>48</v>
      </c>
      <c r="U667" t="s">
        <v>2744</v>
      </c>
      <c r="V667" t="s">
        <v>2740</v>
      </c>
      <c r="W667">
        <v>28</v>
      </c>
      <c r="X667" t="s">
        <v>667</v>
      </c>
      <c r="Y667" t="str">
        <f>VLOOKUP(C667,'[1]DBS_KPY Sorumlular'!A:C,2,FALSE)</f>
        <v>Kadir TOPÇU</v>
      </c>
      <c r="Z667" t="str">
        <f>VLOOKUP(C667,'[1]DBS_KPY Sorumlular'!A:C,3,FALSE)</f>
        <v>Erkan AKDOĞAN</v>
      </c>
      <c r="AA667" t="str">
        <f>VLOOKUP(K667,[1]!Tablo3[#Data],2,FALSE)</f>
        <v>Kadir TOPÇU</v>
      </c>
    </row>
    <row r="668" spans="1:27" x14ac:dyDescent="0.25">
      <c r="A668">
        <v>1967</v>
      </c>
      <c r="B668" t="s">
        <v>1419</v>
      </c>
      <c r="C668" t="s">
        <v>1674</v>
      </c>
      <c r="D668" t="s">
        <v>1675</v>
      </c>
      <c r="F668" t="s">
        <v>66</v>
      </c>
      <c r="G668" t="s">
        <v>67</v>
      </c>
      <c r="H668" t="s">
        <v>2745</v>
      </c>
      <c r="I668" s="4"/>
      <c r="J668" t="s">
        <v>2746</v>
      </c>
      <c r="K668" t="s">
        <v>1002</v>
      </c>
      <c r="L668" s="5" t="s">
        <v>2747</v>
      </c>
      <c r="M668" s="5"/>
      <c r="N668" t="s">
        <v>35</v>
      </c>
      <c r="O668" t="s">
        <v>2748</v>
      </c>
      <c r="S668" t="s">
        <v>230</v>
      </c>
      <c r="T668" s="5" t="s">
        <v>48</v>
      </c>
      <c r="U668" t="s">
        <v>2749</v>
      </c>
      <c r="V668" t="s">
        <v>2745</v>
      </c>
      <c r="W668">
        <v>104</v>
      </c>
      <c r="X668" t="s">
        <v>703</v>
      </c>
      <c r="Y668" t="str">
        <f>VLOOKUP(C668,'[1]DBS_KPY Sorumlular'!A:C,2,FALSE)</f>
        <v>Kadir TOPÇU</v>
      </c>
      <c r="Z668" t="str">
        <f>VLOOKUP(C668,'[1]DBS_KPY Sorumlular'!A:C,3,FALSE)</f>
        <v>Erkan AKDOĞAN</v>
      </c>
      <c r="AA668" t="str">
        <f>VLOOKUP(K668,[1]!Tablo3[#Data],2,FALSE)</f>
        <v>Kadir TOPÇU</v>
      </c>
    </row>
    <row r="669" spans="1:27" x14ac:dyDescent="0.25">
      <c r="A669">
        <v>1968</v>
      </c>
      <c r="B669" t="s">
        <v>1419</v>
      </c>
      <c r="C669" t="s">
        <v>652</v>
      </c>
      <c r="D669" t="s">
        <v>653</v>
      </c>
      <c r="F669" t="s">
        <v>455</v>
      </c>
      <c r="G669" t="s">
        <v>456</v>
      </c>
      <c r="H669" t="s">
        <v>2750</v>
      </c>
      <c r="I669" s="4"/>
      <c r="K669" t="s">
        <v>743</v>
      </c>
      <c r="L669" s="5"/>
      <c r="M669" s="5"/>
      <c r="N669" t="s">
        <v>35</v>
      </c>
      <c r="O669" t="s">
        <v>2751</v>
      </c>
      <c r="S669" t="s">
        <v>230</v>
      </c>
      <c r="T669" s="5" t="s">
        <v>48</v>
      </c>
      <c r="U669" t="s">
        <v>2752</v>
      </c>
      <c r="V669" t="s">
        <v>2750</v>
      </c>
      <c r="W669">
        <v>144</v>
      </c>
      <c r="X669" t="s">
        <v>463</v>
      </c>
      <c r="Y669" t="str">
        <f>VLOOKUP(C669,'[1]DBS_KPY Sorumlular'!A:C,2,FALSE)</f>
        <v>Seyithan İŞİK</v>
      </c>
      <c r="Z669" t="str">
        <f>VLOOKUP(C669,'[1]DBS_KPY Sorumlular'!A:C,3,FALSE)</f>
        <v>Korhan KÖROĞLU</v>
      </c>
      <c r="AA669" t="str">
        <f>VLOOKUP(K669,[1]!Tablo3[#Data],2,FALSE)</f>
        <v>Kadir TOPÇU</v>
      </c>
    </row>
    <row r="670" spans="1:27" x14ac:dyDescent="0.25">
      <c r="A670">
        <v>1969</v>
      </c>
      <c r="B670" t="s">
        <v>1419</v>
      </c>
      <c r="C670" t="s">
        <v>652</v>
      </c>
      <c r="D670" t="s">
        <v>653</v>
      </c>
      <c r="F670" t="s">
        <v>455</v>
      </c>
      <c r="G670" t="s">
        <v>456</v>
      </c>
      <c r="H670" t="s">
        <v>2753</v>
      </c>
      <c r="I670" s="4"/>
      <c r="K670" t="s">
        <v>743</v>
      </c>
      <c r="L670" s="5"/>
      <c r="M670" s="5"/>
      <c r="N670" t="s">
        <v>35</v>
      </c>
      <c r="O670" t="s">
        <v>2754</v>
      </c>
      <c r="S670" t="s">
        <v>230</v>
      </c>
      <c r="T670" s="5" t="s">
        <v>48</v>
      </c>
      <c r="U670" t="s">
        <v>2755</v>
      </c>
      <c r="V670" t="s">
        <v>2753</v>
      </c>
      <c r="W670">
        <v>144</v>
      </c>
      <c r="X670" t="s">
        <v>463</v>
      </c>
      <c r="Y670" t="str">
        <f>VLOOKUP(C670,'[1]DBS_KPY Sorumlular'!A:C,2,FALSE)</f>
        <v>Seyithan İŞİK</v>
      </c>
      <c r="Z670" t="str">
        <f>VLOOKUP(C670,'[1]DBS_KPY Sorumlular'!A:C,3,FALSE)</f>
        <v>Korhan KÖROĞLU</v>
      </c>
      <c r="AA670" t="str">
        <f>VLOOKUP(K670,[1]!Tablo3[#Data],2,FALSE)</f>
        <v>Kadir TOPÇU</v>
      </c>
    </row>
    <row r="671" spans="1:27" x14ac:dyDescent="0.25">
      <c r="A671">
        <v>1970</v>
      </c>
      <c r="B671" t="s">
        <v>1419</v>
      </c>
      <c r="C671" t="s">
        <v>652</v>
      </c>
      <c r="D671" t="s">
        <v>653</v>
      </c>
      <c r="F671" t="s">
        <v>455</v>
      </c>
      <c r="G671" t="s">
        <v>456</v>
      </c>
      <c r="H671" t="s">
        <v>2756</v>
      </c>
      <c r="I671" s="4"/>
      <c r="K671" t="s">
        <v>743</v>
      </c>
      <c r="L671" s="5" t="s">
        <v>2757</v>
      </c>
      <c r="M671" s="5"/>
      <c r="N671" t="s">
        <v>35</v>
      </c>
      <c r="O671" t="s">
        <v>2758</v>
      </c>
      <c r="S671" t="s">
        <v>230</v>
      </c>
      <c r="T671" s="5" t="s">
        <v>48</v>
      </c>
      <c r="U671" t="s">
        <v>2759</v>
      </c>
      <c r="V671" t="s">
        <v>2756</v>
      </c>
      <c r="W671">
        <v>147</v>
      </c>
      <c r="X671" t="s">
        <v>1180</v>
      </c>
      <c r="Y671" t="str">
        <f>VLOOKUP(C671,'[1]DBS_KPY Sorumlular'!A:C,2,FALSE)</f>
        <v>Seyithan İŞİK</v>
      </c>
      <c r="Z671" t="str">
        <f>VLOOKUP(C671,'[1]DBS_KPY Sorumlular'!A:C,3,FALSE)</f>
        <v>Korhan KÖROĞLU</v>
      </c>
      <c r="AA671" t="str">
        <f>VLOOKUP(K671,[1]!Tablo3[#Data],2,FALSE)</f>
        <v>Kadir TOPÇU</v>
      </c>
    </row>
    <row r="672" spans="1:27" x14ac:dyDescent="0.25">
      <c r="A672">
        <v>1971</v>
      </c>
      <c r="B672" t="s">
        <v>1419</v>
      </c>
      <c r="C672" t="s">
        <v>652</v>
      </c>
      <c r="D672" t="s">
        <v>653</v>
      </c>
      <c r="F672" t="s">
        <v>455</v>
      </c>
      <c r="G672" t="s">
        <v>456</v>
      </c>
      <c r="H672" t="s">
        <v>2760</v>
      </c>
      <c r="I672" s="4"/>
      <c r="K672" t="s">
        <v>743</v>
      </c>
      <c r="L672" s="5"/>
      <c r="M672" s="5"/>
      <c r="N672" t="s">
        <v>35</v>
      </c>
      <c r="O672" t="s">
        <v>2761</v>
      </c>
      <c r="S672" t="s">
        <v>230</v>
      </c>
      <c r="T672" s="5" t="s">
        <v>48</v>
      </c>
      <c r="U672" t="s">
        <v>2762</v>
      </c>
      <c r="V672" t="s">
        <v>2760</v>
      </c>
      <c r="W672">
        <v>147</v>
      </c>
      <c r="X672" t="s">
        <v>1180</v>
      </c>
      <c r="Y672" t="str">
        <f>VLOOKUP(C672,'[1]DBS_KPY Sorumlular'!A:C,2,FALSE)</f>
        <v>Seyithan İŞİK</v>
      </c>
      <c r="Z672" t="str">
        <f>VLOOKUP(C672,'[1]DBS_KPY Sorumlular'!A:C,3,FALSE)</f>
        <v>Korhan KÖROĞLU</v>
      </c>
      <c r="AA672" t="str">
        <f>VLOOKUP(K672,[1]!Tablo3[#Data],2,FALSE)</f>
        <v>Kadir TOPÇU</v>
      </c>
    </row>
    <row r="673" spans="1:27" x14ac:dyDescent="0.25">
      <c r="A673">
        <v>1972</v>
      </c>
      <c r="B673" t="s">
        <v>1419</v>
      </c>
      <c r="C673" t="s">
        <v>1674</v>
      </c>
      <c r="D673" t="s">
        <v>1675</v>
      </c>
      <c r="F673" t="s">
        <v>439</v>
      </c>
      <c r="G673" t="s">
        <v>291</v>
      </c>
      <c r="H673" t="s">
        <v>2763</v>
      </c>
      <c r="I673" s="4"/>
      <c r="J673" t="s">
        <v>2764</v>
      </c>
      <c r="K673" t="s">
        <v>743</v>
      </c>
      <c r="L673" s="5"/>
      <c r="M673" s="5"/>
      <c r="N673" t="s">
        <v>35</v>
      </c>
      <c r="O673" t="s">
        <v>2765</v>
      </c>
      <c r="S673" t="s">
        <v>230</v>
      </c>
      <c r="T673" s="5" t="s">
        <v>48</v>
      </c>
      <c r="U673" t="s">
        <v>2766</v>
      </c>
      <c r="V673" t="s">
        <v>2767</v>
      </c>
      <c r="W673">
        <v>148</v>
      </c>
      <c r="X673" t="s">
        <v>368</v>
      </c>
      <c r="Y673" t="str">
        <f>VLOOKUP(C673,'[1]DBS_KPY Sorumlular'!A:C,2,FALSE)</f>
        <v>Kadir TOPÇU</v>
      </c>
      <c r="Z673" t="str">
        <f>VLOOKUP(C673,'[1]DBS_KPY Sorumlular'!A:C,3,FALSE)</f>
        <v>Erkan AKDOĞAN</v>
      </c>
      <c r="AA673" t="str">
        <f>VLOOKUP(K673,[1]!Tablo3[#Data],2,FALSE)</f>
        <v>Kadir TOPÇU</v>
      </c>
    </row>
    <row r="674" spans="1:27" x14ac:dyDescent="0.25">
      <c r="A674">
        <v>1973</v>
      </c>
      <c r="B674" t="s">
        <v>1419</v>
      </c>
      <c r="C674" t="s">
        <v>1674</v>
      </c>
      <c r="D674" t="s">
        <v>1675</v>
      </c>
      <c r="F674" t="s">
        <v>52</v>
      </c>
      <c r="G674" t="s">
        <v>67</v>
      </c>
      <c r="H674" t="s">
        <v>2768</v>
      </c>
      <c r="I674" s="4"/>
      <c r="J674" t="s">
        <v>2769</v>
      </c>
      <c r="K674" t="s">
        <v>743</v>
      </c>
      <c r="L674" s="5"/>
      <c r="M674" s="5"/>
      <c r="N674" t="s">
        <v>35</v>
      </c>
      <c r="O674" t="s">
        <v>2770</v>
      </c>
      <c r="S674" t="s">
        <v>230</v>
      </c>
      <c r="T674" s="5" t="s">
        <v>48</v>
      </c>
      <c r="U674" t="s">
        <v>2771</v>
      </c>
      <c r="V674" t="s">
        <v>2768</v>
      </c>
      <c r="W674">
        <v>103</v>
      </c>
      <c r="X674" t="s">
        <v>353</v>
      </c>
      <c r="Y674" t="str">
        <f>VLOOKUP(C674,'[1]DBS_KPY Sorumlular'!A:C,2,FALSE)</f>
        <v>Kadir TOPÇU</v>
      </c>
      <c r="Z674" t="str">
        <f>VLOOKUP(C674,'[1]DBS_KPY Sorumlular'!A:C,3,FALSE)</f>
        <v>Erkan AKDOĞAN</v>
      </c>
      <c r="AA674" t="str">
        <f>VLOOKUP(K674,[1]!Tablo3[#Data],2,FALSE)</f>
        <v>Kadir TOPÇU</v>
      </c>
    </row>
    <row r="675" spans="1:27" x14ac:dyDescent="0.25">
      <c r="A675">
        <v>1974</v>
      </c>
      <c r="B675" t="s">
        <v>1419</v>
      </c>
      <c r="C675" t="s">
        <v>1674</v>
      </c>
      <c r="D675" t="s">
        <v>1675</v>
      </c>
      <c r="F675" t="s">
        <v>52</v>
      </c>
      <c r="G675" t="s">
        <v>291</v>
      </c>
      <c r="H675" t="s">
        <v>2772</v>
      </c>
      <c r="I675" s="4"/>
      <c r="J675" t="s">
        <v>2773</v>
      </c>
      <c r="K675" t="s">
        <v>743</v>
      </c>
      <c r="L675" s="5"/>
      <c r="M675" s="5"/>
      <c r="N675" t="s">
        <v>35</v>
      </c>
      <c r="O675" t="s">
        <v>2774</v>
      </c>
      <c r="S675" t="s">
        <v>230</v>
      </c>
      <c r="T675" s="5" t="s">
        <v>48</v>
      </c>
      <c r="U675" t="s">
        <v>2775</v>
      </c>
      <c r="V675" t="s">
        <v>2772</v>
      </c>
      <c r="W675">
        <v>148</v>
      </c>
      <c r="X675" t="s">
        <v>368</v>
      </c>
      <c r="Y675" t="str">
        <f>VLOOKUP(C675,'[1]DBS_KPY Sorumlular'!A:C,2,FALSE)</f>
        <v>Kadir TOPÇU</v>
      </c>
      <c r="Z675" t="str">
        <f>VLOOKUP(C675,'[1]DBS_KPY Sorumlular'!A:C,3,FALSE)</f>
        <v>Erkan AKDOĞAN</v>
      </c>
      <c r="AA675" t="str">
        <f>VLOOKUP(K675,[1]!Tablo3[#Data],2,FALSE)</f>
        <v>Kadir TOPÇU</v>
      </c>
    </row>
    <row r="676" spans="1:27" x14ac:dyDescent="0.25">
      <c r="A676">
        <v>1975</v>
      </c>
      <c r="B676" t="s">
        <v>1419</v>
      </c>
      <c r="C676" t="s">
        <v>1674</v>
      </c>
      <c r="D676" t="s">
        <v>1700</v>
      </c>
      <c r="F676" t="s">
        <v>95</v>
      </c>
      <c r="G676" t="s">
        <v>291</v>
      </c>
      <c r="H676" t="s">
        <v>2776</v>
      </c>
      <c r="I676" s="4"/>
      <c r="K676" t="s">
        <v>743</v>
      </c>
      <c r="L676" s="5" t="s">
        <v>2777</v>
      </c>
      <c r="M676" s="5"/>
      <c r="N676" t="s">
        <v>35</v>
      </c>
      <c r="O676" t="s">
        <v>2778</v>
      </c>
      <c r="S676" t="s">
        <v>230</v>
      </c>
      <c r="T676" s="5" t="s">
        <v>48</v>
      </c>
      <c r="U676" t="s">
        <v>2779</v>
      </c>
      <c r="V676" t="s">
        <v>2776</v>
      </c>
      <c r="W676">
        <v>91</v>
      </c>
      <c r="X676" t="s">
        <v>101</v>
      </c>
      <c r="Y676" t="str">
        <f>VLOOKUP(C676,'[1]DBS_KPY Sorumlular'!A:C,2,FALSE)</f>
        <v>Kadir TOPÇU</v>
      </c>
      <c r="Z676" t="str">
        <f>VLOOKUP(C676,'[1]DBS_KPY Sorumlular'!A:C,3,FALSE)</f>
        <v>Erkan AKDOĞAN</v>
      </c>
      <c r="AA676" t="str">
        <f>VLOOKUP(K676,[1]!Tablo3[#Data],2,FALSE)</f>
        <v>Kadir TOPÇU</v>
      </c>
    </row>
    <row r="677" spans="1:27" x14ac:dyDescent="0.25">
      <c r="A677">
        <v>1976</v>
      </c>
      <c r="B677" t="s">
        <v>27</v>
      </c>
      <c r="C677" t="s">
        <v>40</v>
      </c>
      <c r="D677" t="s">
        <v>41</v>
      </c>
      <c r="F677" t="s">
        <v>95</v>
      </c>
      <c r="G677" t="s">
        <v>291</v>
      </c>
      <c r="H677" t="s">
        <v>2780</v>
      </c>
      <c r="I677" s="4">
        <v>45977.875</v>
      </c>
      <c r="J677" t="s">
        <v>2781</v>
      </c>
      <c r="K677" t="s">
        <v>743</v>
      </c>
      <c r="L677" s="5"/>
      <c r="M677" s="5"/>
      <c r="N677" t="s">
        <v>46</v>
      </c>
      <c r="O677" t="s">
        <v>2782</v>
      </c>
      <c r="R677">
        <v>0.4</v>
      </c>
      <c r="S677" t="s">
        <v>230</v>
      </c>
      <c r="T677" s="5" t="s">
        <v>48</v>
      </c>
      <c r="U677" t="s">
        <v>2783</v>
      </c>
      <c r="V677" t="s">
        <v>2784</v>
      </c>
      <c r="W677">
        <v>28</v>
      </c>
      <c r="X677" t="s">
        <v>667</v>
      </c>
      <c r="Y677" t="str">
        <f>VLOOKUP(C677,'[1]DBS_KPY Sorumlular'!A:C,2,FALSE)</f>
        <v>Mustafa AYDIN</v>
      </c>
      <c r="Z677" t="str">
        <f>VLOOKUP(C677,'[1]DBS_KPY Sorumlular'!A:C,3,FALSE)</f>
        <v>Esra DOLAN</v>
      </c>
      <c r="AA677" t="str">
        <f>VLOOKUP(K677,[1]!Tablo3[#Data],2,FALSE)</f>
        <v>Kadir TOPÇU</v>
      </c>
    </row>
    <row r="678" spans="1:27" x14ac:dyDescent="0.25">
      <c r="A678">
        <v>1977</v>
      </c>
      <c r="B678" t="s">
        <v>1419</v>
      </c>
      <c r="C678" t="s">
        <v>1674</v>
      </c>
      <c r="D678" t="s">
        <v>1700</v>
      </c>
      <c r="F678" t="s">
        <v>95</v>
      </c>
      <c r="G678" t="s">
        <v>96</v>
      </c>
      <c r="H678" t="s">
        <v>2785</v>
      </c>
      <c r="I678" s="4"/>
      <c r="J678" t="s">
        <v>2786</v>
      </c>
      <c r="K678" t="s">
        <v>743</v>
      </c>
      <c r="L678" s="5" t="s">
        <v>2787</v>
      </c>
      <c r="M678" s="5"/>
      <c r="N678" t="s">
        <v>35</v>
      </c>
      <c r="O678" t="s">
        <v>2788</v>
      </c>
      <c r="S678" t="s">
        <v>230</v>
      </c>
      <c r="T678" s="5" t="s">
        <v>48</v>
      </c>
      <c r="U678" t="s">
        <v>2789</v>
      </c>
      <c r="V678" t="s">
        <v>2785</v>
      </c>
      <c r="W678">
        <v>28</v>
      </c>
      <c r="X678" t="s">
        <v>667</v>
      </c>
      <c r="Y678" t="str">
        <f>VLOOKUP(C678,'[1]DBS_KPY Sorumlular'!A:C,2,FALSE)</f>
        <v>Kadir TOPÇU</v>
      </c>
      <c r="Z678" t="str">
        <f>VLOOKUP(C678,'[1]DBS_KPY Sorumlular'!A:C,3,FALSE)</f>
        <v>Erkan AKDOĞAN</v>
      </c>
      <c r="AA678" t="str">
        <f>VLOOKUP(K678,[1]!Tablo3[#Data],2,FALSE)</f>
        <v>Kadir TOPÇU</v>
      </c>
    </row>
    <row r="679" spans="1:27" x14ac:dyDescent="0.25">
      <c r="A679">
        <v>1978</v>
      </c>
      <c r="B679" t="s">
        <v>1419</v>
      </c>
      <c r="C679" t="s">
        <v>1674</v>
      </c>
      <c r="D679" t="s">
        <v>1700</v>
      </c>
      <c r="F679" t="s">
        <v>95</v>
      </c>
      <c r="G679" t="s">
        <v>96</v>
      </c>
      <c r="H679" t="s">
        <v>2790</v>
      </c>
      <c r="I679" s="4"/>
      <c r="J679" t="s">
        <v>2791</v>
      </c>
      <c r="K679" t="s">
        <v>743</v>
      </c>
      <c r="L679" s="5" t="s">
        <v>2787</v>
      </c>
      <c r="M679" s="5"/>
      <c r="N679" t="s">
        <v>35</v>
      </c>
      <c r="O679" t="s">
        <v>2792</v>
      </c>
      <c r="S679" t="s">
        <v>230</v>
      </c>
      <c r="T679" s="5" t="s">
        <v>48</v>
      </c>
      <c r="U679" t="s">
        <v>2793</v>
      </c>
      <c r="V679" t="s">
        <v>2790</v>
      </c>
      <c r="W679">
        <v>91</v>
      </c>
      <c r="X679" t="s">
        <v>101</v>
      </c>
      <c r="Y679" t="str">
        <f>VLOOKUP(C679,'[1]DBS_KPY Sorumlular'!A:C,2,FALSE)</f>
        <v>Kadir TOPÇU</v>
      </c>
      <c r="Z679" t="str">
        <f>VLOOKUP(C679,'[1]DBS_KPY Sorumlular'!A:C,3,FALSE)</f>
        <v>Erkan AKDOĞAN</v>
      </c>
      <c r="AA679" t="str">
        <f>VLOOKUP(K679,[1]!Tablo3[#Data],2,FALSE)</f>
        <v>Kadir TOPÇU</v>
      </c>
    </row>
    <row r="680" spans="1:27" x14ac:dyDescent="0.25">
      <c r="A680">
        <v>1979</v>
      </c>
      <c r="B680" t="s">
        <v>1419</v>
      </c>
      <c r="C680" t="s">
        <v>1674</v>
      </c>
      <c r="D680" t="s">
        <v>1717</v>
      </c>
      <c r="F680" t="s">
        <v>95</v>
      </c>
      <c r="G680" t="s">
        <v>43</v>
      </c>
      <c r="H680" t="s">
        <v>2794</v>
      </c>
      <c r="I680" s="4"/>
      <c r="J680" t="s">
        <v>2795</v>
      </c>
      <c r="K680" t="s">
        <v>743</v>
      </c>
      <c r="L680" s="5"/>
      <c r="M680" s="5"/>
      <c r="N680" t="s">
        <v>35</v>
      </c>
      <c r="O680" t="s">
        <v>2796</v>
      </c>
      <c r="S680" t="s">
        <v>230</v>
      </c>
      <c r="T680" s="5" t="s">
        <v>48</v>
      </c>
      <c r="U680" t="s">
        <v>2797</v>
      </c>
      <c r="V680" t="s">
        <v>2798</v>
      </c>
      <c r="W680">
        <v>114</v>
      </c>
      <c r="X680" t="s">
        <v>136</v>
      </c>
      <c r="Y680" t="str">
        <f>VLOOKUP(C680,'[1]DBS_KPY Sorumlular'!A:C,2,FALSE)</f>
        <v>Kadir TOPÇU</v>
      </c>
      <c r="Z680" t="str">
        <f>VLOOKUP(C680,'[1]DBS_KPY Sorumlular'!A:C,3,FALSE)</f>
        <v>Erkan AKDOĞAN</v>
      </c>
      <c r="AA680" t="str">
        <f>VLOOKUP(K680,[1]!Tablo3[#Data],2,FALSE)</f>
        <v>Kadir TOPÇU</v>
      </c>
    </row>
    <row r="681" spans="1:27" x14ac:dyDescent="0.25">
      <c r="A681">
        <v>1980</v>
      </c>
      <c r="B681" t="s">
        <v>1419</v>
      </c>
      <c r="C681" t="s">
        <v>1674</v>
      </c>
      <c r="D681" t="s">
        <v>1717</v>
      </c>
      <c r="F681" t="s">
        <v>882</v>
      </c>
      <c r="G681" t="s">
        <v>43</v>
      </c>
      <c r="H681" t="s">
        <v>2799</v>
      </c>
      <c r="I681" s="4"/>
      <c r="J681" t="s">
        <v>2800</v>
      </c>
      <c r="K681" t="s">
        <v>743</v>
      </c>
      <c r="L681" s="5"/>
      <c r="M681" s="5"/>
      <c r="N681" t="s">
        <v>35</v>
      </c>
      <c r="O681" t="s">
        <v>2801</v>
      </c>
      <c r="S681" t="s">
        <v>230</v>
      </c>
      <c r="T681" s="5" t="s">
        <v>48</v>
      </c>
      <c r="U681" t="s">
        <v>2802</v>
      </c>
      <c r="V681" t="s">
        <v>2803</v>
      </c>
      <c r="W681">
        <v>68</v>
      </c>
      <c r="X681" t="s">
        <v>51</v>
      </c>
      <c r="Y681" t="str">
        <f>VLOOKUP(C681,'[1]DBS_KPY Sorumlular'!A:C,2,FALSE)</f>
        <v>Kadir TOPÇU</v>
      </c>
      <c r="Z681" t="str">
        <f>VLOOKUP(C681,'[1]DBS_KPY Sorumlular'!A:C,3,FALSE)</f>
        <v>Erkan AKDOĞAN</v>
      </c>
      <c r="AA681" t="str">
        <f>VLOOKUP(K681,[1]!Tablo3[#Data],2,FALSE)</f>
        <v>Kadir TOPÇU</v>
      </c>
    </row>
    <row r="682" spans="1:27" x14ac:dyDescent="0.25">
      <c r="A682">
        <v>1981</v>
      </c>
      <c r="B682" t="s">
        <v>1419</v>
      </c>
      <c r="C682" t="s">
        <v>40</v>
      </c>
      <c r="D682" t="s">
        <v>65</v>
      </c>
      <c r="F682" t="s">
        <v>52</v>
      </c>
      <c r="G682" t="s">
        <v>67</v>
      </c>
      <c r="H682" t="s">
        <v>2804</v>
      </c>
      <c r="I682" s="4"/>
      <c r="J682" t="s">
        <v>2805</v>
      </c>
      <c r="K682" t="s">
        <v>226</v>
      </c>
      <c r="L682" s="5"/>
      <c r="M682" s="5"/>
      <c r="N682" t="s">
        <v>35</v>
      </c>
      <c r="O682" t="s">
        <v>2806</v>
      </c>
      <c r="S682" t="s">
        <v>230</v>
      </c>
      <c r="T682" s="5" t="s">
        <v>48</v>
      </c>
      <c r="U682" t="s">
        <v>2807</v>
      </c>
      <c r="V682" t="s">
        <v>2808</v>
      </c>
      <c r="W682">
        <v>103</v>
      </c>
      <c r="X682" t="s">
        <v>353</v>
      </c>
      <c r="Y682" t="str">
        <f>VLOOKUP(C682,'[1]DBS_KPY Sorumlular'!A:C,2,FALSE)</f>
        <v>Mustafa AYDIN</v>
      </c>
      <c r="Z682" t="str">
        <f>VLOOKUP(C682,'[1]DBS_KPY Sorumlular'!A:C,3,FALSE)</f>
        <v>Esra DOLAN</v>
      </c>
      <c r="AA682" t="str">
        <f>VLOOKUP(K682,[1]!Tablo3[#Data],2,FALSE)</f>
        <v>Kadir TOPÇU</v>
      </c>
    </row>
    <row r="683" spans="1:27" x14ac:dyDescent="0.25">
      <c r="A683">
        <v>1982</v>
      </c>
      <c r="B683" t="s">
        <v>1419</v>
      </c>
      <c r="C683" t="s">
        <v>1674</v>
      </c>
      <c r="D683" t="s">
        <v>1700</v>
      </c>
      <c r="F683" t="s">
        <v>306</v>
      </c>
      <c r="G683" t="s">
        <v>96</v>
      </c>
      <c r="H683" t="s">
        <v>2809</v>
      </c>
      <c r="I683" s="4"/>
      <c r="J683" t="s">
        <v>2810</v>
      </c>
      <c r="K683" t="s">
        <v>743</v>
      </c>
      <c r="L683" s="5" t="s">
        <v>1997</v>
      </c>
      <c r="M683" s="5"/>
      <c r="N683" t="s">
        <v>35</v>
      </c>
      <c r="O683" t="s">
        <v>2811</v>
      </c>
      <c r="S683" t="s">
        <v>230</v>
      </c>
      <c r="T683" s="5" t="s">
        <v>48</v>
      </c>
      <c r="U683" t="s">
        <v>2812</v>
      </c>
      <c r="V683" t="s">
        <v>2809</v>
      </c>
      <c r="W683">
        <v>23</v>
      </c>
      <c r="X683" t="s">
        <v>295</v>
      </c>
      <c r="Y683" t="str">
        <f>VLOOKUP(C683,'[1]DBS_KPY Sorumlular'!A:C,2,FALSE)</f>
        <v>Kadir TOPÇU</v>
      </c>
      <c r="Z683" t="str">
        <f>VLOOKUP(C683,'[1]DBS_KPY Sorumlular'!A:C,3,FALSE)</f>
        <v>Erkan AKDOĞAN</v>
      </c>
      <c r="AA683" t="str">
        <f>VLOOKUP(K683,[1]!Tablo3[#Data],2,FALSE)</f>
        <v>Kadir TOPÇU</v>
      </c>
    </row>
    <row r="684" spans="1:27" x14ac:dyDescent="0.25">
      <c r="A684">
        <v>1984</v>
      </c>
      <c r="B684" t="s">
        <v>27</v>
      </c>
      <c r="C684" t="s">
        <v>402</v>
      </c>
      <c r="D684" t="s">
        <v>403</v>
      </c>
      <c r="F684" t="s">
        <v>383</v>
      </c>
      <c r="G684" t="s">
        <v>384</v>
      </c>
      <c r="H684" t="s">
        <v>2813</v>
      </c>
      <c r="I684" s="4">
        <v>47117.875</v>
      </c>
      <c r="J684" t="s">
        <v>2814</v>
      </c>
      <c r="K684" t="s">
        <v>743</v>
      </c>
      <c r="L684" s="5" t="s">
        <v>2815</v>
      </c>
      <c r="M684" s="5" t="s">
        <v>2816</v>
      </c>
      <c r="N684" t="s">
        <v>46</v>
      </c>
      <c r="O684" t="s">
        <v>2817</v>
      </c>
      <c r="R684">
        <v>0.15</v>
      </c>
      <c r="S684" t="s">
        <v>230</v>
      </c>
      <c r="T684" s="5" t="s">
        <v>100</v>
      </c>
      <c r="W684">
        <v>177</v>
      </c>
      <c r="X684" t="s">
        <v>2818</v>
      </c>
      <c r="Y684" t="str">
        <f>VLOOKUP(C684,'[1]DBS_KPY Sorumlular'!A:C,2,FALSE)</f>
        <v>Tayfun VİÇE</v>
      </c>
      <c r="Z684" t="str">
        <f>VLOOKUP(C684,'[1]DBS_KPY Sorumlular'!A:C,3,FALSE)</f>
        <v>Mehmet Ali YAVUZ</v>
      </c>
      <c r="AA684" t="str">
        <f>VLOOKUP(K684,[1]!Tablo3[#Data],2,FALSE)</f>
        <v>Kadir TOPÇU</v>
      </c>
    </row>
    <row r="685" spans="1:27" x14ac:dyDescent="0.25">
      <c r="A685">
        <v>1985</v>
      </c>
      <c r="B685" t="s">
        <v>1419</v>
      </c>
      <c r="C685" t="s">
        <v>652</v>
      </c>
      <c r="D685" t="s">
        <v>653</v>
      </c>
      <c r="F685" t="s">
        <v>486</v>
      </c>
      <c r="G685" t="s">
        <v>456</v>
      </c>
      <c r="H685" t="s">
        <v>2819</v>
      </c>
      <c r="I685" s="4"/>
      <c r="J685" t="s">
        <v>2820</v>
      </c>
      <c r="K685" t="s">
        <v>743</v>
      </c>
      <c r="L685" s="5" t="s">
        <v>2821</v>
      </c>
      <c r="M685" s="5"/>
      <c r="N685" t="s">
        <v>35</v>
      </c>
      <c r="O685" t="s">
        <v>2822</v>
      </c>
      <c r="S685" t="s">
        <v>230</v>
      </c>
      <c r="T685" s="5" t="s">
        <v>100</v>
      </c>
      <c r="W685">
        <v>144</v>
      </c>
      <c r="X685" t="s">
        <v>463</v>
      </c>
      <c r="Y685" t="str">
        <f>VLOOKUP(C685,'[1]DBS_KPY Sorumlular'!A:C,2,FALSE)</f>
        <v>Seyithan İŞİK</v>
      </c>
      <c r="Z685" t="str">
        <f>VLOOKUP(C685,'[1]DBS_KPY Sorumlular'!A:C,3,FALSE)</f>
        <v>Korhan KÖROĞLU</v>
      </c>
      <c r="AA685" t="str">
        <f>VLOOKUP(K685,[1]!Tablo3[#Data],2,FALSE)</f>
        <v>Kadir TOPÇU</v>
      </c>
    </row>
    <row r="686" spans="1:27" x14ac:dyDescent="0.25">
      <c r="A686">
        <v>1986</v>
      </c>
      <c r="B686" t="s">
        <v>1419</v>
      </c>
      <c r="C686" t="s">
        <v>1723</v>
      </c>
      <c r="D686" t="s">
        <v>2823</v>
      </c>
      <c r="F686" t="s">
        <v>486</v>
      </c>
      <c r="G686" t="s">
        <v>67</v>
      </c>
      <c r="H686" t="s">
        <v>2824</v>
      </c>
      <c r="I686" s="4"/>
      <c r="J686" t="s">
        <v>2825</v>
      </c>
      <c r="K686" t="s">
        <v>743</v>
      </c>
      <c r="L686" s="5" t="s">
        <v>2826</v>
      </c>
      <c r="M686" s="5" t="s">
        <v>2827</v>
      </c>
      <c r="N686" t="s">
        <v>35</v>
      </c>
      <c r="O686" t="s">
        <v>2828</v>
      </c>
      <c r="S686" t="s">
        <v>230</v>
      </c>
      <c r="T686" s="5" t="s">
        <v>38</v>
      </c>
      <c r="Y686" t="str">
        <f>VLOOKUP(C686,'[1]DBS_KPY Sorumlular'!A:C,2,FALSE)</f>
        <v>Erkan AKDOĞAN</v>
      </c>
      <c r="Z686" t="str">
        <f>VLOOKUP(C686,'[1]DBS_KPY Sorumlular'!A:C,3,FALSE)</f>
        <v>Kadir TOPÇU</v>
      </c>
      <c r="AA686" t="str">
        <f>VLOOKUP(K686,[1]!Tablo3[#Data],2,FALSE)</f>
        <v>Kadir TOPÇU</v>
      </c>
    </row>
    <row r="687" spans="1:27" x14ac:dyDescent="0.25">
      <c r="A687">
        <v>1987</v>
      </c>
      <c r="B687" t="s">
        <v>1419</v>
      </c>
      <c r="C687" t="s">
        <v>402</v>
      </c>
      <c r="D687" t="s">
        <v>403</v>
      </c>
      <c r="F687" t="s">
        <v>290</v>
      </c>
      <c r="G687" t="s">
        <v>384</v>
      </c>
      <c r="H687" t="s">
        <v>2829</v>
      </c>
      <c r="I687" s="4"/>
      <c r="J687" t="s">
        <v>2830</v>
      </c>
      <c r="K687" t="s">
        <v>743</v>
      </c>
      <c r="L687" s="5" t="s">
        <v>2831</v>
      </c>
      <c r="M687" s="5"/>
      <c r="N687" t="s">
        <v>35</v>
      </c>
      <c r="O687" t="s">
        <v>2832</v>
      </c>
      <c r="S687" t="s">
        <v>230</v>
      </c>
      <c r="T687" s="5" t="s">
        <v>48</v>
      </c>
      <c r="U687" t="s">
        <v>2833</v>
      </c>
      <c r="V687" t="s">
        <v>2834</v>
      </c>
      <c r="W687">
        <v>218</v>
      </c>
      <c r="X687" t="s">
        <v>2835</v>
      </c>
      <c r="Y687" t="str">
        <f>VLOOKUP(C687,'[1]DBS_KPY Sorumlular'!A:C,2,FALSE)</f>
        <v>Tayfun VİÇE</v>
      </c>
      <c r="Z687" t="str">
        <f>VLOOKUP(C687,'[1]DBS_KPY Sorumlular'!A:C,3,FALSE)</f>
        <v>Mehmet Ali YAVUZ</v>
      </c>
      <c r="AA687" t="str">
        <f>VLOOKUP(K687,[1]!Tablo3[#Data],2,FALSE)</f>
        <v>Kadir TOPÇU</v>
      </c>
    </row>
    <row r="688" spans="1:27" x14ac:dyDescent="0.25">
      <c r="A688">
        <v>1988</v>
      </c>
      <c r="B688" t="s">
        <v>1419</v>
      </c>
      <c r="C688" t="s">
        <v>1723</v>
      </c>
      <c r="D688" t="s">
        <v>1724</v>
      </c>
      <c r="F688" t="s">
        <v>184</v>
      </c>
      <c r="G688" t="s">
        <v>43</v>
      </c>
      <c r="H688" t="s">
        <v>2836</v>
      </c>
      <c r="I688" s="4"/>
      <c r="J688" t="s">
        <v>2837</v>
      </c>
      <c r="K688" t="s">
        <v>743</v>
      </c>
      <c r="L688" s="5" t="s">
        <v>2838</v>
      </c>
      <c r="M688" s="5" t="s">
        <v>35</v>
      </c>
      <c r="N688" t="s">
        <v>35</v>
      </c>
      <c r="O688" t="s">
        <v>2839</v>
      </c>
      <c r="S688" t="s">
        <v>230</v>
      </c>
      <c r="T688" s="5" t="s">
        <v>38</v>
      </c>
      <c r="Y688" t="str">
        <f>VLOOKUP(C688,'[1]DBS_KPY Sorumlular'!A:C,2,FALSE)</f>
        <v>Erkan AKDOĞAN</v>
      </c>
      <c r="Z688" t="str">
        <f>VLOOKUP(C688,'[1]DBS_KPY Sorumlular'!A:C,3,FALSE)</f>
        <v>Kadir TOPÇU</v>
      </c>
      <c r="AA688" t="str">
        <f>VLOOKUP(K688,[1]!Tablo3[#Data],2,FALSE)</f>
        <v>Kadir TOPÇU</v>
      </c>
    </row>
    <row r="689" spans="1:27" x14ac:dyDescent="0.25">
      <c r="A689">
        <v>1989</v>
      </c>
      <c r="B689" t="s">
        <v>1419</v>
      </c>
      <c r="C689" t="s">
        <v>73</v>
      </c>
      <c r="D689" t="s">
        <v>73</v>
      </c>
      <c r="F689" t="s">
        <v>486</v>
      </c>
      <c r="G689" t="s">
        <v>30</v>
      </c>
      <c r="H689" t="s">
        <v>2840</v>
      </c>
      <c r="I689" s="4"/>
      <c r="J689" t="s">
        <v>2841</v>
      </c>
      <c r="K689" t="s">
        <v>743</v>
      </c>
      <c r="L689" s="5"/>
      <c r="M689" s="5"/>
      <c r="N689" t="s">
        <v>35</v>
      </c>
      <c r="O689" t="s">
        <v>2842</v>
      </c>
      <c r="S689" t="s">
        <v>230</v>
      </c>
      <c r="T689" s="5" t="s">
        <v>38</v>
      </c>
      <c r="Y689" t="str">
        <f>VLOOKUP(C689,'[1]DBS_KPY Sorumlular'!A:C,2,FALSE)</f>
        <v>Ayşegül AKGÜL</v>
      </c>
      <c r="Z689" t="str">
        <f>VLOOKUP(C689,'[1]DBS_KPY Sorumlular'!A:C,3,FALSE)</f>
        <v>Sinan ERDAŞ</v>
      </c>
      <c r="AA689" t="str">
        <f>VLOOKUP(K689,[1]!Tablo3[#Data],2,FALSE)</f>
        <v>Kadir TOPÇU</v>
      </c>
    </row>
    <row r="690" spans="1:27" x14ac:dyDescent="0.25">
      <c r="A690">
        <v>1990</v>
      </c>
      <c r="B690" t="s">
        <v>1419</v>
      </c>
      <c r="C690" t="s">
        <v>652</v>
      </c>
      <c r="D690" t="s">
        <v>653</v>
      </c>
      <c r="F690" t="s">
        <v>455</v>
      </c>
      <c r="G690" t="s">
        <v>456</v>
      </c>
      <c r="H690" t="s">
        <v>2843</v>
      </c>
      <c r="I690" s="4"/>
      <c r="K690" t="s">
        <v>743</v>
      </c>
      <c r="L690" s="5"/>
      <c r="M690" s="5"/>
      <c r="N690" t="s">
        <v>35</v>
      </c>
      <c r="O690" t="s">
        <v>2844</v>
      </c>
      <c r="S690" t="s">
        <v>230</v>
      </c>
      <c r="T690" s="5" t="s">
        <v>48</v>
      </c>
      <c r="U690" t="s">
        <v>2845</v>
      </c>
      <c r="V690" t="s">
        <v>2846</v>
      </c>
      <c r="W690">
        <v>144</v>
      </c>
      <c r="X690" t="s">
        <v>463</v>
      </c>
      <c r="Y690" t="str">
        <f>VLOOKUP(C690,'[1]DBS_KPY Sorumlular'!A:C,2,FALSE)</f>
        <v>Seyithan İŞİK</v>
      </c>
      <c r="Z690" t="str">
        <f>VLOOKUP(C690,'[1]DBS_KPY Sorumlular'!A:C,3,FALSE)</f>
        <v>Korhan KÖROĞLU</v>
      </c>
      <c r="AA690" t="str">
        <f>VLOOKUP(K690,[1]!Tablo3[#Data],2,FALSE)</f>
        <v>Kadir TOPÇU</v>
      </c>
    </row>
    <row r="691" spans="1:27" x14ac:dyDescent="0.25">
      <c r="A691">
        <v>1991</v>
      </c>
      <c r="B691" t="s">
        <v>1419</v>
      </c>
      <c r="C691" t="s">
        <v>1674</v>
      </c>
      <c r="D691" t="s">
        <v>1700</v>
      </c>
      <c r="F691" t="s">
        <v>95</v>
      </c>
      <c r="G691" t="s">
        <v>96</v>
      </c>
      <c r="H691" t="s">
        <v>2847</v>
      </c>
      <c r="I691" s="4"/>
      <c r="K691" t="s">
        <v>743</v>
      </c>
      <c r="L691" s="5" t="s">
        <v>1997</v>
      </c>
      <c r="M691" s="5"/>
      <c r="N691" t="s">
        <v>35</v>
      </c>
      <c r="O691" t="s">
        <v>2848</v>
      </c>
      <c r="S691" t="s">
        <v>230</v>
      </c>
      <c r="T691" s="5" t="s">
        <v>48</v>
      </c>
      <c r="U691" t="s">
        <v>2849</v>
      </c>
      <c r="V691" t="s">
        <v>2850</v>
      </c>
      <c r="W691">
        <v>28</v>
      </c>
      <c r="X691" t="s">
        <v>667</v>
      </c>
      <c r="Y691" t="str">
        <f>VLOOKUP(C691,'[1]DBS_KPY Sorumlular'!A:C,2,FALSE)</f>
        <v>Kadir TOPÇU</v>
      </c>
      <c r="Z691" t="str">
        <f>VLOOKUP(C691,'[1]DBS_KPY Sorumlular'!A:C,3,FALSE)</f>
        <v>Erkan AKDOĞAN</v>
      </c>
      <c r="AA691" t="str">
        <f>VLOOKUP(K691,[1]!Tablo3[#Data],2,FALSE)</f>
        <v>Kadir TOPÇU</v>
      </c>
    </row>
    <row r="692" spans="1:27" x14ac:dyDescent="0.25">
      <c r="A692">
        <v>1992</v>
      </c>
      <c r="B692" t="s">
        <v>1419</v>
      </c>
      <c r="C692" t="s">
        <v>1674</v>
      </c>
      <c r="D692" t="s">
        <v>1700</v>
      </c>
      <c r="F692" t="s">
        <v>95</v>
      </c>
      <c r="G692" t="s">
        <v>291</v>
      </c>
      <c r="H692" t="s">
        <v>2851</v>
      </c>
      <c r="I692" s="4"/>
      <c r="J692" t="s">
        <v>2852</v>
      </c>
      <c r="K692" t="s">
        <v>743</v>
      </c>
      <c r="L692" s="5" t="s">
        <v>2440</v>
      </c>
      <c r="M692" s="5"/>
      <c r="N692" t="s">
        <v>35</v>
      </c>
      <c r="O692" t="s">
        <v>2853</v>
      </c>
      <c r="S692" t="s">
        <v>230</v>
      </c>
      <c r="T692" s="5" t="s">
        <v>48</v>
      </c>
      <c r="U692" t="s">
        <v>2854</v>
      </c>
      <c r="V692" t="s">
        <v>2855</v>
      </c>
      <c r="W692">
        <v>28</v>
      </c>
      <c r="X692" t="s">
        <v>667</v>
      </c>
      <c r="Y692" t="str">
        <f>VLOOKUP(C692,'[1]DBS_KPY Sorumlular'!A:C,2,FALSE)</f>
        <v>Kadir TOPÇU</v>
      </c>
      <c r="Z692" t="str">
        <f>VLOOKUP(C692,'[1]DBS_KPY Sorumlular'!A:C,3,FALSE)</f>
        <v>Erkan AKDOĞAN</v>
      </c>
      <c r="AA692" t="str">
        <f>VLOOKUP(K692,[1]!Tablo3[#Data],2,FALSE)</f>
        <v>Kadir TOPÇU</v>
      </c>
    </row>
    <row r="693" spans="1:27" x14ac:dyDescent="0.25">
      <c r="A693">
        <v>1993</v>
      </c>
      <c r="B693" t="s">
        <v>1419</v>
      </c>
      <c r="C693" t="s">
        <v>40</v>
      </c>
      <c r="D693" t="s">
        <v>65</v>
      </c>
      <c r="F693" t="s">
        <v>52</v>
      </c>
      <c r="G693" t="s">
        <v>43</v>
      </c>
      <c r="H693" t="s">
        <v>2856</v>
      </c>
      <c r="I693" s="4"/>
      <c r="K693" t="s">
        <v>743</v>
      </c>
      <c r="L693" s="5"/>
      <c r="M693" s="5"/>
      <c r="N693" t="s">
        <v>35</v>
      </c>
      <c r="O693" t="s">
        <v>2857</v>
      </c>
      <c r="R693">
        <v>0</v>
      </c>
      <c r="S693" t="s">
        <v>230</v>
      </c>
      <c r="T693" s="5" t="s">
        <v>48</v>
      </c>
      <c r="U693" t="s">
        <v>2858</v>
      </c>
      <c r="V693" t="s">
        <v>2859</v>
      </c>
      <c r="W693">
        <v>65</v>
      </c>
      <c r="X693" t="s">
        <v>374</v>
      </c>
      <c r="Y693" t="str">
        <f>VLOOKUP(C693,'[1]DBS_KPY Sorumlular'!A:C,2,FALSE)</f>
        <v>Mustafa AYDIN</v>
      </c>
      <c r="Z693" t="str">
        <f>VLOOKUP(C693,'[1]DBS_KPY Sorumlular'!A:C,3,FALSE)</f>
        <v>Esra DOLAN</v>
      </c>
      <c r="AA693" t="str">
        <f>VLOOKUP(K693,[1]!Tablo3[#Data],2,FALSE)</f>
        <v>Kadir TOPÇU</v>
      </c>
    </row>
    <row r="694" spans="1:27" x14ac:dyDescent="0.25">
      <c r="A694">
        <v>1994</v>
      </c>
      <c r="B694" t="s">
        <v>1419</v>
      </c>
      <c r="C694" t="s">
        <v>40</v>
      </c>
      <c r="D694" t="s">
        <v>65</v>
      </c>
      <c r="F694" t="s">
        <v>486</v>
      </c>
      <c r="G694" t="s">
        <v>30</v>
      </c>
      <c r="H694" t="s">
        <v>2860</v>
      </c>
      <c r="I694" s="4"/>
      <c r="J694" t="s">
        <v>2861</v>
      </c>
      <c r="K694" t="s">
        <v>743</v>
      </c>
      <c r="L694" s="5"/>
      <c r="M694" s="5"/>
      <c r="N694" t="s">
        <v>35</v>
      </c>
      <c r="O694" t="s">
        <v>2862</v>
      </c>
      <c r="S694" t="s">
        <v>230</v>
      </c>
      <c r="T694" s="5" t="s">
        <v>48</v>
      </c>
      <c r="U694" t="s">
        <v>2863</v>
      </c>
      <c r="V694" t="s">
        <v>2864</v>
      </c>
      <c r="W694">
        <v>79</v>
      </c>
      <c r="X694" t="s">
        <v>1619</v>
      </c>
      <c r="Y694" t="str">
        <f>VLOOKUP(C694,'[1]DBS_KPY Sorumlular'!A:C,2,FALSE)</f>
        <v>Mustafa AYDIN</v>
      </c>
      <c r="Z694" t="str">
        <f>VLOOKUP(C694,'[1]DBS_KPY Sorumlular'!A:C,3,FALSE)</f>
        <v>Esra DOLAN</v>
      </c>
      <c r="AA694" t="str">
        <f>VLOOKUP(K694,[1]!Tablo3[#Data],2,FALSE)</f>
        <v>Kadir TOPÇU</v>
      </c>
    </row>
    <row r="695" spans="1:27" x14ac:dyDescent="0.25">
      <c r="A695">
        <v>1995</v>
      </c>
      <c r="B695" t="s">
        <v>1419</v>
      </c>
      <c r="C695" t="s">
        <v>40</v>
      </c>
      <c r="D695" t="s">
        <v>65</v>
      </c>
      <c r="F695" t="s">
        <v>486</v>
      </c>
      <c r="G695" t="s">
        <v>30</v>
      </c>
      <c r="H695" t="s">
        <v>2865</v>
      </c>
      <c r="I695" s="4"/>
      <c r="K695" t="s">
        <v>743</v>
      </c>
      <c r="L695" s="5"/>
      <c r="M695" s="5"/>
      <c r="N695" t="s">
        <v>35</v>
      </c>
      <c r="O695" t="s">
        <v>2866</v>
      </c>
      <c r="S695" t="s">
        <v>230</v>
      </c>
      <c r="T695" s="5" t="s">
        <v>48</v>
      </c>
      <c r="U695" t="s">
        <v>2867</v>
      </c>
      <c r="V695" t="s">
        <v>2868</v>
      </c>
      <c r="W695">
        <v>65</v>
      </c>
      <c r="X695" t="s">
        <v>374</v>
      </c>
      <c r="Y695" t="str">
        <f>VLOOKUP(C695,'[1]DBS_KPY Sorumlular'!A:C,2,FALSE)</f>
        <v>Mustafa AYDIN</v>
      </c>
      <c r="Z695" t="str">
        <f>VLOOKUP(C695,'[1]DBS_KPY Sorumlular'!A:C,3,FALSE)</f>
        <v>Esra DOLAN</v>
      </c>
      <c r="AA695" t="str">
        <f>VLOOKUP(K695,[1]!Tablo3[#Data],2,FALSE)</f>
        <v>Kadir TOPÇU</v>
      </c>
    </row>
    <row r="696" spans="1:27" x14ac:dyDescent="0.25">
      <c r="A696">
        <v>1996</v>
      </c>
      <c r="B696" t="s">
        <v>1419</v>
      </c>
      <c r="C696" t="s">
        <v>304</v>
      </c>
      <c r="D696" t="s">
        <v>305</v>
      </c>
      <c r="F696" t="s">
        <v>306</v>
      </c>
      <c r="G696" t="s">
        <v>96</v>
      </c>
      <c r="H696" t="s">
        <v>2869</v>
      </c>
      <c r="I696" s="4"/>
      <c r="J696" t="s">
        <v>2870</v>
      </c>
      <c r="K696" t="s">
        <v>743</v>
      </c>
      <c r="L696" s="5"/>
      <c r="M696" s="5"/>
      <c r="N696" t="s">
        <v>35</v>
      </c>
      <c r="O696" t="s">
        <v>2871</v>
      </c>
      <c r="S696" t="s">
        <v>230</v>
      </c>
      <c r="T696" s="5" t="s">
        <v>38</v>
      </c>
      <c r="Y696" t="str">
        <f>VLOOKUP(C696,'[1]DBS_KPY Sorumlular'!A:C,2,FALSE)</f>
        <v>Erkan AKDOĞAN</v>
      </c>
      <c r="Z696" t="str">
        <f>VLOOKUP(C696,'[1]DBS_KPY Sorumlular'!A:C,3,FALSE)</f>
        <v>Kadir TOPÇU</v>
      </c>
      <c r="AA696" t="str">
        <f>VLOOKUP(K696,[1]!Tablo3[#Data],2,FALSE)</f>
        <v>Kadir TOPÇU</v>
      </c>
    </row>
    <row r="697" spans="1:27" x14ac:dyDescent="0.25">
      <c r="A697">
        <v>1997</v>
      </c>
      <c r="B697" t="s">
        <v>1419</v>
      </c>
      <c r="C697" t="s">
        <v>304</v>
      </c>
      <c r="D697" t="s">
        <v>305</v>
      </c>
      <c r="F697" t="s">
        <v>306</v>
      </c>
      <c r="G697" t="s">
        <v>96</v>
      </c>
      <c r="H697" t="s">
        <v>2872</v>
      </c>
      <c r="I697" s="4"/>
      <c r="J697" t="s">
        <v>2870</v>
      </c>
      <c r="K697" t="s">
        <v>743</v>
      </c>
      <c r="L697" s="5"/>
      <c r="M697" s="5"/>
      <c r="N697" t="s">
        <v>35</v>
      </c>
      <c r="O697" t="s">
        <v>2873</v>
      </c>
      <c r="S697" t="s">
        <v>230</v>
      </c>
      <c r="T697" s="5" t="s">
        <v>38</v>
      </c>
      <c r="Y697" t="str">
        <f>VLOOKUP(C697,'[1]DBS_KPY Sorumlular'!A:C,2,FALSE)</f>
        <v>Erkan AKDOĞAN</v>
      </c>
      <c r="Z697" t="str">
        <f>VLOOKUP(C697,'[1]DBS_KPY Sorumlular'!A:C,3,FALSE)</f>
        <v>Kadir TOPÇU</v>
      </c>
      <c r="AA697" t="str">
        <f>VLOOKUP(K697,[1]!Tablo3[#Data],2,FALSE)</f>
        <v>Kadir TOPÇU</v>
      </c>
    </row>
    <row r="698" spans="1:27" x14ac:dyDescent="0.25">
      <c r="A698">
        <v>1999</v>
      </c>
      <c r="B698" t="s">
        <v>1419</v>
      </c>
      <c r="C698" t="s">
        <v>137</v>
      </c>
      <c r="D698" t="s">
        <v>138</v>
      </c>
      <c r="E698" t="s">
        <v>138</v>
      </c>
      <c r="F698" t="s">
        <v>486</v>
      </c>
      <c r="G698" t="s">
        <v>140</v>
      </c>
      <c r="H698" t="s">
        <v>2874</v>
      </c>
      <c r="I698" s="4"/>
      <c r="J698" t="s">
        <v>2875</v>
      </c>
      <c r="K698" t="s">
        <v>743</v>
      </c>
      <c r="L698" s="5" t="s">
        <v>2876</v>
      </c>
      <c r="M698" s="5" t="s">
        <v>2877</v>
      </c>
      <c r="N698" t="s">
        <v>35</v>
      </c>
      <c r="O698" t="s">
        <v>2878</v>
      </c>
      <c r="S698" t="s">
        <v>230</v>
      </c>
      <c r="T698" s="5" t="s">
        <v>38</v>
      </c>
      <c r="W698">
        <v>126</v>
      </c>
      <c r="X698" t="s">
        <v>147</v>
      </c>
      <c r="Y698" t="str">
        <f>VLOOKUP(C698,'[1]DBS_KPY Sorumlular'!A:C,2,FALSE)</f>
        <v>Erkan AKDOĞAN</v>
      </c>
      <c r="Z698" t="str">
        <f>VLOOKUP(C698,'[1]DBS_KPY Sorumlular'!A:C,3,FALSE)</f>
        <v>Kadir TOPÇU</v>
      </c>
      <c r="AA698" t="str">
        <f>VLOOKUP(K698,[1]!Tablo3[#Data],2,FALSE)</f>
        <v>Kadir TOPÇU</v>
      </c>
    </row>
    <row r="699" spans="1:27" x14ac:dyDescent="0.25">
      <c r="A699">
        <v>2000</v>
      </c>
      <c r="B699" t="s">
        <v>1419</v>
      </c>
      <c r="C699" t="s">
        <v>304</v>
      </c>
      <c r="D699" t="s">
        <v>305</v>
      </c>
      <c r="F699" t="s">
        <v>306</v>
      </c>
      <c r="G699" t="s">
        <v>96</v>
      </c>
      <c r="H699" t="s">
        <v>2879</v>
      </c>
      <c r="I699" s="4"/>
      <c r="J699" t="s">
        <v>2870</v>
      </c>
      <c r="K699" t="s">
        <v>743</v>
      </c>
      <c r="L699" s="5" t="s">
        <v>2414</v>
      </c>
      <c r="M699" s="5"/>
      <c r="N699" t="s">
        <v>35</v>
      </c>
      <c r="O699" t="s">
        <v>2880</v>
      </c>
      <c r="S699" t="s">
        <v>230</v>
      </c>
      <c r="T699" s="5" t="s">
        <v>38</v>
      </c>
      <c r="Y699" t="str">
        <f>VLOOKUP(C699,'[1]DBS_KPY Sorumlular'!A:C,2,FALSE)</f>
        <v>Erkan AKDOĞAN</v>
      </c>
      <c r="Z699" t="str">
        <f>VLOOKUP(C699,'[1]DBS_KPY Sorumlular'!A:C,3,FALSE)</f>
        <v>Kadir TOPÇU</v>
      </c>
      <c r="AA699" t="str">
        <f>VLOOKUP(K699,[1]!Tablo3[#Data],2,FALSE)</f>
        <v>Kadir TOPÇU</v>
      </c>
    </row>
    <row r="700" spans="1:27" x14ac:dyDescent="0.25">
      <c r="A700">
        <v>2001</v>
      </c>
      <c r="B700" t="s">
        <v>1419</v>
      </c>
      <c r="C700" t="s">
        <v>73</v>
      </c>
      <c r="D700" t="s">
        <v>73</v>
      </c>
      <c r="F700" t="s">
        <v>486</v>
      </c>
      <c r="G700" t="s">
        <v>30</v>
      </c>
      <c r="H700" t="s">
        <v>816</v>
      </c>
      <c r="I700" s="4"/>
      <c r="J700" t="s">
        <v>2881</v>
      </c>
      <c r="K700" t="s">
        <v>743</v>
      </c>
      <c r="L700" s="5"/>
      <c r="M700" s="5"/>
      <c r="N700" t="s">
        <v>35</v>
      </c>
      <c r="O700" t="s">
        <v>2882</v>
      </c>
      <c r="S700" t="s">
        <v>230</v>
      </c>
      <c r="T700" s="5" t="s">
        <v>38</v>
      </c>
      <c r="Y700" t="str">
        <f>VLOOKUP(C700,'[1]DBS_KPY Sorumlular'!A:C,2,FALSE)</f>
        <v>Ayşegül AKGÜL</v>
      </c>
      <c r="Z700" t="str">
        <f>VLOOKUP(C700,'[1]DBS_KPY Sorumlular'!A:C,3,FALSE)</f>
        <v>Sinan ERDAŞ</v>
      </c>
      <c r="AA700" t="str">
        <f>VLOOKUP(K700,[1]!Tablo3[#Data],2,FALSE)</f>
        <v>Kadir TOPÇU</v>
      </c>
    </row>
    <row r="701" spans="1:27" x14ac:dyDescent="0.25">
      <c r="A701">
        <v>2002</v>
      </c>
      <c r="B701" t="s">
        <v>1419</v>
      </c>
      <c r="C701" t="s">
        <v>73</v>
      </c>
      <c r="D701" t="s">
        <v>73</v>
      </c>
      <c r="F701" t="s">
        <v>486</v>
      </c>
      <c r="G701" t="s">
        <v>384</v>
      </c>
      <c r="H701" t="s">
        <v>2883</v>
      </c>
      <c r="I701" s="4">
        <v>45638.875</v>
      </c>
      <c r="J701" t="s">
        <v>2884</v>
      </c>
      <c r="K701" t="s">
        <v>743</v>
      </c>
      <c r="L701" s="5" t="s">
        <v>2885</v>
      </c>
      <c r="M701" s="5"/>
      <c r="N701" t="s">
        <v>82</v>
      </c>
      <c r="O701" t="s">
        <v>2886</v>
      </c>
      <c r="R701">
        <v>1</v>
      </c>
      <c r="S701" t="s">
        <v>230</v>
      </c>
      <c r="T701" s="5" t="s">
        <v>38</v>
      </c>
      <c r="W701">
        <v>173</v>
      </c>
      <c r="X701" t="s">
        <v>2887</v>
      </c>
      <c r="Y701" t="str">
        <f>VLOOKUP(C701,'[1]DBS_KPY Sorumlular'!A:C,2,FALSE)</f>
        <v>Ayşegül AKGÜL</v>
      </c>
      <c r="Z701" t="str">
        <f>VLOOKUP(C701,'[1]DBS_KPY Sorumlular'!A:C,3,FALSE)</f>
        <v>Sinan ERDAŞ</v>
      </c>
      <c r="AA701" t="str">
        <f>VLOOKUP(K701,[1]!Tablo3[#Data],2,FALSE)</f>
        <v>Kadir TOPÇU</v>
      </c>
    </row>
    <row r="702" spans="1:27" x14ac:dyDescent="0.25">
      <c r="A702">
        <v>2004</v>
      </c>
      <c r="B702" t="s">
        <v>1419</v>
      </c>
      <c r="C702" t="s">
        <v>652</v>
      </c>
      <c r="D702" t="s">
        <v>653</v>
      </c>
      <c r="F702" t="s">
        <v>95</v>
      </c>
      <c r="G702" t="s">
        <v>96</v>
      </c>
      <c r="H702" t="s">
        <v>2888</v>
      </c>
      <c r="I702" s="4"/>
      <c r="K702" t="s">
        <v>835</v>
      </c>
      <c r="L702" s="5"/>
      <c r="M702" s="5"/>
      <c r="N702" t="s">
        <v>35</v>
      </c>
      <c r="O702" t="s">
        <v>2889</v>
      </c>
      <c r="S702" t="s">
        <v>230</v>
      </c>
      <c r="T702" s="5" t="s">
        <v>48</v>
      </c>
      <c r="U702" t="s">
        <v>2890</v>
      </c>
      <c r="V702" t="s">
        <v>2888</v>
      </c>
      <c r="W702">
        <v>144</v>
      </c>
      <c r="X702" t="s">
        <v>463</v>
      </c>
      <c r="Y702" t="str">
        <f>VLOOKUP(C702,'[1]DBS_KPY Sorumlular'!A:C,2,FALSE)</f>
        <v>Seyithan İŞİK</v>
      </c>
      <c r="Z702" t="str">
        <f>VLOOKUP(C702,'[1]DBS_KPY Sorumlular'!A:C,3,FALSE)</f>
        <v>Korhan KÖROĞLU</v>
      </c>
      <c r="AA702" t="str">
        <f>VLOOKUP(K702,[1]!Tablo3[#Data],2,FALSE)</f>
        <v>Kadir TOPÇU</v>
      </c>
    </row>
    <row r="703" spans="1:27" x14ac:dyDescent="0.25">
      <c r="A703">
        <v>2005</v>
      </c>
      <c r="B703" t="s">
        <v>1419</v>
      </c>
      <c r="C703" t="s">
        <v>1674</v>
      </c>
      <c r="D703" t="s">
        <v>1675</v>
      </c>
      <c r="F703" t="s">
        <v>52</v>
      </c>
      <c r="G703" t="s">
        <v>30</v>
      </c>
      <c r="H703" t="s">
        <v>2891</v>
      </c>
      <c r="I703" s="4"/>
      <c r="J703" t="s">
        <v>2892</v>
      </c>
      <c r="K703" t="s">
        <v>835</v>
      </c>
      <c r="L703" s="5"/>
      <c r="M703" s="5"/>
      <c r="N703" t="s">
        <v>35</v>
      </c>
      <c r="O703" t="s">
        <v>2893</v>
      </c>
      <c r="S703" t="s">
        <v>230</v>
      </c>
      <c r="T703" s="5" t="s">
        <v>48</v>
      </c>
      <c r="U703" t="s">
        <v>2894</v>
      </c>
      <c r="V703" t="s">
        <v>2895</v>
      </c>
      <c r="W703">
        <v>65</v>
      </c>
      <c r="X703" t="s">
        <v>374</v>
      </c>
      <c r="Y703" t="str">
        <f>VLOOKUP(C703,'[1]DBS_KPY Sorumlular'!A:C,2,FALSE)</f>
        <v>Kadir TOPÇU</v>
      </c>
      <c r="Z703" t="str">
        <f>VLOOKUP(C703,'[1]DBS_KPY Sorumlular'!A:C,3,FALSE)</f>
        <v>Erkan AKDOĞAN</v>
      </c>
      <c r="AA703" t="str">
        <f>VLOOKUP(K703,[1]!Tablo3[#Data],2,FALSE)</f>
        <v>Kadir TOPÇU</v>
      </c>
    </row>
    <row r="704" spans="1:27" x14ac:dyDescent="0.25">
      <c r="A704">
        <v>2006</v>
      </c>
      <c r="B704" t="s">
        <v>1419</v>
      </c>
      <c r="C704" t="s">
        <v>73</v>
      </c>
      <c r="D704" t="s">
        <v>73</v>
      </c>
      <c r="F704" t="s">
        <v>486</v>
      </c>
      <c r="G704" t="s">
        <v>30</v>
      </c>
      <c r="H704" t="s">
        <v>2896</v>
      </c>
      <c r="I704" s="4">
        <v>46379.875</v>
      </c>
      <c r="J704" t="s">
        <v>2897</v>
      </c>
      <c r="K704" t="s">
        <v>835</v>
      </c>
      <c r="L704" s="5" t="s">
        <v>2898</v>
      </c>
      <c r="M704" s="5"/>
      <c r="N704" t="s">
        <v>35</v>
      </c>
      <c r="O704" t="s">
        <v>2899</v>
      </c>
      <c r="S704" t="s">
        <v>230</v>
      </c>
      <c r="T704" s="5" t="s">
        <v>38</v>
      </c>
      <c r="Y704" t="str">
        <f>VLOOKUP(C704,'[1]DBS_KPY Sorumlular'!A:C,2,FALSE)</f>
        <v>Ayşegül AKGÜL</v>
      </c>
      <c r="Z704" t="str">
        <f>VLOOKUP(C704,'[1]DBS_KPY Sorumlular'!A:C,3,FALSE)</f>
        <v>Sinan ERDAŞ</v>
      </c>
      <c r="AA704" t="str">
        <f>VLOOKUP(K704,[1]!Tablo3[#Data],2,FALSE)</f>
        <v>Kadir TOPÇU</v>
      </c>
    </row>
    <row r="705" spans="1:27" x14ac:dyDescent="0.25">
      <c r="A705">
        <v>2007</v>
      </c>
      <c r="B705" t="s">
        <v>1419</v>
      </c>
      <c r="C705" t="s">
        <v>1674</v>
      </c>
      <c r="D705" t="s">
        <v>1717</v>
      </c>
      <c r="F705" t="s">
        <v>113</v>
      </c>
      <c r="G705" t="s">
        <v>43</v>
      </c>
      <c r="H705" t="s">
        <v>2900</v>
      </c>
      <c r="I705" s="4"/>
      <c r="J705" t="s">
        <v>2901</v>
      </c>
      <c r="K705" t="s">
        <v>835</v>
      </c>
      <c r="L705" s="5"/>
      <c r="M705" s="5"/>
      <c r="N705" t="s">
        <v>35</v>
      </c>
      <c r="O705" t="s">
        <v>2902</v>
      </c>
      <c r="S705" t="s">
        <v>230</v>
      </c>
      <c r="T705" s="5" t="s">
        <v>48</v>
      </c>
      <c r="U705" t="s">
        <v>2903</v>
      </c>
      <c r="V705" t="s">
        <v>2904</v>
      </c>
      <c r="W705">
        <v>169</v>
      </c>
      <c r="X705" t="s">
        <v>1480</v>
      </c>
      <c r="Y705" t="str">
        <f>VLOOKUP(C705,'[1]DBS_KPY Sorumlular'!A:C,2,FALSE)</f>
        <v>Kadir TOPÇU</v>
      </c>
      <c r="Z705" t="str">
        <f>VLOOKUP(C705,'[1]DBS_KPY Sorumlular'!A:C,3,FALSE)</f>
        <v>Erkan AKDOĞAN</v>
      </c>
      <c r="AA705" t="str">
        <f>VLOOKUP(K705,[1]!Tablo3[#Data],2,FALSE)</f>
        <v>Kadir TOPÇU</v>
      </c>
    </row>
    <row r="706" spans="1:27" x14ac:dyDescent="0.25">
      <c r="A706">
        <v>2008</v>
      </c>
      <c r="B706" t="s">
        <v>1419</v>
      </c>
      <c r="C706" t="s">
        <v>40</v>
      </c>
      <c r="D706" t="s">
        <v>65</v>
      </c>
      <c r="F706" t="s">
        <v>486</v>
      </c>
      <c r="G706" t="s">
        <v>67</v>
      </c>
      <c r="H706" t="s">
        <v>2905</v>
      </c>
      <c r="I706" s="4"/>
      <c r="K706" t="s">
        <v>835</v>
      </c>
      <c r="L706" s="5"/>
      <c r="M706" s="5"/>
      <c r="N706" t="s">
        <v>35</v>
      </c>
      <c r="O706" t="s">
        <v>2906</v>
      </c>
      <c r="S706" t="s">
        <v>230</v>
      </c>
      <c r="T706" s="5" t="s">
        <v>100</v>
      </c>
      <c r="W706">
        <v>203</v>
      </c>
      <c r="X706" t="s">
        <v>72</v>
      </c>
      <c r="Y706" t="str">
        <f>VLOOKUP(C706,'[1]DBS_KPY Sorumlular'!A:C,2,FALSE)</f>
        <v>Mustafa AYDIN</v>
      </c>
      <c r="Z706" t="str">
        <f>VLOOKUP(C706,'[1]DBS_KPY Sorumlular'!A:C,3,FALSE)</f>
        <v>Esra DOLAN</v>
      </c>
      <c r="AA706" t="str">
        <f>VLOOKUP(K706,[1]!Tablo3[#Data],2,FALSE)</f>
        <v>Kadir TOPÇU</v>
      </c>
    </row>
    <row r="707" spans="1:27" x14ac:dyDescent="0.25">
      <c r="A707">
        <v>2009</v>
      </c>
      <c r="B707" t="s">
        <v>1419</v>
      </c>
      <c r="C707" t="s">
        <v>893</v>
      </c>
      <c r="D707" t="s">
        <v>902</v>
      </c>
      <c r="F707" t="s">
        <v>2425</v>
      </c>
      <c r="G707" t="s">
        <v>30</v>
      </c>
      <c r="H707" t="s">
        <v>2907</v>
      </c>
      <c r="I707" s="4"/>
      <c r="J707" t="s">
        <v>2908</v>
      </c>
      <c r="K707" t="s">
        <v>835</v>
      </c>
      <c r="L707" s="5" t="s">
        <v>2909</v>
      </c>
      <c r="M707" s="5" t="s">
        <v>2816</v>
      </c>
      <c r="N707" t="s">
        <v>35</v>
      </c>
      <c r="O707" t="s">
        <v>2910</v>
      </c>
      <c r="S707" t="s">
        <v>230</v>
      </c>
      <c r="T707" s="5" t="s">
        <v>38</v>
      </c>
      <c r="W707">
        <v>184</v>
      </c>
      <c r="X707" t="s">
        <v>901</v>
      </c>
      <c r="Y707" t="str">
        <f>VLOOKUP(C707,'[1]DBS_KPY Sorumlular'!A:C,2,FALSE)</f>
        <v>Seyithan İŞİK</v>
      </c>
      <c r="Z707" t="str">
        <f>VLOOKUP(C707,'[1]DBS_KPY Sorumlular'!A:C,3,FALSE)</f>
        <v>Korhan KÖROĞLU</v>
      </c>
      <c r="AA707" t="str">
        <f>VLOOKUP(K707,[1]!Tablo3[#Data],2,FALSE)</f>
        <v>Kadir TOPÇU</v>
      </c>
    </row>
    <row r="708" spans="1:27" x14ac:dyDescent="0.25">
      <c r="A708">
        <v>2010</v>
      </c>
      <c r="B708" t="s">
        <v>1419</v>
      </c>
      <c r="C708" t="s">
        <v>73</v>
      </c>
      <c r="D708" t="s">
        <v>73</v>
      </c>
      <c r="F708" t="s">
        <v>486</v>
      </c>
      <c r="G708" t="s">
        <v>30</v>
      </c>
      <c r="H708" t="s">
        <v>849</v>
      </c>
      <c r="I708" s="4"/>
      <c r="J708" t="s">
        <v>2911</v>
      </c>
      <c r="K708" t="s">
        <v>835</v>
      </c>
      <c r="L708" s="5"/>
      <c r="M708" s="5"/>
      <c r="N708" t="s">
        <v>35</v>
      </c>
      <c r="O708" t="s">
        <v>2912</v>
      </c>
      <c r="S708" t="s">
        <v>230</v>
      </c>
      <c r="T708" s="5" t="s">
        <v>38</v>
      </c>
      <c r="Y708" t="str">
        <f>VLOOKUP(C708,'[1]DBS_KPY Sorumlular'!A:C,2,FALSE)</f>
        <v>Ayşegül AKGÜL</v>
      </c>
      <c r="Z708" t="str">
        <f>VLOOKUP(C708,'[1]DBS_KPY Sorumlular'!A:C,3,FALSE)</f>
        <v>Sinan ERDAŞ</v>
      </c>
      <c r="AA708" t="str">
        <f>VLOOKUP(K708,[1]!Tablo3[#Data],2,FALSE)</f>
        <v>Kadir TOPÇU</v>
      </c>
    </row>
    <row r="709" spans="1:27" x14ac:dyDescent="0.25">
      <c r="A709">
        <v>2011</v>
      </c>
      <c r="B709" t="s">
        <v>1419</v>
      </c>
      <c r="C709" t="s">
        <v>73</v>
      </c>
      <c r="D709" t="s">
        <v>73</v>
      </c>
      <c r="F709" t="s">
        <v>455</v>
      </c>
      <c r="G709" t="s">
        <v>456</v>
      </c>
      <c r="H709" t="s">
        <v>2913</v>
      </c>
      <c r="I709" s="4"/>
      <c r="J709" t="s">
        <v>2436</v>
      </c>
      <c r="K709" t="s">
        <v>835</v>
      </c>
      <c r="L709" s="5" t="s">
        <v>1784</v>
      </c>
      <c r="M709" s="5"/>
      <c r="N709" t="s">
        <v>35</v>
      </c>
      <c r="O709" t="s">
        <v>2914</v>
      </c>
      <c r="S709" t="s">
        <v>230</v>
      </c>
      <c r="T709" s="5" t="s">
        <v>38</v>
      </c>
      <c r="Y709" t="str">
        <f>VLOOKUP(C709,'[1]DBS_KPY Sorumlular'!A:C,2,FALSE)</f>
        <v>Ayşegül AKGÜL</v>
      </c>
      <c r="Z709" t="str">
        <f>VLOOKUP(C709,'[1]DBS_KPY Sorumlular'!A:C,3,FALSE)</f>
        <v>Sinan ERDAŞ</v>
      </c>
      <c r="AA709" t="str">
        <f>VLOOKUP(K709,[1]!Tablo3[#Data],2,FALSE)</f>
        <v>Kadir TOPÇU</v>
      </c>
    </row>
    <row r="710" spans="1:27" x14ac:dyDescent="0.25">
      <c r="A710">
        <v>2012</v>
      </c>
      <c r="B710" t="s">
        <v>1419</v>
      </c>
      <c r="C710" t="s">
        <v>1674</v>
      </c>
      <c r="D710" t="s">
        <v>1675</v>
      </c>
      <c r="F710" t="s">
        <v>184</v>
      </c>
      <c r="G710" t="s">
        <v>43</v>
      </c>
      <c r="H710" t="s">
        <v>2915</v>
      </c>
      <c r="I710" s="4"/>
      <c r="J710" t="s">
        <v>2916</v>
      </c>
      <c r="K710" t="s">
        <v>853</v>
      </c>
      <c r="L710" s="5"/>
      <c r="M710" s="5"/>
      <c r="N710" t="s">
        <v>35</v>
      </c>
      <c r="O710" t="s">
        <v>2917</v>
      </c>
      <c r="S710" t="s">
        <v>57</v>
      </c>
      <c r="T710" s="5" t="s">
        <v>48</v>
      </c>
      <c r="U710" t="s">
        <v>2918</v>
      </c>
      <c r="V710" t="s">
        <v>2915</v>
      </c>
      <c r="W710">
        <v>86</v>
      </c>
      <c r="X710" t="s">
        <v>189</v>
      </c>
      <c r="Y710" t="str">
        <f>VLOOKUP(C710,'[1]DBS_KPY Sorumlular'!A:C,2,FALSE)</f>
        <v>Kadir TOPÇU</v>
      </c>
      <c r="Z710" t="str">
        <f>VLOOKUP(C710,'[1]DBS_KPY Sorumlular'!A:C,3,FALSE)</f>
        <v>Erkan AKDOĞAN</v>
      </c>
      <c r="AA710" t="str">
        <f>VLOOKUP(K710,[1]!Tablo3[#Data],2,FALSE)</f>
        <v>Erkan AKDOĞAN</v>
      </c>
    </row>
    <row r="711" spans="1:27" x14ac:dyDescent="0.25">
      <c r="A711">
        <v>2013</v>
      </c>
      <c r="B711" t="s">
        <v>1419</v>
      </c>
      <c r="C711" t="s">
        <v>1674</v>
      </c>
      <c r="D711" t="s">
        <v>1717</v>
      </c>
      <c r="F711" t="s">
        <v>52</v>
      </c>
      <c r="G711" t="s">
        <v>291</v>
      </c>
      <c r="H711" t="s">
        <v>2919</v>
      </c>
      <c r="I711" s="4"/>
      <c r="K711" t="s">
        <v>853</v>
      </c>
      <c r="L711" s="5"/>
      <c r="M711" s="5"/>
      <c r="N711" t="s">
        <v>35</v>
      </c>
      <c r="O711" t="s">
        <v>2920</v>
      </c>
      <c r="S711" t="s">
        <v>57</v>
      </c>
      <c r="T711" s="5" t="s">
        <v>48</v>
      </c>
      <c r="U711" t="s">
        <v>2921</v>
      </c>
      <c r="V711" t="s">
        <v>2922</v>
      </c>
      <c r="W711">
        <v>149</v>
      </c>
      <c r="X711" t="s">
        <v>1015</v>
      </c>
      <c r="Y711" t="str">
        <f>VLOOKUP(C711,'[1]DBS_KPY Sorumlular'!A:C,2,FALSE)</f>
        <v>Kadir TOPÇU</v>
      </c>
      <c r="Z711" t="str">
        <f>VLOOKUP(C711,'[1]DBS_KPY Sorumlular'!A:C,3,FALSE)</f>
        <v>Erkan AKDOĞAN</v>
      </c>
      <c r="AA711" t="str">
        <f>VLOOKUP(K711,[1]!Tablo3[#Data],2,FALSE)</f>
        <v>Erkan AKDOĞAN</v>
      </c>
    </row>
    <row r="712" spans="1:27" x14ac:dyDescent="0.25">
      <c r="A712">
        <v>2014</v>
      </c>
      <c r="B712" t="s">
        <v>27</v>
      </c>
      <c r="C712" t="s">
        <v>40</v>
      </c>
      <c r="D712" t="s">
        <v>65</v>
      </c>
      <c r="F712" t="s">
        <v>486</v>
      </c>
      <c r="G712" t="s">
        <v>30</v>
      </c>
      <c r="H712" t="s">
        <v>2923</v>
      </c>
      <c r="I712" s="4">
        <v>45653.875</v>
      </c>
      <c r="K712" t="s">
        <v>853</v>
      </c>
      <c r="L712" s="5"/>
      <c r="M712" s="5"/>
      <c r="N712" t="s">
        <v>82</v>
      </c>
      <c r="O712" t="s">
        <v>2924</v>
      </c>
      <c r="R712">
        <v>1</v>
      </c>
      <c r="S712" t="s">
        <v>57</v>
      </c>
      <c r="T712" s="5" t="s">
        <v>100</v>
      </c>
      <c r="W712">
        <v>79</v>
      </c>
      <c r="X712" t="s">
        <v>1619</v>
      </c>
      <c r="Y712" t="str">
        <f>VLOOKUP(C712,'[1]DBS_KPY Sorumlular'!A:C,2,FALSE)</f>
        <v>Mustafa AYDIN</v>
      </c>
      <c r="Z712" t="str">
        <f>VLOOKUP(C712,'[1]DBS_KPY Sorumlular'!A:C,3,FALSE)</f>
        <v>Esra DOLAN</v>
      </c>
      <c r="AA712" t="str">
        <f>VLOOKUP(K712,[1]!Tablo3[#Data],2,FALSE)</f>
        <v>Erkan AKDOĞAN</v>
      </c>
    </row>
    <row r="713" spans="1:27" x14ac:dyDescent="0.25">
      <c r="A713">
        <v>2015</v>
      </c>
      <c r="B713" t="s">
        <v>1419</v>
      </c>
      <c r="C713" t="s">
        <v>843</v>
      </c>
      <c r="D713" t="s">
        <v>844</v>
      </c>
      <c r="F713" t="s">
        <v>290</v>
      </c>
      <c r="G713" t="s">
        <v>291</v>
      </c>
      <c r="H713" t="s">
        <v>2925</v>
      </c>
      <c r="I713" s="4">
        <v>45900.875</v>
      </c>
      <c r="J713" t="s">
        <v>2712</v>
      </c>
      <c r="K713" t="s">
        <v>853</v>
      </c>
      <c r="L713" s="5" t="s">
        <v>2926</v>
      </c>
      <c r="M713" s="5"/>
      <c r="N713" t="s">
        <v>35</v>
      </c>
      <c r="O713" t="s">
        <v>2927</v>
      </c>
      <c r="S713" t="s">
        <v>57</v>
      </c>
      <c r="T713" s="5" t="s">
        <v>38</v>
      </c>
      <c r="W713">
        <v>23</v>
      </c>
      <c r="X713" t="s">
        <v>295</v>
      </c>
      <c r="Y713" t="str">
        <f>VLOOKUP(C713,'[1]DBS_KPY Sorumlular'!A:C,2,FALSE)</f>
        <v>Sinan ERDAŞ</v>
      </c>
      <c r="Z713" t="str">
        <f>VLOOKUP(C713,'[1]DBS_KPY Sorumlular'!A:C,3,FALSE)</f>
        <v>Ayşegül AKGÜL</v>
      </c>
      <c r="AA713" t="str">
        <f>VLOOKUP(K713,[1]!Tablo3[#Data],2,FALSE)</f>
        <v>Erkan AKDOĞAN</v>
      </c>
    </row>
    <row r="714" spans="1:27" x14ac:dyDescent="0.25">
      <c r="A714">
        <v>2016</v>
      </c>
      <c r="B714" t="s">
        <v>1419</v>
      </c>
      <c r="C714" t="s">
        <v>73</v>
      </c>
      <c r="D714" t="s">
        <v>73</v>
      </c>
      <c r="F714" t="s">
        <v>486</v>
      </c>
      <c r="G714" t="s">
        <v>30</v>
      </c>
      <c r="H714" t="s">
        <v>855</v>
      </c>
      <c r="I714" s="4"/>
      <c r="J714" t="s">
        <v>2928</v>
      </c>
      <c r="K714" t="s">
        <v>853</v>
      </c>
      <c r="L714" s="5"/>
      <c r="M714" s="5"/>
      <c r="N714" t="s">
        <v>35</v>
      </c>
      <c r="O714" t="s">
        <v>2929</v>
      </c>
      <c r="S714" t="s">
        <v>57</v>
      </c>
      <c r="T714" s="5" t="s">
        <v>38</v>
      </c>
      <c r="Y714" t="str">
        <f>VLOOKUP(C714,'[1]DBS_KPY Sorumlular'!A:C,2,FALSE)</f>
        <v>Ayşegül AKGÜL</v>
      </c>
      <c r="Z714" t="str">
        <f>VLOOKUP(C714,'[1]DBS_KPY Sorumlular'!A:C,3,FALSE)</f>
        <v>Sinan ERDAŞ</v>
      </c>
      <c r="AA714" t="str">
        <f>VLOOKUP(K714,[1]!Tablo3[#Data],2,FALSE)</f>
        <v>Erkan AKDOĞAN</v>
      </c>
    </row>
    <row r="715" spans="1:27" x14ac:dyDescent="0.25">
      <c r="A715">
        <v>2017</v>
      </c>
      <c r="B715" t="s">
        <v>1419</v>
      </c>
      <c r="C715" t="s">
        <v>652</v>
      </c>
      <c r="D715" t="s">
        <v>653</v>
      </c>
      <c r="F715" t="s">
        <v>2930</v>
      </c>
      <c r="G715" t="s">
        <v>291</v>
      </c>
      <c r="H715" t="s">
        <v>2931</v>
      </c>
      <c r="I715" s="4"/>
      <c r="J715" t="s">
        <v>2932</v>
      </c>
      <c r="K715" t="s">
        <v>898</v>
      </c>
      <c r="L715" s="5" t="s">
        <v>2933</v>
      </c>
      <c r="M715" s="5"/>
      <c r="N715" t="s">
        <v>35</v>
      </c>
      <c r="O715" t="s">
        <v>900</v>
      </c>
      <c r="S715" t="s">
        <v>57</v>
      </c>
      <c r="T715" s="5" t="s">
        <v>48</v>
      </c>
      <c r="U715" t="s">
        <v>2934</v>
      </c>
      <c r="V715" t="s">
        <v>2931</v>
      </c>
      <c r="W715">
        <v>94</v>
      </c>
      <c r="X715" t="s">
        <v>1707</v>
      </c>
      <c r="Y715" t="str">
        <f>VLOOKUP(C715,'[1]DBS_KPY Sorumlular'!A:C,2,FALSE)</f>
        <v>Seyithan İŞİK</v>
      </c>
      <c r="Z715" t="str">
        <f>VLOOKUP(C715,'[1]DBS_KPY Sorumlular'!A:C,3,FALSE)</f>
        <v>Korhan KÖROĞLU</v>
      </c>
      <c r="AA715" t="str">
        <f>VLOOKUP(K715,[1]!Tablo3[#Data],2,FALSE)</f>
        <v>Erkan AKDOĞAN</v>
      </c>
    </row>
    <row r="716" spans="1:27" x14ac:dyDescent="0.25">
      <c r="A716">
        <v>2018</v>
      </c>
      <c r="B716" t="s">
        <v>1419</v>
      </c>
      <c r="C716" t="s">
        <v>652</v>
      </c>
      <c r="D716" t="s">
        <v>653</v>
      </c>
      <c r="F716" t="s">
        <v>2930</v>
      </c>
      <c r="G716" t="s">
        <v>291</v>
      </c>
      <c r="H716" t="s">
        <v>2935</v>
      </c>
      <c r="I716" s="4"/>
      <c r="J716" t="s">
        <v>2936</v>
      </c>
      <c r="K716" t="s">
        <v>898</v>
      </c>
      <c r="L716" s="5" t="s">
        <v>2937</v>
      </c>
      <c r="M716" s="5"/>
      <c r="N716" t="s">
        <v>35</v>
      </c>
      <c r="O716" t="s">
        <v>900</v>
      </c>
      <c r="S716" t="s">
        <v>57</v>
      </c>
      <c r="T716" s="5" t="s">
        <v>58</v>
      </c>
      <c r="U716" t="s">
        <v>2938</v>
      </c>
      <c r="V716" t="s">
        <v>2935</v>
      </c>
      <c r="W716">
        <v>36</v>
      </c>
      <c r="X716" t="s">
        <v>1051</v>
      </c>
      <c r="Y716" t="str">
        <f>VLOOKUP(C716,'[1]DBS_KPY Sorumlular'!A:C,2,FALSE)</f>
        <v>Seyithan İŞİK</v>
      </c>
      <c r="Z716" t="str">
        <f>VLOOKUP(C716,'[1]DBS_KPY Sorumlular'!A:C,3,FALSE)</f>
        <v>Korhan KÖROĞLU</v>
      </c>
      <c r="AA716" t="str">
        <f>VLOOKUP(K716,[1]!Tablo3[#Data],2,FALSE)</f>
        <v>Erkan AKDOĞAN</v>
      </c>
    </row>
    <row r="717" spans="1:27" x14ac:dyDescent="0.25">
      <c r="A717">
        <v>2019</v>
      </c>
      <c r="B717" t="s">
        <v>1419</v>
      </c>
      <c r="C717" t="s">
        <v>893</v>
      </c>
      <c r="D717" t="s">
        <v>894</v>
      </c>
      <c r="F717" t="s">
        <v>29</v>
      </c>
      <c r="G717" t="s">
        <v>30</v>
      </c>
      <c r="H717" t="s">
        <v>2939</v>
      </c>
      <c r="I717" s="4"/>
      <c r="J717" t="s">
        <v>2940</v>
      </c>
      <c r="K717" t="s">
        <v>898</v>
      </c>
      <c r="L717" s="5" t="s">
        <v>2941</v>
      </c>
      <c r="M717" s="5"/>
      <c r="N717" t="s">
        <v>35</v>
      </c>
      <c r="O717" t="s">
        <v>900</v>
      </c>
      <c r="S717" t="s">
        <v>57</v>
      </c>
      <c r="T717" s="5" t="s">
        <v>38</v>
      </c>
      <c r="W717">
        <v>184</v>
      </c>
      <c r="X717" t="s">
        <v>901</v>
      </c>
      <c r="Y717" t="str">
        <f>VLOOKUP(C717,'[1]DBS_KPY Sorumlular'!A:C,2,FALSE)</f>
        <v>Seyithan İŞİK</v>
      </c>
      <c r="Z717" t="str">
        <f>VLOOKUP(C717,'[1]DBS_KPY Sorumlular'!A:C,3,FALSE)</f>
        <v>Korhan KÖROĞLU</v>
      </c>
      <c r="AA717" t="str">
        <f>VLOOKUP(K717,[1]!Tablo3[#Data],2,FALSE)</f>
        <v>Erkan AKDOĞAN</v>
      </c>
    </row>
    <row r="718" spans="1:27" x14ac:dyDescent="0.25">
      <c r="A718">
        <v>2020</v>
      </c>
      <c r="B718" t="s">
        <v>1419</v>
      </c>
      <c r="C718" t="s">
        <v>1674</v>
      </c>
      <c r="D718" t="s">
        <v>1675</v>
      </c>
      <c r="F718" t="s">
        <v>537</v>
      </c>
      <c r="G718" t="s">
        <v>67</v>
      </c>
      <c r="H718" t="s">
        <v>2942</v>
      </c>
      <c r="I718" s="4"/>
      <c r="J718" t="s">
        <v>2943</v>
      </c>
      <c r="K718" t="s">
        <v>914</v>
      </c>
      <c r="L718" s="5" t="s">
        <v>2944</v>
      </c>
      <c r="M718" s="5" t="s">
        <v>2945</v>
      </c>
      <c r="N718" t="s">
        <v>739</v>
      </c>
      <c r="O718" t="s">
        <v>2946</v>
      </c>
      <c r="S718" t="s">
        <v>37</v>
      </c>
      <c r="T718" s="5" t="s">
        <v>48</v>
      </c>
      <c r="U718" t="s">
        <v>961</v>
      </c>
      <c r="V718" t="s">
        <v>962</v>
      </c>
      <c r="W718">
        <v>203</v>
      </c>
      <c r="X718" t="s">
        <v>72</v>
      </c>
      <c r="Y718" t="str">
        <f>VLOOKUP(C718,'[1]DBS_KPY Sorumlular'!A:C,2,FALSE)</f>
        <v>Kadir TOPÇU</v>
      </c>
      <c r="Z718" t="str">
        <f>VLOOKUP(C718,'[1]DBS_KPY Sorumlular'!A:C,3,FALSE)</f>
        <v>Erkan AKDOĞAN</v>
      </c>
      <c r="AA718" t="str">
        <f>VLOOKUP(K718,[1]!Tablo3[#Data],2,FALSE)</f>
        <v>Tayfun VİÇE</v>
      </c>
    </row>
    <row r="719" spans="1:27" x14ac:dyDescent="0.25">
      <c r="A719">
        <v>2021</v>
      </c>
      <c r="B719" t="s">
        <v>27</v>
      </c>
      <c r="C719" t="s">
        <v>40</v>
      </c>
      <c r="D719" t="s">
        <v>41</v>
      </c>
      <c r="F719" t="s">
        <v>95</v>
      </c>
      <c r="G719" t="s">
        <v>96</v>
      </c>
      <c r="H719" t="s">
        <v>2947</v>
      </c>
      <c r="I719" s="4">
        <v>46232.875</v>
      </c>
      <c r="J719" t="s">
        <v>2948</v>
      </c>
      <c r="K719" t="s">
        <v>914</v>
      </c>
      <c r="L719" s="5"/>
      <c r="M719" s="5"/>
      <c r="N719" t="s">
        <v>46</v>
      </c>
      <c r="O719" t="s">
        <v>2949</v>
      </c>
      <c r="R719">
        <v>0</v>
      </c>
      <c r="S719" t="s">
        <v>37</v>
      </c>
      <c r="T719" s="5" t="s">
        <v>48</v>
      </c>
      <c r="U719" t="s">
        <v>2950</v>
      </c>
      <c r="V719" t="s">
        <v>2951</v>
      </c>
      <c r="W719">
        <v>94</v>
      </c>
      <c r="X719" t="s">
        <v>1707</v>
      </c>
      <c r="Y719" t="str">
        <f>VLOOKUP(C719,'[1]DBS_KPY Sorumlular'!A:C,2,FALSE)</f>
        <v>Mustafa AYDIN</v>
      </c>
      <c r="Z719" t="str">
        <f>VLOOKUP(C719,'[1]DBS_KPY Sorumlular'!A:C,3,FALSE)</f>
        <v>Esra DOLAN</v>
      </c>
      <c r="AA719" t="str">
        <f>VLOOKUP(K719,[1]!Tablo3[#Data],2,FALSE)</f>
        <v>Tayfun VİÇE</v>
      </c>
    </row>
    <row r="720" spans="1:27" x14ac:dyDescent="0.25">
      <c r="A720">
        <v>2022</v>
      </c>
      <c r="B720" t="s">
        <v>27</v>
      </c>
      <c r="C720" t="s">
        <v>40</v>
      </c>
      <c r="D720" t="s">
        <v>41</v>
      </c>
      <c r="F720" t="s">
        <v>52</v>
      </c>
      <c r="G720" t="s">
        <v>43</v>
      </c>
      <c r="H720" t="s">
        <v>2952</v>
      </c>
      <c r="I720" s="4">
        <v>45837.875</v>
      </c>
      <c r="K720" t="s">
        <v>914</v>
      </c>
      <c r="L720" s="5"/>
      <c r="M720" s="5"/>
      <c r="N720" t="s">
        <v>46</v>
      </c>
      <c r="O720" t="s">
        <v>2953</v>
      </c>
      <c r="R720">
        <v>0.55000000000000004</v>
      </c>
      <c r="S720" t="s">
        <v>37</v>
      </c>
      <c r="T720" s="5" t="s">
        <v>58</v>
      </c>
      <c r="U720" t="s">
        <v>1809</v>
      </c>
      <c r="V720" t="s">
        <v>1810</v>
      </c>
      <c r="W720">
        <v>148</v>
      </c>
      <c r="X720" t="s">
        <v>368</v>
      </c>
      <c r="Y720" t="str">
        <f>VLOOKUP(C720,'[1]DBS_KPY Sorumlular'!A:C,2,FALSE)</f>
        <v>Mustafa AYDIN</v>
      </c>
      <c r="Z720" t="str">
        <f>VLOOKUP(C720,'[1]DBS_KPY Sorumlular'!A:C,3,FALSE)</f>
        <v>Esra DOLAN</v>
      </c>
      <c r="AA720" t="str">
        <f>VLOOKUP(K720,[1]!Tablo3[#Data],2,FALSE)</f>
        <v>Tayfun VİÇE</v>
      </c>
    </row>
    <row r="721" spans="1:27" x14ac:dyDescent="0.25">
      <c r="A721">
        <v>2023</v>
      </c>
      <c r="B721" t="s">
        <v>1419</v>
      </c>
      <c r="C721" t="s">
        <v>40</v>
      </c>
      <c r="D721" t="s">
        <v>41</v>
      </c>
      <c r="F721" t="s">
        <v>95</v>
      </c>
      <c r="G721" t="s">
        <v>96</v>
      </c>
      <c r="H721" t="s">
        <v>2954</v>
      </c>
      <c r="I721" s="4"/>
      <c r="J721" t="s">
        <v>2955</v>
      </c>
      <c r="K721" t="s">
        <v>914</v>
      </c>
      <c r="L721" s="5"/>
      <c r="M721" s="5"/>
      <c r="N721" t="s">
        <v>35</v>
      </c>
      <c r="O721" t="s">
        <v>2956</v>
      </c>
      <c r="S721" t="s">
        <v>37</v>
      </c>
      <c r="T721" s="5" t="s">
        <v>48</v>
      </c>
      <c r="U721" t="s">
        <v>2957</v>
      </c>
      <c r="V721" t="s">
        <v>2958</v>
      </c>
      <c r="W721">
        <v>28</v>
      </c>
      <c r="X721" t="s">
        <v>667</v>
      </c>
      <c r="Y721" t="str">
        <f>VLOOKUP(C721,'[1]DBS_KPY Sorumlular'!A:C,2,FALSE)</f>
        <v>Mustafa AYDIN</v>
      </c>
      <c r="Z721" t="str">
        <f>VLOOKUP(C721,'[1]DBS_KPY Sorumlular'!A:C,3,FALSE)</f>
        <v>Esra DOLAN</v>
      </c>
      <c r="AA721" t="str">
        <f>VLOOKUP(K721,[1]!Tablo3[#Data],2,FALSE)</f>
        <v>Tayfun VİÇE</v>
      </c>
    </row>
    <row r="722" spans="1:27" x14ac:dyDescent="0.25">
      <c r="A722">
        <v>2024</v>
      </c>
      <c r="B722" t="s">
        <v>27</v>
      </c>
      <c r="C722" t="s">
        <v>40</v>
      </c>
      <c r="D722" t="s">
        <v>65</v>
      </c>
      <c r="F722" t="s">
        <v>52</v>
      </c>
      <c r="G722" t="s">
        <v>67</v>
      </c>
      <c r="H722" t="s">
        <v>2959</v>
      </c>
      <c r="I722" s="4">
        <v>46099.875</v>
      </c>
      <c r="J722" t="s">
        <v>2960</v>
      </c>
      <c r="K722" t="s">
        <v>914</v>
      </c>
      <c r="L722" s="5"/>
      <c r="M722" s="5"/>
      <c r="N722" t="s">
        <v>46</v>
      </c>
      <c r="O722" t="s">
        <v>2961</v>
      </c>
      <c r="R722">
        <v>0.8</v>
      </c>
      <c r="S722" t="s">
        <v>37</v>
      </c>
      <c r="T722" s="5" t="s">
        <v>48</v>
      </c>
      <c r="U722" t="s">
        <v>2962</v>
      </c>
      <c r="V722" t="s">
        <v>2963</v>
      </c>
      <c r="W722">
        <v>103</v>
      </c>
      <c r="X722" t="s">
        <v>353</v>
      </c>
      <c r="Y722" t="str">
        <f>VLOOKUP(C722,'[1]DBS_KPY Sorumlular'!A:C,2,FALSE)</f>
        <v>Mustafa AYDIN</v>
      </c>
      <c r="Z722" t="str">
        <f>VLOOKUP(C722,'[1]DBS_KPY Sorumlular'!A:C,3,FALSE)</f>
        <v>Esra DOLAN</v>
      </c>
      <c r="AA722" t="str">
        <f>VLOOKUP(K722,[1]!Tablo3[#Data],2,FALSE)</f>
        <v>Tayfun VİÇE</v>
      </c>
    </row>
    <row r="723" spans="1:27" x14ac:dyDescent="0.25">
      <c r="A723">
        <v>2025</v>
      </c>
      <c r="B723" t="s">
        <v>27</v>
      </c>
      <c r="C723" t="s">
        <v>40</v>
      </c>
      <c r="D723" t="s">
        <v>65</v>
      </c>
      <c r="F723" t="s">
        <v>486</v>
      </c>
      <c r="G723" t="s">
        <v>67</v>
      </c>
      <c r="H723" t="s">
        <v>2964</v>
      </c>
      <c r="I723" s="4">
        <v>45837.875</v>
      </c>
      <c r="K723" t="s">
        <v>914</v>
      </c>
      <c r="L723" s="5"/>
      <c r="M723" s="5"/>
      <c r="N723" t="s">
        <v>46</v>
      </c>
      <c r="O723" t="s">
        <v>2965</v>
      </c>
      <c r="R723">
        <v>0.97</v>
      </c>
      <c r="S723" t="s">
        <v>37</v>
      </c>
      <c r="T723" s="5" t="s">
        <v>100</v>
      </c>
      <c r="W723">
        <v>103</v>
      </c>
      <c r="X723" t="s">
        <v>353</v>
      </c>
      <c r="Y723" t="str">
        <f>VLOOKUP(C723,'[1]DBS_KPY Sorumlular'!A:C,2,FALSE)</f>
        <v>Mustafa AYDIN</v>
      </c>
      <c r="Z723" t="str">
        <f>VLOOKUP(C723,'[1]DBS_KPY Sorumlular'!A:C,3,FALSE)</f>
        <v>Esra DOLAN</v>
      </c>
      <c r="AA723" t="str">
        <f>VLOOKUP(K723,[1]!Tablo3[#Data],2,FALSE)</f>
        <v>Tayfun VİÇE</v>
      </c>
    </row>
    <row r="724" spans="1:27" x14ac:dyDescent="0.25">
      <c r="A724">
        <v>2026</v>
      </c>
      <c r="B724" t="s">
        <v>1419</v>
      </c>
      <c r="C724" t="s">
        <v>40</v>
      </c>
      <c r="D724" t="s">
        <v>65</v>
      </c>
      <c r="F724" t="s">
        <v>52</v>
      </c>
      <c r="G724" t="s">
        <v>67</v>
      </c>
      <c r="H724" t="s">
        <v>2966</v>
      </c>
      <c r="I724" s="4"/>
      <c r="K724" t="s">
        <v>914</v>
      </c>
      <c r="L724" s="5"/>
      <c r="M724" s="5"/>
      <c r="N724" t="s">
        <v>35</v>
      </c>
      <c r="O724" t="s">
        <v>2967</v>
      </c>
      <c r="S724" t="s">
        <v>37</v>
      </c>
      <c r="T724" s="5" t="s">
        <v>100</v>
      </c>
      <c r="W724">
        <v>103</v>
      </c>
      <c r="X724" t="s">
        <v>353</v>
      </c>
      <c r="Y724" t="str">
        <f>VLOOKUP(C724,'[1]DBS_KPY Sorumlular'!A:C,2,FALSE)</f>
        <v>Mustafa AYDIN</v>
      </c>
      <c r="Z724" t="str">
        <f>VLOOKUP(C724,'[1]DBS_KPY Sorumlular'!A:C,3,FALSE)</f>
        <v>Esra DOLAN</v>
      </c>
      <c r="AA724" t="str">
        <f>VLOOKUP(K724,[1]!Tablo3[#Data],2,FALSE)</f>
        <v>Tayfun VİÇE</v>
      </c>
    </row>
    <row r="725" spans="1:27" x14ac:dyDescent="0.25">
      <c r="A725">
        <v>2027</v>
      </c>
      <c r="B725" t="s">
        <v>1419</v>
      </c>
      <c r="C725" t="s">
        <v>40</v>
      </c>
      <c r="D725" t="s">
        <v>65</v>
      </c>
      <c r="F725" t="s">
        <v>52</v>
      </c>
      <c r="G725" t="s">
        <v>67</v>
      </c>
      <c r="H725" t="s">
        <v>2968</v>
      </c>
      <c r="I725" s="4"/>
      <c r="K725" t="s">
        <v>98</v>
      </c>
      <c r="L725" s="5"/>
      <c r="M725" s="5"/>
      <c r="N725" t="s">
        <v>35</v>
      </c>
      <c r="O725" t="s">
        <v>2969</v>
      </c>
      <c r="S725" t="s">
        <v>37</v>
      </c>
      <c r="T725" s="5" t="s">
        <v>48</v>
      </c>
      <c r="U725" t="s">
        <v>2970</v>
      </c>
      <c r="V725" t="s">
        <v>2968</v>
      </c>
      <c r="W725">
        <v>103</v>
      </c>
      <c r="X725" t="s">
        <v>353</v>
      </c>
      <c r="Y725" t="str">
        <f>VLOOKUP(C725,'[1]DBS_KPY Sorumlular'!A:C,2,FALSE)</f>
        <v>Mustafa AYDIN</v>
      </c>
      <c r="Z725" t="str">
        <f>VLOOKUP(C725,'[1]DBS_KPY Sorumlular'!A:C,3,FALSE)</f>
        <v>Esra DOLAN</v>
      </c>
      <c r="AA725" t="str">
        <f>VLOOKUP(K725,[1]!Tablo3[#Data],2,FALSE)</f>
        <v>Tayfun VİÇE</v>
      </c>
    </row>
    <row r="726" spans="1:27" x14ac:dyDescent="0.25">
      <c r="A726">
        <v>2028</v>
      </c>
      <c r="B726" t="s">
        <v>1419</v>
      </c>
      <c r="C726" t="s">
        <v>40</v>
      </c>
      <c r="D726" t="s">
        <v>65</v>
      </c>
      <c r="F726" t="s">
        <v>52</v>
      </c>
      <c r="G726" t="s">
        <v>67</v>
      </c>
      <c r="H726" t="s">
        <v>2971</v>
      </c>
      <c r="I726" s="4"/>
      <c r="J726" t="s">
        <v>2972</v>
      </c>
      <c r="K726" t="s">
        <v>914</v>
      </c>
      <c r="L726" s="5"/>
      <c r="M726" s="5"/>
      <c r="N726" t="s">
        <v>35</v>
      </c>
      <c r="O726" t="s">
        <v>2973</v>
      </c>
      <c r="S726" t="s">
        <v>37</v>
      </c>
      <c r="T726" s="5" t="s">
        <v>48</v>
      </c>
      <c r="U726" t="s">
        <v>2974</v>
      </c>
      <c r="V726" t="s">
        <v>2975</v>
      </c>
      <c r="W726">
        <v>200</v>
      </c>
      <c r="X726" t="s">
        <v>2976</v>
      </c>
      <c r="Y726" t="str">
        <f>VLOOKUP(C726,'[1]DBS_KPY Sorumlular'!A:C,2,FALSE)</f>
        <v>Mustafa AYDIN</v>
      </c>
      <c r="Z726" t="str">
        <f>VLOOKUP(C726,'[1]DBS_KPY Sorumlular'!A:C,3,FALSE)</f>
        <v>Esra DOLAN</v>
      </c>
      <c r="AA726" t="str">
        <f>VLOOKUP(K726,[1]!Tablo3[#Data],2,FALSE)</f>
        <v>Tayfun VİÇE</v>
      </c>
    </row>
    <row r="727" spans="1:27" x14ac:dyDescent="0.25">
      <c r="A727">
        <v>2029</v>
      </c>
      <c r="B727" t="s">
        <v>27</v>
      </c>
      <c r="C727" t="s">
        <v>40</v>
      </c>
      <c r="D727" t="s">
        <v>65</v>
      </c>
      <c r="F727" t="s">
        <v>52</v>
      </c>
      <c r="G727" t="s">
        <v>67</v>
      </c>
      <c r="H727" t="s">
        <v>2977</v>
      </c>
      <c r="I727" s="4">
        <v>46099.875</v>
      </c>
      <c r="J727" t="s">
        <v>2978</v>
      </c>
      <c r="K727" t="s">
        <v>914</v>
      </c>
      <c r="L727" s="5"/>
      <c r="M727" s="5"/>
      <c r="N727" t="s">
        <v>46</v>
      </c>
      <c r="O727" t="s">
        <v>2979</v>
      </c>
      <c r="R727">
        <v>0.2</v>
      </c>
      <c r="S727" t="s">
        <v>37</v>
      </c>
      <c r="T727" s="5" t="s">
        <v>48</v>
      </c>
      <c r="U727" t="s">
        <v>2980</v>
      </c>
      <c r="V727" t="s">
        <v>2981</v>
      </c>
      <c r="W727">
        <v>103</v>
      </c>
      <c r="X727" t="s">
        <v>353</v>
      </c>
      <c r="Y727" t="str">
        <f>VLOOKUP(C727,'[1]DBS_KPY Sorumlular'!A:C,2,FALSE)</f>
        <v>Mustafa AYDIN</v>
      </c>
      <c r="Z727" t="str">
        <f>VLOOKUP(C727,'[1]DBS_KPY Sorumlular'!A:C,3,FALSE)</f>
        <v>Esra DOLAN</v>
      </c>
      <c r="AA727" t="str">
        <f>VLOOKUP(K727,[1]!Tablo3[#Data],2,FALSE)</f>
        <v>Tayfun VİÇE</v>
      </c>
    </row>
    <row r="728" spans="1:27" x14ac:dyDescent="0.25">
      <c r="A728">
        <v>2030</v>
      </c>
      <c r="B728" t="s">
        <v>1419</v>
      </c>
      <c r="C728" t="s">
        <v>652</v>
      </c>
      <c r="D728" t="s">
        <v>653</v>
      </c>
      <c r="F728" t="s">
        <v>455</v>
      </c>
      <c r="G728" t="s">
        <v>456</v>
      </c>
      <c r="H728" t="s">
        <v>2982</v>
      </c>
      <c r="I728" s="4"/>
      <c r="K728" t="s">
        <v>914</v>
      </c>
      <c r="L728" s="5"/>
      <c r="M728" s="5"/>
      <c r="N728" t="s">
        <v>35</v>
      </c>
      <c r="O728" t="s">
        <v>2983</v>
      </c>
      <c r="S728" t="s">
        <v>37</v>
      </c>
      <c r="T728" s="5" t="s">
        <v>48</v>
      </c>
      <c r="U728" t="s">
        <v>2984</v>
      </c>
      <c r="V728" t="s">
        <v>2982</v>
      </c>
      <c r="W728">
        <v>144</v>
      </c>
      <c r="X728" t="s">
        <v>463</v>
      </c>
      <c r="Y728" t="str">
        <f>VLOOKUP(C728,'[1]DBS_KPY Sorumlular'!A:C,2,FALSE)</f>
        <v>Seyithan İŞİK</v>
      </c>
      <c r="Z728" t="str">
        <f>VLOOKUP(C728,'[1]DBS_KPY Sorumlular'!A:C,3,FALSE)</f>
        <v>Korhan KÖROĞLU</v>
      </c>
      <c r="AA728" t="str">
        <f>VLOOKUP(K728,[1]!Tablo3[#Data],2,FALSE)</f>
        <v>Tayfun VİÇE</v>
      </c>
    </row>
    <row r="729" spans="1:27" x14ac:dyDescent="0.25">
      <c r="A729">
        <v>2031</v>
      </c>
      <c r="B729" t="s">
        <v>27</v>
      </c>
      <c r="C729" t="s">
        <v>40</v>
      </c>
      <c r="D729" t="s">
        <v>41</v>
      </c>
      <c r="F729" t="s">
        <v>52</v>
      </c>
      <c r="G729" t="s">
        <v>43</v>
      </c>
      <c r="H729" t="s">
        <v>2985</v>
      </c>
      <c r="I729" s="4"/>
      <c r="K729" t="s">
        <v>914</v>
      </c>
      <c r="L729" s="5"/>
      <c r="M729" s="5"/>
      <c r="N729" t="s">
        <v>35</v>
      </c>
      <c r="O729" t="s">
        <v>2986</v>
      </c>
      <c r="S729" t="s">
        <v>37</v>
      </c>
      <c r="T729" s="5" t="s">
        <v>58</v>
      </c>
      <c r="U729" t="s">
        <v>1530</v>
      </c>
      <c r="V729" t="s">
        <v>1531</v>
      </c>
      <c r="W729">
        <v>95</v>
      </c>
      <c r="X729" t="s">
        <v>2987</v>
      </c>
      <c r="Y729" t="str">
        <f>VLOOKUP(C729,'[1]DBS_KPY Sorumlular'!A:C,2,FALSE)</f>
        <v>Mustafa AYDIN</v>
      </c>
      <c r="Z729" t="str">
        <f>VLOOKUP(C729,'[1]DBS_KPY Sorumlular'!A:C,3,FALSE)</f>
        <v>Esra DOLAN</v>
      </c>
      <c r="AA729" t="str">
        <f>VLOOKUP(K729,[1]!Tablo3[#Data],2,FALSE)</f>
        <v>Tayfun VİÇE</v>
      </c>
    </row>
    <row r="730" spans="1:27" x14ac:dyDescent="0.25">
      <c r="A730">
        <v>2032</v>
      </c>
      <c r="B730" t="s">
        <v>1419</v>
      </c>
      <c r="C730" t="s">
        <v>40</v>
      </c>
      <c r="D730" t="s">
        <v>65</v>
      </c>
      <c r="F730" t="s">
        <v>486</v>
      </c>
      <c r="G730" t="s">
        <v>67</v>
      </c>
      <c r="H730" t="s">
        <v>2988</v>
      </c>
      <c r="I730" s="4"/>
      <c r="J730" t="s">
        <v>2989</v>
      </c>
      <c r="K730" t="s">
        <v>914</v>
      </c>
      <c r="L730" s="5"/>
      <c r="M730" s="5"/>
      <c r="N730" t="s">
        <v>35</v>
      </c>
      <c r="O730" t="s">
        <v>2990</v>
      </c>
      <c r="S730" t="s">
        <v>37</v>
      </c>
      <c r="T730" s="5" t="s">
        <v>48</v>
      </c>
      <c r="U730" t="s">
        <v>2991</v>
      </c>
      <c r="V730" t="s">
        <v>2992</v>
      </c>
      <c r="W730">
        <v>203</v>
      </c>
      <c r="X730" t="s">
        <v>72</v>
      </c>
      <c r="Y730" t="str">
        <f>VLOOKUP(C730,'[1]DBS_KPY Sorumlular'!A:C,2,FALSE)</f>
        <v>Mustafa AYDIN</v>
      </c>
      <c r="Z730" t="str">
        <f>VLOOKUP(C730,'[1]DBS_KPY Sorumlular'!A:C,3,FALSE)</f>
        <v>Esra DOLAN</v>
      </c>
      <c r="AA730" t="str">
        <f>VLOOKUP(K730,[1]!Tablo3[#Data],2,FALSE)</f>
        <v>Tayfun VİÇE</v>
      </c>
    </row>
    <row r="731" spans="1:27" x14ac:dyDescent="0.25">
      <c r="A731">
        <v>2033</v>
      </c>
      <c r="B731" t="s">
        <v>1419</v>
      </c>
      <c r="C731" t="s">
        <v>1674</v>
      </c>
      <c r="D731" t="s">
        <v>1700</v>
      </c>
      <c r="F731" t="s">
        <v>95</v>
      </c>
      <c r="G731" t="s">
        <v>291</v>
      </c>
      <c r="H731" t="s">
        <v>2993</v>
      </c>
      <c r="I731" s="4"/>
      <c r="J731" t="s">
        <v>2994</v>
      </c>
      <c r="K731" t="s">
        <v>914</v>
      </c>
      <c r="L731" s="5" t="s">
        <v>2995</v>
      </c>
      <c r="M731" s="5"/>
      <c r="N731" t="s">
        <v>1824</v>
      </c>
      <c r="O731" t="s">
        <v>983</v>
      </c>
      <c r="S731" t="s">
        <v>37</v>
      </c>
      <c r="T731" s="5" t="s">
        <v>100</v>
      </c>
      <c r="W731">
        <v>23</v>
      </c>
      <c r="X731" t="s">
        <v>295</v>
      </c>
      <c r="Y731" t="str">
        <f>VLOOKUP(C731,'[1]DBS_KPY Sorumlular'!A:C,2,FALSE)</f>
        <v>Kadir TOPÇU</v>
      </c>
      <c r="Z731" t="str">
        <f>VLOOKUP(C731,'[1]DBS_KPY Sorumlular'!A:C,3,FALSE)</f>
        <v>Erkan AKDOĞAN</v>
      </c>
      <c r="AA731" t="str">
        <f>VLOOKUP(K731,[1]!Tablo3[#Data],2,FALSE)</f>
        <v>Tayfun VİÇE</v>
      </c>
    </row>
    <row r="732" spans="1:27" x14ac:dyDescent="0.25">
      <c r="A732">
        <v>2034</v>
      </c>
      <c r="B732" t="s">
        <v>1419</v>
      </c>
      <c r="C732" t="s">
        <v>402</v>
      </c>
      <c r="D732" t="s">
        <v>403</v>
      </c>
      <c r="F732" t="s">
        <v>383</v>
      </c>
      <c r="G732" t="s">
        <v>384</v>
      </c>
      <c r="H732" t="s">
        <v>2996</v>
      </c>
      <c r="I732" s="4"/>
      <c r="J732" t="s">
        <v>2997</v>
      </c>
      <c r="K732" t="s">
        <v>914</v>
      </c>
      <c r="L732" s="5" t="s">
        <v>2998</v>
      </c>
      <c r="M732" s="5" t="s">
        <v>2999</v>
      </c>
      <c r="N732" t="s">
        <v>739</v>
      </c>
      <c r="O732" t="s">
        <v>3000</v>
      </c>
      <c r="S732" t="s">
        <v>37</v>
      </c>
      <c r="T732" s="5" t="s">
        <v>100</v>
      </c>
      <c r="W732">
        <v>94</v>
      </c>
      <c r="X732" t="s">
        <v>1707</v>
      </c>
      <c r="Y732" t="str">
        <f>VLOOKUP(C732,'[1]DBS_KPY Sorumlular'!A:C,2,FALSE)</f>
        <v>Tayfun VİÇE</v>
      </c>
      <c r="Z732" t="str">
        <f>VLOOKUP(C732,'[1]DBS_KPY Sorumlular'!A:C,3,FALSE)</f>
        <v>Mehmet Ali YAVUZ</v>
      </c>
      <c r="AA732" t="str">
        <f>VLOOKUP(K732,[1]!Tablo3[#Data],2,FALSE)</f>
        <v>Tayfun VİÇE</v>
      </c>
    </row>
    <row r="733" spans="1:27" x14ac:dyDescent="0.25">
      <c r="A733">
        <v>2035</v>
      </c>
      <c r="B733" t="s">
        <v>1419</v>
      </c>
      <c r="C733" t="s">
        <v>843</v>
      </c>
      <c r="D733" t="s">
        <v>844</v>
      </c>
      <c r="F733" t="s">
        <v>290</v>
      </c>
      <c r="G733" t="s">
        <v>291</v>
      </c>
      <c r="H733" t="s">
        <v>3001</v>
      </c>
      <c r="I733" s="4">
        <v>46356.875</v>
      </c>
      <c r="J733" t="s">
        <v>2712</v>
      </c>
      <c r="K733" t="s">
        <v>914</v>
      </c>
      <c r="L733" s="5" t="s">
        <v>3002</v>
      </c>
      <c r="M733" s="5" t="s">
        <v>3003</v>
      </c>
      <c r="N733" t="s">
        <v>35</v>
      </c>
      <c r="O733" t="s">
        <v>3004</v>
      </c>
      <c r="S733" t="s">
        <v>37</v>
      </c>
      <c r="T733" s="5" t="s">
        <v>38</v>
      </c>
      <c r="W733">
        <v>23</v>
      </c>
      <c r="X733" t="s">
        <v>295</v>
      </c>
      <c r="Y733" t="str">
        <f>VLOOKUP(C733,'[1]DBS_KPY Sorumlular'!A:C,2,FALSE)</f>
        <v>Sinan ERDAŞ</v>
      </c>
      <c r="Z733" t="str">
        <f>VLOOKUP(C733,'[1]DBS_KPY Sorumlular'!A:C,3,FALSE)</f>
        <v>Ayşegül AKGÜL</v>
      </c>
      <c r="AA733" t="str">
        <f>VLOOKUP(K733,[1]!Tablo3[#Data],2,FALSE)</f>
        <v>Tayfun VİÇE</v>
      </c>
    </row>
    <row r="734" spans="1:27" x14ac:dyDescent="0.25">
      <c r="A734">
        <v>2036</v>
      </c>
      <c r="B734" t="s">
        <v>1419</v>
      </c>
      <c r="C734" t="s">
        <v>1674</v>
      </c>
      <c r="D734" t="s">
        <v>1700</v>
      </c>
      <c r="F734" t="s">
        <v>2141</v>
      </c>
      <c r="G734" t="s">
        <v>67</v>
      </c>
      <c r="H734" t="s">
        <v>3005</v>
      </c>
      <c r="I734" s="4"/>
      <c r="J734" t="s">
        <v>3006</v>
      </c>
      <c r="K734" t="s">
        <v>914</v>
      </c>
      <c r="L734" s="5" t="s">
        <v>3007</v>
      </c>
      <c r="M734" s="5"/>
      <c r="N734" t="s">
        <v>35</v>
      </c>
      <c r="O734" t="s">
        <v>3008</v>
      </c>
      <c r="S734" t="s">
        <v>37</v>
      </c>
      <c r="T734" s="5" t="s">
        <v>48</v>
      </c>
      <c r="U734" t="s">
        <v>3009</v>
      </c>
      <c r="V734" t="s">
        <v>3010</v>
      </c>
      <c r="W734">
        <v>94</v>
      </c>
      <c r="X734" t="s">
        <v>1707</v>
      </c>
      <c r="Y734" t="str">
        <f>VLOOKUP(C734,'[1]DBS_KPY Sorumlular'!A:C,2,FALSE)</f>
        <v>Kadir TOPÇU</v>
      </c>
      <c r="Z734" t="str">
        <f>VLOOKUP(C734,'[1]DBS_KPY Sorumlular'!A:C,3,FALSE)</f>
        <v>Erkan AKDOĞAN</v>
      </c>
      <c r="AA734" t="str">
        <f>VLOOKUP(K734,[1]!Tablo3[#Data],2,FALSE)</f>
        <v>Tayfun VİÇE</v>
      </c>
    </row>
    <row r="735" spans="1:27" x14ac:dyDescent="0.25">
      <c r="A735">
        <v>2037</v>
      </c>
      <c r="B735" t="s">
        <v>1419</v>
      </c>
      <c r="C735" t="s">
        <v>73</v>
      </c>
      <c r="D735" t="s">
        <v>73</v>
      </c>
      <c r="F735" t="s">
        <v>486</v>
      </c>
      <c r="G735" t="s">
        <v>30</v>
      </c>
      <c r="H735" t="s">
        <v>980</v>
      </c>
      <c r="I735" s="4"/>
      <c r="J735" t="s">
        <v>3011</v>
      </c>
      <c r="K735" t="s">
        <v>914</v>
      </c>
      <c r="L735" s="5" t="s">
        <v>3012</v>
      </c>
      <c r="M735" s="5"/>
      <c r="N735" t="s">
        <v>35</v>
      </c>
      <c r="O735" t="s">
        <v>983</v>
      </c>
      <c r="S735" t="s">
        <v>37</v>
      </c>
      <c r="T735" s="5" t="s">
        <v>38</v>
      </c>
      <c r="Y735" t="str">
        <f>VLOOKUP(C735,'[1]DBS_KPY Sorumlular'!A:C,2,FALSE)</f>
        <v>Ayşegül AKGÜL</v>
      </c>
      <c r="Z735" t="str">
        <f>VLOOKUP(C735,'[1]DBS_KPY Sorumlular'!A:C,3,FALSE)</f>
        <v>Sinan ERDAŞ</v>
      </c>
      <c r="AA735" t="str">
        <f>VLOOKUP(K735,[1]!Tablo3[#Data],2,FALSE)</f>
        <v>Tayfun VİÇE</v>
      </c>
    </row>
    <row r="736" spans="1:27" x14ac:dyDescent="0.25">
      <c r="A736">
        <v>2038</v>
      </c>
      <c r="B736" t="s">
        <v>1419</v>
      </c>
      <c r="C736" t="s">
        <v>1674</v>
      </c>
      <c r="D736" t="s">
        <v>1675</v>
      </c>
      <c r="F736" t="s">
        <v>52</v>
      </c>
      <c r="G736" t="s">
        <v>67</v>
      </c>
      <c r="H736" t="s">
        <v>3013</v>
      </c>
      <c r="I736" s="4"/>
      <c r="J736" t="s">
        <v>3014</v>
      </c>
      <c r="K736" t="s">
        <v>226</v>
      </c>
      <c r="L736" s="5"/>
      <c r="M736" s="5"/>
      <c r="N736" t="s">
        <v>35</v>
      </c>
      <c r="O736" t="s">
        <v>3015</v>
      </c>
      <c r="S736" t="s">
        <v>230</v>
      </c>
      <c r="T736" s="5" t="s">
        <v>48</v>
      </c>
      <c r="U736" t="s">
        <v>3016</v>
      </c>
      <c r="V736" t="s">
        <v>3017</v>
      </c>
      <c r="W736">
        <v>103</v>
      </c>
      <c r="X736" t="s">
        <v>353</v>
      </c>
      <c r="Y736" t="str">
        <f>VLOOKUP(C736,'[1]DBS_KPY Sorumlular'!A:C,2,FALSE)</f>
        <v>Kadir TOPÇU</v>
      </c>
      <c r="Z736" t="str">
        <f>VLOOKUP(C736,'[1]DBS_KPY Sorumlular'!A:C,3,FALSE)</f>
        <v>Erkan AKDOĞAN</v>
      </c>
      <c r="AA736" t="str">
        <f>VLOOKUP(K736,[1]!Tablo3[#Data],2,FALSE)</f>
        <v>Kadir TOPÇU</v>
      </c>
    </row>
    <row r="737" spans="1:27" x14ac:dyDescent="0.25">
      <c r="A737">
        <v>2039</v>
      </c>
      <c r="B737" t="s">
        <v>1419</v>
      </c>
      <c r="C737" t="s">
        <v>1674</v>
      </c>
      <c r="D737" t="s">
        <v>1675</v>
      </c>
      <c r="F737" t="s">
        <v>66</v>
      </c>
      <c r="G737" t="s">
        <v>30</v>
      </c>
      <c r="H737" t="s">
        <v>3018</v>
      </c>
      <c r="I737" s="4"/>
      <c r="J737" t="s">
        <v>3019</v>
      </c>
      <c r="K737" t="s">
        <v>1002</v>
      </c>
      <c r="L737" s="5"/>
      <c r="M737" s="5" t="s">
        <v>3020</v>
      </c>
      <c r="N737" t="s">
        <v>35</v>
      </c>
      <c r="O737" t="s">
        <v>3021</v>
      </c>
      <c r="S737" t="s">
        <v>230</v>
      </c>
      <c r="T737" s="5" t="s">
        <v>48</v>
      </c>
      <c r="U737" t="s">
        <v>3022</v>
      </c>
      <c r="V737" t="s">
        <v>3018</v>
      </c>
      <c r="W737">
        <v>65</v>
      </c>
      <c r="X737" t="s">
        <v>374</v>
      </c>
      <c r="Y737" t="str">
        <f>VLOOKUP(C737,'[1]DBS_KPY Sorumlular'!A:C,2,FALSE)</f>
        <v>Kadir TOPÇU</v>
      </c>
      <c r="Z737" t="str">
        <f>VLOOKUP(C737,'[1]DBS_KPY Sorumlular'!A:C,3,FALSE)</f>
        <v>Erkan AKDOĞAN</v>
      </c>
      <c r="AA737" t="str">
        <f>VLOOKUP(K737,[1]!Tablo3[#Data],2,FALSE)</f>
        <v>Kadir TOPÇU</v>
      </c>
    </row>
    <row r="738" spans="1:27" x14ac:dyDescent="0.25">
      <c r="A738">
        <v>2040</v>
      </c>
      <c r="B738" t="s">
        <v>1419</v>
      </c>
      <c r="C738" t="s">
        <v>40</v>
      </c>
      <c r="D738" t="s">
        <v>41</v>
      </c>
      <c r="F738" t="s">
        <v>113</v>
      </c>
      <c r="G738" t="s">
        <v>43</v>
      </c>
      <c r="H738" t="s">
        <v>3023</v>
      </c>
      <c r="I738" s="4"/>
      <c r="K738" t="s">
        <v>1002</v>
      </c>
      <c r="L738" s="5"/>
      <c r="M738" s="5"/>
      <c r="N738" t="s">
        <v>35</v>
      </c>
      <c r="O738" t="s">
        <v>3024</v>
      </c>
      <c r="S738" t="s">
        <v>230</v>
      </c>
      <c r="T738" s="5" t="s">
        <v>48</v>
      </c>
      <c r="U738" t="s">
        <v>3025</v>
      </c>
      <c r="V738" t="s">
        <v>3026</v>
      </c>
      <c r="W738">
        <v>263</v>
      </c>
      <c r="X738" t="s">
        <v>628</v>
      </c>
      <c r="Y738" t="str">
        <f>VLOOKUP(C738,'[1]DBS_KPY Sorumlular'!A:C,2,FALSE)</f>
        <v>Mustafa AYDIN</v>
      </c>
      <c r="Z738" t="str">
        <f>VLOOKUP(C738,'[1]DBS_KPY Sorumlular'!A:C,3,FALSE)</f>
        <v>Esra DOLAN</v>
      </c>
      <c r="AA738" t="str">
        <f>VLOOKUP(K738,[1]!Tablo3[#Data],2,FALSE)</f>
        <v>Kadir TOPÇU</v>
      </c>
    </row>
    <row r="739" spans="1:27" x14ac:dyDescent="0.25">
      <c r="A739">
        <v>2041</v>
      </c>
      <c r="B739" t="s">
        <v>27</v>
      </c>
      <c r="C739" t="s">
        <v>40</v>
      </c>
      <c r="D739" t="s">
        <v>65</v>
      </c>
      <c r="F739" t="s">
        <v>486</v>
      </c>
      <c r="G739" t="s">
        <v>67</v>
      </c>
      <c r="H739" t="s">
        <v>3027</v>
      </c>
      <c r="I739" s="4"/>
      <c r="J739" t="s">
        <v>3028</v>
      </c>
      <c r="K739" t="s">
        <v>1002</v>
      </c>
      <c r="L739" s="5" t="s">
        <v>3029</v>
      </c>
      <c r="M739" s="5"/>
      <c r="N739" t="s">
        <v>35</v>
      </c>
      <c r="O739" t="s">
        <v>3030</v>
      </c>
      <c r="S739" t="s">
        <v>230</v>
      </c>
      <c r="T739" s="5" t="s">
        <v>48</v>
      </c>
      <c r="U739" t="s">
        <v>3031</v>
      </c>
      <c r="V739" t="s">
        <v>3032</v>
      </c>
      <c r="W739">
        <v>202</v>
      </c>
      <c r="X739" t="s">
        <v>1045</v>
      </c>
      <c r="Y739" t="str">
        <f>VLOOKUP(C739,'[1]DBS_KPY Sorumlular'!A:C,2,FALSE)</f>
        <v>Mustafa AYDIN</v>
      </c>
      <c r="Z739" t="str">
        <f>VLOOKUP(C739,'[1]DBS_KPY Sorumlular'!A:C,3,FALSE)</f>
        <v>Esra DOLAN</v>
      </c>
      <c r="AA739" t="str">
        <f>VLOOKUP(K739,[1]!Tablo3[#Data],2,FALSE)</f>
        <v>Kadir TOPÇU</v>
      </c>
    </row>
    <row r="740" spans="1:27" x14ac:dyDescent="0.25">
      <c r="A740">
        <v>2042</v>
      </c>
      <c r="B740" t="s">
        <v>1419</v>
      </c>
      <c r="C740" t="s">
        <v>40</v>
      </c>
      <c r="D740" t="s">
        <v>65</v>
      </c>
      <c r="F740" t="s">
        <v>52</v>
      </c>
      <c r="G740" t="s">
        <v>67</v>
      </c>
      <c r="H740" t="s">
        <v>3033</v>
      </c>
      <c r="I740" s="4"/>
      <c r="J740" t="s">
        <v>3034</v>
      </c>
      <c r="K740" t="s">
        <v>1002</v>
      </c>
      <c r="L740" s="5"/>
      <c r="M740" s="5"/>
      <c r="N740" t="s">
        <v>35</v>
      </c>
      <c r="O740" t="s">
        <v>3035</v>
      </c>
      <c r="S740" t="s">
        <v>230</v>
      </c>
      <c r="T740" s="5" t="s">
        <v>48</v>
      </c>
      <c r="U740" t="s">
        <v>3036</v>
      </c>
      <c r="V740" t="s">
        <v>3037</v>
      </c>
      <c r="W740">
        <v>103</v>
      </c>
      <c r="X740" t="s">
        <v>353</v>
      </c>
      <c r="Y740" t="str">
        <f>VLOOKUP(C740,'[1]DBS_KPY Sorumlular'!A:C,2,FALSE)</f>
        <v>Mustafa AYDIN</v>
      </c>
      <c r="Z740" t="str">
        <f>VLOOKUP(C740,'[1]DBS_KPY Sorumlular'!A:C,3,FALSE)</f>
        <v>Esra DOLAN</v>
      </c>
      <c r="AA740" t="str">
        <f>VLOOKUP(K740,[1]!Tablo3[#Data],2,FALSE)</f>
        <v>Kadir TOPÇU</v>
      </c>
    </row>
    <row r="741" spans="1:27" x14ac:dyDescent="0.25">
      <c r="A741">
        <v>2043</v>
      </c>
      <c r="B741" t="s">
        <v>1419</v>
      </c>
      <c r="C741" t="s">
        <v>40</v>
      </c>
      <c r="D741" t="s">
        <v>65</v>
      </c>
      <c r="F741" t="s">
        <v>52</v>
      </c>
      <c r="G741" t="s">
        <v>67</v>
      </c>
      <c r="H741" t="s">
        <v>3038</v>
      </c>
      <c r="I741" s="4"/>
      <c r="J741" t="s">
        <v>3039</v>
      </c>
      <c r="K741" t="s">
        <v>1002</v>
      </c>
      <c r="L741" s="5"/>
      <c r="M741" s="5"/>
      <c r="N741" t="s">
        <v>35</v>
      </c>
      <c r="O741" t="s">
        <v>3040</v>
      </c>
      <c r="S741" t="s">
        <v>230</v>
      </c>
      <c r="T741" s="5" t="s">
        <v>48</v>
      </c>
      <c r="U741" t="s">
        <v>3041</v>
      </c>
      <c r="V741" t="s">
        <v>3042</v>
      </c>
      <c r="W741">
        <v>103</v>
      </c>
      <c r="X741" t="s">
        <v>353</v>
      </c>
      <c r="Y741" t="str">
        <f>VLOOKUP(C741,'[1]DBS_KPY Sorumlular'!A:C,2,FALSE)</f>
        <v>Mustafa AYDIN</v>
      </c>
      <c r="Z741" t="str">
        <f>VLOOKUP(C741,'[1]DBS_KPY Sorumlular'!A:C,3,FALSE)</f>
        <v>Esra DOLAN</v>
      </c>
      <c r="AA741" t="str">
        <f>VLOOKUP(K741,[1]!Tablo3[#Data],2,FALSE)</f>
        <v>Kadir TOPÇU</v>
      </c>
    </row>
    <row r="742" spans="1:27" x14ac:dyDescent="0.25">
      <c r="A742">
        <v>2044</v>
      </c>
      <c r="B742" t="s">
        <v>27</v>
      </c>
      <c r="C742" t="s">
        <v>304</v>
      </c>
      <c r="D742" t="s">
        <v>305</v>
      </c>
      <c r="F742" t="s">
        <v>486</v>
      </c>
      <c r="G742" t="s">
        <v>67</v>
      </c>
      <c r="H742" t="s">
        <v>3043</v>
      </c>
      <c r="I742" s="4">
        <v>45472.875</v>
      </c>
      <c r="J742" t="s">
        <v>3044</v>
      </c>
      <c r="K742" t="s">
        <v>1002</v>
      </c>
      <c r="L742" s="5" t="s">
        <v>3045</v>
      </c>
      <c r="M742" s="5"/>
      <c r="N742" t="s">
        <v>82</v>
      </c>
      <c r="O742" t="s">
        <v>3046</v>
      </c>
      <c r="R742">
        <v>1</v>
      </c>
      <c r="S742" t="s">
        <v>230</v>
      </c>
      <c r="T742" s="5" t="s">
        <v>38</v>
      </c>
      <c r="W742">
        <v>206</v>
      </c>
      <c r="X742" t="s">
        <v>311</v>
      </c>
      <c r="Y742" t="str">
        <f>VLOOKUP(C742,'[1]DBS_KPY Sorumlular'!A:C,2,FALSE)</f>
        <v>Erkan AKDOĞAN</v>
      </c>
      <c r="Z742" t="str">
        <f>VLOOKUP(C742,'[1]DBS_KPY Sorumlular'!A:C,3,FALSE)</f>
        <v>Kadir TOPÇU</v>
      </c>
      <c r="AA742" t="str">
        <f>VLOOKUP(K742,[1]!Tablo3[#Data],2,FALSE)</f>
        <v>Kadir TOPÇU</v>
      </c>
    </row>
    <row r="743" spans="1:27" x14ac:dyDescent="0.25">
      <c r="A743">
        <v>2044</v>
      </c>
      <c r="B743" t="s">
        <v>27</v>
      </c>
      <c r="C743" t="s">
        <v>304</v>
      </c>
      <c r="D743" t="s">
        <v>305</v>
      </c>
      <c r="F743" t="s">
        <v>486</v>
      </c>
      <c r="G743" t="s">
        <v>67</v>
      </c>
      <c r="H743" t="s">
        <v>3043</v>
      </c>
      <c r="I743" s="4">
        <v>45472.875</v>
      </c>
      <c r="J743" t="s">
        <v>3044</v>
      </c>
      <c r="K743" t="s">
        <v>1002</v>
      </c>
      <c r="L743" s="5" t="s">
        <v>3045</v>
      </c>
      <c r="M743" s="5"/>
      <c r="N743" t="s">
        <v>82</v>
      </c>
      <c r="O743" t="s">
        <v>3046</v>
      </c>
      <c r="R743">
        <v>1</v>
      </c>
      <c r="S743" t="s">
        <v>230</v>
      </c>
      <c r="T743" s="5" t="s">
        <v>38</v>
      </c>
      <c r="W743">
        <v>13</v>
      </c>
      <c r="X743" t="s">
        <v>2584</v>
      </c>
      <c r="Y743" t="str">
        <f>VLOOKUP(C743,'[1]DBS_KPY Sorumlular'!A:C,2,FALSE)</f>
        <v>Erkan AKDOĞAN</v>
      </c>
      <c r="Z743" t="str">
        <f>VLOOKUP(C743,'[1]DBS_KPY Sorumlular'!A:C,3,FALSE)</f>
        <v>Kadir TOPÇU</v>
      </c>
      <c r="AA743" t="str">
        <f>VLOOKUP(K743,[1]!Tablo3[#Data],2,FALSE)</f>
        <v>Kadir TOPÇU</v>
      </c>
    </row>
    <row r="744" spans="1:27" x14ac:dyDescent="0.25">
      <c r="A744">
        <v>2045</v>
      </c>
      <c r="B744" t="s">
        <v>1419</v>
      </c>
      <c r="C744" t="s">
        <v>73</v>
      </c>
      <c r="D744" t="s">
        <v>73</v>
      </c>
      <c r="F744" t="s">
        <v>486</v>
      </c>
      <c r="G744" t="s">
        <v>30</v>
      </c>
      <c r="H744" t="s">
        <v>3047</v>
      </c>
      <c r="I744" s="4"/>
      <c r="J744" t="s">
        <v>3048</v>
      </c>
      <c r="K744" t="s">
        <v>1002</v>
      </c>
      <c r="L744" s="5" t="s">
        <v>3049</v>
      </c>
      <c r="M744" s="5"/>
      <c r="N744" t="s">
        <v>35</v>
      </c>
      <c r="O744" t="s">
        <v>3050</v>
      </c>
      <c r="S744" t="s">
        <v>230</v>
      </c>
      <c r="T744" s="5" t="s">
        <v>38</v>
      </c>
      <c r="Y744" t="str">
        <f>VLOOKUP(C744,'[1]DBS_KPY Sorumlular'!A:C,2,FALSE)</f>
        <v>Ayşegül AKGÜL</v>
      </c>
      <c r="Z744" t="str">
        <f>VLOOKUP(C744,'[1]DBS_KPY Sorumlular'!A:C,3,FALSE)</f>
        <v>Sinan ERDAŞ</v>
      </c>
      <c r="AA744" t="str">
        <f>VLOOKUP(K744,[1]!Tablo3[#Data],2,FALSE)</f>
        <v>Kadir TOPÇU</v>
      </c>
    </row>
    <row r="745" spans="1:27" x14ac:dyDescent="0.25">
      <c r="A745">
        <v>2046</v>
      </c>
      <c r="B745" t="s">
        <v>1419</v>
      </c>
      <c r="C745" t="s">
        <v>1674</v>
      </c>
      <c r="D745" t="s">
        <v>1717</v>
      </c>
      <c r="F745" t="s">
        <v>102</v>
      </c>
      <c r="G745" t="s">
        <v>43</v>
      </c>
      <c r="H745" t="s">
        <v>3051</v>
      </c>
      <c r="I745" s="4"/>
      <c r="J745" t="s">
        <v>3052</v>
      </c>
      <c r="K745" t="s">
        <v>1002</v>
      </c>
      <c r="L745" s="5"/>
      <c r="M745" s="5"/>
      <c r="N745" t="s">
        <v>35</v>
      </c>
      <c r="O745" t="s">
        <v>3053</v>
      </c>
      <c r="S745" t="s">
        <v>230</v>
      </c>
      <c r="T745" s="5" t="s">
        <v>48</v>
      </c>
      <c r="U745" t="s">
        <v>3054</v>
      </c>
      <c r="V745" t="s">
        <v>3051</v>
      </c>
      <c r="W745">
        <v>68</v>
      </c>
      <c r="X745" t="s">
        <v>51</v>
      </c>
      <c r="Y745" t="str">
        <f>VLOOKUP(C745,'[1]DBS_KPY Sorumlular'!A:C,2,FALSE)</f>
        <v>Kadir TOPÇU</v>
      </c>
      <c r="Z745" t="str">
        <f>VLOOKUP(C745,'[1]DBS_KPY Sorumlular'!A:C,3,FALSE)</f>
        <v>Erkan AKDOĞAN</v>
      </c>
      <c r="AA745" t="str">
        <f>VLOOKUP(K745,[1]!Tablo3[#Data],2,FALSE)</f>
        <v>Kadir TOPÇU</v>
      </c>
    </row>
    <row r="746" spans="1:27" x14ac:dyDescent="0.25">
      <c r="A746">
        <v>2047</v>
      </c>
      <c r="B746" t="s">
        <v>1419</v>
      </c>
      <c r="C746" t="s">
        <v>1723</v>
      </c>
      <c r="D746" t="s">
        <v>1724</v>
      </c>
      <c r="F746" t="s">
        <v>95</v>
      </c>
      <c r="G746" t="s">
        <v>96</v>
      </c>
      <c r="H746" t="s">
        <v>3055</v>
      </c>
      <c r="I746" s="4"/>
      <c r="J746" t="s">
        <v>3056</v>
      </c>
      <c r="K746" t="s">
        <v>423</v>
      </c>
      <c r="L746" s="5" t="s">
        <v>3057</v>
      </c>
      <c r="M746" s="5" t="s">
        <v>35</v>
      </c>
      <c r="N746" t="s">
        <v>35</v>
      </c>
      <c r="O746" t="s">
        <v>3058</v>
      </c>
      <c r="S746" t="s">
        <v>230</v>
      </c>
      <c r="T746" s="5" t="s">
        <v>38</v>
      </c>
      <c r="Y746" t="str">
        <f>VLOOKUP(C746,'[1]DBS_KPY Sorumlular'!A:C,2,FALSE)</f>
        <v>Erkan AKDOĞAN</v>
      </c>
      <c r="Z746" t="str">
        <f>VLOOKUP(C746,'[1]DBS_KPY Sorumlular'!A:C,3,FALSE)</f>
        <v>Kadir TOPÇU</v>
      </c>
      <c r="AA746" t="str">
        <f>VLOOKUP(K746,[1]!Tablo3[#Data],2,FALSE)</f>
        <v>Kadir TOPÇU</v>
      </c>
    </row>
    <row r="747" spans="1:27" x14ac:dyDescent="0.25">
      <c r="A747">
        <v>2048</v>
      </c>
      <c r="B747" t="s">
        <v>1419</v>
      </c>
      <c r="C747" t="s">
        <v>40</v>
      </c>
      <c r="D747" t="s">
        <v>65</v>
      </c>
      <c r="F747" t="s">
        <v>486</v>
      </c>
      <c r="G747" t="s">
        <v>67</v>
      </c>
      <c r="H747" t="s">
        <v>3059</v>
      </c>
      <c r="I747" s="4"/>
      <c r="J747" t="s">
        <v>3060</v>
      </c>
      <c r="K747" t="s">
        <v>1002</v>
      </c>
      <c r="L747" s="5"/>
      <c r="M747" s="5"/>
      <c r="N747" t="s">
        <v>35</v>
      </c>
      <c r="O747" t="s">
        <v>3061</v>
      </c>
      <c r="S747" t="s">
        <v>230</v>
      </c>
      <c r="T747" s="5" t="s">
        <v>48</v>
      </c>
      <c r="U747" t="s">
        <v>3062</v>
      </c>
      <c r="V747" t="s">
        <v>3063</v>
      </c>
      <c r="W747">
        <v>203</v>
      </c>
      <c r="X747" t="s">
        <v>72</v>
      </c>
      <c r="Y747" t="str">
        <f>VLOOKUP(C747,'[1]DBS_KPY Sorumlular'!A:C,2,FALSE)</f>
        <v>Mustafa AYDIN</v>
      </c>
      <c r="Z747" t="str">
        <f>VLOOKUP(C747,'[1]DBS_KPY Sorumlular'!A:C,3,FALSE)</f>
        <v>Esra DOLAN</v>
      </c>
      <c r="AA747" t="str">
        <f>VLOOKUP(K747,[1]!Tablo3[#Data],2,FALSE)</f>
        <v>Kadir TOPÇU</v>
      </c>
    </row>
    <row r="748" spans="1:27" x14ac:dyDescent="0.25">
      <c r="A748">
        <v>2049</v>
      </c>
      <c r="B748" t="s">
        <v>1419</v>
      </c>
      <c r="C748" t="s">
        <v>73</v>
      </c>
      <c r="D748" t="s">
        <v>73</v>
      </c>
      <c r="F748" t="s">
        <v>486</v>
      </c>
      <c r="G748" t="s">
        <v>30</v>
      </c>
      <c r="H748" t="s">
        <v>1021</v>
      </c>
      <c r="I748" s="4"/>
      <c r="J748" t="s">
        <v>2129</v>
      </c>
      <c r="K748" t="s">
        <v>1002</v>
      </c>
      <c r="L748" s="5"/>
      <c r="M748" s="5"/>
      <c r="N748" t="s">
        <v>35</v>
      </c>
      <c r="O748" t="s">
        <v>1023</v>
      </c>
      <c r="S748" t="s">
        <v>230</v>
      </c>
      <c r="T748" s="5" t="s">
        <v>38</v>
      </c>
      <c r="Y748" t="str">
        <f>VLOOKUP(C748,'[1]DBS_KPY Sorumlular'!A:C,2,FALSE)</f>
        <v>Ayşegül AKGÜL</v>
      </c>
      <c r="Z748" t="str">
        <f>VLOOKUP(C748,'[1]DBS_KPY Sorumlular'!A:C,3,FALSE)</f>
        <v>Sinan ERDAŞ</v>
      </c>
      <c r="AA748" t="str">
        <f>VLOOKUP(K748,[1]!Tablo3[#Data],2,FALSE)</f>
        <v>Kadir TOPÇU</v>
      </c>
    </row>
    <row r="749" spans="1:27" x14ac:dyDescent="0.25">
      <c r="A749">
        <v>2050</v>
      </c>
      <c r="B749" t="s">
        <v>1419</v>
      </c>
      <c r="C749" t="s">
        <v>73</v>
      </c>
      <c r="D749" t="s">
        <v>73</v>
      </c>
      <c r="F749" t="s">
        <v>486</v>
      </c>
      <c r="G749" t="s">
        <v>30</v>
      </c>
      <c r="H749" t="s">
        <v>3064</v>
      </c>
      <c r="I749" s="4"/>
      <c r="J749" t="s">
        <v>400</v>
      </c>
      <c r="K749" t="s">
        <v>1002</v>
      </c>
      <c r="L749" s="5"/>
      <c r="M749" s="5"/>
      <c r="N749" t="s">
        <v>35</v>
      </c>
      <c r="O749" t="s">
        <v>3065</v>
      </c>
      <c r="S749" t="s">
        <v>230</v>
      </c>
      <c r="T749" s="5" t="s">
        <v>38</v>
      </c>
      <c r="Y749" t="str">
        <f>VLOOKUP(C749,'[1]DBS_KPY Sorumlular'!A:C,2,FALSE)</f>
        <v>Ayşegül AKGÜL</v>
      </c>
      <c r="Z749" t="str">
        <f>VLOOKUP(C749,'[1]DBS_KPY Sorumlular'!A:C,3,FALSE)</f>
        <v>Sinan ERDAŞ</v>
      </c>
      <c r="AA749" t="str">
        <f>VLOOKUP(K749,[1]!Tablo3[#Data],2,FALSE)</f>
        <v>Kadir TOPÇU</v>
      </c>
    </row>
    <row r="750" spans="1:27" x14ac:dyDescent="0.25">
      <c r="A750">
        <v>2051</v>
      </c>
      <c r="B750" t="s">
        <v>1419</v>
      </c>
      <c r="C750" t="s">
        <v>73</v>
      </c>
      <c r="D750" t="s">
        <v>73</v>
      </c>
      <c r="F750" t="s">
        <v>486</v>
      </c>
      <c r="G750" t="s">
        <v>30</v>
      </c>
      <c r="H750" t="s">
        <v>3066</v>
      </c>
      <c r="I750" s="4"/>
      <c r="J750" t="s">
        <v>3067</v>
      </c>
      <c r="K750" t="s">
        <v>1002</v>
      </c>
      <c r="L750" s="5"/>
      <c r="M750" s="5"/>
      <c r="N750" t="s">
        <v>35</v>
      </c>
      <c r="O750" t="s">
        <v>3065</v>
      </c>
      <c r="S750" t="s">
        <v>230</v>
      </c>
      <c r="T750" s="5" t="s">
        <v>38</v>
      </c>
      <c r="Y750" t="str">
        <f>VLOOKUP(C750,'[1]DBS_KPY Sorumlular'!A:C,2,FALSE)</f>
        <v>Ayşegül AKGÜL</v>
      </c>
      <c r="Z750" t="str">
        <f>VLOOKUP(C750,'[1]DBS_KPY Sorumlular'!A:C,3,FALSE)</f>
        <v>Sinan ERDAŞ</v>
      </c>
      <c r="AA750" t="str">
        <f>VLOOKUP(K750,[1]!Tablo3[#Data],2,FALSE)</f>
        <v>Kadir TOPÇU</v>
      </c>
    </row>
    <row r="751" spans="1:27" x14ac:dyDescent="0.25">
      <c r="A751">
        <v>2052</v>
      </c>
      <c r="B751" t="s">
        <v>1419</v>
      </c>
      <c r="C751" t="s">
        <v>73</v>
      </c>
      <c r="D751" t="s">
        <v>73</v>
      </c>
      <c r="F751" t="s">
        <v>486</v>
      </c>
      <c r="G751" t="s">
        <v>456</v>
      </c>
      <c r="H751" t="s">
        <v>3068</v>
      </c>
      <c r="I751" s="4"/>
      <c r="J751" t="s">
        <v>3069</v>
      </c>
      <c r="K751" t="s">
        <v>1002</v>
      </c>
      <c r="L751" s="5"/>
      <c r="M751" s="5"/>
      <c r="N751" t="s">
        <v>35</v>
      </c>
      <c r="O751" t="s">
        <v>3070</v>
      </c>
      <c r="S751" t="s">
        <v>230</v>
      </c>
      <c r="T751" s="5" t="s">
        <v>38</v>
      </c>
      <c r="Y751" t="str">
        <f>VLOOKUP(C751,'[1]DBS_KPY Sorumlular'!A:C,2,FALSE)</f>
        <v>Ayşegül AKGÜL</v>
      </c>
      <c r="Z751" t="str">
        <f>VLOOKUP(C751,'[1]DBS_KPY Sorumlular'!A:C,3,FALSE)</f>
        <v>Sinan ERDAŞ</v>
      </c>
      <c r="AA751" t="str">
        <f>VLOOKUP(K751,[1]!Tablo3[#Data],2,FALSE)</f>
        <v>Kadir TOPÇU</v>
      </c>
    </row>
    <row r="752" spans="1:27" x14ac:dyDescent="0.25">
      <c r="A752">
        <v>2053</v>
      </c>
      <c r="B752" t="s">
        <v>1419</v>
      </c>
      <c r="C752" t="s">
        <v>73</v>
      </c>
      <c r="D752" t="s">
        <v>73</v>
      </c>
      <c r="F752" t="s">
        <v>486</v>
      </c>
      <c r="G752" t="s">
        <v>30</v>
      </c>
      <c r="H752" t="s">
        <v>3071</v>
      </c>
      <c r="I752" s="4"/>
      <c r="J752" t="s">
        <v>3072</v>
      </c>
      <c r="K752" t="s">
        <v>678</v>
      </c>
      <c r="L752" s="5" t="s">
        <v>3049</v>
      </c>
      <c r="M752" s="5"/>
      <c r="N752" t="s">
        <v>35</v>
      </c>
      <c r="O752" t="s">
        <v>3073</v>
      </c>
      <c r="S752" t="s">
        <v>230</v>
      </c>
      <c r="T752" s="5" t="s">
        <v>38</v>
      </c>
      <c r="Y752" t="str">
        <f>VLOOKUP(C752,'[1]DBS_KPY Sorumlular'!A:C,2,FALSE)</f>
        <v>Ayşegül AKGÜL</v>
      </c>
      <c r="Z752" t="str">
        <f>VLOOKUP(C752,'[1]DBS_KPY Sorumlular'!A:C,3,FALSE)</f>
        <v>Sinan ERDAŞ</v>
      </c>
      <c r="AA752" t="str">
        <f>VLOOKUP(K752,[1]!Tablo3[#Data],2,FALSE)</f>
        <v>Kadir TOPÇU</v>
      </c>
    </row>
    <row r="753" spans="1:27" x14ac:dyDescent="0.25">
      <c r="A753">
        <v>2054</v>
      </c>
      <c r="B753" t="s">
        <v>1419</v>
      </c>
      <c r="C753" t="s">
        <v>1674</v>
      </c>
      <c r="D753" t="s">
        <v>1717</v>
      </c>
      <c r="F753" t="s">
        <v>184</v>
      </c>
      <c r="G753" t="s">
        <v>43</v>
      </c>
      <c r="H753" t="s">
        <v>3074</v>
      </c>
      <c r="I753" s="4"/>
      <c r="J753" t="s">
        <v>3075</v>
      </c>
      <c r="K753" t="s">
        <v>1002</v>
      </c>
      <c r="L753" s="5"/>
      <c r="M753" s="5"/>
      <c r="N753" t="s">
        <v>35</v>
      </c>
      <c r="O753" t="s">
        <v>3065</v>
      </c>
      <c r="S753" t="s">
        <v>230</v>
      </c>
      <c r="T753" s="5" t="s">
        <v>58</v>
      </c>
      <c r="U753" t="s">
        <v>3054</v>
      </c>
      <c r="V753" t="s">
        <v>3051</v>
      </c>
      <c r="W753">
        <v>86</v>
      </c>
      <c r="X753" t="s">
        <v>189</v>
      </c>
      <c r="Y753" t="str">
        <f>VLOOKUP(C753,'[1]DBS_KPY Sorumlular'!A:C,2,FALSE)</f>
        <v>Kadir TOPÇU</v>
      </c>
      <c r="Z753" t="str">
        <f>VLOOKUP(C753,'[1]DBS_KPY Sorumlular'!A:C,3,FALSE)</f>
        <v>Erkan AKDOĞAN</v>
      </c>
      <c r="AA753" t="str">
        <f>VLOOKUP(K753,[1]!Tablo3[#Data],2,FALSE)</f>
        <v>Kadir TOPÇU</v>
      </c>
    </row>
    <row r="754" spans="1:27" x14ac:dyDescent="0.25">
      <c r="A754">
        <v>2055</v>
      </c>
      <c r="B754" t="s">
        <v>1419</v>
      </c>
      <c r="C754" t="s">
        <v>1674</v>
      </c>
      <c r="D754" t="s">
        <v>1675</v>
      </c>
      <c r="F754" t="s">
        <v>66</v>
      </c>
      <c r="G754" t="s">
        <v>67</v>
      </c>
      <c r="H754" t="s">
        <v>3076</v>
      </c>
      <c r="I754" s="4"/>
      <c r="J754" t="s">
        <v>3077</v>
      </c>
      <c r="K754" t="s">
        <v>1002</v>
      </c>
      <c r="L754" s="5"/>
      <c r="M754" s="5"/>
      <c r="N754" t="s">
        <v>1824</v>
      </c>
      <c r="O754" t="s">
        <v>3078</v>
      </c>
      <c r="S754" t="s">
        <v>230</v>
      </c>
      <c r="T754" s="5" t="s">
        <v>100</v>
      </c>
      <c r="W754">
        <v>203</v>
      </c>
      <c r="X754" t="s">
        <v>72</v>
      </c>
      <c r="Y754" t="str">
        <f>VLOOKUP(C754,'[1]DBS_KPY Sorumlular'!A:C,2,FALSE)</f>
        <v>Kadir TOPÇU</v>
      </c>
      <c r="Z754" t="str">
        <f>VLOOKUP(C754,'[1]DBS_KPY Sorumlular'!A:C,3,FALSE)</f>
        <v>Erkan AKDOĞAN</v>
      </c>
      <c r="AA754" t="str">
        <f>VLOOKUP(K754,[1]!Tablo3[#Data],2,FALSE)</f>
        <v>Kadir TOPÇU</v>
      </c>
    </row>
    <row r="755" spans="1:27" x14ac:dyDescent="0.25">
      <c r="A755">
        <v>2056</v>
      </c>
      <c r="B755" t="s">
        <v>1419</v>
      </c>
      <c r="C755" t="s">
        <v>1674</v>
      </c>
      <c r="D755" t="s">
        <v>1675</v>
      </c>
      <c r="F755" t="s">
        <v>66</v>
      </c>
      <c r="G755" t="s">
        <v>67</v>
      </c>
      <c r="H755" t="s">
        <v>3079</v>
      </c>
      <c r="I755" s="4"/>
      <c r="J755" t="s">
        <v>3080</v>
      </c>
      <c r="K755" t="s">
        <v>1002</v>
      </c>
      <c r="L755" s="5"/>
      <c r="M755" s="5"/>
      <c r="N755" t="s">
        <v>1824</v>
      </c>
      <c r="O755" t="s">
        <v>3078</v>
      </c>
      <c r="S755" t="s">
        <v>230</v>
      </c>
      <c r="T755" s="5" t="s">
        <v>100</v>
      </c>
      <c r="W755">
        <v>104</v>
      </c>
      <c r="X755" t="s">
        <v>703</v>
      </c>
      <c r="Y755" t="str">
        <f>VLOOKUP(C755,'[1]DBS_KPY Sorumlular'!A:C,2,FALSE)</f>
        <v>Kadir TOPÇU</v>
      </c>
      <c r="Z755" t="str">
        <f>VLOOKUP(C755,'[1]DBS_KPY Sorumlular'!A:C,3,FALSE)</f>
        <v>Erkan AKDOĞAN</v>
      </c>
      <c r="AA755" t="str">
        <f>VLOOKUP(K755,[1]!Tablo3[#Data],2,FALSE)</f>
        <v>Kadir TOPÇU</v>
      </c>
    </row>
    <row r="756" spans="1:27" x14ac:dyDescent="0.25">
      <c r="A756">
        <v>2057</v>
      </c>
      <c r="B756" t="s">
        <v>1419</v>
      </c>
      <c r="C756" t="s">
        <v>1674</v>
      </c>
      <c r="D756" t="s">
        <v>1675</v>
      </c>
      <c r="F756" t="s">
        <v>66</v>
      </c>
      <c r="G756" t="s">
        <v>67</v>
      </c>
      <c r="H756" t="s">
        <v>3081</v>
      </c>
      <c r="I756" s="4"/>
      <c r="J756" t="s">
        <v>3082</v>
      </c>
      <c r="K756" t="s">
        <v>1002</v>
      </c>
      <c r="L756" s="5"/>
      <c r="M756" s="5"/>
      <c r="N756" t="s">
        <v>1824</v>
      </c>
      <c r="O756" t="s">
        <v>3083</v>
      </c>
      <c r="S756" t="s">
        <v>230</v>
      </c>
      <c r="T756" s="5" t="s">
        <v>100</v>
      </c>
      <c r="W756">
        <v>195</v>
      </c>
      <c r="X756" t="s">
        <v>433</v>
      </c>
      <c r="Y756" t="str">
        <f>VLOOKUP(C756,'[1]DBS_KPY Sorumlular'!A:C,2,FALSE)</f>
        <v>Kadir TOPÇU</v>
      </c>
      <c r="Z756" t="str">
        <f>VLOOKUP(C756,'[1]DBS_KPY Sorumlular'!A:C,3,FALSE)</f>
        <v>Erkan AKDOĞAN</v>
      </c>
      <c r="AA756" t="str">
        <f>VLOOKUP(K756,[1]!Tablo3[#Data],2,FALSE)</f>
        <v>Kadir TOPÇU</v>
      </c>
    </row>
    <row r="757" spans="1:27" x14ac:dyDescent="0.25">
      <c r="A757">
        <v>2058</v>
      </c>
      <c r="B757" t="s">
        <v>1419</v>
      </c>
      <c r="C757" t="s">
        <v>1674</v>
      </c>
      <c r="D757" t="s">
        <v>1717</v>
      </c>
      <c r="F757" t="s">
        <v>642</v>
      </c>
      <c r="G757" t="s">
        <v>43</v>
      </c>
      <c r="H757" t="s">
        <v>3084</v>
      </c>
      <c r="I757" s="4"/>
      <c r="J757" t="s">
        <v>3085</v>
      </c>
      <c r="K757" t="s">
        <v>1029</v>
      </c>
      <c r="L757" s="5"/>
      <c r="M757" s="5" t="s">
        <v>3086</v>
      </c>
      <c r="N757" t="s">
        <v>35</v>
      </c>
      <c r="O757" t="s">
        <v>3087</v>
      </c>
      <c r="S757" t="s">
        <v>37</v>
      </c>
      <c r="T757" s="5" t="s">
        <v>48</v>
      </c>
      <c r="U757" t="s">
        <v>3088</v>
      </c>
      <c r="V757" t="s">
        <v>3089</v>
      </c>
      <c r="W757">
        <v>80</v>
      </c>
      <c r="X757" t="s">
        <v>647</v>
      </c>
      <c r="Y757" t="str">
        <f>VLOOKUP(C757,'[1]DBS_KPY Sorumlular'!A:C,2,FALSE)</f>
        <v>Kadir TOPÇU</v>
      </c>
      <c r="Z757" t="str">
        <f>VLOOKUP(C757,'[1]DBS_KPY Sorumlular'!A:C,3,FALSE)</f>
        <v>Erkan AKDOĞAN</v>
      </c>
      <c r="AA757" t="str">
        <f>VLOOKUP(K757,[1]!Tablo3[#Data],2,FALSE)</f>
        <v>Tayfun VİÇE</v>
      </c>
    </row>
    <row r="758" spans="1:27" x14ac:dyDescent="0.25">
      <c r="A758">
        <v>2060</v>
      </c>
      <c r="B758" t="s">
        <v>27</v>
      </c>
      <c r="C758" t="s">
        <v>40</v>
      </c>
      <c r="D758" t="s">
        <v>65</v>
      </c>
      <c r="F758" t="s">
        <v>52</v>
      </c>
      <c r="G758" t="s">
        <v>67</v>
      </c>
      <c r="H758" t="s">
        <v>3090</v>
      </c>
      <c r="I758" s="4">
        <v>45898.875</v>
      </c>
      <c r="J758" t="s">
        <v>3091</v>
      </c>
      <c r="K758" t="s">
        <v>1029</v>
      </c>
      <c r="L758" s="5"/>
      <c r="M758" s="5"/>
      <c r="N758" t="s">
        <v>46</v>
      </c>
      <c r="O758" t="s">
        <v>3092</v>
      </c>
      <c r="R758">
        <v>0.6</v>
      </c>
      <c r="S758" t="s">
        <v>37</v>
      </c>
      <c r="T758" s="5" t="s">
        <v>48</v>
      </c>
      <c r="U758" t="s">
        <v>3093</v>
      </c>
      <c r="V758" t="s">
        <v>3094</v>
      </c>
      <c r="W758">
        <v>103</v>
      </c>
      <c r="X758" t="s">
        <v>353</v>
      </c>
      <c r="Y758" t="str">
        <f>VLOOKUP(C758,'[1]DBS_KPY Sorumlular'!A:C,2,FALSE)</f>
        <v>Mustafa AYDIN</v>
      </c>
      <c r="Z758" t="str">
        <f>VLOOKUP(C758,'[1]DBS_KPY Sorumlular'!A:C,3,FALSE)</f>
        <v>Esra DOLAN</v>
      </c>
      <c r="AA758" t="str">
        <f>VLOOKUP(K758,[1]!Tablo3[#Data],2,FALSE)</f>
        <v>Tayfun VİÇE</v>
      </c>
    </row>
    <row r="759" spans="1:27" x14ac:dyDescent="0.25">
      <c r="A759">
        <v>2061</v>
      </c>
      <c r="B759" t="s">
        <v>1419</v>
      </c>
      <c r="C759" t="s">
        <v>40</v>
      </c>
      <c r="D759" t="s">
        <v>65</v>
      </c>
      <c r="F759" t="s">
        <v>52</v>
      </c>
      <c r="G759" t="s">
        <v>67</v>
      </c>
      <c r="H759" t="s">
        <v>3095</v>
      </c>
      <c r="I759" s="4"/>
      <c r="J759" t="s">
        <v>3096</v>
      </c>
      <c r="K759" t="s">
        <v>1029</v>
      </c>
      <c r="L759" s="5"/>
      <c r="M759" s="5"/>
      <c r="N759" t="s">
        <v>35</v>
      </c>
      <c r="O759" t="s">
        <v>3097</v>
      </c>
      <c r="S759" t="s">
        <v>37</v>
      </c>
      <c r="T759" s="5" t="s">
        <v>48</v>
      </c>
      <c r="U759" t="s">
        <v>3098</v>
      </c>
      <c r="V759" t="s">
        <v>3099</v>
      </c>
      <c r="W759">
        <v>103</v>
      </c>
      <c r="X759" t="s">
        <v>353</v>
      </c>
      <c r="Y759" t="str">
        <f>VLOOKUP(C759,'[1]DBS_KPY Sorumlular'!A:C,2,FALSE)</f>
        <v>Mustafa AYDIN</v>
      </c>
      <c r="Z759" t="str">
        <f>VLOOKUP(C759,'[1]DBS_KPY Sorumlular'!A:C,3,FALSE)</f>
        <v>Esra DOLAN</v>
      </c>
      <c r="AA759" t="str">
        <f>VLOOKUP(K759,[1]!Tablo3[#Data],2,FALSE)</f>
        <v>Tayfun VİÇE</v>
      </c>
    </row>
    <row r="760" spans="1:27" x14ac:dyDescent="0.25">
      <c r="A760">
        <v>2062</v>
      </c>
      <c r="B760" t="s">
        <v>27</v>
      </c>
      <c r="C760" t="s">
        <v>40</v>
      </c>
      <c r="D760" t="s">
        <v>65</v>
      </c>
      <c r="F760" t="s">
        <v>52</v>
      </c>
      <c r="G760" t="s">
        <v>67</v>
      </c>
      <c r="H760" t="s">
        <v>3100</v>
      </c>
      <c r="I760" s="4">
        <v>45852.875</v>
      </c>
      <c r="J760" t="s">
        <v>3101</v>
      </c>
      <c r="K760" t="s">
        <v>1029</v>
      </c>
      <c r="L760" s="5"/>
      <c r="M760" s="5"/>
      <c r="N760" t="s">
        <v>46</v>
      </c>
      <c r="O760" t="s">
        <v>3102</v>
      </c>
      <c r="R760">
        <v>0.85</v>
      </c>
      <c r="S760" t="s">
        <v>37</v>
      </c>
      <c r="T760" s="5" t="s">
        <v>48</v>
      </c>
      <c r="U760" t="s">
        <v>3103</v>
      </c>
      <c r="V760" t="s">
        <v>3104</v>
      </c>
      <c r="W760">
        <v>103</v>
      </c>
      <c r="X760" t="s">
        <v>353</v>
      </c>
      <c r="Y760" t="str">
        <f>VLOOKUP(C760,'[1]DBS_KPY Sorumlular'!A:C,2,FALSE)</f>
        <v>Mustafa AYDIN</v>
      </c>
      <c r="Z760" t="str">
        <f>VLOOKUP(C760,'[1]DBS_KPY Sorumlular'!A:C,3,FALSE)</f>
        <v>Esra DOLAN</v>
      </c>
      <c r="AA760" t="str">
        <f>VLOOKUP(K760,[1]!Tablo3[#Data],2,FALSE)</f>
        <v>Tayfun VİÇE</v>
      </c>
    </row>
    <row r="761" spans="1:27" x14ac:dyDescent="0.25">
      <c r="A761">
        <v>2063</v>
      </c>
      <c r="B761" t="s">
        <v>1419</v>
      </c>
      <c r="C761" t="s">
        <v>304</v>
      </c>
      <c r="D761" t="s">
        <v>305</v>
      </c>
      <c r="F761" t="s">
        <v>486</v>
      </c>
      <c r="G761" t="s">
        <v>456</v>
      </c>
      <c r="H761" t="s">
        <v>3105</v>
      </c>
      <c r="I761" s="4"/>
      <c r="J761" t="s">
        <v>3106</v>
      </c>
      <c r="K761" t="s">
        <v>1029</v>
      </c>
      <c r="L761" s="5"/>
      <c r="M761" s="5"/>
      <c r="N761" t="s">
        <v>35</v>
      </c>
      <c r="O761" t="s">
        <v>3107</v>
      </c>
      <c r="S761" t="s">
        <v>37</v>
      </c>
      <c r="T761" s="5" t="s">
        <v>38</v>
      </c>
      <c r="Y761" t="str">
        <f>VLOOKUP(C761,'[1]DBS_KPY Sorumlular'!A:C,2,FALSE)</f>
        <v>Erkan AKDOĞAN</v>
      </c>
      <c r="Z761" t="str">
        <f>VLOOKUP(C761,'[1]DBS_KPY Sorumlular'!A:C,3,FALSE)</f>
        <v>Kadir TOPÇU</v>
      </c>
      <c r="AA761" t="str">
        <f>VLOOKUP(K761,[1]!Tablo3[#Data],2,FALSE)</f>
        <v>Tayfun VİÇE</v>
      </c>
    </row>
    <row r="762" spans="1:27" x14ac:dyDescent="0.25">
      <c r="A762">
        <v>2064</v>
      </c>
      <c r="B762" t="s">
        <v>1419</v>
      </c>
      <c r="C762" t="s">
        <v>1674</v>
      </c>
      <c r="D762" t="s">
        <v>1717</v>
      </c>
      <c r="F762" t="s">
        <v>52</v>
      </c>
      <c r="G762" t="s">
        <v>291</v>
      </c>
      <c r="H762" t="s">
        <v>3108</v>
      </c>
      <c r="I762" s="4"/>
      <c r="J762" t="s">
        <v>3109</v>
      </c>
      <c r="K762" t="s">
        <v>1029</v>
      </c>
      <c r="L762" s="5"/>
      <c r="M762" s="5"/>
      <c r="N762" t="s">
        <v>35</v>
      </c>
      <c r="O762" t="s">
        <v>3110</v>
      </c>
      <c r="S762" t="s">
        <v>37</v>
      </c>
      <c r="T762" s="5" t="s">
        <v>48</v>
      </c>
      <c r="U762" t="s">
        <v>3111</v>
      </c>
      <c r="V762" t="s">
        <v>3112</v>
      </c>
      <c r="W762">
        <v>72</v>
      </c>
      <c r="X762" t="s">
        <v>341</v>
      </c>
      <c r="Y762" t="str">
        <f>VLOOKUP(C762,'[1]DBS_KPY Sorumlular'!A:C,2,FALSE)</f>
        <v>Kadir TOPÇU</v>
      </c>
      <c r="Z762" t="str">
        <f>VLOOKUP(C762,'[1]DBS_KPY Sorumlular'!A:C,3,FALSE)</f>
        <v>Erkan AKDOĞAN</v>
      </c>
      <c r="AA762" t="str">
        <f>VLOOKUP(K762,[1]!Tablo3[#Data],2,FALSE)</f>
        <v>Tayfun VİÇE</v>
      </c>
    </row>
    <row r="763" spans="1:27" x14ac:dyDescent="0.25">
      <c r="A763">
        <v>2065</v>
      </c>
      <c r="B763" t="s">
        <v>1419</v>
      </c>
      <c r="C763" t="s">
        <v>1674</v>
      </c>
      <c r="D763" t="s">
        <v>1717</v>
      </c>
      <c r="F763" t="s">
        <v>102</v>
      </c>
      <c r="G763" t="s">
        <v>43</v>
      </c>
      <c r="H763" t="s">
        <v>3113</v>
      </c>
      <c r="I763" s="4"/>
      <c r="J763" t="s">
        <v>3114</v>
      </c>
      <c r="K763" t="s">
        <v>1029</v>
      </c>
      <c r="L763" s="5"/>
      <c r="M763" s="5" t="s">
        <v>3115</v>
      </c>
      <c r="N763" t="s">
        <v>1824</v>
      </c>
      <c r="O763" t="s">
        <v>3116</v>
      </c>
      <c r="S763" t="s">
        <v>37</v>
      </c>
      <c r="T763" s="5" t="s">
        <v>100</v>
      </c>
      <c r="W763">
        <v>73</v>
      </c>
      <c r="X763" t="s">
        <v>1198</v>
      </c>
      <c r="Y763" t="str">
        <f>VLOOKUP(C763,'[1]DBS_KPY Sorumlular'!A:C,2,FALSE)</f>
        <v>Kadir TOPÇU</v>
      </c>
      <c r="Z763" t="str">
        <f>VLOOKUP(C763,'[1]DBS_KPY Sorumlular'!A:C,3,FALSE)</f>
        <v>Erkan AKDOĞAN</v>
      </c>
      <c r="AA763" t="str">
        <f>VLOOKUP(K763,[1]!Tablo3[#Data],2,FALSE)</f>
        <v>Tayfun VİÇE</v>
      </c>
    </row>
    <row r="764" spans="1:27" x14ac:dyDescent="0.25">
      <c r="A764">
        <v>2066</v>
      </c>
      <c r="B764" t="s">
        <v>1419</v>
      </c>
      <c r="C764" t="s">
        <v>1674</v>
      </c>
      <c r="D764" t="s">
        <v>1717</v>
      </c>
      <c r="F764" t="s">
        <v>113</v>
      </c>
      <c r="G764" t="s">
        <v>43</v>
      </c>
      <c r="H764" t="s">
        <v>3117</v>
      </c>
      <c r="I764" s="4"/>
      <c r="J764" t="s">
        <v>3118</v>
      </c>
      <c r="K764" t="s">
        <v>1029</v>
      </c>
      <c r="L764" s="5"/>
      <c r="M764" s="5" t="s">
        <v>3119</v>
      </c>
      <c r="N764" t="s">
        <v>35</v>
      </c>
      <c r="O764" t="s">
        <v>3120</v>
      </c>
      <c r="S764" t="s">
        <v>37</v>
      </c>
      <c r="T764" s="5" t="s">
        <v>48</v>
      </c>
      <c r="U764" t="s">
        <v>3121</v>
      </c>
      <c r="V764" t="s">
        <v>3117</v>
      </c>
      <c r="W764">
        <v>172</v>
      </c>
      <c r="X764" t="s">
        <v>240</v>
      </c>
      <c r="Y764" t="str">
        <f>VLOOKUP(C764,'[1]DBS_KPY Sorumlular'!A:C,2,FALSE)</f>
        <v>Kadir TOPÇU</v>
      </c>
      <c r="Z764" t="str">
        <f>VLOOKUP(C764,'[1]DBS_KPY Sorumlular'!A:C,3,FALSE)</f>
        <v>Erkan AKDOĞAN</v>
      </c>
      <c r="AA764" t="str">
        <f>VLOOKUP(K764,[1]!Tablo3[#Data],2,FALSE)</f>
        <v>Tayfun VİÇE</v>
      </c>
    </row>
    <row r="765" spans="1:27" x14ac:dyDescent="0.25">
      <c r="A765">
        <v>2067</v>
      </c>
      <c r="B765" t="s">
        <v>1419</v>
      </c>
      <c r="C765" t="s">
        <v>1674</v>
      </c>
      <c r="D765" t="s">
        <v>1675</v>
      </c>
      <c r="F765" t="s">
        <v>95</v>
      </c>
      <c r="G765" t="s">
        <v>30</v>
      </c>
      <c r="H765" t="s">
        <v>3122</v>
      </c>
      <c r="I765" s="4"/>
      <c r="J765" t="s">
        <v>3123</v>
      </c>
      <c r="K765" t="s">
        <v>1029</v>
      </c>
      <c r="L765" s="5" t="s">
        <v>3124</v>
      </c>
      <c r="M765" s="5" t="s">
        <v>3125</v>
      </c>
      <c r="N765" t="s">
        <v>739</v>
      </c>
      <c r="O765" t="s">
        <v>3126</v>
      </c>
      <c r="S765" t="s">
        <v>37</v>
      </c>
      <c r="T765" s="5" t="s">
        <v>100</v>
      </c>
      <c r="W765">
        <v>150</v>
      </c>
      <c r="X765" t="s">
        <v>485</v>
      </c>
      <c r="Y765" t="str">
        <f>VLOOKUP(C765,'[1]DBS_KPY Sorumlular'!A:C,2,FALSE)</f>
        <v>Kadir TOPÇU</v>
      </c>
      <c r="Z765" t="str">
        <f>VLOOKUP(C765,'[1]DBS_KPY Sorumlular'!A:C,3,FALSE)</f>
        <v>Erkan AKDOĞAN</v>
      </c>
      <c r="AA765" t="str">
        <f>VLOOKUP(K765,[1]!Tablo3[#Data],2,FALSE)</f>
        <v>Tayfun VİÇE</v>
      </c>
    </row>
    <row r="766" spans="1:27" x14ac:dyDescent="0.25">
      <c r="A766">
        <v>2068</v>
      </c>
      <c r="B766" t="s">
        <v>1419</v>
      </c>
      <c r="C766" t="s">
        <v>73</v>
      </c>
      <c r="D766" t="s">
        <v>73</v>
      </c>
      <c r="F766" t="s">
        <v>486</v>
      </c>
      <c r="G766" t="s">
        <v>30</v>
      </c>
      <c r="H766" t="s">
        <v>1092</v>
      </c>
      <c r="I766" s="4">
        <v>47440.875</v>
      </c>
      <c r="J766" t="s">
        <v>3127</v>
      </c>
      <c r="K766" t="s">
        <v>1029</v>
      </c>
      <c r="L766" s="5"/>
      <c r="M766" s="5"/>
      <c r="N766" t="s">
        <v>35</v>
      </c>
      <c r="O766" t="s">
        <v>1095</v>
      </c>
      <c r="S766" t="s">
        <v>37</v>
      </c>
      <c r="T766" s="5" t="s">
        <v>38</v>
      </c>
      <c r="Y766" t="str">
        <f>VLOOKUP(C766,'[1]DBS_KPY Sorumlular'!A:C,2,FALSE)</f>
        <v>Ayşegül AKGÜL</v>
      </c>
      <c r="Z766" t="str">
        <f>VLOOKUP(C766,'[1]DBS_KPY Sorumlular'!A:C,3,FALSE)</f>
        <v>Sinan ERDAŞ</v>
      </c>
      <c r="AA766" t="str">
        <f>VLOOKUP(K766,[1]!Tablo3[#Data],2,FALSE)</f>
        <v>Tayfun VİÇE</v>
      </c>
    </row>
    <row r="767" spans="1:27" x14ac:dyDescent="0.25">
      <c r="A767">
        <v>2069</v>
      </c>
      <c r="B767" t="s">
        <v>1419</v>
      </c>
      <c r="C767" t="s">
        <v>73</v>
      </c>
      <c r="D767" t="s">
        <v>73</v>
      </c>
      <c r="F767" t="s">
        <v>486</v>
      </c>
      <c r="G767" t="s">
        <v>30</v>
      </c>
      <c r="H767" t="s">
        <v>3128</v>
      </c>
      <c r="I767" s="4">
        <v>47329.875</v>
      </c>
      <c r="J767" t="s">
        <v>3129</v>
      </c>
      <c r="K767" t="s">
        <v>1029</v>
      </c>
      <c r="L767" s="5"/>
      <c r="M767" s="5"/>
      <c r="N767" t="s">
        <v>35</v>
      </c>
      <c r="O767" t="s">
        <v>1099</v>
      </c>
      <c r="S767" t="s">
        <v>37</v>
      </c>
      <c r="T767" s="5" t="s">
        <v>38</v>
      </c>
      <c r="Y767" t="str">
        <f>VLOOKUP(C767,'[1]DBS_KPY Sorumlular'!A:C,2,FALSE)</f>
        <v>Ayşegül AKGÜL</v>
      </c>
      <c r="Z767" t="str">
        <f>VLOOKUP(C767,'[1]DBS_KPY Sorumlular'!A:C,3,FALSE)</f>
        <v>Sinan ERDAŞ</v>
      </c>
      <c r="AA767" t="str">
        <f>VLOOKUP(K767,[1]!Tablo3[#Data],2,FALSE)</f>
        <v>Tayfun VİÇE</v>
      </c>
    </row>
    <row r="768" spans="1:27" x14ac:dyDescent="0.25">
      <c r="A768">
        <v>2070</v>
      </c>
      <c r="B768" t="s">
        <v>1419</v>
      </c>
      <c r="C768" t="s">
        <v>1674</v>
      </c>
      <c r="D768" t="s">
        <v>1675</v>
      </c>
      <c r="F768" t="s">
        <v>95</v>
      </c>
      <c r="G768" t="s">
        <v>30</v>
      </c>
      <c r="H768" t="s">
        <v>3130</v>
      </c>
      <c r="I768" s="4"/>
      <c r="J768" t="s">
        <v>3131</v>
      </c>
      <c r="K768" t="s">
        <v>1029</v>
      </c>
      <c r="L768" s="5"/>
      <c r="M768" s="5"/>
      <c r="N768" t="s">
        <v>1824</v>
      </c>
      <c r="O768" t="s">
        <v>3132</v>
      </c>
      <c r="S768" t="s">
        <v>37</v>
      </c>
      <c r="T768" s="5" t="s">
        <v>100</v>
      </c>
      <c r="W768">
        <v>150</v>
      </c>
      <c r="X768" t="s">
        <v>485</v>
      </c>
      <c r="Y768" t="str">
        <f>VLOOKUP(C768,'[1]DBS_KPY Sorumlular'!A:C,2,FALSE)</f>
        <v>Kadir TOPÇU</v>
      </c>
      <c r="Z768" t="str">
        <f>VLOOKUP(C768,'[1]DBS_KPY Sorumlular'!A:C,3,FALSE)</f>
        <v>Erkan AKDOĞAN</v>
      </c>
      <c r="AA768" t="str">
        <f>VLOOKUP(K768,[1]!Tablo3[#Data],2,FALSE)</f>
        <v>Tayfun VİÇE</v>
      </c>
    </row>
    <row r="769" spans="1:27" x14ac:dyDescent="0.25">
      <c r="A769">
        <v>2071</v>
      </c>
      <c r="B769" t="s">
        <v>1419</v>
      </c>
      <c r="C769" t="s">
        <v>1674</v>
      </c>
      <c r="D769" t="s">
        <v>1675</v>
      </c>
      <c r="F769" t="s">
        <v>52</v>
      </c>
      <c r="G769" t="s">
        <v>67</v>
      </c>
      <c r="H769" t="s">
        <v>3133</v>
      </c>
      <c r="I769" s="4"/>
      <c r="J769" t="s">
        <v>3134</v>
      </c>
      <c r="K769" t="s">
        <v>280</v>
      </c>
      <c r="L769" s="5"/>
      <c r="M769" s="5"/>
      <c r="N769" t="s">
        <v>35</v>
      </c>
      <c r="O769" t="s">
        <v>3135</v>
      </c>
      <c r="S769" t="s">
        <v>57</v>
      </c>
      <c r="T769" s="5" t="s">
        <v>48</v>
      </c>
      <c r="U769" t="s">
        <v>3136</v>
      </c>
      <c r="V769" t="s">
        <v>3133</v>
      </c>
      <c r="W769">
        <v>103</v>
      </c>
      <c r="X769" t="s">
        <v>353</v>
      </c>
      <c r="Y769" t="str">
        <f>VLOOKUP(C769,'[1]DBS_KPY Sorumlular'!A:C,2,FALSE)</f>
        <v>Kadir TOPÇU</v>
      </c>
      <c r="Z769" t="str">
        <f>VLOOKUP(C769,'[1]DBS_KPY Sorumlular'!A:C,3,FALSE)</f>
        <v>Erkan AKDOĞAN</v>
      </c>
      <c r="AA769" t="str">
        <f>VLOOKUP(K769,[1]!Tablo3[#Data],2,FALSE)</f>
        <v>Erkan AKDOĞAN</v>
      </c>
    </row>
    <row r="770" spans="1:27" x14ac:dyDescent="0.25">
      <c r="A770">
        <v>2072</v>
      </c>
      <c r="B770" t="s">
        <v>1419</v>
      </c>
      <c r="C770" t="s">
        <v>1674</v>
      </c>
      <c r="D770" t="s">
        <v>1675</v>
      </c>
      <c r="F770" t="s">
        <v>52</v>
      </c>
      <c r="G770" t="s">
        <v>67</v>
      </c>
      <c r="H770" t="s">
        <v>3137</v>
      </c>
      <c r="I770" s="4"/>
      <c r="K770" t="s">
        <v>280</v>
      </c>
      <c r="L770" s="5"/>
      <c r="M770" s="5"/>
      <c r="N770" t="s">
        <v>1824</v>
      </c>
      <c r="O770" t="s">
        <v>3138</v>
      </c>
      <c r="S770" t="s">
        <v>57</v>
      </c>
      <c r="T770" s="5" t="s">
        <v>100</v>
      </c>
      <c r="W770">
        <v>103</v>
      </c>
      <c r="X770" t="s">
        <v>353</v>
      </c>
      <c r="Y770" t="str">
        <f>VLOOKUP(C770,'[1]DBS_KPY Sorumlular'!A:C,2,FALSE)</f>
        <v>Kadir TOPÇU</v>
      </c>
      <c r="Z770" t="str">
        <f>VLOOKUP(C770,'[1]DBS_KPY Sorumlular'!A:C,3,FALSE)</f>
        <v>Erkan AKDOĞAN</v>
      </c>
      <c r="AA770" t="str">
        <f>VLOOKUP(K770,[1]!Tablo3[#Data],2,FALSE)</f>
        <v>Erkan AKDOĞAN</v>
      </c>
    </row>
    <row r="771" spans="1:27" x14ac:dyDescent="0.25">
      <c r="A771">
        <v>2073</v>
      </c>
      <c r="B771" t="s">
        <v>1419</v>
      </c>
      <c r="C771" t="s">
        <v>1674</v>
      </c>
      <c r="D771" t="s">
        <v>1675</v>
      </c>
      <c r="F771" t="s">
        <v>66</v>
      </c>
      <c r="G771" t="s">
        <v>30</v>
      </c>
      <c r="H771" t="s">
        <v>3139</v>
      </c>
      <c r="I771" s="4"/>
      <c r="J771" t="s">
        <v>3140</v>
      </c>
      <c r="K771" t="s">
        <v>280</v>
      </c>
      <c r="L771" s="5"/>
      <c r="M771" s="5"/>
      <c r="N771" t="s">
        <v>35</v>
      </c>
      <c r="O771" t="s">
        <v>3141</v>
      </c>
      <c r="S771" t="s">
        <v>57</v>
      </c>
      <c r="T771" s="5" t="s">
        <v>48</v>
      </c>
      <c r="U771" t="s">
        <v>3142</v>
      </c>
      <c r="V771" t="s">
        <v>3143</v>
      </c>
      <c r="W771">
        <v>65</v>
      </c>
      <c r="X771" t="s">
        <v>374</v>
      </c>
      <c r="Y771" t="str">
        <f>VLOOKUP(C771,'[1]DBS_KPY Sorumlular'!A:C,2,FALSE)</f>
        <v>Kadir TOPÇU</v>
      </c>
      <c r="Z771" t="str">
        <f>VLOOKUP(C771,'[1]DBS_KPY Sorumlular'!A:C,3,FALSE)</f>
        <v>Erkan AKDOĞAN</v>
      </c>
      <c r="AA771" t="str">
        <f>VLOOKUP(K771,[1]!Tablo3[#Data],2,FALSE)</f>
        <v>Erkan AKDOĞAN</v>
      </c>
    </row>
    <row r="772" spans="1:27" x14ac:dyDescent="0.25">
      <c r="A772">
        <v>2074</v>
      </c>
      <c r="B772" t="s">
        <v>1419</v>
      </c>
      <c r="C772" t="s">
        <v>1674</v>
      </c>
      <c r="D772" t="s">
        <v>1675</v>
      </c>
      <c r="F772" t="s">
        <v>66</v>
      </c>
      <c r="G772" t="s">
        <v>67</v>
      </c>
      <c r="H772" t="s">
        <v>3144</v>
      </c>
      <c r="I772" s="4"/>
      <c r="K772" t="s">
        <v>280</v>
      </c>
      <c r="L772" s="5" t="s">
        <v>3145</v>
      </c>
      <c r="M772" s="5"/>
      <c r="N772" t="s">
        <v>739</v>
      </c>
      <c r="O772" t="s">
        <v>3146</v>
      </c>
      <c r="S772" t="s">
        <v>57</v>
      </c>
      <c r="T772" s="5" t="s">
        <v>48</v>
      </c>
      <c r="U772" t="s">
        <v>3147</v>
      </c>
      <c r="V772" t="s">
        <v>3144</v>
      </c>
      <c r="W772">
        <v>203</v>
      </c>
      <c r="X772" t="s">
        <v>72</v>
      </c>
      <c r="Y772" t="str">
        <f>VLOOKUP(C772,'[1]DBS_KPY Sorumlular'!A:C,2,FALSE)</f>
        <v>Kadir TOPÇU</v>
      </c>
      <c r="Z772" t="str">
        <f>VLOOKUP(C772,'[1]DBS_KPY Sorumlular'!A:C,3,FALSE)</f>
        <v>Erkan AKDOĞAN</v>
      </c>
      <c r="AA772" t="str">
        <f>VLOOKUP(K772,[1]!Tablo3[#Data],2,FALSE)</f>
        <v>Erkan AKDOĞAN</v>
      </c>
    </row>
    <row r="773" spans="1:27" x14ac:dyDescent="0.25">
      <c r="A773">
        <v>2075</v>
      </c>
      <c r="B773" t="s">
        <v>1419</v>
      </c>
      <c r="C773" t="s">
        <v>1674</v>
      </c>
      <c r="D773" t="s">
        <v>1717</v>
      </c>
      <c r="F773" t="s">
        <v>102</v>
      </c>
      <c r="G773" t="s">
        <v>43</v>
      </c>
      <c r="H773" t="s">
        <v>3148</v>
      </c>
      <c r="I773" s="4"/>
      <c r="J773" t="s">
        <v>3149</v>
      </c>
      <c r="K773" t="s">
        <v>280</v>
      </c>
      <c r="L773" s="5"/>
      <c r="M773" s="5"/>
      <c r="N773" t="s">
        <v>35</v>
      </c>
      <c r="O773" t="s">
        <v>3150</v>
      </c>
      <c r="S773" t="s">
        <v>57</v>
      </c>
      <c r="T773" s="5" t="s">
        <v>48</v>
      </c>
      <c r="U773" t="s">
        <v>3151</v>
      </c>
      <c r="V773" t="s">
        <v>3152</v>
      </c>
      <c r="W773">
        <v>52</v>
      </c>
      <c r="X773" t="s">
        <v>3153</v>
      </c>
      <c r="Y773" t="str">
        <f>VLOOKUP(C773,'[1]DBS_KPY Sorumlular'!A:C,2,FALSE)</f>
        <v>Kadir TOPÇU</v>
      </c>
      <c r="Z773" t="str">
        <f>VLOOKUP(C773,'[1]DBS_KPY Sorumlular'!A:C,3,FALSE)</f>
        <v>Erkan AKDOĞAN</v>
      </c>
      <c r="AA773" t="str">
        <f>VLOOKUP(K773,[1]!Tablo3[#Data],2,FALSE)</f>
        <v>Erkan AKDOĞAN</v>
      </c>
    </row>
    <row r="774" spans="1:27" x14ac:dyDescent="0.25">
      <c r="A774">
        <v>2076</v>
      </c>
      <c r="B774" t="s">
        <v>1419</v>
      </c>
      <c r="C774" t="s">
        <v>40</v>
      </c>
      <c r="D774" t="s">
        <v>65</v>
      </c>
      <c r="F774" t="s">
        <v>306</v>
      </c>
      <c r="G774" t="s">
        <v>96</v>
      </c>
      <c r="H774" t="s">
        <v>3154</v>
      </c>
      <c r="I774" s="4"/>
      <c r="J774" t="s">
        <v>3155</v>
      </c>
      <c r="K774" t="s">
        <v>280</v>
      </c>
      <c r="L774" s="5"/>
      <c r="M774" s="5"/>
      <c r="N774" t="s">
        <v>35</v>
      </c>
      <c r="O774" t="s">
        <v>3156</v>
      </c>
      <c r="S774" t="s">
        <v>57</v>
      </c>
      <c r="T774" s="5" t="s">
        <v>48</v>
      </c>
      <c r="U774" t="s">
        <v>3157</v>
      </c>
      <c r="V774" t="s">
        <v>3158</v>
      </c>
      <c r="W774">
        <v>104</v>
      </c>
      <c r="X774" t="s">
        <v>703</v>
      </c>
      <c r="Y774" t="str">
        <f>VLOOKUP(C774,'[1]DBS_KPY Sorumlular'!A:C,2,FALSE)</f>
        <v>Mustafa AYDIN</v>
      </c>
      <c r="Z774" t="str">
        <f>VLOOKUP(C774,'[1]DBS_KPY Sorumlular'!A:C,3,FALSE)</f>
        <v>Esra DOLAN</v>
      </c>
      <c r="AA774" t="str">
        <f>VLOOKUP(K774,[1]!Tablo3[#Data],2,FALSE)</f>
        <v>Erkan AKDOĞAN</v>
      </c>
    </row>
    <row r="775" spans="1:27" x14ac:dyDescent="0.25">
      <c r="A775">
        <v>2077</v>
      </c>
      <c r="B775" t="s">
        <v>1419</v>
      </c>
      <c r="C775" t="s">
        <v>40</v>
      </c>
      <c r="D775" t="s">
        <v>65</v>
      </c>
      <c r="F775" t="s">
        <v>486</v>
      </c>
      <c r="G775" t="s">
        <v>67</v>
      </c>
      <c r="H775" t="s">
        <v>3159</v>
      </c>
      <c r="I775" s="4"/>
      <c r="J775" t="s">
        <v>3160</v>
      </c>
      <c r="K775" t="s">
        <v>280</v>
      </c>
      <c r="L775" s="5"/>
      <c r="M775" s="5"/>
      <c r="N775" t="s">
        <v>35</v>
      </c>
      <c r="O775" t="s">
        <v>3161</v>
      </c>
      <c r="S775" t="s">
        <v>57</v>
      </c>
      <c r="T775" s="5" t="s">
        <v>48</v>
      </c>
      <c r="U775" t="s">
        <v>3162</v>
      </c>
      <c r="V775" t="s">
        <v>3163</v>
      </c>
      <c r="W775">
        <v>91</v>
      </c>
      <c r="X775" t="s">
        <v>101</v>
      </c>
      <c r="Y775" t="str">
        <f>VLOOKUP(C775,'[1]DBS_KPY Sorumlular'!A:C,2,FALSE)</f>
        <v>Mustafa AYDIN</v>
      </c>
      <c r="Z775" t="str">
        <f>VLOOKUP(C775,'[1]DBS_KPY Sorumlular'!A:C,3,FALSE)</f>
        <v>Esra DOLAN</v>
      </c>
      <c r="AA775" t="str">
        <f>VLOOKUP(K775,[1]!Tablo3[#Data],2,FALSE)</f>
        <v>Erkan AKDOĞAN</v>
      </c>
    </row>
    <row r="776" spans="1:27" x14ac:dyDescent="0.25">
      <c r="A776">
        <v>2078</v>
      </c>
      <c r="B776" t="s">
        <v>1419</v>
      </c>
      <c r="C776" t="s">
        <v>40</v>
      </c>
      <c r="D776" t="s">
        <v>65</v>
      </c>
      <c r="F776" t="s">
        <v>52</v>
      </c>
      <c r="G776" t="s">
        <v>67</v>
      </c>
      <c r="H776" t="s">
        <v>3164</v>
      </c>
      <c r="I776" s="4"/>
      <c r="J776" t="s">
        <v>3165</v>
      </c>
      <c r="K776" t="s">
        <v>181</v>
      </c>
      <c r="L776" s="5"/>
      <c r="M776" s="5"/>
      <c r="N776" t="s">
        <v>35</v>
      </c>
      <c r="O776" t="s">
        <v>3166</v>
      </c>
      <c r="S776" t="s">
        <v>57</v>
      </c>
      <c r="T776" s="5" t="s">
        <v>48</v>
      </c>
      <c r="U776" t="s">
        <v>3167</v>
      </c>
      <c r="V776" t="s">
        <v>3168</v>
      </c>
      <c r="W776">
        <v>103</v>
      </c>
      <c r="X776" t="s">
        <v>353</v>
      </c>
      <c r="Y776" t="str">
        <f>VLOOKUP(C776,'[1]DBS_KPY Sorumlular'!A:C,2,FALSE)</f>
        <v>Mustafa AYDIN</v>
      </c>
      <c r="Z776" t="str">
        <f>VLOOKUP(C776,'[1]DBS_KPY Sorumlular'!A:C,3,FALSE)</f>
        <v>Esra DOLAN</v>
      </c>
      <c r="AA776" t="str">
        <f>VLOOKUP(K776,[1]!Tablo3[#Data],2,FALSE)</f>
        <v>Erkan AKDOĞAN</v>
      </c>
    </row>
    <row r="777" spans="1:27" x14ac:dyDescent="0.25">
      <c r="A777">
        <v>2079</v>
      </c>
      <c r="B777" t="s">
        <v>1419</v>
      </c>
      <c r="C777" t="s">
        <v>73</v>
      </c>
      <c r="D777" t="s">
        <v>73</v>
      </c>
      <c r="F777" t="s">
        <v>486</v>
      </c>
      <c r="G777" t="s">
        <v>30</v>
      </c>
      <c r="H777" t="s">
        <v>3169</v>
      </c>
      <c r="I777" s="4"/>
      <c r="J777" t="s">
        <v>3170</v>
      </c>
      <c r="K777" t="s">
        <v>280</v>
      </c>
      <c r="L777" s="5"/>
      <c r="M777" s="5"/>
      <c r="N777" t="s">
        <v>35</v>
      </c>
      <c r="O777" t="s">
        <v>3171</v>
      </c>
      <c r="S777" t="s">
        <v>57</v>
      </c>
      <c r="T777" s="5" t="s">
        <v>38</v>
      </c>
      <c r="Y777" t="str">
        <f>VLOOKUP(C777,'[1]DBS_KPY Sorumlular'!A:C,2,FALSE)</f>
        <v>Ayşegül AKGÜL</v>
      </c>
      <c r="Z777" t="str">
        <f>VLOOKUP(C777,'[1]DBS_KPY Sorumlular'!A:C,3,FALSE)</f>
        <v>Sinan ERDAŞ</v>
      </c>
      <c r="AA777" t="str">
        <f>VLOOKUP(K777,[1]!Tablo3[#Data],2,FALSE)</f>
        <v>Erkan AKDOĞAN</v>
      </c>
    </row>
    <row r="778" spans="1:27" x14ac:dyDescent="0.25">
      <c r="A778">
        <v>2080</v>
      </c>
      <c r="B778" t="s">
        <v>1419</v>
      </c>
      <c r="C778" t="s">
        <v>73</v>
      </c>
      <c r="D778" t="s">
        <v>73</v>
      </c>
      <c r="F778" t="s">
        <v>486</v>
      </c>
      <c r="G778" t="s">
        <v>30</v>
      </c>
      <c r="H778" t="s">
        <v>3172</v>
      </c>
      <c r="I778" s="4">
        <v>46693.875</v>
      </c>
      <c r="J778" t="s">
        <v>3173</v>
      </c>
      <c r="K778" t="s">
        <v>280</v>
      </c>
      <c r="L778" s="5" t="s">
        <v>3174</v>
      </c>
      <c r="M778" s="5"/>
      <c r="N778" t="s">
        <v>35</v>
      </c>
      <c r="O778" t="s">
        <v>3175</v>
      </c>
      <c r="S778" t="s">
        <v>57</v>
      </c>
      <c r="T778" s="5" t="s">
        <v>38</v>
      </c>
      <c r="Y778" t="str">
        <f>VLOOKUP(C778,'[1]DBS_KPY Sorumlular'!A:C,2,FALSE)</f>
        <v>Ayşegül AKGÜL</v>
      </c>
      <c r="Z778" t="str">
        <f>VLOOKUP(C778,'[1]DBS_KPY Sorumlular'!A:C,3,FALSE)</f>
        <v>Sinan ERDAŞ</v>
      </c>
      <c r="AA778" t="str">
        <f>VLOOKUP(K778,[1]!Tablo3[#Data],2,FALSE)</f>
        <v>Erkan AKDOĞAN</v>
      </c>
    </row>
    <row r="779" spans="1:27" x14ac:dyDescent="0.25">
      <c r="A779">
        <v>2081</v>
      </c>
      <c r="B779" t="s">
        <v>1419</v>
      </c>
      <c r="C779" t="s">
        <v>1674</v>
      </c>
      <c r="D779" t="s">
        <v>1675</v>
      </c>
      <c r="F779" t="s">
        <v>66</v>
      </c>
      <c r="G779" t="s">
        <v>30</v>
      </c>
      <c r="H779" t="s">
        <v>3176</v>
      </c>
      <c r="I779" s="4"/>
      <c r="J779" t="s">
        <v>3177</v>
      </c>
      <c r="K779" t="s">
        <v>280</v>
      </c>
      <c r="L779" s="5"/>
      <c r="M779" s="5"/>
      <c r="N779" t="s">
        <v>35</v>
      </c>
      <c r="O779" t="s">
        <v>3178</v>
      </c>
      <c r="S779" t="s">
        <v>57</v>
      </c>
      <c r="T779" s="5" t="s">
        <v>48</v>
      </c>
      <c r="U779" t="s">
        <v>3179</v>
      </c>
      <c r="V779" t="s">
        <v>3176</v>
      </c>
      <c r="W779">
        <v>104</v>
      </c>
      <c r="X779" t="s">
        <v>703</v>
      </c>
      <c r="Y779" t="str">
        <f>VLOOKUP(C779,'[1]DBS_KPY Sorumlular'!A:C,2,FALSE)</f>
        <v>Kadir TOPÇU</v>
      </c>
      <c r="Z779" t="str">
        <f>VLOOKUP(C779,'[1]DBS_KPY Sorumlular'!A:C,3,FALSE)</f>
        <v>Erkan AKDOĞAN</v>
      </c>
      <c r="AA779" t="str">
        <f>VLOOKUP(K779,[1]!Tablo3[#Data],2,FALSE)</f>
        <v>Erkan AKDOĞAN</v>
      </c>
    </row>
    <row r="780" spans="1:27" x14ac:dyDescent="0.25">
      <c r="A780">
        <v>2082</v>
      </c>
      <c r="B780" t="s">
        <v>1419</v>
      </c>
      <c r="C780" t="s">
        <v>1674</v>
      </c>
      <c r="D780" t="s">
        <v>1675</v>
      </c>
      <c r="F780" t="s">
        <v>66</v>
      </c>
      <c r="G780" t="s">
        <v>67</v>
      </c>
      <c r="H780" t="s">
        <v>3180</v>
      </c>
      <c r="I780" s="4"/>
      <c r="K780" t="s">
        <v>280</v>
      </c>
      <c r="L780" s="5"/>
      <c r="M780" s="5"/>
      <c r="N780" t="s">
        <v>1824</v>
      </c>
      <c r="O780" t="s">
        <v>3181</v>
      </c>
      <c r="S780" t="s">
        <v>57</v>
      </c>
      <c r="T780" s="5" t="s">
        <v>100</v>
      </c>
      <c r="W780">
        <v>203</v>
      </c>
      <c r="X780" t="s">
        <v>72</v>
      </c>
      <c r="Y780" t="str">
        <f>VLOOKUP(C780,'[1]DBS_KPY Sorumlular'!A:C,2,FALSE)</f>
        <v>Kadir TOPÇU</v>
      </c>
      <c r="Z780" t="str">
        <f>VLOOKUP(C780,'[1]DBS_KPY Sorumlular'!A:C,3,FALSE)</f>
        <v>Erkan AKDOĞAN</v>
      </c>
      <c r="AA780" t="str">
        <f>VLOOKUP(K780,[1]!Tablo3[#Data],2,FALSE)</f>
        <v>Erkan AKDOĞAN</v>
      </c>
    </row>
    <row r="781" spans="1:27" x14ac:dyDescent="0.25">
      <c r="A781">
        <v>2083</v>
      </c>
      <c r="B781" t="s">
        <v>27</v>
      </c>
      <c r="C781" t="s">
        <v>40</v>
      </c>
      <c r="D781" t="s">
        <v>65</v>
      </c>
      <c r="F781" t="s">
        <v>486</v>
      </c>
      <c r="G781" t="s">
        <v>30</v>
      </c>
      <c r="H781" t="s">
        <v>3182</v>
      </c>
      <c r="I781" s="4">
        <v>45869.875</v>
      </c>
      <c r="J781" t="s">
        <v>3183</v>
      </c>
      <c r="K781" t="s">
        <v>280</v>
      </c>
      <c r="L781" s="5"/>
      <c r="M781" s="5"/>
      <c r="N781" t="s">
        <v>46</v>
      </c>
      <c r="O781" t="s">
        <v>3184</v>
      </c>
      <c r="R781">
        <v>0.44</v>
      </c>
      <c r="S781" t="s">
        <v>57</v>
      </c>
      <c r="T781" s="5" t="s">
        <v>48</v>
      </c>
      <c r="U781" t="s">
        <v>3185</v>
      </c>
      <c r="V781" t="s">
        <v>3186</v>
      </c>
      <c r="W781">
        <v>207</v>
      </c>
      <c r="X781" t="s">
        <v>472</v>
      </c>
      <c r="Y781" t="str">
        <f>VLOOKUP(C781,'[1]DBS_KPY Sorumlular'!A:C,2,FALSE)</f>
        <v>Mustafa AYDIN</v>
      </c>
      <c r="Z781" t="str">
        <f>VLOOKUP(C781,'[1]DBS_KPY Sorumlular'!A:C,3,FALSE)</f>
        <v>Esra DOLAN</v>
      </c>
      <c r="AA781" t="str">
        <f>VLOOKUP(K781,[1]!Tablo3[#Data],2,FALSE)</f>
        <v>Erkan AKDOĞAN</v>
      </c>
    </row>
    <row r="782" spans="1:27" x14ac:dyDescent="0.25">
      <c r="A782">
        <v>2084</v>
      </c>
      <c r="B782" t="s">
        <v>1419</v>
      </c>
      <c r="C782" t="s">
        <v>1674</v>
      </c>
      <c r="D782" t="s">
        <v>1717</v>
      </c>
      <c r="F782" t="s">
        <v>102</v>
      </c>
      <c r="G782" t="s">
        <v>43</v>
      </c>
      <c r="H782" t="s">
        <v>3187</v>
      </c>
      <c r="I782" s="4"/>
      <c r="J782" t="s">
        <v>3188</v>
      </c>
      <c r="K782" t="s">
        <v>280</v>
      </c>
      <c r="L782" s="5"/>
      <c r="M782" s="5"/>
      <c r="N782" t="s">
        <v>35</v>
      </c>
      <c r="O782" t="s">
        <v>3189</v>
      </c>
      <c r="S782" t="s">
        <v>57</v>
      </c>
      <c r="T782" s="5" t="s">
        <v>58</v>
      </c>
      <c r="U782" t="s">
        <v>3190</v>
      </c>
      <c r="V782" t="s">
        <v>3191</v>
      </c>
      <c r="W782">
        <v>73</v>
      </c>
      <c r="X782" t="s">
        <v>1198</v>
      </c>
      <c r="Y782" t="str">
        <f>VLOOKUP(C782,'[1]DBS_KPY Sorumlular'!A:C,2,FALSE)</f>
        <v>Kadir TOPÇU</v>
      </c>
      <c r="Z782" t="str">
        <f>VLOOKUP(C782,'[1]DBS_KPY Sorumlular'!A:C,3,FALSE)</f>
        <v>Erkan AKDOĞAN</v>
      </c>
      <c r="AA782" t="str">
        <f>VLOOKUP(K782,[1]!Tablo3[#Data],2,FALSE)</f>
        <v>Erkan AKDOĞAN</v>
      </c>
    </row>
    <row r="783" spans="1:27" x14ac:dyDescent="0.25">
      <c r="A783">
        <v>2085</v>
      </c>
      <c r="B783" t="s">
        <v>1419</v>
      </c>
      <c r="C783" t="s">
        <v>73</v>
      </c>
      <c r="D783" t="s">
        <v>73</v>
      </c>
      <c r="F783" t="s">
        <v>486</v>
      </c>
      <c r="G783" t="s">
        <v>30</v>
      </c>
      <c r="H783" t="s">
        <v>1151</v>
      </c>
      <c r="I783" s="4"/>
      <c r="J783" t="s">
        <v>3192</v>
      </c>
      <c r="K783" t="s">
        <v>280</v>
      </c>
      <c r="L783" s="5"/>
      <c r="M783" s="5"/>
      <c r="N783" t="s">
        <v>35</v>
      </c>
      <c r="O783" t="s">
        <v>3193</v>
      </c>
      <c r="S783" t="s">
        <v>57</v>
      </c>
      <c r="T783" s="5" t="s">
        <v>38</v>
      </c>
      <c r="Y783" t="str">
        <f>VLOOKUP(C783,'[1]DBS_KPY Sorumlular'!A:C,2,FALSE)</f>
        <v>Ayşegül AKGÜL</v>
      </c>
      <c r="Z783" t="str">
        <f>VLOOKUP(C783,'[1]DBS_KPY Sorumlular'!A:C,3,FALSE)</f>
        <v>Sinan ERDAŞ</v>
      </c>
      <c r="AA783" t="str">
        <f>VLOOKUP(K783,[1]!Tablo3[#Data],2,FALSE)</f>
        <v>Erkan AKDOĞAN</v>
      </c>
    </row>
    <row r="784" spans="1:27" x14ac:dyDescent="0.25">
      <c r="A784">
        <v>2086</v>
      </c>
      <c r="B784" t="s">
        <v>1419</v>
      </c>
      <c r="C784" t="s">
        <v>73</v>
      </c>
      <c r="D784" t="s">
        <v>73</v>
      </c>
      <c r="F784" t="s">
        <v>486</v>
      </c>
      <c r="G784" t="s">
        <v>456</v>
      </c>
      <c r="H784" t="s">
        <v>3194</v>
      </c>
      <c r="I784" s="4"/>
      <c r="K784" t="s">
        <v>280</v>
      </c>
      <c r="L784" s="5"/>
      <c r="M784" s="5"/>
      <c r="N784" t="s">
        <v>35</v>
      </c>
      <c r="O784" t="s">
        <v>3195</v>
      </c>
      <c r="S784" t="s">
        <v>57</v>
      </c>
      <c r="T784" s="5" t="s">
        <v>38</v>
      </c>
      <c r="Y784" t="str">
        <f>VLOOKUP(C784,'[1]DBS_KPY Sorumlular'!A:C,2,FALSE)</f>
        <v>Ayşegül AKGÜL</v>
      </c>
      <c r="Z784" t="str">
        <f>VLOOKUP(C784,'[1]DBS_KPY Sorumlular'!A:C,3,FALSE)</f>
        <v>Sinan ERDAŞ</v>
      </c>
      <c r="AA784" t="str">
        <f>VLOOKUP(K784,[1]!Tablo3[#Data],2,FALSE)</f>
        <v>Erkan AKDOĞAN</v>
      </c>
    </row>
    <row r="785" spans="1:27" x14ac:dyDescent="0.25">
      <c r="A785">
        <v>2087</v>
      </c>
      <c r="B785" t="s">
        <v>1419</v>
      </c>
      <c r="C785" t="s">
        <v>652</v>
      </c>
      <c r="D785" t="s">
        <v>653</v>
      </c>
      <c r="F785" t="s">
        <v>455</v>
      </c>
      <c r="G785" t="s">
        <v>456</v>
      </c>
      <c r="H785" t="s">
        <v>3196</v>
      </c>
      <c r="I785" s="4"/>
      <c r="K785" t="s">
        <v>1157</v>
      </c>
      <c r="L785" s="5"/>
      <c r="M785" s="5"/>
      <c r="N785" t="s">
        <v>35</v>
      </c>
      <c r="O785" t="s">
        <v>3197</v>
      </c>
      <c r="S785" t="s">
        <v>37</v>
      </c>
      <c r="T785" s="5" t="s">
        <v>48</v>
      </c>
      <c r="U785" t="s">
        <v>3198</v>
      </c>
      <c r="V785" t="s">
        <v>3196</v>
      </c>
      <c r="W785">
        <v>147</v>
      </c>
      <c r="X785" t="s">
        <v>1180</v>
      </c>
      <c r="Y785" t="str">
        <f>VLOOKUP(C785,'[1]DBS_KPY Sorumlular'!A:C,2,FALSE)</f>
        <v>Seyithan İŞİK</v>
      </c>
      <c r="Z785" t="str">
        <f>VLOOKUP(C785,'[1]DBS_KPY Sorumlular'!A:C,3,FALSE)</f>
        <v>Korhan KÖROĞLU</v>
      </c>
      <c r="AA785" t="str">
        <f>VLOOKUP(K785,[1]!Tablo3[#Data],2,FALSE)</f>
        <v>Tayfun VİÇE</v>
      </c>
    </row>
    <row r="786" spans="1:27" x14ac:dyDescent="0.25">
      <c r="A786">
        <v>2088</v>
      </c>
      <c r="B786" t="s">
        <v>1419</v>
      </c>
      <c r="C786" t="s">
        <v>1674</v>
      </c>
      <c r="D786" t="s">
        <v>1675</v>
      </c>
      <c r="F786" t="s">
        <v>66</v>
      </c>
      <c r="G786" t="s">
        <v>30</v>
      </c>
      <c r="H786" t="s">
        <v>3199</v>
      </c>
      <c r="I786" s="4"/>
      <c r="J786" t="s">
        <v>3200</v>
      </c>
      <c r="K786" t="s">
        <v>1157</v>
      </c>
      <c r="L786" s="5"/>
      <c r="M786" s="5" t="s">
        <v>3201</v>
      </c>
      <c r="N786" t="s">
        <v>35</v>
      </c>
      <c r="O786" t="s">
        <v>3202</v>
      </c>
      <c r="S786" t="s">
        <v>37</v>
      </c>
      <c r="T786" s="5" t="s">
        <v>48</v>
      </c>
      <c r="U786" t="s">
        <v>3203</v>
      </c>
      <c r="V786" t="s">
        <v>3199</v>
      </c>
      <c r="W786">
        <v>65</v>
      </c>
      <c r="X786" t="s">
        <v>374</v>
      </c>
      <c r="Y786" t="str">
        <f>VLOOKUP(C786,'[1]DBS_KPY Sorumlular'!A:C,2,FALSE)</f>
        <v>Kadir TOPÇU</v>
      </c>
      <c r="Z786" t="str">
        <f>VLOOKUP(C786,'[1]DBS_KPY Sorumlular'!A:C,3,FALSE)</f>
        <v>Erkan AKDOĞAN</v>
      </c>
      <c r="AA786" t="str">
        <f>VLOOKUP(K786,[1]!Tablo3[#Data],2,FALSE)</f>
        <v>Tayfun VİÇE</v>
      </c>
    </row>
    <row r="787" spans="1:27" x14ac:dyDescent="0.25">
      <c r="A787">
        <v>2089</v>
      </c>
      <c r="B787" t="s">
        <v>1419</v>
      </c>
      <c r="C787" t="s">
        <v>40</v>
      </c>
      <c r="D787" t="s">
        <v>65</v>
      </c>
      <c r="F787" t="s">
        <v>52</v>
      </c>
      <c r="G787" t="s">
        <v>67</v>
      </c>
      <c r="H787" t="s">
        <v>3204</v>
      </c>
      <c r="I787" s="4"/>
      <c r="K787" t="s">
        <v>1157</v>
      </c>
      <c r="L787" s="5"/>
      <c r="M787" s="5"/>
      <c r="N787" t="s">
        <v>35</v>
      </c>
      <c r="O787" t="s">
        <v>3205</v>
      </c>
      <c r="S787" t="s">
        <v>37</v>
      </c>
      <c r="T787" s="5" t="s">
        <v>48</v>
      </c>
      <c r="U787" t="s">
        <v>3206</v>
      </c>
      <c r="V787" t="s">
        <v>3207</v>
      </c>
      <c r="W787">
        <v>103</v>
      </c>
      <c r="X787" t="s">
        <v>353</v>
      </c>
      <c r="Y787" t="str">
        <f>VLOOKUP(C787,'[1]DBS_KPY Sorumlular'!A:C,2,FALSE)</f>
        <v>Mustafa AYDIN</v>
      </c>
      <c r="Z787" t="str">
        <f>VLOOKUP(C787,'[1]DBS_KPY Sorumlular'!A:C,3,FALSE)</f>
        <v>Esra DOLAN</v>
      </c>
      <c r="AA787" t="str">
        <f>VLOOKUP(K787,[1]!Tablo3[#Data],2,FALSE)</f>
        <v>Tayfun VİÇE</v>
      </c>
    </row>
    <row r="788" spans="1:27" x14ac:dyDescent="0.25">
      <c r="A788">
        <v>2090</v>
      </c>
      <c r="B788" t="s">
        <v>1419</v>
      </c>
      <c r="C788" t="s">
        <v>1674</v>
      </c>
      <c r="D788" t="s">
        <v>1675</v>
      </c>
      <c r="F788" t="s">
        <v>66</v>
      </c>
      <c r="G788" t="s">
        <v>30</v>
      </c>
      <c r="H788" t="s">
        <v>3208</v>
      </c>
      <c r="I788" s="4"/>
      <c r="J788" t="s">
        <v>3200</v>
      </c>
      <c r="K788" t="s">
        <v>1157</v>
      </c>
      <c r="L788" s="5"/>
      <c r="M788" s="5" t="s">
        <v>3209</v>
      </c>
      <c r="N788" t="s">
        <v>35</v>
      </c>
      <c r="O788" t="s">
        <v>3210</v>
      </c>
      <c r="S788" t="s">
        <v>37</v>
      </c>
      <c r="T788" s="5" t="s">
        <v>48</v>
      </c>
      <c r="U788" t="s">
        <v>3211</v>
      </c>
      <c r="V788" t="s">
        <v>3208</v>
      </c>
      <c r="W788">
        <v>65</v>
      </c>
      <c r="X788" t="s">
        <v>374</v>
      </c>
      <c r="Y788" t="str">
        <f>VLOOKUP(C788,'[1]DBS_KPY Sorumlular'!A:C,2,FALSE)</f>
        <v>Kadir TOPÇU</v>
      </c>
      <c r="Z788" t="str">
        <f>VLOOKUP(C788,'[1]DBS_KPY Sorumlular'!A:C,3,FALSE)</f>
        <v>Erkan AKDOĞAN</v>
      </c>
      <c r="AA788" t="str">
        <f>VLOOKUP(K788,[1]!Tablo3[#Data],2,FALSE)</f>
        <v>Tayfun VİÇE</v>
      </c>
    </row>
    <row r="789" spans="1:27" x14ac:dyDescent="0.25">
      <c r="A789">
        <v>2091</v>
      </c>
      <c r="B789" t="s">
        <v>1419</v>
      </c>
      <c r="C789" t="s">
        <v>1723</v>
      </c>
      <c r="D789" t="s">
        <v>2478</v>
      </c>
      <c r="F789" t="s">
        <v>486</v>
      </c>
      <c r="G789" t="s">
        <v>67</v>
      </c>
      <c r="H789" t="s">
        <v>3212</v>
      </c>
      <c r="I789" s="4"/>
      <c r="J789" t="s">
        <v>3213</v>
      </c>
      <c r="K789" t="s">
        <v>1157</v>
      </c>
      <c r="L789" s="5" t="s">
        <v>3214</v>
      </c>
      <c r="M789" s="5" t="s">
        <v>3215</v>
      </c>
      <c r="N789" t="s">
        <v>35</v>
      </c>
      <c r="O789" t="s">
        <v>3216</v>
      </c>
      <c r="S789" t="s">
        <v>37</v>
      </c>
      <c r="T789" s="5" t="s">
        <v>38</v>
      </c>
      <c r="Y789" t="str">
        <f>VLOOKUP(C789,'[1]DBS_KPY Sorumlular'!A:C,2,FALSE)</f>
        <v>Erkan AKDOĞAN</v>
      </c>
      <c r="Z789" t="str">
        <f>VLOOKUP(C789,'[1]DBS_KPY Sorumlular'!A:C,3,FALSE)</f>
        <v>Kadir TOPÇU</v>
      </c>
      <c r="AA789" t="str">
        <f>VLOOKUP(K789,[1]!Tablo3[#Data],2,FALSE)</f>
        <v>Tayfun VİÇE</v>
      </c>
    </row>
    <row r="790" spans="1:27" x14ac:dyDescent="0.25">
      <c r="A790">
        <v>2092</v>
      </c>
      <c r="B790" t="s">
        <v>1419</v>
      </c>
      <c r="C790" t="s">
        <v>652</v>
      </c>
      <c r="D790" t="s">
        <v>653</v>
      </c>
      <c r="F790" t="s">
        <v>455</v>
      </c>
      <c r="G790" t="s">
        <v>456</v>
      </c>
      <c r="H790" t="s">
        <v>3217</v>
      </c>
      <c r="I790" s="4"/>
      <c r="K790" t="s">
        <v>1157</v>
      </c>
      <c r="L790" s="5"/>
      <c r="M790" s="5"/>
      <c r="N790" t="s">
        <v>35</v>
      </c>
      <c r="O790" t="s">
        <v>3218</v>
      </c>
      <c r="S790" t="s">
        <v>37</v>
      </c>
      <c r="T790" s="5" t="s">
        <v>100</v>
      </c>
      <c r="W790">
        <v>144</v>
      </c>
      <c r="X790" t="s">
        <v>463</v>
      </c>
      <c r="Y790" t="str">
        <f>VLOOKUP(C790,'[1]DBS_KPY Sorumlular'!A:C,2,FALSE)</f>
        <v>Seyithan İŞİK</v>
      </c>
      <c r="Z790" t="str">
        <f>VLOOKUP(C790,'[1]DBS_KPY Sorumlular'!A:C,3,FALSE)</f>
        <v>Korhan KÖROĞLU</v>
      </c>
      <c r="AA790" t="str">
        <f>VLOOKUP(K790,[1]!Tablo3[#Data],2,FALSE)</f>
        <v>Tayfun VİÇE</v>
      </c>
    </row>
    <row r="791" spans="1:27" x14ac:dyDescent="0.25">
      <c r="A791">
        <v>2093</v>
      </c>
      <c r="B791" t="s">
        <v>1419</v>
      </c>
      <c r="C791" t="s">
        <v>1674</v>
      </c>
      <c r="D791" t="s">
        <v>1675</v>
      </c>
      <c r="F791" t="s">
        <v>439</v>
      </c>
      <c r="G791" t="s">
        <v>43</v>
      </c>
      <c r="H791" t="s">
        <v>3219</v>
      </c>
      <c r="I791" s="4"/>
      <c r="J791" t="s">
        <v>3220</v>
      </c>
      <c r="K791" t="s">
        <v>1157</v>
      </c>
      <c r="L791" s="5"/>
      <c r="M791" s="5"/>
      <c r="N791" t="s">
        <v>35</v>
      </c>
      <c r="O791" t="s">
        <v>3221</v>
      </c>
      <c r="S791" t="s">
        <v>37</v>
      </c>
      <c r="T791" s="5" t="s">
        <v>48</v>
      </c>
      <c r="U791" t="s">
        <v>3222</v>
      </c>
      <c r="V791" t="s">
        <v>3219</v>
      </c>
      <c r="W791">
        <v>77</v>
      </c>
      <c r="X791" t="s">
        <v>3223</v>
      </c>
      <c r="Y791" t="str">
        <f>VLOOKUP(C791,'[1]DBS_KPY Sorumlular'!A:C,2,FALSE)</f>
        <v>Kadir TOPÇU</v>
      </c>
      <c r="Z791" t="str">
        <f>VLOOKUP(C791,'[1]DBS_KPY Sorumlular'!A:C,3,FALSE)</f>
        <v>Erkan AKDOĞAN</v>
      </c>
      <c r="AA791" t="str">
        <f>VLOOKUP(K791,[1]!Tablo3[#Data],2,FALSE)</f>
        <v>Tayfun VİÇE</v>
      </c>
    </row>
    <row r="792" spans="1:27" x14ac:dyDescent="0.25">
      <c r="A792">
        <v>2094</v>
      </c>
      <c r="B792" t="s">
        <v>1419</v>
      </c>
      <c r="C792" t="s">
        <v>40</v>
      </c>
      <c r="D792" t="s">
        <v>65</v>
      </c>
      <c r="F792" t="s">
        <v>486</v>
      </c>
      <c r="G792" t="s">
        <v>67</v>
      </c>
      <c r="H792" t="s">
        <v>3224</v>
      </c>
      <c r="I792" s="4"/>
      <c r="J792" t="s">
        <v>3225</v>
      </c>
      <c r="K792" t="s">
        <v>1157</v>
      </c>
      <c r="L792" s="5"/>
      <c r="M792" s="5"/>
      <c r="N792" t="s">
        <v>35</v>
      </c>
      <c r="O792" t="s">
        <v>3226</v>
      </c>
      <c r="S792" t="s">
        <v>37</v>
      </c>
      <c r="T792" s="5" t="s">
        <v>48</v>
      </c>
      <c r="U792" t="s">
        <v>3227</v>
      </c>
      <c r="V792" t="s">
        <v>3228</v>
      </c>
      <c r="W792">
        <v>202</v>
      </c>
      <c r="X792" t="s">
        <v>1045</v>
      </c>
      <c r="Y792" t="str">
        <f>VLOOKUP(C792,'[1]DBS_KPY Sorumlular'!A:C,2,FALSE)</f>
        <v>Mustafa AYDIN</v>
      </c>
      <c r="Z792" t="str">
        <f>VLOOKUP(C792,'[1]DBS_KPY Sorumlular'!A:C,3,FALSE)</f>
        <v>Esra DOLAN</v>
      </c>
      <c r="AA792" t="str">
        <f>VLOOKUP(K792,[1]!Tablo3[#Data],2,FALSE)</f>
        <v>Tayfun VİÇE</v>
      </c>
    </row>
    <row r="793" spans="1:27" x14ac:dyDescent="0.25">
      <c r="A793">
        <v>2095</v>
      </c>
      <c r="B793" t="s">
        <v>1419</v>
      </c>
      <c r="C793" t="s">
        <v>1674</v>
      </c>
      <c r="D793" t="s">
        <v>1717</v>
      </c>
      <c r="F793" t="s">
        <v>1771</v>
      </c>
      <c r="G793" t="s">
        <v>43</v>
      </c>
      <c r="H793" t="s">
        <v>3229</v>
      </c>
      <c r="I793" s="4"/>
      <c r="J793" t="s">
        <v>3230</v>
      </c>
      <c r="K793" t="s">
        <v>1157</v>
      </c>
      <c r="L793" s="5"/>
      <c r="M793" s="5"/>
      <c r="N793" t="s">
        <v>35</v>
      </c>
      <c r="O793" t="s">
        <v>3231</v>
      </c>
      <c r="S793" t="s">
        <v>37</v>
      </c>
      <c r="T793" s="5" t="s">
        <v>48</v>
      </c>
      <c r="U793" t="s">
        <v>3232</v>
      </c>
      <c r="V793" t="s">
        <v>3229</v>
      </c>
      <c r="W793">
        <v>62</v>
      </c>
      <c r="X793" t="s">
        <v>680</v>
      </c>
      <c r="Y793" t="str">
        <f>VLOOKUP(C793,'[1]DBS_KPY Sorumlular'!A:C,2,FALSE)</f>
        <v>Kadir TOPÇU</v>
      </c>
      <c r="Z793" t="str">
        <f>VLOOKUP(C793,'[1]DBS_KPY Sorumlular'!A:C,3,FALSE)</f>
        <v>Erkan AKDOĞAN</v>
      </c>
      <c r="AA793" t="str">
        <f>VLOOKUP(K793,[1]!Tablo3[#Data],2,FALSE)</f>
        <v>Tayfun VİÇE</v>
      </c>
    </row>
    <row r="794" spans="1:27" x14ac:dyDescent="0.25">
      <c r="A794">
        <v>2096</v>
      </c>
      <c r="B794" t="s">
        <v>1419</v>
      </c>
      <c r="C794" t="s">
        <v>1674</v>
      </c>
      <c r="D794" t="s">
        <v>1675</v>
      </c>
      <c r="F794" t="s">
        <v>95</v>
      </c>
      <c r="G794" t="s">
        <v>96</v>
      </c>
      <c r="H794" t="s">
        <v>3233</v>
      </c>
      <c r="I794" s="4"/>
      <c r="J794" t="s">
        <v>3234</v>
      </c>
      <c r="K794" t="s">
        <v>1157</v>
      </c>
      <c r="L794" s="5"/>
      <c r="M794" s="5"/>
      <c r="N794" t="s">
        <v>1824</v>
      </c>
      <c r="O794" t="s">
        <v>3235</v>
      </c>
      <c r="S794" t="s">
        <v>37</v>
      </c>
      <c r="T794" s="5" t="s">
        <v>100</v>
      </c>
      <c r="W794">
        <v>91</v>
      </c>
      <c r="X794" t="s">
        <v>101</v>
      </c>
      <c r="Y794" t="str">
        <f>VLOOKUP(C794,'[1]DBS_KPY Sorumlular'!A:C,2,FALSE)</f>
        <v>Kadir TOPÇU</v>
      </c>
      <c r="Z794" t="str">
        <f>VLOOKUP(C794,'[1]DBS_KPY Sorumlular'!A:C,3,FALSE)</f>
        <v>Erkan AKDOĞAN</v>
      </c>
      <c r="AA794" t="str">
        <f>VLOOKUP(K794,[1]!Tablo3[#Data],2,FALSE)</f>
        <v>Tayfun VİÇE</v>
      </c>
    </row>
    <row r="795" spans="1:27" x14ac:dyDescent="0.25">
      <c r="A795">
        <v>2097</v>
      </c>
      <c r="B795" t="s">
        <v>1419</v>
      </c>
      <c r="C795" t="s">
        <v>73</v>
      </c>
      <c r="D795" t="s">
        <v>73</v>
      </c>
      <c r="F795" t="s">
        <v>486</v>
      </c>
      <c r="G795" t="s">
        <v>30</v>
      </c>
      <c r="H795" t="s">
        <v>1181</v>
      </c>
      <c r="I795" s="4"/>
      <c r="J795" t="s">
        <v>3236</v>
      </c>
      <c r="K795" t="s">
        <v>1157</v>
      </c>
      <c r="L795" s="5" t="s">
        <v>3012</v>
      </c>
      <c r="M795" s="5"/>
      <c r="N795" t="s">
        <v>35</v>
      </c>
      <c r="O795" t="s">
        <v>1184</v>
      </c>
      <c r="S795" t="s">
        <v>37</v>
      </c>
      <c r="T795" s="5" t="s">
        <v>38</v>
      </c>
      <c r="Y795" t="str">
        <f>VLOOKUP(C795,'[1]DBS_KPY Sorumlular'!A:C,2,FALSE)</f>
        <v>Ayşegül AKGÜL</v>
      </c>
      <c r="Z795" t="str">
        <f>VLOOKUP(C795,'[1]DBS_KPY Sorumlular'!A:C,3,FALSE)</f>
        <v>Sinan ERDAŞ</v>
      </c>
      <c r="AA795" t="str">
        <f>VLOOKUP(K795,[1]!Tablo3[#Data],2,FALSE)</f>
        <v>Tayfun VİÇE</v>
      </c>
    </row>
    <row r="796" spans="1:27" x14ac:dyDescent="0.25">
      <c r="A796">
        <v>2098</v>
      </c>
      <c r="B796" t="s">
        <v>1419</v>
      </c>
      <c r="C796" t="s">
        <v>73</v>
      </c>
      <c r="D796" t="s">
        <v>73</v>
      </c>
      <c r="F796" t="s">
        <v>486</v>
      </c>
      <c r="G796" t="s">
        <v>456</v>
      </c>
      <c r="H796" t="s">
        <v>3237</v>
      </c>
      <c r="I796" s="4"/>
      <c r="J796" t="s">
        <v>3238</v>
      </c>
      <c r="K796" t="s">
        <v>1157</v>
      </c>
      <c r="L796" s="5" t="s">
        <v>1784</v>
      </c>
      <c r="M796" s="5"/>
      <c r="N796" t="s">
        <v>35</v>
      </c>
      <c r="O796" t="s">
        <v>1184</v>
      </c>
      <c r="S796" t="s">
        <v>37</v>
      </c>
      <c r="T796" s="5" t="s">
        <v>38</v>
      </c>
      <c r="Y796" t="str">
        <f>VLOOKUP(C796,'[1]DBS_KPY Sorumlular'!A:C,2,FALSE)</f>
        <v>Ayşegül AKGÜL</v>
      </c>
      <c r="Z796" t="str">
        <f>VLOOKUP(C796,'[1]DBS_KPY Sorumlular'!A:C,3,FALSE)</f>
        <v>Sinan ERDAŞ</v>
      </c>
      <c r="AA796" t="str">
        <f>VLOOKUP(K796,[1]!Tablo3[#Data],2,FALSE)</f>
        <v>Tayfun VİÇE</v>
      </c>
    </row>
    <row r="797" spans="1:27" x14ac:dyDescent="0.25">
      <c r="A797">
        <v>2099</v>
      </c>
      <c r="B797" t="s">
        <v>1419</v>
      </c>
      <c r="C797" t="s">
        <v>1674</v>
      </c>
      <c r="D797" t="s">
        <v>1717</v>
      </c>
      <c r="F797" t="s">
        <v>95</v>
      </c>
      <c r="G797" t="s">
        <v>43</v>
      </c>
      <c r="H797" t="s">
        <v>3239</v>
      </c>
      <c r="I797" s="4"/>
      <c r="J797" t="s">
        <v>3234</v>
      </c>
      <c r="K797" t="s">
        <v>1157</v>
      </c>
      <c r="L797" s="5"/>
      <c r="M797" s="5"/>
      <c r="N797" t="s">
        <v>35</v>
      </c>
      <c r="O797" t="s">
        <v>3240</v>
      </c>
      <c r="S797" t="s">
        <v>37</v>
      </c>
      <c r="T797" s="5" t="s">
        <v>48</v>
      </c>
      <c r="U797" t="s">
        <v>3241</v>
      </c>
      <c r="V797" t="s">
        <v>3242</v>
      </c>
      <c r="W797">
        <v>263</v>
      </c>
      <c r="X797" t="s">
        <v>628</v>
      </c>
      <c r="Y797" t="str">
        <f>VLOOKUP(C797,'[1]DBS_KPY Sorumlular'!A:C,2,FALSE)</f>
        <v>Kadir TOPÇU</v>
      </c>
      <c r="Z797" t="str">
        <f>VLOOKUP(C797,'[1]DBS_KPY Sorumlular'!A:C,3,FALSE)</f>
        <v>Erkan AKDOĞAN</v>
      </c>
      <c r="AA797" t="str">
        <f>VLOOKUP(K797,[1]!Tablo3[#Data],2,FALSE)</f>
        <v>Tayfun VİÇE</v>
      </c>
    </row>
    <row r="798" spans="1:27" x14ac:dyDescent="0.25">
      <c r="A798">
        <v>2100</v>
      </c>
      <c r="B798" t="s">
        <v>1419</v>
      </c>
      <c r="C798" t="s">
        <v>652</v>
      </c>
      <c r="D798" t="s">
        <v>653</v>
      </c>
      <c r="F798" t="s">
        <v>455</v>
      </c>
      <c r="G798" t="s">
        <v>456</v>
      </c>
      <c r="H798" t="s">
        <v>3243</v>
      </c>
      <c r="I798" s="4"/>
      <c r="K798" t="s">
        <v>1106</v>
      </c>
      <c r="L798" s="5"/>
      <c r="M798" s="5"/>
      <c r="N798" t="s">
        <v>35</v>
      </c>
      <c r="O798" t="s">
        <v>3244</v>
      </c>
      <c r="S798" t="s">
        <v>37</v>
      </c>
      <c r="T798" s="5" t="s">
        <v>48</v>
      </c>
      <c r="U798" t="s">
        <v>3245</v>
      </c>
      <c r="V798" t="s">
        <v>3243</v>
      </c>
      <c r="W798">
        <v>144</v>
      </c>
      <c r="X798" t="s">
        <v>463</v>
      </c>
      <c r="Y798" t="str">
        <f>VLOOKUP(C798,'[1]DBS_KPY Sorumlular'!A:C,2,FALSE)</f>
        <v>Seyithan İŞİK</v>
      </c>
      <c r="Z798" t="str">
        <f>VLOOKUP(C798,'[1]DBS_KPY Sorumlular'!A:C,3,FALSE)</f>
        <v>Korhan KÖROĞLU</v>
      </c>
      <c r="AA798" t="str">
        <f>VLOOKUP(K798,[1]!Tablo3[#Data],2,FALSE)</f>
        <v>Tayfun VİÇE</v>
      </c>
    </row>
    <row r="799" spans="1:27" x14ac:dyDescent="0.25">
      <c r="A799">
        <v>2101</v>
      </c>
      <c r="B799" t="s">
        <v>1419</v>
      </c>
      <c r="C799" t="s">
        <v>1674</v>
      </c>
      <c r="D799" t="s">
        <v>1675</v>
      </c>
      <c r="E799" t="s">
        <v>28</v>
      </c>
      <c r="F799" t="s">
        <v>532</v>
      </c>
      <c r="G799" t="s">
        <v>43</v>
      </c>
      <c r="H799" t="s">
        <v>3246</v>
      </c>
      <c r="I799" s="4"/>
      <c r="J799" t="s">
        <v>3247</v>
      </c>
      <c r="K799" t="s">
        <v>1106</v>
      </c>
      <c r="L799" s="5"/>
      <c r="M799" s="5"/>
      <c r="N799" t="s">
        <v>35</v>
      </c>
      <c r="O799" t="s">
        <v>3248</v>
      </c>
      <c r="S799" t="s">
        <v>37</v>
      </c>
      <c r="T799" s="5" t="s">
        <v>48</v>
      </c>
      <c r="U799" t="s">
        <v>3249</v>
      </c>
      <c r="V799" t="s">
        <v>3246</v>
      </c>
      <c r="W799">
        <v>206</v>
      </c>
      <c r="X799" t="s">
        <v>311</v>
      </c>
      <c r="Y799" t="str">
        <f>VLOOKUP(C799,'[1]DBS_KPY Sorumlular'!A:C,2,FALSE)</f>
        <v>Kadir TOPÇU</v>
      </c>
      <c r="Z799" t="str">
        <f>VLOOKUP(C799,'[1]DBS_KPY Sorumlular'!A:C,3,FALSE)</f>
        <v>Erkan AKDOĞAN</v>
      </c>
      <c r="AA799" t="str">
        <f>VLOOKUP(K799,[1]!Tablo3[#Data],2,FALSE)</f>
        <v>Tayfun VİÇE</v>
      </c>
    </row>
    <row r="800" spans="1:27" x14ac:dyDescent="0.25">
      <c r="A800">
        <v>2102</v>
      </c>
      <c r="B800" t="s">
        <v>1419</v>
      </c>
      <c r="C800" t="s">
        <v>1674</v>
      </c>
      <c r="D800" t="s">
        <v>1675</v>
      </c>
      <c r="F800" t="s">
        <v>66</v>
      </c>
      <c r="G800" t="s">
        <v>96</v>
      </c>
      <c r="H800" t="s">
        <v>3250</v>
      </c>
      <c r="I800" s="4"/>
      <c r="J800" t="s">
        <v>3251</v>
      </c>
      <c r="K800" t="s">
        <v>1106</v>
      </c>
      <c r="L800" s="5"/>
      <c r="M800" s="5"/>
      <c r="N800" t="s">
        <v>35</v>
      </c>
      <c r="O800" t="s">
        <v>3252</v>
      </c>
      <c r="S800" t="s">
        <v>37</v>
      </c>
      <c r="T800" s="5" t="s">
        <v>48</v>
      </c>
      <c r="U800" t="s">
        <v>3253</v>
      </c>
      <c r="V800" t="s">
        <v>3250</v>
      </c>
      <c r="W800">
        <v>90</v>
      </c>
      <c r="X800" t="s">
        <v>1851</v>
      </c>
      <c r="Y800" t="str">
        <f>VLOOKUP(C800,'[1]DBS_KPY Sorumlular'!A:C,2,FALSE)</f>
        <v>Kadir TOPÇU</v>
      </c>
      <c r="Z800" t="str">
        <f>VLOOKUP(C800,'[1]DBS_KPY Sorumlular'!A:C,3,FALSE)</f>
        <v>Erkan AKDOĞAN</v>
      </c>
      <c r="AA800" t="str">
        <f>VLOOKUP(K800,[1]!Tablo3[#Data],2,FALSE)</f>
        <v>Tayfun VİÇE</v>
      </c>
    </row>
    <row r="801" spans="1:27" x14ac:dyDescent="0.25">
      <c r="A801">
        <v>2103</v>
      </c>
      <c r="B801" t="s">
        <v>1419</v>
      </c>
      <c r="C801" t="s">
        <v>1674</v>
      </c>
      <c r="D801" t="s">
        <v>1675</v>
      </c>
      <c r="F801" t="s">
        <v>52</v>
      </c>
      <c r="G801" t="s">
        <v>67</v>
      </c>
      <c r="H801" t="s">
        <v>3254</v>
      </c>
      <c r="I801" s="4"/>
      <c r="J801" t="s">
        <v>3255</v>
      </c>
      <c r="K801" t="s">
        <v>1106</v>
      </c>
      <c r="L801" s="5"/>
      <c r="M801" s="5"/>
      <c r="N801" t="s">
        <v>35</v>
      </c>
      <c r="O801" t="s">
        <v>3256</v>
      </c>
      <c r="S801" t="s">
        <v>37</v>
      </c>
      <c r="T801" s="5" t="s">
        <v>48</v>
      </c>
      <c r="U801" t="s">
        <v>3257</v>
      </c>
      <c r="V801" t="s">
        <v>3254</v>
      </c>
      <c r="W801">
        <v>103</v>
      </c>
      <c r="X801" t="s">
        <v>353</v>
      </c>
      <c r="Y801" t="str">
        <f>VLOOKUP(C801,'[1]DBS_KPY Sorumlular'!A:C,2,FALSE)</f>
        <v>Kadir TOPÇU</v>
      </c>
      <c r="Z801" t="str">
        <f>VLOOKUP(C801,'[1]DBS_KPY Sorumlular'!A:C,3,FALSE)</f>
        <v>Erkan AKDOĞAN</v>
      </c>
      <c r="AA801" t="str">
        <f>VLOOKUP(K801,[1]!Tablo3[#Data],2,FALSE)</f>
        <v>Tayfun VİÇE</v>
      </c>
    </row>
    <row r="802" spans="1:27" x14ac:dyDescent="0.25">
      <c r="A802">
        <v>2104</v>
      </c>
      <c r="B802" t="s">
        <v>1419</v>
      </c>
      <c r="C802" t="s">
        <v>1674</v>
      </c>
      <c r="D802" t="s">
        <v>1675</v>
      </c>
      <c r="F802" t="s">
        <v>482</v>
      </c>
      <c r="G802" t="s">
        <v>456</v>
      </c>
      <c r="H802" t="s">
        <v>3258</v>
      </c>
      <c r="I802" s="4"/>
      <c r="J802" t="s">
        <v>3259</v>
      </c>
      <c r="K802" t="s">
        <v>1106</v>
      </c>
      <c r="L802" s="5"/>
      <c r="M802" s="5"/>
      <c r="N802" t="s">
        <v>35</v>
      </c>
      <c r="O802" t="s">
        <v>3260</v>
      </c>
      <c r="S802" t="s">
        <v>37</v>
      </c>
      <c r="T802" s="5" t="s">
        <v>48</v>
      </c>
      <c r="U802" t="s">
        <v>3261</v>
      </c>
      <c r="V802" t="s">
        <v>3258</v>
      </c>
      <c r="W802">
        <v>179</v>
      </c>
      <c r="X802" t="s">
        <v>2128</v>
      </c>
      <c r="Y802" t="str">
        <f>VLOOKUP(C802,'[1]DBS_KPY Sorumlular'!A:C,2,FALSE)</f>
        <v>Kadir TOPÇU</v>
      </c>
      <c r="Z802" t="str">
        <f>VLOOKUP(C802,'[1]DBS_KPY Sorumlular'!A:C,3,FALSE)</f>
        <v>Erkan AKDOĞAN</v>
      </c>
      <c r="AA802" t="str">
        <f>VLOOKUP(K802,[1]!Tablo3[#Data],2,FALSE)</f>
        <v>Tayfun VİÇE</v>
      </c>
    </row>
    <row r="803" spans="1:27" x14ac:dyDescent="0.25">
      <c r="A803">
        <v>2105</v>
      </c>
      <c r="B803" t="s">
        <v>1419</v>
      </c>
      <c r="C803" t="s">
        <v>1674</v>
      </c>
      <c r="D803" t="s">
        <v>1675</v>
      </c>
      <c r="F803" t="s">
        <v>52</v>
      </c>
      <c r="G803" t="s">
        <v>67</v>
      </c>
      <c r="H803" t="s">
        <v>3262</v>
      </c>
      <c r="I803" s="4"/>
      <c r="J803" t="s">
        <v>3263</v>
      </c>
      <c r="K803" t="s">
        <v>1106</v>
      </c>
      <c r="L803" s="5"/>
      <c r="M803" s="5"/>
      <c r="N803" t="s">
        <v>35</v>
      </c>
      <c r="O803" t="s">
        <v>3264</v>
      </c>
      <c r="S803" t="s">
        <v>37</v>
      </c>
      <c r="T803" s="5" t="s">
        <v>48</v>
      </c>
      <c r="U803" t="s">
        <v>3265</v>
      </c>
      <c r="V803" t="s">
        <v>3262</v>
      </c>
      <c r="W803">
        <v>103</v>
      </c>
      <c r="X803" t="s">
        <v>353</v>
      </c>
      <c r="Y803" t="str">
        <f>VLOOKUP(C803,'[1]DBS_KPY Sorumlular'!A:C,2,FALSE)</f>
        <v>Kadir TOPÇU</v>
      </c>
      <c r="Z803" t="str">
        <f>VLOOKUP(C803,'[1]DBS_KPY Sorumlular'!A:C,3,FALSE)</f>
        <v>Erkan AKDOĞAN</v>
      </c>
      <c r="AA803" t="str">
        <f>VLOOKUP(K803,[1]!Tablo3[#Data],2,FALSE)</f>
        <v>Tayfun VİÇE</v>
      </c>
    </row>
    <row r="804" spans="1:27" x14ac:dyDescent="0.25">
      <c r="A804">
        <v>2106</v>
      </c>
      <c r="B804" t="s">
        <v>1419</v>
      </c>
      <c r="C804" t="s">
        <v>1674</v>
      </c>
      <c r="D804" t="s">
        <v>1717</v>
      </c>
      <c r="F804" t="s">
        <v>391</v>
      </c>
      <c r="G804" t="s">
        <v>43</v>
      </c>
      <c r="H804" t="s">
        <v>3266</v>
      </c>
      <c r="I804" s="4"/>
      <c r="J804" t="s">
        <v>3267</v>
      </c>
      <c r="K804" t="s">
        <v>1106</v>
      </c>
      <c r="L804" s="5"/>
      <c r="M804" s="5"/>
      <c r="N804" t="s">
        <v>35</v>
      </c>
      <c r="O804" t="s">
        <v>3268</v>
      </c>
      <c r="S804" t="s">
        <v>37</v>
      </c>
      <c r="T804" s="5" t="s">
        <v>48</v>
      </c>
      <c r="U804" t="s">
        <v>3269</v>
      </c>
      <c r="V804" t="s">
        <v>3270</v>
      </c>
      <c r="W804">
        <v>263</v>
      </c>
      <c r="X804" t="s">
        <v>628</v>
      </c>
      <c r="Y804" t="str">
        <f>VLOOKUP(C804,'[1]DBS_KPY Sorumlular'!A:C,2,FALSE)</f>
        <v>Kadir TOPÇU</v>
      </c>
      <c r="Z804" t="str">
        <f>VLOOKUP(C804,'[1]DBS_KPY Sorumlular'!A:C,3,FALSE)</f>
        <v>Erkan AKDOĞAN</v>
      </c>
      <c r="AA804" t="str">
        <f>VLOOKUP(K804,[1]!Tablo3[#Data],2,FALSE)</f>
        <v>Tayfun VİÇE</v>
      </c>
    </row>
    <row r="805" spans="1:27" x14ac:dyDescent="0.25">
      <c r="A805">
        <v>2107</v>
      </c>
      <c r="B805" t="s">
        <v>1419</v>
      </c>
      <c r="C805" t="s">
        <v>40</v>
      </c>
      <c r="D805" t="s">
        <v>65</v>
      </c>
      <c r="F805" t="s">
        <v>52</v>
      </c>
      <c r="G805" t="s">
        <v>67</v>
      </c>
      <c r="H805" t="s">
        <v>3271</v>
      </c>
      <c r="I805" s="4"/>
      <c r="J805" t="s">
        <v>3272</v>
      </c>
      <c r="K805" t="s">
        <v>1106</v>
      </c>
      <c r="L805" s="5"/>
      <c r="M805" s="5"/>
      <c r="N805" t="s">
        <v>35</v>
      </c>
      <c r="O805" t="s">
        <v>3273</v>
      </c>
      <c r="S805" t="s">
        <v>37</v>
      </c>
      <c r="T805" s="5" t="s">
        <v>48</v>
      </c>
      <c r="U805" t="s">
        <v>3274</v>
      </c>
      <c r="V805" t="s">
        <v>3275</v>
      </c>
      <c r="W805">
        <v>103</v>
      </c>
      <c r="X805" t="s">
        <v>353</v>
      </c>
      <c r="Y805" t="str">
        <f>VLOOKUP(C805,'[1]DBS_KPY Sorumlular'!A:C,2,FALSE)</f>
        <v>Mustafa AYDIN</v>
      </c>
      <c r="Z805" t="str">
        <f>VLOOKUP(C805,'[1]DBS_KPY Sorumlular'!A:C,3,FALSE)</f>
        <v>Esra DOLAN</v>
      </c>
      <c r="AA805" t="str">
        <f>VLOOKUP(K805,[1]!Tablo3[#Data],2,FALSE)</f>
        <v>Tayfun VİÇE</v>
      </c>
    </row>
    <row r="806" spans="1:27" x14ac:dyDescent="0.25">
      <c r="A806">
        <v>2108</v>
      </c>
      <c r="B806" t="s">
        <v>27</v>
      </c>
      <c r="C806" t="s">
        <v>40</v>
      </c>
      <c r="D806" t="s">
        <v>65</v>
      </c>
      <c r="F806" t="s">
        <v>52</v>
      </c>
      <c r="G806" t="s">
        <v>67</v>
      </c>
      <c r="H806" t="s">
        <v>3276</v>
      </c>
      <c r="I806" s="4">
        <v>46084.875</v>
      </c>
      <c r="J806" t="s">
        <v>3277</v>
      </c>
      <c r="K806" t="s">
        <v>1106</v>
      </c>
      <c r="L806" s="5"/>
      <c r="M806" s="5"/>
      <c r="N806" t="s">
        <v>46</v>
      </c>
      <c r="O806" t="s">
        <v>3278</v>
      </c>
      <c r="R806">
        <v>0.15</v>
      </c>
      <c r="S806" t="s">
        <v>37</v>
      </c>
      <c r="T806" s="5" t="s">
        <v>48</v>
      </c>
      <c r="U806" t="s">
        <v>3279</v>
      </c>
      <c r="V806" t="s">
        <v>3280</v>
      </c>
      <c r="W806">
        <v>103</v>
      </c>
      <c r="X806" t="s">
        <v>353</v>
      </c>
      <c r="Y806" t="str">
        <f>VLOOKUP(C806,'[1]DBS_KPY Sorumlular'!A:C,2,FALSE)</f>
        <v>Mustafa AYDIN</v>
      </c>
      <c r="Z806" t="str">
        <f>VLOOKUP(C806,'[1]DBS_KPY Sorumlular'!A:C,3,FALSE)</f>
        <v>Esra DOLAN</v>
      </c>
      <c r="AA806" t="str">
        <f>VLOOKUP(K806,[1]!Tablo3[#Data],2,FALSE)</f>
        <v>Tayfun VİÇE</v>
      </c>
    </row>
    <row r="807" spans="1:27" x14ac:dyDescent="0.25">
      <c r="A807">
        <v>2109</v>
      </c>
      <c r="B807" t="s">
        <v>1419</v>
      </c>
      <c r="C807" t="s">
        <v>40</v>
      </c>
      <c r="D807" t="s">
        <v>65</v>
      </c>
      <c r="F807" t="s">
        <v>52</v>
      </c>
      <c r="G807" t="s">
        <v>67</v>
      </c>
      <c r="H807" t="s">
        <v>3281</v>
      </c>
      <c r="I807" s="4"/>
      <c r="J807" t="s">
        <v>3282</v>
      </c>
      <c r="K807" t="s">
        <v>1106</v>
      </c>
      <c r="L807" s="5"/>
      <c r="M807" s="5"/>
      <c r="N807" t="s">
        <v>35</v>
      </c>
      <c r="O807" t="s">
        <v>3283</v>
      </c>
      <c r="S807" t="s">
        <v>37</v>
      </c>
      <c r="T807" s="5" t="s">
        <v>48</v>
      </c>
      <c r="U807" t="s">
        <v>3284</v>
      </c>
      <c r="V807" t="s">
        <v>3281</v>
      </c>
      <c r="W807">
        <v>103</v>
      </c>
      <c r="X807" t="s">
        <v>353</v>
      </c>
      <c r="Y807" t="str">
        <f>VLOOKUP(C807,'[1]DBS_KPY Sorumlular'!A:C,2,FALSE)</f>
        <v>Mustafa AYDIN</v>
      </c>
      <c r="Z807" t="str">
        <f>VLOOKUP(C807,'[1]DBS_KPY Sorumlular'!A:C,3,FALSE)</f>
        <v>Esra DOLAN</v>
      </c>
      <c r="AA807" t="str">
        <f>VLOOKUP(K807,[1]!Tablo3[#Data],2,FALSE)</f>
        <v>Tayfun VİÇE</v>
      </c>
    </row>
    <row r="808" spans="1:27" x14ac:dyDescent="0.25">
      <c r="A808">
        <v>2110</v>
      </c>
      <c r="B808" t="s">
        <v>1419</v>
      </c>
      <c r="C808" t="s">
        <v>1723</v>
      </c>
      <c r="D808" t="s">
        <v>3285</v>
      </c>
      <c r="F808" t="s">
        <v>532</v>
      </c>
      <c r="G808" t="s">
        <v>43</v>
      </c>
      <c r="H808" t="s">
        <v>3286</v>
      </c>
      <c r="I808" s="4"/>
      <c r="J808" t="s">
        <v>3287</v>
      </c>
      <c r="K808" t="s">
        <v>1106</v>
      </c>
      <c r="L808" s="5" t="s">
        <v>3288</v>
      </c>
      <c r="M808" s="5" t="s">
        <v>35</v>
      </c>
      <c r="N808" t="s">
        <v>35</v>
      </c>
      <c r="O808" t="s">
        <v>3289</v>
      </c>
      <c r="S808" t="s">
        <v>37</v>
      </c>
      <c r="T808" s="5" t="s">
        <v>38</v>
      </c>
      <c r="Y808" t="str">
        <f>VLOOKUP(C808,'[1]DBS_KPY Sorumlular'!A:C,2,FALSE)</f>
        <v>Erkan AKDOĞAN</v>
      </c>
      <c r="Z808" t="str">
        <f>VLOOKUP(C808,'[1]DBS_KPY Sorumlular'!A:C,3,FALSE)</f>
        <v>Kadir TOPÇU</v>
      </c>
      <c r="AA808" t="str">
        <f>VLOOKUP(K808,[1]!Tablo3[#Data],2,FALSE)</f>
        <v>Tayfun VİÇE</v>
      </c>
    </row>
    <row r="809" spans="1:27" x14ac:dyDescent="0.25">
      <c r="A809">
        <v>2111</v>
      </c>
      <c r="B809" t="s">
        <v>1419</v>
      </c>
      <c r="C809" t="s">
        <v>1674</v>
      </c>
      <c r="D809" t="s">
        <v>1717</v>
      </c>
      <c r="F809" t="s">
        <v>113</v>
      </c>
      <c r="G809" t="s">
        <v>43</v>
      </c>
      <c r="H809" t="s">
        <v>3290</v>
      </c>
      <c r="I809" s="4"/>
      <c r="J809" t="s">
        <v>3291</v>
      </c>
      <c r="K809" t="s">
        <v>1106</v>
      </c>
      <c r="L809" s="5"/>
      <c r="M809" s="5"/>
      <c r="N809" t="s">
        <v>35</v>
      </c>
      <c r="O809" t="s">
        <v>3292</v>
      </c>
      <c r="S809" t="s">
        <v>37</v>
      </c>
      <c r="T809" s="5" t="s">
        <v>48</v>
      </c>
      <c r="U809" t="s">
        <v>3293</v>
      </c>
      <c r="V809" t="s">
        <v>3294</v>
      </c>
      <c r="W809">
        <v>169</v>
      </c>
      <c r="X809" t="s">
        <v>1480</v>
      </c>
      <c r="Y809" t="str">
        <f>VLOOKUP(C809,'[1]DBS_KPY Sorumlular'!A:C,2,FALSE)</f>
        <v>Kadir TOPÇU</v>
      </c>
      <c r="Z809" t="str">
        <f>VLOOKUP(C809,'[1]DBS_KPY Sorumlular'!A:C,3,FALSE)</f>
        <v>Erkan AKDOĞAN</v>
      </c>
      <c r="AA809" t="str">
        <f>VLOOKUP(K809,[1]!Tablo3[#Data],2,FALSE)</f>
        <v>Tayfun VİÇE</v>
      </c>
    </row>
    <row r="810" spans="1:27" x14ac:dyDescent="0.25">
      <c r="A810">
        <v>2112</v>
      </c>
      <c r="B810" t="s">
        <v>1419</v>
      </c>
      <c r="C810" t="s">
        <v>1674</v>
      </c>
      <c r="D810" t="s">
        <v>1675</v>
      </c>
      <c r="F810" t="s">
        <v>391</v>
      </c>
      <c r="G810" t="s">
        <v>43</v>
      </c>
      <c r="H810" t="s">
        <v>3295</v>
      </c>
      <c r="I810" s="4"/>
      <c r="K810" t="s">
        <v>1106</v>
      </c>
      <c r="L810" s="5" t="s">
        <v>3296</v>
      </c>
      <c r="M810" s="5" t="s">
        <v>3297</v>
      </c>
      <c r="N810" t="s">
        <v>1824</v>
      </c>
      <c r="O810" t="s">
        <v>3298</v>
      </c>
      <c r="S810" t="s">
        <v>37</v>
      </c>
      <c r="T810" s="5" t="s">
        <v>100</v>
      </c>
      <c r="W810">
        <v>91</v>
      </c>
      <c r="X810" t="s">
        <v>101</v>
      </c>
      <c r="Y810" t="str">
        <f>VLOOKUP(C810,'[1]DBS_KPY Sorumlular'!A:C,2,FALSE)</f>
        <v>Kadir TOPÇU</v>
      </c>
      <c r="Z810" t="str">
        <f>VLOOKUP(C810,'[1]DBS_KPY Sorumlular'!A:C,3,FALSE)</f>
        <v>Erkan AKDOĞAN</v>
      </c>
      <c r="AA810" t="str">
        <f>VLOOKUP(K810,[1]!Tablo3[#Data],2,FALSE)</f>
        <v>Tayfun VİÇE</v>
      </c>
    </row>
    <row r="811" spans="1:27" x14ac:dyDescent="0.25">
      <c r="A811">
        <v>2113</v>
      </c>
      <c r="B811" t="s">
        <v>1419</v>
      </c>
      <c r="C811" t="s">
        <v>1674</v>
      </c>
      <c r="D811" t="s">
        <v>1717</v>
      </c>
      <c r="F811" t="s">
        <v>532</v>
      </c>
      <c r="G811" t="s">
        <v>43</v>
      </c>
      <c r="H811" t="s">
        <v>3299</v>
      </c>
      <c r="I811" s="4"/>
      <c r="K811" t="s">
        <v>1106</v>
      </c>
      <c r="L811" s="5"/>
      <c r="M811" s="5" t="s">
        <v>3300</v>
      </c>
      <c r="N811" t="s">
        <v>1824</v>
      </c>
      <c r="O811" t="s">
        <v>3301</v>
      </c>
      <c r="S811" t="s">
        <v>37</v>
      </c>
      <c r="T811" s="5" t="s">
        <v>100</v>
      </c>
      <c r="W811">
        <v>139</v>
      </c>
      <c r="X811" t="s">
        <v>536</v>
      </c>
      <c r="Y811" t="str">
        <f>VLOOKUP(C811,'[1]DBS_KPY Sorumlular'!A:C,2,FALSE)</f>
        <v>Kadir TOPÇU</v>
      </c>
      <c r="Z811" t="str">
        <f>VLOOKUP(C811,'[1]DBS_KPY Sorumlular'!A:C,3,FALSE)</f>
        <v>Erkan AKDOĞAN</v>
      </c>
      <c r="AA811" t="str">
        <f>VLOOKUP(K811,[1]!Tablo3[#Data],2,FALSE)</f>
        <v>Tayfun VİÇE</v>
      </c>
    </row>
    <row r="812" spans="1:27" x14ac:dyDescent="0.25">
      <c r="A812">
        <v>2114</v>
      </c>
      <c r="B812" t="s">
        <v>1419</v>
      </c>
      <c r="C812" t="s">
        <v>652</v>
      </c>
      <c r="D812" t="s">
        <v>653</v>
      </c>
      <c r="F812" t="s">
        <v>113</v>
      </c>
      <c r="G812" t="s">
        <v>43</v>
      </c>
      <c r="H812" t="s">
        <v>3302</v>
      </c>
      <c r="I812" s="4"/>
      <c r="J812" t="s">
        <v>3303</v>
      </c>
      <c r="K812" t="s">
        <v>1106</v>
      </c>
      <c r="L812" s="5" t="s">
        <v>3304</v>
      </c>
      <c r="M812" s="5"/>
      <c r="N812" t="s">
        <v>35</v>
      </c>
      <c r="O812" t="s">
        <v>1214</v>
      </c>
      <c r="S812" t="s">
        <v>37</v>
      </c>
      <c r="T812" s="5" t="s">
        <v>100</v>
      </c>
      <c r="W812">
        <v>144</v>
      </c>
      <c r="X812" t="s">
        <v>463</v>
      </c>
      <c r="Y812" t="str">
        <f>VLOOKUP(C812,'[1]DBS_KPY Sorumlular'!A:C,2,FALSE)</f>
        <v>Seyithan İŞİK</v>
      </c>
      <c r="Z812" t="str">
        <f>VLOOKUP(C812,'[1]DBS_KPY Sorumlular'!A:C,3,FALSE)</f>
        <v>Korhan KÖROĞLU</v>
      </c>
      <c r="AA812" t="str">
        <f>VLOOKUP(K812,[1]!Tablo3[#Data],2,FALSE)</f>
        <v>Tayfun VİÇE</v>
      </c>
    </row>
    <row r="813" spans="1:27" x14ac:dyDescent="0.25">
      <c r="A813">
        <v>2115</v>
      </c>
      <c r="B813" t="s">
        <v>1419</v>
      </c>
      <c r="C813" t="s">
        <v>893</v>
      </c>
      <c r="D813" t="s">
        <v>902</v>
      </c>
      <c r="F813" t="s">
        <v>2425</v>
      </c>
      <c r="G813" t="s">
        <v>30</v>
      </c>
      <c r="H813" t="s">
        <v>3305</v>
      </c>
      <c r="I813" s="4"/>
      <c r="J813" t="s">
        <v>3306</v>
      </c>
      <c r="K813" t="s">
        <v>1106</v>
      </c>
      <c r="L813" s="5" t="s">
        <v>3307</v>
      </c>
      <c r="M813" s="5" t="s">
        <v>2816</v>
      </c>
      <c r="N813" t="s">
        <v>35</v>
      </c>
      <c r="O813" t="s">
        <v>1214</v>
      </c>
      <c r="S813" t="s">
        <v>37</v>
      </c>
      <c r="T813" s="5" t="s">
        <v>38</v>
      </c>
      <c r="W813">
        <v>184</v>
      </c>
      <c r="X813" t="s">
        <v>901</v>
      </c>
      <c r="Y813" t="str">
        <f>VLOOKUP(C813,'[1]DBS_KPY Sorumlular'!A:C,2,FALSE)</f>
        <v>Seyithan İŞİK</v>
      </c>
      <c r="Z813" t="str">
        <f>VLOOKUP(C813,'[1]DBS_KPY Sorumlular'!A:C,3,FALSE)</f>
        <v>Korhan KÖROĞLU</v>
      </c>
      <c r="AA813" t="str">
        <f>VLOOKUP(K813,[1]!Tablo3[#Data],2,FALSE)</f>
        <v>Tayfun VİÇE</v>
      </c>
    </row>
    <row r="814" spans="1:27" x14ac:dyDescent="0.25">
      <c r="A814">
        <v>2116</v>
      </c>
      <c r="B814" t="s">
        <v>1419</v>
      </c>
      <c r="C814" t="s">
        <v>73</v>
      </c>
      <c r="D814" t="s">
        <v>73</v>
      </c>
      <c r="F814" t="s">
        <v>486</v>
      </c>
      <c r="G814" t="s">
        <v>30</v>
      </c>
      <c r="H814" t="s">
        <v>1215</v>
      </c>
      <c r="I814" s="4">
        <v>47419.875</v>
      </c>
      <c r="J814" t="s">
        <v>3308</v>
      </c>
      <c r="K814" t="s">
        <v>1106</v>
      </c>
      <c r="L814" s="5" t="s">
        <v>3309</v>
      </c>
      <c r="M814" s="5"/>
      <c r="N814" t="s">
        <v>35</v>
      </c>
      <c r="O814" t="s">
        <v>1214</v>
      </c>
      <c r="S814" t="s">
        <v>37</v>
      </c>
      <c r="T814" s="5" t="s">
        <v>38</v>
      </c>
      <c r="Y814" t="str">
        <f>VLOOKUP(C814,'[1]DBS_KPY Sorumlular'!A:C,2,FALSE)</f>
        <v>Ayşegül AKGÜL</v>
      </c>
      <c r="Z814" t="str">
        <f>VLOOKUP(C814,'[1]DBS_KPY Sorumlular'!A:C,3,FALSE)</f>
        <v>Sinan ERDAŞ</v>
      </c>
      <c r="AA814" t="str">
        <f>VLOOKUP(K814,[1]!Tablo3[#Data],2,FALSE)</f>
        <v>Tayfun VİÇE</v>
      </c>
    </row>
    <row r="815" spans="1:27" x14ac:dyDescent="0.25">
      <c r="A815">
        <v>2117</v>
      </c>
      <c r="B815" t="s">
        <v>1419</v>
      </c>
      <c r="C815" t="s">
        <v>73</v>
      </c>
      <c r="D815" t="s">
        <v>73</v>
      </c>
      <c r="F815" t="s">
        <v>486</v>
      </c>
      <c r="G815" t="s">
        <v>30</v>
      </c>
      <c r="H815" t="s">
        <v>3310</v>
      </c>
      <c r="I815" s="4">
        <v>47268.875</v>
      </c>
      <c r="J815" t="s">
        <v>3311</v>
      </c>
      <c r="K815" t="s">
        <v>1106</v>
      </c>
      <c r="L815" s="5"/>
      <c r="M815" s="5"/>
      <c r="N815" t="s">
        <v>35</v>
      </c>
      <c r="O815" t="s">
        <v>3312</v>
      </c>
      <c r="S815" t="s">
        <v>37</v>
      </c>
      <c r="T815" s="5" t="s">
        <v>38</v>
      </c>
      <c r="Y815" t="str">
        <f>VLOOKUP(C815,'[1]DBS_KPY Sorumlular'!A:C,2,FALSE)</f>
        <v>Ayşegül AKGÜL</v>
      </c>
      <c r="Z815" t="str">
        <f>VLOOKUP(C815,'[1]DBS_KPY Sorumlular'!A:C,3,FALSE)</f>
        <v>Sinan ERDAŞ</v>
      </c>
      <c r="AA815" t="str">
        <f>VLOOKUP(K815,[1]!Tablo3[#Data],2,FALSE)</f>
        <v>Tayfun VİÇE</v>
      </c>
    </row>
    <row r="816" spans="1:27" x14ac:dyDescent="0.25">
      <c r="A816">
        <v>2118</v>
      </c>
      <c r="B816" t="s">
        <v>1419</v>
      </c>
      <c r="C816" t="s">
        <v>73</v>
      </c>
      <c r="D816" t="s">
        <v>73</v>
      </c>
      <c r="F816" t="s">
        <v>486</v>
      </c>
      <c r="G816" t="s">
        <v>456</v>
      </c>
      <c r="H816" t="s">
        <v>3237</v>
      </c>
      <c r="I816" s="4"/>
      <c r="J816" t="s">
        <v>3313</v>
      </c>
      <c r="K816" t="s">
        <v>1106</v>
      </c>
      <c r="L816" s="5"/>
      <c r="M816" s="5"/>
      <c r="N816" t="s">
        <v>35</v>
      </c>
      <c r="O816" t="s">
        <v>3314</v>
      </c>
      <c r="S816" t="s">
        <v>37</v>
      </c>
      <c r="T816" s="5" t="s">
        <v>38</v>
      </c>
      <c r="Y816" t="str">
        <f>VLOOKUP(C816,'[1]DBS_KPY Sorumlular'!A:C,2,FALSE)</f>
        <v>Ayşegül AKGÜL</v>
      </c>
      <c r="Z816" t="str">
        <f>VLOOKUP(C816,'[1]DBS_KPY Sorumlular'!A:C,3,FALSE)</f>
        <v>Sinan ERDAŞ</v>
      </c>
      <c r="AA816" t="str">
        <f>VLOOKUP(K816,[1]!Tablo3[#Data],2,FALSE)</f>
        <v>Tayfun VİÇE</v>
      </c>
    </row>
    <row r="817" spans="1:27" x14ac:dyDescent="0.25">
      <c r="A817">
        <v>2119</v>
      </c>
      <c r="B817" t="s">
        <v>1419</v>
      </c>
      <c r="C817" t="s">
        <v>1674</v>
      </c>
      <c r="D817" t="s">
        <v>1675</v>
      </c>
      <c r="F817" t="s">
        <v>95</v>
      </c>
      <c r="G817" t="s">
        <v>96</v>
      </c>
      <c r="H817" t="s">
        <v>3315</v>
      </c>
      <c r="I817" s="4"/>
      <c r="J817" t="s">
        <v>3316</v>
      </c>
      <c r="K817" t="s">
        <v>1106</v>
      </c>
      <c r="L817" s="5"/>
      <c r="M817" s="5"/>
      <c r="N817" t="s">
        <v>1824</v>
      </c>
      <c r="O817" t="s">
        <v>3317</v>
      </c>
      <c r="S817" t="s">
        <v>37</v>
      </c>
      <c r="T817" s="5" t="s">
        <v>100</v>
      </c>
      <c r="W817">
        <v>91</v>
      </c>
      <c r="X817" t="s">
        <v>101</v>
      </c>
      <c r="Y817" t="str">
        <f>VLOOKUP(C817,'[1]DBS_KPY Sorumlular'!A:C,2,FALSE)</f>
        <v>Kadir TOPÇU</v>
      </c>
      <c r="Z817" t="str">
        <f>VLOOKUP(C817,'[1]DBS_KPY Sorumlular'!A:C,3,FALSE)</f>
        <v>Erkan AKDOĞAN</v>
      </c>
      <c r="AA817" t="str">
        <f>VLOOKUP(K817,[1]!Tablo3[#Data],2,FALSE)</f>
        <v>Tayfun VİÇE</v>
      </c>
    </row>
    <row r="818" spans="1:27" x14ac:dyDescent="0.25">
      <c r="A818">
        <v>2120</v>
      </c>
      <c r="B818" t="s">
        <v>1419</v>
      </c>
      <c r="C818" t="s">
        <v>1723</v>
      </c>
      <c r="D818" t="s">
        <v>1751</v>
      </c>
      <c r="F818" t="s">
        <v>486</v>
      </c>
      <c r="G818" t="s">
        <v>67</v>
      </c>
      <c r="H818" t="s">
        <v>3318</v>
      </c>
      <c r="I818" s="4"/>
      <c r="J818" t="s">
        <v>3319</v>
      </c>
      <c r="K818" t="s">
        <v>1221</v>
      </c>
      <c r="L818" s="5" t="s">
        <v>3320</v>
      </c>
      <c r="M818" s="5" t="s">
        <v>35</v>
      </c>
      <c r="N818" t="s">
        <v>35</v>
      </c>
      <c r="O818" t="s">
        <v>3321</v>
      </c>
      <c r="S818" t="s">
        <v>37</v>
      </c>
      <c r="T818" s="5" t="s">
        <v>38</v>
      </c>
      <c r="Y818" t="str">
        <f>VLOOKUP(C818,'[1]DBS_KPY Sorumlular'!A:C,2,FALSE)</f>
        <v>Erkan AKDOĞAN</v>
      </c>
      <c r="Z818" t="str">
        <f>VLOOKUP(C818,'[1]DBS_KPY Sorumlular'!A:C,3,FALSE)</f>
        <v>Kadir TOPÇU</v>
      </c>
      <c r="AA818" t="str">
        <f>VLOOKUP(K818,[1]!Tablo3[#Data],2,FALSE)</f>
        <v>Tayfun VİÇE</v>
      </c>
    </row>
    <row r="819" spans="1:27" x14ac:dyDescent="0.25">
      <c r="A819">
        <v>2121</v>
      </c>
      <c r="B819" t="s">
        <v>1419</v>
      </c>
      <c r="C819" t="s">
        <v>1723</v>
      </c>
      <c r="D819" t="s">
        <v>2478</v>
      </c>
      <c r="F819" t="s">
        <v>486</v>
      </c>
      <c r="G819" t="s">
        <v>67</v>
      </c>
      <c r="H819" t="s">
        <v>3322</v>
      </c>
      <c r="I819" s="4"/>
      <c r="J819" t="s">
        <v>3319</v>
      </c>
      <c r="K819" t="s">
        <v>1221</v>
      </c>
      <c r="L819" s="5" t="s">
        <v>3323</v>
      </c>
      <c r="M819" s="5" t="s">
        <v>35</v>
      </c>
      <c r="N819" t="s">
        <v>35</v>
      </c>
      <c r="O819" t="s">
        <v>3324</v>
      </c>
      <c r="S819" t="s">
        <v>37</v>
      </c>
      <c r="T819" s="5" t="s">
        <v>38</v>
      </c>
      <c r="Y819" t="str">
        <f>VLOOKUP(C819,'[1]DBS_KPY Sorumlular'!A:C,2,FALSE)</f>
        <v>Erkan AKDOĞAN</v>
      </c>
      <c r="Z819" t="str">
        <f>VLOOKUP(C819,'[1]DBS_KPY Sorumlular'!A:C,3,FALSE)</f>
        <v>Kadir TOPÇU</v>
      </c>
      <c r="AA819" t="str">
        <f>VLOOKUP(K819,[1]!Tablo3[#Data],2,FALSE)</f>
        <v>Tayfun VİÇE</v>
      </c>
    </row>
    <row r="820" spans="1:27" x14ac:dyDescent="0.25">
      <c r="A820">
        <v>2122</v>
      </c>
      <c r="B820" t="s">
        <v>27</v>
      </c>
      <c r="C820" t="s">
        <v>40</v>
      </c>
      <c r="D820" t="s">
        <v>41</v>
      </c>
      <c r="F820" t="s">
        <v>102</v>
      </c>
      <c r="G820" t="s">
        <v>43</v>
      </c>
      <c r="H820" t="s">
        <v>3325</v>
      </c>
      <c r="I820" s="4">
        <v>45533.875</v>
      </c>
      <c r="J820" t="s">
        <v>3326</v>
      </c>
      <c r="K820" t="s">
        <v>1221</v>
      </c>
      <c r="L820" s="5"/>
      <c r="M820" s="5"/>
      <c r="N820" t="s">
        <v>82</v>
      </c>
      <c r="O820" t="s">
        <v>3327</v>
      </c>
      <c r="R820">
        <v>1</v>
      </c>
      <c r="S820" t="s">
        <v>37</v>
      </c>
      <c r="T820" s="5" t="s">
        <v>100</v>
      </c>
      <c r="W820">
        <v>108</v>
      </c>
      <c r="X820" t="s">
        <v>107</v>
      </c>
      <c r="Y820" t="str">
        <f>VLOOKUP(C820,'[1]DBS_KPY Sorumlular'!A:C,2,FALSE)</f>
        <v>Mustafa AYDIN</v>
      </c>
      <c r="Z820" t="str">
        <f>VLOOKUP(C820,'[1]DBS_KPY Sorumlular'!A:C,3,FALSE)</f>
        <v>Esra DOLAN</v>
      </c>
      <c r="AA820" t="str">
        <f>VLOOKUP(K820,[1]!Tablo3[#Data],2,FALSE)</f>
        <v>Tayfun VİÇE</v>
      </c>
    </row>
    <row r="821" spans="1:27" x14ac:dyDescent="0.25">
      <c r="A821">
        <v>2123</v>
      </c>
      <c r="B821" t="s">
        <v>1419</v>
      </c>
      <c r="C821" t="s">
        <v>1674</v>
      </c>
      <c r="D821" t="s">
        <v>1675</v>
      </c>
      <c r="F821" t="s">
        <v>66</v>
      </c>
      <c r="G821" t="s">
        <v>67</v>
      </c>
      <c r="H821" t="s">
        <v>3328</v>
      </c>
      <c r="I821" s="4"/>
      <c r="J821" t="s">
        <v>3319</v>
      </c>
      <c r="K821" t="s">
        <v>1221</v>
      </c>
      <c r="L821" s="5" t="s">
        <v>3329</v>
      </c>
      <c r="M821" s="5"/>
      <c r="N821" t="s">
        <v>35</v>
      </c>
      <c r="O821" t="s">
        <v>3330</v>
      </c>
      <c r="S821" t="s">
        <v>37</v>
      </c>
      <c r="T821" s="5" t="s">
        <v>48</v>
      </c>
      <c r="U821" t="s">
        <v>1793</v>
      </c>
      <c r="V821" t="s">
        <v>1794</v>
      </c>
      <c r="W821">
        <v>208</v>
      </c>
      <c r="X821" t="s">
        <v>594</v>
      </c>
      <c r="Y821" t="str">
        <f>VLOOKUP(C821,'[1]DBS_KPY Sorumlular'!A:C,2,FALSE)</f>
        <v>Kadir TOPÇU</v>
      </c>
      <c r="Z821" t="str">
        <f>VLOOKUP(C821,'[1]DBS_KPY Sorumlular'!A:C,3,FALSE)</f>
        <v>Erkan AKDOĞAN</v>
      </c>
      <c r="AA821" t="str">
        <f>VLOOKUP(K821,[1]!Tablo3[#Data],2,FALSE)</f>
        <v>Tayfun VİÇE</v>
      </c>
    </row>
    <row r="822" spans="1:27" x14ac:dyDescent="0.25">
      <c r="A822">
        <v>2125</v>
      </c>
      <c r="B822" t="s">
        <v>1419</v>
      </c>
      <c r="C822" t="s">
        <v>1674</v>
      </c>
      <c r="D822" t="s">
        <v>1700</v>
      </c>
      <c r="F822" t="s">
        <v>95</v>
      </c>
      <c r="G822" t="s">
        <v>291</v>
      </c>
      <c r="H822" t="s">
        <v>3331</v>
      </c>
      <c r="I822" s="4"/>
      <c r="J822" t="s">
        <v>1996</v>
      </c>
      <c r="K822" t="s">
        <v>1221</v>
      </c>
      <c r="L822" s="5"/>
      <c r="M822" s="5"/>
      <c r="N822" t="s">
        <v>1824</v>
      </c>
      <c r="O822" t="s">
        <v>3332</v>
      </c>
      <c r="S822" t="s">
        <v>37</v>
      </c>
      <c r="T822" s="5" t="s">
        <v>100</v>
      </c>
      <c r="W822">
        <v>94</v>
      </c>
      <c r="X822" t="s">
        <v>1707</v>
      </c>
      <c r="Y822" t="str">
        <f>VLOOKUP(C822,'[1]DBS_KPY Sorumlular'!A:C,2,FALSE)</f>
        <v>Kadir TOPÇU</v>
      </c>
      <c r="Z822" t="str">
        <f>VLOOKUP(C822,'[1]DBS_KPY Sorumlular'!A:C,3,FALSE)</f>
        <v>Erkan AKDOĞAN</v>
      </c>
      <c r="AA822" t="str">
        <f>VLOOKUP(K822,[1]!Tablo3[#Data],2,FALSE)</f>
        <v>Tayfun VİÇE</v>
      </c>
    </row>
    <row r="823" spans="1:27" x14ac:dyDescent="0.25">
      <c r="A823">
        <v>2127</v>
      </c>
      <c r="B823" t="s">
        <v>1419</v>
      </c>
      <c r="C823" t="s">
        <v>1674</v>
      </c>
      <c r="D823" t="s">
        <v>1675</v>
      </c>
      <c r="F823" t="s">
        <v>95</v>
      </c>
      <c r="G823" t="s">
        <v>291</v>
      </c>
      <c r="H823" t="s">
        <v>3333</v>
      </c>
      <c r="I823" s="4"/>
      <c r="J823" t="s">
        <v>1996</v>
      </c>
      <c r="K823" t="s">
        <v>1221</v>
      </c>
      <c r="L823" s="5" t="s">
        <v>3334</v>
      </c>
      <c r="M823" s="5"/>
      <c r="N823" t="s">
        <v>739</v>
      </c>
      <c r="O823" t="s">
        <v>3335</v>
      </c>
      <c r="S823" t="s">
        <v>37</v>
      </c>
      <c r="T823" s="5" t="s">
        <v>100</v>
      </c>
      <c r="W823">
        <v>94</v>
      </c>
      <c r="X823" t="s">
        <v>1707</v>
      </c>
      <c r="Y823" t="str">
        <f>VLOOKUP(C823,'[1]DBS_KPY Sorumlular'!A:C,2,FALSE)</f>
        <v>Kadir TOPÇU</v>
      </c>
      <c r="Z823" t="str">
        <f>VLOOKUP(C823,'[1]DBS_KPY Sorumlular'!A:C,3,FALSE)</f>
        <v>Erkan AKDOĞAN</v>
      </c>
      <c r="AA823" t="str">
        <f>VLOOKUP(K823,[1]!Tablo3[#Data],2,FALSE)</f>
        <v>Tayfun VİÇE</v>
      </c>
    </row>
    <row r="824" spans="1:27" x14ac:dyDescent="0.25">
      <c r="A824">
        <v>2128</v>
      </c>
      <c r="B824" t="s">
        <v>1419</v>
      </c>
      <c r="C824" t="s">
        <v>1674</v>
      </c>
      <c r="D824" t="s">
        <v>1700</v>
      </c>
      <c r="F824" t="s">
        <v>306</v>
      </c>
      <c r="G824" t="s">
        <v>96</v>
      </c>
      <c r="H824" t="s">
        <v>3336</v>
      </c>
      <c r="I824" s="4"/>
      <c r="J824" t="s">
        <v>1996</v>
      </c>
      <c r="K824" t="s">
        <v>1221</v>
      </c>
      <c r="L824" s="5" t="s">
        <v>1997</v>
      </c>
      <c r="M824" s="5"/>
      <c r="N824" t="s">
        <v>35</v>
      </c>
      <c r="O824" t="s">
        <v>3337</v>
      </c>
      <c r="S824" t="s">
        <v>37</v>
      </c>
      <c r="T824" s="5" t="s">
        <v>48</v>
      </c>
      <c r="U824" t="s">
        <v>3338</v>
      </c>
      <c r="V824" t="s">
        <v>3339</v>
      </c>
      <c r="W824">
        <v>28</v>
      </c>
      <c r="X824" t="s">
        <v>667</v>
      </c>
      <c r="Y824" t="str">
        <f>VLOOKUP(C824,'[1]DBS_KPY Sorumlular'!A:C,2,FALSE)</f>
        <v>Kadir TOPÇU</v>
      </c>
      <c r="Z824" t="str">
        <f>VLOOKUP(C824,'[1]DBS_KPY Sorumlular'!A:C,3,FALSE)</f>
        <v>Erkan AKDOĞAN</v>
      </c>
      <c r="AA824" t="str">
        <f>VLOOKUP(K824,[1]!Tablo3[#Data],2,FALSE)</f>
        <v>Tayfun VİÇE</v>
      </c>
    </row>
    <row r="825" spans="1:27" x14ac:dyDescent="0.25">
      <c r="A825">
        <v>2129</v>
      </c>
      <c r="B825" t="s">
        <v>1419</v>
      </c>
      <c r="C825" t="s">
        <v>40</v>
      </c>
      <c r="D825" t="s">
        <v>65</v>
      </c>
      <c r="F825" t="s">
        <v>486</v>
      </c>
      <c r="G825" t="s">
        <v>67</v>
      </c>
      <c r="H825" t="s">
        <v>3340</v>
      </c>
      <c r="I825" s="4"/>
      <c r="J825" t="s">
        <v>3341</v>
      </c>
      <c r="K825" t="s">
        <v>1221</v>
      </c>
      <c r="L825" s="5"/>
      <c r="M825" s="5"/>
      <c r="N825" t="s">
        <v>35</v>
      </c>
      <c r="O825" t="s">
        <v>3342</v>
      </c>
      <c r="S825" t="s">
        <v>37</v>
      </c>
      <c r="T825" s="5" t="s">
        <v>48</v>
      </c>
      <c r="U825" t="s">
        <v>3343</v>
      </c>
      <c r="V825" t="s">
        <v>3344</v>
      </c>
      <c r="W825">
        <v>203</v>
      </c>
      <c r="X825" t="s">
        <v>72</v>
      </c>
      <c r="Y825" t="str">
        <f>VLOOKUP(C825,'[1]DBS_KPY Sorumlular'!A:C,2,FALSE)</f>
        <v>Mustafa AYDIN</v>
      </c>
      <c r="Z825" t="str">
        <f>VLOOKUP(C825,'[1]DBS_KPY Sorumlular'!A:C,3,FALSE)</f>
        <v>Esra DOLAN</v>
      </c>
      <c r="AA825" t="str">
        <f>VLOOKUP(K825,[1]!Tablo3[#Data],2,FALSE)</f>
        <v>Tayfun VİÇE</v>
      </c>
    </row>
    <row r="826" spans="1:27" x14ac:dyDescent="0.25">
      <c r="A826">
        <v>2130</v>
      </c>
      <c r="B826" t="s">
        <v>1419</v>
      </c>
      <c r="C826" t="s">
        <v>1674</v>
      </c>
      <c r="D826" t="s">
        <v>1717</v>
      </c>
      <c r="F826" t="s">
        <v>102</v>
      </c>
      <c r="G826" t="s">
        <v>43</v>
      </c>
      <c r="H826" t="s">
        <v>3345</v>
      </c>
      <c r="I826" s="4"/>
      <c r="J826" t="s">
        <v>3346</v>
      </c>
      <c r="K826" t="s">
        <v>1221</v>
      </c>
      <c r="L826" s="5"/>
      <c r="M826" s="5" t="s">
        <v>3347</v>
      </c>
      <c r="N826" t="s">
        <v>35</v>
      </c>
      <c r="O826" t="s">
        <v>3348</v>
      </c>
      <c r="S826" t="s">
        <v>37</v>
      </c>
      <c r="T826" s="5" t="s">
        <v>48</v>
      </c>
      <c r="U826" t="s">
        <v>3349</v>
      </c>
      <c r="V826" t="s">
        <v>3345</v>
      </c>
      <c r="W826">
        <v>30</v>
      </c>
      <c r="X826" t="s">
        <v>327</v>
      </c>
      <c r="Y826" t="str">
        <f>VLOOKUP(C826,'[1]DBS_KPY Sorumlular'!A:C,2,FALSE)</f>
        <v>Kadir TOPÇU</v>
      </c>
      <c r="Z826" t="str">
        <f>VLOOKUP(C826,'[1]DBS_KPY Sorumlular'!A:C,3,FALSE)</f>
        <v>Erkan AKDOĞAN</v>
      </c>
      <c r="AA826" t="str">
        <f>VLOOKUP(K826,[1]!Tablo3[#Data],2,FALSE)</f>
        <v>Tayfun VİÇE</v>
      </c>
    </row>
    <row r="827" spans="1:27" x14ac:dyDescent="0.25">
      <c r="A827">
        <v>2132</v>
      </c>
      <c r="B827" t="s">
        <v>1419</v>
      </c>
      <c r="C827" t="s">
        <v>73</v>
      </c>
      <c r="D827" t="s">
        <v>73</v>
      </c>
      <c r="F827" t="s">
        <v>486</v>
      </c>
      <c r="G827" t="s">
        <v>30</v>
      </c>
      <c r="H827" t="s">
        <v>1255</v>
      </c>
      <c r="I827" s="4"/>
      <c r="J827" t="s">
        <v>3350</v>
      </c>
      <c r="K827" t="s">
        <v>1221</v>
      </c>
      <c r="L827" s="5" t="s">
        <v>3351</v>
      </c>
      <c r="M827" s="5"/>
      <c r="N827" t="s">
        <v>35</v>
      </c>
      <c r="O827" t="s">
        <v>3352</v>
      </c>
      <c r="S827" t="s">
        <v>37</v>
      </c>
      <c r="T827" s="5" t="s">
        <v>38</v>
      </c>
      <c r="Y827" t="str">
        <f>VLOOKUP(C827,'[1]DBS_KPY Sorumlular'!A:C,2,FALSE)</f>
        <v>Ayşegül AKGÜL</v>
      </c>
      <c r="Z827" t="str">
        <f>VLOOKUP(C827,'[1]DBS_KPY Sorumlular'!A:C,3,FALSE)</f>
        <v>Sinan ERDAŞ</v>
      </c>
      <c r="AA827" t="str">
        <f>VLOOKUP(K827,[1]!Tablo3[#Data],2,FALSE)</f>
        <v>Tayfun VİÇE</v>
      </c>
    </row>
    <row r="828" spans="1:27" x14ac:dyDescent="0.25">
      <c r="A828">
        <v>2133</v>
      </c>
      <c r="B828" t="s">
        <v>1419</v>
      </c>
      <c r="C828" t="s">
        <v>73</v>
      </c>
      <c r="D828" t="s">
        <v>73</v>
      </c>
      <c r="F828" t="s">
        <v>486</v>
      </c>
      <c r="G828" t="s">
        <v>456</v>
      </c>
      <c r="H828" t="s">
        <v>3353</v>
      </c>
      <c r="I828" s="4"/>
      <c r="J828" t="s">
        <v>3354</v>
      </c>
      <c r="K828" t="s">
        <v>1221</v>
      </c>
      <c r="L828" s="5"/>
      <c r="M828" s="5"/>
      <c r="N828" t="s">
        <v>35</v>
      </c>
      <c r="O828" t="s">
        <v>3355</v>
      </c>
      <c r="S828" t="s">
        <v>37</v>
      </c>
      <c r="T828" s="5" t="s">
        <v>38</v>
      </c>
      <c r="Y828" t="str">
        <f>VLOOKUP(C828,'[1]DBS_KPY Sorumlular'!A:C,2,FALSE)</f>
        <v>Ayşegül AKGÜL</v>
      </c>
      <c r="Z828" t="str">
        <f>VLOOKUP(C828,'[1]DBS_KPY Sorumlular'!A:C,3,FALSE)</f>
        <v>Sinan ERDAŞ</v>
      </c>
      <c r="AA828" t="str">
        <f>VLOOKUP(K828,[1]!Tablo3[#Data],2,FALSE)</f>
        <v>Tayfun VİÇE</v>
      </c>
    </row>
    <row r="829" spans="1:27" x14ac:dyDescent="0.25">
      <c r="A829">
        <v>2134</v>
      </c>
      <c r="B829" t="s">
        <v>1419</v>
      </c>
      <c r="C829" t="s">
        <v>1674</v>
      </c>
      <c r="D829" t="s">
        <v>1700</v>
      </c>
      <c r="F829" t="s">
        <v>95</v>
      </c>
      <c r="G829" t="s">
        <v>291</v>
      </c>
      <c r="H829" t="s">
        <v>3356</v>
      </c>
      <c r="I829" s="4"/>
      <c r="J829" t="s">
        <v>1996</v>
      </c>
      <c r="K829" t="s">
        <v>926</v>
      </c>
      <c r="L829" s="5"/>
      <c r="M829" s="5"/>
      <c r="N829" t="s">
        <v>35</v>
      </c>
      <c r="O829" t="s">
        <v>3357</v>
      </c>
      <c r="S829" t="s">
        <v>230</v>
      </c>
      <c r="T829" s="5" t="s">
        <v>48</v>
      </c>
      <c r="U829" t="s">
        <v>3358</v>
      </c>
      <c r="V829" t="s">
        <v>3356</v>
      </c>
      <c r="W829">
        <v>28</v>
      </c>
      <c r="X829" t="s">
        <v>667</v>
      </c>
      <c r="Y829" t="str">
        <f>VLOOKUP(C829,'[1]DBS_KPY Sorumlular'!A:C,2,FALSE)</f>
        <v>Kadir TOPÇU</v>
      </c>
      <c r="Z829" t="str">
        <f>VLOOKUP(C829,'[1]DBS_KPY Sorumlular'!A:C,3,FALSE)</f>
        <v>Erkan AKDOĞAN</v>
      </c>
      <c r="AA829" t="str">
        <f>VLOOKUP(K829,[1]!Tablo3[#Data],2,FALSE)</f>
        <v>Kadir TOPÇU</v>
      </c>
    </row>
    <row r="830" spans="1:27" x14ac:dyDescent="0.25">
      <c r="A830">
        <v>2135</v>
      </c>
      <c r="B830" t="s">
        <v>1419</v>
      </c>
      <c r="C830" t="s">
        <v>1674</v>
      </c>
      <c r="D830" t="s">
        <v>1675</v>
      </c>
      <c r="F830" t="s">
        <v>66</v>
      </c>
      <c r="G830" t="s">
        <v>30</v>
      </c>
      <c r="H830" t="s">
        <v>3359</v>
      </c>
      <c r="I830" s="4"/>
      <c r="J830" t="s">
        <v>3360</v>
      </c>
      <c r="K830" t="s">
        <v>926</v>
      </c>
      <c r="L830" s="5"/>
      <c r="M830" s="5"/>
      <c r="N830" t="s">
        <v>35</v>
      </c>
      <c r="O830" t="s">
        <v>3361</v>
      </c>
      <c r="S830" t="s">
        <v>230</v>
      </c>
      <c r="T830" s="5" t="s">
        <v>48</v>
      </c>
      <c r="U830" t="s">
        <v>3362</v>
      </c>
      <c r="V830" t="s">
        <v>3359</v>
      </c>
      <c r="W830">
        <v>207</v>
      </c>
      <c r="X830" t="s">
        <v>472</v>
      </c>
      <c r="Y830" t="str">
        <f>VLOOKUP(C830,'[1]DBS_KPY Sorumlular'!A:C,2,FALSE)</f>
        <v>Kadir TOPÇU</v>
      </c>
      <c r="Z830" t="str">
        <f>VLOOKUP(C830,'[1]DBS_KPY Sorumlular'!A:C,3,FALSE)</f>
        <v>Erkan AKDOĞAN</v>
      </c>
      <c r="AA830" t="str">
        <f>VLOOKUP(K830,[1]!Tablo3[#Data],2,FALSE)</f>
        <v>Kadir TOPÇU</v>
      </c>
    </row>
    <row r="831" spans="1:27" x14ac:dyDescent="0.25">
      <c r="A831">
        <v>2136</v>
      </c>
      <c r="B831" t="s">
        <v>1419</v>
      </c>
      <c r="C831" t="s">
        <v>1674</v>
      </c>
      <c r="D831" t="s">
        <v>1675</v>
      </c>
      <c r="F831" t="s">
        <v>439</v>
      </c>
      <c r="G831" t="s">
        <v>67</v>
      </c>
      <c r="H831" t="s">
        <v>3363</v>
      </c>
      <c r="I831" s="4"/>
      <c r="J831" t="s">
        <v>3364</v>
      </c>
      <c r="K831" t="s">
        <v>926</v>
      </c>
      <c r="L831" s="5"/>
      <c r="M831" s="5"/>
      <c r="N831" t="s">
        <v>35</v>
      </c>
      <c r="O831" t="s">
        <v>3365</v>
      </c>
      <c r="S831" t="s">
        <v>230</v>
      </c>
      <c r="T831" s="5" t="s">
        <v>48</v>
      </c>
      <c r="U831" t="s">
        <v>3366</v>
      </c>
      <c r="V831" t="s">
        <v>3363</v>
      </c>
      <c r="W831">
        <v>148</v>
      </c>
      <c r="X831" t="s">
        <v>368</v>
      </c>
      <c r="Y831" t="str">
        <f>VLOOKUP(C831,'[1]DBS_KPY Sorumlular'!A:C,2,FALSE)</f>
        <v>Kadir TOPÇU</v>
      </c>
      <c r="Z831" t="str">
        <f>VLOOKUP(C831,'[1]DBS_KPY Sorumlular'!A:C,3,FALSE)</f>
        <v>Erkan AKDOĞAN</v>
      </c>
      <c r="AA831" t="str">
        <f>VLOOKUP(K831,[1]!Tablo3[#Data],2,FALSE)</f>
        <v>Kadir TOPÇU</v>
      </c>
    </row>
    <row r="832" spans="1:27" x14ac:dyDescent="0.25">
      <c r="A832">
        <v>2137</v>
      </c>
      <c r="B832" t="s">
        <v>1419</v>
      </c>
      <c r="C832" t="s">
        <v>1674</v>
      </c>
      <c r="D832" t="s">
        <v>1675</v>
      </c>
      <c r="F832" t="s">
        <v>52</v>
      </c>
      <c r="G832" t="s">
        <v>291</v>
      </c>
      <c r="H832" t="s">
        <v>3367</v>
      </c>
      <c r="I832" s="4"/>
      <c r="J832" t="s">
        <v>3368</v>
      </c>
      <c r="K832" t="s">
        <v>926</v>
      </c>
      <c r="L832" s="5"/>
      <c r="M832" s="5"/>
      <c r="N832" t="s">
        <v>35</v>
      </c>
      <c r="O832" t="s">
        <v>3369</v>
      </c>
      <c r="S832" t="s">
        <v>230</v>
      </c>
      <c r="T832" s="5" t="s">
        <v>48</v>
      </c>
      <c r="U832" t="s">
        <v>3370</v>
      </c>
      <c r="V832" t="s">
        <v>3367</v>
      </c>
      <c r="W832">
        <v>152</v>
      </c>
      <c r="X832" t="s">
        <v>1680</v>
      </c>
      <c r="Y832" t="str">
        <f>VLOOKUP(C832,'[1]DBS_KPY Sorumlular'!A:C,2,FALSE)</f>
        <v>Kadir TOPÇU</v>
      </c>
      <c r="Z832" t="str">
        <f>VLOOKUP(C832,'[1]DBS_KPY Sorumlular'!A:C,3,FALSE)</f>
        <v>Erkan AKDOĞAN</v>
      </c>
      <c r="AA832" t="str">
        <f>VLOOKUP(K832,[1]!Tablo3[#Data],2,FALSE)</f>
        <v>Kadir TOPÇU</v>
      </c>
    </row>
    <row r="833" spans="1:27" x14ac:dyDescent="0.25">
      <c r="A833">
        <v>2138</v>
      </c>
      <c r="B833" t="s">
        <v>1419</v>
      </c>
      <c r="C833" t="s">
        <v>1674</v>
      </c>
      <c r="D833" t="s">
        <v>1675</v>
      </c>
      <c r="F833" t="s">
        <v>52</v>
      </c>
      <c r="G833" t="s">
        <v>67</v>
      </c>
      <c r="H833" t="s">
        <v>3371</v>
      </c>
      <c r="I833" s="4"/>
      <c r="J833" t="s">
        <v>3372</v>
      </c>
      <c r="K833" t="s">
        <v>926</v>
      </c>
      <c r="L833" s="5"/>
      <c r="M833" s="5"/>
      <c r="N833" t="s">
        <v>35</v>
      </c>
      <c r="O833" t="s">
        <v>3373</v>
      </c>
      <c r="S833" t="s">
        <v>230</v>
      </c>
      <c r="T833" s="5" t="s">
        <v>48</v>
      </c>
      <c r="U833" t="s">
        <v>3374</v>
      </c>
      <c r="V833" t="s">
        <v>3375</v>
      </c>
      <c r="W833">
        <v>103</v>
      </c>
      <c r="X833" t="s">
        <v>353</v>
      </c>
      <c r="Y833" t="str">
        <f>VLOOKUP(C833,'[1]DBS_KPY Sorumlular'!A:C,2,FALSE)</f>
        <v>Kadir TOPÇU</v>
      </c>
      <c r="Z833" t="str">
        <f>VLOOKUP(C833,'[1]DBS_KPY Sorumlular'!A:C,3,FALSE)</f>
        <v>Erkan AKDOĞAN</v>
      </c>
      <c r="AA833" t="str">
        <f>VLOOKUP(K833,[1]!Tablo3[#Data],2,FALSE)</f>
        <v>Kadir TOPÇU</v>
      </c>
    </row>
    <row r="834" spans="1:27" x14ac:dyDescent="0.25">
      <c r="A834">
        <v>2139</v>
      </c>
      <c r="B834" t="s">
        <v>1419</v>
      </c>
      <c r="C834" t="s">
        <v>1674</v>
      </c>
      <c r="D834" t="s">
        <v>1675</v>
      </c>
      <c r="F834" t="s">
        <v>52</v>
      </c>
      <c r="G834" t="s">
        <v>67</v>
      </c>
      <c r="H834" t="s">
        <v>3376</v>
      </c>
      <c r="I834" s="4"/>
      <c r="J834" t="s">
        <v>3377</v>
      </c>
      <c r="K834" t="s">
        <v>926</v>
      </c>
      <c r="L834" s="5"/>
      <c r="M834" s="5"/>
      <c r="N834" t="s">
        <v>35</v>
      </c>
      <c r="O834" t="s">
        <v>3378</v>
      </c>
      <c r="S834" t="s">
        <v>230</v>
      </c>
      <c r="T834" s="5" t="s">
        <v>48</v>
      </c>
      <c r="U834" t="s">
        <v>3379</v>
      </c>
      <c r="V834" t="s">
        <v>3376</v>
      </c>
      <c r="W834">
        <v>103</v>
      </c>
      <c r="X834" t="s">
        <v>353</v>
      </c>
      <c r="Y834" t="str">
        <f>VLOOKUP(C834,'[1]DBS_KPY Sorumlular'!A:C,2,FALSE)</f>
        <v>Kadir TOPÇU</v>
      </c>
      <c r="Z834" t="str">
        <f>VLOOKUP(C834,'[1]DBS_KPY Sorumlular'!A:C,3,FALSE)</f>
        <v>Erkan AKDOĞAN</v>
      </c>
      <c r="AA834" t="str">
        <f>VLOOKUP(K834,[1]!Tablo3[#Data],2,FALSE)</f>
        <v>Kadir TOPÇU</v>
      </c>
    </row>
    <row r="835" spans="1:27" x14ac:dyDescent="0.25">
      <c r="A835">
        <v>2140</v>
      </c>
      <c r="B835" t="s">
        <v>1419</v>
      </c>
      <c r="C835" t="s">
        <v>1674</v>
      </c>
      <c r="D835" t="s">
        <v>1675</v>
      </c>
      <c r="F835" t="s">
        <v>439</v>
      </c>
      <c r="G835" t="s">
        <v>291</v>
      </c>
      <c r="H835" t="s">
        <v>3380</v>
      </c>
      <c r="I835" s="4"/>
      <c r="J835" t="s">
        <v>3381</v>
      </c>
      <c r="K835" t="s">
        <v>926</v>
      </c>
      <c r="L835" s="5"/>
      <c r="M835" s="5"/>
      <c r="N835" t="s">
        <v>35</v>
      </c>
      <c r="O835" t="s">
        <v>3382</v>
      </c>
      <c r="S835" t="s">
        <v>230</v>
      </c>
      <c r="T835" s="5" t="s">
        <v>48</v>
      </c>
      <c r="U835" t="s">
        <v>3383</v>
      </c>
      <c r="V835" t="s">
        <v>3380</v>
      </c>
      <c r="W835">
        <v>148</v>
      </c>
      <c r="X835" t="s">
        <v>368</v>
      </c>
      <c r="Y835" t="str">
        <f>VLOOKUP(C835,'[1]DBS_KPY Sorumlular'!A:C,2,FALSE)</f>
        <v>Kadir TOPÇU</v>
      </c>
      <c r="Z835" t="str">
        <f>VLOOKUP(C835,'[1]DBS_KPY Sorumlular'!A:C,3,FALSE)</f>
        <v>Erkan AKDOĞAN</v>
      </c>
      <c r="AA835" t="str">
        <f>VLOOKUP(K835,[1]!Tablo3[#Data],2,FALSE)</f>
        <v>Kadir TOPÇU</v>
      </c>
    </row>
    <row r="836" spans="1:27" x14ac:dyDescent="0.25">
      <c r="A836">
        <v>2142</v>
      </c>
      <c r="B836" t="s">
        <v>1419</v>
      </c>
      <c r="C836" t="s">
        <v>1674</v>
      </c>
      <c r="D836" t="s">
        <v>1675</v>
      </c>
      <c r="F836" t="s">
        <v>52</v>
      </c>
      <c r="G836" t="s">
        <v>30</v>
      </c>
      <c r="H836" t="s">
        <v>3384</v>
      </c>
      <c r="I836" s="4"/>
      <c r="J836" t="s">
        <v>3385</v>
      </c>
      <c r="K836" t="s">
        <v>926</v>
      </c>
      <c r="L836" s="5"/>
      <c r="M836" s="5" t="s">
        <v>3386</v>
      </c>
      <c r="N836" t="s">
        <v>35</v>
      </c>
      <c r="O836" t="s">
        <v>3387</v>
      </c>
      <c r="S836" t="s">
        <v>230</v>
      </c>
      <c r="T836" s="5" t="s">
        <v>48</v>
      </c>
      <c r="U836" t="s">
        <v>3388</v>
      </c>
      <c r="V836" t="s">
        <v>3384</v>
      </c>
      <c r="W836">
        <v>65</v>
      </c>
      <c r="X836" t="s">
        <v>374</v>
      </c>
      <c r="Y836" t="str">
        <f>VLOOKUP(C836,'[1]DBS_KPY Sorumlular'!A:C,2,FALSE)</f>
        <v>Kadir TOPÇU</v>
      </c>
      <c r="Z836" t="str">
        <f>VLOOKUP(C836,'[1]DBS_KPY Sorumlular'!A:C,3,FALSE)</f>
        <v>Erkan AKDOĞAN</v>
      </c>
      <c r="AA836" t="str">
        <f>VLOOKUP(K836,[1]!Tablo3[#Data],2,FALSE)</f>
        <v>Kadir TOPÇU</v>
      </c>
    </row>
    <row r="837" spans="1:27" x14ac:dyDescent="0.25">
      <c r="A837">
        <v>2144</v>
      </c>
      <c r="B837" t="s">
        <v>1419</v>
      </c>
      <c r="C837" t="s">
        <v>1674</v>
      </c>
      <c r="D837" t="s">
        <v>1675</v>
      </c>
      <c r="F837" t="s">
        <v>52</v>
      </c>
      <c r="G837" t="s">
        <v>30</v>
      </c>
      <c r="H837" t="s">
        <v>3389</v>
      </c>
      <c r="I837" s="4"/>
      <c r="J837" t="s">
        <v>3385</v>
      </c>
      <c r="K837" t="s">
        <v>926</v>
      </c>
      <c r="L837" s="5"/>
      <c r="M837" s="5" t="s">
        <v>3390</v>
      </c>
      <c r="N837" t="s">
        <v>35</v>
      </c>
      <c r="O837" t="s">
        <v>3391</v>
      </c>
      <c r="S837" t="s">
        <v>230</v>
      </c>
      <c r="T837" s="5" t="s">
        <v>48</v>
      </c>
      <c r="U837" t="s">
        <v>3392</v>
      </c>
      <c r="V837" t="s">
        <v>3389</v>
      </c>
      <c r="W837">
        <v>65</v>
      </c>
      <c r="X837" t="s">
        <v>374</v>
      </c>
      <c r="Y837" t="str">
        <f>VLOOKUP(C837,'[1]DBS_KPY Sorumlular'!A:C,2,FALSE)</f>
        <v>Kadir TOPÇU</v>
      </c>
      <c r="Z837" t="str">
        <f>VLOOKUP(C837,'[1]DBS_KPY Sorumlular'!A:C,3,FALSE)</f>
        <v>Erkan AKDOĞAN</v>
      </c>
      <c r="AA837" t="str">
        <f>VLOOKUP(K837,[1]!Tablo3[#Data],2,FALSE)</f>
        <v>Kadir TOPÇU</v>
      </c>
    </row>
    <row r="838" spans="1:27" x14ac:dyDescent="0.25">
      <c r="A838">
        <v>2145</v>
      </c>
      <c r="B838" t="s">
        <v>1419</v>
      </c>
      <c r="C838" t="s">
        <v>1674</v>
      </c>
      <c r="D838" t="s">
        <v>1675</v>
      </c>
      <c r="F838" t="s">
        <v>52</v>
      </c>
      <c r="G838" t="s">
        <v>30</v>
      </c>
      <c r="H838" t="s">
        <v>3393</v>
      </c>
      <c r="I838" s="4"/>
      <c r="J838" t="s">
        <v>2682</v>
      </c>
      <c r="K838" t="s">
        <v>926</v>
      </c>
      <c r="L838" s="5"/>
      <c r="M838" s="5" t="s">
        <v>3394</v>
      </c>
      <c r="N838" t="s">
        <v>35</v>
      </c>
      <c r="O838" t="s">
        <v>3395</v>
      </c>
      <c r="S838" t="s">
        <v>230</v>
      </c>
      <c r="T838" s="5" t="s">
        <v>48</v>
      </c>
      <c r="U838" t="s">
        <v>3396</v>
      </c>
      <c r="V838" t="s">
        <v>3393</v>
      </c>
      <c r="W838">
        <v>65</v>
      </c>
      <c r="X838" t="s">
        <v>374</v>
      </c>
      <c r="Y838" t="str">
        <f>VLOOKUP(C838,'[1]DBS_KPY Sorumlular'!A:C,2,FALSE)</f>
        <v>Kadir TOPÇU</v>
      </c>
      <c r="Z838" t="str">
        <f>VLOOKUP(C838,'[1]DBS_KPY Sorumlular'!A:C,3,FALSE)</f>
        <v>Erkan AKDOĞAN</v>
      </c>
      <c r="AA838" t="str">
        <f>VLOOKUP(K838,[1]!Tablo3[#Data],2,FALSE)</f>
        <v>Kadir TOPÇU</v>
      </c>
    </row>
    <row r="839" spans="1:27" x14ac:dyDescent="0.25">
      <c r="A839">
        <v>2146</v>
      </c>
      <c r="B839" t="s">
        <v>1419</v>
      </c>
      <c r="C839" t="s">
        <v>1674</v>
      </c>
      <c r="D839" t="s">
        <v>1700</v>
      </c>
      <c r="F839" t="s">
        <v>95</v>
      </c>
      <c r="G839" t="s">
        <v>96</v>
      </c>
      <c r="H839" t="s">
        <v>3397</v>
      </c>
      <c r="I839" s="4"/>
      <c r="K839" t="s">
        <v>926</v>
      </c>
      <c r="L839" s="5"/>
      <c r="M839" s="5"/>
      <c r="N839" t="s">
        <v>35</v>
      </c>
      <c r="O839" t="s">
        <v>3398</v>
      </c>
      <c r="S839" t="s">
        <v>230</v>
      </c>
      <c r="T839" s="5" t="s">
        <v>48</v>
      </c>
      <c r="U839" t="s">
        <v>3399</v>
      </c>
      <c r="V839" t="s">
        <v>3400</v>
      </c>
      <c r="W839">
        <v>94</v>
      </c>
      <c r="X839" t="s">
        <v>1707</v>
      </c>
      <c r="Y839" t="str">
        <f>VLOOKUP(C839,'[1]DBS_KPY Sorumlular'!A:C,2,FALSE)</f>
        <v>Kadir TOPÇU</v>
      </c>
      <c r="Z839" t="str">
        <f>VLOOKUP(C839,'[1]DBS_KPY Sorumlular'!A:C,3,FALSE)</f>
        <v>Erkan AKDOĞAN</v>
      </c>
      <c r="AA839" t="str">
        <f>VLOOKUP(K839,[1]!Tablo3[#Data],2,FALSE)</f>
        <v>Kadir TOPÇU</v>
      </c>
    </row>
    <row r="840" spans="1:27" x14ac:dyDescent="0.25">
      <c r="A840">
        <v>2147</v>
      </c>
      <c r="B840" t="s">
        <v>1419</v>
      </c>
      <c r="C840" t="s">
        <v>1674</v>
      </c>
      <c r="D840" t="s">
        <v>1717</v>
      </c>
      <c r="F840" t="s">
        <v>113</v>
      </c>
      <c r="G840" t="s">
        <v>43</v>
      </c>
      <c r="H840" t="s">
        <v>3401</v>
      </c>
      <c r="I840" s="4"/>
      <c r="J840" t="s">
        <v>3402</v>
      </c>
      <c r="K840" t="s">
        <v>926</v>
      </c>
      <c r="L840" s="5"/>
      <c r="M840" s="5"/>
      <c r="N840" t="s">
        <v>35</v>
      </c>
      <c r="O840" t="s">
        <v>3403</v>
      </c>
      <c r="S840" t="s">
        <v>230</v>
      </c>
      <c r="T840" s="5" t="s">
        <v>48</v>
      </c>
      <c r="U840" t="s">
        <v>3404</v>
      </c>
      <c r="V840" t="s">
        <v>3405</v>
      </c>
      <c r="W840">
        <v>211</v>
      </c>
      <c r="X840" t="s">
        <v>1876</v>
      </c>
      <c r="Y840" t="str">
        <f>VLOOKUP(C840,'[1]DBS_KPY Sorumlular'!A:C,2,FALSE)</f>
        <v>Kadir TOPÇU</v>
      </c>
      <c r="Z840" t="str">
        <f>VLOOKUP(C840,'[1]DBS_KPY Sorumlular'!A:C,3,FALSE)</f>
        <v>Erkan AKDOĞAN</v>
      </c>
      <c r="AA840" t="str">
        <f>VLOOKUP(K840,[1]!Tablo3[#Data],2,FALSE)</f>
        <v>Kadir TOPÇU</v>
      </c>
    </row>
    <row r="841" spans="1:27" x14ac:dyDescent="0.25">
      <c r="A841">
        <v>2148</v>
      </c>
      <c r="B841" t="s">
        <v>1419</v>
      </c>
      <c r="C841" t="s">
        <v>1674</v>
      </c>
      <c r="D841" t="s">
        <v>1717</v>
      </c>
      <c r="F841" t="s">
        <v>102</v>
      </c>
      <c r="G841" t="s">
        <v>43</v>
      </c>
      <c r="H841" t="s">
        <v>3406</v>
      </c>
      <c r="I841" s="4"/>
      <c r="J841" t="s">
        <v>3407</v>
      </c>
      <c r="K841" t="s">
        <v>926</v>
      </c>
      <c r="L841" s="5"/>
      <c r="M841" s="5"/>
      <c r="N841" t="s">
        <v>35</v>
      </c>
      <c r="O841" t="s">
        <v>3408</v>
      </c>
      <c r="S841" t="s">
        <v>230</v>
      </c>
      <c r="T841" s="5" t="s">
        <v>48</v>
      </c>
      <c r="U841" t="s">
        <v>3409</v>
      </c>
      <c r="V841" t="s">
        <v>3410</v>
      </c>
      <c r="W841">
        <v>108</v>
      </c>
      <c r="X841" t="s">
        <v>107</v>
      </c>
      <c r="Y841" t="str">
        <f>VLOOKUP(C841,'[1]DBS_KPY Sorumlular'!A:C,2,FALSE)</f>
        <v>Kadir TOPÇU</v>
      </c>
      <c r="Z841" t="str">
        <f>VLOOKUP(C841,'[1]DBS_KPY Sorumlular'!A:C,3,FALSE)</f>
        <v>Erkan AKDOĞAN</v>
      </c>
      <c r="AA841" t="str">
        <f>VLOOKUP(K841,[1]!Tablo3[#Data],2,FALSE)</f>
        <v>Kadir TOPÇU</v>
      </c>
    </row>
    <row r="842" spans="1:27" x14ac:dyDescent="0.25">
      <c r="A842">
        <v>2149</v>
      </c>
      <c r="B842" t="s">
        <v>1419</v>
      </c>
      <c r="C842" t="s">
        <v>1674</v>
      </c>
      <c r="D842" t="s">
        <v>1717</v>
      </c>
      <c r="F842" t="s">
        <v>52</v>
      </c>
      <c r="G842" t="s">
        <v>291</v>
      </c>
      <c r="H842" t="s">
        <v>3411</v>
      </c>
      <c r="I842" s="4"/>
      <c r="K842" t="s">
        <v>926</v>
      </c>
      <c r="L842" s="5"/>
      <c r="M842" s="5"/>
      <c r="N842" t="s">
        <v>35</v>
      </c>
      <c r="O842" t="s">
        <v>3412</v>
      </c>
      <c r="S842" t="s">
        <v>230</v>
      </c>
      <c r="T842" s="5" t="s">
        <v>48</v>
      </c>
      <c r="U842" t="s">
        <v>3413</v>
      </c>
      <c r="V842" t="s">
        <v>3414</v>
      </c>
      <c r="W842">
        <v>169</v>
      </c>
      <c r="X842" t="s">
        <v>1480</v>
      </c>
      <c r="Y842" t="str">
        <f>VLOOKUP(C842,'[1]DBS_KPY Sorumlular'!A:C,2,FALSE)</f>
        <v>Kadir TOPÇU</v>
      </c>
      <c r="Z842" t="str">
        <f>VLOOKUP(C842,'[1]DBS_KPY Sorumlular'!A:C,3,FALSE)</f>
        <v>Erkan AKDOĞAN</v>
      </c>
      <c r="AA842" t="str">
        <f>VLOOKUP(K842,[1]!Tablo3[#Data],2,FALSE)</f>
        <v>Kadir TOPÇU</v>
      </c>
    </row>
    <row r="843" spans="1:27" x14ac:dyDescent="0.25">
      <c r="A843">
        <v>2150</v>
      </c>
      <c r="B843" t="s">
        <v>1419</v>
      </c>
      <c r="C843" t="s">
        <v>40</v>
      </c>
      <c r="D843" t="s">
        <v>41</v>
      </c>
      <c r="F843" t="s">
        <v>52</v>
      </c>
      <c r="G843" t="s">
        <v>43</v>
      </c>
      <c r="H843" t="s">
        <v>3415</v>
      </c>
      <c r="I843" s="4"/>
      <c r="K843" t="s">
        <v>926</v>
      </c>
      <c r="L843" s="5"/>
      <c r="M843" s="5"/>
      <c r="N843" t="s">
        <v>35</v>
      </c>
      <c r="O843" t="s">
        <v>3416</v>
      </c>
      <c r="S843" t="s">
        <v>230</v>
      </c>
      <c r="T843" s="5" t="s">
        <v>100</v>
      </c>
      <c r="W843">
        <v>148</v>
      </c>
      <c r="X843" t="s">
        <v>368</v>
      </c>
      <c r="Y843" t="str">
        <f>VLOOKUP(C843,'[1]DBS_KPY Sorumlular'!A:C,2,FALSE)</f>
        <v>Mustafa AYDIN</v>
      </c>
      <c r="Z843" t="str">
        <f>VLOOKUP(C843,'[1]DBS_KPY Sorumlular'!A:C,3,FALSE)</f>
        <v>Esra DOLAN</v>
      </c>
      <c r="AA843" t="str">
        <f>VLOOKUP(K843,[1]!Tablo3[#Data],2,FALSE)</f>
        <v>Kadir TOPÇU</v>
      </c>
    </row>
    <row r="844" spans="1:27" x14ac:dyDescent="0.25">
      <c r="A844">
        <v>2151</v>
      </c>
      <c r="B844" t="s">
        <v>27</v>
      </c>
      <c r="C844" t="s">
        <v>73</v>
      </c>
      <c r="D844" t="s">
        <v>73</v>
      </c>
      <c r="F844" t="s">
        <v>486</v>
      </c>
      <c r="G844" t="s">
        <v>30</v>
      </c>
      <c r="H844" t="s">
        <v>3417</v>
      </c>
      <c r="I844" s="4">
        <v>46918.875</v>
      </c>
      <c r="J844" t="s">
        <v>3418</v>
      </c>
      <c r="K844" t="s">
        <v>926</v>
      </c>
      <c r="L844" s="5" t="s">
        <v>3419</v>
      </c>
      <c r="M844" s="5"/>
      <c r="N844" t="s">
        <v>46</v>
      </c>
      <c r="O844" t="s">
        <v>3420</v>
      </c>
      <c r="R844">
        <v>0.25</v>
      </c>
      <c r="S844" t="s">
        <v>230</v>
      </c>
      <c r="T844" s="5" t="s">
        <v>38</v>
      </c>
      <c r="Y844" t="str">
        <f>VLOOKUP(C844,'[1]DBS_KPY Sorumlular'!A:C,2,FALSE)</f>
        <v>Ayşegül AKGÜL</v>
      </c>
      <c r="Z844" t="str">
        <f>VLOOKUP(C844,'[1]DBS_KPY Sorumlular'!A:C,3,FALSE)</f>
        <v>Sinan ERDAŞ</v>
      </c>
      <c r="AA844" t="str">
        <f>VLOOKUP(K844,[1]!Tablo3[#Data],2,FALSE)</f>
        <v>Kadir TOPÇU</v>
      </c>
    </row>
    <row r="845" spans="1:27" x14ac:dyDescent="0.25">
      <c r="A845">
        <v>2152</v>
      </c>
      <c r="B845" t="s">
        <v>1419</v>
      </c>
      <c r="C845" t="s">
        <v>73</v>
      </c>
      <c r="D845" t="s">
        <v>73</v>
      </c>
      <c r="F845" t="s">
        <v>486</v>
      </c>
      <c r="G845" t="s">
        <v>30</v>
      </c>
      <c r="H845" t="s">
        <v>3421</v>
      </c>
      <c r="I845" s="4"/>
      <c r="J845" t="s">
        <v>3422</v>
      </c>
      <c r="K845" t="s">
        <v>926</v>
      </c>
      <c r="L845" s="5"/>
      <c r="M845" s="5"/>
      <c r="N845" t="s">
        <v>35</v>
      </c>
      <c r="O845" t="s">
        <v>3423</v>
      </c>
      <c r="S845" t="s">
        <v>230</v>
      </c>
      <c r="T845" s="5" t="s">
        <v>38</v>
      </c>
      <c r="Y845" t="str">
        <f>VLOOKUP(C845,'[1]DBS_KPY Sorumlular'!A:C,2,FALSE)</f>
        <v>Ayşegül AKGÜL</v>
      </c>
      <c r="Z845" t="str">
        <f>VLOOKUP(C845,'[1]DBS_KPY Sorumlular'!A:C,3,FALSE)</f>
        <v>Sinan ERDAŞ</v>
      </c>
      <c r="AA845" t="str">
        <f>VLOOKUP(K845,[1]!Tablo3[#Data],2,FALSE)</f>
        <v>Kadir TOPÇU</v>
      </c>
    </row>
    <row r="846" spans="1:27" x14ac:dyDescent="0.25">
      <c r="A846">
        <v>2153</v>
      </c>
      <c r="B846" t="s">
        <v>1419</v>
      </c>
      <c r="C846" t="s">
        <v>73</v>
      </c>
      <c r="D846" t="s">
        <v>73</v>
      </c>
      <c r="F846" t="s">
        <v>486</v>
      </c>
      <c r="G846" t="s">
        <v>30</v>
      </c>
      <c r="H846" t="s">
        <v>3424</v>
      </c>
      <c r="I846" s="4"/>
      <c r="J846" t="s">
        <v>3425</v>
      </c>
      <c r="K846" t="s">
        <v>926</v>
      </c>
      <c r="L846" s="5"/>
      <c r="M846" s="5"/>
      <c r="N846" t="s">
        <v>35</v>
      </c>
      <c r="O846" t="s">
        <v>3426</v>
      </c>
      <c r="S846" t="s">
        <v>230</v>
      </c>
      <c r="T846" s="5" t="s">
        <v>38</v>
      </c>
      <c r="Y846" t="str">
        <f>VLOOKUP(C846,'[1]DBS_KPY Sorumlular'!A:C,2,FALSE)</f>
        <v>Ayşegül AKGÜL</v>
      </c>
      <c r="Z846" t="str">
        <f>VLOOKUP(C846,'[1]DBS_KPY Sorumlular'!A:C,3,FALSE)</f>
        <v>Sinan ERDAŞ</v>
      </c>
      <c r="AA846" t="str">
        <f>VLOOKUP(K846,[1]!Tablo3[#Data],2,FALSE)</f>
        <v>Kadir TOPÇU</v>
      </c>
    </row>
    <row r="847" spans="1:27" x14ac:dyDescent="0.25">
      <c r="A847">
        <v>2154</v>
      </c>
      <c r="B847" t="s">
        <v>1419</v>
      </c>
      <c r="C847" t="s">
        <v>1674</v>
      </c>
      <c r="D847" t="s">
        <v>1717</v>
      </c>
      <c r="F847" t="s">
        <v>113</v>
      </c>
      <c r="G847" t="s">
        <v>43</v>
      </c>
      <c r="H847" t="s">
        <v>3427</v>
      </c>
      <c r="I847" s="4"/>
      <c r="J847" t="s">
        <v>3428</v>
      </c>
      <c r="K847" t="s">
        <v>926</v>
      </c>
      <c r="L847" s="5"/>
      <c r="M847" s="5" t="s">
        <v>3429</v>
      </c>
      <c r="N847" t="s">
        <v>35</v>
      </c>
      <c r="O847" t="s">
        <v>3430</v>
      </c>
      <c r="S847" t="s">
        <v>230</v>
      </c>
      <c r="T847" s="5" t="s">
        <v>48</v>
      </c>
      <c r="U847" t="s">
        <v>3431</v>
      </c>
      <c r="V847" t="s">
        <v>3427</v>
      </c>
      <c r="W847">
        <v>87</v>
      </c>
      <c r="X847" t="s">
        <v>119</v>
      </c>
      <c r="Y847" t="str">
        <f>VLOOKUP(C847,'[1]DBS_KPY Sorumlular'!A:C,2,FALSE)</f>
        <v>Kadir TOPÇU</v>
      </c>
      <c r="Z847" t="str">
        <f>VLOOKUP(C847,'[1]DBS_KPY Sorumlular'!A:C,3,FALSE)</f>
        <v>Erkan AKDOĞAN</v>
      </c>
      <c r="AA847" t="str">
        <f>VLOOKUP(K847,[1]!Tablo3[#Data],2,FALSE)</f>
        <v>Kadir TOPÇU</v>
      </c>
    </row>
    <row r="848" spans="1:27" x14ac:dyDescent="0.25">
      <c r="A848">
        <v>2155</v>
      </c>
      <c r="B848" t="s">
        <v>1419</v>
      </c>
      <c r="C848" t="s">
        <v>40</v>
      </c>
      <c r="D848" t="s">
        <v>65</v>
      </c>
      <c r="F848" t="s">
        <v>486</v>
      </c>
      <c r="G848" t="s">
        <v>30</v>
      </c>
      <c r="H848" t="s">
        <v>3432</v>
      </c>
      <c r="I848" s="4"/>
      <c r="K848" t="s">
        <v>926</v>
      </c>
      <c r="L848" s="5"/>
      <c r="M848" s="5"/>
      <c r="N848" t="s">
        <v>35</v>
      </c>
      <c r="O848" t="s">
        <v>3433</v>
      </c>
      <c r="S848" t="s">
        <v>230</v>
      </c>
      <c r="T848" s="5" t="s">
        <v>48</v>
      </c>
      <c r="U848" t="s">
        <v>3434</v>
      </c>
      <c r="V848" t="s">
        <v>3435</v>
      </c>
      <c r="W848">
        <v>65</v>
      </c>
      <c r="X848" t="s">
        <v>374</v>
      </c>
      <c r="Y848" t="str">
        <f>VLOOKUP(C848,'[1]DBS_KPY Sorumlular'!A:C,2,FALSE)</f>
        <v>Mustafa AYDIN</v>
      </c>
      <c r="Z848" t="str">
        <f>VLOOKUP(C848,'[1]DBS_KPY Sorumlular'!A:C,3,FALSE)</f>
        <v>Esra DOLAN</v>
      </c>
      <c r="AA848" t="str">
        <f>VLOOKUP(K848,[1]!Tablo3[#Data],2,FALSE)</f>
        <v>Kadir TOPÇU</v>
      </c>
    </row>
    <row r="849" spans="1:27" x14ac:dyDescent="0.25">
      <c r="A849">
        <v>2156</v>
      </c>
      <c r="B849" t="s">
        <v>27</v>
      </c>
      <c r="C849" t="s">
        <v>40</v>
      </c>
      <c r="D849" t="s">
        <v>65</v>
      </c>
      <c r="F849" t="s">
        <v>486</v>
      </c>
      <c r="G849" t="s">
        <v>30</v>
      </c>
      <c r="H849" t="s">
        <v>3436</v>
      </c>
      <c r="I849" s="4">
        <v>45837.875</v>
      </c>
      <c r="K849" t="s">
        <v>926</v>
      </c>
      <c r="L849" s="5"/>
      <c r="M849" s="5"/>
      <c r="N849" t="s">
        <v>46</v>
      </c>
      <c r="O849" t="s">
        <v>3437</v>
      </c>
      <c r="R849">
        <v>0.99</v>
      </c>
      <c r="S849" t="s">
        <v>230</v>
      </c>
      <c r="T849" s="5" t="s">
        <v>100</v>
      </c>
      <c r="W849">
        <v>79</v>
      </c>
      <c r="X849" t="s">
        <v>1619</v>
      </c>
      <c r="Y849" t="str">
        <f>VLOOKUP(C849,'[1]DBS_KPY Sorumlular'!A:C,2,FALSE)</f>
        <v>Mustafa AYDIN</v>
      </c>
      <c r="Z849" t="str">
        <f>VLOOKUP(C849,'[1]DBS_KPY Sorumlular'!A:C,3,FALSE)</f>
        <v>Esra DOLAN</v>
      </c>
      <c r="AA849" t="str">
        <f>VLOOKUP(K849,[1]!Tablo3[#Data],2,FALSE)</f>
        <v>Kadir TOPÇU</v>
      </c>
    </row>
    <row r="850" spans="1:27" x14ac:dyDescent="0.25">
      <c r="A850">
        <v>2157</v>
      </c>
      <c r="B850" t="s">
        <v>1419</v>
      </c>
      <c r="C850" t="s">
        <v>40</v>
      </c>
      <c r="D850" t="s">
        <v>65</v>
      </c>
      <c r="F850" t="s">
        <v>486</v>
      </c>
      <c r="G850" t="s">
        <v>30</v>
      </c>
      <c r="H850" t="s">
        <v>3438</v>
      </c>
      <c r="I850" s="4"/>
      <c r="J850" t="s">
        <v>3439</v>
      </c>
      <c r="K850" t="s">
        <v>926</v>
      </c>
      <c r="L850" s="5"/>
      <c r="M850" s="5"/>
      <c r="N850" t="s">
        <v>35</v>
      </c>
      <c r="O850" t="s">
        <v>3440</v>
      </c>
      <c r="S850" t="s">
        <v>230</v>
      </c>
      <c r="T850" s="5" t="s">
        <v>48</v>
      </c>
      <c r="U850" t="s">
        <v>3441</v>
      </c>
      <c r="V850" t="s">
        <v>3442</v>
      </c>
      <c r="W850">
        <v>207</v>
      </c>
      <c r="X850" t="s">
        <v>472</v>
      </c>
      <c r="Y850" t="str">
        <f>VLOOKUP(C850,'[1]DBS_KPY Sorumlular'!A:C,2,FALSE)</f>
        <v>Mustafa AYDIN</v>
      </c>
      <c r="Z850" t="str">
        <f>VLOOKUP(C850,'[1]DBS_KPY Sorumlular'!A:C,3,FALSE)</f>
        <v>Esra DOLAN</v>
      </c>
      <c r="AA850" t="str">
        <f>VLOOKUP(K850,[1]!Tablo3[#Data],2,FALSE)</f>
        <v>Kadir TOPÇU</v>
      </c>
    </row>
    <row r="851" spans="1:27" x14ac:dyDescent="0.25">
      <c r="A851">
        <v>2158</v>
      </c>
      <c r="B851" t="s">
        <v>1419</v>
      </c>
      <c r="C851" t="s">
        <v>40</v>
      </c>
      <c r="D851" t="s">
        <v>65</v>
      </c>
      <c r="F851" t="s">
        <v>486</v>
      </c>
      <c r="G851" t="s">
        <v>67</v>
      </c>
      <c r="H851" t="s">
        <v>3443</v>
      </c>
      <c r="I851" s="4"/>
      <c r="K851" t="s">
        <v>926</v>
      </c>
      <c r="L851" s="5"/>
      <c r="M851" s="5"/>
      <c r="N851" t="s">
        <v>35</v>
      </c>
      <c r="O851" t="s">
        <v>3444</v>
      </c>
      <c r="S851" t="s">
        <v>230</v>
      </c>
      <c r="T851" s="5" t="s">
        <v>100</v>
      </c>
      <c r="W851">
        <v>90</v>
      </c>
      <c r="X851" t="s">
        <v>1851</v>
      </c>
      <c r="Y851" t="str">
        <f>VLOOKUP(C851,'[1]DBS_KPY Sorumlular'!A:C,2,FALSE)</f>
        <v>Mustafa AYDIN</v>
      </c>
      <c r="Z851" t="str">
        <f>VLOOKUP(C851,'[1]DBS_KPY Sorumlular'!A:C,3,FALSE)</f>
        <v>Esra DOLAN</v>
      </c>
      <c r="AA851" t="str">
        <f>VLOOKUP(K851,[1]!Tablo3[#Data],2,FALSE)</f>
        <v>Kadir TOPÇU</v>
      </c>
    </row>
    <row r="852" spans="1:27" x14ac:dyDescent="0.25">
      <c r="A852">
        <v>2159</v>
      </c>
      <c r="B852" t="s">
        <v>1419</v>
      </c>
      <c r="C852" t="s">
        <v>40</v>
      </c>
      <c r="D852" t="s">
        <v>65</v>
      </c>
      <c r="F852" t="s">
        <v>537</v>
      </c>
      <c r="G852" t="s">
        <v>96</v>
      </c>
      <c r="H852" t="s">
        <v>3445</v>
      </c>
      <c r="I852" s="4"/>
      <c r="J852" t="s">
        <v>3446</v>
      </c>
      <c r="K852" t="s">
        <v>926</v>
      </c>
      <c r="L852" s="5"/>
      <c r="M852" s="5"/>
      <c r="N852" t="s">
        <v>35</v>
      </c>
      <c r="O852" t="s">
        <v>3447</v>
      </c>
      <c r="S852" t="s">
        <v>230</v>
      </c>
      <c r="T852" s="5" t="s">
        <v>48</v>
      </c>
      <c r="U852" t="s">
        <v>3448</v>
      </c>
      <c r="V852" t="s">
        <v>3449</v>
      </c>
      <c r="W852">
        <v>90</v>
      </c>
      <c r="X852" t="s">
        <v>1851</v>
      </c>
      <c r="Y852" t="str">
        <f>VLOOKUP(C852,'[1]DBS_KPY Sorumlular'!A:C,2,FALSE)</f>
        <v>Mustafa AYDIN</v>
      </c>
      <c r="Z852" t="str">
        <f>VLOOKUP(C852,'[1]DBS_KPY Sorumlular'!A:C,3,FALSE)</f>
        <v>Esra DOLAN</v>
      </c>
      <c r="AA852" t="str">
        <f>VLOOKUP(K852,[1]!Tablo3[#Data],2,FALSE)</f>
        <v>Kadir TOPÇU</v>
      </c>
    </row>
    <row r="853" spans="1:27" x14ac:dyDescent="0.25">
      <c r="A853">
        <v>2160</v>
      </c>
      <c r="B853" t="s">
        <v>1419</v>
      </c>
      <c r="C853" t="s">
        <v>402</v>
      </c>
      <c r="D853" t="s">
        <v>403</v>
      </c>
      <c r="F853" t="s">
        <v>383</v>
      </c>
      <c r="G853" t="s">
        <v>384</v>
      </c>
      <c r="H853" t="s">
        <v>3450</v>
      </c>
      <c r="I853" s="4"/>
      <c r="J853" t="s">
        <v>3451</v>
      </c>
      <c r="K853" t="s">
        <v>926</v>
      </c>
      <c r="L853" s="5" t="s">
        <v>3452</v>
      </c>
      <c r="M853" s="5"/>
      <c r="N853" t="s">
        <v>1824</v>
      </c>
      <c r="O853" t="s">
        <v>3453</v>
      </c>
      <c r="S853" t="s">
        <v>230</v>
      </c>
      <c r="T853" s="5" t="s">
        <v>100</v>
      </c>
      <c r="W853">
        <v>221</v>
      </c>
      <c r="X853" t="s">
        <v>1005</v>
      </c>
      <c r="Y853" t="str">
        <f>VLOOKUP(C853,'[1]DBS_KPY Sorumlular'!A:C,2,FALSE)</f>
        <v>Tayfun VİÇE</v>
      </c>
      <c r="Z853" t="str">
        <f>VLOOKUP(C853,'[1]DBS_KPY Sorumlular'!A:C,3,FALSE)</f>
        <v>Mehmet Ali YAVUZ</v>
      </c>
      <c r="AA853" t="str">
        <f>VLOOKUP(K853,[1]!Tablo3[#Data],2,FALSE)</f>
        <v>Kadir TOPÇU</v>
      </c>
    </row>
    <row r="854" spans="1:27" x14ac:dyDescent="0.25">
      <c r="A854">
        <v>2161</v>
      </c>
      <c r="B854" t="s">
        <v>1419</v>
      </c>
      <c r="C854" t="s">
        <v>73</v>
      </c>
      <c r="D854" t="s">
        <v>73</v>
      </c>
      <c r="F854" t="s">
        <v>486</v>
      </c>
      <c r="G854" t="s">
        <v>30</v>
      </c>
      <c r="H854" t="s">
        <v>1321</v>
      </c>
      <c r="I854" s="4">
        <v>46387.875</v>
      </c>
      <c r="J854" t="s">
        <v>3454</v>
      </c>
      <c r="K854" t="s">
        <v>926</v>
      </c>
      <c r="L854" s="5"/>
      <c r="M854" s="5"/>
      <c r="N854" t="s">
        <v>35</v>
      </c>
      <c r="O854" t="s">
        <v>3455</v>
      </c>
      <c r="S854" t="s">
        <v>230</v>
      </c>
      <c r="T854" s="5" t="s">
        <v>38</v>
      </c>
      <c r="Y854" t="str">
        <f>VLOOKUP(C854,'[1]DBS_KPY Sorumlular'!A:C,2,FALSE)</f>
        <v>Ayşegül AKGÜL</v>
      </c>
      <c r="Z854" t="str">
        <f>VLOOKUP(C854,'[1]DBS_KPY Sorumlular'!A:C,3,FALSE)</f>
        <v>Sinan ERDAŞ</v>
      </c>
      <c r="AA854" t="str">
        <f>VLOOKUP(K854,[1]!Tablo3[#Data],2,FALSE)</f>
        <v>Kadir TOPÇU</v>
      </c>
    </row>
    <row r="855" spans="1:27" x14ac:dyDescent="0.25">
      <c r="A855">
        <v>2162</v>
      </c>
      <c r="B855" t="s">
        <v>1419</v>
      </c>
      <c r="C855" t="s">
        <v>73</v>
      </c>
      <c r="D855" t="s">
        <v>73</v>
      </c>
      <c r="F855" t="s">
        <v>486</v>
      </c>
      <c r="G855" t="s">
        <v>30</v>
      </c>
      <c r="H855" t="s">
        <v>3456</v>
      </c>
      <c r="I855" s="4"/>
      <c r="J855" t="s">
        <v>1326</v>
      </c>
      <c r="K855" t="s">
        <v>926</v>
      </c>
      <c r="L855" s="5"/>
      <c r="M855" s="5"/>
      <c r="N855" t="s">
        <v>35</v>
      </c>
      <c r="O855" t="s">
        <v>3457</v>
      </c>
      <c r="S855" t="s">
        <v>230</v>
      </c>
      <c r="T855" s="5" t="s">
        <v>38</v>
      </c>
      <c r="Y855" t="str">
        <f>VLOOKUP(C855,'[1]DBS_KPY Sorumlular'!A:C,2,FALSE)</f>
        <v>Ayşegül AKGÜL</v>
      </c>
      <c r="Z855" t="str">
        <f>VLOOKUP(C855,'[1]DBS_KPY Sorumlular'!A:C,3,FALSE)</f>
        <v>Sinan ERDAŞ</v>
      </c>
      <c r="AA855" t="str">
        <f>VLOOKUP(K855,[1]!Tablo3[#Data],2,FALSE)</f>
        <v>Kadir TOPÇU</v>
      </c>
    </row>
    <row r="856" spans="1:27" x14ac:dyDescent="0.25">
      <c r="A856">
        <v>2163</v>
      </c>
      <c r="B856" t="s">
        <v>1419</v>
      </c>
      <c r="C856" t="s">
        <v>73</v>
      </c>
      <c r="D856" t="s">
        <v>73</v>
      </c>
      <c r="F856" t="s">
        <v>486</v>
      </c>
      <c r="G856" t="s">
        <v>456</v>
      </c>
      <c r="H856" t="s">
        <v>3458</v>
      </c>
      <c r="I856" s="4"/>
      <c r="J856" t="s">
        <v>3459</v>
      </c>
      <c r="K856" t="s">
        <v>926</v>
      </c>
      <c r="L856" s="5"/>
      <c r="M856" s="5"/>
      <c r="N856" t="s">
        <v>35</v>
      </c>
      <c r="O856" t="s">
        <v>3460</v>
      </c>
      <c r="S856" t="s">
        <v>230</v>
      </c>
      <c r="T856" s="5" t="s">
        <v>38</v>
      </c>
      <c r="Y856" t="str">
        <f>VLOOKUP(C856,'[1]DBS_KPY Sorumlular'!A:C,2,FALSE)</f>
        <v>Ayşegül AKGÜL</v>
      </c>
      <c r="Z856" t="str">
        <f>VLOOKUP(C856,'[1]DBS_KPY Sorumlular'!A:C,3,FALSE)</f>
        <v>Sinan ERDAŞ</v>
      </c>
      <c r="AA856" t="str">
        <f>VLOOKUP(K856,[1]!Tablo3[#Data],2,FALSE)</f>
        <v>Kadir TOPÇU</v>
      </c>
    </row>
    <row r="857" spans="1:27" x14ac:dyDescent="0.25">
      <c r="A857">
        <v>2164</v>
      </c>
      <c r="B857" t="s">
        <v>1419</v>
      </c>
      <c r="C857" t="s">
        <v>73</v>
      </c>
      <c r="D857" t="s">
        <v>73</v>
      </c>
      <c r="F857" t="s">
        <v>486</v>
      </c>
      <c r="G857" t="s">
        <v>384</v>
      </c>
      <c r="H857" t="s">
        <v>3461</v>
      </c>
      <c r="I857" s="4"/>
      <c r="J857" t="s">
        <v>3462</v>
      </c>
      <c r="K857" t="s">
        <v>926</v>
      </c>
      <c r="L857" s="5"/>
      <c r="M857" s="5"/>
      <c r="N857" t="s">
        <v>35</v>
      </c>
      <c r="O857" t="s">
        <v>3463</v>
      </c>
      <c r="S857" t="s">
        <v>230</v>
      </c>
      <c r="T857" s="5" t="s">
        <v>38</v>
      </c>
      <c r="Y857" t="str">
        <f>VLOOKUP(C857,'[1]DBS_KPY Sorumlular'!A:C,2,FALSE)</f>
        <v>Ayşegül AKGÜL</v>
      </c>
      <c r="Z857" t="str">
        <f>VLOOKUP(C857,'[1]DBS_KPY Sorumlular'!A:C,3,FALSE)</f>
        <v>Sinan ERDAŞ</v>
      </c>
      <c r="AA857" t="str">
        <f>VLOOKUP(K857,[1]!Tablo3[#Data],2,FALSE)</f>
        <v>Kadir TOPÇU</v>
      </c>
    </row>
    <row r="858" spans="1:27" x14ac:dyDescent="0.25">
      <c r="A858">
        <v>2165</v>
      </c>
      <c r="B858" t="s">
        <v>1419</v>
      </c>
      <c r="C858" t="s">
        <v>40</v>
      </c>
      <c r="D858" t="s">
        <v>65</v>
      </c>
      <c r="F858" t="s">
        <v>486</v>
      </c>
      <c r="G858" t="s">
        <v>67</v>
      </c>
      <c r="H858" t="s">
        <v>3464</v>
      </c>
      <c r="I858" s="4"/>
      <c r="K858" t="s">
        <v>1334</v>
      </c>
      <c r="L858" s="5"/>
      <c r="M858" s="5"/>
      <c r="N858" t="s">
        <v>35</v>
      </c>
      <c r="O858" t="s">
        <v>3465</v>
      </c>
      <c r="S858" t="s">
        <v>57</v>
      </c>
      <c r="T858" s="5" t="s">
        <v>100</v>
      </c>
      <c r="W858">
        <v>104</v>
      </c>
      <c r="X858" t="s">
        <v>703</v>
      </c>
      <c r="Y858" t="str">
        <f>VLOOKUP(C858,'[1]DBS_KPY Sorumlular'!A:C,2,FALSE)</f>
        <v>Mustafa AYDIN</v>
      </c>
      <c r="Z858" t="str">
        <f>VLOOKUP(C858,'[1]DBS_KPY Sorumlular'!A:C,3,FALSE)</f>
        <v>Esra DOLAN</v>
      </c>
      <c r="AA858" t="str">
        <f>VLOOKUP(K858,[1]!Tablo3[#Data],2,FALSE)</f>
        <v>Erkan AKDOĞAN</v>
      </c>
    </row>
    <row r="859" spans="1:27" x14ac:dyDescent="0.25">
      <c r="A859">
        <v>2166</v>
      </c>
      <c r="B859" t="s">
        <v>1419</v>
      </c>
      <c r="C859" t="s">
        <v>40</v>
      </c>
      <c r="D859" t="s">
        <v>65</v>
      </c>
      <c r="F859" t="s">
        <v>486</v>
      </c>
      <c r="G859" t="s">
        <v>67</v>
      </c>
      <c r="H859" t="s">
        <v>3466</v>
      </c>
      <c r="I859" s="4"/>
      <c r="K859" t="s">
        <v>1334</v>
      </c>
      <c r="L859" s="5"/>
      <c r="M859" s="5"/>
      <c r="N859" t="s">
        <v>35</v>
      </c>
      <c r="O859" t="s">
        <v>3465</v>
      </c>
      <c r="S859" t="s">
        <v>57</v>
      </c>
      <c r="T859" s="5" t="s">
        <v>48</v>
      </c>
      <c r="U859" t="s">
        <v>3467</v>
      </c>
      <c r="V859" t="s">
        <v>3468</v>
      </c>
      <c r="W859">
        <v>104</v>
      </c>
      <c r="X859" t="s">
        <v>703</v>
      </c>
      <c r="Y859" t="str">
        <f>VLOOKUP(C859,'[1]DBS_KPY Sorumlular'!A:C,2,FALSE)</f>
        <v>Mustafa AYDIN</v>
      </c>
      <c r="Z859" t="str">
        <f>VLOOKUP(C859,'[1]DBS_KPY Sorumlular'!A:C,3,FALSE)</f>
        <v>Esra DOLAN</v>
      </c>
      <c r="AA859" t="str">
        <f>VLOOKUP(K859,[1]!Tablo3[#Data],2,FALSE)</f>
        <v>Erkan AKDOĞAN</v>
      </c>
    </row>
    <row r="860" spans="1:27" x14ac:dyDescent="0.25">
      <c r="A860">
        <v>2167</v>
      </c>
      <c r="B860" t="s">
        <v>1419</v>
      </c>
      <c r="C860" t="s">
        <v>73</v>
      </c>
      <c r="D860" t="s">
        <v>73</v>
      </c>
      <c r="F860" t="s">
        <v>486</v>
      </c>
      <c r="G860" t="s">
        <v>30</v>
      </c>
      <c r="H860" t="s">
        <v>3469</v>
      </c>
      <c r="I860" s="4"/>
      <c r="J860" t="s">
        <v>1558</v>
      </c>
      <c r="K860" t="s">
        <v>1334</v>
      </c>
      <c r="L860" s="5"/>
      <c r="M860" s="5"/>
      <c r="N860" t="s">
        <v>35</v>
      </c>
      <c r="O860" t="s">
        <v>3470</v>
      </c>
      <c r="S860" t="s">
        <v>57</v>
      </c>
      <c r="T860" s="5" t="s">
        <v>38</v>
      </c>
      <c r="Y860" t="str">
        <f>VLOOKUP(C860,'[1]DBS_KPY Sorumlular'!A:C,2,FALSE)</f>
        <v>Ayşegül AKGÜL</v>
      </c>
      <c r="Z860" t="str">
        <f>VLOOKUP(C860,'[1]DBS_KPY Sorumlular'!A:C,3,FALSE)</f>
        <v>Sinan ERDAŞ</v>
      </c>
      <c r="AA860" t="str">
        <f>VLOOKUP(K860,[1]!Tablo3[#Data],2,FALSE)</f>
        <v>Erkan AKDOĞAN</v>
      </c>
    </row>
    <row r="861" spans="1:27" x14ac:dyDescent="0.25">
      <c r="A861">
        <v>2168</v>
      </c>
      <c r="B861" t="s">
        <v>1419</v>
      </c>
      <c r="C861" t="s">
        <v>73</v>
      </c>
      <c r="D861" t="s">
        <v>73</v>
      </c>
      <c r="F861" t="s">
        <v>486</v>
      </c>
      <c r="G861" t="s">
        <v>30</v>
      </c>
      <c r="H861" t="s">
        <v>3471</v>
      </c>
      <c r="I861" s="4"/>
      <c r="J861" t="s">
        <v>3170</v>
      </c>
      <c r="K861" t="s">
        <v>1334</v>
      </c>
      <c r="L861" s="5"/>
      <c r="M861" s="5"/>
      <c r="N861" t="s">
        <v>35</v>
      </c>
      <c r="O861" t="s">
        <v>3470</v>
      </c>
      <c r="S861" t="s">
        <v>57</v>
      </c>
      <c r="T861" s="5" t="s">
        <v>38</v>
      </c>
      <c r="Y861" t="str">
        <f>VLOOKUP(C861,'[1]DBS_KPY Sorumlular'!A:C,2,FALSE)</f>
        <v>Ayşegül AKGÜL</v>
      </c>
      <c r="Z861" t="str">
        <f>VLOOKUP(C861,'[1]DBS_KPY Sorumlular'!A:C,3,FALSE)</f>
        <v>Sinan ERDAŞ</v>
      </c>
      <c r="AA861" t="str">
        <f>VLOOKUP(K861,[1]!Tablo3[#Data],2,FALSE)</f>
        <v>Erkan AKDOĞAN</v>
      </c>
    </row>
    <row r="862" spans="1:27" x14ac:dyDescent="0.25">
      <c r="A862">
        <v>2169</v>
      </c>
      <c r="B862" t="s">
        <v>1419</v>
      </c>
      <c r="C862" t="s">
        <v>73</v>
      </c>
      <c r="D862" t="s">
        <v>73</v>
      </c>
      <c r="F862" t="s">
        <v>486</v>
      </c>
      <c r="G862" t="s">
        <v>30</v>
      </c>
      <c r="H862" t="s">
        <v>3472</v>
      </c>
      <c r="I862" s="4"/>
      <c r="J862" t="s">
        <v>3473</v>
      </c>
      <c r="K862" t="s">
        <v>1334</v>
      </c>
      <c r="L862" s="5"/>
      <c r="M862" s="5"/>
      <c r="N862" t="s">
        <v>35</v>
      </c>
      <c r="O862" t="s">
        <v>3474</v>
      </c>
      <c r="S862" t="s">
        <v>57</v>
      </c>
      <c r="T862" s="5" t="s">
        <v>38</v>
      </c>
      <c r="Y862" t="str">
        <f>VLOOKUP(C862,'[1]DBS_KPY Sorumlular'!A:C,2,FALSE)</f>
        <v>Ayşegül AKGÜL</v>
      </c>
      <c r="Z862" t="str">
        <f>VLOOKUP(C862,'[1]DBS_KPY Sorumlular'!A:C,3,FALSE)</f>
        <v>Sinan ERDAŞ</v>
      </c>
      <c r="AA862" t="str">
        <f>VLOOKUP(K862,[1]!Tablo3[#Data],2,FALSE)</f>
        <v>Erkan AKDOĞAN</v>
      </c>
    </row>
    <row r="863" spans="1:27" x14ac:dyDescent="0.25">
      <c r="A863">
        <v>2170</v>
      </c>
      <c r="B863" t="s">
        <v>1419</v>
      </c>
      <c r="C863" t="s">
        <v>1674</v>
      </c>
      <c r="D863" t="s">
        <v>1675</v>
      </c>
      <c r="F863" t="s">
        <v>52</v>
      </c>
      <c r="G863" t="s">
        <v>30</v>
      </c>
      <c r="H863" t="s">
        <v>3475</v>
      </c>
      <c r="I863" s="4"/>
      <c r="J863" t="s">
        <v>3476</v>
      </c>
      <c r="K863" t="s">
        <v>1334</v>
      </c>
      <c r="L863" s="5"/>
      <c r="M863" s="5"/>
      <c r="N863" t="s">
        <v>35</v>
      </c>
      <c r="O863" t="s">
        <v>3477</v>
      </c>
      <c r="S863" t="s">
        <v>57</v>
      </c>
      <c r="T863" s="5" t="s">
        <v>48</v>
      </c>
      <c r="U863" t="s">
        <v>3478</v>
      </c>
      <c r="V863" t="s">
        <v>3479</v>
      </c>
      <c r="W863">
        <v>65</v>
      </c>
      <c r="X863" t="s">
        <v>374</v>
      </c>
      <c r="Y863" t="str">
        <f>VLOOKUP(C863,'[1]DBS_KPY Sorumlular'!A:C,2,FALSE)</f>
        <v>Kadir TOPÇU</v>
      </c>
      <c r="Z863" t="str">
        <f>VLOOKUP(C863,'[1]DBS_KPY Sorumlular'!A:C,3,FALSE)</f>
        <v>Erkan AKDOĞAN</v>
      </c>
      <c r="AA863" t="str">
        <f>VLOOKUP(K863,[1]!Tablo3[#Data],2,FALSE)</f>
        <v>Erkan AKDOĞAN</v>
      </c>
    </row>
    <row r="864" spans="1:27" x14ac:dyDescent="0.25">
      <c r="A864">
        <v>2171</v>
      </c>
      <c r="B864" t="s">
        <v>1419</v>
      </c>
      <c r="C864" t="s">
        <v>652</v>
      </c>
      <c r="D864" t="s">
        <v>653</v>
      </c>
      <c r="F864" t="s">
        <v>455</v>
      </c>
      <c r="G864" t="s">
        <v>456</v>
      </c>
      <c r="H864" t="s">
        <v>3480</v>
      </c>
      <c r="I864" s="4"/>
      <c r="J864" t="s">
        <v>3481</v>
      </c>
      <c r="K864" t="s">
        <v>1334</v>
      </c>
      <c r="L864" s="5"/>
      <c r="M864" s="5"/>
      <c r="N864" t="s">
        <v>35</v>
      </c>
      <c r="O864" t="s">
        <v>3482</v>
      </c>
      <c r="S864" t="s">
        <v>57</v>
      </c>
      <c r="T864" s="5" t="s">
        <v>100</v>
      </c>
      <c r="W864">
        <v>144</v>
      </c>
      <c r="X864" t="s">
        <v>463</v>
      </c>
      <c r="Y864" t="str">
        <f>VLOOKUP(C864,'[1]DBS_KPY Sorumlular'!A:C,2,FALSE)</f>
        <v>Seyithan İŞİK</v>
      </c>
      <c r="Z864" t="str">
        <f>VLOOKUP(C864,'[1]DBS_KPY Sorumlular'!A:C,3,FALSE)</f>
        <v>Korhan KÖROĞLU</v>
      </c>
      <c r="AA864" t="str">
        <f>VLOOKUP(K864,[1]!Tablo3[#Data],2,FALSE)</f>
        <v>Erkan AKDOĞAN</v>
      </c>
    </row>
    <row r="865" spans="1:27" x14ac:dyDescent="0.25">
      <c r="A865">
        <v>2172</v>
      </c>
      <c r="B865" t="s">
        <v>1419</v>
      </c>
      <c r="C865" t="s">
        <v>652</v>
      </c>
      <c r="D865" t="s">
        <v>653</v>
      </c>
      <c r="F865" t="s">
        <v>482</v>
      </c>
      <c r="G865" t="s">
        <v>456</v>
      </c>
      <c r="H865" t="s">
        <v>3483</v>
      </c>
      <c r="I865" s="4"/>
      <c r="J865" t="s">
        <v>3484</v>
      </c>
      <c r="K865" t="s">
        <v>1334</v>
      </c>
      <c r="L865" s="5"/>
      <c r="M865" s="5"/>
      <c r="N865" t="s">
        <v>35</v>
      </c>
      <c r="O865" t="s">
        <v>3485</v>
      </c>
      <c r="S865" t="s">
        <v>57</v>
      </c>
      <c r="T865" s="5" t="s">
        <v>100</v>
      </c>
      <c r="W865">
        <v>144</v>
      </c>
      <c r="X865" t="s">
        <v>463</v>
      </c>
      <c r="Y865" t="str">
        <f>VLOOKUP(C865,'[1]DBS_KPY Sorumlular'!A:C,2,FALSE)</f>
        <v>Seyithan İŞİK</v>
      </c>
      <c r="Z865" t="str">
        <f>VLOOKUP(C865,'[1]DBS_KPY Sorumlular'!A:C,3,FALSE)</f>
        <v>Korhan KÖROĞLU</v>
      </c>
      <c r="AA865" t="str">
        <f>VLOOKUP(K865,[1]!Tablo3[#Data],2,FALSE)</f>
        <v>Erkan AKDOĞAN</v>
      </c>
    </row>
    <row r="866" spans="1:27" x14ac:dyDescent="0.25">
      <c r="A866">
        <v>2173</v>
      </c>
      <c r="B866" t="s">
        <v>1419</v>
      </c>
      <c r="C866" t="s">
        <v>652</v>
      </c>
      <c r="D866" t="s">
        <v>653</v>
      </c>
      <c r="F866" t="s">
        <v>482</v>
      </c>
      <c r="G866" t="s">
        <v>456</v>
      </c>
      <c r="H866" t="s">
        <v>3486</v>
      </c>
      <c r="I866" s="4"/>
      <c r="J866" t="s">
        <v>3487</v>
      </c>
      <c r="K866" t="s">
        <v>1334</v>
      </c>
      <c r="L866" s="5"/>
      <c r="M866" s="5"/>
      <c r="N866" t="s">
        <v>35</v>
      </c>
      <c r="O866" t="s">
        <v>3485</v>
      </c>
      <c r="S866" t="s">
        <v>57</v>
      </c>
      <c r="T866" s="5" t="s">
        <v>100</v>
      </c>
      <c r="W866">
        <v>144</v>
      </c>
      <c r="X866" t="s">
        <v>463</v>
      </c>
      <c r="Y866" t="str">
        <f>VLOOKUP(C866,'[1]DBS_KPY Sorumlular'!A:C,2,FALSE)</f>
        <v>Seyithan İŞİK</v>
      </c>
      <c r="Z866" t="str">
        <f>VLOOKUP(C866,'[1]DBS_KPY Sorumlular'!A:C,3,FALSE)</f>
        <v>Korhan KÖROĞLU</v>
      </c>
      <c r="AA866" t="str">
        <f>VLOOKUP(K866,[1]!Tablo3[#Data],2,FALSE)</f>
        <v>Erkan AKDOĞAN</v>
      </c>
    </row>
    <row r="867" spans="1:27" x14ac:dyDescent="0.25">
      <c r="A867">
        <v>2174</v>
      </c>
      <c r="B867" t="s">
        <v>1419</v>
      </c>
      <c r="C867" t="s">
        <v>652</v>
      </c>
      <c r="D867" t="s">
        <v>653</v>
      </c>
      <c r="F867" t="s">
        <v>455</v>
      </c>
      <c r="G867" t="s">
        <v>456</v>
      </c>
      <c r="H867" t="s">
        <v>3488</v>
      </c>
      <c r="I867" s="4"/>
      <c r="J867" t="s">
        <v>3489</v>
      </c>
      <c r="K867" t="s">
        <v>1334</v>
      </c>
      <c r="L867" s="5"/>
      <c r="M867" s="5"/>
      <c r="N867" t="s">
        <v>35</v>
      </c>
      <c r="O867" t="s">
        <v>3485</v>
      </c>
      <c r="S867" t="s">
        <v>57</v>
      </c>
      <c r="T867" s="5" t="s">
        <v>100</v>
      </c>
      <c r="W867">
        <v>144</v>
      </c>
      <c r="X867" t="s">
        <v>463</v>
      </c>
      <c r="Y867" t="str">
        <f>VLOOKUP(C867,'[1]DBS_KPY Sorumlular'!A:C,2,FALSE)</f>
        <v>Seyithan İŞİK</v>
      </c>
      <c r="Z867" t="str">
        <f>VLOOKUP(C867,'[1]DBS_KPY Sorumlular'!A:C,3,FALSE)</f>
        <v>Korhan KÖROĞLU</v>
      </c>
      <c r="AA867" t="str">
        <f>VLOOKUP(K867,[1]!Tablo3[#Data],2,FALSE)</f>
        <v>Erkan AKDOĞAN</v>
      </c>
    </row>
    <row r="868" spans="1:27" x14ac:dyDescent="0.25">
      <c r="A868">
        <v>2175</v>
      </c>
      <c r="B868" t="s">
        <v>1419</v>
      </c>
      <c r="C868" t="s">
        <v>402</v>
      </c>
      <c r="D868" t="s">
        <v>403</v>
      </c>
      <c r="F868" t="s">
        <v>383</v>
      </c>
      <c r="G868" t="s">
        <v>384</v>
      </c>
      <c r="H868" t="s">
        <v>3490</v>
      </c>
      <c r="I868" s="4"/>
      <c r="J868" t="s">
        <v>3491</v>
      </c>
      <c r="K868" t="s">
        <v>1334</v>
      </c>
      <c r="L868" s="5" t="s">
        <v>3492</v>
      </c>
      <c r="M868" s="5" t="s">
        <v>3493</v>
      </c>
      <c r="N868" t="s">
        <v>1824</v>
      </c>
      <c r="O868" t="s">
        <v>3494</v>
      </c>
      <c r="S868" t="s">
        <v>57</v>
      </c>
      <c r="T868" s="5" t="s">
        <v>100</v>
      </c>
      <c r="W868">
        <v>157</v>
      </c>
      <c r="X868" t="s">
        <v>3495</v>
      </c>
      <c r="Y868" t="str">
        <f>VLOOKUP(C868,'[1]DBS_KPY Sorumlular'!A:C,2,FALSE)</f>
        <v>Tayfun VİÇE</v>
      </c>
      <c r="Z868" t="str">
        <f>VLOOKUP(C868,'[1]DBS_KPY Sorumlular'!A:C,3,FALSE)</f>
        <v>Mehmet Ali YAVUZ</v>
      </c>
      <c r="AA868" t="str">
        <f>VLOOKUP(K868,[1]!Tablo3[#Data],2,FALSE)</f>
        <v>Erkan AKDOĞAN</v>
      </c>
    </row>
    <row r="869" spans="1:27" x14ac:dyDescent="0.25">
      <c r="A869">
        <v>2176</v>
      </c>
      <c r="B869" t="s">
        <v>1419</v>
      </c>
      <c r="C869" t="s">
        <v>402</v>
      </c>
      <c r="D869" t="s">
        <v>403</v>
      </c>
      <c r="F869" t="s">
        <v>383</v>
      </c>
      <c r="G869" t="s">
        <v>384</v>
      </c>
      <c r="H869" t="s">
        <v>3496</v>
      </c>
      <c r="I869" s="4"/>
      <c r="J869" t="s">
        <v>3497</v>
      </c>
      <c r="K869" t="s">
        <v>1334</v>
      </c>
      <c r="L869" s="5" t="s">
        <v>3498</v>
      </c>
      <c r="M869" s="5"/>
      <c r="N869" t="s">
        <v>1824</v>
      </c>
      <c r="O869" t="s">
        <v>3499</v>
      </c>
      <c r="S869" t="s">
        <v>57</v>
      </c>
      <c r="T869" s="5" t="s">
        <v>100</v>
      </c>
      <c r="W869">
        <v>241</v>
      </c>
      <c r="X869" t="s">
        <v>3500</v>
      </c>
      <c r="Y869" t="str">
        <f>VLOOKUP(C869,'[1]DBS_KPY Sorumlular'!A:C,2,FALSE)</f>
        <v>Tayfun VİÇE</v>
      </c>
      <c r="Z869" t="str">
        <f>VLOOKUP(C869,'[1]DBS_KPY Sorumlular'!A:C,3,FALSE)</f>
        <v>Mehmet Ali YAVUZ</v>
      </c>
      <c r="AA869" t="str">
        <f>VLOOKUP(K869,[1]!Tablo3[#Data],2,FALSE)</f>
        <v>Erkan AKDOĞAN</v>
      </c>
    </row>
    <row r="870" spans="1:27" x14ac:dyDescent="0.25">
      <c r="A870">
        <v>2177</v>
      </c>
      <c r="B870" t="s">
        <v>1419</v>
      </c>
      <c r="C870" t="s">
        <v>1723</v>
      </c>
      <c r="D870" t="s">
        <v>2823</v>
      </c>
      <c r="F870" t="s">
        <v>532</v>
      </c>
      <c r="G870" t="s">
        <v>43</v>
      </c>
      <c r="H870" t="s">
        <v>3501</v>
      </c>
      <c r="I870" s="4"/>
      <c r="J870" t="s">
        <v>3502</v>
      </c>
      <c r="K870" t="s">
        <v>1334</v>
      </c>
      <c r="L870" s="5" t="s">
        <v>3503</v>
      </c>
      <c r="M870" s="5" t="s">
        <v>35</v>
      </c>
      <c r="N870" t="s">
        <v>35</v>
      </c>
      <c r="O870" t="s">
        <v>3504</v>
      </c>
      <c r="S870" t="s">
        <v>57</v>
      </c>
      <c r="T870" s="5" t="s">
        <v>38</v>
      </c>
      <c r="Y870" t="str">
        <f>VLOOKUP(C870,'[1]DBS_KPY Sorumlular'!A:C,2,FALSE)</f>
        <v>Erkan AKDOĞAN</v>
      </c>
      <c r="Z870" t="str">
        <f>VLOOKUP(C870,'[1]DBS_KPY Sorumlular'!A:C,3,FALSE)</f>
        <v>Kadir TOPÇU</v>
      </c>
      <c r="AA870" t="str">
        <f>VLOOKUP(K870,[1]!Tablo3[#Data],2,FALSE)</f>
        <v>Erkan AKDOĞAN</v>
      </c>
    </row>
    <row r="871" spans="1:27" x14ac:dyDescent="0.25">
      <c r="A871">
        <v>2178</v>
      </c>
      <c r="B871" t="s">
        <v>1419</v>
      </c>
      <c r="C871" t="s">
        <v>73</v>
      </c>
      <c r="D871" t="s">
        <v>73</v>
      </c>
      <c r="F871" t="s">
        <v>486</v>
      </c>
      <c r="G871" t="s">
        <v>30</v>
      </c>
      <c r="H871" t="s">
        <v>1344</v>
      </c>
      <c r="I871" s="4"/>
      <c r="J871" t="s">
        <v>3505</v>
      </c>
      <c r="K871" t="s">
        <v>1334</v>
      </c>
      <c r="L871" s="5"/>
      <c r="M871" s="5"/>
      <c r="N871" t="s">
        <v>35</v>
      </c>
      <c r="O871" t="s">
        <v>3506</v>
      </c>
      <c r="S871" t="s">
        <v>57</v>
      </c>
      <c r="T871" s="5" t="s">
        <v>38</v>
      </c>
      <c r="Y871" t="str">
        <f>VLOOKUP(C871,'[1]DBS_KPY Sorumlular'!A:C,2,FALSE)</f>
        <v>Ayşegül AKGÜL</v>
      </c>
      <c r="Z871" t="str">
        <f>VLOOKUP(C871,'[1]DBS_KPY Sorumlular'!A:C,3,FALSE)</f>
        <v>Sinan ERDAŞ</v>
      </c>
      <c r="AA871" t="str">
        <f>VLOOKUP(K871,[1]!Tablo3[#Data],2,FALSE)</f>
        <v>Erkan AKDOĞAN</v>
      </c>
    </row>
    <row r="872" spans="1:27" x14ac:dyDescent="0.25">
      <c r="A872">
        <v>2179</v>
      </c>
      <c r="B872" t="s">
        <v>1419</v>
      </c>
      <c r="C872" t="s">
        <v>73</v>
      </c>
      <c r="D872" t="s">
        <v>73</v>
      </c>
      <c r="F872" t="s">
        <v>486</v>
      </c>
      <c r="G872" t="s">
        <v>30</v>
      </c>
      <c r="H872" t="s">
        <v>3507</v>
      </c>
      <c r="I872" s="4"/>
      <c r="J872" t="s">
        <v>1558</v>
      </c>
      <c r="K872" t="s">
        <v>1334</v>
      </c>
      <c r="L872" s="5"/>
      <c r="M872" s="5"/>
      <c r="N872" t="s">
        <v>35</v>
      </c>
      <c r="O872" t="s">
        <v>3508</v>
      </c>
      <c r="S872" t="s">
        <v>57</v>
      </c>
      <c r="T872" s="5" t="s">
        <v>38</v>
      </c>
      <c r="Y872" t="str">
        <f>VLOOKUP(C872,'[1]DBS_KPY Sorumlular'!A:C,2,FALSE)</f>
        <v>Ayşegül AKGÜL</v>
      </c>
      <c r="Z872" t="str">
        <f>VLOOKUP(C872,'[1]DBS_KPY Sorumlular'!A:C,3,FALSE)</f>
        <v>Sinan ERDAŞ</v>
      </c>
      <c r="AA872" t="str">
        <f>VLOOKUP(K872,[1]!Tablo3[#Data],2,FALSE)</f>
        <v>Erkan AKDOĞAN</v>
      </c>
    </row>
    <row r="873" spans="1:27" x14ac:dyDescent="0.25">
      <c r="A873">
        <v>2180</v>
      </c>
      <c r="B873" t="s">
        <v>1419</v>
      </c>
      <c r="C873" t="s">
        <v>73</v>
      </c>
      <c r="D873" t="s">
        <v>73</v>
      </c>
      <c r="F873" t="s">
        <v>486</v>
      </c>
      <c r="G873" t="s">
        <v>30</v>
      </c>
      <c r="H873" t="s">
        <v>3509</v>
      </c>
      <c r="I873" s="4"/>
      <c r="J873" t="s">
        <v>1558</v>
      </c>
      <c r="K873" t="s">
        <v>1334</v>
      </c>
      <c r="L873" s="5"/>
      <c r="M873" s="5"/>
      <c r="N873" t="s">
        <v>35</v>
      </c>
      <c r="O873" t="s">
        <v>3510</v>
      </c>
      <c r="S873" t="s">
        <v>57</v>
      </c>
      <c r="T873" s="5" t="s">
        <v>38</v>
      </c>
      <c r="Y873" t="str">
        <f>VLOOKUP(C873,'[1]DBS_KPY Sorumlular'!A:C,2,FALSE)</f>
        <v>Ayşegül AKGÜL</v>
      </c>
      <c r="Z873" t="str">
        <f>VLOOKUP(C873,'[1]DBS_KPY Sorumlular'!A:C,3,FALSE)</f>
        <v>Sinan ERDAŞ</v>
      </c>
      <c r="AA873" t="str">
        <f>VLOOKUP(K873,[1]!Tablo3[#Data],2,FALSE)</f>
        <v>Erkan AKDOĞAN</v>
      </c>
    </row>
    <row r="874" spans="1:27" x14ac:dyDescent="0.25">
      <c r="A874">
        <v>2181</v>
      </c>
      <c r="B874" t="s">
        <v>1419</v>
      </c>
      <c r="C874" t="s">
        <v>73</v>
      </c>
      <c r="D874" t="s">
        <v>73</v>
      </c>
      <c r="F874" t="s">
        <v>486</v>
      </c>
      <c r="G874" t="s">
        <v>456</v>
      </c>
      <c r="H874" t="s">
        <v>3511</v>
      </c>
      <c r="I874" s="4"/>
      <c r="J874" t="s">
        <v>3512</v>
      </c>
      <c r="K874" t="s">
        <v>1334</v>
      </c>
      <c r="L874" s="5" t="s">
        <v>1784</v>
      </c>
      <c r="M874" s="5"/>
      <c r="N874" t="s">
        <v>35</v>
      </c>
      <c r="O874" t="s">
        <v>3513</v>
      </c>
      <c r="S874" t="s">
        <v>57</v>
      </c>
      <c r="T874" s="5" t="s">
        <v>38</v>
      </c>
      <c r="Y874" t="str">
        <f>VLOOKUP(C874,'[1]DBS_KPY Sorumlular'!A:C,2,FALSE)</f>
        <v>Ayşegül AKGÜL</v>
      </c>
      <c r="Z874" t="str">
        <f>VLOOKUP(C874,'[1]DBS_KPY Sorumlular'!A:C,3,FALSE)</f>
        <v>Sinan ERDAŞ</v>
      </c>
      <c r="AA874" t="str">
        <f>VLOOKUP(K874,[1]!Tablo3[#Data],2,FALSE)</f>
        <v>Erkan AKDOĞAN</v>
      </c>
    </row>
    <row r="875" spans="1:27" x14ac:dyDescent="0.25">
      <c r="A875">
        <v>2182</v>
      </c>
      <c r="B875" t="s">
        <v>1419</v>
      </c>
      <c r="C875" t="s">
        <v>1723</v>
      </c>
      <c r="D875" t="s">
        <v>2478</v>
      </c>
      <c r="F875" t="s">
        <v>486</v>
      </c>
      <c r="G875" t="s">
        <v>67</v>
      </c>
      <c r="H875" t="s">
        <v>3514</v>
      </c>
      <c r="I875" s="4"/>
      <c r="J875" t="s">
        <v>3515</v>
      </c>
      <c r="K875" t="s">
        <v>1348</v>
      </c>
      <c r="L875" s="5" t="s">
        <v>3516</v>
      </c>
      <c r="M875" s="5" t="s">
        <v>35</v>
      </c>
      <c r="N875" t="s">
        <v>35</v>
      </c>
      <c r="O875" t="s">
        <v>3517</v>
      </c>
      <c r="S875" t="s">
        <v>37</v>
      </c>
      <c r="T875" s="5" t="s">
        <v>38</v>
      </c>
      <c r="Y875" t="str">
        <f>VLOOKUP(C875,'[1]DBS_KPY Sorumlular'!A:C,2,FALSE)</f>
        <v>Erkan AKDOĞAN</v>
      </c>
      <c r="Z875" t="str">
        <f>VLOOKUP(C875,'[1]DBS_KPY Sorumlular'!A:C,3,FALSE)</f>
        <v>Kadir TOPÇU</v>
      </c>
      <c r="AA875" t="str">
        <f>VLOOKUP(K875,[1]!Tablo3[#Data],2,FALSE)</f>
        <v>Tayfun VİÇE</v>
      </c>
    </row>
    <row r="876" spans="1:27" x14ac:dyDescent="0.25">
      <c r="A876">
        <v>2183</v>
      </c>
      <c r="B876" t="s">
        <v>1419</v>
      </c>
      <c r="C876" t="s">
        <v>1723</v>
      </c>
      <c r="D876" t="s">
        <v>2478</v>
      </c>
      <c r="F876" t="s">
        <v>306</v>
      </c>
      <c r="G876" t="s">
        <v>96</v>
      </c>
      <c r="H876" t="s">
        <v>3518</v>
      </c>
      <c r="I876" s="4"/>
      <c r="J876" t="s">
        <v>3519</v>
      </c>
      <c r="K876" t="s">
        <v>1348</v>
      </c>
      <c r="L876" s="5" t="s">
        <v>3519</v>
      </c>
      <c r="M876" s="5"/>
      <c r="N876" t="s">
        <v>35</v>
      </c>
      <c r="O876" t="s">
        <v>3520</v>
      </c>
      <c r="S876" t="s">
        <v>37</v>
      </c>
      <c r="T876" s="5" t="s">
        <v>38</v>
      </c>
      <c r="Y876" t="str">
        <f>VLOOKUP(C876,'[1]DBS_KPY Sorumlular'!A:C,2,FALSE)</f>
        <v>Erkan AKDOĞAN</v>
      </c>
      <c r="Z876" t="str">
        <f>VLOOKUP(C876,'[1]DBS_KPY Sorumlular'!A:C,3,FALSE)</f>
        <v>Kadir TOPÇU</v>
      </c>
      <c r="AA876" t="str">
        <f>VLOOKUP(K876,[1]!Tablo3[#Data],2,FALSE)</f>
        <v>Tayfun VİÇE</v>
      </c>
    </row>
    <row r="877" spans="1:27" x14ac:dyDescent="0.25">
      <c r="A877">
        <v>2184</v>
      </c>
      <c r="B877" t="s">
        <v>1419</v>
      </c>
      <c r="C877" t="s">
        <v>1723</v>
      </c>
      <c r="D877" t="s">
        <v>2478</v>
      </c>
      <c r="F877" t="s">
        <v>486</v>
      </c>
      <c r="G877" t="s">
        <v>67</v>
      </c>
      <c r="H877" t="s">
        <v>3521</v>
      </c>
      <c r="I877" s="4"/>
      <c r="J877" t="s">
        <v>3522</v>
      </c>
      <c r="K877" t="s">
        <v>1348</v>
      </c>
      <c r="L877" s="5" t="s">
        <v>3523</v>
      </c>
      <c r="M877" s="5" t="s">
        <v>3524</v>
      </c>
      <c r="N877" t="s">
        <v>35</v>
      </c>
      <c r="O877" t="s">
        <v>3525</v>
      </c>
      <c r="S877" t="s">
        <v>37</v>
      </c>
      <c r="T877" s="5" t="s">
        <v>38</v>
      </c>
      <c r="Y877" t="str">
        <f>VLOOKUP(C877,'[1]DBS_KPY Sorumlular'!A:C,2,FALSE)</f>
        <v>Erkan AKDOĞAN</v>
      </c>
      <c r="Z877" t="str">
        <f>VLOOKUP(C877,'[1]DBS_KPY Sorumlular'!A:C,3,FALSE)</f>
        <v>Kadir TOPÇU</v>
      </c>
      <c r="AA877" t="str">
        <f>VLOOKUP(K877,[1]!Tablo3[#Data],2,FALSE)</f>
        <v>Tayfun VİÇE</v>
      </c>
    </row>
    <row r="878" spans="1:27" x14ac:dyDescent="0.25">
      <c r="A878">
        <v>2185</v>
      </c>
      <c r="B878" t="s">
        <v>27</v>
      </c>
      <c r="C878" t="s">
        <v>40</v>
      </c>
      <c r="D878" t="s">
        <v>65</v>
      </c>
      <c r="F878" t="s">
        <v>486</v>
      </c>
      <c r="G878" t="s">
        <v>67</v>
      </c>
      <c r="H878" t="s">
        <v>3526</v>
      </c>
      <c r="I878" s="4">
        <v>45929.875</v>
      </c>
      <c r="K878" t="s">
        <v>1348</v>
      </c>
      <c r="L878" s="5"/>
      <c r="M878" s="5" t="s">
        <v>3527</v>
      </c>
      <c r="N878" t="s">
        <v>46</v>
      </c>
      <c r="O878" t="s">
        <v>3528</v>
      </c>
      <c r="R878">
        <v>0.7</v>
      </c>
      <c r="S878" t="s">
        <v>37</v>
      </c>
      <c r="T878" s="5" t="s">
        <v>48</v>
      </c>
      <c r="U878" t="s">
        <v>3529</v>
      </c>
      <c r="V878" t="s">
        <v>3530</v>
      </c>
      <c r="W878">
        <v>202</v>
      </c>
      <c r="X878" t="s">
        <v>1045</v>
      </c>
      <c r="Y878" t="str">
        <f>VLOOKUP(C878,'[1]DBS_KPY Sorumlular'!A:C,2,FALSE)</f>
        <v>Mustafa AYDIN</v>
      </c>
      <c r="Z878" t="str">
        <f>VLOOKUP(C878,'[1]DBS_KPY Sorumlular'!A:C,3,FALSE)</f>
        <v>Esra DOLAN</v>
      </c>
      <c r="AA878" t="str">
        <f>VLOOKUP(K878,[1]!Tablo3[#Data],2,FALSE)</f>
        <v>Tayfun VİÇE</v>
      </c>
    </row>
    <row r="879" spans="1:27" x14ac:dyDescent="0.25">
      <c r="A879">
        <v>2186</v>
      </c>
      <c r="B879" t="s">
        <v>1419</v>
      </c>
      <c r="C879" t="s">
        <v>304</v>
      </c>
      <c r="D879" t="s">
        <v>305</v>
      </c>
      <c r="F879" t="s">
        <v>306</v>
      </c>
      <c r="G879" t="s">
        <v>96</v>
      </c>
      <c r="H879" t="s">
        <v>3531</v>
      </c>
      <c r="I879" s="4"/>
      <c r="J879" t="s">
        <v>3532</v>
      </c>
      <c r="K879" t="s">
        <v>1348</v>
      </c>
      <c r="L879" s="5"/>
      <c r="M879" s="5"/>
      <c r="N879" t="s">
        <v>35</v>
      </c>
      <c r="O879" t="s">
        <v>3533</v>
      </c>
      <c r="S879" t="s">
        <v>37</v>
      </c>
      <c r="T879" s="5" t="s">
        <v>38</v>
      </c>
      <c r="Y879" t="str">
        <f>VLOOKUP(C879,'[1]DBS_KPY Sorumlular'!A:C,2,FALSE)</f>
        <v>Erkan AKDOĞAN</v>
      </c>
      <c r="Z879" t="str">
        <f>VLOOKUP(C879,'[1]DBS_KPY Sorumlular'!A:C,3,FALSE)</f>
        <v>Kadir TOPÇU</v>
      </c>
      <c r="AA879" t="str">
        <f>VLOOKUP(K879,[1]!Tablo3[#Data],2,FALSE)</f>
        <v>Tayfun VİÇE</v>
      </c>
    </row>
    <row r="880" spans="1:27" x14ac:dyDescent="0.25">
      <c r="A880">
        <v>2187</v>
      </c>
      <c r="B880" t="s">
        <v>1419</v>
      </c>
      <c r="C880" t="s">
        <v>1674</v>
      </c>
      <c r="D880" t="s">
        <v>1675</v>
      </c>
      <c r="F880" t="s">
        <v>66</v>
      </c>
      <c r="G880" t="s">
        <v>67</v>
      </c>
      <c r="H880" t="s">
        <v>3534</v>
      </c>
      <c r="I880" s="4"/>
      <c r="J880" t="s">
        <v>3535</v>
      </c>
      <c r="K880" t="s">
        <v>1348</v>
      </c>
      <c r="L880" s="5"/>
      <c r="M880" s="5"/>
      <c r="N880" t="s">
        <v>35</v>
      </c>
      <c r="O880" t="s">
        <v>3536</v>
      </c>
      <c r="S880" t="s">
        <v>37</v>
      </c>
      <c r="T880" s="5" t="s">
        <v>48</v>
      </c>
      <c r="U880" t="s">
        <v>3537</v>
      </c>
      <c r="V880" t="s">
        <v>3534</v>
      </c>
      <c r="W880">
        <v>203</v>
      </c>
      <c r="X880" t="s">
        <v>72</v>
      </c>
      <c r="Y880" t="str">
        <f>VLOOKUP(C880,'[1]DBS_KPY Sorumlular'!A:C,2,FALSE)</f>
        <v>Kadir TOPÇU</v>
      </c>
      <c r="Z880" t="str">
        <f>VLOOKUP(C880,'[1]DBS_KPY Sorumlular'!A:C,3,FALSE)</f>
        <v>Erkan AKDOĞAN</v>
      </c>
      <c r="AA880" t="str">
        <f>VLOOKUP(K880,[1]!Tablo3[#Data],2,FALSE)</f>
        <v>Tayfun VİÇE</v>
      </c>
    </row>
    <row r="881" spans="1:27" x14ac:dyDescent="0.25">
      <c r="A881">
        <v>2188</v>
      </c>
      <c r="B881" t="s">
        <v>1419</v>
      </c>
      <c r="C881" t="s">
        <v>73</v>
      </c>
      <c r="D881" t="s">
        <v>73</v>
      </c>
      <c r="F881" t="s">
        <v>486</v>
      </c>
      <c r="G881" t="s">
        <v>30</v>
      </c>
      <c r="H881" t="s">
        <v>1356</v>
      </c>
      <c r="I881" s="4"/>
      <c r="J881" t="s">
        <v>3538</v>
      </c>
      <c r="K881" t="s">
        <v>1348</v>
      </c>
      <c r="L881" s="5" t="s">
        <v>3351</v>
      </c>
      <c r="M881" s="5"/>
      <c r="N881" t="s">
        <v>35</v>
      </c>
      <c r="O881" t="s">
        <v>3539</v>
      </c>
      <c r="S881" t="s">
        <v>37</v>
      </c>
      <c r="T881" s="5" t="s">
        <v>38</v>
      </c>
      <c r="Y881" t="str">
        <f>VLOOKUP(C881,'[1]DBS_KPY Sorumlular'!A:C,2,FALSE)</f>
        <v>Ayşegül AKGÜL</v>
      </c>
      <c r="Z881" t="str">
        <f>VLOOKUP(C881,'[1]DBS_KPY Sorumlular'!A:C,3,FALSE)</f>
        <v>Sinan ERDAŞ</v>
      </c>
      <c r="AA881" t="str">
        <f>VLOOKUP(K881,[1]!Tablo3[#Data],2,FALSE)</f>
        <v>Tayfun VİÇE</v>
      </c>
    </row>
    <row r="882" spans="1:27" x14ac:dyDescent="0.25">
      <c r="A882">
        <v>2189</v>
      </c>
      <c r="B882" t="s">
        <v>1419</v>
      </c>
      <c r="C882" t="s">
        <v>1674</v>
      </c>
      <c r="D882" t="s">
        <v>1717</v>
      </c>
      <c r="F882" t="s">
        <v>1771</v>
      </c>
      <c r="G882" t="s">
        <v>43</v>
      </c>
      <c r="H882" t="s">
        <v>3540</v>
      </c>
      <c r="I882" s="4"/>
      <c r="J882" t="s">
        <v>3541</v>
      </c>
      <c r="K882" t="s">
        <v>1348</v>
      </c>
      <c r="L882" s="5" t="s">
        <v>3542</v>
      </c>
      <c r="M882" s="5"/>
      <c r="N882" t="s">
        <v>739</v>
      </c>
      <c r="O882" t="s">
        <v>3543</v>
      </c>
      <c r="S882" t="s">
        <v>37</v>
      </c>
      <c r="T882" s="5" t="s">
        <v>100</v>
      </c>
      <c r="W882">
        <v>62</v>
      </c>
      <c r="X882" t="s">
        <v>680</v>
      </c>
      <c r="Y882" t="str">
        <f>VLOOKUP(C882,'[1]DBS_KPY Sorumlular'!A:C,2,FALSE)</f>
        <v>Kadir TOPÇU</v>
      </c>
      <c r="Z882" t="str">
        <f>VLOOKUP(C882,'[1]DBS_KPY Sorumlular'!A:C,3,FALSE)</f>
        <v>Erkan AKDOĞAN</v>
      </c>
      <c r="AA882" t="str">
        <f>VLOOKUP(K882,[1]!Tablo3[#Data],2,FALSE)</f>
        <v>Tayfun VİÇE</v>
      </c>
    </row>
    <row r="883" spans="1:27" x14ac:dyDescent="0.25">
      <c r="A883">
        <v>2190</v>
      </c>
      <c r="B883" t="s">
        <v>1419</v>
      </c>
      <c r="C883" t="s">
        <v>1723</v>
      </c>
      <c r="D883" t="s">
        <v>1751</v>
      </c>
      <c r="F883" t="s">
        <v>486</v>
      </c>
      <c r="G883" t="s">
        <v>67</v>
      </c>
      <c r="H883" t="s">
        <v>3544</v>
      </c>
      <c r="I883" s="4"/>
      <c r="J883" t="s">
        <v>3545</v>
      </c>
      <c r="K883" t="s">
        <v>1360</v>
      </c>
      <c r="L883" s="5" t="s">
        <v>3546</v>
      </c>
      <c r="M883" s="5" t="s">
        <v>35</v>
      </c>
      <c r="N883" t="s">
        <v>35</v>
      </c>
      <c r="O883" t="s">
        <v>3547</v>
      </c>
      <c r="S883" t="s">
        <v>230</v>
      </c>
      <c r="T883" s="5" t="s">
        <v>38</v>
      </c>
      <c r="Y883" t="str">
        <f>VLOOKUP(C883,'[1]DBS_KPY Sorumlular'!A:C,2,FALSE)</f>
        <v>Erkan AKDOĞAN</v>
      </c>
      <c r="Z883" t="str">
        <f>VLOOKUP(C883,'[1]DBS_KPY Sorumlular'!A:C,3,FALSE)</f>
        <v>Kadir TOPÇU</v>
      </c>
      <c r="AA883" t="str">
        <f>VLOOKUP(K883,[1]!Tablo3[#Data],2,FALSE)</f>
        <v>Kadir TOPÇU</v>
      </c>
    </row>
    <row r="884" spans="1:27" x14ac:dyDescent="0.25">
      <c r="A884">
        <v>2191</v>
      </c>
      <c r="B884" t="s">
        <v>1419</v>
      </c>
      <c r="C884" t="s">
        <v>40</v>
      </c>
      <c r="D884" t="s">
        <v>65</v>
      </c>
      <c r="F884" t="s">
        <v>486</v>
      </c>
      <c r="G884" t="s">
        <v>30</v>
      </c>
      <c r="H884" t="s">
        <v>3548</v>
      </c>
      <c r="I884" s="4"/>
      <c r="K884" t="s">
        <v>1360</v>
      </c>
      <c r="L884" s="5"/>
      <c r="M884" s="5"/>
      <c r="N884" t="s">
        <v>35</v>
      </c>
      <c r="O884" t="s">
        <v>3549</v>
      </c>
      <c r="S884" t="s">
        <v>230</v>
      </c>
      <c r="T884" s="5" t="s">
        <v>100</v>
      </c>
      <c r="W884">
        <v>79</v>
      </c>
      <c r="X884" t="s">
        <v>1619</v>
      </c>
      <c r="Y884" t="str">
        <f>VLOOKUP(C884,'[1]DBS_KPY Sorumlular'!A:C,2,FALSE)</f>
        <v>Mustafa AYDIN</v>
      </c>
      <c r="Z884" t="str">
        <f>VLOOKUP(C884,'[1]DBS_KPY Sorumlular'!A:C,3,FALSE)</f>
        <v>Esra DOLAN</v>
      </c>
      <c r="AA884" t="str">
        <f>VLOOKUP(K884,[1]!Tablo3[#Data],2,FALSE)</f>
        <v>Kadir TOPÇU</v>
      </c>
    </row>
    <row r="885" spans="1:27" x14ac:dyDescent="0.25">
      <c r="A885">
        <v>2192</v>
      </c>
      <c r="B885" t="s">
        <v>1419</v>
      </c>
      <c r="C885" t="s">
        <v>304</v>
      </c>
      <c r="D885" t="s">
        <v>305</v>
      </c>
      <c r="F885" t="s">
        <v>486</v>
      </c>
      <c r="G885" t="s">
        <v>67</v>
      </c>
      <c r="H885" t="s">
        <v>3550</v>
      </c>
      <c r="I885" s="4"/>
      <c r="J885" t="s">
        <v>3545</v>
      </c>
      <c r="K885" t="s">
        <v>1360</v>
      </c>
      <c r="L885" s="5"/>
      <c r="M885" s="5"/>
      <c r="N885" t="s">
        <v>35</v>
      </c>
      <c r="O885" t="s">
        <v>3551</v>
      </c>
      <c r="S885" t="s">
        <v>230</v>
      </c>
      <c r="T885" s="5" t="s">
        <v>38</v>
      </c>
      <c r="Y885" t="str">
        <f>VLOOKUP(C885,'[1]DBS_KPY Sorumlular'!A:C,2,FALSE)</f>
        <v>Erkan AKDOĞAN</v>
      </c>
      <c r="Z885" t="str">
        <f>VLOOKUP(C885,'[1]DBS_KPY Sorumlular'!A:C,3,FALSE)</f>
        <v>Kadir TOPÇU</v>
      </c>
      <c r="AA885" t="str">
        <f>VLOOKUP(K885,[1]!Tablo3[#Data],2,FALSE)</f>
        <v>Kadir TOPÇU</v>
      </c>
    </row>
    <row r="886" spans="1:27" x14ac:dyDescent="0.25">
      <c r="A886">
        <v>2193</v>
      </c>
      <c r="B886" t="s">
        <v>1419</v>
      </c>
      <c r="C886" t="s">
        <v>304</v>
      </c>
      <c r="D886" t="s">
        <v>305</v>
      </c>
      <c r="F886" t="s">
        <v>486</v>
      </c>
      <c r="G886" t="s">
        <v>67</v>
      </c>
      <c r="H886" t="s">
        <v>3552</v>
      </c>
      <c r="I886" s="4"/>
      <c r="J886" t="s">
        <v>3545</v>
      </c>
      <c r="K886" t="s">
        <v>1360</v>
      </c>
      <c r="L886" s="5"/>
      <c r="M886" s="5"/>
      <c r="N886" t="s">
        <v>35</v>
      </c>
      <c r="O886" t="s">
        <v>3553</v>
      </c>
      <c r="S886" t="s">
        <v>230</v>
      </c>
      <c r="T886" s="5" t="s">
        <v>38</v>
      </c>
      <c r="Y886" t="str">
        <f>VLOOKUP(C886,'[1]DBS_KPY Sorumlular'!A:C,2,FALSE)</f>
        <v>Erkan AKDOĞAN</v>
      </c>
      <c r="Z886" t="str">
        <f>VLOOKUP(C886,'[1]DBS_KPY Sorumlular'!A:C,3,FALSE)</f>
        <v>Kadir TOPÇU</v>
      </c>
      <c r="AA886" t="str">
        <f>VLOOKUP(K886,[1]!Tablo3[#Data],2,FALSE)</f>
        <v>Kadir TOPÇU</v>
      </c>
    </row>
    <row r="887" spans="1:27" x14ac:dyDescent="0.25">
      <c r="A887">
        <v>2194</v>
      </c>
      <c r="B887" t="s">
        <v>1419</v>
      </c>
      <c r="C887" t="s">
        <v>73</v>
      </c>
      <c r="D887" t="s">
        <v>73</v>
      </c>
      <c r="F887" t="s">
        <v>486</v>
      </c>
      <c r="G887" t="s">
        <v>30</v>
      </c>
      <c r="H887" t="s">
        <v>1390</v>
      </c>
      <c r="I887" s="4"/>
      <c r="J887" t="s">
        <v>3554</v>
      </c>
      <c r="K887" t="s">
        <v>1360</v>
      </c>
      <c r="L887" s="5"/>
      <c r="M887" s="5"/>
      <c r="N887" t="s">
        <v>35</v>
      </c>
      <c r="O887" t="s">
        <v>3555</v>
      </c>
      <c r="S887" t="s">
        <v>230</v>
      </c>
      <c r="T887" s="5" t="s">
        <v>38</v>
      </c>
      <c r="Y887" t="str">
        <f>VLOOKUP(C887,'[1]DBS_KPY Sorumlular'!A:C,2,FALSE)</f>
        <v>Ayşegül AKGÜL</v>
      </c>
      <c r="Z887" t="str">
        <f>VLOOKUP(C887,'[1]DBS_KPY Sorumlular'!A:C,3,FALSE)</f>
        <v>Sinan ERDAŞ</v>
      </c>
      <c r="AA887" t="str">
        <f>VLOOKUP(K887,[1]!Tablo3[#Data],2,FALSE)</f>
        <v>Kadir TOPÇU</v>
      </c>
    </row>
    <row r="888" spans="1:27" x14ac:dyDescent="0.25">
      <c r="A888">
        <v>2195</v>
      </c>
      <c r="B888" t="s">
        <v>1419</v>
      </c>
      <c r="C888" t="s">
        <v>1674</v>
      </c>
      <c r="D888" t="s">
        <v>1675</v>
      </c>
      <c r="F888" t="s">
        <v>66</v>
      </c>
      <c r="G888" t="s">
        <v>30</v>
      </c>
      <c r="H888" t="s">
        <v>3556</v>
      </c>
      <c r="I888" s="4"/>
      <c r="J888" t="s">
        <v>3557</v>
      </c>
      <c r="K888" t="s">
        <v>1360</v>
      </c>
      <c r="L888" s="5"/>
      <c r="M888" s="5"/>
      <c r="N888" t="s">
        <v>35</v>
      </c>
      <c r="O888" t="s">
        <v>3558</v>
      </c>
      <c r="S888" t="s">
        <v>230</v>
      </c>
      <c r="T888" s="5" t="s">
        <v>48</v>
      </c>
      <c r="U888" t="s">
        <v>3559</v>
      </c>
      <c r="V888" t="s">
        <v>3556</v>
      </c>
      <c r="W888">
        <v>65</v>
      </c>
      <c r="X888" t="s">
        <v>374</v>
      </c>
      <c r="Y888" t="str">
        <f>VLOOKUP(C888,'[1]DBS_KPY Sorumlular'!A:C,2,FALSE)</f>
        <v>Kadir TOPÇU</v>
      </c>
      <c r="Z888" t="str">
        <f>VLOOKUP(C888,'[1]DBS_KPY Sorumlular'!A:C,3,FALSE)</f>
        <v>Erkan AKDOĞAN</v>
      </c>
      <c r="AA888" t="str">
        <f>VLOOKUP(K888,[1]!Tablo3[#Data],2,FALSE)</f>
        <v>Kadir TOPÇU</v>
      </c>
    </row>
    <row r="889" spans="1:27" x14ac:dyDescent="0.25">
      <c r="A889">
        <v>2196</v>
      </c>
      <c r="B889" t="s">
        <v>1419</v>
      </c>
      <c r="C889" t="s">
        <v>1723</v>
      </c>
      <c r="D889" t="s">
        <v>3285</v>
      </c>
      <c r="F889" t="s">
        <v>3560</v>
      </c>
      <c r="G889" t="s">
        <v>67</v>
      </c>
      <c r="H889" t="s">
        <v>3561</v>
      </c>
      <c r="I889" s="4"/>
      <c r="J889" t="s">
        <v>3562</v>
      </c>
      <c r="K889" t="s">
        <v>1398</v>
      </c>
      <c r="L889" s="5" t="s">
        <v>3563</v>
      </c>
      <c r="M889" s="5" t="s">
        <v>3564</v>
      </c>
      <c r="N889" t="s">
        <v>35</v>
      </c>
      <c r="O889" t="s">
        <v>3565</v>
      </c>
      <c r="S889" t="s">
        <v>37</v>
      </c>
      <c r="T889" s="5" t="s">
        <v>38</v>
      </c>
      <c r="Y889" t="str">
        <f>VLOOKUP(C889,'[1]DBS_KPY Sorumlular'!A:C,2,FALSE)</f>
        <v>Erkan AKDOĞAN</v>
      </c>
      <c r="Z889" t="str">
        <f>VLOOKUP(C889,'[1]DBS_KPY Sorumlular'!A:C,3,FALSE)</f>
        <v>Kadir TOPÇU</v>
      </c>
      <c r="AA889" t="str">
        <f>VLOOKUP(K889,[1]!Tablo3[#Data],2,FALSE)</f>
        <v>Tayfun VİÇE</v>
      </c>
    </row>
    <row r="890" spans="1:27" x14ac:dyDescent="0.25">
      <c r="A890">
        <v>2197</v>
      </c>
      <c r="B890" t="s">
        <v>1419</v>
      </c>
      <c r="C890" t="s">
        <v>288</v>
      </c>
      <c r="D890" t="s">
        <v>2644</v>
      </c>
      <c r="E890" t="s">
        <v>2645</v>
      </c>
      <c r="F890" t="s">
        <v>1263</v>
      </c>
      <c r="G890" t="s">
        <v>30</v>
      </c>
      <c r="H890" t="s">
        <v>3566</v>
      </c>
      <c r="I890" s="4"/>
      <c r="K890" t="s">
        <v>1398</v>
      </c>
      <c r="L890" s="5" t="s">
        <v>2647</v>
      </c>
      <c r="M890" s="5" t="s">
        <v>2648</v>
      </c>
      <c r="N890" t="s">
        <v>35</v>
      </c>
      <c r="O890" t="s">
        <v>3567</v>
      </c>
      <c r="S890" t="s">
        <v>37</v>
      </c>
      <c r="T890" s="5" t="s">
        <v>38</v>
      </c>
      <c r="W890">
        <v>89</v>
      </c>
      <c r="X890" t="s">
        <v>1267</v>
      </c>
      <c r="Y890" t="str">
        <f>VLOOKUP(C890,'[1]DBS_KPY Sorumlular'!A:C,2,FALSE)</f>
        <v>Sinan ERDAŞ</v>
      </c>
      <c r="Z890" t="str">
        <f>VLOOKUP(C890,'[1]DBS_KPY Sorumlular'!A:C,3,FALSE)</f>
        <v>Ayşegül AKGÜL</v>
      </c>
      <c r="AA890" t="str">
        <f>VLOOKUP(K890,[1]!Tablo3[#Data],2,FALSE)</f>
        <v>Tayfun VİÇE</v>
      </c>
    </row>
    <row r="891" spans="1:27" x14ac:dyDescent="0.25">
      <c r="A891">
        <v>2198</v>
      </c>
      <c r="B891" t="s">
        <v>1419</v>
      </c>
      <c r="C891" t="s">
        <v>73</v>
      </c>
      <c r="D891" t="s">
        <v>73</v>
      </c>
      <c r="F891" t="s">
        <v>455</v>
      </c>
      <c r="G891" t="s">
        <v>456</v>
      </c>
      <c r="H891" t="s">
        <v>3568</v>
      </c>
      <c r="I891" s="4">
        <v>46386.875</v>
      </c>
      <c r="J891" t="s">
        <v>3569</v>
      </c>
      <c r="K891" t="s">
        <v>1398</v>
      </c>
      <c r="L891" s="5" t="s">
        <v>3570</v>
      </c>
      <c r="M891" s="5"/>
      <c r="N891" t="s">
        <v>35</v>
      </c>
      <c r="O891" t="s">
        <v>3571</v>
      </c>
      <c r="S891" t="s">
        <v>37</v>
      </c>
      <c r="T891" s="5" t="s">
        <v>38</v>
      </c>
      <c r="Y891" t="str">
        <f>VLOOKUP(C891,'[1]DBS_KPY Sorumlular'!A:C,2,FALSE)</f>
        <v>Ayşegül AKGÜL</v>
      </c>
      <c r="Z891" t="str">
        <f>VLOOKUP(C891,'[1]DBS_KPY Sorumlular'!A:C,3,FALSE)</f>
        <v>Sinan ERDAŞ</v>
      </c>
      <c r="AA891" t="str">
        <f>VLOOKUP(K891,[1]!Tablo3[#Data],2,FALSE)</f>
        <v>Tayfun VİÇE</v>
      </c>
    </row>
    <row r="892" spans="1:27" x14ac:dyDescent="0.25">
      <c r="A892">
        <v>2199</v>
      </c>
      <c r="B892" t="s">
        <v>1419</v>
      </c>
      <c r="C892" t="s">
        <v>73</v>
      </c>
      <c r="D892" t="s">
        <v>73</v>
      </c>
      <c r="F892" t="s">
        <v>108</v>
      </c>
      <c r="G892" t="s">
        <v>30</v>
      </c>
      <c r="H892" t="s">
        <v>3572</v>
      </c>
      <c r="I892" s="4">
        <v>46932.875</v>
      </c>
      <c r="J892" t="s">
        <v>3573</v>
      </c>
      <c r="K892" t="s">
        <v>1398</v>
      </c>
      <c r="L892" s="5"/>
      <c r="M892" s="5"/>
      <c r="N892" t="s">
        <v>35</v>
      </c>
      <c r="O892" t="s">
        <v>3574</v>
      </c>
      <c r="S892" t="s">
        <v>37</v>
      </c>
      <c r="T892" s="5" t="s">
        <v>38</v>
      </c>
      <c r="Y892" t="str">
        <f>VLOOKUP(C892,'[1]DBS_KPY Sorumlular'!A:C,2,FALSE)</f>
        <v>Ayşegül AKGÜL</v>
      </c>
      <c r="Z892" t="str">
        <f>VLOOKUP(C892,'[1]DBS_KPY Sorumlular'!A:C,3,FALSE)</f>
        <v>Sinan ERDAŞ</v>
      </c>
      <c r="AA892" t="str">
        <f>VLOOKUP(K892,[1]!Tablo3[#Data],2,FALSE)</f>
        <v>Tayfun VİÇE</v>
      </c>
    </row>
    <row r="893" spans="1:27" x14ac:dyDescent="0.25">
      <c r="A893">
        <v>2200</v>
      </c>
      <c r="B893" t="s">
        <v>1419</v>
      </c>
      <c r="C893" t="s">
        <v>73</v>
      </c>
      <c r="D893" t="s">
        <v>73</v>
      </c>
      <c r="F893" t="s">
        <v>74</v>
      </c>
      <c r="G893" t="s">
        <v>30</v>
      </c>
      <c r="H893" t="s">
        <v>3575</v>
      </c>
      <c r="I893" s="4">
        <v>46750.875</v>
      </c>
      <c r="J893" t="s">
        <v>3576</v>
      </c>
      <c r="K893" t="s">
        <v>1398</v>
      </c>
      <c r="L893" s="5" t="s">
        <v>3577</v>
      </c>
      <c r="M893" s="5"/>
      <c r="N893" t="s">
        <v>35</v>
      </c>
      <c r="O893" t="s">
        <v>3578</v>
      </c>
      <c r="S893" t="s">
        <v>37</v>
      </c>
      <c r="T893" s="5" t="s">
        <v>38</v>
      </c>
      <c r="Y893" t="str">
        <f>VLOOKUP(C893,'[1]DBS_KPY Sorumlular'!A:C,2,FALSE)</f>
        <v>Ayşegül AKGÜL</v>
      </c>
      <c r="Z893" t="str">
        <f>VLOOKUP(C893,'[1]DBS_KPY Sorumlular'!A:C,3,FALSE)</f>
        <v>Sinan ERDAŞ</v>
      </c>
      <c r="AA893" t="str">
        <f>VLOOKUP(K893,[1]!Tablo3[#Data],2,FALSE)</f>
        <v>Tayfun VİÇE</v>
      </c>
    </row>
    <row r="894" spans="1:27" x14ac:dyDescent="0.25">
      <c r="A894">
        <v>2201</v>
      </c>
      <c r="B894" t="s">
        <v>1419</v>
      </c>
      <c r="C894" t="s">
        <v>73</v>
      </c>
      <c r="D894" t="s">
        <v>73</v>
      </c>
      <c r="F894" t="s">
        <v>74</v>
      </c>
      <c r="G894" t="s">
        <v>30</v>
      </c>
      <c r="H894" t="s">
        <v>3579</v>
      </c>
      <c r="I894" s="4">
        <v>46751.875</v>
      </c>
      <c r="J894" t="s">
        <v>3580</v>
      </c>
      <c r="K894" t="s">
        <v>1398</v>
      </c>
      <c r="L894" s="5"/>
      <c r="M894" s="5"/>
      <c r="N894" t="s">
        <v>35</v>
      </c>
      <c r="O894" t="s">
        <v>3581</v>
      </c>
      <c r="S894" t="s">
        <v>37</v>
      </c>
      <c r="T894" s="5" t="s">
        <v>38</v>
      </c>
      <c r="Y894" t="str">
        <f>VLOOKUP(C894,'[1]DBS_KPY Sorumlular'!A:C,2,FALSE)</f>
        <v>Ayşegül AKGÜL</v>
      </c>
      <c r="Z894" t="str">
        <f>VLOOKUP(C894,'[1]DBS_KPY Sorumlular'!A:C,3,FALSE)</f>
        <v>Sinan ERDAŞ</v>
      </c>
      <c r="AA894" t="str">
        <f>VLOOKUP(K894,[1]!Tablo3[#Data],2,FALSE)</f>
        <v>Tayfun VİÇE</v>
      </c>
    </row>
    <row r="895" spans="1:27" x14ac:dyDescent="0.25">
      <c r="A895">
        <v>2202</v>
      </c>
      <c r="B895" t="s">
        <v>1419</v>
      </c>
      <c r="C895" t="s">
        <v>1674</v>
      </c>
      <c r="D895" t="s">
        <v>1675</v>
      </c>
      <c r="F895" t="s">
        <v>95</v>
      </c>
      <c r="G895" t="s">
        <v>96</v>
      </c>
      <c r="H895" t="s">
        <v>3582</v>
      </c>
      <c r="I895" s="4"/>
      <c r="J895" t="s">
        <v>3583</v>
      </c>
      <c r="K895" t="s">
        <v>1398</v>
      </c>
      <c r="L895" s="5"/>
      <c r="M895" s="5"/>
      <c r="N895" t="s">
        <v>35</v>
      </c>
      <c r="O895" t="s">
        <v>3584</v>
      </c>
      <c r="S895" t="s">
        <v>37</v>
      </c>
      <c r="T895" s="5" t="s">
        <v>48</v>
      </c>
      <c r="U895" t="s">
        <v>3585</v>
      </c>
      <c r="V895" t="s">
        <v>3586</v>
      </c>
      <c r="W895">
        <v>91</v>
      </c>
      <c r="X895" t="s">
        <v>101</v>
      </c>
      <c r="Y895" t="str">
        <f>VLOOKUP(C895,'[1]DBS_KPY Sorumlular'!A:C,2,FALSE)</f>
        <v>Kadir TOPÇU</v>
      </c>
      <c r="Z895" t="str">
        <f>VLOOKUP(C895,'[1]DBS_KPY Sorumlular'!A:C,3,FALSE)</f>
        <v>Erkan AKDOĞAN</v>
      </c>
      <c r="AA895" t="str">
        <f>VLOOKUP(K895,[1]!Tablo3[#Data],2,FALSE)</f>
        <v>Tayfun VİÇE</v>
      </c>
    </row>
    <row r="896" spans="1:27" x14ac:dyDescent="0.25">
      <c r="A896">
        <v>2203</v>
      </c>
      <c r="B896" t="s">
        <v>1419</v>
      </c>
      <c r="C896" t="s">
        <v>1046</v>
      </c>
      <c r="D896" t="s">
        <v>1047</v>
      </c>
      <c r="F896" t="s">
        <v>3587</v>
      </c>
      <c r="G896" t="s">
        <v>43</v>
      </c>
      <c r="H896" t="s">
        <v>3588</v>
      </c>
      <c r="I896" s="4"/>
      <c r="J896" t="s">
        <v>3589</v>
      </c>
      <c r="K896" t="s">
        <v>1398</v>
      </c>
      <c r="L896" s="5"/>
      <c r="M896" s="5"/>
      <c r="N896" t="s">
        <v>35</v>
      </c>
      <c r="O896" t="s">
        <v>3590</v>
      </c>
      <c r="S896" t="s">
        <v>37</v>
      </c>
      <c r="T896" s="5" t="s">
        <v>38</v>
      </c>
      <c r="W896">
        <v>38</v>
      </c>
      <c r="X896" t="s">
        <v>165</v>
      </c>
      <c r="Y896" t="str">
        <f>VLOOKUP(C896,'[1]DBS_KPY Sorumlular'!A:C,2,FALSE)</f>
        <v>Ayşegül AKGÜL</v>
      </c>
      <c r="Z896" t="str">
        <f>VLOOKUP(C896,'[1]DBS_KPY Sorumlular'!A:C,3,FALSE)</f>
        <v>Sinan ERDAŞ</v>
      </c>
      <c r="AA896" t="str">
        <f>VLOOKUP(K896,[1]!Tablo3[#Data],2,FALSE)</f>
        <v>Tayfun VİÇE</v>
      </c>
    </row>
    <row r="897" spans="1:27" x14ac:dyDescent="0.25">
      <c r="A897">
        <v>2204</v>
      </c>
      <c r="B897" t="s">
        <v>1419</v>
      </c>
      <c r="C897" t="s">
        <v>402</v>
      </c>
      <c r="D897" t="s">
        <v>403</v>
      </c>
      <c r="F897" t="s">
        <v>1572</v>
      </c>
      <c r="G897" t="s">
        <v>43</v>
      </c>
      <c r="H897" t="s">
        <v>3591</v>
      </c>
      <c r="I897" s="4"/>
      <c r="J897" t="s">
        <v>3592</v>
      </c>
      <c r="K897" t="s">
        <v>1398</v>
      </c>
      <c r="L897" s="5" t="s">
        <v>3593</v>
      </c>
      <c r="M897" s="5"/>
      <c r="N897" t="s">
        <v>1824</v>
      </c>
      <c r="O897" t="s">
        <v>3594</v>
      </c>
      <c r="S897" t="s">
        <v>37</v>
      </c>
      <c r="T897" s="5" t="s">
        <v>100</v>
      </c>
      <c r="W897">
        <v>241</v>
      </c>
      <c r="X897" t="s">
        <v>3500</v>
      </c>
      <c r="Y897" t="str">
        <f>VLOOKUP(C897,'[1]DBS_KPY Sorumlular'!A:C,2,FALSE)</f>
        <v>Tayfun VİÇE</v>
      </c>
      <c r="Z897" t="str">
        <f>VLOOKUP(C897,'[1]DBS_KPY Sorumlular'!A:C,3,FALSE)</f>
        <v>Mehmet Ali YAVUZ</v>
      </c>
      <c r="AA897" t="str">
        <f>VLOOKUP(K897,[1]!Tablo3[#Data],2,FALSE)</f>
        <v>Tayfun VİÇE</v>
      </c>
    </row>
    <row r="898" spans="1:27" x14ac:dyDescent="0.25">
      <c r="A898">
        <v>2205</v>
      </c>
      <c r="B898" t="s">
        <v>1419</v>
      </c>
      <c r="C898" t="s">
        <v>73</v>
      </c>
      <c r="D898" t="s">
        <v>73</v>
      </c>
      <c r="F898" t="s">
        <v>74</v>
      </c>
      <c r="G898" t="s">
        <v>30</v>
      </c>
      <c r="H898" t="s">
        <v>1431</v>
      </c>
      <c r="I898" s="4">
        <v>46385.875</v>
      </c>
      <c r="J898" t="s">
        <v>3595</v>
      </c>
      <c r="K898" t="s">
        <v>1398</v>
      </c>
      <c r="L898" s="5" t="s">
        <v>3596</v>
      </c>
      <c r="M898" s="5"/>
      <c r="N898" t="s">
        <v>35</v>
      </c>
      <c r="O898" t="s">
        <v>3597</v>
      </c>
      <c r="S898" t="s">
        <v>37</v>
      </c>
      <c r="T898" s="5" t="s">
        <v>38</v>
      </c>
      <c r="Y898" t="str">
        <f>VLOOKUP(C898,'[1]DBS_KPY Sorumlular'!A:C,2,FALSE)</f>
        <v>Ayşegül AKGÜL</v>
      </c>
      <c r="Z898" t="str">
        <f>VLOOKUP(C898,'[1]DBS_KPY Sorumlular'!A:C,3,FALSE)</f>
        <v>Sinan ERDAŞ</v>
      </c>
      <c r="AA898" t="str">
        <f>VLOOKUP(K898,[1]!Tablo3[#Data],2,FALSE)</f>
        <v>Tayfun VİÇE</v>
      </c>
    </row>
    <row r="899" spans="1:27" x14ac:dyDescent="0.25">
      <c r="A899">
        <v>2206</v>
      </c>
      <c r="B899" t="s">
        <v>1419</v>
      </c>
      <c r="C899" t="s">
        <v>652</v>
      </c>
      <c r="D899" t="s">
        <v>653</v>
      </c>
      <c r="F899" t="s">
        <v>455</v>
      </c>
      <c r="G899" t="s">
        <v>456</v>
      </c>
      <c r="H899" t="s">
        <v>3598</v>
      </c>
      <c r="I899" s="4"/>
      <c r="K899" t="s">
        <v>423</v>
      </c>
      <c r="L899" s="5"/>
      <c r="M899" s="5"/>
      <c r="N899" t="s">
        <v>35</v>
      </c>
      <c r="O899" t="s">
        <v>3599</v>
      </c>
      <c r="S899" t="s">
        <v>230</v>
      </c>
      <c r="T899" s="5" t="s">
        <v>48</v>
      </c>
      <c r="U899" t="s">
        <v>3600</v>
      </c>
      <c r="V899" t="s">
        <v>3598</v>
      </c>
      <c r="W899">
        <v>144</v>
      </c>
      <c r="X899" t="s">
        <v>463</v>
      </c>
      <c r="Y899" t="str">
        <f>VLOOKUP(C899,'[1]DBS_KPY Sorumlular'!A:C,2,FALSE)</f>
        <v>Seyithan İŞİK</v>
      </c>
      <c r="Z899" t="str">
        <f>VLOOKUP(C899,'[1]DBS_KPY Sorumlular'!A:C,3,FALSE)</f>
        <v>Korhan KÖROĞLU</v>
      </c>
      <c r="AA899" t="str">
        <f>VLOOKUP(K899,[1]!Tablo3[#Data],2,FALSE)</f>
        <v>Kadir TOPÇU</v>
      </c>
    </row>
    <row r="900" spans="1:27" x14ac:dyDescent="0.25">
      <c r="A900">
        <v>2207</v>
      </c>
      <c r="B900" t="s">
        <v>1419</v>
      </c>
      <c r="C900" t="s">
        <v>652</v>
      </c>
      <c r="D900" t="s">
        <v>653</v>
      </c>
      <c r="F900" t="s">
        <v>455</v>
      </c>
      <c r="G900" t="s">
        <v>456</v>
      </c>
      <c r="H900" t="s">
        <v>3601</v>
      </c>
      <c r="I900" s="4"/>
      <c r="J900" t="s">
        <v>3602</v>
      </c>
      <c r="K900" t="s">
        <v>423</v>
      </c>
      <c r="L900" s="5"/>
      <c r="M900" s="5"/>
      <c r="N900" t="s">
        <v>35</v>
      </c>
      <c r="O900" t="s">
        <v>3603</v>
      </c>
      <c r="S900" t="s">
        <v>230</v>
      </c>
      <c r="T900" s="5" t="s">
        <v>100</v>
      </c>
      <c r="W900">
        <v>144</v>
      </c>
      <c r="X900" t="s">
        <v>463</v>
      </c>
      <c r="Y900" t="str">
        <f>VLOOKUP(C900,'[1]DBS_KPY Sorumlular'!A:C,2,FALSE)</f>
        <v>Seyithan İŞİK</v>
      </c>
      <c r="Z900" t="str">
        <f>VLOOKUP(C900,'[1]DBS_KPY Sorumlular'!A:C,3,FALSE)</f>
        <v>Korhan KÖROĞLU</v>
      </c>
      <c r="AA900" t="str">
        <f>VLOOKUP(K900,[1]!Tablo3[#Data],2,FALSE)</f>
        <v>Kadir TOPÇU</v>
      </c>
    </row>
    <row r="901" spans="1:27" x14ac:dyDescent="0.25">
      <c r="A901">
        <v>2208</v>
      </c>
      <c r="B901" t="s">
        <v>1419</v>
      </c>
      <c r="C901" t="s">
        <v>1674</v>
      </c>
      <c r="D901" t="s">
        <v>1675</v>
      </c>
      <c r="F901" t="s">
        <v>95</v>
      </c>
      <c r="G901" t="s">
        <v>96</v>
      </c>
      <c r="H901" t="s">
        <v>3604</v>
      </c>
      <c r="I901" s="4"/>
      <c r="J901" t="s">
        <v>3605</v>
      </c>
      <c r="K901" t="s">
        <v>423</v>
      </c>
      <c r="L901" s="5"/>
      <c r="M901" s="5"/>
      <c r="N901" t="s">
        <v>35</v>
      </c>
      <c r="O901" t="s">
        <v>3606</v>
      </c>
      <c r="S901" t="s">
        <v>230</v>
      </c>
      <c r="T901" s="5" t="s">
        <v>48</v>
      </c>
      <c r="U901" t="s">
        <v>3607</v>
      </c>
      <c r="V901" t="s">
        <v>3608</v>
      </c>
      <c r="W901">
        <v>28</v>
      </c>
      <c r="X901" t="s">
        <v>667</v>
      </c>
      <c r="Y901" t="str">
        <f>VLOOKUP(C901,'[1]DBS_KPY Sorumlular'!A:C,2,FALSE)</f>
        <v>Kadir TOPÇU</v>
      </c>
      <c r="Z901" t="str">
        <f>VLOOKUP(C901,'[1]DBS_KPY Sorumlular'!A:C,3,FALSE)</f>
        <v>Erkan AKDOĞAN</v>
      </c>
      <c r="AA901" t="str">
        <f>VLOOKUP(K901,[1]!Tablo3[#Data],2,FALSE)</f>
        <v>Kadir TOPÇU</v>
      </c>
    </row>
    <row r="902" spans="1:27" x14ac:dyDescent="0.25">
      <c r="A902">
        <v>2209</v>
      </c>
      <c r="B902" t="s">
        <v>1419</v>
      </c>
      <c r="C902" t="s">
        <v>1674</v>
      </c>
      <c r="D902" t="s">
        <v>1675</v>
      </c>
      <c r="F902" t="s">
        <v>52</v>
      </c>
      <c r="G902" t="s">
        <v>67</v>
      </c>
      <c r="H902" t="s">
        <v>3609</v>
      </c>
      <c r="I902" s="4"/>
      <c r="J902" t="s">
        <v>3610</v>
      </c>
      <c r="K902" t="s">
        <v>423</v>
      </c>
      <c r="L902" s="5"/>
      <c r="M902" s="5"/>
      <c r="N902" t="s">
        <v>35</v>
      </c>
      <c r="O902" t="s">
        <v>3611</v>
      </c>
      <c r="S902" t="s">
        <v>230</v>
      </c>
      <c r="T902" s="5" t="s">
        <v>48</v>
      </c>
      <c r="U902" t="s">
        <v>3612</v>
      </c>
      <c r="V902" t="s">
        <v>3609</v>
      </c>
      <c r="W902">
        <v>103</v>
      </c>
      <c r="X902" t="s">
        <v>353</v>
      </c>
      <c r="Y902" t="str">
        <f>VLOOKUP(C902,'[1]DBS_KPY Sorumlular'!A:C,2,FALSE)</f>
        <v>Kadir TOPÇU</v>
      </c>
      <c r="Z902" t="str">
        <f>VLOOKUP(C902,'[1]DBS_KPY Sorumlular'!A:C,3,FALSE)</f>
        <v>Erkan AKDOĞAN</v>
      </c>
      <c r="AA902" t="str">
        <f>VLOOKUP(K902,[1]!Tablo3[#Data],2,FALSE)</f>
        <v>Kadir TOPÇU</v>
      </c>
    </row>
    <row r="903" spans="1:27" x14ac:dyDescent="0.25">
      <c r="A903">
        <v>2210</v>
      </c>
      <c r="B903" t="s">
        <v>1419</v>
      </c>
      <c r="C903" t="s">
        <v>1674</v>
      </c>
      <c r="D903" t="s">
        <v>1675</v>
      </c>
      <c r="F903" t="s">
        <v>52</v>
      </c>
      <c r="G903" t="s">
        <v>67</v>
      </c>
      <c r="H903" t="s">
        <v>3613</v>
      </c>
      <c r="I903" s="4"/>
      <c r="J903" t="s">
        <v>3614</v>
      </c>
      <c r="K903" t="s">
        <v>423</v>
      </c>
      <c r="L903" s="5"/>
      <c r="M903" s="5"/>
      <c r="N903" t="s">
        <v>35</v>
      </c>
      <c r="O903" t="s">
        <v>3615</v>
      </c>
      <c r="S903" t="s">
        <v>230</v>
      </c>
      <c r="T903" s="5" t="s">
        <v>48</v>
      </c>
      <c r="U903" t="s">
        <v>3616</v>
      </c>
      <c r="V903" t="s">
        <v>3613</v>
      </c>
      <c r="W903">
        <v>103</v>
      </c>
      <c r="X903" t="s">
        <v>353</v>
      </c>
      <c r="Y903" t="str">
        <f>VLOOKUP(C903,'[1]DBS_KPY Sorumlular'!A:C,2,FALSE)</f>
        <v>Kadir TOPÇU</v>
      </c>
      <c r="Z903" t="str">
        <f>VLOOKUP(C903,'[1]DBS_KPY Sorumlular'!A:C,3,FALSE)</f>
        <v>Erkan AKDOĞAN</v>
      </c>
      <c r="AA903" t="str">
        <f>VLOOKUP(K903,[1]!Tablo3[#Data],2,FALSE)</f>
        <v>Kadir TOPÇU</v>
      </c>
    </row>
    <row r="904" spans="1:27" x14ac:dyDescent="0.25">
      <c r="A904">
        <v>2211</v>
      </c>
      <c r="B904" t="s">
        <v>1419</v>
      </c>
      <c r="C904" t="s">
        <v>1674</v>
      </c>
      <c r="D904" t="s">
        <v>1675</v>
      </c>
      <c r="F904" t="s">
        <v>52</v>
      </c>
      <c r="G904" t="s">
        <v>67</v>
      </c>
      <c r="H904" t="s">
        <v>3617</v>
      </c>
      <c r="I904" s="4"/>
      <c r="J904" t="s">
        <v>3618</v>
      </c>
      <c r="K904" t="s">
        <v>423</v>
      </c>
      <c r="L904" s="5"/>
      <c r="M904" s="5"/>
      <c r="N904" t="s">
        <v>35</v>
      </c>
      <c r="O904" t="s">
        <v>3619</v>
      </c>
      <c r="S904" t="s">
        <v>230</v>
      </c>
      <c r="T904" s="5" t="s">
        <v>48</v>
      </c>
      <c r="U904" t="s">
        <v>3620</v>
      </c>
      <c r="V904" t="s">
        <v>3617</v>
      </c>
      <c r="W904">
        <v>103</v>
      </c>
      <c r="X904" t="s">
        <v>353</v>
      </c>
      <c r="Y904" t="str">
        <f>VLOOKUP(C904,'[1]DBS_KPY Sorumlular'!A:C,2,FALSE)</f>
        <v>Kadir TOPÇU</v>
      </c>
      <c r="Z904" t="str">
        <f>VLOOKUP(C904,'[1]DBS_KPY Sorumlular'!A:C,3,FALSE)</f>
        <v>Erkan AKDOĞAN</v>
      </c>
      <c r="AA904" t="str">
        <f>VLOOKUP(K904,[1]!Tablo3[#Data],2,FALSE)</f>
        <v>Kadir TOPÇU</v>
      </c>
    </row>
    <row r="905" spans="1:27" x14ac:dyDescent="0.25">
      <c r="A905">
        <v>2212</v>
      </c>
      <c r="B905" t="s">
        <v>1419</v>
      </c>
      <c r="C905" t="s">
        <v>1674</v>
      </c>
      <c r="D905" t="s">
        <v>1675</v>
      </c>
      <c r="F905" t="s">
        <v>66</v>
      </c>
      <c r="G905" t="s">
        <v>30</v>
      </c>
      <c r="H905" t="s">
        <v>3621</v>
      </c>
      <c r="I905" s="4"/>
      <c r="J905" t="s">
        <v>3622</v>
      </c>
      <c r="K905" t="s">
        <v>423</v>
      </c>
      <c r="L905" s="5"/>
      <c r="M905" s="5"/>
      <c r="N905" t="s">
        <v>35</v>
      </c>
      <c r="O905" t="s">
        <v>3623</v>
      </c>
      <c r="S905" t="s">
        <v>230</v>
      </c>
      <c r="T905" s="5" t="s">
        <v>48</v>
      </c>
      <c r="U905" t="s">
        <v>3624</v>
      </c>
      <c r="V905" t="s">
        <v>3621</v>
      </c>
      <c r="W905">
        <v>65</v>
      </c>
      <c r="X905" t="s">
        <v>374</v>
      </c>
      <c r="Y905" t="str">
        <f>VLOOKUP(C905,'[1]DBS_KPY Sorumlular'!A:C,2,FALSE)</f>
        <v>Kadir TOPÇU</v>
      </c>
      <c r="Z905" t="str">
        <f>VLOOKUP(C905,'[1]DBS_KPY Sorumlular'!A:C,3,FALSE)</f>
        <v>Erkan AKDOĞAN</v>
      </c>
      <c r="AA905" t="str">
        <f>VLOOKUP(K905,[1]!Tablo3[#Data],2,FALSE)</f>
        <v>Kadir TOPÇU</v>
      </c>
    </row>
    <row r="906" spans="1:27" x14ac:dyDescent="0.25">
      <c r="A906">
        <v>2213</v>
      </c>
      <c r="B906" t="s">
        <v>1419</v>
      </c>
      <c r="C906" t="s">
        <v>1674</v>
      </c>
      <c r="D906" t="s">
        <v>1717</v>
      </c>
      <c r="F906" t="s">
        <v>882</v>
      </c>
      <c r="G906" t="s">
        <v>43</v>
      </c>
      <c r="H906" t="s">
        <v>3625</v>
      </c>
      <c r="I906" s="4"/>
      <c r="J906" t="s">
        <v>3626</v>
      </c>
      <c r="K906" t="s">
        <v>423</v>
      </c>
      <c r="L906" s="5"/>
      <c r="M906" s="5" t="s">
        <v>3627</v>
      </c>
      <c r="N906" t="s">
        <v>35</v>
      </c>
      <c r="O906" t="s">
        <v>3628</v>
      </c>
      <c r="S906" t="s">
        <v>230</v>
      </c>
      <c r="T906" s="5" t="s">
        <v>48</v>
      </c>
      <c r="U906" t="s">
        <v>3629</v>
      </c>
      <c r="V906" t="s">
        <v>3625</v>
      </c>
      <c r="W906">
        <v>190</v>
      </c>
      <c r="X906" t="s">
        <v>3630</v>
      </c>
      <c r="Y906" t="str">
        <f>VLOOKUP(C906,'[1]DBS_KPY Sorumlular'!A:C,2,FALSE)</f>
        <v>Kadir TOPÇU</v>
      </c>
      <c r="Z906" t="str">
        <f>VLOOKUP(C906,'[1]DBS_KPY Sorumlular'!A:C,3,FALSE)</f>
        <v>Erkan AKDOĞAN</v>
      </c>
      <c r="AA906" t="str">
        <f>VLOOKUP(K906,[1]!Tablo3[#Data],2,FALSE)</f>
        <v>Kadir TOPÇU</v>
      </c>
    </row>
    <row r="907" spans="1:27" x14ac:dyDescent="0.25">
      <c r="A907">
        <v>2214</v>
      </c>
      <c r="B907" t="s">
        <v>1419</v>
      </c>
      <c r="C907" t="s">
        <v>1674</v>
      </c>
      <c r="D907" t="s">
        <v>1717</v>
      </c>
      <c r="F907" t="s">
        <v>3631</v>
      </c>
      <c r="G907" t="s">
        <v>43</v>
      </c>
      <c r="H907" t="s">
        <v>3632</v>
      </c>
      <c r="I907" s="4"/>
      <c r="J907" t="s">
        <v>3633</v>
      </c>
      <c r="K907" t="s">
        <v>423</v>
      </c>
      <c r="L907" s="5"/>
      <c r="M907" s="5"/>
      <c r="N907" t="s">
        <v>35</v>
      </c>
      <c r="O907" t="s">
        <v>3634</v>
      </c>
      <c r="S907" t="s">
        <v>230</v>
      </c>
      <c r="T907" s="5" t="s">
        <v>48</v>
      </c>
      <c r="U907" t="s">
        <v>3635</v>
      </c>
      <c r="V907" t="s">
        <v>3636</v>
      </c>
      <c r="W907">
        <v>114</v>
      </c>
      <c r="X907" t="s">
        <v>136</v>
      </c>
      <c r="Y907" t="str">
        <f>VLOOKUP(C907,'[1]DBS_KPY Sorumlular'!A:C,2,FALSE)</f>
        <v>Kadir TOPÇU</v>
      </c>
      <c r="Z907" t="str">
        <f>VLOOKUP(C907,'[1]DBS_KPY Sorumlular'!A:C,3,FALSE)</f>
        <v>Erkan AKDOĞAN</v>
      </c>
      <c r="AA907" t="str">
        <f>VLOOKUP(K907,[1]!Tablo3[#Data],2,FALSE)</f>
        <v>Kadir TOPÇU</v>
      </c>
    </row>
    <row r="908" spans="1:27" x14ac:dyDescent="0.25">
      <c r="A908">
        <v>2215</v>
      </c>
      <c r="B908" t="s">
        <v>1419</v>
      </c>
      <c r="C908" t="s">
        <v>304</v>
      </c>
      <c r="D908" t="s">
        <v>305</v>
      </c>
      <c r="F908" t="s">
        <v>306</v>
      </c>
      <c r="G908" t="s">
        <v>67</v>
      </c>
      <c r="H908" t="s">
        <v>3637</v>
      </c>
      <c r="I908" s="4"/>
      <c r="J908" t="s">
        <v>3638</v>
      </c>
      <c r="K908" t="s">
        <v>423</v>
      </c>
      <c r="L908" s="5" t="s">
        <v>2414</v>
      </c>
      <c r="M908" s="5"/>
      <c r="N908" t="s">
        <v>35</v>
      </c>
      <c r="O908" t="s">
        <v>3639</v>
      </c>
      <c r="S908" t="s">
        <v>230</v>
      </c>
      <c r="T908" s="5" t="s">
        <v>38</v>
      </c>
      <c r="Y908" t="str">
        <f>VLOOKUP(C908,'[1]DBS_KPY Sorumlular'!A:C,2,FALSE)</f>
        <v>Erkan AKDOĞAN</v>
      </c>
      <c r="Z908" t="str">
        <f>VLOOKUP(C908,'[1]DBS_KPY Sorumlular'!A:C,3,FALSE)</f>
        <v>Kadir TOPÇU</v>
      </c>
      <c r="AA908" t="str">
        <f>VLOOKUP(K908,[1]!Tablo3[#Data],2,FALSE)</f>
        <v>Kadir TOPÇU</v>
      </c>
    </row>
    <row r="909" spans="1:27" x14ac:dyDescent="0.25">
      <c r="A909">
        <v>2216</v>
      </c>
      <c r="B909" t="s">
        <v>1419</v>
      </c>
      <c r="C909" t="s">
        <v>40</v>
      </c>
      <c r="D909" t="s">
        <v>65</v>
      </c>
      <c r="F909" t="s">
        <v>66</v>
      </c>
      <c r="G909" t="s">
        <v>67</v>
      </c>
      <c r="H909" t="s">
        <v>3640</v>
      </c>
      <c r="I909" s="4"/>
      <c r="K909" t="s">
        <v>423</v>
      </c>
      <c r="L909" s="5"/>
      <c r="M909" s="5"/>
      <c r="N909" t="s">
        <v>35</v>
      </c>
      <c r="O909" t="s">
        <v>3641</v>
      </c>
      <c r="S909" t="s">
        <v>230</v>
      </c>
      <c r="T909" s="5" t="s">
        <v>100</v>
      </c>
      <c r="W909">
        <v>103</v>
      </c>
      <c r="X909" t="s">
        <v>353</v>
      </c>
      <c r="Y909" t="str">
        <f>VLOOKUP(C909,'[1]DBS_KPY Sorumlular'!A:C,2,FALSE)</f>
        <v>Mustafa AYDIN</v>
      </c>
      <c r="Z909" t="str">
        <f>VLOOKUP(C909,'[1]DBS_KPY Sorumlular'!A:C,3,FALSE)</f>
        <v>Esra DOLAN</v>
      </c>
      <c r="AA909" t="str">
        <f>VLOOKUP(K909,[1]!Tablo3[#Data],2,FALSE)</f>
        <v>Kadir TOPÇU</v>
      </c>
    </row>
    <row r="910" spans="1:27" x14ac:dyDescent="0.25">
      <c r="A910">
        <v>2217</v>
      </c>
      <c r="B910" t="s">
        <v>1419</v>
      </c>
      <c r="C910" t="s">
        <v>40</v>
      </c>
      <c r="D910" t="s">
        <v>65</v>
      </c>
      <c r="F910" t="s">
        <v>455</v>
      </c>
      <c r="G910" t="s">
        <v>43</v>
      </c>
      <c r="H910" t="s">
        <v>3642</v>
      </c>
      <c r="I910" s="4"/>
      <c r="K910" t="s">
        <v>423</v>
      </c>
      <c r="L910" s="5"/>
      <c r="M910" s="5"/>
      <c r="N910" t="s">
        <v>35</v>
      </c>
      <c r="O910" t="s">
        <v>3643</v>
      </c>
      <c r="S910" t="s">
        <v>230</v>
      </c>
      <c r="T910" s="5" t="s">
        <v>100</v>
      </c>
      <c r="W910">
        <v>79</v>
      </c>
      <c r="X910" t="s">
        <v>1619</v>
      </c>
      <c r="Y910" t="str">
        <f>VLOOKUP(C910,'[1]DBS_KPY Sorumlular'!A:C,2,FALSE)</f>
        <v>Mustafa AYDIN</v>
      </c>
      <c r="Z910" t="str">
        <f>VLOOKUP(C910,'[1]DBS_KPY Sorumlular'!A:C,3,FALSE)</f>
        <v>Esra DOLAN</v>
      </c>
      <c r="AA910" t="str">
        <f>VLOOKUP(K910,[1]!Tablo3[#Data],2,FALSE)</f>
        <v>Kadir TOPÇU</v>
      </c>
    </row>
    <row r="911" spans="1:27" x14ac:dyDescent="0.25">
      <c r="A911">
        <v>2218</v>
      </c>
      <c r="B911" t="s">
        <v>1419</v>
      </c>
      <c r="C911" t="s">
        <v>40</v>
      </c>
      <c r="D911" t="s">
        <v>65</v>
      </c>
      <c r="F911" t="s">
        <v>66</v>
      </c>
      <c r="G911" t="s">
        <v>43</v>
      </c>
      <c r="H911" t="s">
        <v>3644</v>
      </c>
      <c r="I911" s="4"/>
      <c r="K911" t="s">
        <v>423</v>
      </c>
      <c r="L911" s="5" t="s">
        <v>3645</v>
      </c>
      <c r="M911" s="5"/>
      <c r="N911" t="s">
        <v>35</v>
      </c>
      <c r="O911" t="s">
        <v>3646</v>
      </c>
      <c r="S911" t="s">
        <v>230</v>
      </c>
      <c r="T911" s="5" t="s">
        <v>100</v>
      </c>
      <c r="W911">
        <v>203</v>
      </c>
      <c r="X911" t="s">
        <v>72</v>
      </c>
      <c r="Y911" t="str">
        <f>VLOOKUP(C911,'[1]DBS_KPY Sorumlular'!A:C,2,FALSE)</f>
        <v>Mustafa AYDIN</v>
      </c>
      <c r="Z911" t="str">
        <f>VLOOKUP(C911,'[1]DBS_KPY Sorumlular'!A:C,3,FALSE)</f>
        <v>Esra DOLAN</v>
      </c>
      <c r="AA911" t="str">
        <f>VLOOKUP(K911,[1]!Tablo3[#Data],2,FALSE)</f>
        <v>Kadir TOPÇU</v>
      </c>
    </row>
    <row r="912" spans="1:27" x14ac:dyDescent="0.25">
      <c r="A912">
        <v>2219</v>
      </c>
      <c r="B912" t="s">
        <v>1419</v>
      </c>
      <c r="C912" t="s">
        <v>402</v>
      </c>
      <c r="D912" t="s">
        <v>403</v>
      </c>
      <c r="F912" t="s">
        <v>383</v>
      </c>
      <c r="G912" t="s">
        <v>384</v>
      </c>
      <c r="H912" t="s">
        <v>3647</v>
      </c>
      <c r="I912" s="4"/>
      <c r="J912" t="s">
        <v>146</v>
      </c>
      <c r="K912" t="s">
        <v>423</v>
      </c>
      <c r="L912" s="5" t="s">
        <v>3648</v>
      </c>
      <c r="M912" s="5" t="s">
        <v>3649</v>
      </c>
      <c r="N912" t="s">
        <v>1824</v>
      </c>
      <c r="O912" t="s">
        <v>3650</v>
      </c>
      <c r="S912" t="s">
        <v>230</v>
      </c>
      <c r="T912" s="5" t="s">
        <v>100</v>
      </c>
      <c r="W912">
        <v>116</v>
      </c>
      <c r="X912" t="s">
        <v>3651</v>
      </c>
      <c r="Y912" t="str">
        <f>VLOOKUP(C912,'[1]DBS_KPY Sorumlular'!A:C,2,FALSE)</f>
        <v>Tayfun VİÇE</v>
      </c>
      <c r="Z912" t="str">
        <f>VLOOKUP(C912,'[1]DBS_KPY Sorumlular'!A:C,3,FALSE)</f>
        <v>Mehmet Ali YAVUZ</v>
      </c>
      <c r="AA912" t="str">
        <f>VLOOKUP(K912,[1]!Tablo3[#Data],2,FALSE)</f>
        <v>Kadir TOPÇU</v>
      </c>
    </row>
    <row r="913" spans="1:27" x14ac:dyDescent="0.25">
      <c r="A913">
        <v>2220</v>
      </c>
      <c r="B913" t="s">
        <v>1419</v>
      </c>
      <c r="C913" t="s">
        <v>73</v>
      </c>
      <c r="D913" t="s">
        <v>73</v>
      </c>
      <c r="F913" t="s">
        <v>74</v>
      </c>
      <c r="G913" t="s">
        <v>30</v>
      </c>
      <c r="H913" t="s">
        <v>1466</v>
      </c>
      <c r="I913" s="4"/>
      <c r="J913" t="s">
        <v>3652</v>
      </c>
      <c r="K913" t="s">
        <v>423</v>
      </c>
      <c r="L913" s="5"/>
      <c r="M913" s="5"/>
      <c r="N913" t="s">
        <v>35</v>
      </c>
      <c r="O913" t="s">
        <v>3653</v>
      </c>
      <c r="S913" t="s">
        <v>230</v>
      </c>
      <c r="T913" s="5" t="s">
        <v>38</v>
      </c>
      <c r="Y913" t="str">
        <f>VLOOKUP(C913,'[1]DBS_KPY Sorumlular'!A:C,2,FALSE)</f>
        <v>Ayşegül AKGÜL</v>
      </c>
      <c r="Z913" t="str">
        <f>VLOOKUP(C913,'[1]DBS_KPY Sorumlular'!A:C,3,FALSE)</f>
        <v>Sinan ERDAŞ</v>
      </c>
      <c r="AA913" t="str">
        <f>VLOOKUP(K913,[1]!Tablo3[#Data],2,FALSE)</f>
        <v>Kadir TOPÇU</v>
      </c>
    </row>
    <row r="914" spans="1:27" x14ac:dyDescent="0.25">
      <c r="A914">
        <v>2221</v>
      </c>
      <c r="B914" t="s">
        <v>1419</v>
      </c>
      <c r="C914" t="s">
        <v>73</v>
      </c>
      <c r="D914" t="s">
        <v>73</v>
      </c>
      <c r="F914" t="s">
        <v>383</v>
      </c>
      <c r="G914" t="s">
        <v>384</v>
      </c>
      <c r="H914" t="s">
        <v>3654</v>
      </c>
      <c r="I914" s="4"/>
      <c r="J914" t="s">
        <v>3655</v>
      </c>
      <c r="K914" t="s">
        <v>423</v>
      </c>
      <c r="L914" s="5"/>
      <c r="M914" s="5"/>
      <c r="N914" t="s">
        <v>35</v>
      </c>
      <c r="O914" t="s">
        <v>3656</v>
      </c>
      <c r="S914" t="s">
        <v>230</v>
      </c>
      <c r="T914" s="5" t="s">
        <v>38</v>
      </c>
      <c r="Y914" t="str">
        <f>VLOOKUP(C914,'[1]DBS_KPY Sorumlular'!A:C,2,FALSE)</f>
        <v>Ayşegül AKGÜL</v>
      </c>
      <c r="Z914" t="str">
        <f>VLOOKUP(C914,'[1]DBS_KPY Sorumlular'!A:C,3,FALSE)</f>
        <v>Sinan ERDAŞ</v>
      </c>
      <c r="AA914" t="str">
        <f>VLOOKUP(K914,[1]!Tablo3[#Data],2,FALSE)</f>
        <v>Kadir TOPÇU</v>
      </c>
    </row>
    <row r="915" spans="1:27" x14ac:dyDescent="0.25">
      <c r="A915">
        <v>2222</v>
      </c>
      <c r="B915" t="s">
        <v>1419</v>
      </c>
      <c r="C915" t="s">
        <v>1723</v>
      </c>
      <c r="D915" t="s">
        <v>2478</v>
      </c>
      <c r="F915" t="s">
        <v>66</v>
      </c>
      <c r="G915" t="s">
        <v>67</v>
      </c>
      <c r="H915" t="s">
        <v>3657</v>
      </c>
      <c r="I915" s="4"/>
      <c r="J915" t="s">
        <v>3658</v>
      </c>
      <c r="K915" t="s">
        <v>1471</v>
      </c>
      <c r="L915" s="5" t="s">
        <v>3659</v>
      </c>
      <c r="M915" s="5" t="s">
        <v>35</v>
      </c>
      <c r="N915" t="s">
        <v>35</v>
      </c>
      <c r="O915" t="s">
        <v>3660</v>
      </c>
      <c r="S915" t="s">
        <v>37</v>
      </c>
      <c r="T915" s="5" t="s">
        <v>38</v>
      </c>
      <c r="Y915" t="str">
        <f>VLOOKUP(C915,'[1]DBS_KPY Sorumlular'!A:C,2,FALSE)</f>
        <v>Erkan AKDOĞAN</v>
      </c>
      <c r="Z915" t="str">
        <f>VLOOKUP(C915,'[1]DBS_KPY Sorumlular'!A:C,3,FALSE)</f>
        <v>Kadir TOPÇU</v>
      </c>
      <c r="AA915" t="str">
        <f>VLOOKUP(K915,[1]!Tablo3[#Data],2,FALSE)</f>
        <v>Tayfun VİÇE</v>
      </c>
    </row>
    <row r="916" spans="1:27" x14ac:dyDescent="0.25">
      <c r="A916">
        <v>2223</v>
      </c>
      <c r="B916" t="s">
        <v>1419</v>
      </c>
      <c r="C916" t="s">
        <v>1723</v>
      </c>
      <c r="D916" t="s">
        <v>1751</v>
      </c>
      <c r="F916" t="s">
        <v>2141</v>
      </c>
      <c r="G916" t="s">
        <v>67</v>
      </c>
      <c r="H916" t="s">
        <v>3661</v>
      </c>
      <c r="I916" s="4"/>
      <c r="J916" t="s">
        <v>3661</v>
      </c>
      <c r="K916" t="s">
        <v>1471</v>
      </c>
      <c r="L916" s="5" t="s">
        <v>3662</v>
      </c>
      <c r="M916" s="5" t="s">
        <v>35</v>
      </c>
      <c r="N916" t="s">
        <v>35</v>
      </c>
      <c r="O916" t="s">
        <v>3663</v>
      </c>
      <c r="S916" t="s">
        <v>37</v>
      </c>
      <c r="T916" s="5" t="s">
        <v>38</v>
      </c>
      <c r="Y916" t="str">
        <f>VLOOKUP(C916,'[1]DBS_KPY Sorumlular'!A:C,2,FALSE)</f>
        <v>Erkan AKDOĞAN</v>
      </c>
      <c r="Z916" t="str">
        <f>VLOOKUP(C916,'[1]DBS_KPY Sorumlular'!A:C,3,FALSE)</f>
        <v>Kadir TOPÇU</v>
      </c>
      <c r="AA916" t="str">
        <f>VLOOKUP(K916,[1]!Tablo3[#Data],2,FALSE)</f>
        <v>Tayfun VİÇE</v>
      </c>
    </row>
    <row r="917" spans="1:27" x14ac:dyDescent="0.25">
      <c r="A917">
        <v>2224</v>
      </c>
      <c r="B917" t="s">
        <v>1419</v>
      </c>
      <c r="C917" t="s">
        <v>40</v>
      </c>
      <c r="D917" t="s">
        <v>41</v>
      </c>
      <c r="F917" t="s">
        <v>113</v>
      </c>
      <c r="G917" t="s">
        <v>43</v>
      </c>
      <c r="H917" t="s">
        <v>3664</v>
      </c>
      <c r="I917" s="4"/>
      <c r="K917" t="s">
        <v>1471</v>
      </c>
      <c r="L917" s="5"/>
      <c r="M917" s="5"/>
      <c r="N917" t="s">
        <v>35</v>
      </c>
      <c r="O917" t="s">
        <v>3665</v>
      </c>
      <c r="S917" t="s">
        <v>37</v>
      </c>
      <c r="T917" s="5" t="s">
        <v>48</v>
      </c>
      <c r="U917" t="s">
        <v>3666</v>
      </c>
      <c r="V917" t="s">
        <v>3667</v>
      </c>
      <c r="W917">
        <v>6</v>
      </c>
      <c r="X917" t="s">
        <v>3668</v>
      </c>
      <c r="Y917" t="str">
        <f>VLOOKUP(C917,'[1]DBS_KPY Sorumlular'!A:C,2,FALSE)</f>
        <v>Mustafa AYDIN</v>
      </c>
      <c r="Z917" t="str">
        <f>VLOOKUP(C917,'[1]DBS_KPY Sorumlular'!A:C,3,FALSE)</f>
        <v>Esra DOLAN</v>
      </c>
      <c r="AA917" t="str">
        <f>VLOOKUP(K917,[1]!Tablo3[#Data],2,FALSE)</f>
        <v>Tayfun VİÇE</v>
      </c>
    </row>
    <row r="918" spans="1:27" x14ac:dyDescent="0.25">
      <c r="A918">
        <v>2225</v>
      </c>
      <c r="B918" t="s">
        <v>27</v>
      </c>
      <c r="C918" t="s">
        <v>40</v>
      </c>
      <c r="D918" t="s">
        <v>41</v>
      </c>
      <c r="F918" t="s">
        <v>532</v>
      </c>
      <c r="G918" t="s">
        <v>43</v>
      </c>
      <c r="H918" t="s">
        <v>3669</v>
      </c>
      <c r="I918" s="4"/>
      <c r="K918" t="s">
        <v>1471</v>
      </c>
      <c r="L918" s="5"/>
      <c r="M918" s="5"/>
      <c r="N918" t="s">
        <v>35</v>
      </c>
      <c r="O918" t="s">
        <v>3670</v>
      </c>
      <c r="S918" t="s">
        <v>37</v>
      </c>
      <c r="T918" s="5" t="s">
        <v>48</v>
      </c>
      <c r="U918" t="s">
        <v>3671</v>
      </c>
      <c r="V918" t="s">
        <v>3669</v>
      </c>
      <c r="W918">
        <v>159</v>
      </c>
      <c r="X918" t="s">
        <v>1492</v>
      </c>
      <c r="Y918" t="str">
        <f>VLOOKUP(C918,'[1]DBS_KPY Sorumlular'!A:C,2,FALSE)</f>
        <v>Mustafa AYDIN</v>
      </c>
      <c r="Z918" t="str">
        <f>VLOOKUP(C918,'[1]DBS_KPY Sorumlular'!A:C,3,FALSE)</f>
        <v>Esra DOLAN</v>
      </c>
      <c r="AA918" t="str">
        <f>VLOOKUP(K918,[1]!Tablo3[#Data],2,FALSE)</f>
        <v>Tayfun VİÇE</v>
      </c>
    </row>
    <row r="919" spans="1:27" x14ac:dyDescent="0.25">
      <c r="A919">
        <v>2226</v>
      </c>
      <c r="B919" t="s">
        <v>1419</v>
      </c>
      <c r="C919" t="s">
        <v>40</v>
      </c>
      <c r="D919" t="s">
        <v>65</v>
      </c>
      <c r="F919" t="s">
        <v>52</v>
      </c>
      <c r="G919" t="s">
        <v>67</v>
      </c>
      <c r="H919" t="s">
        <v>3672</v>
      </c>
      <c r="I919" s="4"/>
      <c r="J919" t="s">
        <v>3673</v>
      </c>
      <c r="K919" t="s">
        <v>1471</v>
      </c>
      <c r="L919" s="5"/>
      <c r="M919" s="5"/>
      <c r="N919" t="s">
        <v>35</v>
      </c>
      <c r="O919" t="s">
        <v>3674</v>
      </c>
      <c r="S919" t="s">
        <v>37</v>
      </c>
      <c r="T919" s="5" t="s">
        <v>48</v>
      </c>
      <c r="U919" t="s">
        <v>3675</v>
      </c>
      <c r="V919" t="s">
        <v>3676</v>
      </c>
      <c r="W919">
        <v>103</v>
      </c>
      <c r="X919" t="s">
        <v>353</v>
      </c>
      <c r="Y919" t="str">
        <f>VLOOKUP(C919,'[1]DBS_KPY Sorumlular'!A:C,2,FALSE)</f>
        <v>Mustafa AYDIN</v>
      </c>
      <c r="Z919" t="str">
        <f>VLOOKUP(C919,'[1]DBS_KPY Sorumlular'!A:C,3,FALSE)</f>
        <v>Esra DOLAN</v>
      </c>
      <c r="AA919" t="str">
        <f>VLOOKUP(K919,[1]!Tablo3[#Data],2,FALSE)</f>
        <v>Tayfun VİÇE</v>
      </c>
    </row>
    <row r="920" spans="1:27" x14ac:dyDescent="0.25">
      <c r="A920">
        <v>2227</v>
      </c>
      <c r="B920" t="s">
        <v>1419</v>
      </c>
      <c r="C920" t="s">
        <v>652</v>
      </c>
      <c r="D920" t="s">
        <v>653</v>
      </c>
      <c r="F920" t="s">
        <v>455</v>
      </c>
      <c r="G920" t="s">
        <v>456</v>
      </c>
      <c r="H920" t="s">
        <v>3677</v>
      </c>
      <c r="I920" s="4"/>
      <c r="J920" t="s">
        <v>3678</v>
      </c>
      <c r="K920" t="s">
        <v>1471</v>
      </c>
      <c r="L920" s="5"/>
      <c r="M920" s="5"/>
      <c r="N920" t="s">
        <v>35</v>
      </c>
      <c r="O920" t="s">
        <v>3679</v>
      </c>
      <c r="S920" t="s">
        <v>37</v>
      </c>
      <c r="T920" s="5" t="s">
        <v>100</v>
      </c>
      <c r="W920">
        <v>144</v>
      </c>
      <c r="X920" t="s">
        <v>463</v>
      </c>
      <c r="Y920" t="str">
        <f>VLOOKUP(C920,'[1]DBS_KPY Sorumlular'!A:C,2,FALSE)</f>
        <v>Seyithan İŞİK</v>
      </c>
      <c r="Z920" t="str">
        <f>VLOOKUP(C920,'[1]DBS_KPY Sorumlular'!A:C,3,FALSE)</f>
        <v>Korhan KÖROĞLU</v>
      </c>
      <c r="AA920" t="str">
        <f>VLOOKUP(K920,[1]!Tablo3[#Data],2,FALSE)</f>
        <v>Tayfun VİÇE</v>
      </c>
    </row>
    <row r="921" spans="1:27" x14ac:dyDescent="0.25">
      <c r="A921">
        <v>2228</v>
      </c>
      <c r="B921" t="s">
        <v>1419</v>
      </c>
      <c r="C921" t="s">
        <v>73</v>
      </c>
      <c r="D921" t="s">
        <v>73</v>
      </c>
      <c r="F921" t="s">
        <v>74</v>
      </c>
      <c r="G921" t="s">
        <v>30</v>
      </c>
      <c r="H921" t="s">
        <v>3680</v>
      </c>
      <c r="I921" s="4"/>
      <c r="J921" t="s">
        <v>3681</v>
      </c>
      <c r="K921" t="s">
        <v>1471</v>
      </c>
      <c r="L921" s="5"/>
      <c r="M921" s="5"/>
      <c r="N921" t="s">
        <v>35</v>
      </c>
      <c r="O921" t="s">
        <v>3682</v>
      </c>
      <c r="S921" t="s">
        <v>37</v>
      </c>
      <c r="T921" s="5" t="s">
        <v>38</v>
      </c>
      <c r="Y921" t="str">
        <f>VLOOKUP(C921,'[1]DBS_KPY Sorumlular'!A:C,2,FALSE)</f>
        <v>Ayşegül AKGÜL</v>
      </c>
      <c r="Z921" t="str">
        <f>VLOOKUP(C921,'[1]DBS_KPY Sorumlular'!A:C,3,FALSE)</f>
        <v>Sinan ERDAŞ</v>
      </c>
      <c r="AA921" t="str">
        <f>VLOOKUP(K921,[1]!Tablo3[#Data],2,FALSE)</f>
        <v>Tayfun VİÇE</v>
      </c>
    </row>
    <row r="922" spans="1:27" x14ac:dyDescent="0.25">
      <c r="A922">
        <v>2229</v>
      </c>
      <c r="B922" t="s">
        <v>1419</v>
      </c>
      <c r="C922" t="s">
        <v>1674</v>
      </c>
      <c r="D922" t="s">
        <v>1675</v>
      </c>
      <c r="F922" t="s">
        <v>66</v>
      </c>
      <c r="G922" t="s">
        <v>67</v>
      </c>
      <c r="H922" t="s">
        <v>3683</v>
      </c>
      <c r="I922" s="4"/>
      <c r="J922" t="s">
        <v>3684</v>
      </c>
      <c r="K922" t="s">
        <v>1471</v>
      </c>
      <c r="L922" s="5"/>
      <c r="M922" s="5"/>
      <c r="N922" t="s">
        <v>35</v>
      </c>
      <c r="O922" t="s">
        <v>3685</v>
      </c>
      <c r="S922" t="s">
        <v>37</v>
      </c>
      <c r="T922" s="5" t="s">
        <v>48</v>
      </c>
      <c r="U922" t="s">
        <v>3686</v>
      </c>
      <c r="V922" t="s">
        <v>3683</v>
      </c>
      <c r="W922">
        <v>28</v>
      </c>
      <c r="X922" t="s">
        <v>667</v>
      </c>
      <c r="Y922" t="str">
        <f>VLOOKUP(C922,'[1]DBS_KPY Sorumlular'!A:C,2,FALSE)</f>
        <v>Kadir TOPÇU</v>
      </c>
      <c r="Z922" t="str">
        <f>VLOOKUP(C922,'[1]DBS_KPY Sorumlular'!A:C,3,FALSE)</f>
        <v>Erkan AKDOĞAN</v>
      </c>
      <c r="AA922" t="str">
        <f>VLOOKUP(K922,[1]!Tablo3[#Data],2,FALSE)</f>
        <v>Tayfun VİÇE</v>
      </c>
    </row>
    <row r="923" spans="1:27" x14ac:dyDescent="0.25">
      <c r="A923">
        <v>2230</v>
      </c>
      <c r="B923" t="s">
        <v>1419</v>
      </c>
      <c r="C923" t="s">
        <v>1674</v>
      </c>
      <c r="D923" t="s">
        <v>1700</v>
      </c>
      <c r="F923" t="s">
        <v>95</v>
      </c>
      <c r="G923" t="s">
        <v>96</v>
      </c>
      <c r="H923" t="s">
        <v>3687</v>
      </c>
      <c r="I923" s="4"/>
      <c r="J923" t="s">
        <v>3688</v>
      </c>
      <c r="K923" t="s">
        <v>1471</v>
      </c>
      <c r="L923" s="5"/>
      <c r="M923" s="5"/>
      <c r="N923" t="s">
        <v>35</v>
      </c>
      <c r="O923" t="s">
        <v>3689</v>
      </c>
      <c r="S923" t="s">
        <v>37</v>
      </c>
      <c r="T923" s="5" t="s">
        <v>48</v>
      </c>
      <c r="U923" t="s">
        <v>3690</v>
      </c>
      <c r="V923" t="s">
        <v>3687</v>
      </c>
      <c r="W923">
        <v>28</v>
      </c>
      <c r="X923" t="s">
        <v>667</v>
      </c>
      <c r="Y923" t="str">
        <f>VLOOKUP(C923,'[1]DBS_KPY Sorumlular'!A:C,2,FALSE)</f>
        <v>Kadir TOPÇU</v>
      </c>
      <c r="Z923" t="str">
        <f>VLOOKUP(C923,'[1]DBS_KPY Sorumlular'!A:C,3,FALSE)</f>
        <v>Erkan AKDOĞAN</v>
      </c>
      <c r="AA923" t="str">
        <f>VLOOKUP(K923,[1]!Tablo3[#Data],2,FALSE)</f>
        <v>Tayfun VİÇE</v>
      </c>
    </row>
    <row r="924" spans="1:27" x14ac:dyDescent="0.25">
      <c r="A924">
        <v>2231</v>
      </c>
      <c r="B924" t="s">
        <v>27</v>
      </c>
      <c r="C924" t="s">
        <v>40</v>
      </c>
      <c r="D924" t="s">
        <v>65</v>
      </c>
      <c r="F924" t="s">
        <v>66</v>
      </c>
      <c r="G924" t="s">
        <v>67</v>
      </c>
      <c r="H924" t="s">
        <v>3691</v>
      </c>
      <c r="I924" s="4">
        <v>45975.875</v>
      </c>
      <c r="J924" t="s">
        <v>3692</v>
      </c>
      <c r="K924" t="s">
        <v>1471</v>
      </c>
      <c r="L924" s="5"/>
      <c r="M924" s="5" t="s">
        <v>3693</v>
      </c>
      <c r="N924" t="s">
        <v>46</v>
      </c>
      <c r="O924" t="s">
        <v>3694</v>
      </c>
      <c r="R924">
        <v>0.5</v>
      </c>
      <c r="S924" t="s">
        <v>37</v>
      </c>
      <c r="T924" s="5" t="s">
        <v>48</v>
      </c>
      <c r="U924" t="s">
        <v>3695</v>
      </c>
      <c r="V924" t="s">
        <v>3696</v>
      </c>
      <c r="W924">
        <v>203</v>
      </c>
      <c r="X924" t="s">
        <v>72</v>
      </c>
      <c r="Y924" t="str">
        <f>VLOOKUP(C924,'[1]DBS_KPY Sorumlular'!A:C,2,FALSE)</f>
        <v>Mustafa AYDIN</v>
      </c>
      <c r="Z924" t="str">
        <f>VLOOKUP(C924,'[1]DBS_KPY Sorumlular'!A:C,3,FALSE)</f>
        <v>Esra DOLAN</v>
      </c>
      <c r="AA924" t="str">
        <f>VLOOKUP(K924,[1]!Tablo3[#Data],2,FALSE)</f>
        <v>Tayfun VİÇE</v>
      </c>
    </row>
    <row r="925" spans="1:27" x14ac:dyDescent="0.25">
      <c r="A925">
        <v>2232</v>
      </c>
      <c r="B925" t="s">
        <v>1419</v>
      </c>
      <c r="C925" t="s">
        <v>40</v>
      </c>
      <c r="D925" t="s">
        <v>65</v>
      </c>
      <c r="F925" t="s">
        <v>66</v>
      </c>
      <c r="G925" t="s">
        <v>30</v>
      </c>
      <c r="H925" t="s">
        <v>3697</v>
      </c>
      <c r="I925" s="4"/>
      <c r="J925" t="s">
        <v>3698</v>
      </c>
      <c r="K925" t="s">
        <v>1471</v>
      </c>
      <c r="L925" s="5"/>
      <c r="M925" s="5"/>
      <c r="N925" t="s">
        <v>35</v>
      </c>
      <c r="O925" t="s">
        <v>3699</v>
      </c>
      <c r="S925" t="s">
        <v>37</v>
      </c>
      <c r="T925" s="5" t="s">
        <v>48</v>
      </c>
      <c r="U925" t="s">
        <v>3700</v>
      </c>
      <c r="V925" t="s">
        <v>3701</v>
      </c>
      <c r="W925">
        <v>207</v>
      </c>
      <c r="X925" t="s">
        <v>472</v>
      </c>
      <c r="Y925" t="str">
        <f>VLOOKUP(C925,'[1]DBS_KPY Sorumlular'!A:C,2,FALSE)</f>
        <v>Mustafa AYDIN</v>
      </c>
      <c r="Z925" t="str">
        <f>VLOOKUP(C925,'[1]DBS_KPY Sorumlular'!A:C,3,FALSE)</f>
        <v>Esra DOLAN</v>
      </c>
      <c r="AA925" t="str">
        <f>VLOOKUP(K925,[1]!Tablo3[#Data],2,FALSE)</f>
        <v>Tayfun VİÇE</v>
      </c>
    </row>
    <row r="926" spans="1:27" x14ac:dyDescent="0.25">
      <c r="A926">
        <v>2233</v>
      </c>
      <c r="B926" t="s">
        <v>1419</v>
      </c>
      <c r="C926" t="s">
        <v>40</v>
      </c>
      <c r="D926" t="s">
        <v>65</v>
      </c>
      <c r="F926" t="s">
        <v>66</v>
      </c>
      <c r="G926" t="s">
        <v>67</v>
      </c>
      <c r="H926" t="s">
        <v>3702</v>
      </c>
      <c r="I926" s="4"/>
      <c r="K926" t="s">
        <v>1471</v>
      </c>
      <c r="L926" s="5"/>
      <c r="M926" s="5"/>
      <c r="N926" t="s">
        <v>35</v>
      </c>
      <c r="O926" t="s">
        <v>3703</v>
      </c>
      <c r="S926" t="s">
        <v>37</v>
      </c>
      <c r="T926" s="5" t="s">
        <v>100</v>
      </c>
      <c r="W926">
        <v>208</v>
      </c>
      <c r="X926" t="s">
        <v>594</v>
      </c>
      <c r="Y926" t="str">
        <f>VLOOKUP(C926,'[1]DBS_KPY Sorumlular'!A:C,2,FALSE)</f>
        <v>Mustafa AYDIN</v>
      </c>
      <c r="Z926" t="str">
        <f>VLOOKUP(C926,'[1]DBS_KPY Sorumlular'!A:C,3,FALSE)</f>
        <v>Esra DOLAN</v>
      </c>
      <c r="AA926" t="str">
        <f>VLOOKUP(K926,[1]!Tablo3[#Data],2,FALSE)</f>
        <v>Tayfun VİÇE</v>
      </c>
    </row>
    <row r="927" spans="1:27" x14ac:dyDescent="0.25">
      <c r="A927">
        <v>2234</v>
      </c>
      <c r="B927" t="s">
        <v>1419</v>
      </c>
      <c r="C927" t="s">
        <v>40</v>
      </c>
      <c r="D927" t="s">
        <v>65</v>
      </c>
      <c r="F927" t="s">
        <v>66</v>
      </c>
      <c r="G927" t="s">
        <v>67</v>
      </c>
      <c r="H927" t="s">
        <v>3704</v>
      </c>
      <c r="I927" s="4"/>
      <c r="K927" t="s">
        <v>1471</v>
      </c>
      <c r="L927" s="5"/>
      <c r="M927" s="5"/>
      <c r="N927" t="s">
        <v>35</v>
      </c>
      <c r="O927" t="s">
        <v>3705</v>
      </c>
      <c r="S927" t="s">
        <v>37</v>
      </c>
      <c r="T927" s="5" t="s">
        <v>48</v>
      </c>
      <c r="U927" t="s">
        <v>3706</v>
      </c>
      <c r="V927" t="s">
        <v>3707</v>
      </c>
      <c r="W927">
        <v>203</v>
      </c>
      <c r="X927" t="s">
        <v>72</v>
      </c>
      <c r="Y927" t="str">
        <f>VLOOKUP(C927,'[1]DBS_KPY Sorumlular'!A:C,2,FALSE)</f>
        <v>Mustafa AYDIN</v>
      </c>
      <c r="Z927" t="str">
        <f>VLOOKUP(C927,'[1]DBS_KPY Sorumlular'!A:C,3,FALSE)</f>
        <v>Esra DOLAN</v>
      </c>
      <c r="AA927" t="str">
        <f>VLOOKUP(K927,[1]!Tablo3[#Data],2,FALSE)</f>
        <v>Tayfun VİÇE</v>
      </c>
    </row>
    <row r="928" spans="1:27" x14ac:dyDescent="0.25">
      <c r="A928">
        <v>2235</v>
      </c>
      <c r="B928" t="s">
        <v>1419</v>
      </c>
      <c r="C928" t="s">
        <v>652</v>
      </c>
      <c r="D928" t="s">
        <v>653</v>
      </c>
      <c r="F928" t="s">
        <v>455</v>
      </c>
      <c r="G928" t="s">
        <v>456</v>
      </c>
      <c r="H928" t="s">
        <v>3708</v>
      </c>
      <c r="I928" s="4"/>
      <c r="J928" t="s">
        <v>3709</v>
      </c>
      <c r="K928" t="s">
        <v>1471</v>
      </c>
      <c r="L928" s="5"/>
      <c r="M928" s="5"/>
      <c r="N928" t="s">
        <v>35</v>
      </c>
      <c r="O928" t="s">
        <v>3710</v>
      </c>
      <c r="S928" t="s">
        <v>37</v>
      </c>
      <c r="T928" s="5" t="s">
        <v>100</v>
      </c>
      <c r="W928">
        <v>144</v>
      </c>
      <c r="X928" t="s">
        <v>463</v>
      </c>
      <c r="Y928" t="str">
        <f>VLOOKUP(C928,'[1]DBS_KPY Sorumlular'!A:C,2,FALSE)</f>
        <v>Seyithan İŞİK</v>
      </c>
      <c r="Z928" t="str">
        <f>VLOOKUP(C928,'[1]DBS_KPY Sorumlular'!A:C,3,FALSE)</f>
        <v>Korhan KÖROĞLU</v>
      </c>
      <c r="AA928" t="str">
        <f>VLOOKUP(K928,[1]!Tablo3[#Data],2,FALSE)</f>
        <v>Tayfun VİÇE</v>
      </c>
    </row>
    <row r="929" spans="1:27" x14ac:dyDescent="0.25">
      <c r="A929">
        <v>2236</v>
      </c>
      <c r="B929" t="s">
        <v>1419</v>
      </c>
      <c r="C929" t="s">
        <v>73</v>
      </c>
      <c r="D929" t="s">
        <v>73</v>
      </c>
      <c r="F929" t="s">
        <v>74</v>
      </c>
      <c r="G929" t="s">
        <v>30</v>
      </c>
      <c r="H929" t="s">
        <v>3711</v>
      </c>
      <c r="I929" s="4">
        <v>47053.875</v>
      </c>
      <c r="J929" t="s">
        <v>3712</v>
      </c>
      <c r="K929" t="s">
        <v>1471</v>
      </c>
      <c r="L929" s="5" t="s">
        <v>3713</v>
      </c>
      <c r="M929" s="5"/>
      <c r="N929" t="s">
        <v>35</v>
      </c>
      <c r="O929" t="s">
        <v>3714</v>
      </c>
      <c r="S929" t="s">
        <v>37</v>
      </c>
      <c r="T929" s="5" t="s">
        <v>38</v>
      </c>
      <c r="Y929" t="str">
        <f>VLOOKUP(C929,'[1]DBS_KPY Sorumlular'!A:C,2,FALSE)</f>
        <v>Ayşegül AKGÜL</v>
      </c>
      <c r="Z929" t="str">
        <f>VLOOKUP(C929,'[1]DBS_KPY Sorumlular'!A:C,3,FALSE)</f>
        <v>Sinan ERDAŞ</v>
      </c>
      <c r="AA929" t="str">
        <f>VLOOKUP(K929,[1]!Tablo3[#Data],2,FALSE)</f>
        <v>Tayfun VİÇE</v>
      </c>
    </row>
    <row r="930" spans="1:27" x14ac:dyDescent="0.25">
      <c r="A930">
        <v>2237</v>
      </c>
      <c r="B930" t="s">
        <v>1419</v>
      </c>
      <c r="C930" t="s">
        <v>73</v>
      </c>
      <c r="D930" t="s">
        <v>73</v>
      </c>
      <c r="F930" t="s">
        <v>455</v>
      </c>
      <c r="G930" t="s">
        <v>456</v>
      </c>
      <c r="H930" t="s">
        <v>3715</v>
      </c>
      <c r="I930" s="4"/>
      <c r="J930" t="s">
        <v>3716</v>
      </c>
      <c r="K930" t="s">
        <v>1471</v>
      </c>
      <c r="L930" s="5"/>
      <c r="M930" s="5"/>
      <c r="N930" t="s">
        <v>35</v>
      </c>
      <c r="O930" t="s">
        <v>3717</v>
      </c>
      <c r="S930" t="s">
        <v>37</v>
      </c>
      <c r="T930" s="5" t="s">
        <v>38</v>
      </c>
      <c r="Y930" t="str">
        <f>VLOOKUP(C930,'[1]DBS_KPY Sorumlular'!A:C,2,FALSE)</f>
        <v>Ayşegül AKGÜL</v>
      </c>
      <c r="Z930" t="str">
        <f>VLOOKUP(C930,'[1]DBS_KPY Sorumlular'!A:C,3,FALSE)</f>
        <v>Sinan ERDAŞ</v>
      </c>
      <c r="AA930" t="str">
        <f>VLOOKUP(K930,[1]!Tablo3[#Data],2,FALSE)</f>
        <v>Tayfun VİÇE</v>
      </c>
    </row>
    <row r="931" spans="1:27" x14ac:dyDescent="0.25">
      <c r="A931">
        <v>2238</v>
      </c>
      <c r="B931" t="s">
        <v>1419</v>
      </c>
      <c r="C931" t="s">
        <v>1674</v>
      </c>
      <c r="D931" t="s">
        <v>1717</v>
      </c>
      <c r="F931" t="s">
        <v>102</v>
      </c>
      <c r="G931" t="s">
        <v>43</v>
      </c>
      <c r="H931" t="s">
        <v>3718</v>
      </c>
      <c r="I931" s="4"/>
      <c r="J931" t="s">
        <v>3719</v>
      </c>
      <c r="K931" t="s">
        <v>1471</v>
      </c>
      <c r="L931" s="5"/>
      <c r="M931" s="5" t="s">
        <v>3720</v>
      </c>
      <c r="N931" t="s">
        <v>35</v>
      </c>
      <c r="O931" t="s">
        <v>3721</v>
      </c>
      <c r="S931" t="s">
        <v>37</v>
      </c>
      <c r="T931" s="5" t="s">
        <v>48</v>
      </c>
      <c r="U931" t="s">
        <v>3722</v>
      </c>
      <c r="V931" t="s">
        <v>3718</v>
      </c>
      <c r="W931">
        <v>52</v>
      </c>
      <c r="X931" t="s">
        <v>3153</v>
      </c>
      <c r="Y931" t="str">
        <f>VLOOKUP(C931,'[1]DBS_KPY Sorumlular'!A:C,2,FALSE)</f>
        <v>Kadir TOPÇU</v>
      </c>
      <c r="Z931" t="str">
        <f>VLOOKUP(C931,'[1]DBS_KPY Sorumlular'!A:C,3,FALSE)</f>
        <v>Erkan AKDOĞAN</v>
      </c>
      <c r="AA931" t="str">
        <f>VLOOKUP(K931,[1]!Tablo3[#Data],2,FALSE)</f>
        <v>Tayfun VİÇE</v>
      </c>
    </row>
    <row r="932" spans="1:27" x14ac:dyDescent="0.25">
      <c r="A932">
        <v>2239</v>
      </c>
      <c r="B932" t="s">
        <v>1419</v>
      </c>
      <c r="C932" t="s">
        <v>304</v>
      </c>
      <c r="D932" t="s">
        <v>305</v>
      </c>
      <c r="F932" t="s">
        <v>537</v>
      </c>
      <c r="G932" t="s">
        <v>67</v>
      </c>
      <c r="H932" t="s">
        <v>3723</v>
      </c>
      <c r="I932" s="4"/>
      <c r="J932" t="s">
        <v>3724</v>
      </c>
      <c r="K932" t="s">
        <v>143</v>
      </c>
      <c r="L932" s="5" t="s">
        <v>2414</v>
      </c>
      <c r="M932" s="5"/>
      <c r="N932" t="s">
        <v>35</v>
      </c>
      <c r="O932" t="s">
        <v>3725</v>
      </c>
      <c r="S932" t="s">
        <v>37</v>
      </c>
      <c r="T932" s="5" t="s">
        <v>38</v>
      </c>
      <c r="Y932" t="str">
        <f>VLOOKUP(C932,'[1]DBS_KPY Sorumlular'!A:C,2,FALSE)</f>
        <v>Erkan AKDOĞAN</v>
      </c>
      <c r="Z932" t="str">
        <f>VLOOKUP(C932,'[1]DBS_KPY Sorumlular'!A:C,3,FALSE)</f>
        <v>Kadir TOPÇU</v>
      </c>
      <c r="AA932" t="str">
        <f>VLOOKUP(K932,[1]!Tablo3[#Data],2,FALSE)</f>
        <v>Tayfun VİÇE</v>
      </c>
    </row>
    <row r="933" spans="1:27" x14ac:dyDescent="0.25">
      <c r="A933">
        <v>2240</v>
      </c>
      <c r="B933" t="s">
        <v>1419</v>
      </c>
      <c r="C933" t="s">
        <v>40</v>
      </c>
      <c r="D933" t="s">
        <v>65</v>
      </c>
      <c r="F933" t="s">
        <v>52</v>
      </c>
      <c r="G933" t="s">
        <v>67</v>
      </c>
      <c r="H933" t="s">
        <v>3726</v>
      </c>
      <c r="I933" s="4"/>
      <c r="J933" t="s">
        <v>3727</v>
      </c>
      <c r="K933" t="s">
        <v>143</v>
      </c>
      <c r="L933" s="5"/>
      <c r="M933" s="5"/>
      <c r="N933" t="s">
        <v>35</v>
      </c>
      <c r="O933" t="s">
        <v>3728</v>
      </c>
      <c r="S933" t="s">
        <v>37</v>
      </c>
      <c r="T933" s="5" t="s">
        <v>48</v>
      </c>
      <c r="U933" t="s">
        <v>3729</v>
      </c>
      <c r="V933" t="s">
        <v>3730</v>
      </c>
      <c r="W933">
        <v>103</v>
      </c>
      <c r="X933" t="s">
        <v>353</v>
      </c>
      <c r="Y933" t="str">
        <f>VLOOKUP(C933,'[1]DBS_KPY Sorumlular'!A:C,2,FALSE)</f>
        <v>Mustafa AYDIN</v>
      </c>
      <c r="Z933" t="str">
        <f>VLOOKUP(C933,'[1]DBS_KPY Sorumlular'!A:C,3,FALSE)</f>
        <v>Esra DOLAN</v>
      </c>
      <c r="AA933" t="str">
        <f>VLOOKUP(K933,[1]!Tablo3[#Data],2,FALSE)</f>
        <v>Tayfun VİÇE</v>
      </c>
    </row>
    <row r="934" spans="1:27" x14ac:dyDescent="0.25">
      <c r="A934">
        <v>2241</v>
      </c>
      <c r="B934" t="s">
        <v>1419</v>
      </c>
      <c r="C934" t="s">
        <v>73</v>
      </c>
      <c r="D934" t="s">
        <v>73</v>
      </c>
      <c r="F934" t="s">
        <v>108</v>
      </c>
      <c r="G934" t="s">
        <v>30</v>
      </c>
      <c r="H934" t="s">
        <v>3731</v>
      </c>
      <c r="I934" s="4"/>
      <c r="J934" t="s">
        <v>3732</v>
      </c>
      <c r="K934" t="s">
        <v>143</v>
      </c>
      <c r="L934" s="5" t="s">
        <v>3733</v>
      </c>
      <c r="M934" s="5"/>
      <c r="N934" t="s">
        <v>35</v>
      </c>
      <c r="O934" t="s">
        <v>3734</v>
      </c>
      <c r="S934" t="s">
        <v>37</v>
      </c>
      <c r="T934" s="5" t="s">
        <v>38</v>
      </c>
      <c r="Y934" t="str">
        <f>VLOOKUP(C934,'[1]DBS_KPY Sorumlular'!A:C,2,FALSE)</f>
        <v>Ayşegül AKGÜL</v>
      </c>
      <c r="Z934" t="str">
        <f>VLOOKUP(C934,'[1]DBS_KPY Sorumlular'!A:C,3,FALSE)</f>
        <v>Sinan ERDAŞ</v>
      </c>
      <c r="AA934" t="str">
        <f>VLOOKUP(K934,[1]!Tablo3[#Data],2,FALSE)</f>
        <v>Tayfun VİÇE</v>
      </c>
    </row>
    <row r="935" spans="1:27" x14ac:dyDescent="0.25">
      <c r="A935">
        <v>2242</v>
      </c>
      <c r="B935" t="s">
        <v>1419</v>
      </c>
      <c r="C935" t="s">
        <v>73</v>
      </c>
      <c r="D935" t="s">
        <v>73</v>
      </c>
      <c r="F935" t="s">
        <v>1263</v>
      </c>
      <c r="G935" t="s">
        <v>30</v>
      </c>
      <c r="H935" t="s">
        <v>3735</v>
      </c>
      <c r="I935" s="4"/>
      <c r="J935" t="s">
        <v>3736</v>
      </c>
      <c r="K935" t="s">
        <v>143</v>
      </c>
      <c r="L935" s="5"/>
      <c r="M935" s="5"/>
      <c r="N935" t="s">
        <v>35</v>
      </c>
      <c r="O935" t="s">
        <v>1518</v>
      </c>
      <c r="S935" t="s">
        <v>37</v>
      </c>
      <c r="T935" s="5" t="s">
        <v>38</v>
      </c>
      <c r="Y935" t="str">
        <f>VLOOKUP(C935,'[1]DBS_KPY Sorumlular'!A:C,2,FALSE)</f>
        <v>Ayşegül AKGÜL</v>
      </c>
      <c r="Z935" t="str">
        <f>VLOOKUP(C935,'[1]DBS_KPY Sorumlular'!A:C,3,FALSE)</f>
        <v>Sinan ERDAŞ</v>
      </c>
      <c r="AA935" t="str">
        <f>VLOOKUP(K935,[1]!Tablo3[#Data],2,FALSE)</f>
        <v>Tayfun VİÇE</v>
      </c>
    </row>
    <row r="936" spans="1:27" x14ac:dyDescent="0.25">
      <c r="A936">
        <v>2243</v>
      </c>
      <c r="B936" t="s">
        <v>27</v>
      </c>
      <c r="C936" t="s">
        <v>40</v>
      </c>
      <c r="D936" t="s">
        <v>41</v>
      </c>
      <c r="F936" t="s">
        <v>306</v>
      </c>
      <c r="G936" t="s">
        <v>67</v>
      </c>
      <c r="H936" t="s">
        <v>3737</v>
      </c>
      <c r="I936" s="4">
        <v>45610.875</v>
      </c>
      <c r="J936" t="s">
        <v>3738</v>
      </c>
      <c r="K936" t="s">
        <v>143</v>
      </c>
      <c r="L936" s="5"/>
      <c r="M936" s="5"/>
      <c r="N936" t="s">
        <v>82</v>
      </c>
      <c r="O936" t="s">
        <v>3739</v>
      </c>
      <c r="R936">
        <v>1</v>
      </c>
      <c r="S936" t="s">
        <v>37</v>
      </c>
      <c r="T936" s="5" t="s">
        <v>58</v>
      </c>
      <c r="U936" t="s">
        <v>1509</v>
      </c>
      <c r="V936" t="s">
        <v>1510</v>
      </c>
      <c r="W936">
        <v>144</v>
      </c>
      <c r="X936" t="s">
        <v>463</v>
      </c>
      <c r="Y936" t="str">
        <f>VLOOKUP(C936,'[1]DBS_KPY Sorumlular'!A:C,2,FALSE)</f>
        <v>Mustafa AYDIN</v>
      </c>
      <c r="Z936" t="str">
        <f>VLOOKUP(C936,'[1]DBS_KPY Sorumlular'!A:C,3,FALSE)</f>
        <v>Esra DOLAN</v>
      </c>
      <c r="AA936" t="str">
        <f>VLOOKUP(K936,[1]!Tablo3[#Data],2,FALSE)</f>
        <v>Tayfun VİÇE</v>
      </c>
    </row>
    <row r="937" spans="1:27" x14ac:dyDescent="0.25">
      <c r="A937">
        <v>2244</v>
      </c>
      <c r="B937" t="s">
        <v>1419</v>
      </c>
      <c r="C937" t="s">
        <v>1723</v>
      </c>
      <c r="D937" t="s">
        <v>2478</v>
      </c>
      <c r="F937" t="s">
        <v>66</v>
      </c>
      <c r="G937" t="s">
        <v>67</v>
      </c>
      <c r="H937" t="s">
        <v>3740</v>
      </c>
      <c r="I937" s="4"/>
      <c r="J937" t="s">
        <v>3741</v>
      </c>
      <c r="K937" t="s">
        <v>143</v>
      </c>
      <c r="L937" s="5" t="s">
        <v>3742</v>
      </c>
      <c r="M937" s="5" t="s">
        <v>35</v>
      </c>
      <c r="N937" t="s">
        <v>35</v>
      </c>
      <c r="O937" t="s">
        <v>3743</v>
      </c>
      <c r="S937" t="s">
        <v>37</v>
      </c>
      <c r="T937" s="5" t="s">
        <v>38</v>
      </c>
      <c r="Y937" t="str">
        <f>VLOOKUP(C937,'[1]DBS_KPY Sorumlular'!A:C,2,FALSE)</f>
        <v>Erkan AKDOĞAN</v>
      </c>
      <c r="Z937" t="str">
        <f>VLOOKUP(C937,'[1]DBS_KPY Sorumlular'!A:C,3,FALSE)</f>
        <v>Kadir TOPÇU</v>
      </c>
      <c r="AA937" t="str">
        <f>VLOOKUP(K937,[1]!Tablo3[#Data],2,FALSE)</f>
        <v>Tayfun VİÇE</v>
      </c>
    </row>
    <row r="938" spans="1:27" x14ac:dyDescent="0.25">
      <c r="A938">
        <v>2245</v>
      </c>
      <c r="B938" t="s">
        <v>1419</v>
      </c>
      <c r="C938" t="s">
        <v>1723</v>
      </c>
      <c r="D938" t="s">
        <v>2478</v>
      </c>
      <c r="F938" t="s">
        <v>66</v>
      </c>
      <c r="G938" t="s">
        <v>67</v>
      </c>
      <c r="H938" t="s">
        <v>3744</v>
      </c>
      <c r="I938" s="4"/>
      <c r="J938" t="s">
        <v>3745</v>
      </c>
      <c r="K938" t="s">
        <v>143</v>
      </c>
      <c r="L938" s="5" t="s">
        <v>3742</v>
      </c>
      <c r="M938" s="5" t="s">
        <v>35</v>
      </c>
      <c r="N938" t="s">
        <v>35</v>
      </c>
      <c r="O938" t="s">
        <v>3746</v>
      </c>
      <c r="S938" t="s">
        <v>37</v>
      </c>
      <c r="T938" s="5" t="s">
        <v>38</v>
      </c>
      <c r="Y938" t="str">
        <f>VLOOKUP(C938,'[1]DBS_KPY Sorumlular'!A:C,2,FALSE)</f>
        <v>Erkan AKDOĞAN</v>
      </c>
      <c r="Z938" t="str">
        <f>VLOOKUP(C938,'[1]DBS_KPY Sorumlular'!A:C,3,FALSE)</f>
        <v>Kadir TOPÇU</v>
      </c>
      <c r="AA938" t="str">
        <f>VLOOKUP(K938,[1]!Tablo3[#Data],2,FALSE)</f>
        <v>Tayfun VİÇE</v>
      </c>
    </row>
    <row r="939" spans="1:27" x14ac:dyDescent="0.25">
      <c r="A939">
        <v>2246</v>
      </c>
      <c r="B939" t="s">
        <v>1419</v>
      </c>
      <c r="C939" t="s">
        <v>1723</v>
      </c>
      <c r="D939" t="s">
        <v>1751</v>
      </c>
      <c r="F939" t="s">
        <v>66</v>
      </c>
      <c r="G939" t="s">
        <v>67</v>
      </c>
      <c r="H939" t="s">
        <v>3747</v>
      </c>
      <c r="I939" s="4"/>
      <c r="J939" t="s">
        <v>3748</v>
      </c>
      <c r="K939" t="s">
        <v>143</v>
      </c>
      <c r="L939" s="5" t="s">
        <v>3742</v>
      </c>
      <c r="M939" s="5" t="s">
        <v>35</v>
      </c>
      <c r="N939" t="s">
        <v>35</v>
      </c>
      <c r="O939" t="s">
        <v>3749</v>
      </c>
      <c r="S939" t="s">
        <v>37</v>
      </c>
      <c r="T939" s="5" t="s">
        <v>38</v>
      </c>
      <c r="Y939" t="str">
        <f>VLOOKUP(C939,'[1]DBS_KPY Sorumlular'!A:C,2,FALSE)</f>
        <v>Erkan AKDOĞAN</v>
      </c>
      <c r="Z939" t="str">
        <f>VLOOKUP(C939,'[1]DBS_KPY Sorumlular'!A:C,3,FALSE)</f>
        <v>Kadir TOPÇU</v>
      </c>
      <c r="AA939" t="str">
        <f>VLOOKUP(K939,[1]!Tablo3[#Data],2,FALSE)</f>
        <v>Tayfun VİÇE</v>
      </c>
    </row>
    <row r="940" spans="1:27" x14ac:dyDescent="0.25">
      <c r="A940">
        <v>2247</v>
      </c>
      <c r="B940" t="s">
        <v>27</v>
      </c>
      <c r="C940" t="s">
        <v>40</v>
      </c>
      <c r="D940" t="s">
        <v>41</v>
      </c>
      <c r="F940" t="s">
        <v>113</v>
      </c>
      <c r="G940" t="s">
        <v>43</v>
      </c>
      <c r="H940" t="s">
        <v>3750</v>
      </c>
      <c r="I940" s="4">
        <v>45837.875</v>
      </c>
      <c r="K940" t="s">
        <v>143</v>
      </c>
      <c r="L940" s="5"/>
      <c r="M940" s="5"/>
      <c r="N940" t="s">
        <v>46</v>
      </c>
      <c r="O940" t="s">
        <v>3751</v>
      </c>
      <c r="R940">
        <v>0.72</v>
      </c>
      <c r="S940" t="s">
        <v>37</v>
      </c>
      <c r="T940" s="5" t="s">
        <v>58</v>
      </c>
      <c r="U940" t="s">
        <v>123</v>
      </c>
      <c r="V940" t="s">
        <v>124</v>
      </c>
      <c r="W940">
        <v>137</v>
      </c>
      <c r="X940" t="s">
        <v>125</v>
      </c>
      <c r="Y940" t="str">
        <f>VLOOKUP(C940,'[1]DBS_KPY Sorumlular'!A:C,2,FALSE)</f>
        <v>Mustafa AYDIN</v>
      </c>
      <c r="Z940" t="str">
        <f>VLOOKUP(C940,'[1]DBS_KPY Sorumlular'!A:C,3,FALSE)</f>
        <v>Esra DOLAN</v>
      </c>
      <c r="AA940" t="str">
        <f>VLOOKUP(K940,[1]!Tablo3[#Data],2,FALSE)</f>
        <v>Tayfun VİÇE</v>
      </c>
    </row>
    <row r="941" spans="1:27" x14ac:dyDescent="0.25">
      <c r="A941">
        <v>2248</v>
      </c>
      <c r="B941" t="s">
        <v>1419</v>
      </c>
      <c r="C941" t="s">
        <v>73</v>
      </c>
      <c r="D941" t="s">
        <v>73</v>
      </c>
      <c r="F941" t="s">
        <v>74</v>
      </c>
      <c r="G941" t="s">
        <v>30</v>
      </c>
      <c r="H941" t="s">
        <v>1515</v>
      </c>
      <c r="I941" s="4">
        <v>46387.875</v>
      </c>
      <c r="J941" t="s">
        <v>3752</v>
      </c>
      <c r="K941" t="s">
        <v>143</v>
      </c>
      <c r="L941" s="5" t="s">
        <v>3351</v>
      </c>
      <c r="M941" s="5"/>
      <c r="N941" t="s">
        <v>35</v>
      </c>
      <c r="O941" t="s">
        <v>3753</v>
      </c>
      <c r="S941" t="s">
        <v>37</v>
      </c>
      <c r="T941" s="5" t="s">
        <v>38</v>
      </c>
      <c r="Y941" t="str">
        <f>VLOOKUP(C941,'[1]DBS_KPY Sorumlular'!A:C,2,FALSE)</f>
        <v>Ayşegül AKGÜL</v>
      </c>
      <c r="Z941" t="str">
        <f>VLOOKUP(C941,'[1]DBS_KPY Sorumlular'!A:C,3,FALSE)</f>
        <v>Sinan ERDAŞ</v>
      </c>
      <c r="AA941" t="str">
        <f>VLOOKUP(K941,[1]!Tablo3[#Data],2,FALSE)</f>
        <v>Tayfun VİÇE</v>
      </c>
    </row>
    <row r="942" spans="1:27" x14ac:dyDescent="0.25">
      <c r="A942">
        <v>2249</v>
      </c>
      <c r="B942" t="s">
        <v>1419</v>
      </c>
      <c r="C942" t="s">
        <v>1674</v>
      </c>
      <c r="D942" t="s">
        <v>1700</v>
      </c>
      <c r="F942" t="s">
        <v>95</v>
      </c>
      <c r="G942" t="s">
        <v>291</v>
      </c>
      <c r="H942" t="s">
        <v>3754</v>
      </c>
      <c r="I942" s="4"/>
      <c r="J942" t="s">
        <v>1996</v>
      </c>
      <c r="K942" t="s">
        <v>143</v>
      </c>
      <c r="L942" s="5" t="s">
        <v>3755</v>
      </c>
      <c r="M942" s="5"/>
      <c r="N942" t="s">
        <v>35</v>
      </c>
      <c r="O942" t="s">
        <v>3756</v>
      </c>
      <c r="S942" t="s">
        <v>37</v>
      </c>
      <c r="T942" s="5" t="s">
        <v>48</v>
      </c>
      <c r="U942" t="s">
        <v>3757</v>
      </c>
      <c r="V942" t="s">
        <v>3758</v>
      </c>
      <c r="W942">
        <v>28</v>
      </c>
      <c r="X942" t="s">
        <v>667</v>
      </c>
      <c r="Y942" t="str">
        <f>VLOOKUP(C942,'[1]DBS_KPY Sorumlular'!A:C,2,FALSE)</f>
        <v>Kadir TOPÇU</v>
      </c>
      <c r="Z942" t="str">
        <f>VLOOKUP(C942,'[1]DBS_KPY Sorumlular'!A:C,3,FALSE)</f>
        <v>Erkan AKDOĞAN</v>
      </c>
      <c r="AA942" t="str">
        <f>VLOOKUP(K942,[1]!Tablo3[#Data],2,FALSE)</f>
        <v>Tayfun VİÇE</v>
      </c>
    </row>
    <row r="943" spans="1:27" x14ac:dyDescent="0.25">
      <c r="A943">
        <v>2250</v>
      </c>
      <c r="B943" t="s">
        <v>1419</v>
      </c>
      <c r="C943" t="s">
        <v>1674</v>
      </c>
      <c r="D943" t="s">
        <v>1717</v>
      </c>
      <c r="F943" t="s">
        <v>642</v>
      </c>
      <c r="G943" t="s">
        <v>43</v>
      </c>
      <c r="H943" t="s">
        <v>3759</v>
      </c>
      <c r="I943" s="4"/>
      <c r="K943" t="s">
        <v>143</v>
      </c>
      <c r="L943" s="5"/>
      <c r="M943" s="5" t="s">
        <v>3760</v>
      </c>
      <c r="N943" t="s">
        <v>35</v>
      </c>
      <c r="O943" t="s">
        <v>3761</v>
      </c>
      <c r="S943" t="s">
        <v>37</v>
      </c>
      <c r="T943" s="5" t="s">
        <v>48</v>
      </c>
      <c r="U943" t="s">
        <v>3762</v>
      </c>
      <c r="V943" t="s">
        <v>3763</v>
      </c>
      <c r="W943">
        <v>80</v>
      </c>
      <c r="X943" t="s">
        <v>647</v>
      </c>
      <c r="Y943" t="str">
        <f>VLOOKUP(C943,'[1]DBS_KPY Sorumlular'!A:C,2,FALSE)</f>
        <v>Kadir TOPÇU</v>
      </c>
      <c r="Z943" t="str">
        <f>VLOOKUP(C943,'[1]DBS_KPY Sorumlular'!A:C,3,FALSE)</f>
        <v>Erkan AKDOĞAN</v>
      </c>
      <c r="AA943" t="str">
        <f>VLOOKUP(K943,[1]!Tablo3[#Data],2,FALSE)</f>
        <v>Tayfun VİÇE</v>
      </c>
    </row>
    <row r="944" spans="1:27" x14ac:dyDescent="0.25">
      <c r="A944">
        <v>2251</v>
      </c>
      <c r="B944" t="s">
        <v>1419</v>
      </c>
      <c r="C944" t="s">
        <v>1723</v>
      </c>
      <c r="D944" t="s">
        <v>2823</v>
      </c>
      <c r="F944" t="s">
        <v>532</v>
      </c>
      <c r="G944" t="s">
        <v>67</v>
      </c>
      <c r="H944" t="s">
        <v>3764</v>
      </c>
      <c r="I944" s="4"/>
      <c r="J944" t="s">
        <v>3562</v>
      </c>
      <c r="K944" t="s">
        <v>1528</v>
      </c>
      <c r="L944" s="5" t="s">
        <v>3765</v>
      </c>
      <c r="M944" s="5" t="s">
        <v>35</v>
      </c>
      <c r="N944" t="s">
        <v>35</v>
      </c>
      <c r="O944" t="s">
        <v>3766</v>
      </c>
      <c r="S944" t="s">
        <v>37</v>
      </c>
      <c r="T944" s="5" t="s">
        <v>38</v>
      </c>
      <c r="Y944" t="str">
        <f>VLOOKUP(C944,'[1]DBS_KPY Sorumlular'!A:C,2,FALSE)</f>
        <v>Erkan AKDOĞAN</v>
      </c>
      <c r="Z944" t="str">
        <f>VLOOKUP(C944,'[1]DBS_KPY Sorumlular'!A:C,3,FALSE)</f>
        <v>Kadir TOPÇU</v>
      </c>
      <c r="AA944" t="str">
        <f>VLOOKUP(K944,[1]!Tablo3[#Data],2,FALSE)</f>
        <v>Tayfun VİÇE</v>
      </c>
    </row>
    <row r="945" spans="1:27" x14ac:dyDescent="0.25">
      <c r="A945">
        <v>2252</v>
      </c>
      <c r="B945" t="s">
        <v>1419</v>
      </c>
      <c r="C945" t="s">
        <v>1674</v>
      </c>
      <c r="D945" t="s">
        <v>1675</v>
      </c>
      <c r="F945" t="s">
        <v>439</v>
      </c>
      <c r="G945" t="s">
        <v>291</v>
      </c>
      <c r="H945" t="s">
        <v>3767</v>
      </c>
      <c r="I945" s="4"/>
      <c r="J945" t="s">
        <v>3768</v>
      </c>
      <c r="K945" t="s">
        <v>1528</v>
      </c>
      <c r="L945" s="5"/>
      <c r="M945" s="5"/>
      <c r="N945" t="s">
        <v>35</v>
      </c>
      <c r="O945" t="s">
        <v>3769</v>
      </c>
      <c r="S945" t="s">
        <v>37</v>
      </c>
      <c r="T945" s="5" t="s">
        <v>48</v>
      </c>
      <c r="U945" t="s">
        <v>3770</v>
      </c>
      <c r="V945" t="s">
        <v>3767</v>
      </c>
      <c r="W945">
        <v>148</v>
      </c>
      <c r="X945" t="s">
        <v>368</v>
      </c>
      <c r="Y945" t="str">
        <f>VLOOKUP(C945,'[1]DBS_KPY Sorumlular'!A:C,2,FALSE)</f>
        <v>Kadir TOPÇU</v>
      </c>
      <c r="Z945" t="str">
        <f>VLOOKUP(C945,'[1]DBS_KPY Sorumlular'!A:C,3,FALSE)</f>
        <v>Erkan AKDOĞAN</v>
      </c>
      <c r="AA945" t="str">
        <f>VLOOKUP(K945,[1]!Tablo3[#Data],2,FALSE)</f>
        <v>Tayfun VİÇE</v>
      </c>
    </row>
    <row r="946" spans="1:27" x14ac:dyDescent="0.25">
      <c r="A946">
        <v>2253</v>
      </c>
      <c r="B946" t="s">
        <v>1419</v>
      </c>
      <c r="C946" t="s">
        <v>1674</v>
      </c>
      <c r="D946" t="s">
        <v>1675</v>
      </c>
      <c r="F946" t="s">
        <v>439</v>
      </c>
      <c r="G946" t="s">
        <v>291</v>
      </c>
      <c r="H946" t="s">
        <v>3771</v>
      </c>
      <c r="I946" s="4"/>
      <c r="J946" t="s">
        <v>3772</v>
      </c>
      <c r="K946" t="s">
        <v>1528</v>
      </c>
      <c r="L946" s="5"/>
      <c r="M946" s="5"/>
      <c r="N946" t="s">
        <v>35</v>
      </c>
      <c r="O946" t="s">
        <v>3773</v>
      </c>
      <c r="S946" t="s">
        <v>37</v>
      </c>
      <c r="T946" s="5" t="s">
        <v>48</v>
      </c>
      <c r="U946" t="s">
        <v>3774</v>
      </c>
      <c r="V946" t="s">
        <v>3771</v>
      </c>
      <c r="W946">
        <v>148</v>
      </c>
      <c r="X946" t="s">
        <v>368</v>
      </c>
      <c r="Y946" t="str">
        <f>VLOOKUP(C946,'[1]DBS_KPY Sorumlular'!A:C,2,FALSE)</f>
        <v>Kadir TOPÇU</v>
      </c>
      <c r="Z946" t="str">
        <f>VLOOKUP(C946,'[1]DBS_KPY Sorumlular'!A:C,3,FALSE)</f>
        <v>Erkan AKDOĞAN</v>
      </c>
      <c r="AA946" t="str">
        <f>VLOOKUP(K946,[1]!Tablo3[#Data],2,FALSE)</f>
        <v>Tayfun VİÇE</v>
      </c>
    </row>
    <row r="947" spans="1:27" x14ac:dyDescent="0.25">
      <c r="A947">
        <v>2254</v>
      </c>
      <c r="B947" t="s">
        <v>1419</v>
      </c>
      <c r="C947" t="s">
        <v>1674</v>
      </c>
      <c r="D947" t="s">
        <v>1675</v>
      </c>
      <c r="F947" t="s">
        <v>52</v>
      </c>
      <c r="G947" t="s">
        <v>67</v>
      </c>
      <c r="H947" t="s">
        <v>3775</v>
      </c>
      <c r="I947" s="4"/>
      <c r="K947" t="s">
        <v>1528</v>
      </c>
      <c r="L947" s="5"/>
      <c r="M947" s="5"/>
      <c r="N947" t="s">
        <v>1824</v>
      </c>
      <c r="O947" t="s">
        <v>3776</v>
      </c>
      <c r="S947" t="s">
        <v>37</v>
      </c>
      <c r="T947" s="5" t="s">
        <v>100</v>
      </c>
      <c r="W947">
        <v>104</v>
      </c>
      <c r="X947" t="s">
        <v>703</v>
      </c>
      <c r="Y947" t="str">
        <f>VLOOKUP(C947,'[1]DBS_KPY Sorumlular'!A:C,2,FALSE)</f>
        <v>Kadir TOPÇU</v>
      </c>
      <c r="Z947" t="str">
        <f>VLOOKUP(C947,'[1]DBS_KPY Sorumlular'!A:C,3,FALSE)</f>
        <v>Erkan AKDOĞAN</v>
      </c>
      <c r="AA947" t="str">
        <f>VLOOKUP(K947,[1]!Tablo3[#Data],2,FALSE)</f>
        <v>Tayfun VİÇE</v>
      </c>
    </row>
    <row r="948" spans="1:27" x14ac:dyDescent="0.25">
      <c r="A948">
        <v>2255</v>
      </c>
      <c r="B948" t="s">
        <v>1419</v>
      </c>
      <c r="C948" t="s">
        <v>1674</v>
      </c>
      <c r="D948" t="s">
        <v>1675</v>
      </c>
      <c r="F948" t="s">
        <v>52</v>
      </c>
      <c r="G948" t="s">
        <v>67</v>
      </c>
      <c r="H948" t="s">
        <v>3777</v>
      </c>
      <c r="I948" s="4"/>
      <c r="J948" t="s">
        <v>3778</v>
      </c>
      <c r="K948" t="s">
        <v>1528</v>
      </c>
      <c r="L948" s="5"/>
      <c r="M948" s="5"/>
      <c r="N948" t="s">
        <v>35</v>
      </c>
      <c r="O948" t="s">
        <v>3779</v>
      </c>
      <c r="S948" t="s">
        <v>37</v>
      </c>
      <c r="T948" s="5" t="s">
        <v>48</v>
      </c>
      <c r="U948" t="s">
        <v>3780</v>
      </c>
      <c r="V948" t="s">
        <v>3777</v>
      </c>
      <c r="W948">
        <v>103</v>
      </c>
      <c r="X948" t="s">
        <v>353</v>
      </c>
      <c r="Y948" t="str">
        <f>VLOOKUP(C948,'[1]DBS_KPY Sorumlular'!A:C,2,FALSE)</f>
        <v>Kadir TOPÇU</v>
      </c>
      <c r="Z948" t="str">
        <f>VLOOKUP(C948,'[1]DBS_KPY Sorumlular'!A:C,3,FALSE)</f>
        <v>Erkan AKDOĞAN</v>
      </c>
      <c r="AA948" t="str">
        <f>VLOOKUP(K948,[1]!Tablo3[#Data],2,FALSE)</f>
        <v>Tayfun VİÇE</v>
      </c>
    </row>
    <row r="949" spans="1:27" x14ac:dyDescent="0.25">
      <c r="A949">
        <v>2256</v>
      </c>
      <c r="B949" t="s">
        <v>1419</v>
      </c>
      <c r="C949" t="s">
        <v>1674</v>
      </c>
      <c r="D949" t="s">
        <v>1675</v>
      </c>
      <c r="F949" t="s">
        <v>52</v>
      </c>
      <c r="G949" t="s">
        <v>67</v>
      </c>
      <c r="H949" t="s">
        <v>3781</v>
      </c>
      <c r="I949" s="4"/>
      <c r="J949" t="s">
        <v>3782</v>
      </c>
      <c r="K949" t="s">
        <v>1528</v>
      </c>
      <c r="L949" s="5"/>
      <c r="M949" s="5"/>
      <c r="N949" t="s">
        <v>35</v>
      </c>
      <c r="O949" t="s">
        <v>3783</v>
      </c>
      <c r="S949" t="s">
        <v>37</v>
      </c>
      <c r="T949" s="5" t="s">
        <v>48</v>
      </c>
      <c r="U949" t="s">
        <v>3784</v>
      </c>
      <c r="V949" t="s">
        <v>3781</v>
      </c>
      <c r="W949">
        <v>103</v>
      </c>
      <c r="X949" t="s">
        <v>353</v>
      </c>
      <c r="Y949" t="str">
        <f>VLOOKUP(C949,'[1]DBS_KPY Sorumlular'!A:C,2,FALSE)</f>
        <v>Kadir TOPÇU</v>
      </c>
      <c r="Z949" t="str">
        <f>VLOOKUP(C949,'[1]DBS_KPY Sorumlular'!A:C,3,FALSE)</f>
        <v>Erkan AKDOĞAN</v>
      </c>
      <c r="AA949" t="str">
        <f>VLOOKUP(K949,[1]!Tablo3[#Data],2,FALSE)</f>
        <v>Tayfun VİÇE</v>
      </c>
    </row>
    <row r="950" spans="1:27" x14ac:dyDescent="0.25">
      <c r="A950">
        <v>2257</v>
      </c>
      <c r="B950" t="s">
        <v>1419</v>
      </c>
      <c r="C950" t="s">
        <v>1674</v>
      </c>
      <c r="D950" t="s">
        <v>1675</v>
      </c>
      <c r="F950" t="s">
        <v>52</v>
      </c>
      <c r="G950" t="s">
        <v>30</v>
      </c>
      <c r="H950" t="s">
        <v>3785</v>
      </c>
      <c r="I950" s="4"/>
      <c r="J950" t="s">
        <v>3786</v>
      </c>
      <c r="K950" t="s">
        <v>1528</v>
      </c>
      <c r="L950" s="5"/>
      <c r="M950" s="5" t="s">
        <v>3787</v>
      </c>
      <c r="N950" t="s">
        <v>35</v>
      </c>
      <c r="O950" t="s">
        <v>3788</v>
      </c>
      <c r="S950" t="s">
        <v>37</v>
      </c>
      <c r="T950" s="5" t="s">
        <v>48</v>
      </c>
      <c r="U950" t="s">
        <v>3789</v>
      </c>
      <c r="V950" t="s">
        <v>3785</v>
      </c>
      <c r="W950">
        <v>65</v>
      </c>
      <c r="X950" t="s">
        <v>374</v>
      </c>
      <c r="Y950" t="str">
        <f>VLOOKUP(C950,'[1]DBS_KPY Sorumlular'!A:C,2,FALSE)</f>
        <v>Kadir TOPÇU</v>
      </c>
      <c r="Z950" t="str">
        <f>VLOOKUP(C950,'[1]DBS_KPY Sorumlular'!A:C,3,FALSE)</f>
        <v>Erkan AKDOĞAN</v>
      </c>
      <c r="AA950" t="str">
        <f>VLOOKUP(K950,[1]!Tablo3[#Data],2,FALSE)</f>
        <v>Tayfun VİÇE</v>
      </c>
    </row>
    <row r="951" spans="1:27" x14ac:dyDescent="0.25">
      <c r="A951">
        <v>2258</v>
      </c>
      <c r="B951" t="s">
        <v>1419</v>
      </c>
      <c r="C951" t="s">
        <v>1674</v>
      </c>
      <c r="D951" t="s">
        <v>1675</v>
      </c>
      <c r="F951" t="s">
        <v>52</v>
      </c>
      <c r="G951" t="s">
        <v>30</v>
      </c>
      <c r="H951" t="s">
        <v>3790</v>
      </c>
      <c r="I951" s="4"/>
      <c r="J951" t="s">
        <v>3385</v>
      </c>
      <c r="K951" t="s">
        <v>1528</v>
      </c>
      <c r="L951" s="5"/>
      <c r="M951" s="5" t="s">
        <v>3791</v>
      </c>
      <c r="N951" t="s">
        <v>35</v>
      </c>
      <c r="O951" t="s">
        <v>3792</v>
      </c>
      <c r="S951" t="s">
        <v>37</v>
      </c>
      <c r="T951" s="5" t="s">
        <v>48</v>
      </c>
      <c r="U951" t="s">
        <v>3793</v>
      </c>
      <c r="V951" t="s">
        <v>3790</v>
      </c>
      <c r="W951">
        <v>65</v>
      </c>
      <c r="X951" t="s">
        <v>374</v>
      </c>
      <c r="Y951" t="str">
        <f>VLOOKUP(C951,'[1]DBS_KPY Sorumlular'!A:C,2,FALSE)</f>
        <v>Kadir TOPÇU</v>
      </c>
      <c r="Z951" t="str">
        <f>VLOOKUP(C951,'[1]DBS_KPY Sorumlular'!A:C,3,FALSE)</f>
        <v>Erkan AKDOĞAN</v>
      </c>
      <c r="AA951" t="str">
        <f>VLOOKUP(K951,[1]!Tablo3[#Data],2,FALSE)</f>
        <v>Tayfun VİÇE</v>
      </c>
    </row>
    <row r="952" spans="1:27" x14ac:dyDescent="0.25">
      <c r="A952">
        <v>2259</v>
      </c>
      <c r="B952" t="s">
        <v>27</v>
      </c>
      <c r="C952" t="s">
        <v>40</v>
      </c>
      <c r="D952" t="s">
        <v>41</v>
      </c>
      <c r="F952" t="s">
        <v>102</v>
      </c>
      <c r="G952" t="s">
        <v>43</v>
      </c>
      <c r="H952" t="s">
        <v>3794</v>
      </c>
      <c r="I952" s="4">
        <v>45985.875</v>
      </c>
      <c r="K952" t="s">
        <v>1528</v>
      </c>
      <c r="L952" s="5" t="s">
        <v>3795</v>
      </c>
      <c r="M952" s="5" t="s">
        <v>2183</v>
      </c>
      <c r="N952" t="s">
        <v>46</v>
      </c>
      <c r="O952" t="s">
        <v>3796</v>
      </c>
      <c r="R952">
        <v>0.01</v>
      </c>
      <c r="S952" t="s">
        <v>37</v>
      </c>
      <c r="T952" s="5" t="s">
        <v>48</v>
      </c>
      <c r="U952" t="s">
        <v>3797</v>
      </c>
      <c r="V952" t="s">
        <v>3798</v>
      </c>
      <c r="W952">
        <v>108</v>
      </c>
      <c r="X952" t="s">
        <v>107</v>
      </c>
      <c r="Y952" t="str">
        <f>VLOOKUP(C952,'[1]DBS_KPY Sorumlular'!A:C,2,FALSE)</f>
        <v>Mustafa AYDIN</v>
      </c>
      <c r="Z952" t="str">
        <f>VLOOKUP(C952,'[1]DBS_KPY Sorumlular'!A:C,3,FALSE)</f>
        <v>Esra DOLAN</v>
      </c>
      <c r="AA952" t="str">
        <f>VLOOKUP(K952,[1]!Tablo3[#Data],2,FALSE)</f>
        <v>Tayfun VİÇE</v>
      </c>
    </row>
    <row r="953" spans="1:27" x14ac:dyDescent="0.25">
      <c r="A953">
        <v>2260</v>
      </c>
      <c r="B953" t="s">
        <v>1419</v>
      </c>
      <c r="C953" t="s">
        <v>40</v>
      </c>
      <c r="D953" t="s">
        <v>65</v>
      </c>
      <c r="F953" t="s">
        <v>95</v>
      </c>
      <c r="G953" t="s">
        <v>96</v>
      </c>
      <c r="H953" t="s">
        <v>3799</v>
      </c>
      <c r="I953" s="4"/>
      <c r="K953" t="s">
        <v>1528</v>
      </c>
      <c r="L953" s="5"/>
      <c r="M953" s="5"/>
      <c r="N953" t="s">
        <v>35</v>
      </c>
      <c r="O953" t="s">
        <v>3800</v>
      </c>
      <c r="S953" t="s">
        <v>37</v>
      </c>
      <c r="T953" s="5" t="s">
        <v>100</v>
      </c>
      <c r="W953">
        <v>91</v>
      </c>
      <c r="X953" t="s">
        <v>101</v>
      </c>
      <c r="Y953" t="str">
        <f>VLOOKUP(C953,'[1]DBS_KPY Sorumlular'!A:C,2,FALSE)</f>
        <v>Mustafa AYDIN</v>
      </c>
      <c r="Z953" t="str">
        <f>VLOOKUP(C953,'[1]DBS_KPY Sorumlular'!A:C,3,FALSE)</f>
        <v>Esra DOLAN</v>
      </c>
      <c r="AA953" t="str">
        <f>VLOOKUP(K953,[1]!Tablo3[#Data],2,FALSE)</f>
        <v>Tayfun VİÇE</v>
      </c>
    </row>
    <row r="954" spans="1:27" x14ac:dyDescent="0.25">
      <c r="A954">
        <v>2261</v>
      </c>
      <c r="B954" t="s">
        <v>1419</v>
      </c>
      <c r="C954" t="s">
        <v>1674</v>
      </c>
      <c r="D954" t="s">
        <v>1717</v>
      </c>
      <c r="F954" t="s">
        <v>52</v>
      </c>
      <c r="G954" t="s">
        <v>291</v>
      </c>
      <c r="H954" t="s">
        <v>3801</v>
      </c>
      <c r="I954" s="4"/>
      <c r="K954" t="s">
        <v>1528</v>
      </c>
      <c r="L954" s="5"/>
      <c r="M954" s="5"/>
      <c r="N954" t="s">
        <v>35</v>
      </c>
      <c r="O954" t="s">
        <v>3802</v>
      </c>
      <c r="S954" t="s">
        <v>37</v>
      </c>
      <c r="T954" s="5" t="s">
        <v>48</v>
      </c>
      <c r="U954" t="s">
        <v>3803</v>
      </c>
      <c r="V954" t="s">
        <v>3804</v>
      </c>
      <c r="W954">
        <v>72</v>
      </c>
      <c r="X954" t="s">
        <v>341</v>
      </c>
      <c r="Y954" t="str">
        <f>VLOOKUP(C954,'[1]DBS_KPY Sorumlular'!A:C,2,FALSE)</f>
        <v>Kadir TOPÇU</v>
      </c>
      <c r="Z954" t="str">
        <f>VLOOKUP(C954,'[1]DBS_KPY Sorumlular'!A:C,3,FALSE)</f>
        <v>Erkan AKDOĞAN</v>
      </c>
      <c r="AA954" t="str">
        <f>VLOOKUP(K954,[1]!Tablo3[#Data],2,FALSE)</f>
        <v>Tayfun VİÇE</v>
      </c>
    </row>
    <row r="955" spans="1:27" x14ac:dyDescent="0.25">
      <c r="A955">
        <v>2262</v>
      </c>
      <c r="B955" t="s">
        <v>1419</v>
      </c>
      <c r="C955" t="s">
        <v>1674</v>
      </c>
      <c r="D955" t="s">
        <v>1675</v>
      </c>
      <c r="F955" t="s">
        <v>66</v>
      </c>
      <c r="G955" t="s">
        <v>43</v>
      </c>
      <c r="H955" t="s">
        <v>3805</v>
      </c>
      <c r="I955" s="4"/>
      <c r="J955" t="s">
        <v>3805</v>
      </c>
      <c r="K955" t="s">
        <v>1528</v>
      </c>
      <c r="L955" s="5"/>
      <c r="M955" s="5"/>
      <c r="N955" t="s">
        <v>35</v>
      </c>
      <c r="O955" t="s">
        <v>3806</v>
      </c>
      <c r="S955" t="s">
        <v>37</v>
      </c>
      <c r="T955" s="5" t="s">
        <v>48</v>
      </c>
      <c r="U955" t="s">
        <v>3807</v>
      </c>
      <c r="V955" t="s">
        <v>3808</v>
      </c>
      <c r="W955">
        <v>203</v>
      </c>
      <c r="X955" t="s">
        <v>72</v>
      </c>
      <c r="Y955" t="str">
        <f>VLOOKUP(C955,'[1]DBS_KPY Sorumlular'!A:C,2,FALSE)</f>
        <v>Kadir TOPÇU</v>
      </c>
      <c r="Z955" t="str">
        <f>VLOOKUP(C955,'[1]DBS_KPY Sorumlular'!A:C,3,FALSE)</f>
        <v>Erkan AKDOĞAN</v>
      </c>
      <c r="AA955" t="str">
        <f>VLOOKUP(K955,[1]!Tablo3[#Data],2,FALSE)</f>
        <v>Tayfun VİÇE</v>
      </c>
    </row>
    <row r="956" spans="1:27" x14ac:dyDescent="0.25">
      <c r="A956">
        <v>2263</v>
      </c>
      <c r="B956" t="s">
        <v>1419</v>
      </c>
      <c r="C956" t="s">
        <v>1723</v>
      </c>
      <c r="D956" t="s">
        <v>2478</v>
      </c>
      <c r="F956" t="s">
        <v>66</v>
      </c>
      <c r="G956" t="s">
        <v>67</v>
      </c>
      <c r="H956" t="s">
        <v>3809</v>
      </c>
      <c r="I956" s="4"/>
      <c r="J956" t="s">
        <v>3810</v>
      </c>
      <c r="K956" t="s">
        <v>1528</v>
      </c>
      <c r="L956" s="5" t="s">
        <v>3811</v>
      </c>
      <c r="M956" s="5" t="s">
        <v>35</v>
      </c>
      <c r="N956" t="s">
        <v>35</v>
      </c>
      <c r="O956" t="s">
        <v>3812</v>
      </c>
      <c r="S956" t="s">
        <v>37</v>
      </c>
      <c r="T956" s="5" t="s">
        <v>38</v>
      </c>
      <c r="Y956" t="str">
        <f>VLOOKUP(C956,'[1]DBS_KPY Sorumlular'!A:C,2,FALSE)</f>
        <v>Erkan AKDOĞAN</v>
      </c>
      <c r="Z956" t="str">
        <f>VLOOKUP(C956,'[1]DBS_KPY Sorumlular'!A:C,3,FALSE)</f>
        <v>Kadir TOPÇU</v>
      </c>
      <c r="AA956" t="str">
        <f>VLOOKUP(K956,[1]!Tablo3[#Data],2,FALSE)</f>
        <v>Tayfun VİÇE</v>
      </c>
    </row>
    <row r="957" spans="1:27" x14ac:dyDescent="0.25">
      <c r="A957">
        <v>2264</v>
      </c>
      <c r="B957" t="s">
        <v>1419</v>
      </c>
      <c r="C957" t="s">
        <v>1723</v>
      </c>
      <c r="D957" t="s">
        <v>1751</v>
      </c>
      <c r="F957" t="s">
        <v>66</v>
      </c>
      <c r="G957" t="s">
        <v>67</v>
      </c>
      <c r="H957" t="s">
        <v>3813</v>
      </c>
      <c r="I957" s="4"/>
      <c r="J957" t="s">
        <v>3810</v>
      </c>
      <c r="K957" t="s">
        <v>1528</v>
      </c>
      <c r="L957" s="5" t="s">
        <v>3814</v>
      </c>
      <c r="M957" s="5" t="s">
        <v>3815</v>
      </c>
      <c r="N957" t="s">
        <v>35</v>
      </c>
      <c r="O957" t="s">
        <v>3816</v>
      </c>
      <c r="S957" t="s">
        <v>37</v>
      </c>
      <c r="T957" s="5" t="s">
        <v>38</v>
      </c>
      <c r="Y957" t="str">
        <f>VLOOKUP(C957,'[1]DBS_KPY Sorumlular'!A:C,2,FALSE)</f>
        <v>Erkan AKDOĞAN</v>
      </c>
      <c r="Z957" t="str">
        <f>VLOOKUP(C957,'[1]DBS_KPY Sorumlular'!A:C,3,FALSE)</f>
        <v>Kadir TOPÇU</v>
      </c>
      <c r="AA957" t="str">
        <f>VLOOKUP(K957,[1]!Tablo3[#Data],2,FALSE)</f>
        <v>Tayfun VİÇE</v>
      </c>
    </row>
    <row r="958" spans="1:27" x14ac:dyDescent="0.25">
      <c r="A958">
        <v>2265</v>
      </c>
      <c r="B958" t="s">
        <v>1419</v>
      </c>
      <c r="C958" t="s">
        <v>1674</v>
      </c>
      <c r="D958" t="s">
        <v>1675</v>
      </c>
      <c r="F958" t="s">
        <v>455</v>
      </c>
      <c r="G958" t="s">
        <v>456</v>
      </c>
      <c r="H958" t="s">
        <v>3817</v>
      </c>
      <c r="I958" s="4"/>
      <c r="J958" t="s">
        <v>3818</v>
      </c>
      <c r="K958" t="s">
        <v>1528</v>
      </c>
      <c r="L958" s="5"/>
      <c r="M958" s="5"/>
      <c r="N958" t="s">
        <v>35</v>
      </c>
      <c r="O958" t="s">
        <v>3819</v>
      </c>
      <c r="S958" t="s">
        <v>37</v>
      </c>
      <c r="T958" s="5" t="s">
        <v>48</v>
      </c>
      <c r="U958" t="s">
        <v>3820</v>
      </c>
      <c r="V958" t="s">
        <v>3817</v>
      </c>
      <c r="W958">
        <v>144</v>
      </c>
      <c r="X958" t="s">
        <v>463</v>
      </c>
      <c r="Y958" t="str">
        <f>VLOOKUP(C958,'[1]DBS_KPY Sorumlular'!A:C,2,FALSE)</f>
        <v>Kadir TOPÇU</v>
      </c>
      <c r="Z958" t="str">
        <f>VLOOKUP(C958,'[1]DBS_KPY Sorumlular'!A:C,3,FALSE)</f>
        <v>Erkan AKDOĞAN</v>
      </c>
      <c r="AA958" t="str">
        <f>VLOOKUP(K958,[1]!Tablo3[#Data],2,FALSE)</f>
        <v>Tayfun VİÇE</v>
      </c>
    </row>
    <row r="959" spans="1:27" x14ac:dyDescent="0.25">
      <c r="A959">
        <v>2266</v>
      </c>
      <c r="B959" t="s">
        <v>1419</v>
      </c>
      <c r="C959" t="s">
        <v>1674</v>
      </c>
      <c r="D959" t="s">
        <v>1700</v>
      </c>
      <c r="F959" t="s">
        <v>95</v>
      </c>
      <c r="G959" t="s">
        <v>291</v>
      </c>
      <c r="H959" t="s">
        <v>3821</v>
      </c>
      <c r="I959" s="4"/>
      <c r="K959" t="s">
        <v>1528</v>
      </c>
      <c r="L959" s="5"/>
      <c r="M959" s="5"/>
      <c r="N959" t="s">
        <v>35</v>
      </c>
      <c r="O959" t="s">
        <v>3822</v>
      </c>
      <c r="S959" t="s">
        <v>37</v>
      </c>
      <c r="T959" s="5" t="s">
        <v>48</v>
      </c>
      <c r="U959" t="s">
        <v>3823</v>
      </c>
      <c r="V959" t="s">
        <v>3824</v>
      </c>
      <c r="W959">
        <v>91</v>
      </c>
      <c r="X959" t="s">
        <v>101</v>
      </c>
      <c r="Y959" t="str">
        <f>VLOOKUP(C959,'[1]DBS_KPY Sorumlular'!A:C,2,FALSE)</f>
        <v>Kadir TOPÇU</v>
      </c>
      <c r="Z959" t="str">
        <f>VLOOKUP(C959,'[1]DBS_KPY Sorumlular'!A:C,3,FALSE)</f>
        <v>Erkan AKDOĞAN</v>
      </c>
      <c r="AA959" t="str">
        <f>VLOOKUP(K959,[1]!Tablo3[#Data],2,FALSE)</f>
        <v>Tayfun VİÇE</v>
      </c>
    </row>
    <row r="960" spans="1:27" x14ac:dyDescent="0.25">
      <c r="A960">
        <v>2267</v>
      </c>
      <c r="B960" t="s">
        <v>1419</v>
      </c>
      <c r="C960" t="s">
        <v>1674</v>
      </c>
      <c r="D960" t="s">
        <v>1717</v>
      </c>
      <c r="F960" t="s">
        <v>642</v>
      </c>
      <c r="G960" t="s">
        <v>43</v>
      </c>
      <c r="H960" t="s">
        <v>3825</v>
      </c>
      <c r="I960" s="4"/>
      <c r="J960" t="s">
        <v>3826</v>
      </c>
      <c r="K960" t="s">
        <v>1528</v>
      </c>
      <c r="L960" s="5"/>
      <c r="M960" s="5" t="s">
        <v>3827</v>
      </c>
      <c r="N960" t="s">
        <v>35</v>
      </c>
      <c r="O960" t="s">
        <v>3828</v>
      </c>
      <c r="S960" t="s">
        <v>37</v>
      </c>
      <c r="T960" s="5" t="s">
        <v>48</v>
      </c>
      <c r="U960" t="s">
        <v>3829</v>
      </c>
      <c r="V960" t="s">
        <v>3825</v>
      </c>
      <c r="W960">
        <v>115</v>
      </c>
      <c r="X960" t="s">
        <v>350</v>
      </c>
      <c r="Y960" t="str">
        <f>VLOOKUP(C960,'[1]DBS_KPY Sorumlular'!A:C,2,FALSE)</f>
        <v>Kadir TOPÇU</v>
      </c>
      <c r="Z960" t="str">
        <f>VLOOKUP(C960,'[1]DBS_KPY Sorumlular'!A:C,3,FALSE)</f>
        <v>Erkan AKDOĞAN</v>
      </c>
      <c r="AA960" t="str">
        <f>VLOOKUP(K960,[1]!Tablo3[#Data],2,FALSE)</f>
        <v>Tayfun VİÇE</v>
      </c>
    </row>
    <row r="961" spans="1:27" x14ac:dyDescent="0.25">
      <c r="A961">
        <v>2268</v>
      </c>
      <c r="B961" t="s">
        <v>1419</v>
      </c>
      <c r="C961" t="s">
        <v>1674</v>
      </c>
      <c r="D961" t="s">
        <v>1717</v>
      </c>
      <c r="F961" t="s">
        <v>391</v>
      </c>
      <c r="G961" t="s">
        <v>43</v>
      </c>
      <c r="H961" t="s">
        <v>3830</v>
      </c>
      <c r="I961" s="4"/>
      <c r="J961" t="s">
        <v>3831</v>
      </c>
      <c r="K961" t="s">
        <v>1528</v>
      </c>
      <c r="L961" s="5"/>
      <c r="M961" s="5"/>
      <c r="N961" t="s">
        <v>35</v>
      </c>
      <c r="O961" t="s">
        <v>3832</v>
      </c>
      <c r="S961" t="s">
        <v>37</v>
      </c>
      <c r="T961" s="5" t="s">
        <v>48</v>
      </c>
      <c r="U961" t="s">
        <v>3833</v>
      </c>
      <c r="V961" t="s">
        <v>3830</v>
      </c>
      <c r="W961">
        <v>168</v>
      </c>
      <c r="X961" t="s">
        <v>394</v>
      </c>
      <c r="Y961" t="str">
        <f>VLOOKUP(C961,'[1]DBS_KPY Sorumlular'!A:C,2,FALSE)</f>
        <v>Kadir TOPÇU</v>
      </c>
      <c r="Z961" t="str">
        <f>VLOOKUP(C961,'[1]DBS_KPY Sorumlular'!A:C,3,FALSE)</f>
        <v>Erkan AKDOĞAN</v>
      </c>
      <c r="AA961" t="str">
        <f>VLOOKUP(K961,[1]!Tablo3[#Data],2,FALSE)</f>
        <v>Tayfun VİÇE</v>
      </c>
    </row>
    <row r="962" spans="1:27" x14ac:dyDescent="0.25">
      <c r="A962">
        <v>2269</v>
      </c>
      <c r="B962" t="s">
        <v>1419</v>
      </c>
      <c r="C962" t="s">
        <v>40</v>
      </c>
      <c r="D962" t="s">
        <v>41</v>
      </c>
      <c r="F962" t="s">
        <v>1133</v>
      </c>
      <c r="G962" t="s">
        <v>43</v>
      </c>
      <c r="H962" t="s">
        <v>3834</v>
      </c>
      <c r="I962" s="4"/>
      <c r="J962" t="s">
        <v>3835</v>
      </c>
      <c r="K962" t="s">
        <v>1528</v>
      </c>
      <c r="L962" s="5" t="s">
        <v>3836</v>
      </c>
      <c r="M962" s="5" t="s">
        <v>3837</v>
      </c>
      <c r="N962" t="s">
        <v>739</v>
      </c>
      <c r="O962" t="s">
        <v>3838</v>
      </c>
      <c r="S962" t="s">
        <v>37</v>
      </c>
      <c r="T962" s="5" t="s">
        <v>48</v>
      </c>
      <c r="U962" t="s">
        <v>3839</v>
      </c>
      <c r="V962" t="s">
        <v>3840</v>
      </c>
      <c r="W962">
        <v>191</v>
      </c>
      <c r="X962" t="s">
        <v>3841</v>
      </c>
      <c r="Y962" t="str">
        <f>VLOOKUP(C962,'[1]DBS_KPY Sorumlular'!A:C,2,FALSE)</f>
        <v>Mustafa AYDIN</v>
      </c>
      <c r="Z962" t="str">
        <f>VLOOKUP(C962,'[1]DBS_KPY Sorumlular'!A:C,3,FALSE)</f>
        <v>Esra DOLAN</v>
      </c>
      <c r="AA962" t="str">
        <f>VLOOKUP(K962,[1]!Tablo3[#Data],2,FALSE)</f>
        <v>Tayfun VİÇE</v>
      </c>
    </row>
    <row r="963" spans="1:27" x14ac:dyDescent="0.25">
      <c r="A963">
        <v>2270</v>
      </c>
      <c r="B963" t="s">
        <v>1419</v>
      </c>
      <c r="C963" t="s">
        <v>40</v>
      </c>
      <c r="D963" t="s">
        <v>41</v>
      </c>
      <c r="F963" t="s">
        <v>1133</v>
      </c>
      <c r="G963" t="s">
        <v>43</v>
      </c>
      <c r="H963" t="s">
        <v>3842</v>
      </c>
      <c r="I963" s="4"/>
      <c r="J963" t="s">
        <v>3843</v>
      </c>
      <c r="K963" t="s">
        <v>1528</v>
      </c>
      <c r="L963" s="5"/>
      <c r="M963" s="5"/>
      <c r="N963" t="s">
        <v>35</v>
      </c>
      <c r="O963" t="s">
        <v>3844</v>
      </c>
      <c r="S963" t="s">
        <v>37</v>
      </c>
      <c r="T963" s="5" t="s">
        <v>48</v>
      </c>
      <c r="U963" t="s">
        <v>3845</v>
      </c>
      <c r="V963" t="s">
        <v>3846</v>
      </c>
      <c r="W963">
        <v>43</v>
      </c>
      <c r="X963" t="s">
        <v>1139</v>
      </c>
      <c r="Y963" t="str">
        <f>VLOOKUP(C963,'[1]DBS_KPY Sorumlular'!A:C,2,FALSE)</f>
        <v>Mustafa AYDIN</v>
      </c>
      <c r="Z963" t="str">
        <f>VLOOKUP(C963,'[1]DBS_KPY Sorumlular'!A:C,3,FALSE)</f>
        <v>Esra DOLAN</v>
      </c>
      <c r="AA963" t="str">
        <f>VLOOKUP(K963,[1]!Tablo3[#Data],2,FALSE)</f>
        <v>Tayfun VİÇE</v>
      </c>
    </row>
    <row r="964" spans="1:27" x14ac:dyDescent="0.25">
      <c r="A964">
        <v>2271</v>
      </c>
      <c r="B964" t="s">
        <v>27</v>
      </c>
      <c r="C964" t="s">
        <v>40</v>
      </c>
      <c r="D964" t="s">
        <v>65</v>
      </c>
      <c r="F964" t="s">
        <v>455</v>
      </c>
      <c r="G964" t="s">
        <v>67</v>
      </c>
      <c r="H964" t="s">
        <v>3847</v>
      </c>
      <c r="I964" s="4">
        <v>45868.875</v>
      </c>
      <c r="J964" t="s">
        <v>3848</v>
      </c>
      <c r="K964" t="s">
        <v>1528</v>
      </c>
      <c r="L964" s="5"/>
      <c r="M964" s="5"/>
      <c r="N964" t="s">
        <v>46</v>
      </c>
      <c r="O964" t="s">
        <v>3849</v>
      </c>
      <c r="R964">
        <v>0.98</v>
      </c>
      <c r="S964" t="s">
        <v>37</v>
      </c>
      <c r="T964" s="5" t="s">
        <v>48</v>
      </c>
      <c r="U964" t="s">
        <v>3850</v>
      </c>
      <c r="V964" t="s">
        <v>3851</v>
      </c>
      <c r="W964">
        <v>202</v>
      </c>
      <c r="X964" t="s">
        <v>1045</v>
      </c>
      <c r="Y964" t="str">
        <f>VLOOKUP(C964,'[1]DBS_KPY Sorumlular'!A:C,2,FALSE)</f>
        <v>Mustafa AYDIN</v>
      </c>
      <c r="Z964" t="str">
        <f>VLOOKUP(C964,'[1]DBS_KPY Sorumlular'!A:C,3,FALSE)</f>
        <v>Esra DOLAN</v>
      </c>
      <c r="AA964" t="str">
        <f>VLOOKUP(K964,[1]!Tablo3[#Data],2,FALSE)</f>
        <v>Tayfun VİÇE</v>
      </c>
    </row>
    <row r="965" spans="1:27" x14ac:dyDescent="0.25">
      <c r="A965">
        <v>2272</v>
      </c>
      <c r="B965" t="s">
        <v>1419</v>
      </c>
      <c r="C965" t="s">
        <v>73</v>
      </c>
      <c r="D965" t="s">
        <v>73</v>
      </c>
      <c r="F965" t="s">
        <v>74</v>
      </c>
      <c r="G965" t="s">
        <v>30</v>
      </c>
      <c r="H965" t="s">
        <v>1545</v>
      </c>
      <c r="I965" s="4"/>
      <c r="J965" t="s">
        <v>3852</v>
      </c>
      <c r="K965" t="s">
        <v>1528</v>
      </c>
      <c r="L965" s="5"/>
      <c r="M965" s="5"/>
      <c r="N965" t="s">
        <v>35</v>
      </c>
      <c r="O965" t="s">
        <v>1548</v>
      </c>
      <c r="S965" t="s">
        <v>37</v>
      </c>
      <c r="T965" s="5" t="s">
        <v>38</v>
      </c>
      <c r="Y965" t="str">
        <f>VLOOKUP(C965,'[1]DBS_KPY Sorumlular'!A:C,2,FALSE)</f>
        <v>Ayşegül AKGÜL</v>
      </c>
      <c r="Z965" t="str">
        <f>VLOOKUP(C965,'[1]DBS_KPY Sorumlular'!A:C,3,FALSE)</f>
        <v>Sinan ERDAŞ</v>
      </c>
      <c r="AA965" t="str">
        <f>VLOOKUP(K965,[1]!Tablo3[#Data],2,FALSE)</f>
        <v>Tayfun VİÇE</v>
      </c>
    </row>
    <row r="966" spans="1:27" x14ac:dyDescent="0.25">
      <c r="A966">
        <v>2273</v>
      </c>
      <c r="B966" t="s">
        <v>1419</v>
      </c>
      <c r="C966" t="s">
        <v>73</v>
      </c>
      <c r="D966" t="s">
        <v>73</v>
      </c>
      <c r="F966" t="s">
        <v>455</v>
      </c>
      <c r="G966" t="s">
        <v>456</v>
      </c>
      <c r="H966" t="s">
        <v>3237</v>
      </c>
      <c r="I966" s="4"/>
      <c r="J966" t="s">
        <v>3853</v>
      </c>
      <c r="K966" t="s">
        <v>1528</v>
      </c>
      <c r="L966" s="5"/>
      <c r="M966" s="5"/>
      <c r="N966" t="s">
        <v>35</v>
      </c>
      <c r="O966" t="s">
        <v>1548</v>
      </c>
      <c r="S966" t="s">
        <v>37</v>
      </c>
      <c r="T966" s="5" t="s">
        <v>38</v>
      </c>
      <c r="Y966" t="str">
        <f>VLOOKUP(C966,'[1]DBS_KPY Sorumlular'!A:C,2,FALSE)</f>
        <v>Ayşegül AKGÜL</v>
      </c>
      <c r="Z966" t="str">
        <f>VLOOKUP(C966,'[1]DBS_KPY Sorumlular'!A:C,3,FALSE)</f>
        <v>Sinan ERDAŞ</v>
      </c>
      <c r="AA966" t="str">
        <f>VLOOKUP(K966,[1]!Tablo3[#Data],2,FALSE)</f>
        <v>Tayfun VİÇE</v>
      </c>
    </row>
    <row r="967" spans="1:27" x14ac:dyDescent="0.25">
      <c r="A967">
        <v>2274</v>
      </c>
      <c r="B967" t="s">
        <v>1419</v>
      </c>
      <c r="C967" t="s">
        <v>1674</v>
      </c>
      <c r="D967" t="s">
        <v>1717</v>
      </c>
      <c r="F967" t="s">
        <v>1133</v>
      </c>
      <c r="G967" t="s">
        <v>43</v>
      </c>
      <c r="H967" t="s">
        <v>3854</v>
      </c>
      <c r="I967" s="4"/>
      <c r="J967" t="s">
        <v>3855</v>
      </c>
      <c r="K967" t="s">
        <v>1528</v>
      </c>
      <c r="L967" s="5"/>
      <c r="M967" s="5"/>
      <c r="N967" t="s">
        <v>35</v>
      </c>
      <c r="O967" t="s">
        <v>3856</v>
      </c>
      <c r="S967" t="s">
        <v>37</v>
      </c>
      <c r="T967" s="5" t="s">
        <v>48</v>
      </c>
      <c r="U967" t="s">
        <v>3857</v>
      </c>
      <c r="V967" t="s">
        <v>3854</v>
      </c>
      <c r="W967">
        <v>191</v>
      </c>
      <c r="X967" t="s">
        <v>3841</v>
      </c>
      <c r="Y967" t="str">
        <f>VLOOKUP(C967,'[1]DBS_KPY Sorumlular'!A:C,2,FALSE)</f>
        <v>Kadir TOPÇU</v>
      </c>
      <c r="Z967" t="str">
        <f>VLOOKUP(C967,'[1]DBS_KPY Sorumlular'!A:C,3,FALSE)</f>
        <v>Erkan AKDOĞAN</v>
      </c>
      <c r="AA967" t="str">
        <f>VLOOKUP(K967,[1]!Tablo3[#Data],2,FALSE)</f>
        <v>Tayfun VİÇE</v>
      </c>
    </row>
    <row r="968" spans="1:27" x14ac:dyDescent="0.25">
      <c r="A968">
        <v>2275</v>
      </c>
      <c r="B968" t="s">
        <v>1419</v>
      </c>
      <c r="C968" t="s">
        <v>1674</v>
      </c>
      <c r="D968" t="s">
        <v>1675</v>
      </c>
      <c r="F968" t="s">
        <v>52</v>
      </c>
      <c r="G968" t="s">
        <v>67</v>
      </c>
      <c r="H968" t="s">
        <v>3858</v>
      </c>
      <c r="I968" s="4"/>
      <c r="J968" t="s">
        <v>3859</v>
      </c>
      <c r="K968" t="s">
        <v>1550</v>
      </c>
      <c r="L968" s="5"/>
      <c r="M968" s="5"/>
      <c r="N968" t="s">
        <v>35</v>
      </c>
      <c r="O968" t="s">
        <v>3860</v>
      </c>
      <c r="S968" t="s">
        <v>230</v>
      </c>
      <c r="T968" s="5" t="s">
        <v>48</v>
      </c>
      <c r="U968" t="s">
        <v>3861</v>
      </c>
      <c r="V968" t="s">
        <v>3858</v>
      </c>
      <c r="W968">
        <v>103</v>
      </c>
      <c r="X968" t="s">
        <v>353</v>
      </c>
      <c r="Y968" t="str">
        <f>VLOOKUP(C968,'[1]DBS_KPY Sorumlular'!A:C,2,FALSE)</f>
        <v>Kadir TOPÇU</v>
      </c>
      <c r="Z968" t="str">
        <f>VLOOKUP(C968,'[1]DBS_KPY Sorumlular'!A:C,3,FALSE)</f>
        <v>Erkan AKDOĞAN</v>
      </c>
      <c r="AA968" t="str">
        <f>VLOOKUP(K968,[1]!Tablo3[#Data],2,FALSE)</f>
        <v>Kadir TOPÇU</v>
      </c>
    </row>
    <row r="969" spans="1:27" x14ac:dyDescent="0.25">
      <c r="A969">
        <v>2276</v>
      </c>
      <c r="B969" t="s">
        <v>1419</v>
      </c>
      <c r="C969" t="s">
        <v>1674</v>
      </c>
      <c r="D969" t="s">
        <v>1675</v>
      </c>
      <c r="F969" t="s">
        <v>52</v>
      </c>
      <c r="G969" t="s">
        <v>67</v>
      </c>
      <c r="H969" t="s">
        <v>3862</v>
      </c>
      <c r="I969" s="4"/>
      <c r="J969" t="s">
        <v>3863</v>
      </c>
      <c r="K969" t="s">
        <v>1550</v>
      </c>
      <c r="L969" s="5"/>
      <c r="M969" s="5"/>
      <c r="N969" t="s">
        <v>35</v>
      </c>
      <c r="O969" t="s">
        <v>3864</v>
      </c>
      <c r="S969" t="s">
        <v>230</v>
      </c>
      <c r="T969" s="5" t="s">
        <v>48</v>
      </c>
      <c r="U969" t="s">
        <v>3865</v>
      </c>
      <c r="V969" t="s">
        <v>3862</v>
      </c>
      <c r="W969">
        <v>103</v>
      </c>
      <c r="X969" t="s">
        <v>353</v>
      </c>
      <c r="Y969" t="str">
        <f>VLOOKUP(C969,'[1]DBS_KPY Sorumlular'!A:C,2,FALSE)</f>
        <v>Kadir TOPÇU</v>
      </c>
      <c r="Z969" t="str">
        <f>VLOOKUP(C969,'[1]DBS_KPY Sorumlular'!A:C,3,FALSE)</f>
        <v>Erkan AKDOĞAN</v>
      </c>
      <c r="AA969" t="str">
        <f>VLOOKUP(K969,[1]!Tablo3[#Data],2,FALSE)</f>
        <v>Kadir TOPÇU</v>
      </c>
    </row>
    <row r="970" spans="1:27" x14ac:dyDescent="0.25">
      <c r="A970">
        <v>2277</v>
      </c>
      <c r="B970" t="s">
        <v>27</v>
      </c>
      <c r="C970" t="s">
        <v>40</v>
      </c>
      <c r="D970" t="s">
        <v>41</v>
      </c>
      <c r="F970" t="s">
        <v>642</v>
      </c>
      <c r="G970" t="s">
        <v>43</v>
      </c>
      <c r="H970" t="s">
        <v>3866</v>
      </c>
      <c r="I970" s="4">
        <v>46111.875</v>
      </c>
      <c r="K970" t="s">
        <v>1550</v>
      </c>
      <c r="L970" s="5"/>
      <c r="M970" s="5"/>
      <c r="N970" t="s">
        <v>46</v>
      </c>
      <c r="O970" t="s">
        <v>3867</v>
      </c>
      <c r="R970">
        <v>0.31</v>
      </c>
      <c r="S970" t="s">
        <v>230</v>
      </c>
      <c r="T970" s="5" t="s">
        <v>48</v>
      </c>
      <c r="U970" t="s">
        <v>3868</v>
      </c>
      <c r="V970" t="s">
        <v>3869</v>
      </c>
      <c r="W970">
        <v>80</v>
      </c>
      <c r="X970" t="s">
        <v>647</v>
      </c>
      <c r="Y970" t="str">
        <f>VLOOKUP(C970,'[1]DBS_KPY Sorumlular'!A:C,2,FALSE)</f>
        <v>Mustafa AYDIN</v>
      </c>
      <c r="Z970" t="str">
        <f>VLOOKUP(C970,'[1]DBS_KPY Sorumlular'!A:C,3,FALSE)</f>
        <v>Esra DOLAN</v>
      </c>
      <c r="AA970" t="str">
        <f>VLOOKUP(K970,[1]!Tablo3[#Data],2,FALSE)</f>
        <v>Kadir TOPÇU</v>
      </c>
    </row>
    <row r="971" spans="1:27" x14ac:dyDescent="0.25">
      <c r="A971">
        <v>2278</v>
      </c>
      <c r="B971" t="s">
        <v>27</v>
      </c>
      <c r="C971" t="s">
        <v>40</v>
      </c>
      <c r="D971" t="s">
        <v>41</v>
      </c>
      <c r="F971" t="s">
        <v>306</v>
      </c>
      <c r="G971" t="s">
        <v>96</v>
      </c>
      <c r="H971" t="s">
        <v>3870</v>
      </c>
      <c r="I971" s="4">
        <v>46014.875</v>
      </c>
      <c r="K971" t="s">
        <v>1550</v>
      </c>
      <c r="L971" s="5"/>
      <c r="M971" s="5"/>
      <c r="N971" t="s">
        <v>46</v>
      </c>
      <c r="O971" t="s">
        <v>3871</v>
      </c>
      <c r="R971">
        <v>0.76</v>
      </c>
      <c r="S971" t="s">
        <v>230</v>
      </c>
      <c r="T971" s="5" t="s">
        <v>48</v>
      </c>
      <c r="U971" t="s">
        <v>3872</v>
      </c>
      <c r="V971" t="s">
        <v>3873</v>
      </c>
      <c r="W971">
        <v>28</v>
      </c>
      <c r="X971" t="s">
        <v>667</v>
      </c>
      <c r="Y971" t="str">
        <f>VLOOKUP(C971,'[1]DBS_KPY Sorumlular'!A:C,2,FALSE)</f>
        <v>Mustafa AYDIN</v>
      </c>
      <c r="Z971" t="str">
        <f>VLOOKUP(C971,'[1]DBS_KPY Sorumlular'!A:C,3,FALSE)</f>
        <v>Esra DOLAN</v>
      </c>
      <c r="AA971" t="str">
        <f>VLOOKUP(K971,[1]!Tablo3[#Data],2,FALSE)</f>
        <v>Kadir TOPÇU</v>
      </c>
    </row>
    <row r="972" spans="1:27" x14ac:dyDescent="0.25">
      <c r="A972">
        <v>2279</v>
      </c>
      <c r="B972" t="s">
        <v>1419</v>
      </c>
      <c r="C972" t="s">
        <v>40</v>
      </c>
      <c r="D972" t="s">
        <v>65</v>
      </c>
      <c r="F972" t="s">
        <v>66</v>
      </c>
      <c r="G972" t="s">
        <v>67</v>
      </c>
      <c r="H972" t="s">
        <v>3874</v>
      </c>
      <c r="I972" s="4"/>
      <c r="K972" t="s">
        <v>1550</v>
      </c>
      <c r="L972" s="5"/>
      <c r="M972" s="5"/>
      <c r="N972" t="s">
        <v>35</v>
      </c>
      <c r="O972" t="s">
        <v>3875</v>
      </c>
      <c r="S972" t="s">
        <v>230</v>
      </c>
      <c r="T972" s="5" t="s">
        <v>48</v>
      </c>
      <c r="U972" t="s">
        <v>3876</v>
      </c>
      <c r="V972" t="s">
        <v>3877</v>
      </c>
      <c r="W972">
        <v>90</v>
      </c>
      <c r="X972" t="s">
        <v>1851</v>
      </c>
      <c r="Y972" t="str">
        <f>VLOOKUP(C972,'[1]DBS_KPY Sorumlular'!A:C,2,FALSE)</f>
        <v>Mustafa AYDIN</v>
      </c>
      <c r="Z972" t="str">
        <f>VLOOKUP(C972,'[1]DBS_KPY Sorumlular'!A:C,3,FALSE)</f>
        <v>Esra DOLAN</v>
      </c>
      <c r="AA972" t="str">
        <f>VLOOKUP(K972,[1]!Tablo3[#Data],2,FALSE)</f>
        <v>Kadir TOPÇU</v>
      </c>
    </row>
    <row r="973" spans="1:27" x14ac:dyDescent="0.25">
      <c r="A973">
        <v>2280</v>
      </c>
      <c r="B973" t="s">
        <v>1419</v>
      </c>
      <c r="C973" t="s">
        <v>652</v>
      </c>
      <c r="D973" t="s">
        <v>653</v>
      </c>
      <c r="F973" t="s">
        <v>455</v>
      </c>
      <c r="G973" t="s">
        <v>456</v>
      </c>
      <c r="H973" t="s">
        <v>3878</v>
      </c>
      <c r="I973" s="4"/>
      <c r="J973" t="s">
        <v>3879</v>
      </c>
      <c r="K973" t="s">
        <v>1550</v>
      </c>
      <c r="L973" s="5"/>
      <c r="M973" s="5"/>
      <c r="N973" t="s">
        <v>35</v>
      </c>
      <c r="O973" t="s">
        <v>3880</v>
      </c>
      <c r="S973" t="s">
        <v>230</v>
      </c>
      <c r="T973" s="5" t="s">
        <v>100</v>
      </c>
      <c r="W973">
        <v>144</v>
      </c>
      <c r="X973" t="s">
        <v>463</v>
      </c>
      <c r="Y973" t="str">
        <f>VLOOKUP(C973,'[1]DBS_KPY Sorumlular'!A:C,2,FALSE)</f>
        <v>Seyithan İŞİK</v>
      </c>
      <c r="Z973" t="str">
        <f>VLOOKUP(C973,'[1]DBS_KPY Sorumlular'!A:C,3,FALSE)</f>
        <v>Korhan KÖROĞLU</v>
      </c>
      <c r="AA973" t="str">
        <f>VLOOKUP(K973,[1]!Tablo3[#Data],2,FALSE)</f>
        <v>Kadir TOPÇU</v>
      </c>
    </row>
    <row r="974" spans="1:27" x14ac:dyDescent="0.25">
      <c r="A974">
        <v>2281</v>
      </c>
      <c r="B974" t="s">
        <v>1419</v>
      </c>
      <c r="C974" t="s">
        <v>1674</v>
      </c>
      <c r="D974" t="s">
        <v>1717</v>
      </c>
      <c r="F974" t="s">
        <v>52</v>
      </c>
      <c r="G974" t="s">
        <v>291</v>
      </c>
      <c r="H974" t="s">
        <v>3881</v>
      </c>
      <c r="I974" s="4"/>
      <c r="K974" t="s">
        <v>1550</v>
      </c>
      <c r="L974" s="5"/>
      <c r="M974" s="5"/>
      <c r="N974" t="s">
        <v>35</v>
      </c>
      <c r="O974" t="s">
        <v>3882</v>
      </c>
      <c r="S974" t="s">
        <v>230</v>
      </c>
      <c r="T974" s="5" t="s">
        <v>48</v>
      </c>
      <c r="U974" t="s">
        <v>3883</v>
      </c>
      <c r="V974" t="s">
        <v>3884</v>
      </c>
      <c r="W974">
        <v>166</v>
      </c>
      <c r="X974" t="s">
        <v>2118</v>
      </c>
      <c r="Y974" t="str">
        <f>VLOOKUP(C974,'[1]DBS_KPY Sorumlular'!A:C,2,FALSE)</f>
        <v>Kadir TOPÇU</v>
      </c>
      <c r="Z974" t="str">
        <f>VLOOKUP(C974,'[1]DBS_KPY Sorumlular'!A:C,3,FALSE)</f>
        <v>Erkan AKDOĞAN</v>
      </c>
      <c r="AA974" t="str">
        <f>VLOOKUP(K974,[1]!Tablo3[#Data],2,FALSE)</f>
        <v>Kadir TOPÇU</v>
      </c>
    </row>
    <row r="975" spans="1:27" x14ac:dyDescent="0.25">
      <c r="A975">
        <v>2282</v>
      </c>
      <c r="B975" t="s">
        <v>1419</v>
      </c>
      <c r="C975" t="s">
        <v>1674</v>
      </c>
      <c r="D975" t="s">
        <v>1675</v>
      </c>
      <c r="F975" t="s">
        <v>95</v>
      </c>
      <c r="G975" t="s">
        <v>291</v>
      </c>
      <c r="H975" t="s">
        <v>3885</v>
      </c>
      <c r="I975" s="4"/>
      <c r="J975" t="s">
        <v>1996</v>
      </c>
      <c r="K975" t="s">
        <v>1550</v>
      </c>
      <c r="L975" s="5"/>
      <c r="M975" s="5"/>
      <c r="N975" t="s">
        <v>1824</v>
      </c>
      <c r="O975" t="s">
        <v>3886</v>
      </c>
      <c r="S975" t="s">
        <v>230</v>
      </c>
      <c r="T975" s="5" t="s">
        <v>100</v>
      </c>
      <c r="W975">
        <v>94</v>
      </c>
      <c r="X975" t="s">
        <v>1707</v>
      </c>
      <c r="Y975" t="str">
        <f>VLOOKUP(C975,'[1]DBS_KPY Sorumlular'!A:C,2,FALSE)</f>
        <v>Kadir TOPÇU</v>
      </c>
      <c r="Z975" t="str">
        <f>VLOOKUP(C975,'[1]DBS_KPY Sorumlular'!A:C,3,FALSE)</f>
        <v>Erkan AKDOĞAN</v>
      </c>
      <c r="AA975" t="str">
        <f>VLOOKUP(K975,[1]!Tablo3[#Data],2,FALSE)</f>
        <v>Kadir TOPÇU</v>
      </c>
    </row>
    <row r="976" spans="1:27" x14ac:dyDescent="0.25">
      <c r="A976">
        <v>2283</v>
      </c>
      <c r="B976" t="s">
        <v>1419</v>
      </c>
      <c r="C976" t="s">
        <v>1674</v>
      </c>
      <c r="D976" t="s">
        <v>1675</v>
      </c>
      <c r="F976" t="s">
        <v>66</v>
      </c>
      <c r="G976" t="s">
        <v>67</v>
      </c>
      <c r="H976" t="s">
        <v>3887</v>
      </c>
      <c r="I976" s="4"/>
      <c r="J976" t="s">
        <v>3888</v>
      </c>
      <c r="K976" t="s">
        <v>1550</v>
      </c>
      <c r="L976" s="5"/>
      <c r="M976" s="5"/>
      <c r="N976" t="s">
        <v>35</v>
      </c>
      <c r="O976" t="s">
        <v>3889</v>
      </c>
      <c r="S976" t="s">
        <v>230</v>
      </c>
      <c r="T976" s="5" t="s">
        <v>48</v>
      </c>
      <c r="U976" t="s">
        <v>3890</v>
      </c>
      <c r="V976" t="s">
        <v>3887</v>
      </c>
      <c r="W976">
        <v>203</v>
      </c>
      <c r="X976" t="s">
        <v>72</v>
      </c>
      <c r="Y976" t="str">
        <f>VLOOKUP(C976,'[1]DBS_KPY Sorumlular'!A:C,2,FALSE)</f>
        <v>Kadir TOPÇU</v>
      </c>
      <c r="Z976" t="str">
        <f>VLOOKUP(C976,'[1]DBS_KPY Sorumlular'!A:C,3,FALSE)</f>
        <v>Erkan AKDOĞAN</v>
      </c>
      <c r="AA976" t="str">
        <f>VLOOKUP(K976,[1]!Tablo3[#Data],2,FALSE)</f>
        <v>Kadir TOPÇU</v>
      </c>
    </row>
    <row r="977" spans="1:27" x14ac:dyDescent="0.25">
      <c r="A977">
        <v>2284</v>
      </c>
      <c r="B977" t="s">
        <v>1419</v>
      </c>
      <c r="C977" t="s">
        <v>1674</v>
      </c>
      <c r="D977" t="s">
        <v>1675</v>
      </c>
      <c r="F977" t="s">
        <v>66</v>
      </c>
      <c r="G977" t="s">
        <v>67</v>
      </c>
      <c r="H977" t="s">
        <v>3891</v>
      </c>
      <c r="I977" s="4"/>
      <c r="K977" t="s">
        <v>1550</v>
      </c>
      <c r="L977" s="5"/>
      <c r="M977" s="5" t="s">
        <v>3892</v>
      </c>
      <c r="N977" t="s">
        <v>1824</v>
      </c>
      <c r="O977" t="s">
        <v>3893</v>
      </c>
      <c r="S977" t="s">
        <v>230</v>
      </c>
      <c r="T977" s="5" t="s">
        <v>100</v>
      </c>
      <c r="W977">
        <v>203</v>
      </c>
      <c r="X977" t="s">
        <v>72</v>
      </c>
      <c r="Y977" t="str">
        <f>VLOOKUP(C977,'[1]DBS_KPY Sorumlular'!A:C,2,FALSE)</f>
        <v>Kadir TOPÇU</v>
      </c>
      <c r="Z977" t="str">
        <f>VLOOKUP(C977,'[1]DBS_KPY Sorumlular'!A:C,3,FALSE)</f>
        <v>Erkan AKDOĞAN</v>
      </c>
      <c r="AA977" t="str">
        <f>VLOOKUP(K977,[1]!Tablo3[#Data],2,FALSE)</f>
        <v>Kadir TOPÇU</v>
      </c>
    </row>
    <row r="978" spans="1:27" x14ac:dyDescent="0.25">
      <c r="A978">
        <v>2285</v>
      </c>
      <c r="B978" t="s">
        <v>27</v>
      </c>
      <c r="C978" t="s">
        <v>40</v>
      </c>
      <c r="D978" t="s">
        <v>65</v>
      </c>
      <c r="F978" t="s">
        <v>66</v>
      </c>
      <c r="G978" t="s">
        <v>67</v>
      </c>
      <c r="H978" t="s">
        <v>3894</v>
      </c>
      <c r="I978" s="4">
        <v>45868.875</v>
      </c>
      <c r="J978" t="s">
        <v>3895</v>
      </c>
      <c r="K978" t="s">
        <v>1550</v>
      </c>
      <c r="L978" s="5"/>
      <c r="M978" s="5"/>
      <c r="N978" t="s">
        <v>46</v>
      </c>
      <c r="O978" t="s">
        <v>3896</v>
      </c>
      <c r="R978">
        <v>0.7</v>
      </c>
      <c r="S978" t="s">
        <v>230</v>
      </c>
      <c r="T978" s="5" t="s">
        <v>48</v>
      </c>
      <c r="U978" t="s">
        <v>3897</v>
      </c>
      <c r="V978" t="s">
        <v>3898</v>
      </c>
      <c r="W978">
        <v>201</v>
      </c>
      <c r="X978" t="s">
        <v>3899</v>
      </c>
      <c r="Y978" t="str">
        <f>VLOOKUP(C978,'[1]DBS_KPY Sorumlular'!A:C,2,FALSE)</f>
        <v>Mustafa AYDIN</v>
      </c>
      <c r="Z978" t="str">
        <f>VLOOKUP(C978,'[1]DBS_KPY Sorumlular'!A:C,3,FALSE)</f>
        <v>Esra DOLAN</v>
      </c>
      <c r="AA978" t="str">
        <f>VLOOKUP(K978,[1]!Tablo3[#Data],2,FALSE)</f>
        <v>Kadir TOPÇU</v>
      </c>
    </row>
    <row r="979" spans="1:27" x14ac:dyDescent="0.25">
      <c r="A979">
        <v>2286</v>
      </c>
      <c r="B979" t="s">
        <v>1419</v>
      </c>
      <c r="C979" t="s">
        <v>304</v>
      </c>
      <c r="D979" t="s">
        <v>305</v>
      </c>
      <c r="F979" t="s">
        <v>306</v>
      </c>
      <c r="G979" t="s">
        <v>96</v>
      </c>
      <c r="H979" t="s">
        <v>3900</v>
      </c>
      <c r="I979" s="4"/>
      <c r="J979" t="s">
        <v>3901</v>
      </c>
      <c r="K979" t="s">
        <v>1550</v>
      </c>
      <c r="L979" s="5" t="s">
        <v>3902</v>
      </c>
      <c r="M979" s="5"/>
      <c r="N979" t="s">
        <v>35</v>
      </c>
      <c r="O979" t="s">
        <v>3903</v>
      </c>
      <c r="S979" t="s">
        <v>230</v>
      </c>
      <c r="T979" s="5" t="s">
        <v>38</v>
      </c>
      <c r="Y979" t="str">
        <f>VLOOKUP(C979,'[1]DBS_KPY Sorumlular'!A:C,2,FALSE)</f>
        <v>Erkan AKDOĞAN</v>
      </c>
      <c r="Z979" t="str">
        <f>VLOOKUP(C979,'[1]DBS_KPY Sorumlular'!A:C,3,FALSE)</f>
        <v>Kadir TOPÇU</v>
      </c>
      <c r="AA979" t="str">
        <f>VLOOKUP(K979,[1]!Tablo3[#Data],2,FALSE)</f>
        <v>Kadir TOPÇU</v>
      </c>
    </row>
    <row r="980" spans="1:27" x14ac:dyDescent="0.25">
      <c r="A980">
        <v>2287</v>
      </c>
      <c r="B980" t="s">
        <v>1419</v>
      </c>
      <c r="C980" t="s">
        <v>1674</v>
      </c>
      <c r="D980" t="s">
        <v>1675</v>
      </c>
      <c r="F980" t="s">
        <v>66</v>
      </c>
      <c r="G980" t="s">
        <v>67</v>
      </c>
      <c r="H980" t="s">
        <v>3904</v>
      </c>
      <c r="I980" s="4"/>
      <c r="J980" t="s">
        <v>3905</v>
      </c>
      <c r="K980" t="s">
        <v>1550</v>
      </c>
      <c r="L980" s="5"/>
      <c r="M980" s="5"/>
      <c r="N980" t="s">
        <v>35</v>
      </c>
      <c r="O980" t="s">
        <v>3906</v>
      </c>
      <c r="S980" t="s">
        <v>230</v>
      </c>
      <c r="T980" s="5" t="s">
        <v>48</v>
      </c>
      <c r="U980" t="s">
        <v>3907</v>
      </c>
      <c r="V980" t="s">
        <v>3908</v>
      </c>
      <c r="W980">
        <v>72</v>
      </c>
      <c r="X980" t="s">
        <v>341</v>
      </c>
      <c r="Y980" t="str">
        <f>VLOOKUP(C980,'[1]DBS_KPY Sorumlular'!A:C,2,FALSE)</f>
        <v>Kadir TOPÇU</v>
      </c>
      <c r="Z980" t="str">
        <f>VLOOKUP(C980,'[1]DBS_KPY Sorumlular'!A:C,3,FALSE)</f>
        <v>Erkan AKDOĞAN</v>
      </c>
      <c r="AA980" t="str">
        <f>VLOOKUP(K980,[1]!Tablo3[#Data],2,FALSE)</f>
        <v>Kadir TOPÇU</v>
      </c>
    </row>
    <row r="981" spans="1:27" x14ac:dyDescent="0.25">
      <c r="A981">
        <v>2288</v>
      </c>
      <c r="B981" t="s">
        <v>1419</v>
      </c>
      <c r="C981" t="s">
        <v>73</v>
      </c>
      <c r="D981" t="s">
        <v>73</v>
      </c>
      <c r="F981" t="s">
        <v>74</v>
      </c>
      <c r="G981" t="s">
        <v>30</v>
      </c>
      <c r="H981" t="s">
        <v>1553</v>
      </c>
      <c r="I981" s="4"/>
      <c r="J981" t="s">
        <v>3909</v>
      </c>
      <c r="K981" t="s">
        <v>1550</v>
      </c>
      <c r="L981" s="5"/>
      <c r="M981" s="5"/>
      <c r="N981" t="s">
        <v>35</v>
      </c>
      <c r="O981" t="s">
        <v>1556</v>
      </c>
      <c r="S981" t="s">
        <v>230</v>
      </c>
      <c r="T981" s="5" t="s">
        <v>38</v>
      </c>
      <c r="Y981" t="str">
        <f>VLOOKUP(C981,'[1]DBS_KPY Sorumlular'!A:C,2,FALSE)</f>
        <v>Ayşegül AKGÜL</v>
      </c>
      <c r="Z981" t="str">
        <f>VLOOKUP(C981,'[1]DBS_KPY Sorumlular'!A:C,3,FALSE)</f>
        <v>Sinan ERDAŞ</v>
      </c>
      <c r="AA981" t="str">
        <f>VLOOKUP(K981,[1]!Tablo3[#Data],2,FALSE)</f>
        <v>Kadir TOPÇU</v>
      </c>
    </row>
    <row r="982" spans="1:27" x14ac:dyDescent="0.25">
      <c r="A982">
        <v>2289</v>
      </c>
      <c r="B982" t="s">
        <v>1419</v>
      </c>
      <c r="C982" t="s">
        <v>73</v>
      </c>
      <c r="D982" t="s">
        <v>73</v>
      </c>
      <c r="F982" t="s">
        <v>74</v>
      </c>
      <c r="G982" t="s">
        <v>30</v>
      </c>
      <c r="H982" t="s">
        <v>3910</v>
      </c>
      <c r="I982" s="4"/>
      <c r="J982" t="s">
        <v>270</v>
      </c>
      <c r="K982" t="s">
        <v>1550</v>
      </c>
      <c r="L982" s="5"/>
      <c r="M982" s="5"/>
      <c r="N982" t="s">
        <v>35</v>
      </c>
      <c r="O982" t="s">
        <v>3911</v>
      </c>
      <c r="S982" t="s">
        <v>230</v>
      </c>
      <c r="T982" s="5" t="s">
        <v>38</v>
      </c>
      <c r="Y982" t="str">
        <f>VLOOKUP(C982,'[1]DBS_KPY Sorumlular'!A:C,2,FALSE)</f>
        <v>Ayşegül AKGÜL</v>
      </c>
      <c r="Z982" t="str">
        <f>VLOOKUP(C982,'[1]DBS_KPY Sorumlular'!A:C,3,FALSE)</f>
        <v>Sinan ERDAŞ</v>
      </c>
      <c r="AA982" t="str">
        <f>VLOOKUP(K982,[1]!Tablo3[#Data],2,FALSE)</f>
        <v>Kadir TOPÇU</v>
      </c>
    </row>
    <row r="983" spans="1:27" x14ac:dyDescent="0.25">
      <c r="A983">
        <v>2290</v>
      </c>
      <c r="B983" t="s">
        <v>1419</v>
      </c>
      <c r="C983" t="s">
        <v>1674</v>
      </c>
      <c r="D983" t="s">
        <v>1717</v>
      </c>
      <c r="F983" t="s">
        <v>113</v>
      </c>
      <c r="G983" t="s">
        <v>43</v>
      </c>
      <c r="H983" t="s">
        <v>3912</v>
      </c>
      <c r="I983" s="4"/>
      <c r="J983" t="s">
        <v>3913</v>
      </c>
      <c r="K983" t="s">
        <v>1550</v>
      </c>
      <c r="L983" s="5" t="s">
        <v>3914</v>
      </c>
      <c r="M983" s="5" t="s">
        <v>3915</v>
      </c>
      <c r="N983" t="s">
        <v>35</v>
      </c>
      <c r="O983" t="s">
        <v>3916</v>
      </c>
      <c r="S983" t="s">
        <v>230</v>
      </c>
      <c r="T983" s="5" t="s">
        <v>48</v>
      </c>
      <c r="U983" t="s">
        <v>3907</v>
      </c>
      <c r="V983" t="s">
        <v>3908</v>
      </c>
      <c r="W983">
        <v>72</v>
      </c>
      <c r="X983" t="s">
        <v>341</v>
      </c>
      <c r="Y983" t="str">
        <f>VLOOKUP(C983,'[1]DBS_KPY Sorumlular'!A:C,2,FALSE)</f>
        <v>Kadir TOPÇU</v>
      </c>
      <c r="Z983" t="str">
        <f>VLOOKUP(C983,'[1]DBS_KPY Sorumlular'!A:C,3,FALSE)</f>
        <v>Erkan AKDOĞAN</v>
      </c>
      <c r="AA983" t="str">
        <f>VLOOKUP(K983,[1]!Tablo3[#Data],2,FALSE)</f>
        <v>Kadir TOPÇU</v>
      </c>
    </row>
    <row r="984" spans="1:27" x14ac:dyDescent="0.25">
      <c r="A984">
        <v>2291</v>
      </c>
      <c r="B984" t="s">
        <v>1419</v>
      </c>
      <c r="C984" t="s">
        <v>1674</v>
      </c>
      <c r="D984" t="s">
        <v>1700</v>
      </c>
      <c r="F984" t="s">
        <v>95</v>
      </c>
      <c r="G984" t="s">
        <v>291</v>
      </c>
      <c r="H984" t="s">
        <v>3917</v>
      </c>
      <c r="I984" s="4"/>
      <c r="J984" t="s">
        <v>3918</v>
      </c>
      <c r="K984" t="s">
        <v>217</v>
      </c>
      <c r="L984" s="5" t="s">
        <v>3919</v>
      </c>
      <c r="M984" s="5"/>
      <c r="N984" t="s">
        <v>35</v>
      </c>
      <c r="O984" t="s">
        <v>3920</v>
      </c>
      <c r="S984" t="s">
        <v>230</v>
      </c>
      <c r="T984" s="5" t="s">
        <v>48</v>
      </c>
      <c r="U984" t="s">
        <v>3921</v>
      </c>
      <c r="V984" t="s">
        <v>3922</v>
      </c>
      <c r="W984">
        <v>94</v>
      </c>
      <c r="X984" t="s">
        <v>1707</v>
      </c>
      <c r="Y984" t="str">
        <f>VLOOKUP(C984,'[1]DBS_KPY Sorumlular'!A:C,2,FALSE)</f>
        <v>Kadir TOPÇU</v>
      </c>
      <c r="Z984" t="str">
        <f>VLOOKUP(C984,'[1]DBS_KPY Sorumlular'!A:C,3,FALSE)</f>
        <v>Erkan AKDOĞAN</v>
      </c>
      <c r="AA984" t="str">
        <f>VLOOKUP(K984,[1]!Tablo3[#Data],2,FALSE)</f>
        <v>Erkan AKDOĞAN</v>
      </c>
    </row>
    <row r="985" spans="1:27" x14ac:dyDescent="0.25">
      <c r="A985">
        <v>2292</v>
      </c>
      <c r="B985" t="s">
        <v>1419</v>
      </c>
      <c r="C985" t="s">
        <v>73</v>
      </c>
      <c r="D985" t="s">
        <v>73</v>
      </c>
      <c r="F985" t="s">
        <v>383</v>
      </c>
      <c r="G985" t="s">
        <v>384</v>
      </c>
      <c r="H985" t="s">
        <v>3923</v>
      </c>
      <c r="I985" s="4"/>
      <c r="J985" t="s">
        <v>3924</v>
      </c>
      <c r="K985" t="s">
        <v>54</v>
      </c>
      <c r="L985" s="5"/>
      <c r="M985" s="5" t="s">
        <v>3925</v>
      </c>
      <c r="N985" t="s">
        <v>35</v>
      </c>
      <c r="O985" t="s">
        <v>3926</v>
      </c>
      <c r="S985" t="s">
        <v>57</v>
      </c>
      <c r="T985" s="5" t="s">
        <v>38</v>
      </c>
      <c r="Y985" t="str">
        <f>VLOOKUP(C985,'[1]DBS_KPY Sorumlular'!A:C,2,FALSE)</f>
        <v>Ayşegül AKGÜL</v>
      </c>
      <c r="Z985" t="str">
        <f>VLOOKUP(C985,'[1]DBS_KPY Sorumlular'!A:C,3,FALSE)</f>
        <v>Sinan ERDAŞ</v>
      </c>
      <c r="AA985" t="str">
        <f>VLOOKUP(K985,[1]!Tablo3[#Data],2,FALSE)</f>
        <v>Erkan AKDOĞAN</v>
      </c>
    </row>
    <row r="986" spans="1:27" x14ac:dyDescent="0.25">
      <c r="A986">
        <v>2293</v>
      </c>
      <c r="B986" t="s">
        <v>1419</v>
      </c>
      <c r="C986" t="s">
        <v>73</v>
      </c>
      <c r="D986" t="s">
        <v>73</v>
      </c>
      <c r="F986" t="s">
        <v>383</v>
      </c>
      <c r="G986" t="s">
        <v>384</v>
      </c>
      <c r="H986" t="s">
        <v>3927</v>
      </c>
      <c r="I986" s="4"/>
      <c r="J986" t="s">
        <v>3928</v>
      </c>
      <c r="K986" t="s">
        <v>364</v>
      </c>
      <c r="L986" s="5"/>
      <c r="M986" s="5" t="s">
        <v>3925</v>
      </c>
      <c r="N986" t="s">
        <v>35</v>
      </c>
      <c r="O986" t="s">
        <v>3929</v>
      </c>
      <c r="S986" t="s">
        <v>230</v>
      </c>
      <c r="T986" s="5" t="s">
        <v>38</v>
      </c>
      <c r="Y986" t="str">
        <f>VLOOKUP(C986,'[1]DBS_KPY Sorumlular'!A:C,2,FALSE)</f>
        <v>Ayşegül AKGÜL</v>
      </c>
      <c r="Z986" t="str">
        <f>VLOOKUP(C986,'[1]DBS_KPY Sorumlular'!A:C,3,FALSE)</f>
        <v>Sinan ERDAŞ</v>
      </c>
      <c r="AA986" t="str">
        <f>VLOOKUP(K986,[1]!Tablo3[#Data],2,FALSE)</f>
        <v>Kadir TOPÇU</v>
      </c>
    </row>
    <row r="987" spans="1:27" x14ac:dyDescent="0.25">
      <c r="A987">
        <v>2294</v>
      </c>
      <c r="B987" t="s">
        <v>1419</v>
      </c>
      <c r="C987" t="s">
        <v>73</v>
      </c>
      <c r="D987" t="s">
        <v>73</v>
      </c>
      <c r="F987" t="s">
        <v>383</v>
      </c>
      <c r="G987" t="s">
        <v>384</v>
      </c>
      <c r="H987" t="s">
        <v>3930</v>
      </c>
      <c r="I987" s="4"/>
      <c r="J987" t="s">
        <v>3931</v>
      </c>
      <c r="K987" t="s">
        <v>678</v>
      </c>
      <c r="L987" s="5" t="s">
        <v>3932</v>
      </c>
      <c r="M987" s="5" t="s">
        <v>3925</v>
      </c>
      <c r="N987" t="s">
        <v>35</v>
      </c>
      <c r="O987" t="s">
        <v>3933</v>
      </c>
      <c r="S987" t="s">
        <v>230</v>
      </c>
      <c r="T987" s="5" t="s">
        <v>38</v>
      </c>
      <c r="Y987" t="str">
        <f>VLOOKUP(C987,'[1]DBS_KPY Sorumlular'!A:C,2,FALSE)</f>
        <v>Ayşegül AKGÜL</v>
      </c>
      <c r="Z987" t="str">
        <f>VLOOKUP(C987,'[1]DBS_KPY Sorumlular'!A:C,3,FALSE)</f>
        <v>Sinan ERDAŞ</v>
      </c>
      <c r="AA987" t="str">
        <f>VLOOKUP(K987,[1]!Tablo3[#Data],2,FALSE)</f>
        <v>Kadir TOPÇU</v>
      </c>
    </row>
    <row r="988" spans="1:27" x14ac:dyDescent="0.25">
      <c r="A988">
        <v>2295</v>
      </c>
      <c r="B988" t="s">
        <v>1419</v>
      </c>
      <c r="C988" t="s">
        <v>73</v>
      </c>
      <c r="D988" t="s">
        <v>73</v>
      </c>
      <c r="F988" t="s">
        <v>383</v>
      </c>
      <c r="G988" t="s">
        <v>384</v>
      </c>
      <c r="H988" t="s">
        <v>3934</v>
      </c>
      <c r="I988" s="4"/>
      <c r="J988" t="s">
        <v>3935</v>
      </c>
      <c r="K988" t="s">
        <v>926</v>
      </c>
      <c r="L988" s="5"/>
      <c r="M988" s="5" t="s">
        <v>3925</v>
      </c>
      <c r="N988" t="s">
        <v>35</v>
      </c>
      <c r="O988" t="s">
        <v>3936</v>
      </c>
      <c r="S988" t="s">
        <v>230</v>
      </c>
      <c r="T988" s="5" t="s">
        <v>38</v>
      </c>
      <c r="Y988" t="str">
        <f>VLOOKUP(C988,'[1]DBS_KPY Sorumlular'!A:C,2,FALSE)</f>
        <v>Ayşegül AKGÜL</v>
      </c>
      <c r="Z988" t="str">
        <f>VLOOKUP(C988,'[1]DBS_KPY Sorumlular'!A:C,3,FALSE)</f>
        <v>Sinan ERDAŞ</v>
      </c>
      <c r="AA988" t="str">
        <f>VLOOKUP(K988,[1]!Tablo3[#Data],2,FALSE)</f>
        <v>Kadir TOPÇU</v>
      </c>
    </row>
    <row r="989" spans="1:27" x14ac:dyDescent="0.25">
      <c r="A989">
        <v>2296</v>
      </c>
      <c r="B989" t="s">
        <v>1419</v>
      </c>
      <c r="C989" t="s">
        <v>73</v>
      </c>
      <c r="D989" t="s">
        <v>73</v>
      </c>
      <c r="F989" t="s">
        <v>383</v>
      </c>
      <c r="G989" t="s">
        <v>384</v>
      </c>
      <c r="H989" t="s">
        <v>3937</v>
      </c>
      <c r="I989" s="4"/>
      <c r="J989" t="s">
        <v>3938</v>
      </c>
      <c r="K989" t="s">
        <v>926</v>
      </c>
      <c r="L989" s="5"/>
      <c r="M989" s="5" t="s">
        <v>3925</v>
      </c>
      <c r="N989" t="s">
        <v>35</v>
      </c>
      <c r="O989" t="s">
        <v>3939</v>
      </c>
      <c r="S989" t="s">
        <v>230</v>
      </c>
      <c r="T989" s="5" t="s">
        <v>38</v>
      </c>
      <c r="Y989" t="str">
        <f>VLOOKUP(C989,'[1]DBS_KPY Sorumlular'!A:C,2,FALSE)</f>
        <v>Ayşegül AKGÜL</v>
      </c>
      <c r="Z989" t="str">
        <f>VLOOKUP(C989,'[1]DBS_KPY Sorumlular'!A:C,3,FALSE)</f>
        <v>Sinan ERDAŞ</v>
      </c>
      <c r="AA989" t="str">
        <f>VLOOKUP(K989,[1]!Tablo3[#Data],2,FALSE)</f>
        <v>Kadir TOPÇU</v>
      </c>
    </row>
    <row r="990" spans="1:27" x14ac:dyDescent="0.25">
      <c r="A990">
        <v>2297</v>
      </c>
      <c r="B990" t="s">
        <v>1419</v>
      </c>
      <c r="C990" t="s">
        <v>73</v>
      </c>
      <c r="D990" t="s">
        <v>73</v>
      </c>
      <c r="F990" t="s">
        <v>383</v>
      </c>
      <c r="G990" t="s">
        <v>384</v>
      </c>
      <c r="H990" t="s">
        <v>3940</v>
      </c>
      <c r="I990" s="4"/>
      <c r="J990" t="s">
        <v>3941</v>
      </c>
      <c r="K990" t="s">
        <v>926</v>
      </c>
      <c r="L990" s="5" t="s">
        <v>2747</v>
      </c>
      <c r="M990" s="5" t="s">
        <v>3925</v>
      </c>
      <c r="N990" t="s">
        <v>35</v>
      </c>
      <c r="O990" t="s">
        <v>3942</v>
      </c>
      <c r="S990" t="s">
        <v>230</v>
      </c>
      <c r="T990" s="5" t="s">
        <v>38</v>
      </c>
      <c r="Y990" t="str">
        <f>VLOOKUP(C990,'[1]DBS_KPY Sorumlular'!A:C,2,FALSE)</f>
        <v>Ayşegül AKGÜL</v>
      </c>
      <c r="Z990" t="str">
        <f>VLOOKUP(C990,'[1]DBS_KPY Sorumlular'!A:C,3,FALSE)</f>
        <v>Sinan ERDAŞ</v>
      </c>
      <c r="AA990" t="str">
        <f>VLOOKUP(K990,[1]!Tablo3[#Data],2,FALSE)</f>
        <v>Kadir TOPÇU</v>
      </c>
    </row>
    <row r="991" spans="1:27" x14ac:dyDescent="0.25">
      <c r="A991">
        <v>2298</v>
      </c>
      <c r="B991" t="s">
        <v>1419</v>
      </c>
      <c r="C991" t="s">
        <v>73</v>
      </c>
      <c r="D991" t="s">
        <v>73</v>
      </c>
      <c r="F991" t="s">
        <v>383</v>
      </c>
      <c r="G991" t="s">
        <v>384</v>
      </c>
      <c r="H991" t="s">
        <v>3943</v>
      </c>
      <c r="I991" s="4"/>
      <c r="J991" t="s">
        <v>3944</v>
      </c>
      <c r="K991" t="s">
        <v>926</v>
      </c>
      <c r="L991" s="5"/>
      <c r="M991" s="5" t="s">
        <v>3925</v>
      </c>
      <c r="N991" t="s">
        <v>35</v>
      </c>
      <c r="O991" t="s">
        <v>3463</v>
      </c>
      <c r="S991" t="s">
        <v>230</v>
      </c>
      <c r="T991" s="5" t="s">
        <v>38</v>
      </c>
      <c r="Y991" t="str">
        <f>VLOOKUP(C991,'[1]DBS_KPY Sorumlular'!A:C,2,FALSE)</f>
        <v>Ayşegül AKGÜL</v>
      </c>
      <c r="Z991" t="str">
        <f>VLOOKUP(C991,'[1]DBS_KPY Sorumlular'!A:C,3,FALSE)</f>
        <v>Sinan ERDAŞ</v>
      </c>
      <c r="AA991" t="str">
        <f>VLOOKUP(K991,[1]!Tablo3[#Data],2,FALSE)</f>
        <v>Kadir TOPÇU</v>
      </c>
    </row>
    <row r="992" spans="1:27" x14ac:dyDescent="0.25">
      <c r="A992">
        <v>2299</v>
      </c>
      <c r="B992" t="s">
        <v>1419</v>
      </c>
      <c r="C992" t="s">
        <v>73</v>
      </c>
      <c r="D992" t="s">
        <v>73</v>
      </c>
      <c r="F992" t="s">
        <v>486</v>
      </c>
      <c r="G992" t="s">
        <v>30</v>
      </c>
      <c r="H992" t="s">
        <v>3945</v>
      </c>
      <c r="I992" s="4"/>
      <c r="K992" t="s">
        <v>232</v>
      </c>
      <c r="L992" s="5"/>
      <c r="M992" s="5" t="s">
        <v>3925</v>
      </c>
      <c r="N992" t="s">
        <v>35</v>
      </c>
      <c r="O992" t="s">
        <v>3946</v>
      </c>
      <c r="S992" t="s">
        <v>57</v>
      </c>
      <c r="T992" s="5" t="s">
        <v>38</v>
      </c>
      <c r="Y992" t="str">
        <f>VLOOKUP(C992,'[1]DBS_KPY Sorumlular'!A:C,2,FALSE)</f>
        <v>Ayşegül AKGÜL</v>
      </c>
      <c r="Z992" t="str">
        <f>VLOOKUP(C992,'[1]DBS_KPY Sorumlular'!A:C,3,FALSE)</f>
        <v>Sinan ERDAŞ</v>
      </c>
      <c r="AA992" t="str">
        <f>VLOOKUP(K992,[1]!Tablo3[#Data],2,FALSE)</f>
        <v>Erkan AKDOĞAN</v>
      </c>
    </row>
    <row r="993" spans="1:27" x14ac:dyDescent="0.25">
      <c r="A993">
        <v>2300</v>
      </c>
      <c r="B993" t="s">
        <v>1419</v>
      </c>
      <c r="C993" t="s">
        <v>73</v>
      </c>
      <c r="D993" t="s">
        <v>73</v>
      </c>
      <c r="F993" t="s">
        <v>486</v>
      </c>
      <c r="G993" t="s">
        <v>30</v>
      </c>
      <c r="H993" t="s">
        <v>3947</v>
      </c>
      <c r="I993" s="4"/>
      <c r="J993" t="s">
        <v>3948</v>
      </c>
      <c r="K993" t="s">
        <v>309</v>
      </c>
      <c r="L993" s="5" t="s">
        <v>3949</v>
      </c>
      <c r="M993" s="5" t="s">
        <v>3925</v>
      </c>
      <c r="N993" t="s">
        <v>35</v>
      </c>
      <c r="O993" t="s">
        <v>3950</v>
      </c>
      <c r="S993" t="s">
        <v>57</v>
      </c>
      <c r="T993" s="5" t="s">
        <v>38</v>
      </c>
      <c r="Y993" t="str">
        <f>VLOOKUP(C993,'[1]DBS_KPY Sorumlular'!A:C,2,FALSE)</f>
        <v>Ayşegül AKGÜL</v>
      </c>
      <c r="Z993" t="str">
        <f>VLOOKUP(C993,'[1]DBS_KPY Sorumlular'!A:C,3,FALSE)</f>
        <v>Sinan ERDAŞ</v>
      </c>
      <c r="AA993" t="str">
        <f>VLOOKUP(K993,[1]!Tablo3[#Data],2,FALSE)</f>
        <v>Erkan AKDOĞAN</v>
      </c>
    </row>
    <row r="994" spans="1:27" x14ac:dyDescent="0.25">
      <c r="A994">
        <v>2301</v>
      </c>
      <c r="B994" t="s">
        <v>1419</v>
      </c>
      <c r="C994" t="s">
        <v>1046</v>
      </c>
      <c r="D994" t="s">
        <v>1047</v>
      </c>
      <c r="F994" t="s">
        <v>3587</v>
      </c>
      <c r="G994" t="s">
        <v>43</v>
      </c>
      <c r="H994" t="s">
        <v>3951</v>
      </c>
      <c r="I994" s="4"/>
      <c r="J994" t="s">
        <v>3952</v>
      </c>
      <c r="K994" t="s">
        <v>152</v>
      </c>
      <c r="L994" s="5"/>
      <c r="M994" s="5" t="s">
        <v>3925</v>
      </c>
      <c r="N994" t="s">
        <v>35</v>
      </c>
      <c r="O994" t="s">
        <v>3953</v>
      </c>
      <c r="S994" t="s">
        <v>57</v>
      </c>
      <c r="T994" s="5" t="s">
        <v>38</v>
      </c>
      <c r="W994">
        <v>36</v>
      </c>
      <c r="X994" t="s">
        <v>1051</v>
      </c>
      <c r="Y994" t="str">
        <f>VLOOKUP(C994,'[1]DBS_KPY Sorumlular'!A:C,2,FALSE)</f>
        <v>Ayşegül AKGÜL</v>
      </c>
      <c r="Z994" t="str">
        <f>VLOOKUP(C994,'[1]DBS_KPY Sorumlular'!A:C,3,FALSE)</f>
        <v>Sinan ERDAŞ</v>
      </c>
      <c r="AA994" t="str">
        <f>VLOOKUP(K994,[1]!Tablo3[#Data],2,FALSE)</f>
        <v>Erkan AKDOĞAN</v>
      </c>
    </row>
    <row r="995" spans="1:27" x14ac:dyDescent="0.25">
      <c r="A995">
        <v>2302</v>
      </c>
      <c r="B995" t="s">
        <v>1419</v>
      </c>
      <c r="C995" t="s">
        <v>1046</v>
      </c>
      <c r="D995" t="s">
        <v>1047</v>
      </c>
      <c r="F995" t="s">
        <v>3954</v>
      </c>
      <c r="G995" t="s">
        <v>43</v>
      </c>
      <c r="H995" t="s">
        <v>3955</v>
      </c>
      <c r="I995" s="4"/>
      <c r="J995" t="s">
        <v>3956</v>
      </c>
      <c r="K995" t="s">
        <v>423</v>
      </c>
      <c r="L995" s="5"/>
      <c r="M995" s="5" t="s">
        <v>3925</v>
      </c>
      <c r="N995" t="s">
        <v>35</v>
      </c>
      <c r="O995" t="s">
        <v>3957</v>
      </c>
      <c r="S995" t="s">
        <v>230</v>
      </c>
      <c r="T995" s="5" t="s">
        <v>38</v>
      </c>
      <c r="W995">
        <v>172</v>
      </c>
      <c r="X995" t="s">
        <v>240</v>
      </c>
      <c r="Y995" t="str">
        <f>VLOOKUP(C995,'[1]DBS_KPY Sorumlular'!A:C,2,FALSE)</f>
        <v>Ayşegül AKGÜL</v>
      </c>
      <c r="Z995" t="str">
        <f>VLOOKUP(C995,'[1]DBS_KPY Sorumlular'!A:C,3,FALSE)</f>
        <v>Sinan ERDAŞ</v>
      </c>
      <c r="AA995" t="str">
        <f>VLOOKUP(K995,[1]!Tablo3[#Data],2,FALSE)</f>
        <v>Kadir TOPÇU</v>
      </c>
    </row>
    <row r="996" spans="1:27" x14ac:dyDescent="0.25">
      <c r="A996">
        <v>2303</v>
      </c>
      <c r="B996" t="s">
        <v>27</v>
      </c>
      <c r="C996" t="s">
        <v>1046</v>
      </c>
      <c r="D996" t="s">
        <v>1047</v>
      </c>
      <c r="F996" t="s">
        <v>3954</v>
      </c>
      <c r="G996" t="s">
        <v>43</v>
      </c>
      <c r="H996" t="s">
        <v>3958</v>
      </c>
      <c r="I996" s="4">
        <v>45929.875</v>
      </c>
      <c r="K996" t="s">
        <v>364</v>
      </c>
      <c r="L996" s="5" t="s">
        <v>3959</v>
      </c>
      <c r="M996" s="5"/>
      <c r="N996" t="s">
        <v>46</v>
      </c>
      <c r="O996" t="s">
        <v>3960</v>
      </c>
      <c r="R996">
        <v>0.45</v>
      </c>
      <c r="S996" t="s">
        <v>230</v>
      </c>
      <c r="T996" s="5" t="s">
        <v>38</v>
      </c>
      <c r="W996">
        <v>169</v>
      </c>
      <c r="X996" t="s">
        <v>1480</v>
      </c>
      <c r="Y996" t="str">
        <f>VLOOKUP(C996,'[1]DBS_KPY Sorumlular'!A:C,2,FALSE)</f>
        <v>Ayşegül AKGÜL</v>
      </c>
      <c r="Z996" t="str">
        <f>VLOOKUP(C996,'[1]DBS_KPY Sorumlular'!A:C,3,FALSE)</f>
        <v>Sinan ERDAŞ</v>
      </c>
      <c r="AA996" t="str">
        <f>VLOOKUP(K996,[1]!Tablo3[#Data],2,FALSE)</f>
        <v>Kadir TOPÇU</v>
      </c>
    </row>
    <row r="997" spans="1:27" x14ac:dyDescent="0.25">
      <c r="A997">
        <v>2304</v>
      </c>
      <c r="B997" t="s">
        <v>1419</v>
      </c>
      <c r="C997" t="s">
        <v>843</v>
      </c>
      <c r="D997" t="s">
        <v>1601</v>
      </c>
      <c r="F997" t="s">
        <v>290</v>
      </c>
      <c r="G997" t="s">
        <v>291</v>
      </c>
      <c r="H997" t="s">
        <v>3961</v>
      </c>
      <c r="I997" s="4">
        <v>47452.875</v>
      </c>
      <c r="J997" t="s">
        <v>3962</v>
      </c>
      <c r="K997" t="s">
        <v>1360</v>
      </c>
      <c r="L997" s="5" t="s">
        <v>3963</v>
      </c>
      <c r="M997" s="5"/>
      <c r="N997" t="s">
        <v>35</v>
      </c>
      <c r="O997" t="s">
        <v>3964</v>
      </c>
      <c r="S997" t="s">
        <v>230</v>
      </c>
      <c r="T997" s="5" t="s">
        <v>38</v>
      </c>
      <c r="W997">
        <v>23</v>
      </c>
      <c r="X997" t="s">
        <v>295</v>
      </c>
      <c r="Y997" t="str">
        <f>VLOOKUP(C997,'[1]DBS_KPY Sorumlular'!A:C,2,FALSE)</f>
        <v>Sinan ERDAŞ</v>
      </c>
      <c r="Z997" t="str">
        <f>VLOOKUP(C997,'[1]DBS_KPY Sorumlular'!A:C,3,FALSE)</f>
        <v>Ayşegül AKGÜL</v>
      </c>
      <c r="AA997" t="str">
        <f>VLOOKUP(K997,[1]!Tablo3[#Data],2,FALSE)</f>
        <v>Kadir TOPÇU</v>
      </c>
    </row>
    <row r="998" spans="1:27" x14ac:dyDescent="0.25">
      <c r="A998">
        <v>2305</v>
      </c>
      <c r="B998" t="s">
        <v>1419</v>
      </c>
      <c r="C998" t="s">
        <v>843</v>
      </c>
      <c r="D998" t="s">
        <v>1601</v>
      </c>
      <c r="F998" t="s">
        <v>290</v>
      </c>
      <c r="G998" t="s">
        <v>291</v>
      </c>
      <c r="H998" t="s">
        <v>3965</v>
      </c>
      <c r="I998" s="4">
        <v>47452.875</v>
      </c>
      <c r="J998" t="s">
        <v>3966</v>
      </c>
      <c r="K998" t="s">
        <v>1002</v>
      </c>
      <c r="L998" s="5" t="s">
        <v>3967</v>
      </c>
      <c r="M998" s="5" t="s">
        <v>3925</v>
      </c>
      <c r="N998" t="s">
        <v>35</v>
      </c>
      <c r="O998" t="s">
        <v>3968</v>
      </c>
      <c r="S998" t="s">
        <v>230</v>
      </c>
      <c r="T998" s="5" t="s">
        <v>38</v>
      </c>
      <c r="W998">
        <v>91</v>
      </c>
      <c r="X998" t="s">
        <v>101</v>
      </c>
      <c r="Y998" t="str">
        <f>VLOOKUP(C998,'[1]DBS_KPY Sorumlular'!A:C,2,FALSE)</f>
        <v>Sinan ERDAŞ</v>
      </c>
      <c r="Z998" t="str">
        <f>VLOOKUP(C998,'[1]DBS_KPY Sorumlular'!A:C,3,FALSE)</f>
        <v>Ayşegül AKGÜL</v>
      </c>
      <c r="AA998" t="str">
        <f>VLOOKUP(K998,[1]!Tablo3[#Data],2,FALSE)</f>
        <v>Kadir TOPÇU</v>
      </c>
    </row>
    <row r="999" spans="1:27" x14ac:dyDescent="0.25">
      <c r="A999">
        <v>2306</v>
      </c>
      <c r="B999" t="s">
        <v>1419</v>
      </c>
      <c r="C999" t="s">
        <v>843</v>
      </c>
      <c r="D999" t="s">
        <v>1601</v>
      </c>
      <c r="F999" t="s">
        <v>290</v>
      </c>
      <c r="G999" t="s">
        <v>291</v>
      </c>
      <c r="H999" t="s">
        <v>3969</v>
      </c>
      <c r="I999" s="4">
        <v>45991.875</v>
      </c>
      <c r="J999" t="s">
        <v>3970</v>
      </c>
      <c r="K999" t="s">
        <v>435</v>
      </c>
      <c r="L999" s="5" t="s">
        <v>3971</v>
      </c>
      <c r="M999" s="5" t="s">
        <v>3925</v>
      </c>
      <c r="N999" t="s">
        <v>35</v>
      </c>
      <c r="O999" t="s">
        <v>3972</v>
      </c>
      <c r="S999" t="s">
        <v>37</v>
      </c>
      <c r="T999" s="5" t="s">
        <v>38</v>
      </c>
      <c r="W999">
        <v>23</v>
      </c>
      <c r="X999" t="s">
        <v>295</v>
      </c>
      <c r="Y999" t="str">
        <f>VLOOKUP(C999,'[1]DBS_KPY Sorumlular'!A:C,2,FALSE)</f>
        <v>Sinan ERDAŞ</v>
      </c>
      <c r="Z999" t="str">
        <f>VLOOKUP(C999,'[1]DBS_KPY Sorumlular'!A:C,3,FALSE)</f>
        <v>Ayşegül AKGÜL</v>
      </c>
      <c r="AA999" t="str">
        <f>VLOOKUP(K999,[1]!Tablo3[#Data],2,FALSE)</f>
        <v>Tayfun VİÇE</v>
      </c>
    </row>
    <row r="1000" spans="1:27" x14ac:dyDescent="0.25">
      <c r="A1000">
        <v>2307</v>
      </c>
      <c r="B1000" t="s">
        <v>1419</v>
      </c>
      <c r="C1000" t="s">
        <v>843</v>
      </c>
      <c r="D1000" t="s">
        <v>1601</v>
      </c>
      <c r="F1000" t="s">
        <v>290</v>
      </c>
      <c r="G1000" t="s">
        <v>291</v>
      </c>
      <c r="H1000" t="s">
        <v>3973</v>
      </c>
      <c r="I1000" s="4">
        <v>47452.875</v>
      </c>
      <c r="J1000" t="s">
        <v>3974</v>
      </c>
      <c r="K1000" t="s">
        <v>1029</v>
      </c>
      <c r="L1000" s="5" t="s">
        <v>3975</v>
      </c>
      <c r="M1000" s="5" t="s">
        <v>3925</v>
      </c>
      <c r="N1000" t="s">
        <v>35</v>
      </c>
      <c r="O1000" t="s">
        <v>1095</v>
      </c>
      <c r="S1000" t="s">
        <v>37</v>
      </c>
      <c r="T1000" s="5" t="s">
        <v>38</v>
      </c>
      <c r="W1000">
        <v>94</v>
      </c>
      <c r="X1000" t="s">
        <v>1707</v>
      </c>
      <c r="Y1000" t="str">
        <f>VLOOKUP(C1000,'[1]DBS_KPY Sorumlular'!A:C,2,FALSE)</f>
        <v>Sinan ERDAŞ</v>
      </c>
      <c r="Z1000" t="str">
        <f>VLOOKUP(C1000,'[1]DBS_KPY Sorumlular'!A:C,3,FALSE)</f>
        <v>Ayşegül AKGÜL</v>
      </c>
      <c r="AA1000" t="str">
        <f>VLOOKUP(K1000,[1]!Tablo3[#Data],2,FALSE)</f>
        <v>Tayfun VİÇE</v>
      </c>
    </row>
    <row r="1001" spans="1:27" x14ac:dyDescent="0.25">
      <c r="A1001">
        <v>2308</v>
      </c>
      <c r="B1001" t="s">
        <v>1419</v>
      </c>
      <c r="C1001" t="s">
        <v>843</v>
      </c>
      <c r="D1001" t="s">
        <v>1601</v>
      </c>
      <c r="F1001" t="s">
        <v>290</v>
      </c>
      <c r="G1001" t="s">
        <v>291</v>
      </c>
      <c r="H1001" t="s">
        <v>3976</v>
      </c>
      <c r="I1001" s="4">
        <v>47452.875</v>
      </c>
      <c r="J1001" t="s">
        <v>3977</v>
      </c>
      <c r="K1001" t="s">
        <v>1360</v>
      </c>
      <c r="L1001" s="5" t="s">
        <v>3978</v>
      </c>
      <c r="M1001" s="5" t="s">
        <v>3979</v>
      </c>
      <c r="N1001" t="s">
        <v>35</v>
      </c>
      <c r="O1001" t="s">
        <v>3980</v>
      </c>
      <c r="S1001" t="s">
        <v>230</v>
      </c>
      <c r="T1001" s="5" t="s">
        <v>38</v>
      </c>
      <c r="W1001">
        <v>23</v>
      </c>
      <c r="X1001" t="s">
        <v>295</v>
      </c>
      <c r="Y1001" t="str">
        <f>VLOOKUP(C1001,'[1]DBS_KPY Sorumlular'!A:C,2,FALSE)</f>
        <v>Sinan ERDAŞ</v>
      </c>
      <c r="Z1001" t="str">
        <f>VLOOKUP(C1001,'[1]DBS_KPY Sorumlular'!A:C,3,FALSE)</f>
        <v>Ayşegül AKGÜL</v>
      </c>
      <c r="AA1001" t="str">
        <f>VLOOKUP(K1001,[1]!Tablo3[#Data],2,FALSE)</f>
        <v>Kadir TOPÇU</v>
      </c>
    </row>
    <row r="1002" spans="1:27" x14ac:dyDescent="0.25">
      <c r="A1002">
        <v>2309</v>
      </c>
      <c r="B1002" t="s">
        <v>1419</v>
      </c>
      <c r="C1002" t="s">
        <v>843</v>
      </c>
      <c r="D1002" t="s">
        <v>1601</v>
      </c>
      <c r="F1002" t="s">
        <v>290</v>
      </c>
      <c r="G1002" t="s">
        <v>291</v>
      </c>
      <c r="H1002" t="s">
        <v>3981</v>
      </c>
      <c r="I1002" s="4">
        <v>47452.875</v>
      </c>
      <c r="J1002" t="s">
        <v>3982</v>
      </c>
      <c r="K1002" t="s">
        <v>1360</v>
      </c>
      <c r="L1002" s="5" t="s">
        <v>3983</v>
      </c>
      <c r="M1002" s="5" t="s">
        <v>3925</v>
      </c>
      <c r="N1002" t="s">
        <v>35</v>
      </c>
      <c r="O1002" t="s">
        <v>3984</v>
      </c>
      <c r="S1002" t="s">
        <v>230</v>
      </c>
      <c r="T1002" s="5" t="s">
        <v>38</v>
      </c>
      <c r="W1002">
        <v>23</v>
      </c>
      <c r="X1002" t="s">
        <v>295</v>
      </c>
      <c r="Y1002" t="str">
        <f>VLOOKUP(C1002,'[1]DBS_KPY Sorumlular'!A:C,2,FALSE)</f>
        <v>Sinan ERDAŞ</v>
      </c>
      <c r="Z1002" t="str">
        <f>VLOOKUP(C1002,'[1]DBS_KPY Sorumlular'!A:C,3,FALSE)</f>
        <v>Ayşegül AKGÜL</v>
      </c>
      <c r="AA1002" t="str">
        <f>VLOOKUP(K1002,[1]!Tablo3[#Data],2,FALSE)</f>
        <v>Kadir TOPÇU</v>
      </c>
    </row>
    <row r="1003" spans="1:27" x14ac:dyDescent="0.25">
      <c r="A1003">
        <v>2311</v>
      </c>
      <c r="B1003" t="s">
        <v>1419</v>
      </c>
      <c r="C1003" t="s">
        <v>28</v>
      </c>
      <c r="D1003" t="s">
        <v>28</v>
      </c>
      <c r="F1003" t="s">
        <v>290</v>
      </c>
      <c r="G1003" t="s">
        <v>291</v>
      </c>
      <c r="H1003" t="s">
        <v>3985</v>
      </c>
      <c r="I1003" s="4"/>
      <c r="J1003" t="s">
        <v>3986</v>
      </c>
      <c r="K1003" t="s">
        <v>33</v>
      </c>
      <c r="L1003" s="5"/>
      <c r="M1003" s="5" t="s">
        <v>35</v>
      </c>
      <c r="N1003" t="s">
        <v>1824</v>
      </c>
      <c r="O1003" t="s">
        <v>3987</v>
      </c>
      <c r="S1003" t="s">
        <v>37</v>
      </c>
      <c r="T1003" s="5" t="s">
        <v>38</v>
      </c>
      <c r="W1003">
        <v>269</v>
      </c>
      <c r="X1003" t="s">
        <v>3988</v>
      </c>
      <c r="Y1003" t="str">
        <f>VLOOKUP(C1003,'[1]DBS_KPY Sorumlular'!A:C,2,FALSE)</f>
        <v>Ayşegül AKGÜL</v>
      </c>
      <c r="Z1003" t="str">
        <f>VLOOKUP(C1003,'[1]DBS_KPY Sorumlular'!A:C,3,FALSE)</f>
        <v>Sinan ERDAŞ</v>
      </c>
      <c r="AA1003" t="str">
        <f>VLOOKUP(K1003,[1]!Tablo3[#Data],2,FALSE)</f>
        <v>Tayfun VİÇE</v>
      </c>
    </row>
    <row r="1004" spans="1:27" x14ac:dyDescent="0.25">
      <c r="A1004">
        <v>2312</v>
      </c>
      <c r="B1004" t="s">
        <v>1419</v>
      </c>
      <c r="C1004" t="s">
        <v>652</v>
      </c>
      <c r="D1004" t="s">
        <v>653</v>
      </c>
      <c r="F1004" t="s">
        <v>455</v>
      </c>
      <c r="G1004" t="s">
        <v>456</v>
      </c>
      <c r="H1004" t="s">
        <v>3989</v>
      </c>
      <c r="I1004" s="4"/>
      <c r="J1004" t="s">
        <v>3990</v>
      </c>
      <c r="K1004" t="s">
        <v>33</v>
      </c>
      <c r="L1004" s="5"/>
      <c r="M1004" s="5" t="s">
        <v>35</v>
      </c>
      <c r="N1004" t="s">
        <v>1824</v>
      </c>
      <c r="O1004" t="s">
        <v>3991</v>
      </c>
      <c r="S1004" t="s">
        <v>37</v>
      </c>
      <c r="T1004" s="5" t="s">
        <v>48</v>
      </c>
      <c r="U1004" t="s">
        <v>3992</v>
      </c>
      <c r="V1004" t="s">
        <v>3993</v>
      </c>
      <c r="W1004">
        <v>144</v>
      </c>
      <c r="X1004" t="s">
        <v>463</v>
      </c>
      <c r="Y1004" t="str">
        <f>VLOOKUP(C1004,'[1]DBS_KPY Sorumlular'!A:C,2,FALSE)</f>
        <v>Seyithan İŞİK</v>
      </c>
      <c r="Z1004" t="str">
        <f>VLOOKUP(C1004,'[1]DBS_KPY Sorumlular'!A:C,3,FALSE)</f>
        <v>Korhan KÖROĞLU</v>
      </c>
      <c r="AA1004" t="str">
        <f>VLOOKUP(K1004,[1]!Tablo3[#Data],2,FALSE)</f>
        <v>Tayfun VİÇE</v>
      </c>
    </row>
    <row r="1005" spans="1:27" x14ac:dyDescent="0.25">
      <c r="A1005">
        <v>2313</v>
      </c>
      <c r="B1005" t="s">
        <v>27</v>
      </c>
      <c r="C1005" t="s">
        <v>40</v>
      </c>
      <c r="D1005" t="s">
        <v>65</v>
      </c>
      <c r="F1005" t="s">
        <v>66</v>
      </c>
      <c r="G1005" t="s">
        <v>67</v>
      </c>
      <c r="H1005" t="s">
        <v>3994</v>
      </c>
      <c r="I1005" s="4">
        <v>45868.875</v>
      </c>
      <c r="J1005" t="s">
        <v>3995</v>
      </c>
      <c r="K1005" t="s">
        <v>54</v>
      </c>
      <c r="L1005" s="5"/>
      <c r="M1005" s="5"/>
      <c r="N1005" t="s">
        <v>46</v>
      </c>
      <c r="O1005" t="s">
        <v>3996</v>
      </c>
      <c r="R1005">
        <v>0.05</v>
      </c>
      <c r="S1005" t="s">
        <v>57</v>
      </c>
      <c r="T1005" s="5" t="s">
        <v>48</v>
      </c>
      <c r="U1005" t="s">
        <v>3997</v>
      </c>
      <c r="V1005" t="s">
        <v>3994</v>
      </c>
      <c r="W1005">
        <v>203</v>
      </c>
      <c r="X1005" t="s">
        <v>72</v>
      </c>
      <c r="Y1005" t="str">
        <f>VLOOKUP(C1005,'[1]DBS_KPY Sorumlular'!A:C,2,FALSE)</f>
        <v>Mustafa AYDIN</v>
      </c>
      <c r="Z1005" t="str">
        <f>VLOOKUP(C1005,'[1]DBS_KPY Sorumlular'!A:C,3,FALSE)</f>
        <v>Esra DOLAN</v>
      </c>
      <c r="AA1005" t="str">
        <f>VLOOKUP(K1005,[1]!Tablo3[#Data],2,FALSE)</f>
        <v>Erkan AKDOĞAN</v>
      </c>
    </row>
    <row r="1006" spans="1:27" x14ac:dyDescent="0.25">
      <c r="A1006">
        <v>2314</v>
      </c>
      <c r="B1006" t="s">
        <v>1419</v>
      </c>
      <c r="C1006" t="s">
        <v>652</v>
      </c>
      <c r="D1006" t="s">
        <v>653</v>
      </c>
      <c r="F1006" t="s">
        <v>455</v>
      </c>
      <c r="G1006" t="s">
        <v>456</v>
      </c>
      <c r="H1006" t="s">
        <v>3998</v>
      </c>
      <c r="I1006" s="4"/>
      <c r="J1006" t="s">
        <v>3999</v>
      </c>
      <c r="K1006" t="s">
        <v>54</v>
      </c>
      <c r="L1006" s="5"/>
      <c r="M1006" s="5" t="s">
        <v>35</v>
      </c>
      <c r="N1006" t="s">
        <v>1824</v>
      </c>
      <c r="O1006" t="s">
        <v>4000</v>
      </c>
      <c r="S1006" t="s">
        <v>57</v>
      </c>
      <c r="T1006" s="5" t="s">
        <v>100</v>
      </c>
      <c r="W1006">
        <v>144</v>
      </c>
      <c r="X1006" t="s">
        <v>463</v>
      </c>
      <c r="Y1006" t="str">
        <f>VLOOKUP(C1006,'[1]DBS_KPY Sorumlular'!A:C,2,FALSE)</f>
        <v>Seyithan İŞİK</v>
      </c>
      <c r="Z1006" t="str">
        <f>VLOOKUP(C1006,'[1]DBS_KPY Sorumlular'!A:C,3,FALSE)</f>
        <v>Korhan KÖROĞLU</v>
      </c>
      <c r="AA1006" t="str">
        <f>VLOOKUP(K1006,[1]!Tablo3[#Data],2,FALSE)</f>
        <v>Erkan AKDOĞAN</v>
      </c>
    </row>
    <row r="1007" spans="1:27" x14ac:dyDescent="0.25">
      <c r="A1007">
        <v>2315</v>
      </c>
      <c r="B1007" t="s">
        <v>1419</v>
      </c>
      <c r="C1007" t="s">
        <v>1674</v>
      </c>
      <c r="D1007" t="s">
        <v>1717</v>
      </c>
      <c r="F1007" t="s">
        <v>95</v>
      </c>
      <c r="G1007" t="s">
        <v>43</v>
      </c>
      <c r="H1007" t="s">
        <v>4001</v>
      </c>
      <c r="I1007" s="4"/>
      <c r="J1007" t="s">
        <v>4002</v>
      </c>
      <c r="K1007" t="s">
        <v>54</v>
      </c>
      <c r="L1007" s="5" t="s">
        <v>3542</v>
      </c>
      <c r="M1007" s="5" t="s">
        <v>35</v>
      </c>
      <c r="N1007" t="s">
        <v>739</v>
      </c>
      <c r="O1007" t="s">
        <v>4003</v>
      </c>
      <c r="S1007" t="s">
        <v>57</v>
      </c>
      <c r="T1007" s="5" t="s">
        <v>100</v>
      </c>
      <c r="W1007">
        <v>86</v>
      </c>
      <c r="X1007" t="s">
        <v>189</v>
      </c>
      <c r="Y1007" t="str">
        <f>VLOOKUP(C1007,'[1]DBS_KPY Sorumlular'!A:C,2,FALSE)</f>
        <v>Kadir TOPÇU</v>
      </c>
      <c r="Z1007" t="str">
        <f>VLOOKUP(C1007,'[1]DBS_KPY Sorumlular'!A:C,3,FALSE)</f>
        <v>Erkan AKDOĞAN</v>
      </c>
      <c r="AA1007" t="str">
        <f>VLOOKUP(K1007,[1]!Tablo3[#Data],2,FALSE)</f>
        <v>Erkan AKDOĞAN</v>
      </c>
    </row>
    <row r="1008" spans="1:27" x14ac:dyDescent="0.25">
      <c r="A1008">
        <v>2316</v>
      </c>
      <c r="B1008" t="s">
        <v>1419</v>
      </c>
      <c r="C1008" t="s">
        <v>652</v>
      </c>
      <c r="D1008" t="s">
        <v>653</v>
      </c>
      <c r="F1008" t="s">
        <v>455</v>
      </c>
      <c r="G1008" t="s">
        <v>456</v>
      </c>
      <c r="H1008" t="s">
        <v>4004</v>
      </c>
      <c r="I1008" s="4"/>
      <c r="J1008" t="s">
        <v>4005</v>
      </c>
      <c r="K1008" t="s">
        <v>54</v>
      </c>
      <c r="L1008" s="5"/>
      <c r="M1008" s="5" t="s">
        <v>35</v>
      </c>
      <c r="N1008" t="s">
        <v>1824</v>
      </c>
      <c r="O1008" t="s">
        <v>4006</v>
      </c>
      <c r="S1008" t="s">
        <v>57</v>
      </c>
      <c r="T1008" s="5" t="s">
        <v>100</v>
      </c>
      <c r="W1008">
        <v>144</v>
      </c>
      <c r="X1008" t="s">
        <v>463</v>
      </c>
      <c r="Y1008" t="str">
        <f>VLOOKUP(C1008,'[1]DBS_KPY Sorumlular'!A:C,2,FALSE)</f>
        <v>Seyithan İŞİK</v>
      </c>
      <c r="Z1008" t="str">
        <f>VLOOKUP(C1008,'[1]DBS_KPY Sorumlular'!A:C,3,FALSE)</f>
        <v>Korhan KÖROĞLU</v>
      </c>
      <c r="AA1008" t="str">
        <f>VLOOKUP(K1008,[1]!Tablo3[#Data],2,FALSE)</f>
        <v>Erkan AKDOĞAN</v>
      </c>
    </row>
    <row r="1009" spans="1:27" x14ac:dyDescent="0.25">
      <c r="A1009">
        <v>2317</v>
      </c>
      <c r="B1009" t="s">
        <v>1419</v>
      </c>
      <c r="C1009" t="s">
        <v>1674</v>
      </c>
      <c r="D1009" t="s">
        <v>1717</v>
      </c>
      <c r="F1009" t="s">
        <v>113</v>
      </c>
      <c r="G1009" t="s">
        <v>43</v>
      </c>
      <c r="H1009" t="s">
        <v>4007</v>
      </c>
      <c r="I1009" s="4"/>
      <c r="J1009" t="s">
        <v>4008</v>
      </c>
      <c r="K1009" t="s">
        <v>54</v>
      </c>
      <c r="L1009" s="5"/>
      <c r="M1009" s="5" t="s">
        <v>4009</v>
      </c>
      <c r="N1009" t="s">
        <v>35</v>
      </c>
      <c r="O1009" t="s">
        <v>4010</v>
      </c>
      <c r="S1009" t="s">
        <v>57</v>
      </c>
      <c r="T1009" s="5" t="s">
        <v>48</v>
      </c>
      <c r="U1009" t="s">
        <v>4011</v>
      </c>
      <c r="V1009" t="s">
        <v>4007</v>
      </c>
      <c r="W1009">
        <v>169</v>
      </c>
      <c r="X1009" t="s">
        <v>1480</v>
      </c>
      <c r="Y1009" t="str">
        <f>VLOOKUP(C1009,'[1]DBS_KPY Sorumlular'!A:C,2,FALSE)</f>
        <v>Kadir TOPÇU</v>
      </c>
      <c r="Z1009" t="str">
        <f>VLOOKUP(C1009,'[1]DBS_KPY Sorumlular'!A:C,3,FALSE)</f>
        <v>Erkan AKDOĞAN</v>
      </c>
      <c r="AA1009" t="str">
        <f>VLOOKUP(K1009,[1]!Tablo3[#Data],2,FALSE)</f>
        <v>Erkan AKDOĞAN</v>
      </c>
    </row>
    <row r="1010" spans="1:27" x14ac:dyDescent="0.25">
      <c r="A1010">
        <v>2318</v>
      </c>
      <c r="B1010" t="s">
        <v>1419</v>
      </c>
      <c r="C1010" t="s">
        <v>1723</v>
      </c>
      <c r="D1010" t="s">
        <v>2478</v>
      </c>
      <c r="F1010" t="s">
        <v>66</v>
      </c>
      <c r="G1010" t="s">
        <v>67</v>
      </c>
      <c r="H1010" t="s">
        <v>4012</v>
      </c>
      <c r="I1010" s="4"/>
      <c r="J1010" t="s">
        <v>4013</v>
      </c>
      <c r="K1010" t="s">
        <v>54</v>
      </c>
      <c r="L1010" s="5" t="s">
        <v>4014</v>
      </c>
      <c r="M1010" s="5" t="s">
        <v>35</v>
      </c>
      <c r="N1010" t="s">
        <v>1824</v>
      </c>
      <c r="O1010" t="s">
        <v>4015</v>
      </c>
      <c r="S1010" t="s">
        <v>57</v>
      </c>
      <c r="T1010" s="5" t="s">
        <v>38</v>
      </c>
      <c r="Y1010" t="str">
        <f>VLOOKUP(C1010,'[1]DBS_KPY Sorumlular'!A:C,2,FALSE)</f>
        <v>Erkan AKDOĞAN</v>
      </c>
      <c r="Z1010" t="str">
        <f>VLOOKUP(C1010,'[1]DBS_KPY Sorumlular'!A:C,3,FALSE)</f>
        <v>Kadir TOPÇU</v>
      </c>
      <c r="AA1010" t="str">
        <f>VLOOKUP(K1010,[1]!Tablo3[#Data],2,FALSE)</f>
        <v>Erkan AKDOĞAN</v>
      </c>
    </row>
    <row r="1011" spans="1:27" x14ac:dyDescent="0.25">
      <c r="A1011">
        <v>2319</v>
      </c>
      <c r="B1011" t="s">
        <v>1419</v>
      </c>
      <c r="C1011" t="s">
        <v>1723</v>
      </c>
      <c r="D1011" t="s">
        <v>2478</v>
      </c>
      <c r="F1011" t="s">
        <v>66</v>
      </c>
      <c r="G1011" t="s">
        <v>67</v>
      </c>
      <c r="H1011" t="s">
        <v>4016</v>
      </c>
      <c r="I1011" s="4"/>
      <c r="J1011" t="s">
        <v>4017</v>
      </c>
      <c r="K1011" t="s">
        <v>54</v>
      </c>
      <c r="L1011" s="5" t="s">
        <v>4014</v>
      </c>
      <c r="M1011" s="5" t="s">
        <v>35</v>
      </c>
      <c r="N1011" t="s">
        <v>1824</v>
      </c>
      <c r="O1011" t="s">
        <v>4018</v>
      </c>
      <c r="S1011" t="s">
        <v>57</v>
      </c>
      <c r="T1011" s="5" t="s">
        <v>38</v>
      </c>
      <c r="Y1011" t="str">
        <f>VLOOKUP(C1011,'[1]DBS_KPY Sorumlular'!A:C,2,FALSE)</f>
        <v>Erkan AKDOĞAN</v>
      </c>
      <c r="Z1011" t="str">
        <f>VLOOKUP(C1011,'[1]DBS_KPY Sorumlular'!A:C,3,FALSE)</f>
        <v>Kadir TOPÇU</v>
      </c>
      <c r="AA1011" t="str">
        <f>VLOOKUP(K1011,[1]!Tablo3[#Data],2,FALSE)</f>
        <v>Erkan AKDOĞAN</v>
      </c>
    </row>
    <row r="1012" spans="1:27" x14ac:dyDescent="0.25">
      <c r="A1012">
        <v>2320</v>
      </c>
      <c r="B1012" t="s">
        <v>1419</v>
      </c>
      <c r="C1012" t="s">
        <v>1723</v>
      </c>
      <c r="D1012" t="s">
        <v>1724</v>
      </c>
      <c r="F1012" t="s">
        <v>66</v>
      </c>
      <c r="G1012" t="s">
        <v>43</v>
      </c>
      <c r="H1012" t="s">
        <v>4019</v>
      </c>
      <c r="I1012" s="4"/>
      <c r="J1012" t="s">
        <v>4020</v>
      </c>
      <c r="K1012" t="s">
        <v>54</v>
      </c>
      <c r="L1012" s="5" t="s">
        <v>4021</v>
      </c>
      <c r="M1012" s="5" t="s">
        <v>35</v>
      </c>
      <c r="N1012" t="s">
        <v>1824</v>
      </c>
      <c r="O1012" t="s">
        <v>4022</v>
      </c>
      <c r="S1012" t="s">
        <v>57</v>
      </c>
      <c r="T1012" s="5" t="s">
        <v>38</v>
      </c>
      <c r="Y1012" t="str">
        <f>VLOOKUP(C1012,'[1]DBS_KPY Sorumlular'!A:C,2,FALSE)</f>
        <v>Erkan AKDOĞAN</v>
      </c>
      <c r="Z1012" t="str">
        <f>VLOOKUP(C1012,'[1]DBS_KPY Sorumlular'!A:C,3,FALSE)</f>
        <v>Kadir TOPÇU</v>
      </c>
      <c r="AA1012" t="str">
        <f>VLOOKUP(K1012,[1]!Tablo3[#Data],2,FALSE)</f>
        <v>Erkan AKDOĞAN</v>
      </c>
    </row>
    <row r="1013" spans="1:27" x14ac:dyDescent="0.25">
      <c r="A1013">
        <v>2321</v>
      </c>
      <c r="B1013" t="s">
        <v>1419</v>
      </c>
      <c r="C1013" t="s">
        <v>73</v>
      </c>
      <c r="D1013" t="s">
        <v>73</v>
      </c>
      <c r="F1013" t="s">
        <v>66</v>
      </c>
      <c r="G1013" t="s">
        <v>30</v>
      </c>
      <c r="H1013" t="s">
        <v>4023</v>
      </c>
      <c r="I1013" s="4"/>
      <c r="J1013" t="s">
        <v>4024</v>
      </c>
      <c r="K1013" t="s">
        <v>54</v>
      </c>
      <c r="L1013" s="5"/>
      <c r="M1013" s="5" t="s">
        <v>35</v>
      </c>
      <c r="N1013" t="s">
        <v>1824</v>
      </c>
      <c r="O1013" t="s">
        <v>4025</v>
      </c>
      <c r="S1013" t="s">
        <v>57</v>
      </c>
      <c r="T1013" s="5" t="s">
        <v>38</v>
      </c>
      <c r="Y1013" t="str">
        <f>VLOOKUP(C1013,'[1]DBS_KPY Sorumlular'!A:C,2,FALSE)</f>
        <v>Ayşegül AKGÜL</v>
      </c>
      <c r="Z1013" t="str">
        <f>VLOOKUP(C1013,'[1]DBS_KPY Sorumlular'!A:C,3,FALSE)</f>
        <v>Sinan ERDAŞ</v>
      </c>
      <c r="AA1013" t="str">
        <f>VLOOKUP(K1013,[1]!Tablo3[#Data],2,FALSE)</f>
        <v>Erkan AKDOĞAN</v>
      </c>
    </row>
    <row r="1014" spans="1:27" x14ac:dyDescent="0.25">
      <c r="A1014">
        <v>2322</v>
      </c>
      <c r="B1014" t="s">
        <v>1419</v>
      </c>
      <c r="C1014" t="s">
        <v>1723</v>
      </c>
      <c r="D1014" t="s">
        <v>2478</v>
      </c>
      <c r="F1014" t="s">
        <v>66</v>
      </c>
      <c r="G1014" t="s">
        <v>67</v>
      </c>
      <c r="H1014" t="s">
        <v>4026</v>
      </c>
      <c r="I1014" s="4"/>
      <c r="J1014" t="s">
        <v>4027</v>
      </c>
      <c r="K1014" t="s">
        <v>54</v>
      </c>
      <c r="L1014" s="5"/>
      <c r="M1014" s="5" t="s">
        <v>4028</v>
      </c>
      <c r="N1014" t="s">
        <v>1824</v>
      </c>
      <c r="O1014" t="s">
        <v>4029</v>
      </c>
      <c r="S1014" t="s">
        <v>57</v>
      </c>
      <c r="T1014" s="5" t="s">
        <v>38</v>
      </c>
      <c r="Y1014" t="str">
        <f>VLOOKUP(C1014,'[1]DBS_KPY Sorumlular'!A:C,2,FALSE)</f>
        <v>Erkan AKDOĞAN</v>
      </c>
      <c r="Z1014" t="str">
        <f>VLOOKUP(C1014,'[1]DBS_KPY Sorumlular'!A:C,3,FALSE)</f>
        <v>Kadir TOPÇU</v>
      </c>
      <c r="AA1014" t="str">
        <f>VLOOKUP(K1014,[1]!Tablo3[#Data],2,FALSE)</f>
        <v>Erkan AKDOĞAN</v>
      </c>
    </row>
    <row r="1015" spans="1:27" x14ac:dyDescent="0.25">
      <c r="A1015">
        <v>2323</v>
      </c>
      <c r="B1015" t="s">
        <v>1419</v>
      </c>
      <c r="C1015" t="s">
        <v>137</v>
      </c>
      <c r="D1015" t="s">
        <v>4030</v>
      </c>
      <c r="E1015" t="s">
        <v>4030</v>
      </c>
      <c r="F1015" t="s">
        <v>66</v>
      </c>
      <c r="G1015" t="s">
        <v>140</v>
      </c>
      <c r="H1015" t="s">
        <v>4031</v>
      </c>
      <c r="I1015" s="4"/>
      <c r="J1015" t="s">
        <v>4031</v>
      </c>
      <c r="K1015" t="s">
        <v>1360</v>
      </c>
      <c r="L1015" s="5"/>
      <c r="M1015" s="5" t="s">
        <v>4028</v>
      </c>
      <c r="N1015" t="s">
        <v>1824</v>
      </c>
      <c r="O1015" t="s">
        <v>4032</v>
      </c>
      <c r="S1015" t="s">
        <v>230</v>
      </c>
      <c r="T1015" s="5" t="s">
        <v>38</v>
      </c>
      <c r="W1015">
        <v>192</v>
      </c>
      <c r="X1015" t="s">
        <v>1770</v>
      </c>
      <c r="Y1015" t="str">
        <f>VLOOKUP(C1015,'[1]DBS_KPY Sorumlular'!A:C,2,FALSE)</f>
        <v>Erkan AKDOĞAN</v>
      </c>
      <c r="Z1015" t="str">
        <f>VLOOKUP(C1015,'[1]DBS_KPY Sorumlular'!A:C,3,FALSE)</f>
        <v>Kadir TOPÇU</v>
      </c>
      <c r="AA1015" t="str">
        <f>VLOOKUP(K1015,[1]!Tablo3[#Data],2,FALSE)</f>
        <v>Kadir TOPÇU</v>
      </c>
    </row>
    <row r="1016" spans="1:27" x14ac:dyDescent="0.25">
      <c r="A1016">
        <v>2324</v>
      </c>
      <c r="B1016" t="s">
        <v>1419</v>
      </c>
      <c r="C1016" t="s">
        <v>1723</v>
      </c>
      <c r="D1016" t="s">
        <v>1724</v>
      </c>
      <c r="F1016" t="s">
        <v>66</v>
      </c>
      <c r="G1016" t="s">
        <v>67</v>
      </c>
      <c r="H1016" t="s">
        <v>4033</v>
      </c>
      <c r="I1016" s="4"/>
      <c r="J1016" t="s">
        <v>4034</v>
      </c>
      <c r="K1016" t="s">
        <v>54</v>
      </c>
      <c r="L1016" s="5"/>
      <c r="M1016" s="5" t="s">
        <v>4028</v>
      </c>
      <c r="N1016" t="s">
        <v>1824</v>
      </c>
      <c r="O1016" t="s">
        <v>4035</v>
      </c>
      <c r="S1016" t="s">
        <v>57</v>
      </c>
      <c r="T1016" s="5" t="s">
        <v>38</v>
      </c>
      <c r="Y1016" t="str">
        <f>VLOOKUP(C1016,'[1]DBS_KPY Sorumlular'!A:C,2,FALSE)</f>
        <v>Erkan AKDOĞAN</v>
      </c>
      <c r="Z1016" t="str">
        <f>VLOOKUP(C1016,'[1]DBS_KPY Sorumlular'!A:C,3,FALSE)</f>
        <v>Kadir TOPÇU</v>
      </c>
      <c r="AA1016" t="str">
        <f>VLOOKUP(K1016,[1]!Tablo3[#Data],2,FALSE)</f>
        <v>Erkan AKDOĞAN</v>
      </c>
    </row>
    <row r="1017" spans="1:27" x14ac:dyDescent="0.25">
      <c r="A1017">
        <v>2325</v>
      </c>
      <c r="B1017" t="s">
        <v>1419</v>
      </c>
      <c r="C1017" t="s">
        <v>1723</v>
      </c>
      <c r="D1017" t="s">
        <v>2478</v>
      </c>
      <c r="F1017" t="s">
        <v>66</v>
      </c>
      <c r="G1017" t="s">
        <v>67</v>
      </c>
      <c r="H1017" t="s">
        <v>4036</v>
      </c>
      <c r="I1017" s="4"/>
      <c r="J1017" t="s">
        <v>4037</v>
      </c>
      <c r="K1017" t="s">
        <v>98</v>
      </c>
      <c r="L1017" s="5" t="s">
        <v>4038</v>
      </c>
      <c r="M1017" s="5" t="s">
        <v>2670</v>
      </c>
      <c r="N1017" t="s">
        <v>1824</v>
      </c>
      <c r="O1017" t="s">
        <v>4039</v>
      </c>
      <c r="S1017" t="s">
        <v>37</v>
      </c>
      <c r="T1017" s="5" t="s">
        <v>38</v>
      </c>
      <c r="Y1017" t="str">
        <f>VLOOKUP(C1017,'[1]DBS_KPY Sorumlular'!A:C,2,FALSE)</f>
        <v>Erkan AKDOĞAN</v>
      </c>
      <c r="Z1017" t="str">
        <f>VLOOKUP(C1017,'[1]DBS_KPY Sorumlular'!A:C,3,FALSE)</f>
        <v>Kadir TOPÇU</v>
      </c>
      <c r="AA1017" t="str">
        <f>VLOOKUP(K1017,[1]!Tablo3[#Data],2,FALSE)</f>
        <v>Tayfun VİÇE</v>
      </c>
    </row>
    <row r="1018" spans="1:27" x14ac:dyDescent="0.25">
      <c r="A1018">
        <v>2326</v>
      </c>
      <c r="B1018" t="s">
        <v>27</v>
      </c>
      <c r="C1018" t="s">
        <v>40</v>
      </c>
      <c r="D1018" t="s">
        <v>41</v>
      </c>
      <c r="F1018" t="s">
        <v>102</v>
      </c>
      <c r="G1018" t="s">
        <v>43</v>
      </c>
      <c r="H1018" t="s">
        <v>4040</v>
      </c>
      <c r="I1018" s="4">
        <v>46462.875</v>
      </c>
      <c r="J1018" t="s">
        <v>4041</v>
      </c>
      <c r="K1018" t="s">
        <v>98</v>
      </c>
      <c r="L1018" s="5"/>
      <c r="M1018" s="5"/>
      <c r="N1018" t="s">
        <v>46</v>
      </c>
      <c r="O1018" t="s">
        <v>4042</v>
      </c>
      <c r="R1018">
        <v>0.13</v>
      </c>
      <c r="S1018" t="s">
        <v>37</v>
      </c>
      <c r="T1018" s="5" t="s">
        <v>48</v>
      </c>
      <c r="U1018" t="s">
        <v>4043</v>
      </c>
      <c r="V1018" t="s">
        <v>4044</v>
      </c>
      <c r="W1018">
        <v>70</v>
      </c>
      <c r="X1018" t="s">
        <v>711</v>
      </c>
      <c r="Y1018" t="str">
        <f>VLOOKUP(C1018,'[1]DBS_KPY Sorumlular'!A:C,2,FALSE)</f>
        <v>Mustafa AYDIN</v>
      </c>
      <c r="Z1018" t="str">
        <f>VLOOKUP(C1018,'[1]DBS_KPY Sorumlular'!A:C,3,FALSE)</f>
        <v>Esra DOLAN</v>
      </c>
      <c r="AA1018" t="str">
        <f>VLOOKUP(K1018,[1]!Tablo3[#Data],2,FALSE)</f>
        <v>Tayfun VİÇE</v>
      </c>
    </row>
    <row r="1019" spans="1:27" x14ac:dyDescent="0.25">
      <c r="A1019">
        <v>2327</v>
      </c>
      <c r="B1019" t="s">
        <v>27</v>
      </c>
      <c r="C1019" t="s">
        <v>40</v>
      </c>
      <c r="D1019" t="s">
        <v>65</v>
      </c>
      <c r="F1019" t="s">
        <v>66</v>
      </c>
      <c r="G1019" t="s">
        <v>67</v>
      </c>
      <c r="H1019" t="s">
        <v>4045</v>
      </c>
      <c r="I1019" s="4">
        <v>45550.875</v>
      </c>
      <c r="K1019" t="s">
        <v>98</v>
      </c>
      <c r="L1019" s="5"/>
      <c r="M1019" s="5"/>
      <c r="N1019" t="s">
        <v>82</v>
      </c>
      <c r="O1019" t="s">
        <v>4046</v>
      </c>
      <c r="R1019">
        <v>1</v>
      </c>
      <c r="S1019" t="s">
        <v>37</v>
      </c>
      <c r="T1019" s="5" t="s">
        <v>100</v>
      </c>
      <c r="W1019">
        <v>103</v>
      </c>
      <c r="X1019" t="s">
        <v>353</v>
      </c>
      <c r="Y1019" t="str">
        <f>VLOOKUP(C1019,'[1]DBS_KPY Sorumlular'!A:C,2,FALSE)</f>
        <v>Mustafa AYDIN</v>
      </c>
      <c r="Z1019" t="str">
        <f>VLOOKUP(C1019,'[1]DBS_KPY Sorumlular'!A:C,3,FALSE)</f>
        <v>Esra DOLAN</v>
      </c>
      <c r="AA1019" t="str">
        <f>VLOOKUP(K1019,[1]!Tablo3[#Data],2,FALSE)</f>
        <v>Tayfun VİÇE</v>
      </c>
    </row>
    <row r="1020" spans="1:27" x14ac:dyDescent="0.25">
      <c r="A1020">
        <v>2328</v>
      </c>
      <c r="B1020" t="s">
        <v>27</v>
      </c>
      <c r="C1020" t="s">
        <v>40</v>
      </c>
      <c r="D1020" t="s">
        <v>65</v>
      </c>
      <c r="F1020" t="s">
        <v>66</v>
      </c>
      <c r="G1020" t="s">
        <v>67</v>
      </c>
      <c r="H1020" t="s">
        <v>4047</v>
      </c>
      <c r="I1020" s="4">
        <v>45550.875</v>
      </c>
      <c r="K1020" t="s">
        <v>98</v>
      </c>
      <c r="L1020" s="5"/>
      <c r="M1020" s="5"/>
      <c r="N1020" t="s">
        <v>82</v>
      </c>
      <c r="O1020" t="s">
        <v>4048</v>
      </c>
      <c r="R1020">
        <v>1</v>
      </c>
      <c r="S1020" t="s">
        <v>37</v>
      </c>
      <c r="T1020" s="5" t="s">
        <v>100</v>
      </c>
      <c r="W1020">
        <v>103</v>
      </c>
      <c r="X1020" t="s">
        <v>353</v>
      </c>
      <c r="Y1020" t="str">
        <f>VLOOKUP(C1020,'[1]DBS_KPY Sorumlular'!A:C,2,FALSE)</f>
        <v>Mustafa AYDIN</v>
      </c>
      <c r="Z1020" t="str">
        <f>VLOOKUP(C1020,'[1]DBS_KPY Sorumlular'!A:C,3,FALSE)</f>
        <v>Esra DOLAN</v>
      </c>
      <c r="AA1020" t="str">
        <f>VLOOKUP(K1020,[1]!Tablo3[#Data],2,FALSE)</f>
        <v>Tayfun VİÇE</v>
      </c>
    </row>
    <row r="1021" spans="1:27" x14ac:dyDescent="0.25">
      <c r="A1021">
        <v>2329</v>
      </c>
      <c r="B1021" t="s">
        <v>1419</v>
      </c>
      <c r="C1021" t="s">
        <v>1674</v>
      </c>
      <c r="D1021" t="s">
        <v>1717</v>
      </c>
      <c r="F1021" t="s">
        <v>95</v>
      </c>
      <c r="G1021" t="s">
        <v>96</v>
      </c>
      <c r="H1021" t="s">
        <v>4049</v>
      </c>
      <c r="I1021" s="4"/>
      <c r="J1021" t="s">
        <v>4050</v>
      </c>
      <c r="K1021" t="s">
        <v>98</v>
      </c>
      <c r="L1021" s="5"/>
      <c r="M1021" s="5" t="s">
        <v>35</v>
      </c>
      <c r="N1021" t="s">
        <v>1824</v>
      </c>
      <c r="O1021" t="s">
        <v>4051</v>
      </c>
      <c r="S1021" t="s">
        <v>37</v>
      </c>
      <c r="T1021" s="5" t="s">
        <v>100</v>
      </c>
      <c r="W1021">
        <v>91</v>
      </c>
      <c r="X1021" t="s">
        <v>101</v>
      </c>
      <c r="Y1021" t="str">
        <f>VLOOKUP(C1021,'[1]DBS_KPY Sorumlular'!A:C,2,FALSE)</f>
        <v>Kadir TOPÇU</v>
      </c>
      <c r="Z1021" t="str">
        <f>VLOOKUP(C1021,'[1]DBS_KPY Sorumlular'!A:C,3,FALSE)</f>
        <v>Erkan AKDOĞAN</v>
      </c>
      <c r="AA1021" t="str">
        <f>VLOOKUP(K1021,[1]!Tablo3[#Data],2,FALSE)</f>
        <v>Tayfun VİÇE</v>
      </c>
    </row>
    <row r="1022" spans="1:27" x14ac:dyDescent="0.25">
      <c r="A1022">
        <v>2330</v>
      </c>
      <c r="B1022" t="s">
        <v>1419</v>
      </c>
      <c r="C1022" t="s">
        <v>652</v>
      </c>
      <c r="D1022" t="s">
        <v>653</v>
      </c>
      <c r="F1022" t="s">
        <v>455</v>
      </c>
      <c r="G1022" t="s">
        <v>456</v>
      </c>
      <c r="H1022" t="s">
        <v>4052</v>
      </c>
      <c r="I1022" s="4"/>
      <c r="J1022" t="s">
        <v>4053</v>
      </c>
      <c r="K1022" t="s">
        <v>98</v>
      </c>
      <c r="L1022" s="5"/>
      <c r="M1022" s="5" t="s">
        <v>35</v>
      </c>
      <c r="N1022" t="s">
        <v>1824</v>
      </c>
      <c r="O1022" t="s">
        <v>4051</v>
      </c>
      <c r="S1022" t="s">
        <v>37</v>
      </c>
      <c r="T1022" s="5" t="s">
        <v>100</v>
      </c>
      <c r="W1022">
        <v>144</v>
      </c>
      <c r="X1022" t="s">
        <v>463</v>
      </c>
      <c r="Y1022" t="str">
        <f>VLOOKUP(C1022,'[1]DBS_KPY Sorumlular'!A:C,2,FALSE)</f>
        <v>Seyithan İŞİK</v>
      </c>
      <c r="Z1022" t="str">
        <f>VLOOKUP(C1022,'[1]DBS_KPY Sorumlular'!A:C,3,FALSE)</f>
        <v>Korhan KÖROĞLU</v>
      </c>
      <c r="AA1022" t="str">
        <f>VLOOKUP(K1022,[1]!Tablo3[#Data],2,FALSE)</f>
        <v>Tayfun VİÇE</v>
      </c>
    </row>
    <row r="1023" spans="1:27" x14ac:dyDescent="0.25">
      <c r="A1023">
        <v>2331</v>
      </c>
      <c r="B1023" t="s">
        <v>1419</v>
      </c>
      <c r="C1023" t="s">
        <v>1723</v>
      </c>
      <c r="D1023" t="s">
        <v>1751</v>
      </c>
      <c r="F1023" t="s">
        <v>66</v>
      </c>
      <c r="G1023" t="s">
        <v>67</v>
      </c>
      <c r="H1023" t="s">
        <v>4054</v>
      </c>
      <c r="I1023" s="4"/>
      <c r="J1023" t="s">
        <v>4055</v>
      </c>
      <c r="K1023" t="s">
        <v>98</v>
      </c>
      <c r="L1023" s="5" t="s">
        <v>4056</v>
      </c>
      <c r="M1023" s="5" t="s">
        <v>1836</v>
      </c>
      <c r="N1023" t="s">
        <v>1824</v>
      </c>
      <c r="O1023" t="s">
        <v>4057</v>
      </c>
      <c r="S1023" t="s">
        <v>37</v>
      </c>
      <c r="T1023" s="5" t="s">
        <v>38</v>
      </c>
      <c r="Y1023" t="str">
        <f>VLOOKUP(C1023,'[1]DBS_KPY Sorumlular'!A:C,2,FALSE)</f>
        <v>Erkan AKDOĞAN</v>
      </c>
      <c r="Z1023" t="str">
        <f>VLOOKUP(C1023,'[1]DBS_KPY Sorumlular'!A:C,3,FALSE)</f>
        <v>Kadir TOPÇU</v>
      </c>
      <c r="AA1023" t="str">
        <f>VLOOKUP(K1023,[1]!Tablo3[#Data],2,FALSE)</f>
        <v>Tayfun VİÇE</v>
      </c>
    </row>
    <row r="1024" spans="1:27" x14ac:dyDescent="0.25">
      <c r="A1024">
        <v>2332</v>
      </c>
      <c r="B1024" t="s">
        <v>1419</v>
      </c>
      <c r="C1024" t="s">
        <v>1723</v>
      </c>
      <c r="D1024" t="s">
        <v>2478</v>
      </c>
      <c r="F1024" t="s">
        <v>66</v>
      </c>
      <c r="G1024" t="s">
        <v>67</v>
      </c>
      <c r="H1024" t="s">
        <v>4058</v>
      </c>
      <c r="I1024" s="4"/>
      <c r="J1024" t="s">
        <v>4059</v>
      </c>
      <c r="K1024" t="s">
        <v>98</v>
      </c>
      <c r="L1024" s="5" t="s">
        <v>4060</v>
      </c>
      <c r="M1024" s="5" t="s">
        <v>35</v>
      </c>
      <c r="N1024" t="s">
        <v>1824</v>
      </c>
      <c r="O1024" t="s">
        <v>4061</v>
      </c>
      <c r="S1024" t="s">
        <v>37</v>
      </c>
      <c r="T1024" s="5" t="s">
        <v>38</v>
      </c>
      <c r="Y1024" t="str">
        <f>VLOOKUP(C1024,'[1]DBS_KPY Sorumlular'!A:C,2,FALSE)</f>
        <v>Erkan AKDOĞAN</v>
      </c>
      <c r="Z1024" t="str">
        <f>VLOOKUP(C1024,'[1]DBS_KPY Sorumlular'!A:C,3,FALSE)</f>
        <v>Kadir TOPÇU</v>
      </c>
      <c r="AA1024" t="str">
        <f>VLOOKUP(K1024,[1]!Tablo3[#Data],2,FALSE)</f>
        <v>Tayfun VİÇE</v>
      </c>
    </row>
    <row r="1025" spans="1:27" x14ac:dyDescent="0.25">
      <c r="A1025">
        <v>2333</v>
      </c>
      <c r="B1025" t="s">
        <v>1419</v>
      </c>
      <c r="C1025" t="s">
        <v>402</v>
      </c>
      <c r="D1025" t="s">
        <v>403</v>
      </c>
      <c r="F1025" t="s">
        <v>4062</v>
      </c>
      <c r="G1025" t="s">
        <v>43</v>
      </c>
      <c r="H1025" t="s">
        <v>4063</v>
      </c>
      <c r="I1025" s="4"/>
      <c r="J1025" t="s">
        <v>4064</v>
      </c>
      <c r="K1025" t="s">
        <v>98</v>
      </c>
      <c r="L1025" s="5" t="s">
        <v>4065</v>
      </c>
      <c r="M1025" s="5" t="s">
        <v>4028</v>
      </c>
      <c r="N1025" t="s">
        <v>1824</v>
      </c>
      <c r="O1025" t="s">
        <v>4066</v>
      </c>
      <c r="S1025" t="s">
        <v>37</v>
      </c>
      <c r="T1025" s="5" t="s">
        <v>100</v>
      </c>
      <c r="W1025">
        <v>116</v>
      </c>
      <c r="X1025" t="s">
        <v>3651</v>
      </c>
      <c r="Y1025" t="str">
        <f>VLOOKUP(C1025,'[1]DBS_KPY Sorumlular'!A:C,2,FALSE)</f>
        <v>Tayfun VİÇE</v>
      </c>
      <c r="Z1025" t="str">
        <f>VLOOKUP(C1025,'[1]DBS_KPY Sorumlular'!A:C,3,FALSE)</f>
        <v>Mehmet Ali YAVUZ</v>
      </c>
      <c r="AA1025" t="str">
        <f>VLOOKUP(K1025,[1]!Tablo3[#Data],2,FALSE)</f>
        <v>Tayfun VİÇE</v>
      </c>
    </row>
    <row r="1026" spans="1:27" x14ac:dyDescent="0.25">
      <c r="A1026">
        <v>2334</v>
      </c>
      <c r="B1026" t="s">
        <v>1419</v>
      </c>
      <c r="C1026" t="s">
        <v>1674</v>
      </c>
      <c r="D1026" t="s">
        <v>1717</v>
      </c>
      <c r="F1026" t="s">
        <v>66</v>
      </c>
      <c r="G1026" t="s">
        <v>291</v>
      </c>
      <c r="H1026" t="s">
        <v>4067</v>
      </c>
      <c r="I1026" s="4"/>
      <c r="J1026" t="s">
        <v>4068</v>
      </c>
      <c r="K1026" t="s">
        <v>98</v>
      </c>
      <c r="L1026" s="5"/>
      <c r="M1026" s="5" t="s">
        <v>4028</v>
      </c>
      <c r="N1026" t="s">
        <v>1824</v>
      </c>
      <c r="O1026" t="s">
        <v>4069</v>
      </c>
      <c r="S1026" t="s">
        <v>37</v>
      </c>
      <c r="T1026" s="5" t="s">
        <v>100</v>
      </c>
      <c r="W1026">
        <v>126</v>
      </c>
      <c r="X1026" t="s">
        <v>147</v>
      </c>
      <c r="Y1026" t="str">
        <f>VLOOKUP(C1026,'[1]DBS_KPY Sorumlular'!A:C,2,FALSE)</f>
        <v>Kadir TOPÇU</v>
      </c>
      <c r="Z1026" t="str">
        <f>VLOOKUP(C1026,'[1]DBS_KPY Sorumlular'!A:C,3,FALSE)</f>
        <v>Erkan AKDOĞAN</v>
      </c>
      <c r="AA1026" t="str">
        <f>VLOOKUP(K1026,[1]!Tablo3[#Data],2,FALSE)</f>
        <v>Tayfun VİÇE</v>
      </c>
    </row>
    <row r="1027" spans="1:27" x14ac:dyDescent="0.25">
      <c r="A1027">
        <v>2335</v>
      </c>
      <c r="B1027" t="s">
        <v>1419</v>
      </c>
      <c r="C1027" t="s">
        <v>1674</v>
      </c>
      <c r="D1027" t="s">
        <v>1700</v>
      </c>
      <c r="F1027" t="s">
        <v>95</v>
      </c>
      <c r="G1027" t="s">
        <v>291</v>
      </c>
      <c r="H1027" t="s">
        <v>4070</v>
      </c>
      <c r="I1027" s="4"/>
      <c r="J1027" t="s">
        <v>1996</v>
      </c>
      <c r="K1027" t="s">
        <v>152</v>
      </c>
      <c r="L1027" s="5"/>
      <c r="M1027" s="5" t="s">
        <v>35</v>
      </c>
      <c r="N1027" t="s">
        <v>35</v>
      </c>
      <c r="O1027" t="s">
        <v>4071</v>
      </c>
      <c r="S1027" t="s">
        <v>57</v>
      </c>
      <c r="T1027" s="5" t="s">
        <v>48</v>
      </c>
      <c r="U1027" t="s">
        <v>4072</v>
      </c>
      <c r="V1027" t="s">
        <v>4070</v>
      </c>
      <c r="W1027">
        <v>28</v>
      </c>
      <c r="X1027" t="s">
        <v>667</v>
      </c>
      <c r="Y1027" t="str">
        <f>VLOOKUP(C1027,'[1]DBS_KPY Sorumlular'!A:C,2,FALSE)</f>
        <v>Kadir TOPÇU</v>
      </c>
      <c r="Z1027" t="str">
        <f>VLOOKUP(C1027,'[1]DBS_KPY Sorumlular'!A:C,3,FALSE)</f>
        <v>Erkan AKDOĞAN</v>
      </c>
      <c r="AA1027" t="str">
        <f>VLOOKUP(K1027,[1]!Tablo3[#Data],2,FALSE)</f>
        <v>Erkan AKDOĞAN</v>
      </c>
    </row>
    <row r="1028" spans="1:27" x14ac:dyDescent="0.25">
      <c r="A1028">
        <v>2336</v>
      </c>
      <c r="B1028" t="s">
        <v>1419</v>
      </c>
      <c r="C1028" t="s">
        <v>652</v>
      </c>
      <c r="D1028" t="s">
        <v>653</v>
      </c>
      <c r="F1028" t="s">
        <v>455</v>
      </c>
      <c r="G1028" t="s">
        <v>456</v>
      </c>
      <c r="H1028" t="s">
        <v>4073</v>
      </c>
      <c r="I1028" s="4"/>
      <c r="J1028" t="s">
        <v>4074</v>
      </c>
      <c r="K1028" t="s">
        <v>152</v>
      </c>
      <c r="L1028" s="5"/>
      <c r="M1028" s="5" t="s">
        <v>35</v>
      </c>
      <c r="N1028" t="s">
        <v>1824</v>
      </c>
      <c r="O1028" t="s">
        <v>4075</v>
      </c>
      <c r="S1028" t="s">
        <v>57</v>
      </c>
      <c r="T1028" s="5" t="s">
        <v>100</v>
      </c>
      <c r="W1028">
        <v>144</v>
      </c>
      <c r="X1028" t="s">
        <v>463</v>
      </c>
      <c r="Y1028" t="str">
        <f>VLOOKUP(C1028,'[1]DBS_KPY Sorumlular'!A:C,2,FALSE)</f>
        <v>Seyithan İŞİK</v>
      </c>
      <c r="Z1028" t="str">
        <f>VLOOKUP(C1028,'[1]DBS_KPY Sorumlular'!A:C,3,FALSE)</f>
        <v>Korhan KÖROĞLU</v>
      </c>
      <c r="AA1028" t="str">
        <f>VLOOKUP(K1028,[1]!Tablo3[#Data],2,FALSE)</f>
        <v>Erkan AKDOĞAN</v>
      </c>
    </row>
    <row r="1029" spans="1:27" x14ac:dyDescent="0.25">
      <c r="A1029">
        <v>2337</v>
      </c>
      <c r="B1029" t="s">
        <v>1419</v>
      </c>
      <c r="C1029" t="s">
        <v>652</v>
      </c>
      <c r="D1029" t="s">
        <v>653</v>
      </c>
      <c r="F1029" t="s">
        <v>455</v>
      </c>
      <c r="G1029" t="s">
        <v>456</v>
      </c>
      <c r="H1029" t="s">
        <v>4076</v>
      </c>
      <c r="I1029" s="4"/>
      <c r="J1029" t="s">
        <v>4077</v>
      </c>
      <c r="K1029" t="s">
        <v>152</v>
      </c>
      <c r="L1029" s="5"/>
      <c r="M1029" s="5" t="s">
        <v>35</v>
      </c>
      <c r="N1029" t="s">
        <v>1824</v>
      </c>
      <c r="O1029" t="s">
        <v>4078</v>
      </c>
      <c r="S1029" t="s">
        <v>57</v>
      </c>
      <c r="T1029" s="5" t="s">
        <v>100</v>
      </c>
      <c r="W1029">
        <v>144</v>
      </c>
      <c r="X1029" t="s">
        <v>463</v>
      </c>
      <c r="Y1029" t="str">
        <f>VLOOKUP(C1029,'[1]DBS_KPY Sorumlular'!A:C,2,FALSE)</f>
        <v>Seyithan İŞİK</v>
      </c>
      <c r="Z1029" t="str">
        <f>VLOOKUP(C1029,'[1]DBS_KPY Sorumlular'!A:C,3,FALSE)</f>
        <v>Korhan KÖROĞLU</v>
      </c>
      <c r="AA1029" t="str">
        <f>VLOOKUP(K1029,[1]!Tablo3[#Data],2,FALSE)</f>
        <v>Erkan AKDOĞAN</v>
      </c>
    </row>
    <row r="1030" spans="1:27" x14ac:dyDescent="0.25">
      <c r="A1030">
        <v>2338</v>
      </c>
      <c r="B1030" t="s">
        <v>1419</v>
      </c>
      <c r="C1030" t="s">
        <v>1723</v>
      </c>
      <c r="D1030" t="s">
        <v>1724</v>
      </c>
      <c r="F1030" t="s">
        <v>66</v>
      </c>
      <c r="G1030" t="s">
        <v>67</v>
      </c>
      <c r="H1030" t="s">
        <v>4079</v>
      </c>
      <c r="I1030" s="4"/>
      <c r="J1030" t="s">
        <v>4080</v>
      </c>
      <c r="K1030" t="s">
        <v>309</v>
      </c>
      <c r="L1030" s="5" t="s">
        <v>4081</v>
      </c>
      <c r="M1030" s="5" t="s">
        <v>1836</v>
      </c>
      <c r="N1030" t="s">
        <v>1824</v>
      </c>
      <c r="O1030" t="s">
        <v>4082</v>
      </c>
      <c r="S1030" t="s">
        <v>57</v>
      </c>
      <c r="T1030" s="5" t="s">
        <v>38</v>
      </c>
      <c r="Y1030" t="str">
        <f>VLOOKUP(C1030,'[1]DBS_KPY Sorumlular'!A:C,2,FALSE)</f>
        <v>Erkan AKDOĞAN</v>
      </c>
      <c r="Z1030" t="str">
        <f>VLOOKUP(C1030,'[1]DBS_KPY Sorumlular'!A:C,3,FALSE)</f>
        <v>Kadir TOPÇU</v>
      </c>
      <c r="AA1030" t="str">
        <f>VLOOKUP(K1030,[1]!Tablo3[#Data],2,FALSE)</f>
        <v>Erkan AKDOĞAN</v>
      </c>
    </row>
    <row r="1031" spans="1:27" x14ac:dyDescent="0.25">
      <c r="A1031">
        <v>2339</v>
      </c>
      <c r="B1031" t="s">
        <v>1419</v>
      </c>
      <c r="C1031" t="s">
        <v>1674</v>
      </c>
      <c r="D1031" t="s">
        <v>1675</v>
      </c>
      <c r="F1031" t="s">
        <v>113</v>
      </c>
      <c r="G1031" t="s">
        <v>456</v>
      </c>
      <c r="H1031" t="s">
        <v>4083</v>
      </c>
      <c r="I1031" s="4"/>
      <c r="J1031" t="s">
        <v>4084</v>
      </c>
      <c r="K1031" t="s">
        <v>152</v>
      </c>
      <c r="L1031" s="5"/>
      <c r="M1031" s="5" t="s">
        <v>4028</v>
      </c>
      <c r="N1031" t="s">
        <v>1824</v>
      </c>
      <c r="O1031" t="s">
        <v>4085</v>
      </c>
      <c r="S1031" t="s">
        <v>57</v>
      </c>
      <c r="T1031" s="5" t="s">
        <v>100</v>
      </c>
      <c r="W1031">
        <v>150</v>
      </c>
      <c r="X1031" t="s">
        <v>485</v>
      </c>
      <c r="Y1031" t="str">
        <f>VLOOKUP(C1031,'[1]DBS_KPY Sorumlular'!A:C,2,FALSE)</f>
        <v>Kadir TOPÇU</v>
      </c>
      <c r="Z1031" t="str">
        <f>VLOOKUP(C1031,'[1]DBS_KPY Sorumlular'!A:C,3,FALSE)</f>
        <v>Erkan AKDOĞAN</v>
      </c>
      <c r="AA1031" t="str">
        <f>VLOOKUP(K1031,[1]!Tablo3[#Data],2,FALSE)</f>
        <v>Erkan AKDOĞAN</v>
      </c>
    </row>
    <row r="1032" spans="1:27" x14ac:dyDescent="0.25">
      <c r="A1032">
        <v>2340</v>
      </c>
      <c r="B1032" t="s">
        <v>1419</v>
      </c>
      <c r="C1032" t="s">
        <v>1674</v>
      </c>
      <c r="D1032" t="s">
        <v>1717</v>
      </c>
      <c r="F1032" t="s">
        <v>66</v>
      </c>
      <c r="G1032" t="s">
        <v>291</v>
      </c>
      <c r="H1032" t="s">
        <v>4086</v>
      </c>
      <c r="I1032" s="4"/>
      <c r="J1032" t="s">
        <v>4087</v>
      </c>
      <c r="K1032" t="s">
        <v>152</v>
      </c>
      <c r="L1032" s="5"/>
      <c r="M1032" s="5" t="s">
        <v>4028</v>
      </c>
      <c r="N1032" t="s">
        <v>1824</v>
      </c>
      <c r="O1032" t="s">
        <v>4088</v>
      </c>
      <c r="S1032" t="s">
        <v>57</v>
      </c>
      <c r="T1032" s="5" t="s">
        <v>58</v>
      </c>
      <c r="U1032" t="s">
        <v>4089</v>
      </c>
      <c r="V1032" t="s">
        <v>4090</v>
      </c>
      <c r="W1032">
        <v>30</v>
      </c>
      <c r="X1032" t="s">
        <v>327</v>
      </c>
      <c r="Y1032" t="str">
        <f>VLOOKUP(C1032,'[1]DBS_KPY Sorumlular'!A:C,2,FALSE)</f>
        <v>Kadir TOPÇU</v>
      </c>
      <c r="Z1032" t="str">
        <f>VLOOKUP(C1032,'[1]DBS_KPY Sorumlular'!A:C,3,FALSE)</f>
        <v>Erkan AKDOĞAN</v>
      </c>
      <c r="AA1032" t="str">
        <f>VLOOKUP(K1032,[1]!Tablo3[#Data],2,FALSE)</f>
        <v>Erkan AKDOĞAN</v>
      </c>
    </row>
    <row r="1033" spans="1:27" x14ac:dyDescent="0.25">
      <c r="A1033">
        <v>2341</v>
      </c>
      <c r="B1033" t="s">
        <v>1419</v>
      </c>
      <c r="C1033" t="s">
        <v>288</v>
      </c>
      <c r="D1033" t="s">
        <v>4091</v>
      </c>
      <c r="F1033" t="s">
        <v>66</v>
      </c>
      <c r="G1033" t="s">
        <v>291</v>
      </c>
      <c r="H1033" t="s">
        <v>4092</v>
      </c>
      <c r="I1033" s="4"/>
      <c r="J1033" t="s">
        <v>4093</v>
      </c>
      <c r="K1033" t="s">
        <v>152</v>
      </c>
      <c r="L1033" s="5"/>
      <c r="M1033" s="5" t="s">
        <v>4028</v>
      </c>
      <c r="N1033" t="s">
        <v>1824</v>
      </c>
      <c r="O1033" t="s">
        <v>4094</v>
      </c>
      <c r="S1033" t="s">
        <v>57</v>
      </c>
      <c r="T1033" s="5" t="s">
        <v>38</v>
      </c>
      <c r="W1033">
        <v>94</v>
      </c>
      <c r="X1033" t="s">
        <v>1707</v>
      </c>
      <c r="Y1033" t="str">
        <f>VLOOKUP(C1033,'[1]DBS_KPY Sorumlular'!A:C,2,FALSE)</f>
        <v>Sinan ERDAŞ</v>
      </c>
      <c r="Z1033" t="str">
        <f>VLOOKUP(C1033,'[1]DBS_KPY Sorumlular'!A:C,3,FALSE)</f>
        <v>Ayşegül AKGÜL</v>
      </c>
      <c r="AA1033" t="str">
        <f>VLOOKUP(K1033,[1]!Tablo3[#Data],2,FALSE)</f>
        <v>Erkan AKDOĞAN</v>
      </c>
    </row>
    <row r="1034" spans="1:27" x14ac:dyDescent="0.25">
      <c r="A1034">
        <v>2342</v>
      </c>
      <c r="B1034" t="s">
        <v>1419</v>
      </c>
      <c r="C1034" t="s">
        <v>1674</v>
      </c>
      <c r="D1034" t="s">
        <v>1675</v>
      </c>
      <c r="F1034" t="s">
        <v>66</v>
      </c>
      <c r="G1034" t="s">
        <v>67</v>
      </c>
      <c r="H1034" t="s">
        <v>4095</v>
      </c>
      <c r="I1034" s="4"/>
      <c r="J1034" t="s">
        <v>4096</v>
      </c>
      <c r="K1034" t="s">
        <v>181</v>
      </c>
      <c r="L1034" s="5"/>
      <c r="M1034" s="5" t="s">
        <v>35</v>
      </c>
      <c r="N1034" t="s">
        <v>35</v>
      </c>
      <c r="O1034" t="s">
        <v>4097</v>
      </c>
      <c r="S1034" t="s">
        <v>57</v>
      </c>
      <c r="T1034" s="5" t="s">
        <v>48</v>
      </c>
      <c r="U1034" t="s">
        <v>4098</v>
      </c>
      <c r="V1034" t="s">
        <v>4095</v>
      </c>
      <c r="W1034">
        <v>202</v>
      </c>
      <c r="X1034" t="s">
        <v>1045</v>
      </c>
      <c r="Y1034" t="str">
        <f>VLOOKUP(C1034,'[1]DBS_KPY Sorumlular'!A:C,2,FALSE)</f>
        <v>Kadir TOPÇU</v>
      </c>
      <c r="Z1034" t="str">
        <f>VLOOKUP(C1034,'[1]DBS_KPY Sorumlular'!A:C,3,FALSE)</f>
        <v>Erkan AKDOĞAN</v>
      </c>
      <c r="AA1034" t="str">
        <f>VLOOKUP(K1034,[1]!Tablo3[#Data],2,FALSE)</f>
        <v>Erkan AKDOĞAN</v>
      </c>
    </row>
    <row r="1035" spans="1:27" x14ac:dyDescent="0.25">
      <c r="A1035">
        <v>2343</v>
      </c>
      <c r="B1035" t="s">
        <v>1419</v>
      </c>
      <c r="C1035" t="s">
        <v>1723</v>
      </c>
      <c r="D1035" t="s">
        <v>1751</v>
      </c>
      <c r="F1035" t="s">
        <v>66</v>
      </c>
      <c r="G1035" t="s">
        <v>67</v>
      </c>
      <c r="H1035" t="s">
        <v>4099</v>
      </c>
      <c r="I1035" s="4"/>
      <c r="J1035" t="s">
        <v>4100</v>
      </c>
      <c r="K1035" t="s">
        <v>181</v>
      </c>
      <c r="L1035" s="5" t="s">
        <v>4101</v>
      </c>
      <c r="M1035" s="5" t="s">
        <v>35</v>
      </c>
      <c r="N1035" t="s">
        <v>1824</v>
      </c>
      <c r="O1035" t="s">
        <v>4102</v>
      </c>
      <c r="S1035" t="s">
        <v>57</v>
      </c>
      <c r="T1035" s="5" t="s">
        <v>38</v>
      </c>
      <c r="Y1035" t="str">
        <f>VLOOKUP(C1035,'[1]DBS_KPY Sorumlular'!A:C,2,FALSE)</f>
        <v>Erkan AKDOĞAN</v>
      </c>
      <c r="Z1035" t="str">
        <f>VLOOKUP(C1035,'[1]DBS_KPY Sorumlular'!A:C,3,FALSE)</f>
        <v>Kadir TOPÇU</v>
      </c>
      <c r="AA1035" t="str">
        <f>VLOOKUP(K1035,[1]!Tablo3[#Data],2,FALSE)</f>
        <v>Erkan AKDOĞAN</v>
      </c>
    </row>
    <row r="1036" spans="1:27" x14ac:dyDescent="0.25">
      <c r="A1036">
        <v>2344</v>
      </c>
      <c r="B1036" t="s">
        <v>1419</v>
      </c>
      <c r="C1036" t="s">
        <v>1723</v>
      </c>
      <c r="D1036" t="s">
        <v>1724</v>
      </c>
      <c r="F1036" t="s">
        <v>184</v>
      </c>
      <c r="G1036" t="s">
        <v>456</v>
      </c>
      <c r="H1036" t="s">
        <v>4103</v>
      </c>
      <c r="I1036" s="4"/>
      <c r="J1036" t="s">
        <v>4104</v>
      </c>
      <c r="K1036" t="s">
        <v>181</v>
      </c>
      <c r="L1036" s="5" t="s">
        <v>4105</v>
      </c>
      <c r="M1036" s="5" t="s">
        <v>35</v>
      </c>
      <c r="N1036" t="s">
        <v>1824</v>
      </c>
      <c r="O1036" t="s">
        <v>4106</v>
      </c>
      <c r="S1036" t="s">
        <v>57</v>
      </c>
      <c r="T1036" s="5" t="s">
        <v>38</v>
      </c>
      <c r="Y1036" t="str">
        <f>VLOOKUP(C1036,'[1]DBS_KPY Sorumlular'!A:C,2,FALSE)</f>
        <v>Erkan AKDOĞAN</v>
      </c>
      <c r="Z1036" t="str">
        <f>VLOOKUP(C1036,'[1]DBS_KPY Sorumlular'!A:C,3,FALSE)</f>
        <v>Kadir TOPÇU</v>
      </c>
      <c r="AA1036" t="str">
        <f>VLOOKUP(K1036,[1]!Tablo3[#Data],2,FALSE)</f>
        <v>Erkan AKDOĞAN</v>
      </c>
    </row>
    <row r="1037" spans="1:27" x14ac:dyDescent="0.25">
      <c r="A1037">
        <v>2345</v>
      </c>
      <c r="B1037" t="s">
        <v>1419</v>
      </c>
      <c r="C1037" t="s">
        <v>1723</v>
      </c>
      <c r="D1037" t="s">
        <v>2478</v>
      </c>
      <c r="F1037" t="s">
        <v>66</v>
      </c>
      <c r="G1037" t="s">
        <v>96</v>
      </c>
      <c r="H1037" t="s">
        <v>4107</v>
      </c>
      <c r="I1037" s="4"/>
      <c r="J1037" t="s">
        <v>4108</v>
      </c>
      <c r="K1037" t="s">
        <v>181</v>
      </c>
      <c r="L1037" s="5" t="s">
        <v>4109</v>
      </c>
      <c r="M1037" s="5" t="s">
        <v>4028</v>
      </c>
      <c r="N1037" t="s">
        <v>1824</v>
      </c>
      <c r="O1037" t="s">
        <v>4110</v>
      </c>
      <c r="S1037" t="s">
        <v>57</v>
      </c>
      <c r="T1037" s="5" t="s">
        <v>38</v>
      </c>
      <c r="Y1037" t="str">
        <f>VLOOKUP(C1037,'[1]DBS_KPY Sorumlular'!A:C,2,FALSE)</f>
        <v>Erkan AKDOĞAN</v>
      </c>
      <c r="Z1037" t="str">
        <f>VLOOKUP(C1037,'[1]DBS_KPY Sorumlular'!A:C,3,FALSE)</f>
        <v>Kadir TOPÇU</v>
      </c>
      <c r="AA1037" t="str">
        <f>VLOOKUP(K1037,[1]!Tablo3[#Data],2,FALSE)</f>
        <v>Erkan AKDOĞAN</v>
      </c>
    </row>
    <row r="1038" spans="1:27" x14ac:dyDescent="0.25">
      <c r="A1038">
        <v>2346</v>
      </c>
      <c r="B1038" t="s">
        <v>1419</v>
      </c>
      <c r="C1038" t="s">
        <v>1723</v>
      </c>
      <c r="D1038" t="s">
        <v>2478</v>
      </c>
      <c r="F1038" t="s">
        <v>66</v>
      </c>
      <c r="G1038" t="s">
        <v>96</v>
      </c>
      <c r="H1038" t="s">
        <v>4111</v>
      </c>
      <c r="I1038" s="4"/>
      <c r="J1038" t="s">
        <v>4112</v>
      </c>
      <c r="K1038" t="s">
        <v>181</v>
      </c>
      <c r="L1038" s="5" t="s">
        <v>4113</v>
      </c>
      <c r="M1038" s="5" t="s">
        <v>4114</v>
      </c>
      <c r="N1038" t="s">
        <v>1824</v>
      </c>
      <c r="O1038" t="s">
        <v>4115</v>
      </c>
      <c r="S1038" t="s">
        <v>57</v>
      </c>
      <c r="T1038" s="5" t="s">
        <v>38</v>
      </c>
      <c r="Y1038" t="str">
        <f>VLOOKUP(C1038,'[1]DBS_KPY Sorumlular'!A:C,2,FALSE)</f>
        <v>Erkan AKDOĞAN</v>
      </c>
      <c r="Z1038" t="str">
        <f>VLOOKUP(C1038,'[1]DBS_KPY Sorumlular'!A:C,3,FALSE)</f>
        <v>Kadir TOPÇU</v>
      </c>
      <c r="AA1038" t="str">
        <f>VLOOKUP(K1038,[1]!Tablo3[#Data],2,FALSE)</f>
        <v>Erkan AKDOĞAN</v>
      </c>
    </row>
    <row r="1039" spans="1:27" x14ac:dyDescent="0.25">
      <c r="A1039">
        <v>2347</v>
      </c>
      <c r="B1039" t="s">
        <v>1419</v>
      </c>
      <c r="C1039" t="s">
        <v>73</v>
      </c>
      <c r="D1039" t="s">
        <v>73</v>
      </c>
      <c r="F1039" t="s">
        <v>66</v>
      </c>
      <c r="G1039" t="s">
        <v>30</v>
      </c>
      <c r="H1039" t="s">
        <v>4116</v>
      </c>
      <c r="I1039" s="4"/>
      <c r="J1039" t="s">
        <v>4117</v>
      </c>
      <c r="K1039" t="s">
        <v>181</v>
      </c>
      <c r="L1039" s="5"/>
      <c r="M1039" s="5" t="s">
        <v>35</v>
      </c>
      <c r="N1039" t="s">
        <v>1824</v>
      </c>
      <c r="O1039" t="s">
        <v>4118</v>
      </c>
      <c r="S1039" t="s">
        <v>57</v>
      </c>
      <c r="T1039" s="5" t="s">
        <v>38</v>
      </c>
      <c r="Y1039" t="str">
        <f>VLOOKUP(C1039,'[1]DBS_KPY Sorumlular'!A:C,2,FALSE)</f>
        <v>Ayşegül AKGÜL</v>
      </c>
      <c r="Z1039" t="str">
        <f>VLOOKUP(C1039,'[1]DBS_KPY Sorumlular'!A:C,3,FALSE)</f>
        <v>Sinan ERDAŞ</v>
      </c>
      <c r="AA1039" t="str">
        <f>VLOOKUP(K1039,[1]!Tablo3[#Data],2,FALSE)</f>
        <v>Erkan AKDOĞAN</v>
      </c>
    </row>
    <row r="1040" spans="1:27" x14ac:dyDescent="0.25">
      <c r="A1040">
        <v>2348</v>
      </c>
      <c r="B1040" t="s">
        <v>1419</v>
      </c>
      <c r="C1040" t="s">
        <v>73</v>
      </c>
      <c r="D1040" t="s">
        <v>73</v>
      </c>
      <c r="F1040" t="s">
        <v>66</v>
      </c>
      <c r="G1040" t="s">
        <v>30</v>
      </c>
      <c r="H1040" t="s">
        <v>4119</v>
      </c>
      <c r="I1040" s="4"/>
      <c r="J1040" t="s">
        <v>4120</v>
      </c>
      <c r="K1040" t="s">
        <v>181</v>
      </c>
      <c r="L1040" s="5"/>
      <c r="M1040" s="5" t="s">
        <v>35</v>
      </c>
      <c r="N1040" t="s">
        <v>1824</v>
      </c>
      <c r="O1040" t="s">
        <v>4121</v>
      </c>
      <c r="S1040" t="s">
        <v>57</v>
      </c>
      <c r="T1040" s="5" t="s">
        <v>38</v>
      </c>
      <c r="Y1040" t="str">
        <f>VLOOKUP(C1040,'[1]DBS_KPY Sorumlular'!A:C,2,FALSE)</f>
        <v>Ayşegül AKGÜL</v>
      </c>
      <c r="Z1040" t="str">
        <f>VLOOKUP(C1040,'[1]DBS_KPY Sorumlular'!A:C,3,FALSE)</f>
        <v>Sinan ERDAŞ</v>
      </c>
      <c r="AA1040" t="str">
        <f>VLOOKUP(K1040,[1]!Tablo3[#Data],2,FALSE)</f>
        <v>Erkan AKDOĞAN</v>
      </c>
    </row>
    <row r="1041" spans="1:27" x14ac:dyDescent="0.25">
      <c r="A1041">
        <v>2349</v>
      </c>
      <c r="B1041" t="s">
        <v>1419</v>
      </c>
      <c r="C1041" t="s">
        <v>1674</v>
      </c>
      <c r="D1041" t="s">
        <v>1675</v>
      </c>
      <c r="F1041" t="s">
        <v>184</v>
      </c>
      <c r="G1041" t="s">
        <v>43</v>
      </c>
      <c r="H1041" t="s">
        <v>4122</v>
      </c>
      <c r="I1041" s="4"/>
      <c r="J1041" t="s">
        <v>4123</v>
      </c>
      <c r="K1041" t="s">
        <v>181</v>
      </c>
      <c r="L1041" s="5"/>
      <c r="M1041" s="5" t="s">
        <v>35</v>
      </c>
      <c r="N1041" t="s">
        <v>1824</v>
      </c>
      <c r="O1041" t="s">
        <v>4124</v>
      </c>
      <c r="S1041" t="s">
        <v>57</v>
      </c>
      <c r="T1041" s="5" t="s">
        <v>100</v>
      </c>
      <c r="W1041">
        <v>86</v>
      </c>
      <c r="X1041" t="s">
        <v>189</v>
      </c>
      <c r="Y1041" t="str">
        <f>VLOOKUP(C1041,'[1]DBS_KPY Sorumlular'!A:C,2,FALSE)</f>
        <v>Kadir TOPÇU</v>
      </c>
      <c r="Z1041" t="str">
        <f>VLOOKUP(C1041,'[1]DBS_KPY Sorumlular'!A:C,3,FALSE)</f>
        <v>Erkan AKDOĞAN</v>
      </c>
      <c r="AA1041" t="str">
        <f>VLOOKUP(K1041,[1]!Tablo3[#Data],2,FALSE)</f>
        <v>Erkan AKDOĞAN</v>
      </c>
    </row>
    <row r="1042" spans="1:27" x14ac:dyDescent="0.25">
      <c r="A1042">
        <v>2350</v>
      </c>
      <c r="B1042" t="s">
        <v>1419</v>
      </c>
      <c r="C1042" t="s">
        <v>1674</v>
      </c>
      <c r="D1042" t="s">
        <v>1717</v>
      </c>
      <c r="F1042" t="s">
        <v>184</v>
      </c>
      <c r="G1042" t="s">
        <v>43</v>
      </c>
      <c r="H1042" t="s">
        <v>4125</v>
      </c>
      <c r="I1042" s="4"/>
      <c r="J1042" t="s">
        <v>4126</v>
      </c>
      <c r="K1042" t="s">
        <v>181</v>
      </c>
      <c r="L1042" s="5"/>
      <c r="M1042" s="5" t="s">
        <v>35</v>
      </c>
      <c r="N1042" t="s">
        <v>1824</v>
      </c>
      <c r="O1042" t="s">
        <v>4127</v>
      </c>
      <c r="S1042" t="s">
        <v>57</v>
      </c>
      <c r="T1042" s="5" t="s">
        <v>100</v>
      </c>
      <c r="W1042">
        <v>86</v>
      </c>
      <c r="X1042" t="s">
        <v>189</v>
      </c>
      <c r="Y1042" t="str">
        <f>VLOOKUP(C1042,'[1]DBS_KPY Sorumlular'!A:C,2,FALSE)</f>
        <v>Kadir TOPÇU</v>
      </c>
      <c r="Z1042" t="str">
        <f>VLOOKUP(C1042,'[1]DBS_KPY Sorumlular'!A:C,3,FALSE)</f>
        <v>Erkan AKDOĞAN</v>
      </c>
      <c r="AA1042" t="str">
        <f>VLOOKUP(K1042,[1]!Tablo3[#Data],2,FALSE)</f>
        <v>Erkan AKDOĞAN</v>
      </c>
    </row>
    <row r="1043" spans="1:27" x14ac:dyDescent="0.25">
      <c r="A1043">
        <v>2351</v>
      </c>
      <c r="B1043" t="s">
        <v>1419</v>
      </c>
      <c r="C1043" t="s">
        <v>1674</v>
      </c>
      <c r="D1043" t="s">
        <v>1675</v>
      </c>
      <c r="F1043" t="s">
        <v>306</v>
      </c>
      <c r="G1043" t="s">
        <v>96</v>
      </c>
      <c r="H1043" t="s">
        <v>4128</v>
      </c>
      <c r="I1043" s="4"/>
      <c r="J1043" t="s">
        <v>4129</v>
      </c>
      <c r="K1043" t="s">
        <v>181</v>
      </c>
      <c r="L1043" s="5"/>
      <c r="M1043" s="5" t="s">
        <v>35</v>
      </c>
      <c r="N1043" t="s">
        <v>1824</v>
      </c>
      <c r="O1043" t="s">
        <v>4130</v>
      </c>
      <c r="S1043" t="s">
        <v>57</v>
      </c>
      <c r="T1043" s="5" t="s">
        <v>100</v>
      </c>
      <c r="W1043">
        <v>28</v>
      </c>
      <c r="X1043" t="s">
        <v>667</v>
      </c>
      <c r="Y1043" t="str">
        <f>VLOOKUP(C1043,'[1]DBS_KPY Sorumlular'!A:C,2,FALSE)</f>
        <v>Kadir TOPÇU</v>
      </c>
      <c r="Z1043" t="str">
        <f>VLOOKUP(C1043,'[1]DBS_KPY Sorumlular'!A:C,3,FALSE)</f>
        <v>Erkan AKDOĞAN</v>
      </c>
      <c r="AA1043" t="str">
        <f>VLOOKUP(K1043,[1]!Tablo3[#Data],2,FALSE)</f>
        <v>Erkan AKDOĞAN</v>
      </c>
    </row>
    <row r="1044" spans="1:27" x14ac:dyDescent="0.25">
      <c r="A1044">
        <v>2352</v>
      </c>
      <c r="B1044" t="s">
        <v>1419</v>
      </c>
      <c r="C1044" t="s">
        <v>1674</v>
      </c>
      <c r="D1044" t="s">
        <v>1675</v>
      </c>
      <c r="F1044" t="s">
        <v>184</v>
      </c>
      <c r="G1044" t="s">
        <v>43</v>
      </c>
      <c r="H1044" t="s">
        <v>4131</v>
      </c>
      <c r="I1044" s="4"/>
      <c r="J1044" t="s">
        <v>4132</v>
      </c>
      <c r="K1044" t="s">
        <v>181</v>
      </c>
      <c r="L1044" s="5" t="s">
        <v>4133</v>
      </c>
      <c r="M1044" s="5"/>
      <c r="N1044" t="s">
        <v>739</v>
      </c>
      <c r="O1044" t="s">
        <v>4134</v>
      </c>
      <c r="S1044" t="s">
        <v>57</v>
      </c>
      <c r="T1044" s="5" t="s">
        <v>48</v>
      </c>
      <c r="U1044" t="s">
        <v>4135</v>
      </c>
      <c r="V1044" t="s">
        <v>4136</v>
      </c>
      <c r="W1044">
        <v>86</v>
      </c>
      <c r="X1044" t="s">
        <v>189</v>
      </c>
      <c r="Y1044" t="str">
        <f>VLOOKUP(C1044,'[1]DBS_KPY Sorumlular'!A:C,2,FALSE)</f>
        <v>Kadir TOPÇU</v>
      </c>
      <c r="Z1044" t="str">
        <f>VLOOKUP(C1044,'[1]DBS_KPY Sorumlular'!A:C,3,FALSE)</f>
        <v>Erkan AKDOĞAN</v>
      </c>
      <c r="AA1044" t="str">
        <f>VLOOKUP(K1044,[1]!Tablo3[#Data],2,FALSE)</f>
        <v>Erkan AKDOĞAN</v>
      </c>
    </row>
    <row r="1045" spans="1:27" x14ac:dyDescent="0.25">
      <c r="A1045">
        <v>2353</v>
      </c>
      <c r="B1045" t="s">
        <v>1419</v>
      </c>
      <c r="C1045" t="s">
        <v>1674</v>
      </c>
      <c r="D1045" t="s">
        <v>1717</v>
      </c>
      <c r="F1045" t="s">
        <v>113</v>
      </c>
      <c r="G1045" t="s">
        <v>43</v>
      </c>
      <c r="H1045" t="s">
        <v>4137</v>
      </c>
      <c r="I1045" s="4"/>
      <c r="J1045" t="s">
        <v>4138</v>
      </c>
      <c r="K1045" t="s">
        <v>181</v>
      </c>
      <c r="L1045" s="5"/>
      <c r="M1045" s="5" t="s">
        <v>4028</v>
      </c>
      <c r="N1045" t="s">
        <v>1824</v>
      </c>
      <c r="O1045" t="s">
        <v>4139</v>
      </c>
      <c r="S1045" t="s">
        <v>57</v>
      </c>
      <c r="T1045" s="5" t="s">
        <v>58</v>
      </c>
      <c r="U1045" t="s">
        <v>4140</v>
      </c>
      <c r="V1045" t="s">
        <v>4141</v>
      </c>
      <c r="W1045">
        <v>87</v>
      </c>
      <c r="X1045" t="s">
        <v>119</v>
      </c>
      <c r="Y1045" t="str">
        <f>VLOOKUP(C1045,'[1]DBS_KPY Sorumlular'!A:C,2,FALSE)</f>
        <v>Kadir TOPÇU</v>
      </c>
      <c r="Z1045" t="str">
        <f>VLOOKUP(C1045,'[1]DBS_KPY Sorumlular'!A:C,3,FALSE)</f>
        <v>Erkan AKDOĞAN</v>
      </c>
      <c r="AA1045" t="str">
        <f>VLOOKUP(K1045,[1]!Tablo3[#Data],2,FALSE)</f>
        <v>Erkan AKDOĞAN</v>
      </c>
    </row>
    <row r="1046" spans="1:27" x14ac:dyDescent="0.25">
      <c r="A1046">
        <v>2354</v>
      </c>
      <c r="B1046" t="s">
        <v>27</v>
      </c>
      <c r="C1046" t="s">
        <v>40</v>
      </c>
      <c r="D1046" t="s">
        <v>41</v>
      </c>
      <c r="F1046" t="s">
        <v>184</v>
      </c>
      <c r="G1046" t="s">
        <v>43</v>
      </c>
      <c r="H1046" t="s">
        <v>4142</v>
      </c>
      <c r="I1046" s="4"/>
      <c r="J1046" t="s">
        <v>4143</v>
      </c>
      <c r="K1046" t="s">
        <v>181</v>
      </c>
      <c r="L1046" s="5" t="s">
        <v>4144</v>
      </c>
      <c r="M1046" s="5" t="s">
        <v>4028</v>
      </c>
      <c r="N1046" t="s">
        <v>739</v>
      </c>
      <c r="O1046" t="s">
        <v>4145</v>
      </c>
      <c r="S1046" t="s">
        <v>57</v>
      </c>
      <c r="T1046" s="5" t="s">
        <v>48</v>
      </c>
      <c r="U1046" t="s">
        <v>4146</v>
      </c>
      <c r="V1046" t="s">
        <v>4147</v>
      </c>
      <c r="W1046">
        <v>86</v>
      </c>
      <c r="X1046" t="s">
        <v>189</v>
      </c>
      <c r="Y1046" t="str">
        <f>VLOOKUP(C1046,'[1]DBS_KPY Sorumlular'!A:C,2,FALSE)</f>
        <v>Mustafa AYDIN</v>
      </c>
      <c r="Z1046" t="str">
        <f>VLOOKUP(C1046,'[1]DBS_KPY Sorumlular'!A:C,3,FALSE)</f>
        <v>Esra DOLAN</v>
      </c>
      <c r="AA1046" t="str">
        <f>VLOOKUP(K1046,[1]!Tablo3[#Data],2,FALSE)</f>
        <v>Erkan AKDOĞAN</v>
      </c>
    </row>
    <row r="1047" spans="1:27" x14ac:dyDescent="0.25">
      <c r="A1047">
        <v>2355</v>
      </c>
      <c r="B1047" t="s">
        <v>1419</v>
      </c>
      <c r="C1047" t="s">
        <v>1674</v>
      </c>
      <c r="D1047" t="s">
        <v>1675</v>
      </c>
      <c r="F1047" t="s">
        <v>184</v>
      </c>
      <c r="G1047" t="s">
        <v>43</v>
      </c>
      <c r="H1047" t="s">
        <v>4148</v>
      </c>
      <c r="I1047" s="4"/>
      <c r="J1047" t="s">
        <v>4149</v>
      </c>
      <c r="K1047" t="s">
        <v>181</v>
      </c>
      <c r="L1047" s="5"/>
      <c r="M1047" s="5" t="s">
        <v>4028</v>
      </c>
      <c r="N1047" t="s">
        <v>1824</v>
      </c>
      <c r="O1047" t="s">
        <v>4150</v>
      </c>
      <c r="S1047" t="s">
        <v>57</v>
      </c>
      <c r="T1047" s="5" t="s">
        <v>100</v>
      </c>
      <c r="W1047">
        <v>86</v>
      </c>
      <c r="X1047" t="s">
        <v>189</v>
      </c>
      <c r="Y1047" t="str">
        <f>VLOOKUP(C1047,'[1]DBS_KPY Sorumlular'!A:C,2,FALSE)</f>
        <v>Kadir TOPÇU</v>
      </c>
      <c r="Z1047" t="str">
        <f>VLOOKUP(C1047,'[1]DBS_KPY Sorumlular'!A:C,3,FALSE)</f>
        <v>Erkan AKDOĞAN</v>
      </c>
      <c r="AA1047" t="str">
        <f>VLOOKUP(K1047,[1]!Tablo3[#Data],2,FALSE)</f>
        <v>Erkan AKDOĞAN</v>
      </c>
    </row>
    <row r="1048" spans="1:27" x14ac:dyDescent="0.25">
      <c r="A1048">
        <v>2356</v>
      </c>
      <c r="B1048" t="s">
        <v>1419</v>
      </c>
      <c r="C1048" t="s">
        <v>1674</v>
      </c>
      <c r="D1048" t="s">
        <v>1717</v>
      </c>
      <c r="F1048" t="s">
        <v>184</v>
      </c>
      <c r="G1048" t="s">
        <v>43</v>
      </c>
      <c r="H1048" t="s">
        <v>4151</v>
      </c>
      <c r="I1048" s="4"/>
      <c r="J1048" t="s">
        <v>4152</v>
      </c>
      <c r="K1048" t="s">
        <v>181</v>
      </c>
      <c r="L1048" s="5" t="s">
        <v>4153</v>
      </c>
      <c r="M1048" s="5" t="s">
        <v>4028</v>
      </c>
      <c r="N1048" t="s">
        <v>739</v>
      </c>
      <c r="O1048" t="s">
        <v>4154</v>
      </c>
      <c r="S1048" t="s">
        <v>57</v>
      </c>
      <c r="T1048" s="5" t="s">
        <v>100</v>
      </c>
      <c r="W1048">
        <v>86</v>
      </c>
      <c r="X1048" t="s">
        <v>189</v>
      </c>
      <c r="Y1048" t="str">
        <f>VLOOKUP(C1048,'[1]DBS_KPY Sorumlular'!A:C,2,FALSE)</f>
        <v>Kadir TOPÇU</v>
      </c>
      <c r="Z1048" t="str">
        <f>VLOOKUP(C1048,'[1]DBS_KPY Sorumlular'!A:C,3,FALSE)</f>
        <v>Erkan AKDOĞAN</v>
      </c>
      <c r="AA1048" t="str">
        <f>VLOOKUP(K1048,[1]!Tablo3[#Data],2,FALSE)</f>
        <v>Erkan AKDOĞAN</v>
      </c>
    </row>
    <row r="1049" spans="1:27" x14ac:dyDescent="0.25">
      <c r="A1049">
        <v>2357</v>
      </c>
      <c r="B1049" t="s">
        <v>1419</v>
      </c>
      <c r="C1049" t="s">
        <v>137</v>
      </c>
      <c r="D1049" t="s">
        <v>4030</v>
      </c>
      <c r="E1049" t="s">
        <v>4030</v>
      </c>
      <c r="F1049" t="s">
        <v>2543</v>
      </c>
      <c r="G1049" t="s">
        <v>96</v>
      </c>
      <c r="H1049" t="s">
        <v>4155</v>
      </c>
      <c r="I1049" s="4"/>
      <c r="J1049" t="s">
        <v>4156</v>
      </c>
      <c r="K1049" t="s">
        <v>181</v>
      </c>
      <c r="L1049" s="5"/>
      <c r="M1049" s="5" t="s">
        <v>4028</v>
      </c>
      <c r="N1049" t="s">
        <v>1824</v>
      </c>
      <c r="O1049" t="s">
        <v>4157</v>
      </c>
      <c r="S1049" t="s">
        <v>57</v>
      </c>
      <c r="T1049" s="5" t="s">
        <v>38</v>
      </c>
      <c r="W1049">
        <v>126</v>
      </c>
      <c r="X1049" t="s">
        <v>147</v>
      </c>
      <c r="Y1049" t="str">
        <f>VLOOKUP(C1049,'[1]DBS_KPY Sorumlular'!A:C,2,FALSE)</f>
        <v>Erkan AKDOĞAN</v>
      </c>
      <c r="Z1049" t="str">
        <f>VLOOKUP(C1049,'[1]DBS_KPY Sorumlular'!A:C,3,FALSE)</f>
        <v>Kadir TOPÇU</v>
      </c>
      <c r="AA1049" t="str">
        <f>VLOOKUP(K1049,[1]!Tablo3[#Data],2,FALSE)</f>
        <v>Erkan AKDOĞAN</v>
      </c>
    </row>
    <row r="1050" spans="1:27" x14ac:dyDescent="0.25">
      <c r="A1050">
        <v>2358</v>
      </c>
      <c r="B1050" t="s">
        <v>1419</v>
      </c>
      <c r="C1050" t="s">
        <v>1674</v>
      </c>
      <c r="D1050" t="s">
        <v>1675</v>
      </c>
      <c r="F1050" t="s">
        <v>184</v>
      </c>
      <c r="G1050" t="s">
        <v>43</v>
      </c>
      <c r="H1050" t="s">
        <v>4158</v>
      </c>
      <c r="I1050" s="4"/>
      <c r="J1050" t="s">
        <v>4159</v>
      </c>
      <c r="K1050" t="s">
        <v>232</v>
      </c>
      <c r="L1050" s="5" t="s">
        <v>4160</v>
      </c>
      <c r="M1050" s="5" t="s">
        <v>35</v>
      </c>
      <c r="N1050" t="s">
        <v>739</v>
      </c>
      <c r="O1050" t="s">
        <v>3946</v>
      </c>
      <c r="S1050" t="s">
        <v>57</v>
      </c>
      <c r="T1050" s="5" t="s">
        <v>100</v>
      </c>
      <c r="W1050">
        <v>86</v>
      </c>
      <c r="X1050" t="s">
        <v>189</v>
      </c>
      <c r="Y1050" t="str">
        <f>VLOOKUP(C1050,'[1]DBS_KPY Sorumlular'!A:C,2,FALSE)</f>
        <v>Kadir TOPÇU</v>
      </c>
      <c r="Z1050" t="str">
        <f>VLOOKUP(C1050,'[1]DBS_KPY Sorumlular'!A:C,3,FALSE)</f>
        <v>Erkan AKDOĞAN</v>
      </c>
      <c r="AA1050" t="str">
        <f>VLOOKUP(K1050,[1]!Tablo3[#Data],2,FALSE)</f>
        <v>Erkan AKDOĞAN</v>
      </c>
    </row>
    <row r="1051" spans="1:27" x14ac:dyDescent="0.25">
      <c r="A1051">
        <v>2359</v>
      </c>
      <c r="B1051" t="s">
        <v>1419</v>
      </c>
      <c r="C1051" t="s">
        <v>1723</v>
      </c>
      <c r="D1051" t="s">
        <v>1751</v>
      </c>
      <c r="F1051" t="s">
        <v>66</v>
      </c>
      <c r="G1051" t="s">
        <v>96</v>
      </c>
      <c r="H1051" t="s">
        <v>4161</v>
      </c>
      <c r="I1051" s="4"/>
      <c r="J1051" t="s">
        <v>4162</v>
      </c>
      <c r="K1051" t="s">
        <v>232</v>
      </c>
      <c r="L1051" s="5" t="s">
        <v>4163</v>
      </c>
      <c r="M1051" s="5" t="s">
        <v>4164</v>
      </c>
      <c r="N1051" t="s">
        <v>1824</v>
      </c>
      <c r="O1051" t="s">
        <v>4165</v>
      </c>
      <c r="S1051" t="s">
        <v>57</v>
      </c>
      <c r="T1051" s="5" t="s">
        <v>38</v>
      </c>
      <c r="Y1051" t="str">
        <f>VLOOKUP(C1051,'[1]DBS_KPY Sorumlular'!A:C,2,FALSE)</f>
        <v>Erkan AKDOĞAN</v>
      </c>
      <c r="Z1051" t="str">
        <f>VLOOKUP(C1051,'[1]DBS_KPY Sorumlular'!A:C,3,FALSE)</f>
        <v>Kadir TOPÇU</v>
      </c>
      <c r="AA1051" t="str">
        <f>VLOOKUP(K1051,[1]!Tablo3[#Data],2,FALSE)</f>
        <v>Erkan AKDOĞAN</v>
      </c>
    </row>
    <row r="1052" spans="1:27" x14ac:dyDescent="0.25">
      <c r="A1052">
        <v>2360</v>
      </c>
      <c r="B1052" t="s">
        <v>1419</v>
      </c>
      <c r="C1052" t="s">
        <v>1723</v>
      </c>
      <c r="D1052" t="s">
        <v>1724</v>
      </c>
      <c r="F1052" t="s">
        <v>184</v>
      </c>
      <c r="G1052" t="s">
        <v>43</v>
      </c>
      <c r="H1052" t="s">
        <v>4166</v>
      </c>
      <c r="I1052" s="4"/>
      <c r="J1052" t="s">
        <v>4020</v>
      </c>
      <c r="K1052" t="s">
        <v>232</v>
      </c>
      <c r="L1052" s="5" t="s">
        <v>4167</v>
      </c>
      <c r="M1052" s="5" t="s">
        <v>35</v>
      </c>
      <c r="N1052" t="s">
        <v>1824</v>
      </c>
      <c r="O1052" t="s">
        <v>4168</v>
      </c>
      <c r="S1052" t="s">
        <v>57</v>
      </c>
      <c r="T1052" s="5" t="s">
        <v>38</v>
      </c>
      <c r="Y1052" t="str">
        <f>VLOOKUP(C1052,'[1]DBS_KPY Sorumlular'!A:C,2,FALSE)</f>
        <v>Erkan AKDOĞAN</v>
      </c>
      <c r="Z1052" t="str">
        <f>VLOOKUP(C1052,'[1]DBS_KPY Sorumlular'!A:C,3,FALSE)</f>
        <v>Kadir TOPÇU</v>
      </c>
      <c r="AA1052" t="str">
        <f>VLOOKUP(K1052,[1]!Tablo3[#Data],2,FALSE)</f>
        <v>Erkan AKDOĞAN</v>
      </c>
    </row>
    <row r="1053" spans="1:27" x14ac:dyDescent="0.25">
      <c r="A1053">
        <v>2361</v>
      </c>
      <c r="B1053" t="s">
        <v>1419</v>
      </c>
      <c r="C1053" t="s">
        <v>1723</v>
      </c>
      <c r="D1053" t="s">
        <v>1751</v>
      </c>
      <c r="F1053" t="s">
        <v>66</v>
      </c>
      <c r="G1053" t="s">
        <v>67</v>
      </c>
      <c r="H1053" t="s">
        <v>4169</v>
      </c>
      <c r="I1053" s="4"/>
      <c r="J1053" t="s">
        <v>4013</v>
      </c>
      <c r="K1053" t="s">
        <v>232</v>
      </c>
      <c r="L1053" s="5" t="s">
        <v>4170</v>
      </c>
      <c r="M1053" s="5" t="s">
        <v>35</v>
      </c>
      <c r="N1053" t="s">
        <v>1824</v>
      </c>
      <c r="O1053" t="s">
        <v>4171</v>
      </c>
      <c r="S1053" t="s">
        <v>57</v>
      </c>
      <c r="T1053" s="5" t="s">
        <v>38</v>
      </c>
      <c r="Y1053" t="str">
        <f>VLOOKUP(C1053,'[1]DBS_KPY Sorumlular'!A:C,2,FALSE)</f>
        <v>Erkan AKDOĞAN</v>
      </c>
      <c r="Z1053" t="str">
        <f>VLOOKUP(C1053,'[1]DBS_KPY Sorumlular'!A:C,3,FALSE)</f>
        <v>Kadir TOPÇU</v>
      </c>
      <c r="AA1053" t="str">
        <f>VLOOKUP(K1053,[1]!Tablo3[#Data],2,FALSE)</f>
        <v>Erkan AKDOĞAN</v>
      </c>
    </row>
    <row r="1054" spans="1:27" x14ac:dyDescent="0.25">
      <c r="A1054">
        <v>2362</v>
      </c>
      <c r="B1054" t="s">
        <v>1419</v>
      </c>
      <c r="C1054" t="s">
        <v>1723</v>
      </c>
      <c r="D1054" t="s">
        <v>2478</v>
      </c>
      <c r="F1054" t="s">
        <v>66</v>
      </c>
      <c r="G1054" t="s">
        <v>67</v>
      </c>
      <c r="H1054" t="s">
        <v>4172</v>
      </c>
      <c r="I1054" s="4"/>
      <c r="J1054" t="s">
        <v>4173</v>
      </c>
      <c r="K1054" t="s">
        <v>232</v>
      </c>
      <c r="L1054" s="5" t="s">
        <v>4174</v>
      </c>
      <c r="M1054" s="5" t="s">
        <v>35</v>
      </c>
      <c r="N1054" t="s">
        <v>1824</v>
      </c>
      <c r="O1054" t="s">
        <v>4175</v>
      </c>
      <c r="S1054" t="s">
        <v>57</v>
      </c>
      <c r="T1054" s="5" t="s">
        <v>38</v>
      </c>
      <c r="Y1054" t="str">
        <f>VLOOKUP(C1054,'[1]DBS_KPY Sorumlular'!A:C,2,FALSE)</f>
        <v>Erkan AKDOĞAN</v>
      </c>
      <c r="Z1054" t="str">
        <f>VLOOKUP(C1054,'[1]DBS_KPY Sorumlular'!A:C,3,FALSE)</f>
        <v>Kadir TOPÇU</v>
      </c>
      <c r="AA1054" t="str">
        <f>VLOOKUP(K1054,[1]!Tablo3[#Data],2,FALSE)</f>
        <v>Erkan AKDOĞAN</v>
      </c>
    </row>
    <row r="1055" spans="1:27" x14ac:dyDescent="0.25">
      <c r="A1055">
        <v>2363</v>
      </c>
      <c r="B1055" t="s">
        <v>1419</v>
      </c>
      <c r="C1055" t="s">
        <v>1723</v>
      </c>
      <c r="D1055" t="s">
        <v>1724</v>
      </c>
      <c r="F1055" t="s">
        <v>184</v>
      </c>
      <c r="G1055" t="s">
        <v>43</v>
      </c>
      <c r="H1055" t="s">
        <v>4176</v>
      </c>
      <c r="I1055" s="4"/>
      <c r="J1055" t="s">
        <v>4020</v>
      </c>
      <c r="K1055" t="s">
        <v>232</v>
      </c>
      <c r="L1055" s="5" t="s">
        <v>4177</v>
      </c>
      <c r="M1055" s="5" t="s">
        <v>35</v>
      </c>
      <c r="N1055" t="s">
        <v>1824</v>
      </c>
      <c r="O1055" t="s">
        <v>4178</v>
      </c>
      <c r="S1055" t="s">
        <v>57</v>
      </c>
      <c r="T1055" s="5" t="s">
        <v>38</v>
      </c>
      <c r="Y1055" t="str">
        <f>VLOOKUP(C1055,'[1]DBS_KPY Sorumlular'!A:C,2,FALSE)</f>
        <v>Erkan AKDOĞAN</v>
      </c>
      <c r="Z1055" t="str">
        <f>VLOOKUP(C1055,'[1]DBS_KPY Sorumlular'!A:C,3,FALSE)</f>
        <v>Kadir TOPÇU</v>
      </c>
      <c r="AA1055" t="str">
        <f>VLOOKUP(K1055,[1]!Tablo3[#Data],2,FALSE)</f>
        <v>Erkan AKDOĞAN</v>
      </c>
    </row>
    <row r="1056" spans="1:27" x14ac:dyDescent="0.25">
      <c r="A1056">
        <v>2364</v>
      </c>
      <c r="B1056" t="s">
        <v>1419</v>
      </c>
      <c r="C1056" t="s">
        <v>1674</v>
      </c>
      <c r="D1056" t="s">
        <v>1717</v>
      </c>
      <c r="F1056" t="s">
        <v>184</v>
      </c>
      <c r="G1056" t="s">
        <v>43</v>
      </c>
      <c r="H1056" t="s">
        <v>4179</v>
      </c>
      <c r="I1056" s="4"/>
      <c r="J1056" t="s">
        <v>4179</v>
      </c>
      <c r="K1056" t="s">
        <v>232</v>
      </c>
      <c r="L1056" s="5" t="s">
        <v>4160</v>
      </c>
      <c r="M1056" s="5" t="s">
        <v>4028</v>
      </c>
      <c r="N1056" t="s">
        <v>739</v>
      </c>
      <c r="O1056" t="s">
        <v>4180</v>
      </c>
      <c r="S1056" t="s">
        <v>57</v>
      </c>
      <c r="T1056" s="5" t="s">
        <v>100</v>
      </c>
      <c r="W1056">
        <v>86</v>
      </c>
      <c r="X1056" t="s">
        <v>189</v>
      </c>
      <c r="Y1056" t="str">
        <f>VLOOKUP(C1056,'[1]DBS_KPY Sorumlular'!A:C,2,FALSE)</f>
        <v>Kadir TOPÇU</v>
      </c>
      <c r="Z1056" t="str">
        <f>VLOOKUP(C1056,'[1]DBS_KPY Sorumlular'!A:C,3,FALSE)</f>
        <v>Erkan AKDOĞAN</v>
      </c>
      <c r="AA1056" t="str">
        <f>VLOOKUP(K1056,[1]!Tablo3[#Data],2,FALSE)</f>
        <v>Erkan AKDOĞAN</v>
      </c>
    </row>
    <row r="1057" spans="1:27" x14ac:dyDescent="0.25">
      <c r="A1057">
        <v>2365</v>
      </c>
      <c r="B1057" t="s">
        <v>1419</v>
      </c>
      <c r="C1057" t="s">
        <v>652</v>
      </c>
      <c r="D1057" t="s">
        <v>653</v>
      </c>
      <c r="F1057" t="s">
        <v>455</v>
      </c>
      <c r="G1057" t="s">
        <v>456</v>
      </c>
      <c r="H1057" t="s">
        <v>4181</v>
      </c>
      <c r="I1057" s="4"/>
      <c r="J1057" t="s">
        <v>4182</v>
      </c>
      <c r="K1057" t="s">
        <v>217</v>
      </c>
      <c r="L1057" s="5"/>
      <c r="M1057" s="5" t="s">
        <v>35</v>
      </c>
      <c r="N1057" t="s">
        <v>1824</v>
      </c>
      <c r="O1057" t="s">
        <v>4183</v>
      </c>
      <c r="S1057" t="s">
        <v>57</v>
      </c>
      <c r="T1057" s="5" t="s">
        <v>100</v>
      </c>
      <c r="W1057">
        <v>144</v>
      </c>
      <c r="X1057" t="s">
        <v>463</v>
      </c>
      <c r="Y1057" t="str">
        <f>VLOOKUP(C1057,'[1]DBS_KPY Sorumlular'!A:C,2,FALSE)</f>
        <v>Seyithan İŞİK</v>
      </c>
      <c r="Z1057" t="str">
        <f>VLOOKUP(C1057,'[1]DBS_KPY Sorumlular'!A:C,3,FALSE)</f>
        <v>Korhan KÖROĞLU</v>
      </c>
      <c r="AA1057" t="str">
        <f>VLOOKUP(K1057,[1]!Tablo3[#Data],2,FALSE)</f>
        <v>Erkan AKDOĞAN</v>
      </c>
    </row>
    <row r="1058" spans="1:27" x14ac:dyDescent="0.25">
      <c r="A1058">
        <v>2366</v>
      </c>
      <c r="B1058" t="s">
        <v>1419</v>
      </c>
      <c r="C1058" t="s">
        <v>652</v>
      </c>
      <c r="D1058" t="s">
        <v>653</v>
      </c>
      <c r="F1058" t="s">
        <v>455</v>
      </c>
      <c r="G1058" t="s">
        <v>456</v>
      </c>
      <c r="H1058" t="s">
        <v>4184</v>
      </c>
      <c r="I1058" s="4"/>
      <c r="J1058" t="s">
        <v>4185</v>
      </c>
      <c r="K1058" t="s">
        <v>217</v>
      </c>
      <c r="L1058" s="5"/>
      <c r="M1058" s="5" t="s">
        <v>35</v>
      </c>
      <c r="N1058" t="s">
        <v>1824</v>
      </c>
      <c r="O1058" t="s">
        <v>4186</v>
      </c>
      <c r="S1058" t="s">
        <v>57</v>
      </c>
      <c r="T1058" s="5" t="s">
        <v>100</v>
      </c>
      <c r="W1058">
        <v>144</v>
      </c>
      <c r="X1058" t="s">
        <v>463</v>
      </c>
      <c r="Y1058" t="str">
        <f>VLOOKUP(C1058,'[1]DBS_KPY Sorumlular'!A:C,2,FALSE)</f>
        <v>Seyithan İŞİK</v>
      </c>
      <c r="Z1058" t="str">
        <f>VLOOKUP(C1058,'[1]DBS_KPY Sorumlular'!A:C,3,FALSE)</f>
        <v>Korhan KÖROĞLU</v>
      </c>
      <c r="AA1058" t="str">
        <f>VLOOKUP(K1058,[1]!Tablo3[#Data],2,FALSE)</f>
        <v>Erkan AKDOĞAN</v>
      </c>
    </row>
    <row r="1059" spans="1:27" x14ac:dyDescent="0.25">
      <c r="A1059">
        <v>2367</v>
      </c>
      <c r="B1059" t="s">
        <v>1419</v>
      </c>
      <c r="C1059" t="s">
        <v>652</v>
      </c>
      <c r="D1059" t="s">
        <v>653</v>
      </c>
      <c r="F1059" t="s">
        <v>455</v>
      </c>
      <c r="G1059" t="s">
        <v>456</v>
      </c>
      <c r="H1059" t="s">
        <v>4187</v>
      </c>
      <c r="I1059" s="4"/>
      <c r="J1059" t="s">
        <v>4188</v>
      </c>
      <c r="K1059" t="s">
        <v>217</v>
      </c>
      <c r="L1059" s="5"/>
      <c r="M1059" s="5" t="s">
        <v>35</v>
      </c>
      <c r="N1059" t="s">
        <v>1824</v>
      </c>
      <c r="O1059" t="s">
        <v>4189</v>
      </c>
      <c r="S1059" t="s">
        <v>57</v>
      </c>
      <c r="T1059" s="5" t="s">
        <v>100</v>
      </c>
      <c r="W1059">
        <v>144</v>
      </c>
      <c r="X1059" t="s">
        <v>463</v>
      </c>
      <c r="Y1059" t="str">
        <f>VLOOKUP(C1059,'[1]DBS_KPY Sorumlular'!A:C,2,FALSE)</f>
        <v>Seyithan İŞİK</v>
      </c>
      <c r="Z1059" t="str">
        <f>VLOOKUP(C1059,'[1]DBS_KPY Sorumlular'!A:C,3,FALSE)</f>
        <v>Korhan KÖROĞLU</v>
      </c>
      <c r="AA1059" t="str">
        <f>VLOOKUP(K1059,[1]!Tablo3[#Data],2,FALSE)</f>
        <v>Erkan AKDOĞAN</v>
      </c>
    </row>
    <row r="1060" spans="1:27" x14ac:dyDescent="0.25">
      <c r="A1060">
        <v>2368</v>
      </c>
      <c r="B1060" t="s">
        <v>1419</v>
      </c>
      <c r="C1060" t="s">
        <v>652</v>
      </c>
      <c r="D1060" t="s">
        <v>653</v>
      </c>
      <c r="F1060" t="s">
        <v>455</v>
      </c>
      <c r="G1060" t="s">
        <v>456</v>
      </c>
      <c r="H1060" t="s">
        <v>4190</v>
      </c>
      <c r="I1060" s="4"/>
      <c r="J1060" t="s">
        <v>4191</v>
      </c>
      <c r="K1060" t="s">
        <v>217</v>
      </c>
      <c r="L1060" s="5"/>
      <c r="M1060" s="5" t="s">
        <v>35</v>
      </c>
      <c r="N1060" t="s">
        <v>1824</v>
      </c>
      <c r="O1060" t="s">
        <v>4192</v>
      </c>
      <c r="S1060" t="s">
        <v>57</v>
      </c>
      <c r="T1060" s="5" t="s">
        <v>100</v>
      </c>
      <c r="W1060">
        <v>144</v>
      </c>
      <c r="X1060" t="s">
        <v>463</v>
      </c>
      <c r="Y1060" t="str">
        <f>VLOOKUP(C1060,'[1]DBS_KPY Sorumlular'!A:C,2,FALSE)</f>
        <v>Seyithan İŞİK</v>
      </c>
      <c r="Z1060" t="str">
        <f>VLOOKUP(C1060,'[1]DBS_KPY Sorumlular'!A:C,3,FALSE)</f>
        <v>Korhan KÖROĞLU</v>
      </c>
      <c r="AA1060" t="str">
        <f>VLOOKUP(K1060,[1]!Tablo3[#Data],2,FALSE)</f>
        <v>Erkan AKDOĞAN</v>
      </c>
    </row>
    <row r="1061" spans="1:27" x14ac:dyDescent="0.25">
      <c r="A1061">
        <v>2369</v>
      </c>
      <c r="B1061" t="s">
        <v>1419</v>
      </c>
      <c r="C1061" t="s">
        <v>652</v>
      </c>
      <c r="D1061" t="s">
        <v>653</v>
      </c>
      <c r="F1061" t="s">
        <v>455</v>
      </c>
      <c r="G1061" t="s">
        <v>456</v>
      </c>
      <c r="H1061" t="s">
        <v>4193</v>
      </c>
      <c r="I1061" s="4"/>
      <c r="J1061" t="s">
        <v>4194</v>
      </c>
      <c r="K1061" t="s">
        <v>217</v>
      </c>
      <c r="L1061" s="5"/>
      <c r="M1061" s="5" t="s">
        <v>35</v>
      </c>
      <c r="N1061" t="s">
        <v>1824</v>
      </c>
      <c r="O1061" t="s">
        <v>4195</v>
      </c>
      <c r="S1061" t="s">
        <v>57</v>
      </c>
      <c r="T1061" s="5" t="s">
        <v>100</v>
      </c>
      <c r="W1061">
        <v>144</v>
      </c>
      <c r="X1061" t="s">
        <v>463</v>
      </c>
      <c r="Y1061" t="str">
        <f>VLOOKUP(C1061,'[1]DBS_KPY Sorumlular'!A:C,2,FALSE)</f>
        <v>Seyithan İŞİK</v>
      </c>
      <c r="Z1061" t="str">
        <f>VLOOKUP(C1061,'[1]DBS_KPY Sorumlular'!A:C,3,FALSE)</f>
        <v>Korhan KÖROĞLU</v>
      </c>
      <c r="AA1061" t="str">
        <f>VLOOKUP(K1061,[1]!Tablo3[#Data],2,FALSE)</f>
        <v>Erkan AKDOĞAN</v>
      </c>
    </row>
    <row r="1062" spans="1:27" x14ac:dyDescent="0.25">
      <c r="A1062">
        <v>2370</v>
      </c>
      <c r="B1062" t="s">
        <v>1419</v>
      </c>
      <c r="C1062" t="s">
        <v>652</v>
      </c>
      <c r="D1062" t="s">
        <v>653</v>
      </c>
      <c r="F1062" t="s">
        <v>455</v>
      </c>
      <c r="G1062" t="s">
        <v>456</v>
      </c>
      <c r="H1062" t="s">
        <v>4196</v>
      </c>
      <c r="I1062" s="4"/>
      <c r="J1062" t="s">
        <v>4197</v>
      </c>
      <c r="K1062" t="s">
        <v>217</v>
      </c>
      <c r="L1062" s="5"/>
      <c r="M1062" s="5" t="s">
        <v>35</v>
      </c>
      <c r="N1062" t="s">
        <v>1824</v>
      </c>
      <c r="O1062" t="s">
        <v>4198</v>
      </c>
      <c r="S1062" t="s">
        <v>57</v>
      </c>
      <c r="T1062" s="5" t="s">
        <v>100</v>
      </c>
      <c r="W1062">
        <v>144</v>
      </c>
      <c r="X1062" t="s">
        <v>463</v>
      </c>
      <c r="Y1062" t="str">
        <f>VLOOKUP(C1062,'[1]DBS_KPY Sorumlular'!A:C,2,FALSE)</f>
        <v>Seyithan İŞİK</v>
      </c>
      <c r="Z1062" t="str">
        <f>VLOOKUP(C1062,'[1]DBS_KPY Sorumlular'!A:C,3,FALSE)</f>
        <v>Korhan KÖROĞLU</v>
      </c>
      <c r="AA1062" t="str">
        <f>VLOOKUP(K1062,[1]!Tablo3[#Data],2,FALSE)</f>
        <v>Erkan AKDOĞAN</v>
      </c>
    </row>
    <row r="1063" spans="1:27" x14ac:dyDescent="0.25">
      <c r="A1063">
        <v>2371</v>
      </c>
      <c r="B1063" t="s">
        <v>1419</v>
      </c>
      <c r="C1063" t="s">
        <v>652</v>
      </c>
      <c r="D1063" t="s">
        <v>653</v>
      </c>
      <c r="F1063" t="s">
        <v>66</v>
      </c>
      <c r="G1063" t="s">
        <v>456</v>
      </c>
      <c r="H1063" t="s">
        <v>4199</v>
      </c>
      <c r="I1063" s="4"/>
      <c r="J1063" t="s">
        <v>4200</v>
      </c>
      <c r="K1063" t="s">
        <v>217</v>
      </c>
      <c r="L1063" s="5"/>
      <c r="M1063" s="5" t="s">
        <v>35</v>
      </c>
      <c r="N1063" t="s">
        <v>1824</v>
      </c>
      <c r="O1063" t="s">
        <v>4201</v>
      </c>
      <c r="S1063" t="s">
        <v>57</v>
      </c>
      <c r="T1063" s="5" t="s">
        <v>100</v>
      </c>
      <c r="W1063">
        <v>144</v>
      </c>
      <c r="X1063" t="s">
        <v>463</v>
      </c>
      <c r="Y1063" t="str">
        <f>VLOOKUP(C1063,'[1]DBS_KPY Sorumlular'!A:C,2,FALSE)</f>
        <v>Seyithan İŞİK</v>
      </c>
      <c r="Z1063" t="str">
        <f>VLOOKUP(C1063,'[1]DBS_KPY Sorumlular'!A:C,3,FALSE)</f>
        <v>Korhan KÖROĞLU</v>
      </c>
      <c r="AA1063" t="str">
        <f>VLOOKUP(K1063,[1]!Tablo3[#Data],2,FALSE)</f>
        <v>Erkan AKDOĞAN</v>
      </c>
    </row>
    <row r="1064" spans="1:27" x14ac:dyDescent="0.25">
      <c r="A1064">
        <v>2372</v>
      </c>
      <c r="B1064" t="s">
        <v>1419</v>
      </c>
      <c r="C1064" t="s">
        <v>1674</v>
      </c>
      <c r="D1064" t="s">
        <v>1717</v>
      </c>
      <c r="F1064" t="s">
        <v>42</v>
      </c>
      <c r="G1064" t="s">
        <v>291</v>
      </c>
      <c r="H1064" t="s">
        <v>4202</v>
      </c>
      <c r="I1064" s="4"/>
      <c r="J1064" t="s">
        <v>4203</v>
      </c>
      <c r="K1064" t="s">
        <v>217</v>
      </c>
      <c r="L1064" s="5"/>
      <c r="M1064" s="5" t="s">
        <v>35</v>
      </c>
      <c r="N1064" t="s">
        <v>35</v>
      </c>
      <c r="O1064" t="s">
        <v>1964</v>
      </c>
      <c r="S1064" t="s">
        <v>57</v>
      </c>
      <c r="T1064" s="5" t="s">
        <v>48</v>
      </c>
      <c r="U1064" t="s">
        <v>1965</v>
      </c>
      <c r="V1064" t="s">
        <v>1962</v>
      </c>
      <c r="W1064">
        <v>68</v>
      </c>
      <c r="X1064" t="s">
        <v>51</v>
      </c>
      <c r="Y1064" t="str">
        <f>VLOOKUP(C1064,'[1]DBS_KPY Sorumlular'!A:C,2,FALSE)</f>
        <v>Kadir TOPÇU</v>
      </c>
      <c r="Z1064" t="str">
        <f>VLOOKUP(C1064,'[1]DBS_KPY Sorumlular'!A:C,3,FALSE)</f>
        <v>Erkan AKDOĞAN</v>
      </c>
      <c r="AA1064" t="str">
        <f>VLOOKUP(K1064,[1]!Tablo3[#Data],2,FALSE)</f>
        <v>Erkan AKDOĞAN</v>
      </c>
    </row>
    <row r="1065" spans="1:27" x14ac:dyDescent="0.25">
      <c r="A1065">
        <v>2373</v>
      </c>
      <c r="B1065" t="s">
        <v>1419</v>
      </c>
      <c r="C1065" t="s">
        <v>1674</v>
      </c>
      <c r="D1065" t="s">
        <v>1717</v>
      </c>
      <c r="F1065" t="s">
        <v>113</v>
      </c>
      <c r="G1065" t="s">
        <v>43</v>
      </c>
      <c r="H1065" t="s">
        <v>4204</v>
      </c>
      <c r="I1065" s="4"/>
      <c r="K1065" t="s">
        <v>217</v>
      </c>
      <c r="L1065" s="5"/>
      <c r="M1065" s="5" t="s">
        <v>4205</v>
      </c>
      <c r="N1065" t="s">
        <v>35</v>
      </c>
      <c r="O1065" t="s">
        <v>4206</v>
      </c>
      <c r="S1065" t="s">
        <v>57</v>
      </c>
      <c r="T1065" s="5" t="s">
        <v>48</v>
      </c>
      <c r="U1065" t="s">
        <v>4207</v>
      </c>
      <c r="V1065" t="s">
        <v>4204</v>
      </c>
      <c r="W1065">
        <v>169</v>
      </c>
      <c r="X1065" t="s">
        <v>1480</v>
      </c>
      <c r="Y1065" t="str">
        <f>VLOOKUP(C1065,'[1]DBS_KPY Sorumlular'!A:C,2,FALSE)</f>
        <v>Kadir TOPÇU</v>
      </c>
      <c r="Z1065" t="str">
        <f>VLOOKUP(C1065,'[1]DBS_KPY Sorumlular'!A:C,3,FALSE)</f>
        <v>Erkan AKDOĞAN</v>
      </c>
      <c r="AA1065" t="str">
        <f>VLOOKUP(K1065,[1]!Tablo3[#Data],2,FALSE)</f>
        <v>Erkan AKDOĞAN</v>
      </c>
    </row>
    <row r="1066" spans="1:27" x14ac:dyDescent="0.25">
      <c r="A1066">
        <v>2374</v>
      </c>
      <c r="B1066" t="s">
        <v>1419</v>
      </c>
      <c r="C1066" t="s">
        <v>1674</v>
      </c>
      <c r="D1066" t="s">
        <v>1717</v>
      </c>
      <c r="F1066" t="s">
        <v>882</v>
      </c>
      <c r="G1066" t="s">
        <v>43</v>
      </c>
      <c r="H1066" t="s">
        <v>4208</v>
      </c>
      <c r="I1066" s="4"/>
      <c r="J1066" t="s">
        <v>4209</v>
      </c>
      <c r="K1066" t="s">
        <v>217</v>
      </c>
      <c r="L1066" s="5"/>
      <c r="M1066" s="5" t="s">
        <v>4210</v>
      </c>
      <c r="N1066" t="s">
        <v>35</v>
      </c>
      <c r="O1066" t="s">
        <v>4211</v>
      </c>
      <c r="S1066" t="s">
        <v>57</v>
      </c>
      <c r="T1066" s="5" t="s">
        <v>48</v>
      </c>
      <c r="U1066" t="s">
        <v>4212</v>
      </c>
      <c r="V1066" t="s">
        <v>4213</v>
      </c>
      <c r="W1066">
        <v>85</v>
      </c>
      <c r="X1066" t="s">
        <v>958</v>
      </c>
      <c r="Y1066" t="str">
        <f>VLOOKUP(C1066,'[1]DBS_KPY Sorumlular'!A:C,2,FALSE)</f>
        <v>Kadir TOPÇU</v>
      </c>
      <c r="Z1066" t="str">
        <f>VLOOKUP(C1066,'[1]DBS_KPY Sorumlular'!A:C,3,FALSE)</f>
        <v>Erkan AKDOĞAN</v>
      </c>
      <c r="AA1066" t="str">
        <f>VLOOKUP(K1066,[1]!Tablo3[#Data],2,FALSE)</f>
        <v>Erkan AKDOĞAN</v>
      </c>
    </row>
    <row r="1067" spans="1:27" x14ac:dyDescent="0.25">
      <c r="A1067">
        <v>2375</v>
      </c>
      <c r="B1067" t="s">
        <v>1419</v>
      </c>
      <c r="C1067" t="s">
        <v>1674</v>
      </c>
      <c r="D1067" t="s">
        <v>1717</v>
      </c>
      <c r="F1067" t="s">
        <v>102</v>
      </c>
      <c r="G1067" t="s">
        <v>43</v>
      </c>
      <c r="H1067" t="s">
        <v>4214</v>
      </c>
      <c r="I1067" s="4"/>
      <c r="J1067" t="s">
        <v>4215</v>
      </c>
      <c r="K1067" t="s">
        <v>217</v>
      </c>
      <c r="L1067" s="5" t="s">
        <v>4216</v>
      </c>
      <c r="M1067" s="5" t="s">
        <v>4028</v>
      </c>
      <c r="N1067" t="s">
        <v>739</v>
      </c>
      <c r="O1067" t="s">
        <v>4217</v>
      </c>
      <c r="S1067" t="s">
        <v>57</v>
      </c>
      <c r="T1067" s="5" t="s">
        <v>100</v>
      </c>
      <c r="W1067">
        <v>34</v>
      </c>
      <c r="X1067" t="s">
        <v>4218</v>
      </c>
      <c r="Y1067" t="str">
        <f>VLOOKUP(C1067,'[1]DBS_KPY Sorumlular'!A:C,2,FALSE)</f>
        <v>Kadir TOPÇU</v>
      </c>
      <c r="Z1067" t="str">
        <f>VLOOKUP(C1067,'[1]DBS_KPY Sorumlular'!A:C,3,FALSE)</f>
        <v>Erkan AKDOĞAN</v>
      </c>
      <c r="AA1067" t="str">
        <f>VLOOKUP(K1067,[1]!Tablo3[#Data],2,FALSE)</f>
        <v>Erkan AKDOĞAN</v>
      </c>
    </row>
    <row r="1068" spans="1:27" x14ac:dyDescent="0.25">
      <c r="A1068">
        <v>2376</v>
      </c>
      <c r="B1068" t="s">
        <v>27</v>
      </c>
      <c r="C1068" t="s">
        <v>40</v>
      </c>
      <c r="D1068" t="s">
        <v>65</v>
      </c>
      <c r="F1068" t="s">
        <v>66</v>
      </c>
      <c r="G1068" t="s">
        <v>67</v>
      </c>
      <c r="H1068" t="s">
        <v>4219</v>
      </c>
      <c r="I1068" s="4">
        <v>45545.875</v>
      </c>
      <c r="K1068" t="s">
        <v>309</v>
      </c>
      <c r="L1068" s="5"/>
      <c r="M1068" s="5"/>
      <c r="N1068" t="s">
        <v>82</v>
      </c>
      <c r="O1068" t="s">
        <v>4220</v>
      </c>
      <c r="R1068">
        <v>1</v>
      </c>
      <c r="S1068" t="s">
        <v>57</v>
      </c>
      <c r="T1068" s="5" t="s">
        <v>100</v>
      </c>
      <c r="W1068">
        <v>103</v>
      </c>
      <c r="X1068" t="s">
        <v>353</v>
      </c>
      <c r="Y1068" t="str">
        <f>VLOOKUP(C1068,'[1]DBS_KPY Sorumlular'!A:C,2,FALSE)</f>
        <v>Mustafa AYDIN</v>
      </c>
      <c r="Z1068" t="str">
        <f>VLOOKUP(C1068,'[1]DBS_KPY Sorumlular'!A:C,3,FALSE)</f>
        <v>Esra DOLAN</v>
      </c>
      <c r="AA1068" t="str">
        <f>VLOOKUP(K1068,[1]!Tablo3[#Data],2,FALSE)</f>
        <v>Erkan AKDOĞAN</v>
      </c>
    </row>
    <row r="1069" spans="1:27" x14ac:dyDescent="0.25">
      <c r="A1069">
        <v>2377</v>
      </c>
      <c r="B1069" t="s">
        <v>27</v>
      </c>
      <c r="C1069" t="s">
        <v>40</v>
      </c>
      <c r="D1069" t="s">
        <v>65</v>
      </c>
      <c r="F1069" t="s">
        <v>66</v>
      </c>
      <c r="G1069" t="s">
        <v>67</v>
      </c>
      <c r="H1069" t="s">
        <v>4221</v>
      </c>
      <c r="I1069" s="4">
        <v>45519.875</v>
      </c>
      <c r="K1069" t="s">
        <v>309</v>
      </c>
      <c r="L1069" s="5"/>
      <c r="M1069" s="5"/>
      <c r="N1069" t="s">
        <v>82</v>
      </c>
      <c r="O1069" t="s">
        <v>4222</v>
      </c>
      <c r="R1069">
        <v>1</v>
      </c>
      <c r="S1069" t="s">
        <v>57</v>
      </c>
      <c r="T1069" s="5" t="s">
        <v>100</v>
      </c>
      <c r="W1069">
        <v>103</v>
      </c>
      <c r="X1069" t="s">
        <v>353</v>
      </c>
      <c r="Y1069" t="str">
        <f>VLOOKUP(C1069,'[1]DBS_KPY Sorumlular'!A:C,2,FALSE)</f>
        <v>Mustafa AYDIN</v>
      </c>
      <c r="Z1069" t="str">
        <f>VLOOKUP(C1069,'[1]DBS_KPY Sorumlular'!A:C,3,FALSE)</f>
        <v>Esra DOLAN</v>
      </c>
      <c r="AA1069" t="str">
        <f>VLOOKUP(K1069,[1]!Tablo3[#Data],2,FALSE)</f>
        <v>Erkan AKDOĞAN</v>
      </c>
    </row>
    <row r="1070" spans="1:27" x14ac:dyDescent="0.25">
      <c r="A1070">
        <v>2378</v>
      </c>
      <c r="B1070" t="s">
        <v>1419</v>
      </c>
      <c r="C1070" t="s">
        <v>73</v>
      </c>
      <c r="D1070" t="s">
        <v>73</v>
      </c>
      <c r="F1070" t="s">
        <v>66</v>
      </c>
      <c r="G1070" t="s">
        <v>30</v>
      </c>
      <c r="H1070" t="s">
        <v>4223</v>
      </c>
      <c r="I1070" s="4"/>
      <c r="K1070" t="s">
        <v>309</v>
      </c>
      <c r="L1070" s="5"/>
      <c r="M1070" s="5" t="s">
        <v>35</v>
      </c>
      <c r="N1070" t="s">
        <v>1824</v>
      </c>
      <c r="O1070" t="s">
        <v>4224</v>
      </c>
      <c r="S1070" t="s">
        <v>57</v>
      </c>
      <c r="T1070" s="5" t="s">
        <v>38</v>
      </c>
      <c r="Y1070" t="str">
        <f>VLOOKUP(C1070,'[1]DBS_KPY Sorumlular'!A:C,2,FALSE)</f>
        <v>Ayşegül AKGÜL</v>
      </c>
      <c r="Z1070" t="str">
        <f>VLOOKUP(C1070,'[1]DBS_KPY Sorumlular'!A:C,3,FALSE)</f>
        <v>Sinan ERDAŞ</v>
      </c>
      <c r="AA1070" t="str">
        <f>VLOOKUP(K1070,[1]!Tablo3[#Data],2,FALSE)</f>
        <v>Erkan AKDOĞAN</v>
      </c>
    </row>
    <row r="1071" spans="1:27" x14ac:dyDescent="0.25">
      <c r="A1071">
        <v>2379</v>
      </c>
      <c r="B1071" t="s">
        <v>1419</v>
      </c>
      <c r="C1071" t="s">
        <v>1674</v>
      </c>
      <c r="D1071" t="s">
        <v>1717</v>
      </c>
      <c r="F1071" t="s">
        <v>532</v>
      </c>
      <c r="G1071" t="s">
        <v>43</v>
      </c>
      <c r="H1071" t="s">
        <v>4225</v>
      </c>
      <c r="I1071" s="4"/>
      <c r="J1071" t="s">
        <v>4226</v>
      </c>
      <c r="K1071" t="s">
        <v>309</v>
      </c>
      <c r="L1071" s="5"/>
      <c r="M1071" s="5" t="s">
        <v>4227</v>
      </c>
      <c r="N1071" t="s">
        <v>35</v>
      </c>
      <c r="O1071" t="s">
        <v>4228</v>
      </c>
      <c r="S1071" t="s">
        <v>57</v>
      </c>
      <c r="T1071" s="5" t="s">
        <v>48</v>
      </c>
      <c r="U1071" t="s">
        <v>4229</v>
      </c>
      <c r="V1071" t="s">
        <v>4225</v>
      </c>
      <c r="W1071">
        <v>139</v>
      </c>
      <c r="X1071" t="s">
        <v>536</v>
      </c>
      <c r="Y1071" t="str">
        <f>VLOOKUP(C1071,'[1]DBS_KPY Sorumlular'!A:C,2,FALSE)</f>
        <v>Kadir TOPÇU</v>
      </c>
      <c r="Z1071" t="str">
        <f>VLOOKUP(C1071,'[1]DBS_KPY Sorumlular'!A:C,3,FALSE)</f>
        <v>Erkan AKDOĞAN</v>
      </c>
      <c r="AA1071" t="str">
        <f>VLOOKUP(K1071,[1]!Tablo3[#Data],2,FALSE)</f>
        <v>Erkan AKDOĞAN</v>
      </c>
    </row>
    <row r="1072" spans="1:27" x14ac:dyDescent="0.25">
      <c r="A1072">
        <v>2380</v>
      </c>
      <c r="B1072" t="s">
        <v>1419</v>
      </c>
      <c r="C1072" t="s">
        <v>1723</v>
      </c>
      <c r="D1072" t="s">
        <v>1724</v>
      </c>
      <c r="F1072" t="s">
        <v>66</v>
      </c>
      <c r="G1072" t="s">
        <v>67</v>
      </c>
      <c r="H1072" t="s">
        <v>4230</v>
      </c>
      <c r="I1072" s="4"/>
      <c r="J1072" t="s">
        <v>4231</v>
      </c>
      <c r="K1072" t="s">
        <v>309</v>
      </c>
      <c r="L1072" s="5"/>
      <c r="M1072" s="5" t="s">
        <v>4028</v>
      </c>
      <c r="N1072" t="s">
        <v>1824</v>
      </c>
      <c r="O1072" t="s">
        <v>4232</v>
      </c>
      <c r="S1072" t="s">
        <v>57</v>
      </c>
      <c r="T1072" s="5" t="s">
        <v>38</v>
      </c>
      <c r="Y1072" t="str">
        <f>VLOOKUP(C1072,'[1]DBS_KPY Sorumlular'!A:C,2,FALSE)</f>
        <v>Erkan AKDOĞAN</v>
      </c>
      <c r="Z1072" t="str">
        <f>VLOOKUP(C1072,'[1]DBS_KPY Sorumlular'!A:C,3,FALSE)</f>
        <v>Kadir TOPÇU</v>
      </c>
      <c r="AA1072" t="str">
        <f>VLOOKUP(K1072,[1]!Tablo3[#Data],2,FALSE)</f>
        <v>Erkan AKDOĞAN</v>
      </c>
    </row>
    <row r="1073" spans="1:27" x14ac:dyDescent="0.25">
      <c r="A1073">
        <v>2381</v>
      </c>
      <c r="B1073" t="s">
        <v>1419</v>
      </c>
      <c r="C1073" t="s">
        <v>1723</v>
      </c>
      <c r="D1073" t="s">
        <v>2478</v>
      </c>
      <c r="F1073" t="s">
        <v>66</v>
      </c>
      <c r="G1073" t="s">
        <v>67</v>
      </c>
      <c r="H1073" t="s">
        <v>4233</v>
      </c>
      <c r="I1073" s="4"/>
      <c r="J1073" t="s">
        <v>4234</v>
      </c>
      <c r="K1073" t="s">
        <v>309</v>
      </c>
      <c r="L1073" s="5"/>
      <c r="M1073" s="5" t="s">
        <v>4028</v>
      </c>
      <c r="N1073" t="s">
        <v>1824</v>
      </c>
      <c r="O1073" t="s">
        <v>4235</v>
      </c>
      <c r="S1073" t="s">
        <v>57</v>
      </c>
      <c r="T1073" s="5" t="s">
        <v>38</v>
      </c>
      <c r="Y1073" t="str">
        <f>VLOOKUP(C1073,'[1]DBS_KPY Sorumlular'!A:C,2,FALSE)</f>
        <v>Erkan AKDOĞAN</v>
      </c>
      <c r="Z1073" t="str">
        <f>VLOOKUP(C1073,'[1]DBS_KPY Sorumlular'!A:C,3,FALSE)</f>
        <v>Kadir TOPÇU</v>
      </c>
      <c r="AA1073" t="str">
        <f>VLOOKUP(K1073,[1]!Tablo3[#Data],2,FALSE)</f>
        <v>Erkan AKDOĞAN</v>
      </c>
    </row>
    <row r="1074" spans="1:27" x14ac:dyDescent="0.25">
      <c r="A1074">
        <v>2382</v>
      </c>
      <c r="B1074" t="s">
        <v>1419</v>
      </c>
      <c r="C1074" t="s">
        <v>1723</v>
      </c>
      <c r="D1074" t="s">
        <v>2478</v>
      </c>
      <c r="F1074" t="s">
        <v>66</v>
      </c>
      <c r="G1074" t="s">
        <v>67</v>
      </c>
      <c r="H1074" t="s">
        <v>4236</v>
      </c>
      <c r="I1074" s="4"/>
      <c r="J1074" t="s">
        <v>4237</v>
      </c>
      <c r="K1074" t="s">
        <v>309</v>
      </c>
      <c r="L1074" s="5"/>
      <c r="M1074" s="5" t="s">
        <v>4028</v>
      </c>
      <c r="N1074" t="s">
        <v>1824</v>
      </c>
      <c r="O1074" t="s">
        <v>4238</v>
      </c>
      <c r="S1074" t="s">
        <v>57</v>
      </c>
      <c r="T1074" s="5" t="s">
        <v>38</v>
      </c>
      <c r="Y1074" t="str">
        <f>VLOOKUP(C1074,'[1]DBS_KPY Sorumlular'!A:C,2,FALSE)</f>
        <v>Erkan AKDOĞAN</v>
      </c>
      <c r="Z1074" t="str">
        <f>VLOOKUP(C1074,'[1]DBS_KPY Sorumlular'!A:C,3,FALSE)</f>
        <v>Kadir TOPÇU</v>
      </c>
      <c r="AA1074" t="str">
        <f>VLOOKUP(K1074,[1]!Tablo3[#Data],2,FALSE)</f>
        <v>Erkan AKDOĞAN</v>
      </c>
    </row>
    <row r="1075" spans="1:27" x14ac:dyDescent="0.25">
      <c r="A1075">
        <v>2383</v>
      </c>
      <c r="B1075" t="s">
        <v>1419</v>
      </c>
      <c r="C1075" t="s">
        <v>1723</v>
      </c>
      <c r="D1075" t="s">
        <v>2478</v>
      </c>
      <c r="F1075" t="s">
        <v>66</v>
      </c>
      <c r="G1075" t="s">
        <v>96</v>
      </c>
      <c r="H1075" t="s">
        <v>4239</v>
      </c>
      <c r="I1075" s="4"/>
      <c r="J1075" t="s">
        <v>4240</v>
      </c>
      <c r="K1075" t="s">
        <v>309</v>
      </c>
      <c r="L1075" s="5"/>
      <c r="M1075" s="5" t="s">
        <v>4028</v>
      </c>
      <c r="N1075" t="s">
        <v>1824</v>
      </c>
      <c r="O1075" t="s">
        <v>4241</v>
      </c>
      <c r="S1075" t="s">
        <v>57</v>
      </c>
      <c r="T1075" s="5" t="s">
        <v>38</v>
      </c>
      <c r="Y1075" t="str">
        <f>VLOOKUP(C1075,'[1]DBS_KPY Sorumlular'!A:C,2,FALSE)</f>
        <v>Erkan AKDOĞAN</v>
      </c>
      <c r="Z1075" t="str">
        <f>VLOOKUP(C1075,'[1]DBS_KPY Sorumlular'!A:C,3,FALSE)</f>
        <v>Kadir TOPÇU</v>
      </c>
      <c r="AA1075" t="str">
        <f>VLOOKUP(K1075,[1]!Tablo3[#Data],2,FALSE)</f>
        <v>Erkan AKDOĞAN</v>
      </c>
    </row>
    <row r="1076" spans="1:27" x14ac:dyDescent="0.25">
      <c r="A1076">
        <v>2384</v>
      </c>
      <c r="B1076" t="s">
        <v>1419</v>
      </c>
      <c r="C1076" t="s">
        <v>1723</v>
      </c>
      <c r="D1076" t="s">
        <v>2478</v>
      </c>
      <c r="F1076" t="s">
        <v>66</v>
      </c>
      <c r="G1076" t="s">
        <v>67</v>
      </c>
      <c r="H1076" t="s">
        <v>4242</v>
      </c>
      <c r="I1076" s="4"/>
      <c r="J1076" t="s">
        <v>4242</v>
      </c>
      <c r="K1076" t="s">
        <v>309</v>
      </c>
      <c r="L1076" s="5"/>
      <c r="M1076" s="5" t="s">
        <v>4028</v>
      </c>
      <c r="N1076" t="s">
        <v>1824</v>
      </c>
      <c r="O1076" t="s">
        <v>4243</v>
      </c>
      <c r="S1076" t="s">
        <v>57</v>
      </c>
      <c r="T1076" s="5" t="s">
        <v>38</v>
      </c>
      <c r="Y1076" t="str">
        <f>VLOOKUP(C1076,'[1]DBS_KPY Sorumlular'!A:C,2,FALSE)</f>
        <v>Erkan AKDOĞAN</v>
      </c>
      <c r="Z1076" t="str">
        <f>VLOOKUP(C1076,'[1]DBS_KPY Sorumlular'!A:C,3,FALSE)</f>
        <v>Kadir TOPÇU</v>
      </c>
      <c r="AA1076" t="str">
        <f>VLOOKUP(K1076,[1]!Tablo3[#Data],2,FALSE)</f>
        <v>Erkan AKDOĞAN</v>
      </c>
    </row>
    <row r="1077" spans="1:27" x14ac:dyDescent="0.25">
      <c r="A1077">
        <v>2385</v>
      </c>
      <c r="B1077" t="s">
        <v>1419</v>
      </c>
      <c r="C1077" t="s">
        <v>28</v>
      </c>
      <c r="D1077" t="s">
        <v>28</v>
      </c>
      <c r="F1077" t="s">
        <v>95</v>
      </c>
      <c r="G1077" t="s">
        <v>67</v>
      </c>
      <c r="H1077" t="s">
        <v>4244</v>
      </c>
      <c r="I1077" s="4">
        <v>46021.875</v>
      </c>
      <c r="J1077" t="s">
        <v>4245</v>
      </c>
      <c r="K1077" t="s">
        <v>325</v>
      </c>
      <c r="L1077" s="5" t="s">
        <v>4246</v>
      </c>
      <c r="M1077" s="5"/>
      <c r="N1077" t="s">
        <v>1824</v>
      </c>
      <c r="O1077" t="s">
        <v>4247</v>
      </c>
      <c r="S1077" t="s">
        <v>230</v>
      </c>
      <c r="T1077" s="5" t="s">
        <v>38</v>
      </c>
      <c r="W1077">
        <v>269</v>
      </c>
      <c r="X1077" t="s">
        <v>3988</v>
      </c>
      <c r="Y1077" t="str">
        <f>VLOOKUP(C1077,'[1]DBS_KPY Sorumlular'!A:C,2,FALSE)</f>
        <v>Ayşegül AKGÜL</v>
      </c>
      <c r="Z1077" t="str">
        <f>VLOOKUP(C1077,'[1]DBS_KPY Sorumlular'!A:C,3,FALSE)</f>
        <v>Sinan ERDAŞ</v>
      </c>
      <c r="AA1077" t="str">
        <f>VLOOKUP(K1077,[1]!Tablo3[#Data],2,FALSE)</f>
        <v>Kadir TOPÇU</v>
      </c>
    </row>
    <row r="1078" spans="1:27" x14ac:dyDescent="0.25">
      <c r="A1078">
        <v>2386</v>
      </c>
      <c r="B1078" t="s">
        <v>1419</v>
      </c>
      <c r="C1078" t="s">
        <v>1723</v>
      </c>
      <c r="D1078" t="s">
        <v>1751</v>
      </c>
      <c r="F1078" t="s">
        <v>66</v>
      </c>
      <c r="G1078" t="s">
        <v>67</v>
      </c>
      <c r="H1078" t="s">
        <v>4248</v>
      </c>
      <c r="I1078" s="4"/>
      <c r="J1078" t="s">
        <v>4249</v>
      </c>
      <c r="K1078" t="s">
        <v>325</v>
      </c>
      <c r="L1078" s="5" t="s">
        <v>4250</v>
      </c>
      <c r="M1078" s="5" t="s">
        <v>35</v>
      </c>
      <c r="N1078" t="s">
        <v>1824</v>
      </c>
      <c r="O1078" t="s">
        <v>4251</v>
      </c>
      <c r="S1078" t="s">
        <v>230</v>
      </c>
      <c r="T1078" s="5" t="s">
        <v>38</v>
      </c>
      <c r="Y1078" t="str">
        <f>VLOOKUP(C1078,'[1]DBS_KPY Sorumlular'!A:C,2,FALSE)</f>
        <v>Erkan AKDOĞAN</v>
      </c>
      <c r="Z1078" t="str">
        <f>VLOOKUP(C1078,'[1]DBS_KPY Sorumlular'!A:C,3,FALSE)</f>
        <v>Kadir TOPÇU</v>
      </c>
      <c r="AA1078" t="str">
        <f>VLOOKUP(K1078,[1]!Tablo3[#Data],2,FALSE)</f>
        <v>Kadir TOPÇU</v>
      </c>
    </row>
    <row r="1079" spans="1:27" x14ac:dyDescent="0.25">
      <c r="A1079">
        <v>2387</v>
      </c>
      <c r="B1079" t="s">
        <v>1419</v>
      </c>
      <c r="C1079" t="s">
        <v>1723</v>
      </c>
      <c r="D1079" t="s">
        <v>1724</v>
      </c>
      <c r="F1079" t="s">
        <v>455</v>
      </c>
      <c r="G1079" t="s">
        <v>43</v>
      </c>
      <c r="H1079" t="s">
        <v>4252</v>
      </c>
      <c r="I1079" s="4"/>
      <c r="J1079" t="s">
        <v>4253</v>
      </c>
      <c r="K1079" t="s">
        <v>325</v>
      </c>
      <c r="L1079" s="5" t="s">
        <v>4254</v>
      </c>
      <c r="M1079" s="5" t="s">
        <v>35</v>
      </c>
      <c r="N1079" t="s">
        <v>1824</v>
      </c>
      <c r="O1079" t="s">
        <v>4255</v>
      </c>
      <c r="S1079" t="s">
        <v>230</v>
      </c>
      <c r="T1079" s="5" t="s">
        <v>100</v>
      </c>
      <c r="Y1079" t="str">
        <f>VLOOKUP(C1079,'[1]DBS_KPY Sorumlular'!A:C,2,FALSE)</f>
        <v>Erkan AKDOĞAN</v>
      </c>
      <c r="Z1079" t="str">
        <f>VLOOKUP(C1079,'[1]DBS_KPY Sorumlular'!A:C,3,FALSE)</f>
        <v>Kadir TOPÇU</v>
      </c>
      <c r="AA1079" t="str">
        <f>VLOOKUP(K1079,[1]!Tablo3[#Data],2,FALSE)</f>
        <v>Kadir TOPÇU</v>
      </c>
    </row>
    <row r="1080" spans="1:27" x14ac:dyDescent="0.25">
      <c r="A1080">
        <v>2388</v>
      </c>
      <c r="B1080" t="s">
        <v>1419</v>
      </c>
      <c r="C1080" t="s">
        <v>1674</v>
      </c>
      <c r="D1080" t="s">
        <v>1675</v>
      </c>
      <c r="F1080" t="s">
        <v>66</v>
      </c>
      <c r="G1080" t="s">
        <v>67</v>
      </c>
      <c r="H1080" t="s">
        <v>4256</v>
      </c>
      <c r="I1080" s="4"/>
      <c r="K1080" t="s">
        <v>325</v>
      </c>
      <c r="L1080" s="5"/>
      <c r="M1080" s="5" t="s">
        <v>35</v>
      </c>
      <c r="N1080" t="s">
        <v>1824</v>
      </c>
      <c r="O1080" t="s">
        <v>4257</v>
      </c>
      <c r="S1080" t="s">
        <v>230</v>
      </c>
      <c r="T1080" s="5" t="s">
        <v>100</v>
      </c>
      <c r="W1080">
        <v>203</v>
      </c>
      <c r="X1080" t="s">
        <v>72</v>
      </c>
      <c r="Y1080" t="str">
        <f>VLOOKUP(C1080,'[1]DBS_KPY Sorumlular'!A:C,2,FALSE)</f>
        <v>Kadir TOPÇU</v>
      </c>
      <c r="Z1080" t="str">
        <f>VLOOKUP(C1080,'[1]DBS_KPY Sorumlular'!A:C,3,FALSE)</f>
        <v>Erkan AKDOĞAN</v>
      </c>
      <c r="AA1080" t="str">
        <f>VLOOKUP(K1080,[1]!Tablo3[#Data],2,FALSE)</f>
        <v>Kadir TOPÇU</v>
      </c>
    </row>
    <row r="1081" spans="1:27" x14ac:dyDescent="0.25">
      <c r="A1081">
        <v>2389</v>
      </c>
      <c r="B1081" t="s">
        <v>1419</v>
      </c>
      <c r="C1081" t="s">
        <v>1674</v>
      </c>
      <c r="D1081" t="s">
        <v>1675</v>
      </c>
      <c r="F1081" t="s">
        <v>66</v>
      </c>
      <c r="G1081" t="s">
        <v>67</v>
      </c>
      <c r="H1081" t="s">
        <v>4258</v>
      </c>
      <c r="I1081" s="4"/>
      <c r="J1081" t="s">
        <v>4259</v>
      </c>
      <c r="K1081" t="s">
        <v>325</v>
      </c>
      <c r="L1081" s="5"/>
      <c r="M1081" s="5" t="s">
        <v>35</v>
      </c>
      <c r="N1081" t="s">
        <v>1824</v>
      </c>
      <c r="O1081" t="s">
        <v>4260</v>
      </c>
      <c r="S1081" t="s">
        <v>230</v>
      </c>
      <c r="T1081" s="5" t="s">
        <v>100</v>
      </c>
      <c r="W1081">
        <v>203</v>
      </c>
      <c r="X1081" t="s">
        <v>72</v>
      </c>
      <c r="Y1081" t="str">
        <f>VLOOKUP(C1081,'[1]DBS_KPY Sorumlular'!A:C,2,FALSE)</f>
        <v>Kadir TOPÇU</v>
      </c>
      <c r="Z1081" t="str">
        <f>VLOOKUP(C1081,'[1]DBS_KPY Sorumlular'!A:C,3,FALSE)</f>
        <v>Erkan AKDOĞAN</v>
      </c>
      <c r="AA1081" t="str">
        <f>VLOOKUP(K1081,[1]!Tablo3[#Data],2,FALSE)</f>
        <v>Kadir TOPÇU</v>
      </c>
    </row>
    <row r="1082" spans="1:27" x14ac:dyDescent="0.25">
      <c r="A1082">
        <v>2390</v>
      </c>
      <c r="B1082" t="s">
        <v>1419</v>
      </c>
      <c r="C1082" t="s">
        <v>1674</v>
      </c>
      <c r="D1082" t="s">
        <v>1717</v>
      </c>
      <c r="F1082" t="s">
        <v>113</v>
      </c>
      <c r="G1082" t="s">
        <v>43</v>
      </c>
      <c r="H1082" t="s">
        <v>4261</v>
      </c>
      <c r="I1082" s="4"/>
      <c r="J1082" t="s">
        <v>4262</v>
      </c>
      <c r="K1082" t="s">
        <v>325</v>
      </c>
      <c r="L1082" s="5"/>
      <c r="M1082" s="5" t="s">
        <v>4028</v>
      </c>
      <c r="N1082" t="s">
        <v>35</v>
      </c>
      <c r="O1082" t="s">
        <v>4263</v>
      </c>
      <c r="S1082" t="s">
        <v>230</v>
      </c>
      <c r="T1082" s="5" t="s">
        <v>48</v>
      </c>
      <c r="U1082" t="s">
        <v>4264</v>
      </c>
      <c r="V1082" t="s">
        <v>4261</v>
      </c>
      <c r="W1082">
        <v>169</v>
      </c>
      <c r="X1082" t="s">
        <v>1480</v>
      </c>
      <c r="Y1082" t="str">
        <f>VLOOKUP(C1082,'[1]DBS_KPY Sorumlular'!A:C,2,FALSE)</f>
        <v>Kadir TOPÇU</v>
      </c>
      <c r="Z1082" t="str">
        <f>VLOOKUP(C1082,'[1]DBS_KPY Sorumlular'!A:C,3,FALSE)</f>
        <v>Erkan AKDOĞAN</v>
      </c>
      <c r="AA1082" t="str">
        <f>VLOOKUP(K1082,[1]!Tablo3[#Data],2,FALSE)</f>
        <v>Kadir TOPÇU</v>
      </c>
    </row>
    <row r="1083" spans="1:27" x14ac:dyDescent="0.25">
      <c r="A1083">
        <v>2391</v>
      </c>
      <c r="B1083" t="s">
        <v>1419</v>
      </c>
      <c r="C1083" t="s">
        <v>40</v>
      </c>
      <c r="D1083" t="s">
        <v>41</v>
      </c>
      <c r="F1083" t="s">
        <v>184</v>
      </c>
      <c r="G1083" t="s">
        <v>43</v>
      </c>
      <c r="H1083" t="s">
        <v>4265</v>
      </c>
      <c r="I1083" s="4"/>
      <c r="J1083" t="s">
        <v>4266</v>
      </c>
      <c r="K1083" t="s">
        <v>325</v>
      </c>
      <c r="L1083" s="5"/>
      <c r="M1083" s="5" t="s">
        <v>4028</v>
      </c>
      <c r="N1083" t="s">
        <v>1824</v>
      </c>
      <c r="O1083" t="s">
        <v>4267</v>
      </c>
      <c r="S1083" t="s">
        <v>230</v>
      </c>
      <c r="T1083" s="5" t="s">
        <v>100</v>
      </c>
      <c r="W1083">
        <v>68</v>
      </c>
      <c r="X1083" t="s">
        <v>51</v>
      </c>
      <c r="Y1083" t="str">
        <f>VLOOKUP(C1083,'[1]DBS_KPY Sorumlular'!A:C,2,FALSE)</f>
        <v>Mustafa AYDIN</v>
      </c>
      <c r="Z1083" t="str">
        <f>VLOOKUP(C1083,'[1]DBS_KPY Sorumlular'!A:C,3,FALSE)</f>
        <v>Esra DOLAN</v>
      </c>
      <c r="AA1083" t="str">
        <f>VLOOKUP(K1083,[1]!Tablo3[#Data],2,FALSE)</f>
        <v>Kadir TOPÇU</v>
      </c>
    </row>
    <row r="1084" spans="1:27" x14ac:dyDescent="0.25">
      <c r="A1084">
        <v>2392</v>
      </c>
      <c r="B1084" t="s">
        <v>1419</v>
      </c>
      <c r="C1084" t="s">
        <v>1674</v>
      </c>
      <c r="D1084" t="s">
        <v>1717</v>
      </c>
      <c r="F1084" t="s">
        <v>882</v>
      </c>
      <c r="G1084" t="s">
        <v>43</v>
      </c>
      <c r="H1084" t="s">
        <v>4268</v>
      </c>
      <c r="I1084" s="4"/>
      <c r="J1084" t="s">
        <v>4269</v>
      </c>
      <c r="K1084" t="s">
        <v>325</v>
      </c>
      <c r="L1084" s="5" t="s">
        <v>4270</v>
      </c>
      <c r="M1084" s="5" t="s">
        <v>4028</v>
      </c>
      <c r="N1084" t="s">
        <v>739</v>
      </c>
      <c r="O1084" t="s">
        <v>4271</v>
      </c>
      <c r="S1084" t="s">
        <v>230</v>
      </c>
      <c r="T1084" s="5" t="s">
        <v>100</v>
      </c>
      <c r="W1084">
        <v>115</v>
      </c>
      <c r="X1084" t="s">
        <v>350</v>
      </c>
      <c r="Y1084" t="str">
        <f>VLOOKUP(C1084,'[1]DBS_KPY Sorumlular'!A:C,2,FALSE)</f>
        <v>Kadir TOPÇU</v>
      </c>
      <c r="Z1084" t="str">
        <f>VLOOKUP(C1084,'[1]DBS_KPY Sorumlular'!A:C,3,FALSE)</f>
        <v>Erkan AKDOĞAN</v>
      </c>
      <c r="AA1084" t="str">
        <f>VLOOKUP(K1084,[1]!Tablo3[#Data],2,FALSE)</f>
        <v>Kadir TOPÇU</v>
      </c>
    </row>
    <row r="1085" spans="1:27" x14ac:dyDescent="0.25">
      <c r="A1085">
        <v>2393</v>
      </c>
      <c r="B1085" t="s">
        <v>1419</v>
      </c>
      <c r="C1085" t="s">
        <v>1674</v>
      </c>
      <c r="D1085" t="s">
        <v>1717</v>
      </c>
      <c r="F1085" t="s">
        <v>130</v>
      </c>
      <c r="G1085" t="s">
        <v>43</v>
      </c>
      <c r="H1085" t="s">
        <v>4272</v>
      </c>
      <c r="I1085" s="4"/>
      <c r="J1085" t="s">
        <v>4273</v>
      </c>
      <c r="K1085" t="s">
        <v>325</v>
      </c>
      <c r="L1085" s="5" t="s">
        <v>4274</v>
      </c>
      <c r="M1085" s="5" t="s">
        <v>4028</v>
      </c>
      <c r="N1085" t="s">
        <v>739</v>
      </c>
      <c r="O1085" t="s">
        <v>4275</v>
      </c>
      <c r="S1085" t="s">
        <v>230</v>
      </c>
      <c r="T1085" s="5" t="s">
        <v>100</v>
      </c>
      <c r="W1085">
        <v>21</v>
      </c>
      <c r="X1085" t="s">
        <v>4276</v>
      </c>
      <c r="Y1085" t="str">
        <f>VLOOKUP(C1085,'[1]DBS_KPY Sorumlular'!A:C,2,FALSE)</f>
        <v>Kadir TOPÇU</v>
      </c>
      <c r="Z1085" t="str">
        <f>VLOOKUP(C1085,'[1]DBS_KPY Sorumlular'!A:C,3,FALSE)</f>
        <v>Erkan AKDOĞAN</v>
      </c>
      <c r="AA1085" t="str">
        <f>VLOOKUP(K1085,[1]!Tablo3[#Data],2,FALSE)</f>
        <v>Kadir TOPÇU</v>
      </c>
    </row>
    <row r="1086" spans="1:27" x14ac:dyDescent="0.25">
      <c r="A1086">
        <v>2394</v>
      </c>
      <c r="B1086" t="s">
        <v>1419</v>
      </c>
      <c r="C1086" t="s">
        <v>402</v>
      </c>
      <c r="D1086" t="s">
        <v>403</v>
      </c>
      <c r="F1086" t="s">
        <v>383</v>
      </c>
      <c r="G1086" t="s">
        <v>384</v>
      </c>
      <c r="H1086" t="s">
        <v>4277</v>
      </c>
      <c r="I1086" s="4"/>
      <c r="J1086" t="s">
        <v>4278</v>
      </c>
      <c r="K1086" t="s">
        <v>325</v>
      </c>
      <c r="L1086" s="5" t="s">
        <v>4279</v>
      </c>
      <c r="M1086" s="5" t="s">
        <v>4028</v>
      </c>
      <c r="N1086" t="s">
        <v>1824</v>
      </c>
      <c r="O1086" t="s">
        <v>4280</v>
      </c>
      <c r="S1086" t="s">
        <v>230</v>
      </c>
      <c r="T1086" s="5" t="s">
        <v>48</v>
      </c>
      <c r="U1086" t="s">
        <v>4281</v>
      </c>
      <c r="V1086" t="s">
        <v>4282</v>
      </c>
      <c r="W1086">
        <v>174</v>
      </c>
      <c r="X1086" t="s">
        <v>4283</v>
      </c>
      <c r="Y1086" t="str">
        <f>VLOOKUP(C1086,'[1]DBS_KPY Sorumlular'!A:C,2,FALSE)</f>
        <v>Tayfun VİÇE</v>
      </c>
      <c r="Z1086" t="str">
        <f>VLOOKUP(C1086,'[1]DBS_KPY Sorumlular'!A:C,3,FALSE)</f>
        <v>Mehmet Ali YAVUZ</v>
      </c>
      <c r="AA1086" t="str">
        <f>VLOOKUP(K1086,[1]!Tablo3[#Data],2,FALSE)</f>
        <v>Kadir TOPÇU</v>
      </c>
    </row>
    <row r="1087" spans="1:27" x14ac:dyDescent="0.25">
      <c r="A1087">
        <v>2395</v>
      </c>
      <c r="B1087" t="s">
        <v>1419</v>
      </c>
      <c r="C1087" t="s">
        <v>4284</v>
      </c>
      <c r="D1087" t="s">
        <v>4285</v>
      </c>
      <c r="F1087" t="s">
        <v>3631</v>
      </c>
      <c r="G1087" t="s">
        <v>291</v>
      </c>
      <c r="H1087" t="s">
        <v>4286</v>
      </c>
      <c r="I1087" s="4"/>
      <c r="J1087" t="s">
        <v>4287</v>
      </c>
      <c r="K1087" t="s">
        <v>325</v>
      </c>
      <c r="L1087" s="5" t="s">
        <v>4288</v>
      </c>
      <c r="M1087" s="5" t="s">
        <v>4028</v>
      </c>
      <c r="N1087" t="s">
        <v>1824</v>
      </c>
      <c r="O1087" t="s">
        <v>4289</v>
      </c>
      <c r="S1087" t="s">
        <v>230</v>
      </c>
      <c r="T1087" s="5" t="s">
        <v>38</v>
      </c>
      <c r="W1087">
        <v>94</v>
      </c>
      <c r="X1087" t="s">
        <v>1707</v>
      </c>
      <c r="Y1087" t="str">
        <f>VLOOKUP(C1087,'[1]DBS_KPY Sorumlular'!A:C,2,FALSE)</f>
        <v>Korhan KÖROĞLU</v>
      </c>
      <c r="Z1087" t="str">
        <f>VLOOKUP(C1087,'[1]DBS_KPY Sorumlular'!A:C,3,FALSE)</f>
        <v>Seyithan İŞİK</v>
      </c>
      <c r="AA1087" t="str">
        <f>VLOOKUP(K1087,[1]!Tablo3[#Data],2,FALSE)</f>
        <v>Kadir TOPÇU</v>
      </c>
    </row>
    <row r="1088" spans="1:27" x14ac:dyDescent="0.25">
      <c r="A1088">
        <v>2396</v>
      </c>
      <c r="B1088" t="s">
        <v>1419</v>
      </c>
      <c r="C1088" t="s">
        <v>1723</v>
      </c>
      <c r="D1088" t="s">
        <v>2478</v>
      </c>
      <c r="F1088" t="s">
        <v>66</v>
      </c>
      <c r="G1088" t="s">
        <v>67</v>
      </c>
      <c r="H1088" t="s">
        <v>4290</v>
      </c>
      <c r="I1088" s="4"/>
      <c r="J1088" t="s">
        <v>4291</v>
      </c>
      <c r="K1088" t="s">
        <v>325</v>
      </c>
      <c r="L1088" s="5"/>
      <c r="M1088" s="5" t="s">
        <v>4292</v>
      </c>
      <c r="N1088" t="s">
        <v>1824</v>
      </c>
      <c r="O1088" t="s">
        <v>4293</v>
      </c>
      <c r="S1088" t="s">
        <v>230</v>
      </c>
      <c r="T1088" s="5" t="s">
        <v>38</v>
      </c>
      <c r="Y1088" t="str">
        <f>VLOOKUP(C1088,'[1]DBS_KPY Sorumlular'!A:C,2,FALSE)</f>
        <v>Erkan AKDOĞAN</v>
      </c>
      <c r="Z1088" t="str">
        <f>VLOOKUP(C1088,'[1]DBS_KPY Sorumlular'!A:C,3,FALSE)</f>
        <v>Kadir TOPÇU</v>
      </c>
      <c r="AA1088" t="str">
        <f>VLOOKUP(K1088,[1]!Tablo3[#Data],2,FALSE)</f>
        <v>Kadir TOPÇU</v>
      </c>
    </row>
    <row r="1089" spans="1:27" x14ac:dyDescent="0.25">
      <c r="A1089">
        <v>2397</v>
      </c>
      <c r="B1089" t="s">
        <v>1419</v>
      </c>
      <c r="C1089" t="s">
        <v>1674</v>
      </c>
      <c r="D1089" t="s">
        <v>1675</v>
      </c>
      <c r="F1089" t="s">
        <v>2141</v>
      </c>
      <c r="G1089" t="s">
        <v>30</v>
      </c>
      <c r="H1089" t="s">
        <v>4294</v>
      </c>
      <c r="I1089" s="4"/>
      <c r="J1089" t="s">
        <v>4295</v>
      </c>
      <c r="K1089" t="s">
        <v>325</v>
      </c>
      <c r="L1089" s="5"/>
      <c r="M1089" s="5" t="s">
        <v>4028</v>
      </c>
      <c r="N1089" t="s">
        <v>1824</v>
      </c>
      <c r="O1089" t="s">
        <v>4247</v>
      </c>
      <c r="S1089" t="s">
        <v>230</v>
      </c>
      <c r="T1089" s="5" t="s">
        <v>100</v>
      </c>
      <c r="W1089">
        <v>94</v>
      </c>
      <c r="X1089" t="s">
        <v>1707</v>
      </c>
      <c r="Y1089" t="str">
        <f>VLOOKUP(C1089,'[1]DBS_KPY Sorumlular'!A:C,2,FALSE)</f>
        <v>Kadir TOPÇU</v>
      </c>
      <c r="Z1089" t="str">
        <f>VLOOKUP(C1089,'[1]DBS_KPY Sorumlular'!A:C,3,FALSE)</f>
        <v>Erkan AKDOĞAN</v>
      </c>
      <c r="AA1089" t="str">
        <f>VLOOKUP(K1089,[1]!Tablo3[#Data],2,FALSE)</f>
        <v>Kadir TOPÇU</v>
      </c>
    </row>
    <row r="1090" spans="1:27" x14ac:dyDescent="0.25">
      <c r="A1090">
        <v>2398</v>
      </c>
      <c r="B1090" t="s">
        <v>1419</v>
      </c>
      <c r="C1090" t="s">
        <v>652</v>
      </c>
      <c r="D1090" t="s">
        <v>653</v>
      </c>
      <c r="F1090" t="s">
        <v>290</v>
      </c>
      <c r="G1090" t="s">
        <v>291</v>
      </c>
      <c r="H1090" t="s">
        <v>4296</v>
      </c>
      <c r="I1090" s="4"/>
      <c r="K1090" t="s">
        <v>835</v>
      </c>
      <c r="L1090" s="5" t="s">
        <v>4297</v>
      </c>
      <c r="M1090" s="5" t="s">
        <v>35</v>
      </c>
      <c r="N1090" t="s">
        <v>1824</v>
      </c>
      <c r="O1090" t="s">
        <v>4298</v>
      </c>
      <c r="S1090" t="s">
        <v>230</v>
      </c>
      <c r="T1090" s="5" t="s">
        <v>48</v>
      </c>
      <c r="U1090" t="s">
        <v>4299</v>
      </c>
      <c r="V1090" t="s">
        <v>4300</v>
      </c>
      <c r="W1090">
        <v>144</v>
      </c>
      <c r="X1090" t="s">
        <v>463</v>
      </c>
      <c r="Y1090" t="str">
        <f>VLOOKUP(C1090,'[1]DBS_KPY Sorumlular'!A:C,2,FALSE)</f>
        <v>Seyithan İŞİK</v>
      </c>
      <c r="Z1090" t="str">
        <f>VLOOKUP(C1090,'[1]DBS_KPY Sorumlular'!A:C,3,FALSE)</f>
        <v>Korhan KÖROĞLU</v>
      </c>
      <c r="AA1090" t="str">
        <f>VLOOKUP(K1090,[1]!Tablo3[#Data],2,FALSE)</f>
        <v>Kadir TOPÇU</v>
      </c>
    </row>
    <row r="1091" spans="1:27" x14ac:dyDescent="0.25">
      <c r="A1091">
        <v>2399</v>
      </c>
      <c r="B1091" t="s">
        <v>1419</v>
      </c>
      <c r="C1091" t="s">
        <v>1674</v>
      </c>
      <c r="D1091" t="s">
        <v>1717</v>
      </c>
      <c r="F1091" t="s">
        <v>102</v>
      </c>
      <c r="G1091" t="s">
        <v>43</v>
      </c>
      <c r="H1091" t="s">
        <v>4301</v>
      </c>
      <c r="I1091" s="4"/>
      <c r="J1091" t="s">
        <v>4302</v>
      </c>
      <c r="K1091" t="s">
        <v>364</v>
      </c>
      <c r="L1091" s="5"/>
      <c r="M1091" s="5" t="s">
        <v>4303</v>
      </c>
      <c r="N1091" t="s">
        <v>35</v>
      </c>
      <c r="O1091" t="s">
        <v>4304</v>
      </c>
      <c r="S1091" t="s">
        <v>230</v>
      </c>
      <c r="T1091" s="5" t="s">
        <v>48</v>
      </c>
      <c r="U1091" t="s">
        <v>4305</v>
      </c>
      <c r="V1091" t="s">
        <v>4306</v>
      </c>
      <c r="W1091">
        <v>147</v>
      </c>
      <c r="X1091" t="s">
        <v>1180</v>
      </c>
      <c r="Y1091" t="str">
        <f>VLOOKUP(C1091,'[1]DBS_KPY Sorumlular'!A:C,2,FALSE)</f>
        <v>Kadir TOPÇU</v>
      </c>
      <c r="Z1091" t="str">
        <f>VLOOKUP(C1091,'[1]DBS_KPY Sorumlular'!A:C,3,FALSE)</f>
        <v>Erkan AKDOĞAN</v>
      </c>
      <c r="AA1091" t="str">
        <f>VLOOKUP(K1091,[1]!Tablo3[#Data],2,FALSE)</f>
        <v>Kadir TOPÇU</v>
      </c>
    </row>
    <row r="1092" spans="1:27" x14ac:dyDescent="0.25">
      <c r="A1092">
        <v>2400</v>
      </c>
      <c r="B1092" t="s">
        <v>1419</v>
      </c>
      <c r="C1092" t="s">
        <v>652</v>
      </c>
      <c r="D1092" t="s">
        <v>653</v>
      </c>
      <c r="F1092" t="s">
        <v>455</v>
      </c>
      <c r="G1092" t="s">
        <v>456</v>
      </c>
      <c r="H1092" t="s">
        <v>4307</v>
      </c>
      <c r="I1092" s="4"/>
      <c r="J1092" t="s">
        <v>4308</v>
      </c>
      <c r="K1092" t="s">
        <v>364</v>
      </c>
      <c r="L1092" s="5"/>
      <c r="M1092" s="5" t="s">
        <v>35</v>
      </c>
      <c r="N1092" t="s">
        <v>1824</v>
      </c>
      <c r="O1092" t="s">
        <v>4309</v>
      </c>
      <c r="S1092" t="s">
        <v>230</v>
      </c>
      <c r="T1092" s="5" t="s">
        <v>48</v>
      </c>
      <c r="U1092" t="s">
        <v>4310</v>
      </c>
      <c r="V1092" t="s">
        <v>4307</v>
      </c>
      <c r="W1092">
        <v>144</v>
      </c>
      <c r="X1092" t="s">
        <v>463</v>
      </c>
      <c r="Y1092" t="str">
        <f>VLOOKUP(C1092,'[1]DBS_KPY Sorumlular'!A:C,2,FALSE)</f>
        <v>Seyithan İŞİK</v>
      </c>
      <c r="Z1092" t="str">
        <f>VLOOKUP(C1092,'[1]DBS_KPY Sorumlular'!A:C,3,FALSE)</f>
        <v>Korhan KÖROĞLU</v>
      </c>
      <c r="AA1092" t="str">
        <f>VLOOKUP(K1092,[1]!Tablo3[#Data],2,FALSE)</f>
        <v>Kadir TOPÇU</v>
      </c>
    </row>
    <row r="1093" spans="1:27" x14ac:dyDescent="0.25">
      <c r="A1093">
        <v>2401</v>
      </c>
      <c r="B1093" t="s">
        <v>1419</v>
      </c>
      <c r="C1093" t="s">
        <v>137</v>
      </c>
      <c r="D1093" t="s">
        <v>4030</v>
      </c>
      <c r="E1093" t="s">
        <v>4030</v>
      </c>
      <c r="F1093" t="s">
        <v>95</v>
      </c>
      <c r="G1093" t="s">
        <v>43</v>
      </c>
      <c r="H1093" t="s">
        <v>4311</v>
      </c>
      <c r="I1093" s="4"/>
      <c r="J1093" t="s">
        <v>4312</v>
      </c>
      <c r="K1093" t="s">
        <v>423</v>
      </c>
      <c r="L1093" s="5"/>
      <c r="M1093" s="5" t="s">
        <v>4028</v>
      </c>
      <c r="N1093" t="s">
        <v>1824</v>
      </c>
      <c r="O1093" t="s">
        <v>4313</v>
      </c>
      <c r="S1093" t="s">
        <v>230</v>
      </c>
      <c r="T1093" s="5" t="s">
        <v>38</v>
      </c>
      <c r="W1093">
        <v>94</v>
      </c>
      <c r="X1093" t="s">
        <v>1707</v>
      </c>
      <c r="Y1093" t="str">
        <f>VLOOKUP(C1093,'[1]DBS_KPY Sorumlular'!A:C,2,FALSE)</f>
        <v>Erkan AKDOĞAN</v>
      </c>
      <c r="Z1093" t="str">
        <f>VLOOKUP(C1093,'[1]DBS_KPY Sorumlular'!A:C,3,FALSE)</f>
        <v>Kadir TOPÇU</v>
      </c>
      <c r="AA1093" t="str">
        <f>VLOOKUP(K1093,[1]!Tablo3[#Data],2,FALSE)</f>
        <v>Kadir TOPÇU</v>
      </c>
    </row>
    <row r="1094" spans="1:27" x14ac:dyDescent="0.25">
      <c r="A1094">
        <v>2402</v>
      </c>
      <c r="B1094" t="s">
        <v>27</v>
      </c>
      <c r="C1094" t="s">
        <v>40</v>
      </c>
      <c r="D1094" t="s">
        <v>41</v>
      </c>
      <c r="F1094" t="s">
        <v>4314</v>
      </c>
      <c r="G1094" t="s">
        <v>43</v>
      </c>
      <c r="H1094" t="s">
        <v>4315</v>
      </c>
      <c r="I1094" s="4"/>
      <c r="K1094" t="s">
        <v>435</v>
      </c>
      <c r="L1094" s="5"/>
      <c r="M1094" s="5"/>
      <c r="N1094" t="s">
        <v>35</v>
      </c>
      <c r="O1094" t="s">
        <v>4316</v>
      </c>
      <c r="S1094" t="s">
        <v>37</v>
      </c>
      <c r="T1094" s="5" t="s">
        <v>58</v>
      </c>
      <c r="U1094" t="s">
        <v>437</v>
      </c>
      <c r="V1094" t="s">
        <v>438</v>
      </c>
      <c r="W1094">
        <v>131</v>
      </c>
      <c r="X1094" t="s">
        <v>61</v>
      </c>
      <c r="Y1094" t="str">
        <f>VLOOKUP(C1094,'[1]DBS_KPY Sorumlular'!A:C,2,FALSE)</f>
        <v>Mustafa AYDIN</v>
      </c>
      <c r="Z1094" t="str">
        <f>VLOOKUP(C1094,'[1]DBS_KPY Sorumlular'!A:C,3,FALSE)</f>
        <v>Esra DOLAN</v>
      </c>
      <c r="AA1094" t="str">
        <f>VLOOKUP(K1094,[1]!Tablo3[#Data],2,FALSE)</f>
        <v>Tayfun VİÇE</v>
      </c>
    </row>
    <row r="1095" spans="1:27" x14ac:dyDescent="0.25">
      <c r="A1095">
        <v>2403</v>
      </c>
      <c r="B1095" t="s">
        <v>27</v>
      </c>
      <c r="C1095" t="s">
        <v>40</v>
      </c>
      <c r="D1095" t="s">
        <v>41</v>
      </c>
      <c r="F1095" t="s">
        <v>4314</v>
      </c>
      <c r="G1095" t="s">
        <v>43</v>
      </c>
      <c r="H1095" t="s">
        <v>4317</v>
      </c>
      <c r="I1095" s="4"/>
      <c r="K1095" t="s">
        <v>435</v>
      </c>
      <c r="L1095" s="5"/>
      <c r="M1095" s="5"/>
      <c r="N1095" t="s">
        <v>35</v>
      </c>
      <c r="O1095" t="s">
        <v>4318</v>
      </c>
      <c r="S1095" t="s">
        <v>37</v>
      </c>
      <c r="T1095" s="5" t="s">
        <v>58</v>
      </c>
      <c r="U1095" t="s">
        <v>437</v>
      </c>
      <c r="V1095" t="s">
        <v>438</v>
      </c>
      <c r="W1095">
        <v>131</v>
      </c>
      <c r="X1095" t="s">
        <v>61</v>
      </c>
      <c r="Y1095" t="str">
        <f>VLOOKUP(C1095,'[1]DBS_KPY Sorumlular'!A:C,2,FALSE)</f>
        <v>Mustafa AYDIN</v>
      </c>
      <c r="Z1095" t="str">
        <f>VLOOKUP(C1095,'[1]DBS_KPY Sorumlular'!A:C,3,FALSE)</f>
        <v>Esra DOLAN</v>
      </c>
      <c r="AA1095" t="str">
        <f>VLOOKUP(K1095,[1]!Tablo3[#Data],2,FALSE)</f>
        <v>Tayfun VİÇE</v>
      </c>
    </row>
    <row r="1096" spans="1:27" x14ac:dyDescent="0.25">
      <c r="A1096">
        <v>2404</v>
      </c>
      <c r="B1096" t="s">
        <v>1419</v>
      </c>
      <c r="C1096" t="s">
        <v>40</v>
      </c>
      <c r="D1096" t="s">
        <v>41</v>
      </c>
      <c r="F1096" t="s">
        <v>4314</v>
      </c>
      <c r="G1096" t="s">
        <v>43</v>
      </c>
      <c r="H1096" t="s">
        <v>4319</v>
      </c>
      <c r="I1096" s="4"/>
      <c r="K1096" t="s">
        <v>435</v>
      </c>
      <c r="L1096" s="5"/>
      <c r="M1096" s="5" t="s">
        <v>35</v>
      </c>
      <c r="N1096" t="s">
        <v>1824</v>
      </c>
      <c r="O1096" t="s">
        <v>4320</v>
      </c>
      <c r="S1096" t="s">
        <v>37</v>
      </c>
      <c r="T1096" s="5" t="s">
        <v>100</v>
      </c>
      <c r="W1096">
        <v>131</v>
      </c>
      <c r="X1096" t="s">
        <v>61</v>
      </c>
      <c r="Y1096" t="str">
        <f>VLOOKUP(C1096,'[1]DBS_KPY Sorumlular'!A:C,2,FALSE)</f>
        <v>Mustafa AYDIN</v>
      </c>
      <c r="Z1096" t="str">
        <f>VLOOKUP(C1096,'[1]DBS_KPY Sorumlular'!A:C,3,FALSE)</f>
        <v>Esra DOLAN</v>
      </c>
      <c r="AA1096" t="str">
        <f>VLOOKUP(K1096,[1]!Tablo3[#Data],2,FALSE)</f>
        <v>Tayfun VİÇE</v>
      </c>
    </row>
    <row r="1097" spans="1:27" x14ac:dyDescent="0.25">
      <c r="A1097">
        <v>2405</v>
      </c>
      <c r="B1097" t="s">
        <v>1419</v>
      </c>
      <c r="C1097" t="s">
        <v>40</v>
      </c>
      <c r="D1097" t="s">
        <v>65</v>
      </c>
      <c r="F1097" t="s">
        <v>4314</v>
      </c>
      <c r="G1097" t="s">
        <v>43</v>
      </c>
      <c r="H1097" t="s">
        <v>4321</v>
      </c>
      <c r="I1097" s="4"/>
      <c r="J1097" t="s">
        <v>4322</v>
      </c>
      <c r="K1097" t="s">
        <v>435</v>
      </c>
      <c r="L1097" s="5"/>
      <c r="M1097" s="5" t="s">
        <v>35</v>
      </c>
      <c r="N1097" t="s">
        <v>35</v>
      </c>
      <c r="O1097" t="s">
        <v>4323</v>
      </c>
      <c r="S1097" t="s">
        <v>37</v>
      </c>
      <c r="T1097" s="5" t="s">
        <v>48</v>
      </c>
      <c r="U1097" t="s">
        <v>4324</v>
      </c>
      <c r="V1097" t="s">
        <v>4321</v>
      </c>
      <c r="W1097">
        <v>79</v>
      </c>
      <c r="X1097" t="s">
        <v>1619</v>
      </c>
      <c r="Y1097" t="str">
        <f>VLOOKUP(C1097,'[1]DBS_KPY Sorumlular'!A:C,2,FALSE)</f>
        <v>Mustafa AYDIN</v>
      </c>
      <c r="Z1097" t="str">
        <f>VLOOKUP(C1097,'[1]DBS_KPY Sorumlular'!A:C,3,FALSE)</f>
        <v>Esra DOLAN</v>
      </c>
      <c r="AA1097" t="str">
        <f>VLOOKUP(K1097,[1]!Tablo3[#Data],2,FALSE)</f>
        <v>Tayfun VİÇE</v>
      </c>
    </row>
    <row r="1098" spans="1:27" x14ac:dyDescent="0.25">
      <c r="A1098">
        <v>2406</v>
      </c>
      <c r="B1098" t="s">
        <v>1419</v>
      </c>
      <c r="C1098" t="s">
        <v>40</v>
      </c>
      <c r="D1098" t="s">
        <v>65</v>
      </c>
      <c r="F1098" t="s">
        <v>4314</v>
      </c>
      <c r="G1098" t="s">
        <v>30</v>
      </c>
      <c r="H1098" t="s">
        <v>4325</v>
      </c>
      <c r="I1098" s="4"/>
      <c r="J1098" t="s">
        <v>4326</v>
      </c>
      <c r="K1098" t="s">
        <v>435</v>
      </c>
      <c r="L1098" s="5"/>
      <c r="M1098" s="5"/>
      <c r="N1098" t="s">
        <v>35</v>
      </c>
      <c r="O1098" t="s">
        <v>4327</v>
      </c>
      <c r="S1098" t="s">
        <v>37</v>
      </c>
      <c r="T1098" s="5" t="s">
        <v>48</v>
      </c>
      <c r="U1098" t="s">
        <v>4328</v>
      </c>
      <c r="V1098" t="s">
        <v>4325</v>
      </c>
      <c r="W1098">
        <v>79</v>
      </c>
      <c r="X1098" t="s">
        <v>1619</v>
      </c>
      <c r="Y1098" t="str">
        <f>VLOOKUP(C1098,'[1]DBS_KPY Sorumlular'!A:C,2,FALSE)</f>
        <v>Mustafa AYDIN</v>
      </c>
      <c r="Z1098" t="str">
        <f>VLOOKUP(C1098,'[1]DBS_KPY Sorumlular'!A:C,3,FALSE)</f>
        <v>Esra DOLAN</v>
      </c>
      <c r="AA1098" t="str">
        <f>VLOOKUP(K1098,[1]!Tablo3[#Data],2,FALSE)</f>
        <v>Tayfun VİÇE</v>
      </c>
    </row>
    <row r="1099" spans="1:27" x14ac:dyDescent="0.25">
      <c r="A1099">
        <v>2407</v>
      </c>
      <c r="B1099" t="s">
        <v>1419</v>
      </c>
      <c r="C1099" t="s">
        <v>4329</v>
      </c>
      <c r="D1099" t="s">
        <v>4330</v>
      </c>
      <c r="F1099" t="s">
        <v>4331</v>
      </c>
      <c r="G1099" t="s">
        <v>96</v>
      </c>
      <c r="H1099" t="s">
        <v>4332</v>
      </c>
      <c r="I1099" s="4">
        <v>45837.875</v>
      </c>
      <c r="J1099" t="s">
        <v>4333</v>
      </c>
      <c r="K1099" t="s">
        <v>435</v>
      </c>
      <c r="L1099" s="5" t="s">
        <v>4334</v>
      </c>
      <c r="M1099" s="5" t="s">
        <v>35</v>
      </c>
      <c r="N1099" t="s">
        <v>35</v>
      </c>
      <c r="O1099" t="s">
        <v>4335</v>
      </c>
      <c r="S1099" t="s">
        <v>37</v>
      </c>
      <c r="T1099" s="5" t="s">
        <v>38</v>
      </c>
      <c r="W1099">
        <v>68</v>
      </c>
      <c r="X1099" t="s">
        <v>51</v>
      </c>
      <c r="Y1099" t="str">
        <f>VLOOKUP(C1099,'[1]DBS_KPY Sorumlular'!A:C,2,FALSE)</f>
        <v>Esra DOLAN</v>
      </c>
      <c r="Z1099" t="str">
        <f>VLOOKUP(C1099,'[1]DBS_KPY Sorumlular'!A:C,3,FALSE)</f>
        <v>Mustafa AYDIN</v>
      </c>
      <c r="AA1099" t="str">
        <f>VLOOKUP(K1099,[1]!Tablo3[#Data],2,FALSE)</f>
        <v>Tayfun VİÇE</v>
      </c>
    </row>
    <row r="1100" spans="1:27" x14ac:dyDescent="0.25">
      <c r="A1100">
        <v>2408</v>
      </c>
      <c r="B1100" t="s">
        <v>1419</v>
      </c>
      <c r="C1100" t="s">
        <v>4336</v>
      </c>
      <c r="D1100" t="s">
        <v>4337</v>
      </c>
      <c r="F1100" t="s">
        <v>42</v>
      </c>
      <c r="G1100" t="s">
        <v>43</v>
      </c>
      <c r="H1100" t="s">
        <v>4338</v>
      </c>
      <c r="I1100" s="4"/>
      <c r="J1100" t="s">
        <v>4339</v>
      </c>
      <c r="K1100" t="s">
        <v>435</v>
      </c>
      <c r="L1100" s="5" t="s">
        <v>4340</v>
      </c>
      <c r="M1100" s="5" t="s">
        <v>35</v>
      </c>
      <c r="N1100" t="s">
        <v>1824</v>
      </c>
      <c r="O1100" t="s">
        <v>4341</v>
      </c>
      <c r="S1100" t="s">
        <v>37</v>
      </c>
      <c r="T1100" s="5" t="s">
        <v>38</v>
      </c>
      <c r="W1100">
        <v>72</v>
      </c>
      <c r="X1100" t="s">
        <v>341</v>
      </c>
      <c r="Y1100" t="str">
        <f>VLOOKUP(C1100,'[1]DBS_KPY Sorumlular'!A:C,2,FALSE)</f>
        <v>Korhan KÖROĞLU</v>
      </c>
      <c r="Z1100" t="str">
        <f>VLOOKUP(C1100,'[1]DBS_KPY Sorumlular'!A:C,3,FALSE)</f>
        <v>Seyithan İŞİK</v>
      </c>
      <c r="AA1100" t="str">
        <f>VLOOKUP(K1100,[1]!Tablo3[#Data],2,FALSE)</f>
        <v>Tayfun VİÇE</v>
      </c>
    </row>
    <row r="1101" spans="1:27" x14ac:dyDescent="0.25">
      <c r="A1101">
        <v>2409</v>
      </c>
      <c r="B1101" t="s">
        <v>1419</v>
      </c>
      <c r="C1101" t="s">
        <v>1674</v>
      </c>
      <c r="D1101" t="s">
        <v>1717</v>
      </c>
      <c r="F1101" t="s">
        <v>642</v>
      </c>
      <c r="G1101" t="s">
        <v>43</v>
      </c>
      <c r="H1101" t="s">
        <v>4342</v>
      </c>
      <c r="I1101" s="4"/>
      <c r="J1101" t="s">
        <v>4343</v>
      </c>
      <c r="K1101" t="s">
        <v>435</v>
      </c>
      <c r="L1101" s="5" t="s">
        <v>3542</v>
      </c>
      <c r="M1101" s="5" t="s">
        <v>35</v>
      </c>
      <c r="N1101" t="s">
        <v>739</v>
      </c>
      <c r="O1101" t="s">
        <v>4344</v>
      </c>
      <c r="S1101" t="s">
        <v>37</v>
      </c>
      <c r="T1101" s="5" t="s">
        <v>100</v>
      </c>
      <c r="W1101">
        <v>71</v>
      </c>
      <c r="X1101" t="s">
        <v>1299</v>
      </c>
      <c r="Y1101" t="str">
        <f>VLOOKUP(C1101,'[1]DBS_KPY Sorumlular'!A:C,2,FALSE)</f>
        <v>Kadir TOPÇU</v>
      </c>
      <c r="Z1101" t="str">
        <f>VLOOKUP(C1101,'[1]DBS_KPY Sorumlular'!A:C,3,FALSE)</f>
        <v>Erkan AKDOĞAN</v>
      </c>
      <c r="AA1101" t="str">
        <f>VLOOKUP(K1101,[1]!Tablo3[#Data],2,FALSE)</f>
        <v>Tayfun VİÇE</v>
      </c>
    </row>
    <row r="1102" spans="1:27" x14ac:dyDescent="0.25">
      <c r="A1102">
        <v>2410</v>
      </c>
      <c r="B1102" t="s">
        <v>1419</v>
      </c>
      <c r="C1102" t="s">
        <v>1674</v>
      </c>
      <c r="D1102" t="s">
        <v>1717</v>
      </c>
      <c r="F1102" t="s">
        <v>882</v>
      </c>
      <c r="G1102" t="s">
        <v>291</v>
      </c>
      <c r="H1102" t="s">
        <v>4345</v>
      </c>
      <c r="I1102" s="4"/>
      <c r="J1102" t="s">
        <v>4346</v>
      </c>
      <c r="K1102" t="s">
        <v>435</v>
      </c>
      <c r="L1102" s="5"/>
      <c r="M1102" s="5" t="s">
        <v>35</v>
      </c>
      <c r="N1102" t="s">
        <v>1824</v>
      </c>
      <c r="O1102" t="s">
        <v>4347</v>
      </c>
      <c r="S1102" t="s">
        <v>37</v>
      </c>
      <c r="T1102" s="5" t="s">
        <v>100</v>
      </c>
      <c r="W1102">
        <v>114</v>
      </c>
      <c r="X1102" t="s">
        <v>136</v>
      </c>
      <c r="Y1102" t="str">
        <f>VLOOKUP(C1102,'[1]DBS_KPY Sorumlular'!A:C,2,FALSE)</f>
        <v>Kadir TOPÇU</v>
      </c>
      <c r="Z1102" t="str">
        <f>VLOOKUP(C1102,'[1]DBS_KPY Sorumlular'!A:C,3,FALSE)</f>
        <v>Erkan AKDOĞAN</v>
      </c>
      <c r="AA1102" t="str">
        <f>VLOOKUP(K1102,[1]!Tablo3[#Data],2,FALSE)</f>
        <v>Tayfun VİÇE</v>
      </c>
    </row>
    <row r="1103" spans="1:27" x14ac:dyDescent="0.25">
      <c r="A1103">
        <v>2411</v>
      </c>
      <c r="B1103" t="s">
        <v>1419</v>
      </c>
      <c r="C1103" t="s">
        <v>652</v>
      </c>
      <c r="D1103" t="s">
        <v>653</v>
      </c>
      <c r="F1103" t="s">
        <v>455</v>
      </c>
      <c r="G1103" t="s">
        <v>456</v>
      </c>
      <c r="H1103" t="s">
        <v>4348</v>
      </c>
      <c r="I1103" s="4"/>
      <c r="J1103" t="s">
        <v>4349</v>
      </c>
      <c r="K1103" t="s">
        <v>435</v>
      </c>
      <c r="L1103" s="5"/>
      <c r="M1103" s="5" t="s">
        <v>35</v>
      </c>
      <c r="N1103" t="s">
        <v>1824</v>
      </c>
      <c r="O1103" t="s">
        <v>4350</v>
      </c>
      <c r="S1103" t="s">
        <v>37</v>
      </c>
      <c r="T1103" s="5" t="s">
        <v>100</v>
      </c>
      <c r="W1103">
        <v>144</v>
      </c>
      <c r="X1103" t="s">
        <v>463</v>
      </c>
      <c r="Y1103" t="str">
        <f>VLOOKUP(C1103,'[1]DBS_KPY Sorumlular'!A:C,2,FALSE)</f>
        <v>Seyithan İŞİK</v>
      </c>
      <c r="Z1103" t="str">
        <f>VLOOKUP(C1103,'[1]DBS_KPY Sorumlular'!A:C,3,FALSE)</f>
        <v>Korhan KÖROĞLU</v>
      </c>
      <c r="AA1103" t="str">
        <f>VLOOKUP(K1103,[1]!Tablo3[#Data],2,FALSE)</f>
        <v>Tayfun VİÇE</v>
      </c>
    </row>
    <row r="1104" spans="1:27" x14ac:dyDescent="0.25">
      <c r="A1104">
        <v>2412</v>
      </c>
      <c r="B1104" t="s">
        <v>1419</v>
      </c>
      <c r="C1104" t="s">
        <v>4351</v>
      </c>
      <c r="D1104" t="s">
        <v>4352</v>
      </c>
      <c r="F1104" t="s">
        <v>102</v>
      </c>
      <c r="G1104" t="s">
        <v>43</v>
      </c>
      <c r="H1104" t="s">
        <v>4353</v>
      </c>
      <c r="I1104" s="4"/>
      <c r="J1104" t="s">
        <v>4354</v>
      </c>
      <c r="K1104" t="s">
        <v>435</v>
      </c>
      <c r="L1104" s="5" t="s">
        <v>4355</v>
      </c>
      <c r="M1104" s="5" t="s">
        <v>4356</v>
      </c>
      <c r="N1104" t="s">
        <v>739</v>
      </c>
      <c r="O1104" t="s">
        <v>4357</v>
      </c>
      <c r="S1104" t="s">
        <v>37</v>
      </c>
      <c r="T1104" s="5" t="s">
        <v>38</v>
      </c>
      <c r="W1104">
        <v>68</v>
      </c>
      <c r="X1104" t="s">
        <v>51</v>
      </c>
      <c r="Y1104" t="str">
        <f>VLOOKUP(C1104,'[1]DBS_KPY Sorumlular'!A:C,2,FALSE)</f>
        <v>Mehmet Ali YAVUZ</v>
      </c>
      <c r="Z1104" t="str">
        <f>VLOOKUP(C1104,'[1]DBS_KPY Sorumlular'!A:C,3,FALSE)</f>
        <v>Tayfun VİÇE</v>
      </c>
      <c r="AA1104" t="str">
        <f>VLOOKUP(K1104,[1]!Tablo3[#Data],2,FALSE)</f>
        <v>Tayfun VİÇE</v>
      </c>
    </row>
    <row r="1105" spans="1:27" x14ac:dyDescent="0.25">
      <c r="A1105">
        <v>2413</v>
      </c>
      <c r="B1105" t="s">
        <v>1419</v>
      </c>
      <c r="C1105" t="s">
        <v>1674</v>
      </c>
      <c r="D1105" t="s">
        <v>1717</v>
      </c>
      <c r="F1105" t="s">
        <v>882</v>
      </c>
      <c r="G1105" t="s">
        <v>43</v>
      </c>
      <c r="H1105" t="s">
        <v>4358</v>
      </c>
      <c r="I1105" s="4"/>
      <c r="J1105" t="s">
        <v>4359</v>
      </c>
      <c r="K1105" t="s">
        <v>435</v>
      </c>
      <c r="L1105" s="5"/>
      <c r="M1105" s="5" t="s">
        <v>35</v>
      </c>
      <c r="N1105" t="s">
        <v>1824</v>
      </c>
      <c r="O1105" t="s">
        <v>4360</v>
      </c>
      <c r="S1105" t="s">
        <v>37</v>
      </c>
      <c r="T1105" s="5" t="s">
        <v>100</v>
      </c>
      <c r="W1105">
        <v>168</v>
      </c>
      <c r="X1105" t="s">
        <v>394</v>
      </c>
      <c r="Y1105" t="str">
        <f>VLOOKUP(C1105,'[1]DBS_KPY Sorumlular'!A:C,2,FALSE)</f>
        <v>Kadir TOPÇU</v>
      </c>
      <c r="Z1105" t="str">
        <f>VLOOKUP(C1105,'[1]DBS_KPY Sorumlular'!A:C,3,FALSE)</f>
        <v>Erkan AKDOĞAN</v>
      </c>
      <c r="AA1105" t="str">
        <f>VLOOKUP(K1105,[1]!Tablo3[#Data],2,FALSE)</f>
        <v>Tayfun VİÇE</v>
      </c>
    </row>
    <row r="1106" spans="1:27" x14ac:dyDescent="0.25">
      <c r="A1106">
        <v>2414</v>
      </c>
      <c r="B1106" t="s">
        <v>1419</v>
      </c>
      <c r="C1106" t="s">
        <v>1674</v>
      </c>
      <c r="D1106" t="s">
        <v>1717</v>
      </c>
      <c r="F1106" t="s">
        <v>102</v>
      </c>
      <c r="G1106" t="s">
        <v>43</v>
      </c>
      <c r="H1106" t="s">
        <v>4361</v>
      </c>
      <c r="I1106" s="4"/>
      <c r="J1106" t="s">
        <v>4362</v>
      </c>
      <c r="K1106" t="s">
        <v>435</v>
      </c>
      <c r="L1106" s="5"/>
      <c r="M1106" s="5" t="s">
        <v>35</v>
      </c>
      <c r="N1106" t="s">
        <v>1824</v>
      </c>
      <c r="O1106" t="s">
        <v>4363</v>
      </c>
      <c r="S1106" t="s">
        <v>37</v>
      </c>
      <c r="T1106" s="5" t="s">
        <v>100</v>
      </c>
      <c r="W1106">
        <v>108</v>
      </c>
      <c r="X1106" t="s">
        <v>107</v>
      </c>
      <c r="Y1106" t="str">
        <f>VLOOKUP(C1106,'[1]DBS_KPY Sorumlular'!A:C,2,FALSE)</f>
        <v>Kadir TOPÇU</v>
      </c>
      <c r="Z1106" t="str">
        <f>VLOOKUP(C1106,'[1]DBS_KPY Sorumlular'!A:C,3,FALSE)</f>
        <v>Erkan AKDOĞAN</v>
      </c>
      <c r="AA1106" t="str">
        <f>VLOOKUP(K1106,[1]!Tablo3[#Data],2,FALSE)</f>
        <v>Tayfun VİÇE</v>
      </c>
    </row>
    <row r="1107" spans="1:27" x14ac:dyDescent="0.25">
      <c r="A1107">
        <v>2415</v>
      </c>
      <c r="B1107" t="s">
        <v>1419</v>
      </c>
      <c r="C1107" t="s">
        <v>1674</v>
      </c>
      <c r="D1107" t="s">
        <v>1717</v>
      </c>
      <c r="F1107" t="s">
        <v>102</v>
      </c>
      <c r="G1107" t="s">
        <v>43</v>
      </c>
      <c r="H1107" t="s">
        <v>4364</v>
      </c>
      <c r="I1107" s="4"/>
      <c r="J1107" t="s">
        <v>4365</v>
      </c>
      <c r="K1107" t="s">
        <v>435</v>
      </c>
      <c r="L1107" s="5" t="s">
        <v>3542</v>
      </c>
      <c r="M1107" s="5" t="s">
        <v>35</v>
      </c>
      <c r="N1107" t="s">
        <v>739</v>
      </c>
      <c r="O1107" t="s">
        <v>4366</v>
      </c>
      <c r="S1107" t="s">
        <v>37</v>
      </c>
      <c r="T1107" s="5" t="s">
        <v>100</v>
      </c>
      <c r="W1107">
        <v>40</v>
      </c>
      <c r="X1107" t="s">
        <v>1117</v>
      </c>
      <c r="Y1107" t="str">
        <f>VLOOKUP(C1107,'[1]DBS_KPY Sorumlular'!A:C,2,FALSE)</f>
        <v>Kadir TOPÇU</v>
      </c>
      <c r="Z1107" t="str">
        <f>VLOOKUP(C1107,'[1]DBS_KPY Sorumlular'!A:C,3,FALSE)</f>
        <v>Erkan AKDOĞAN</v>
      </c>
      <c r="AA1107" t="str">
        <f>VLOOKUP(K1107,[1]!Tablo3[#Data],2,FALSE)</f>
        <v>Tayfun VİÇE</v>
      </c>
    </row>
    <row r="1108" spans="1:27" x14ac:dyDescent="0.25">
      <c r="A1108">
        <v>2416</v>
      </c>
      <c r="B1108" t="s">
        <v>1419</v>
      </c>
      <c r="C1108" t="s">
        <v>1674</v>
      </c>
      <c r="D1108" t="s">
        <v>1717</v>
      </c>
      <c r="F1108" t="s">
        <v>102</v>
      </c>
      <c r="G1108" t="s">
        <v>43</v>
      </c>
      <c r="H1108" t="s">
        <v>4367</v>
      </c>
      <c r="I1108" s="4"/>
      <c r="J1108" t="s">
        <v>4368</v>
      </c>
      <c r="K1108" t="s">
        <v>435</v>
      </c>
      <c r="L1108" s="5" t="s">
        <v>3542</v>
      </c>
      <c r="M1108" s="5" t="s">
        <v>35</v>
      </c>
      <c r="N1108" t="s">
        <v>739</v>
      </c>
      <c r="O1108" t="s">
        <v>4369</v>
      </c>
      <c r="S1108" t="s">
        <v>37</v>
      </c>
      <c r="T1108" s="5" t="s">
        <v>100</v>
      </c>
      <c r="W1108">
        <v>154</v>
      </c>
      <c r="X1108" t="s">
        <v>4370</v>
      </c>
      <c r="Y1108" t="str">
        <f>VLOOKUP(C1108,'[1]DBS_KPY Sorumlular'!A:C,2,FALSE)</f>
        <v>Kadir TOPÇU</v>
      </c>
      <c r="Z1108" t="str">
        <f>VLOOKUP(C1108,'[1]DBS_KPY Sorumlular'!A:C,3,FALSE)</f>
        <v>Erkan AKDOĞAN</v>
      </c>
      <c r="AA1108" t="str">
        <f>VLOOKUP(K1108,[1]!Tablo3[#Data],2,FALSE)</f>
        <v>Tayfun VİÇE</v>
      </c>
    </row>
    <row r="1109" spans="1:27" x14ac:dyDescent="0.25">
      <c r="A1109">
        <v>2417</v>
      </c>
      <c r="B1109" t="s">
        <v>1419</v>
      </c>
      <c r="C1109" t="s">
        <v>1674</v>
      </c>
      <c r="D1109" t="s">
        <v>1717</v>
      </c>
      <c r="F1109" t="s">
        <v>102</v>
      </c>
      <c r="G1109" t="s">
        <v>43</v>
      </c>
      <c r="H1109" t="s">
        <v>4371</v>
      </c>
      <c r="I1109" s="4"/>
      <c r="J1109" t="s">
        <v>4372</v>
      </c>
      <c r="K1109" t="s">
        <v>435</v>
      </c>
      <c r="L1109" s="5" t="s">
        <v>3542</v>
      </c>
      <c r="M1109" s="5" t="s">
        <v>35</v>
      </c>
      <c r="N1109" t="s">
        <v>739</v>
      </c>
      <c r="O1109" t="s">
        <v>4373</v>
      </c>
      <c r="S1109" t="s">
        <v>37</v>
      </c>
      <c r="T1109" s="5" t="s">
        <v>100</v>
      </c>
      <c r="W1109">
        <v>82</v>
      </c>
      <c r="X1109" t="s">
        <v>1072</v>
      </c>
      <c r="Y1109" t="str">
        <f>VLOOKUP(C1109,'[1]DBS_KPY Sorumlular'!A:C,2,FALSE)</f>
        <v>Kadir TOPÇU</v>
      </c>
      <c r="Z1109" t="str">
        <f>VLOOKUP(C1109,'[1]DBS_KPY Sorumlular'!A:C,3,FALSE)</f>
        <v>Erkan AKDOĞAN</v>
      </c>
      <c r="AA1109" t="str">
        <f>VLOOKUP(K1109,[1]!Tablo3[#Data],2,FALSE)</f>
        <v>Tayfun VİÇE</v>
      </c>
    </row>
    <row r="1110" spans="1:27" x14ac:dyDescent="0.25">
      <c r="A1110">
        <v>2418</v>
      </c>
      <c r="B1110" t="s">
        <v>1419</v>
      </c>
      <c r="C1110" t="s">
        <v>1674</v>
      </c>
      <c r="D1110" t="s">
        <v>1675</v>
      </c>
      <c r="F1110" t="s">
        <v>184</v>
      </c>
      <c r="G1110" t="s">
        <v>43</v>
      </c>
      <c r="H1110" t="s">
        <v>4374</v>
      </c>
      <c r="I1110" s="4"/>
      <c r="J1110" t="s">
        <v>4375</v>
      </c>
      <c r="K1110" t="s">
        <v>435</v>
      </c>
      <c r="L1110" s="5"/>
      <c r="M1110" s="5" t="s">
        <v>35</v>
      </c>
      <c r="N1110" t="s">
        <v>1824</v>
      </c>
      <c r="O1110" t="s">
        <v>4376</v>
      </c>
      <c r="S1110" t="s">
        <v>37</v>
      </c>
      <c r="T1110" s="5" t="s">
        <v>100</v>
      </c>
      <c r="W1110">
        <v>86</v>
      </c>
      <c r="X1110" t="s">
        <v>189</v>
      </c>
      <c r="Y1110" t="str">
        <f>VLOOKUP(C1110,'[1]DBS_KPY Sorumlular'!A:C,2,FALSE)</f>
        <v>Kadir TOPÇU</v>
      </c>
      <c r="Z1110" t="str">
        <f>VLOOKUP(C1110,'[1]DBS_KPY Sorumlular'!A:C,3,FALSE)</f>
        <v>Erkan AKDOĞAN</v>
      </c>
      <c r="AA1110" t="str">
        <f>VLOOKUP(K1110,[1]!Tablo3[#Data],2,FALSE)</f>
        <v>Tayfun VİÇE</v>
      </c>
    </row>
    <row r="1111" spans="1:27" x14ac:dyDescent="0.25">
      <c r="A1111">
        <v>2419</v>
      </c>
      <c r="B1111" t="s">
        <v>1419</v>
      </c>
      <c r="C1111" t="s">
        <v>1674</v>
      </c>
      <c r="D1111" t="s">
        <v>1717</v>
      </c>
      <c r="F1111" t="s">
        <v>391</v>
      </c>
      <c r="G1111" t="s">
        <v>43</v>
      </c>
      <c r="H1111" t="s">
        <v>4377</v>
      </c>
      <c r="I1111" s="4"/>
      <c r="J1111" t="s">
        <v>4378</v>
      </c>
      <c r="K1111" t="s">
        <v>435</v>
      </c>
      <c r="L1111" s="5" t="s">
        <v>3542</v>
      </c>
      <c r="M1111" s="5" t="s">
        <v>35</v>
      </c>
      <c r="N1111" t="s">
        <v>739</v>
      </c>
      <c r="O1111" t="s">
        <v>4379</v>
      </c>
      <c r="S1111" t="s">
        <v>37</v>
      </c>
      <c r="T1111" s="5" t="s">
        <v>100</v>
      </c>
      <c r="W1111">
        <v>227</v>
      </c>
      <c r="X1111" t="s">
        <v>4380</v>
      </c>
      <c r="Y1111" t="str">
        <f>VLOOKUP(C1111,'[1]DBS_KPY Sorumlular'!A:C,2,FALSE)</f>
        <v>Kadir TOPÇU</v>
      </c>
      <c r="Z1111" t="str">
        <f>VLOOKUP(C1111,'[1]DBS_KPY Sorumlular'!A:C,3,FALSE)</f>
        <v>Erkan AKDOĞAN</v>
      </c>
      <c r="AA1111" t="str">
        <f>VLOOKUP(K1111,[1]!Tablo3[#Data],2,FALSE)</f>
        <v>Tayfun VİÇE</v>
      </c>
    </row>
    <row r="1112" spans="1:27" x14ac:dyDescent="0.25">
      <c r="A1112">
        <v>2420</v>
      </c>
      <c r="B1112" t="s">
        <v>1419</v>
      </c>
      <c r="C1112" t="s">
        <v>1674</v>
      </c>
      <c r="D1112" t="s">
        <v>1717</v>
      </c>
      <c r="F1112" t="s">
        <v>102</v>
      </c>
      <c r="G1112" t="s">
        <v>43</v>
      </c>
      <c r="H1112" t="s">
        <v>4381</v>
      </c>
      <c r="I1112" s="4"/>
      <c r="J1112" t="s">
        <v>4368</v>
      </c>
      <c r="K1112" t="s">
        <v>435</v>
      </c>
      <c r="L1112" s="5" t="s">
        <v>3542</v>
      </c>
      <c r="M1112" s="5" t="s">
        <v>35</v>
      </c>
      <c r="N1112" t="s">
        <v>739</v>
      </c>
      <c r="O1112" t="s">
        <v>4382</v>
      </c>
      <c r="S1112" t="s">
        <v>37</v>
      </c>
      <c r="T1112" s="5" t="s">
        <v>100</v>
      </c>
      <c r="W1112">
        <v>70</v>
      </c>
      <c r="X1112" t="s">
        <v>711</v>
      </c>
      <c r="Y1112" t="str">
        <f>VLOOKUP(C1112,'[1]DBS_KPY Sorumlular'!A:C,2,FALSE)</f>
        <v>Kadir TOPÇU</v>
      </c>
      <c r="Z1112" t="str">
        <f>VLOOKUP(C1112,'[1]DBS_KPY Sorumlular'!A:C,3,FALSE)</f>
        <v>Erkan AKDOĞAN</v>
      </c>
      <c r="AA1112" t="str">
        <f>VLOOKUP(K1112,[1]!Tablo3[#Data],2,FALSE)</f>
        <v>Tayfun VİÇE</v>
      </c>
    </row>
    <row r="1113" spans="1:27" x14ac:dyDescent="0.25">
      <c r="A1113">
        <v>2421</v>
      </c>
      <c r="B1113" t="s">
        <v>1419</v>
      </c>
      <c r="C1113" t="s">
        <v>4329</v>
      </c>
      <c r="D1113" t="s">
        <v>4330</v>
      </c>
      <c r="E1113" t="s">
        <v>4330</v>
      </c>
      <c r="F1113" t="s">
        <v>4331</v>
      </c>
      <c r="G1113" t="s">
        <v>96</v>
      </c>
      <c r="H1113" t="s">
        <v>4383</v>
      </c>
      <c r="I1113" s="4">
        <v>45837.875</v>
      </c>
      <c r="J1113" t="s">
        <v>4384</v>
      </c>
      <c r="K1113" t="s">
        <v>435</v>
      </c>
      <c r="L1113" s="5" t="s">
        <v>4385</v>
      </c>
      <c r="M1113" s="5" t="s">
        <v>35</v>
      </c>
      <c r="N1113" t="s">
        <v>35</v>
      </c>
      <c r="O1113" t="s">
        <v>4386</v>
      </c>
      <c r="S1113" t="s">
        <v>37</v>
      </c>
      <c r="T1113" s="5" t="s">
        <v>38</v>
      </c>
      <c r="W1113">
        <v>68</v>
      </c>
      <c r="X1113" t="s">
        <v>51</v>
      </c>
      <c r="Y1113" t="str">
        <f>VLOOKUP(C1113,'[1]DBS_KPY Sorumlular'!A:C,2,FALSE)</f>
        <v>Esra DOLAN</v>
      </c>
      <c r="Z1113" t="str">
        <f>VLOOKUP(C1113,'[1]DBS_KPY Sorumlular'!A:C,3,FALSE)</f>
        <v>Mustafa AYDIN</v>
      </c>
      <c r="AA1113" t="str">
        <f>VLOOKUP(K1113,[1]!Tablo3[#Data],2,FALSE)</f>
        <v>Tayfun VİÇE</v>
      </c>
    </row>
    <row r="1114" spans="1:27" x14ac:dyDescent="0.25">
      <c r="A1114">
        <v>2422</v>
      </c>
      <c r="B1114" t="s">
        <v>1419</v>
      </c>
      <c r="C1114" t="s">
        <v>4329</v>
      </c>
      <c r="D1114" t="s">
        <v>4330</v>
      </c>
      <c r="F1114" t="s">
        <v>130</v>
      </c>
      <c r="G1114" t="s">
        <v>43</v>
      </c>
      <c r="H1114" t="s">
        <v>4387</v>
      </c>
      <c r="I1114" s="4">
        <v>46021.875</v>
      </c>
      <c r="J1114" t="s">
        <v>4388</v>
      </c>
      <c r="K1114" t="s">
        <v>435</v>
      </c>
      <c r="L1114" s="5" t="s">
        <v>4389</v>
      </c>
      <c r="M1114" s="5" t="s">
        <v>35</v>
      </c>
      <c r="N1114" t="s">
        <v>1824</v>
      </c>
      <c r="O1114" t="s">
        <v>4390</v>
      </c>
      <c r="S1114" t="s">
        <v>37</v>
      </c>
      <c r="T1114" s="5" t="s">
        <v>38</v>
      </c>
      <c r="W1114">
        <v>68</v>
      </c>
      <c r="X1114" t="s">
        <v>51</v>
      </c>
      <c r="Y1114" t="str">
        <f>VLOOKUP(C1114,'[1]DBS_KPY Sorumlular'!A:C,2,FALSE)</f>
        <v>Esra DOLAN</v>
      </c>
      <c r="Z1114" t="str">
        <f>VLOOKUP(C1114,'[1]DBS_KPY Sorumlular'!A:C,3,FALSE)</f>
        <v>Mustafa AYDIN</v>
      </c>
      <c r="AA1114" t="str">
        <f>VLOOKUP(K1114,[1]!Tablo3[#Data],2,FALSE)</f>
        <v>Tayfun VİÇE</v>
      </c>
    </row>
    <row r="1115" spans="1:27" x14ac:dyDescent="0.25">
      <c r="A1115">
        <v>2423</v>
      </c>
      <c r="B1115" t="s">
        <v>1419</v>
      </c>
      <c r="C1115" t="s">
        <v>893</v>
      </c>
      <c r="D1115" t="s">
        <v>4391</v>
      </c>
      <c r="E1115" t="s">
        <v>894</v>
      </c>
      <c r="F1115" t="s">
        <v>4392</v>
      </c>
      <c r="G1115" t="s">
        <v>30</v>
      </c>
      <c r="H1115" t="s">
        <v>4393</v>
      </c>
      <c r="I1115" s="4"/>
      <c r="J1115" t="s">
        <v>4394</v>
      </c>
      <c r="K1115" t="s">
        <v>898</v>
      </c>
      <c r="L1115" s="5" t="s">
        <v>4395</v>
      </c>
      <c r="M1115" s="5" t="s">
        <v>35</v>
      </c>
      <c r="N1115" t="s">
        <v>1824</v>
      </c>
      <c r="O1115" t="s">
        <v>4396</v>
      </c>
      <c r="S1115" t="s">
        <v>37</v>
      </c>
      <c r="T1115" s="5" t="s">
        <v>38</v>
      </c>
      <c r="W1115">
        <v>184</v>
      </c>
      <c r="X1115" t="s">
        <v>901</v>
      </c>
      <c r="Y1115" t="str">
        <f>VLOOKUP(C1115,'[1]DBS_KPY Sorumlular'!A:C,2,FALSE)</f>
        <v>Seyithan İŞİK</v>
      </c>
      <c r="Z1115" t="str">
        <f>VLOOKUP(C1115,'[1]DBS_KPY Sorumlular'!A:C,3,FALSE)</f>
        <v>Korhan KÖROĞLU</v>
      </c>
      <c r="AA1115" t="str">
        <f>VLOOKUP(K1115,[1]!Tablo3[#Data],2,FALSE)</f>
        <v>Erkan AKDOĞAN</v>
      </c>
    </row>
    <row r="1116" spans="1:27" x14ac:dyDescent="0.25">
      <c r="A1116">
        <v>2424</v>
      </c>
      <c r="B1116" t="s">
        <v>1419</v>
      </c>
      <c r="C1116" t="s">
        <v>652</v>
      </c>
      <c r="D1116" t="s">
        <v>653</v>
      </c>
      <c r="F1116" t="s">
        <v>455</v>
      </c>
      <c r="G1116" t="s">
        <v>30</v>
      </c>
      <c r="H1116" t="s">
        <v>4397</v>
      </c>
      <c r="I1116" s="4"/>
      <c r="J1116" t="s">
        <v>4398</v>
      </c>
      <c r="K1116" t="s">
        <v>435</v>
      </c>
      <c r="L1116" s="5"/>
      <c r="M1116" s="5" t="s">
        <v>35</v>
      </c>
      <c r="N1116" t="s">
        <v>1824</v>
      </c>
      <c r="O1116" t="s">
        <v>4399</v>
      </c>
      <c r="S1116" t="s">
        <v>37</v>
      </c>
      <c r="T1116" s="5" t="s">
        <v>100</v>
      </c>
      <c r="W1116">
        <v>144</v>
      </c>
      <c r="X1116" t="s">
        <v>463</v>
      </c>
      <c r="Y1116" t="str">
        <f>VLOOKUP(C1116,'[1]DBS_KPY Sorumlular'!A:C,2,FALSE)</f>
        <v>Seyithan İŞİK</v>
      </c>
      <c r="Z1116" t="str">
        <f>VLOOKUP(C1116,'[1]DBS_KPY Sorumlular'!A:C,3,FALSE)</f>
        <v>Korhan KÖROĞLU</v>
      </c>
      <c r="AA1116" t="str">
        <f>VLOOKUP(K1116,[1]!Tablo3[#Data],2,FALSE)</f>
        <v>Tayfun VİÇE</v>
      </c>
    </row>
    <row r="1117" spans="1:27" x14ac:dyDescent="0.25">
      <c r="A1117">
        <v>2425</v>
      </c>
      <c r="B1117" t="s">
        <v>1419</v>
      </c>
      <c r="C1117" t="s">
        <v>893</v>
      </c>
      <c r="D1117" t="s">
        <v>4391</v>
      </c>
      <c r="E1117" t="s">
        <v>894</v>
      </c>
      <c r="F1117" t="s">
        <v>4392</v>
      </c>
      <c r="G1117" t="s">
        <v>30</v>
      </c>
      <c r="H1117" t="s">
        <v>4400</v>
      </c>
      <c r="I1117" s="4"/>
      <c r="J1117" t="s">
        <v>4401</v>
      </c>
      <c r="K1117" t="s">
        <v>898</v>
      </c>
      <c r="L1117" s="5" t="s">
        <v>4402</v>
      </c>
      <c r="M1117" s="5" t="s">
        <v>35</v>
      </c>
      <c r="N1117" t="s">
        <v>1824</v>
      </c>
      <c r="O1117" t="s">
        <v>4403</v>
      </c>
      <c r="S1117" t="s">
        <v>37</v>
      </c>
      <c r="T1117" s="5" t="s">
        <v>38</v>
      </c>
      <c r="W1117">
        <v>184</v>
      </c>
      <c r="X1117" t="s">
        <v>901</v>
      </c>
      <c r="Y1117" t="str">
        <f>VLOOKUP(C1117,'[1]DBS_KPY Sorumlular'!A:C,2,FALSE)</f>
        <v>Seyithan İŞİK</v>
      </c>
      <c r="Z1117" t="str">
        <f>VLOOKUP(C1117,'[1]DBS_KPY Sorumlular'!A:C,3,FALSE)</f>
        <v>Korhan KÖROĞLU</v>
      </c>
      <c r="AA1117" t="str">
        <f>VLOOKUP(K1117,[1]!Tablo3[#Data],2,FALSE)</f>
        <v>Erkan AKDOĞAN</v>
      </c>
    </row>
    <row r="1118" spans="1:27" x14ac:dyDescent="0.25">
      <c r="A1118">
        <v>2426</v>
      </c>
      <c r="B1118" t="s">
        <v>1419</v>
      </c>
      <c r="C1118" t="s">
        <v>893</v>
      </c>
      <c r="D1118" t="s">
        <v>902</v>
      </c>
      <c r="F1118" t="s">
        <v>1263</v>
      </c>
      <c r="G1118" t="s">
        <v>30</v>
      </c>
      <c r="H1118" t="s">
        <v>4404</v>
      </c>
      <c r="I1118" s="4"/>
      <c r="J1118" t="s">
        <v>4405</v>
      </c>
      <c r="K1118" t="s">
        <v>678</v>
      </c>
      <c r="L1118" s="5" t="s">
        <v>4406</v>
      </c>
      <c r="M1118" s="5" t="s">
        <v>35</v>
      </c>
      <c r="N1118" t="s">
        <v>1824</v>
      </c>
      <c r="O1118" t="s">
        <v>4407</v>
      </c>
      <c r="S1118" t="s">
        <v>230</v>
      </c>
      <c r="T1118" s="5" t="s">
        <v>38</v>
      </c>
      <c r="W1118">
        <v>184</v>
      </c>
      <c r="X1118" t="s">
        <v>901</v>
      </c>
      <c r="Y1118" t="str">
        <f>VLOOKUP(C1118,'[1]DBS_KPY Sorumlular'!A:C,2,FALSE)</f>
        <v>Seyithan İŞİK</v>
      </c>
      <c r="Z1118" t="str">
        <f>VLOOKUP(C1118,'[1]DBS_KPY Sorumlular'!A:C,3,FALSE)</f>
        <v>Korhan KÖROĞLU</v>
      </c>
      <c r="AA1118" t="str">
        <f>VLOOKUP(K1118,[1]!Tablo3[#Data],2,FALSE)</f>
        <v>Kadir TOPÇU</v>
      </c>
    </row>
    <row r="1119" spans="1:27" x14ac:dyDescent="0.25">
      <c r="A1119">
        <v>2427</v>
      </c>
      <c r="B1119" t="s">
        <v>1419</v>
      </c>
      <c r="C1119" t="s">
        <v>402</v>
      </c>
      <c r="D1119" t="s">
        <v>403</v>
      </c>
      <c r="F1119" t="s">
        <v>383</v>
      </c>
      <c r="G1119" t="s">
        <v>384</v>
      </c>
      <c r="H1119" t="s">
        <v>4408</v>
      </c>
      <c r="I1119" s="4"/>
      <c r="J1119" t="s">
        <v>4409</v>
      </c>
      <c r="K1119" t="s">
        <v>435</v>
      </c>
      <c r="L1119" s="5" t="s">
        <v>4410</v>
      </c>
      <c r="M1119" s="5" t="s">
        <v>35</v>
      </c>
      <c r="N1119" t="s">
        <v>1824</v>
      </c>
      <c r="O1119" t="s">
        <v>4411</v>
      </c>
      <c r="S1119" t="s">
        <v>37</v>
      </c>
      <c r="T1119" s="5" t="s">
        <v>100</v>
      </c>
      <c r="W1119">
        <v>32</v>
      </c>
      <c r="X1119" t="s">
        <v>4412</v>
      </c>
      <c r="Y1119" t="str">
        <f>VLOOKUP(C1119,'[1]DBS_KPY Sorumlular'!A:C,2,FALSE)</f>
        <v>Tayfun VİÇE</v>
      </c>
      <c r="Z1119" t="str">
        <f>VLOOKUP(C1119,'[1]DBS_KPY Sorumlular'!A:C,3,FALSE)</f>
        <v>Mehmet Ali YAVUZ</v>
      </c>
      <c r="AA1119" t="str">
        <f>VLOOKUP(K1119,[1]!Tablo3[#Data],2,FALSE)</f>
        <v>Tayfun VİÇE</v>
      </c>
    </row>
    <row r="1120" spans="1:27" x14ac:dyDescent="0.25">
      <c r="A1120">
        <v>2428</v>
      </c>
      <c r="B1120" t="s">
        <v>1419</v>
      </c>
      <c r="C1120" t="s">
        <v>1723</v>
      </c>
      <c r="D1120" t="s">
        <v>1751</v>
      </c>
      <c r="F1120" t="s">
        <v>306</v>
      </c>
      <c r="G1120" t="s">
        <v>96</v>
      </c>
      <c r="H1120" t="s">
        <v>4413</v>
      </c>
      <c r="I1120" s="4"/>
      <c r="J1120" t="s">
        <v>4414</v>
      </c>
      <c r="K1120" t="s">
        <v>435</v>
      </c>
      <c r="L1120" s="5" t="s">
        <v>4415</v>
      </c>
      <c r="M1120" s="5" t="s">
        <v>35</v>
      </c>
      <c r="N1120" t="s">
        <v>1824</v>
      </c>
      <c r="O1120" t="s">
        <v>4416</v>
      </c>
      <c r="S1120" t="s">
        <v>37</v>
      </c>
      <c r="T1120" s="5" t="s">
        <v>38</v>
      </c>
      <c r="Y1120" t="str">
        <f>VLOOKUP(C1120,'[1]DBS_KPY Sorumlular'!A:C,2,FALSE)</f>
        <v>Erkan AKDOĞAN</v>
      </c>
      <c r="Z1120" t="str">
        <f>VLOOKUP(C1120,'[1]DBS_KPY Sorumlular'!A:C,3,FALSE)</f>
        <v>Kadir TOPÇU</v>
      </c>
      <c r="AA1120" t="str">
        <f>VLOOKUP(K1120,[1]!Tablo3[#Data],2,FALSE)</f>
        <v>Tayfun VİÇE</v>
      </c>
    </row>
    <row r="1121" spans="1:27" x14ac:dyDescent="0.25">
      <c r="A1121">
        <v>2429</v>
      </c>
      <c r="B1121" t="s">
        <v>1419</v>
      </c>
      <c r="C1121" t="s">
        <v>1723</v>
      </c>
      <c r="D1121" t="s">
        <v>1751</v>
      </c>
      <c r="F1121" t="s">
        <v>486</v>
      </c>
      <c r="G1121" t="s">
        <v>67</v>
      </c>
      <c r="H1121" t="s">
        <v>4417</v>
      </c>
      <c r="I1121" s="4"/>
      <c r="J1121" t="s">
        <v>4418</v>
      </c>
      <c r="K1121" t="s">
        <v>435</v>
      </c>
      <c r="L1121" s="5" t="s">
        <v>4419</v>
      </c>
      <c r="M1121" s="5" t="s">
        <v>35</v>
      </c>
      <c r="N1121" t="s">
        <v>1824</v>
      </c>
      <c r="O1121" t="s">
        <v>4420</v>
      </c>
      <c r="S1121" t="s">
        <v>37</v>
      </c>
      <c r="T1121" s="5" t="s">
        <v>38</v>
      </c>
      <c r="Y1121" t="str">
        <f>VLOOKUP(C1121,'[1]DBS_KPY Sorumlular'!A:C,2,FALSE)</f>
        <v>Erkan AKDOĞAN</v>
      </c>
      <c r="Z1121" t="str">
        <f>VLOOKUP(C1121,'[1]DBS_KPY Sorumlular'!A:C,3,FALSE)</f>
        <v>Kadir TOPÇU</v>
      </c>
      <c r="AA1121" t="str">
        <f>VLOOKUP(K1121,[1]!Tablo3[#Data],2,FALSE)</f>
        <v>Tayfun VİÇE</v>
      </c>
    </row>
    <row r="1122" spans="1:27" x14ac:dyDescent="0.25">
      <c r="A1122">
        <v>2430</v>
      </c>
      <c r="B1122" t="s">
        <v>1419</v>
      </c>
      <c r="C1122" t="s">
        <v>1674</v>
      </c>
      <c r="D1122" t="s">
        <v>1675</v>
      </c>
      <c r="F1122" t="s">
        <v>306</v>
      </c>
      <c r="G1122" t="s">
        <v>96</v>
      </c>
      <c r="H1122" t="s">
        <v>4421</v>
      </c>
      <c r="I1122" s="4"/>
      <c r="J1122" t="s">
        <v>4349</v>
      </c>
      <c r="K1122" t="s">
        <v>435</v>
      </c>
      <c r="L1122" s="5"/>
      <c r="M1122" s="5" t="s">
        <v>35</v>
      </c>
      <c r="N1122" t="s">
        <v>1824</v>
      </c>
      <c r="O1122" t="s">
        <v>4422</v>
      </c>
      <c r="S1122" t="s">
        <v>37</v>
      </c>
      <c r="T1122" s="5" t="s">
        <v>100</v>
      </c>
      <c r="W1122">
        <v>91</v>
      </c>
      <c r="X1122" t="s">
        <v>101</v>
      </c>
      <c r="Y1122" t="str">
        <f>VLOOKUP(C1122,'[1]DBS_KPY Sorumlular'!A:C,2,FALSE)</f>
        <v>Kadir TOPÇU</v>
      </c>
      <c r="Z1122" t="str">
        <f>VLOOKUP(C1122,'[1]DBS_KPY Sorumlular'!A:C,3,FALSE)</f>
        <v>Erkan AKDOĞAN</v>
      </c>
      <c r="AA1122" t="str">
        <f>VLOOKUP(K1122,[1]!Tablo3[#Data],2,FALSE)</f>
        <v>Tayfun VİÇE</v>
      </c>
    </row>
    <row r="1123" spans="1:27" x14ac:dyDescent="0.25">
      <c r="A1123">
        <v>2431</v>
      </c>
      <c r="B1123" t="s">
        <v>1419</v>
      </c>
      <c r="C1123" t="s">
        <v>402</v>
      </c>
      <c r="D1123" t="s">
        <v>403</v>
      </c>
      <c r="F1123" t="s">
        <v>383</v>
      </c>
      <c r="G1123" t="s">
        <v>384</v>
      </c>
      <c r="H1123" t="s">
        <v>4423</v>
      </c>
      <c r="I1123" s="4"/>
      <c r="K1123" t="s">
        <v>435</v>
      </c>
      <c r="L1123" s="5" t="s">
        <v>4424</v>
      </c>
      <c r="M1123" s="5" t="s">
        <v>35</v>
      </c>
      <c r="N1123" t="s">
        <v>1824</v>
      </c>
      <c r="O1123" t="s">
        <v>4425</v>
      </c>
      <c r="S1123" t="s">
        <v>37</v>
      </c>
      <c r="T1123" s="5" t="s">
        <v>48</v>
      </c>
      <c r="U1123" t="s">
        <v>4426</v>
      </c>
      <c r="V1123" t="s">
        <v>4423</v>
      </c>
      <c r="W1123">
        <v>83</v>
      </c>
      <c r="X1123" t="s">
        <v>1309</v>
      </c>
      <c r="Y1123" t="str">
        <f>VLOOKUP(C1123,'[1]DBS_KPY Sorumlular'!A:C,2,FALSE)</f>
        <v>Tayfun VİÇE</v>
      </c>
      <c r="Z1123" t="str">
        <f>VLOOKUP(C1123,'[1]DBS_KPY Sorumlular'!A:C,3,FALSE)</f>
        <v>Mehmet Ali YAVUZ</v>
      </c>
      <c r="AA1123" t="str">
        <f>VLOOKUP(K1123,[1]!Tablo3[#Data],2,FALSE)</f>
        <v>Tayfun VİÇE</v>
      </c>
    </row>
    <row r="1124" spans="1:27" x14ac:dyDescent="0.25">
      <c r="A1124">
        <v>2432</v>
      </c>
      <c r="B1124" t="s">
        <v>1419</v>
      </c>
      <c r="C1124" t="s">
        <v>1674</v>
      </c>
      <c r="D1124" t="s">
        <v>1717</v>
      </c>
      <c r="F1124" t="s">
        <v>42</v>
      </c>
      <c r="G1124" t="s">
        <v>43</v>
      </c>
      <c r="H1124" t="s">
        <v>4427</v>
      </c>
      <c r="I1124" s="4"/>
      <c r="J1124" t="s">
        <v>4428</v>
      </c>
      <c r="K1124" t="s">
        <v>435</v>
      </c>
      <c r="L1124" s="5" t="s">
        <v>3542</v>
      </c>
      <c r="M1124" s="5" t="s">
        <v>4028</v>
      </c>
      <c r="N1124" t="s">
        <v>739</v>
      </c>
      <c r="O1124" t="s">
        <v>4429</v>
      </c>
      <c r="S1124" t="s">
        <v>37</v>
      </c>
      <c r="T1124" s="5" t="s">
        <v>100</v>
      </c>
      <c r="W1124">
        <v>68</v>
      </c>
      <c r="X1124" t="s">
        <v>51</v>
      </c>
      <c r="Y1124" t="str">
        <f>VLOOKUP(C1124,'[1]DBS_KPY Sorumlular'!A:C,2,FALSE)</f>
        <v>Kadir TOPÇU</v>
      </c>
      <c r="Z1124" t="str">
        <f>VLOOKUP(C1124,'[1]DBS_KPY Sorumlular'!A:C,3,FALSE)</f>
        <v>Erkan AKDOĞAN</v>
      </c>
      <c r="AA1124" t="str">
        <f>VLOOKUP(K1124,[1]!Tablo3[#Data],2,FALSE)</f>
        <v>Tayfun VİÇE</v>
      </c>
    </row>
    <row r="1125" spans="1:27" x14ac:dyDescent="0.25">
      <c r="A1125">
        <v>2433</v>
      </c>
      <c r="B1125" t="s">
        <v>1419</v>
      </c>
      <c r="C1125" t="s">
        <v>843</v>
      </c>
      <c r="D1125" t="s">
        <v>844</v>
      </c>
      <c r="F1125" t="s">
        <v>290</v>
      </c>
      <c r="G1125" t="s">
        <v>291</v>
      </c>
      <c r="H1125" t="s">
        <v>4430</v>
      </c>
      <c r="I1125" s="4">
        <v>46356.875</v>
      </c>
      <c r="J1125" t="s">
        <v>2712</v>
      </c>
      <c r="K1125" t="s">
        <v>435</v>
      </c>
      <c r="L1125" s="5" t="s">
        <v>4431</v>
      </c>
      <c r="M1125" s="5" t="s">
        <v>4028</v>
      </c>
      <c r="N1125" t="s">
        <v>35</v>
      </c>
      <c r="O1125" t="s">
        <v>4432</v>
      </c>
      <c r="S1125" t="s">
        <v>37</v>
      </c>
      <c r="T1125" s="5" t="s">
        <v>38</v>
      </c>
      <c r="W1125">
        <v>94</v>
      </c>
      <c r="X1125" t="s">
        <v>1707</v>
      </c>
      <c r="Y1125" t="str">
        <f>VLOOKUP(C1125,'[1]DBS_KPY Sorumlular'!A:C,2,FALSE)</f>
        <v>Sinan ERDAŞ</v>
      </c>
      <c r="Z1125" t="str">
        <f>VLOOKUP(C1125,'[1]DBS_KPY Sorumlular'!A:C,3,FALSE)</f>
        <v>Ayşegül AKGÜL</v>
      </c>
      <c r="AA1125" t="str">
        <f>VLOOKUP(K1125,[1]!Tablo3[#Data],2,FALSE)</f>
        <v>Tayfun VİÇE</v>
      </c>
    </row>
    <row r="1126" spans="1:27" x14ac:dyDescent="0.25">
      <c r="A1126">
        <v>2434</v>
      </c>
      <c r="B1126" t="s">
        <v>1419</v>
      </c>
      <c r="C1126" t="s">
        <v>1723</v>
      </c>
      <c r="D1126" t="s">
        <v>2478</v>
      </c>
      <c r="F1126" t="s">
        <v>306</v>
      </c>
      <c r="G1126" t="s">
        <v>67</v>
      </c>
      <c r="H1126" t="s">
        <v>4433</v>
      </c>
      <c r="I1126" s="4"/>
      <c r="J1126" t="s">
        <v>4433</v>
      </c>
      <c r="K1126" t="s">
        <v>435</v>
      </c>
      <c r="L1126" s="5"/>
      <c r="M1126" s="5" t="s">
        <v>4028</v>
      </c>
      <c r="N1126" t="s">
        <v>1824</v>
      </c>
      <c r="O1126" t="s">
        <v>4434</v>
      </c>
      <c r="S1126" t="s">
        <v>37</v>
      </c>
      <c r="T1126" s="5" t="s">
        <v>38</v>
      </c>
      <c r="Y1126" t="str">
        <f>VLOOKUP(C1126,'[1]DBS_KPY Sorumlular'!A:C,2,FALSE)</f>
        <v>Erkan AKDOĞAN</v>
      </c>
      <c r="Z1126" t="str">
        <f>VLOOKUP(C1126,'[1]DBS_KPY Sorumlular'!A:C,3,FALSE)</f>
        <v>Kadir TOPÇU</v>
      </c>
      <c r="AA1126" t="str">
        <f>VLOOKUP(K1126,[1]!Tablo3[#Data],2,FALSE)</f>
        <v>Tayfun VİÇE</v>
      </c>
    </row>
    <row r="1127" spans="1:27" x14ac:dyDescent="0.25">
      <c r="A1127">
        <v>2435</v>
      </c>
      <c r="B1127" t="s">
        <v>1419</v>
      </c>
      <c r="C1127" t="s">
        <v>1674</v>
      </c>
      <c r="D1127" t="s">
        <v>1675</v>
      </c>
      <c r="F1127" t="s">
        <v>184</v>
      </c>
      <c r="G1127" t="s">
        <v>43</v>
      </c>
      <c r="H1127" t="s">
        <v>4435</v>
      </c>
      <c r="I1127" s="4"/>
      <c r="J1127" t="s">
        <v>4435</v>
      </c>
      <c r="K1127" t="s">
        <v>435</v>
      </c>
      <c r="L1127" s="5"/>
      <c r="M1127" s="5" t="s">
        <v>4028</v>
      </c>
      <c r="N1127" t="s">
        <v>1824</v>
      </c>
      <c r="O1127" t="s">
        <v>4436</v>
      </c>
      <c r="S1127" t="s">
        <v>37</v>
      </c>
      <c r="T1127" s="5" t="s">
        <v>100</v>
      </c>
      <c r="W1127">
        <v>86</v>
      </c>
      <c r="X1127" t="s">
        <v>189</v>
      </c>
      <c r="Y1127" t="str">
        <f>VLOOKUP(C1127,'[1]DBS_KPY Sorumlular'!A:C,2,FALSE)</f>
        <v>Kadir TOPÇU</v>
      </c>
      <c r="Z1127" t="str">
        <f>VLOOKUP(C1127,'[1]DBS_KPY Sorumlular'!A:C,3,FALSE)</f>
        <v>Erkan AKDOĞAN</v>
      </c>
      <c r="AA1127" t="str">
        <f>VLOOKUP(K1127,[1]!Tablo3[#Data],2,FALSE)</f>
        <v>Tayfun VİÇE</v>
      </c>
    </row>
    <row r="1128" spans="1:27" x14ac:dyDescent="0.25">
      <c r="A1128">
        <v>2437</v>
      </c>
      <c r="B1128" t="s">
        <v>1419</v>
      </c>
      <c r="C1128" t="s">
        <v>1723</v>
      </c>
      <c r="D1128" t="s">
        <v>1724</v>
      </c>
      <c r="F1128" t="s">
        <v>66</v>
      </c>
      <c r="G1128" t="s">
        <v>96</v>
      </c>
      <c r="H1128" t="s">
        <v>4437</v>
      </c>
      <c r="I1128" s="4"/>
      <c r="J1128" t="s">
        <v>4438</v>
      </c>
      <c r="K1128" t="s">
        <v>435</v>
      </c>
      <c r="L1128" s="5"/>
      <c r="M1128" s="5" t="s">
        <v>4028</v>
      </c>
      <c r="N1128" t="s">
        <v>1824</v>
      </c>
      <c r="O1128" t="s">
        <v>4439</v>
      </c>
      <c r="S1128" t="s">
        <v>37</v>
      </c>
      <c r="T1128" s="5" t="s">
        <v>38</v>
      </c>
      <c r="Y1128" t="str">
        <f>VLOOKUP(C1128,'[1]DBS_KPY Sorumlular'!A:C,2,FALSE)</f>
        <v>Erkan AKDOĞAN</v>
      </c>
      <c r="Z1128" t="str">
        <f>VLOOKUP(C1128,'[1]DBS_KPY Sorumlular'!A:C,3,FALSE)</f>
        <v>Kadir TOPÇU</v>
      </c>
      <c r="AA1128" t="str">
        <f>VLOOKUP(K1128,[1]!Tablo3[#Data],2,FALSE)</f>
        <v>Tayfun VİÇE</v>
      </c>
    </row>
    <row r="1129" spans="1:27" x14ac:dyDescent="0.25">
      <c r="A1129">
        <v>2438</v>
      </c>
      <c r="B1129" t="s">
        <v>1419</v>
      </c>
      <c r="C1129" t="s">
        <v>1723</v>
      </c>
      <c r="D1129" t="s">
        <v>2478</v>
      </c>
      <c r="F1129" t="s">
        <v>66</v>
      </c>
      <c r="G1129" t="s">
        <v>67</v>
      </c>
      <c r="H1129" t="s">
        <v>4440</v>
      </c>
      <c r="I1129" s="4"/>
      <c r="J1129" t="s">
        <v>4440</v>
      </c>
      <c r="K1129" t="s">
        <v>435</v>
      </c>
      <c r="L1129" s="5"/>
      <c r="M1129" s="5" t="s">
        <v>4028</v>
      </c>
      <c r="N1129" t="s">
        <v>1824</v>
      </c>
      <c r="O1129" t="s">
        <v>4441</v>
      </c>
      <c r="S1129" t="s">
        <v>37</v>
      </c>
      <c r="T1129" s="5" t="s">
        <v>38</v>
      </c>
      <c r="Y1129" t="str">
        <f>VLOOKUP(C1129,'[1]DBS_KPY Sorumlular'!A:C,2,FALSE)</f>
        <v>Erkan AKDOĞAN</v>
      </c>
      <c r="Z1129" t="str">
        <f>VLOOKUP(C1129,'[1]DBS_KPY Sorumlular'!A:C,3,FALSE)</f>
        <v>Kadir TOPÇU</v>
      </c>
      <c r="AA1129" t="str">
        <f>VLOOKUP(K1129,[1]!Tablo3[#Data],2,FALSE)</f>
        <v>Tayfun VİÇE</v>
      </c>
    </row>
    <row r="1130" spans="1:27" x14ac:dyDescent="0.25">
      <c r="A1130">
        <v>2439</v>
      </c>
      <c r="B1130" t="s">
        <v>1419</v>
      </c>
      <c r="C1130" t="s">
        <v>288</v>
      </c>
      <c r="D1130" t="s">
        <v>289</v>
      </c>
      <c r="E1130" t="s">
        <v>844</v>
      </c>
      <c r="F1130" t="s">
        <v>290</v>
      </c>
      <c r="G1130" t="s">
        <v>291</v>
      </c>
      <c r="H1130" t="s">
        <v>4442</v>
      </c>
      <c r="I1130" s="4"/>
      <c r="J1130" t="s">
        <v>4443</v>
      </c>
      <c r="K1130" t="s">
        <v>459</v>
      </c>
      <c r="L1130" s="5"/>
      <c r="M1130" s="5" t="s">
        <v>4028</v>
      </c>
      <c r="N1130" t="s">
        <v>1824</v>
      </c>
      <c r="O1130" t="s">
        <v>4444</v>
      </c>
      <c r="S1130" t="s">
        <v>57</v>
      </c>
      <c r="T1130" s="5" t="s">
        <v>38</v>
      </c>
      <c r="W1130">
        <v>23</v>
      </c>
      <c r="X1130" t="s">
        <v>295</v>
      </c>
      <c r="Y1130" t="str">
        <f>VLOOKUP(C1130,'[1]DBS_KPY Sorumlular'!A:C,2,FALSE)</f>
        <v>Sinan ERDAŞ</v>
      </c>
      <c r="Z1130" t="str">
        <f>VLOOKUP(C1130,'[1]DBS_KPY Sorumlular'!A:C,3,FALSE)</f>
        <v>Ayşegül AKGÜL</v>
      </c>
      <c r="AA1130" t="str">
        <f>VLOOKUP(K1130,[1]!Tablo3[#Data],2,FALSE)</f>
        <v>Erkan AKDOĞAN</v>
      </c>
    </row>
    <row r="1131" spans="1:27" x14ac:dyDescent="0.25">
      <c r="A1131">
        <v>2440</v>
      </c>
      <c r="B1131" t="s">
        <v>1419</v>
      </c>
      <c r="C1131" t="s">
        <v>288</v>
      </c>
      <c r="D1131" t="s">
        <v>289</v>
      </c>
      <c r="E1131" t="s">
        <v>844</v>
      </c>
      <c r="F1131" t="s">
        <v>290</v>
      </c>
      <c r="G1131" t="s">
        <v>291</v>
      </c>
      <c r="H1131" t="s">
        <v>4445</v>
      </c>
      <c r="I1131" s="4"/>
      <c r="J1131" t="s">
        <v>4446</v>
      </c>
      <c r="K1131" t="s">
        <v>459</v>
      </c>
      <c r="L1131" s="5"/>
      <c r="M1131" s="5" t="s">
        <v>4028</v>
      </c>
      <c r="N1131" t="s">
        <v>1824</v>
      </c>
      <c r="O1131" t="s">
        <v>4447</v>
      </c>
      <c r="S1131" t="s">
        <v>57</v>
      </c>
      <c r="T1131" s="5" t="s">
        <v>38</v>
      </c>
      <c r="W1131">
        <v>23</v>
      </c>
      <c r="X1131" t="s">
        <v>295</v>
      </c>
      <c r="Y1131" t="str">
        <f>VLOOKUP(C1131,'[1]DBS_KPY Sorumlular'!A:C,2,FALSE)</f>
        <v>Sinan ERDAŞ</v>
      </c>
      <c r="Z1131" t="str">
        <f>VLOOKUP(C1131,'[1]DBS_KPY Sorumlular'!A:C,3,FALSE)</f>
        <v>Ayşegül AKGÜL</v>
      </c>
      <c r="AA1131" t="str">
        <f>VLOOKUP(K1131,[1]!Tablo3[#Data],2,FALSE)</f>
        <v>Erkan AKDOĞAN</v>
      </c>
    </row>
    <row r="1132" spans="1:27" x14ac:dyDescent="0.25">
      <c r="A1132">
        <v>2441</v>
      </c>
      <c r="B1132" t="s">
        <v>27</v>
      </c>
      <c r="C1132" t="s">
        <v>402</v>
      </c>
      <c r="D1132" t="s">
        <v>403</v>
      </c>
      <c r="F1132" t="s">
        <v>66</v>
      </c>
      <c r="G1132" t="s">
        <v>384</v>
      </c>
      <c r="H1132" t="s">
        <v>4448</v>
      </c>
      <c r="I1132" s="4">
        <v>45897.875</v>
      </c>
      <c r="K1132" t="s">
        <v>226</v>
      </c>
      <c r="L1132" s="5" t="s">
        <v>4449</v>
      </c>
      <c r="M1132" s="5" t="s">
        <v>4450</v>
      </c>
      <c r="N1132" t="s">
        <v>46</v>
      </c>
      <c r="O1132" t="s">
        <v>4451</v>
      </c>
      <c r="R1132">
        <v>0.9</v>
      </c>
      <c r="S1132" t="s">
        <v>230</v>
      </c>
      <c r="T1132" s="5" t="s">
        <v>100</v>
      </c>
      <c r="W1132">
        <v>165</v>
      </c>
      <c r="X1132" t="s">
        <v>4452</v>
      </c>
      <c r="Y1132" t="str">
        <f>VLOOKUP(C1132,'[1]DBS_KPY Sorumlular'!A:C,2,FALSE)</f>
        <v>Tayfun VİÇE</v>
      </c>
      <c r="Z1132" t="str">
        <f>VLOOKUP(C1132,'[1]DBS_KPY Sorumlular'!A:C,3,FALSE)</f>
        <v>Mehmet Ali YAVUZ</v>
      </c>
      <c r="AA1132" t="str">
        <f>VLOOKUP(K1132,[1]!Tablo3[#Data],2,FALSE)</f>
        <v>Kadir TOPÇU</v>
      </c>
    </row>
    <row r="1133" spans="1:27" x14ac:dyDescent="0.25">
      <c r="A1133">
        <v>2442</v>
      </c>
      <c r="B1133" t="s">
        <v>27</v>
      </c>
      <c r="C1133" t="s">
        <v>40</v>
      </c>
      <c r="D1133" t="s">
        <v>41</v>
      </c>
      <c r="F1133" t="s">
        <v>66</v>
      </c>
      <c r="G1133" t="s">
        <v>96</v>
      </c>
      <c r="H1133" t="s">
        <v>4453</v>
      </c>
      <c r="I1133" s="4">
        <v>45708.875</v>
      </c>
      <c r="K1133" t="s">
        <v>226</v>
      </c>
      <c r="L1133" s="5"/>
      <c r="M1133" s="5"/>
      <c r="N1133" t="s">
        <v>82</v>
      </c>
      <c r="O1133" t="s">
        <v>4454</v>
      </c>
      <c r="R1133">
        <v>1</v>
      </c>
      <c r="S1133" t="s">
        <v>230</v>
      </c>
      <c r="T1133" s="5" t="s">
        <v>58</v>
      </c>
      <c r="U1133" t="s">
        <v>1292</v>
      </c>
      <c r="V1133" t="s">
        <v>1293</v>
      </c>
      <c r="W1133">
        <v>28</v>
      </c>
      <c r="X1133" t="s">
        <v>667</v>
      </c>
      <c r="Y1133" t="str">
        <f>VLOOKUP(C1133,'[1]DBS_KPY Sorumlular'!A:C,2,FALSE)</f>
        <v>Mustafa AYDIN</v>
      </c>
      <c r="Z1133" t="str">
        <f>VLOOKUP(C1133,'[1]DBS_KPY Sorumlular'!A:C,3,FALSE)</f>
        <v>Esra DOLAN</v>
      </c>
      <c r="AA1133" t="str">
        <f>VLOOKUP(K1133,[1]!Tablo3[#Data],2,FALSE)</f>
        <v>Kadir TOPÇU</v>
      </c>
    </row>
    <row r="1134" spans="1:27" x14ac:dyDescent="0.25">
      <c r="A1134">
        <v>2443</v>
      </c>
      <c r="B1134" t="s">
        <v>1419</v>
      </c>
      <c r="C1134" t="s">
        <v>1674</v>
      </c>
      <c r="D1134" t="s">
        <v>1700</v>
      </c>
      <c r="F1134" t="s">
        <v>95</v>
      </c>
      <c r="G1134" t="s">
        <v>291</v>
      </c>
      <c r="H1134" t="s">
        <v>4455</v>
      </c>
      <c r="I1134" s="4"/>
      <c r="J1134" t="s">
        <v>1996</v>
      </c>
      <c r="K1134" t="s">
        <v>226</v>
      </c>
      <c r="L1134" s="5"/>
      <c r="M1134" s="5" t="s">
        <v>35</v>
      </c>
      <c r="N1134" t="s">
        <v>1824</v>
      </c>
      <c r="O1134" t="s">
        <v>4456</v>
      </c>
      <c r="S1134" t="s">
        <v>230</v>
      </c>
      <c r="T1134" s="5" t="s">
        <v>100</v>
      </c>
      <c r="W1134">
        <v>94</v>
      </c>
      <c r="X1134" t="s">
        <v>1707</v>
      </c>
      <c r="Y1134" t="str">
        <f>VLOOKUP(C1134,'[1]DBS_KPY Sorumlular'!A:C,2,FALSE)</f>
        <v>Kadir TOPÇU</v>
      </c>
      <c r="Z1134" t="str">
        <f>VLOOKUP(C1134,'[1]DBS_KPY Sorumlular'!A:C,3,FALSE)</f>
        <v>Erkan AKDOĞAN</v>
      </c>
      <c r="AA1134" t="str">
        <f>VLOOKUP(K1134,[1]!Tablo3[#Data],2,FALSE)</f>
        <v>Kadir TOPÇU</v>
      </c>
    </row>
    <row r="1135" spans="1:27" x14ac:dyDescent="0.25">
      <c r="A1135">
        <v>2444</v>
      </c>
      <c r="B1135" t="s">
        <v>1419</v>
      </c>
      <c r="C1135" t="s">
        <v>402</v>
      </c>
      <c r="D1135" t="s">
        <v>403</v>
      </c>
      <c r="F1135" t="s">
        <v>1572</v>
      </c>
      <c r="G1135" t="s">
        <v>384</v>
      </c>
      <c r="H1135" t="s">
        <v>4457</v>
      </c>
      <c r="I1135" s="4">
        <v>44503.875</v>
      </c>
      <c r="K1135" t="s">
        <v>226</v>
      </c>
      <c r="L1135" s="5" t="s">
        <v>4458</v>
      </c>
      <c r="M1135" s="5" t="s">
        <v>35</v>
      </c>
      <c r="N1135" t="s">
        <v>82</v>
      </c>
      <c r="O1135" t="s">
        <v>4459</v>
      </c>
      <c r="R1135">
        <v>1</v>
      </c>
      <c r="S1135" t="s">
        <v>230</v>
      </c>
      <c r="T1135" s="5" t="s">
        <v>48</v>
      </c>
      <c r="U1135" t="s">
        <v>4460</v>
      </c>
      <c r="V1135" t="s">
        <v>4457</v>
      </c>
      <c r="W1135">
        <v>134</v>
      </c>
      <c r="X1135" t="s">
        <v>1577</v>
      </c>
      <c r="Y1135" t="str">
        <f>VLOOKUP(C1135,'[1]DBS_KPY Sorumlular'!A:C,2,FALSE)</f>
        <v>Tayfun VİÇE</v>
      </c>
      <c r="Z1135" t="str">
        <f>VLOOKUP(C1135,'[1]DBS_KPY Sorumlular'!A:C,3,FALSE)</f>
        <v>Mehmet Ali YAVUZ</v>
      </c>
      <c r="AA1135" t="str">
        <f>VLOOKUP(K1135,[1]!Tablo3[#Data],2,FALSE)</f>
        <v>Kadir TOPÇU</v>
      </c>
    </row>
    <row r="1136" spans="1:27" x14ac:dyDescent="0.25">
      <c r="A1136">
        <v>2445</v>
      </c>
      <c r="B1136" t="s">
        <v>1419</v>
      </c>
      <c r="C1136" t="s">
        <v>1674</v>
      </c>
      <c r="D1136" t="s">
        <v>1717</v>
      </c>
      <c r="F1136" t="s">
        <v>642</v>
      </c>
      <c r="G1136" t="s">
        <v>43</v>
      </c>
      <c r="H1136" t="s">
        <v>4461</v>
      </c>
      <c r="I1136" s="4"/>
      <c r="J1136" t="s">
        <v>4462</v>
      </c>
      <c r="K1136" t="s">
        <v>226</v>
      </c>
      <c r="L1136" s="5"/>
      <c r="M1136" s="5" t="s">
        <v>4463</v>
      </c>
      <c r="N1136" t="s">
        <v>35</v>
      </c>
      <c r="O1136" t="s">
        <v>4464</v>
      </c>
      <c r="S1136" t="s">
        <v>230</v>
      </c>
      <c r="T1136" s="5" t="s">
        <v>48</v>
      </c>
      <c r="U1136" t="s">
        <v>4465</v>
      </c>
      <c r="V1136" t="s">
        <v>4466</v>
      </c>
      <c r="W1136">
        <v>80</v>
      </c>
      <c r="X1136" t="s">
        <v>647</v>
      </c>
      <c r="Y1136" t="str">
        <f>VLOOKUP(C1136,'[1]DBS_KPY Sorumlular'!A:C,2,FALSE)</f>
        <v>Kadir TOPÇU</v>
      </c>
      <c r="Z1136" t="str">
        <f>VLOOKUP(C1136,'[1]DBS_KPY Sorumlular'!A:C,3,FALSE)</f>
        <v>Erkan AKDOĞAN</v>
      </c>
      <c r="AA1136" t="str">
        <f>VLOOKUP(K1136,[1]!Tablo3[#Data],2,FALSE)</f>
        <v>Kadir TOPÇU</v>
      </c>
    </row>
    <row r="1137" spans="1:27" x14ac:dyDescent="0.25">
      <c r="A1137">
        <v>2446</v>
      </c>
      <c r="B1137" t="s">
        <v>1419</v>
      </c>
      <c r="C1137" t="s">
        <v>1674</v>
      </c>
      <c r="D1137" t="s">
        <v>1700</v>
      </c>
      <c r="F1137" t="s">
        <v>95</v>
      </c>
      <c r="G1137" t="s">
        <v>96</v>
      </c>
      <c r="H1137" t="s">
        <v>4467</v>
      </c>
      <c r="I1137" s="4"/>
      <c r="J1137" t="s">
        <v>4468</v>
      </c>
      <c r="K1137" t="s">
        <v>226</v>
      </c>
      <c r="L1137" s="5"/>
      <c r="M1137" s="5" t="s">
        <v>35</v>
      </c>
      <c r="N1137" t="s">
        <v>1824</v>
      </c>
      <c r="O1137" t="s">
        <v>4469</v>
      </c>
      <c r="S1137" t="s">
        <v>230</v>
      </c>
      <c r="T1137" s="5" t="s">
        <v>100</v>
      </c>
      <c r="W1137">
        <v>22</v>
      </c>
      <c r="X1137" t="s">
        <v>1473</v>
      </c>
      <c r="Y1137" t="str">
        <f>VLOOKUP(C1137,'[1]DBS_KPY Sorumlular'!A:C,2,FALSE)</f>
        <v>Kadir TOPÇU</v>
      </c>
      <c r="Z1137" t="str">
        <f>VLOOKUP(C1137,'[1]DBS_KPY Sorumlular'!A:C,3,FALSE)</f>
        <v>Erkan AKDOĞAN</v>
      </c>
      <c r="AA1137" t="str">
        <f>VLOOKUP(K1137,[1]!Tablo3[#Data],2,FALSE)</f>
        <v>Kadir TOPÇU</v>
      </c>
    </row>
    <row r="1138" spans="1:27" x14ac:dyDescent="0.25">
      <c r="A1138">
        <v>2447</v>
      </c>
      <c r="B1138" t="s">
        <v>1419</v>
      </c>
      <c r="C1138" t="s">
        <v>4329</v>
      </c>
      <c r="D1138" t="s">
        <v>4470</v>
      </c>
      <c r="F1138" t="s">
        <v>4331</v>
      </c>
      <c r="G1138" t="s">
        <v>96</v>
      </c>
      <c r="H1138" t="s">
        <v>4471</v>
      </c>
      <c r="I1138" s="4">
        <v>46021.875</v>
      </c>
      <c r="J1138" t="s">
        <v>4472</v>
      </c>
      <c r="K1138" t="s">
        <v>898</v>
      </c>
      <c r="L1138" s="5" t="s">
        <v>4473</v>
      </c>
      <c r="M1138" s="5" t="s">
        <v>35</v>
      </c>
      <c r="N1138" t="s">
        <v>35</v>
      </c>
      <c r="O1138" t="s">
        <v>4474</v>
      </c>
      <c r="S1138" t="s">
        <v>230</v>
      </c>
      <c r="T1138" s="5" t="s">
        <v>38</v>
      </c>
      <c r="W1138">
        <v>167</v>
      </c>
      <c r="X1138" t="s">
        <v>4475</v>
      </c>
      <c r="Y1138" t="str">
        <f>VLOOKUP(C1138,'[1]DBS_KPY Sorumlular'!A:C,2,FALSE)</f>
        <v>Esra DOLAN</v>
      </c>
      <c r="Z1138" t="str">
        <f>VLOOKUP(C1138,'[1]DBS_KPY Sorumlular'!A:C,3,FALSE)</f>
        <v>Mustafa AYDIN</v>
      </c>
      <c r="AA1138" t="str">
        <f>VLOOKUP(K1138,[1]!Tablo3[#Data],2,FALSE)</f>
        <v>Erkan AKDOĞAN</v>
      </c>
    </row>
    <row r="1139" spans="1:27" x14ac:dyDescent="0.25">
      <c r="A1139">
        <v>2448</v>
      </c>
      <c r="B1139" t="s">
        <v>1419</v>
      </c>
      <c r="C1139" t="s">
        <v>73</v>
      </c>
      <c r="D1139" t="s">
        <v>73</v>
      </c>
      <c r="E1139" t="s">
        <v>305</v>
      </c>
      <c r="F1139" t="s">
        <v>486</v>
      </c>
      <c r="G1139" t="s">
        <v>30</v>
      </c>
      <c r="H1139" t="s">
        <v>4476</v>
      </c>
      <c r="I1139" s="4"/>
      <c r="J1139" t="s">
        <v>2367</v>
      </c>
      <c r="K1139" t="s">
        <v>226</v>
      </c>
      <c r="L1139" s="5"/>
      <c r="M1139" s="5" t="s">
        <v>35</v>
      </c>
      <c r="N1139" t="s">
        <v>1824</v>
      </c>
      <c r="O1139" t="s">
        <v>4477</v>
      </c>
      <c r="S1139" t="s">
        <v>230</v>
      </c>
      <c r="T1139" s="5" t="s">
        <v>38</v>
      </c>
      <c r="Y1139" t="str">
        <f>VLOOKUP(C1139,'[1]DBS_KPY Sorumlular'!A:C,2,FALSE)</f>
        <v>Ayşegül AKGÜL</v>
      </c>
      <c r="Z1139" t="str">
        <f>VLOOKUP(C1139,'[1]DBS_KPY Sorumlular'!A:C,3,FALSE)</f>
        <v>Sinan ERDAŞ</v>
      </c>
      <c r="AA1139" t="str">
        <f>VLOOKUP(K1139,[1]!Tablo3[#Data],2,FALSE)</f>
        <v>Kadir TOPÇU</v>
      </c>
    </row>
    <row r="1140" spans="1:27" x14ac:dyDescent="0.25">
      <c r="A1140">
        <v>2449</v>
      </c>
      <c r="B1140" t="s">
        <v>1419</v>
      </c>
      <c r="C1140" t="s">
        <v>73</v>
      </c>
      <c r="D1140" t="s">
        <v>73</v>
      </c>
      <c r="E1140" t="s">
        <v>305</v>
      </c>
      <c r="F1140" t="s">
        <v>486</v>
      </c>
      <c r="G1140" t="s">
        <v>30</v>
      </c>
      <c r="H1140" t="s">
        <v>4478</v>
      </c>
      <c r="I1140" s="4"/>
      <c r="J1140" t="s">
        <v>2367</v>
      </c>
      <c r="K1140" t="s">
        <v>226</v>
      </c>
      <c r="L1140" s="5"/>
      <c r="M1140" s="5" t="s">
        <v>35</v>
      </c>
      <c r="N1140" t="s">
        <v>1824</v>
      </c>
      <c r="O1140" t="s">
        <v>4479</v>
      </c>
      <c r="S1140" t="s">
        <v>230</v>
      </c>
      <c r="T1140" s="5" t="s">
        <v>38</v>
      </c>
      <c r="Y1140" t="str">
        <f>VLOOKUP(C1140,'[1]DBS_KPY Sorumlular'!A:C,2,FALSE)</f>
        <v>Ayşegül AKGÜL</v>
      </c>
      <c r="Z1140" t="str">
        <f>VLOOKUP(C1140,'[1]DBS_KPY Sorumlular'!A:C,3,FALSE)</f>
        <v>Sinan ERDAŞ</v>
      </c>
      <c r="AA1140" t="str">
        <f>VLOOKUP(K1140,[1]!Tablo3[#Data],2,FALSE)</f>
        <v>Kadir TOPÇU</v>
      </c>
    </row>
    <row r="1141" spans="1:27" x14ac:dyDescent="0.25">
      <c r="A1141">
        <v>2450</v>
      </c>
      <c r="B1141" t="s">
        <v>1419</v>
      </c>
      <c r="C1141" t="s">
        <v>73</v>
      </c>
      <c r="D1141" t="s">
        <v>73</v>
      </c>
      <c r="E1141" t="s">
        <v>305</v>
      </c>
      <c r="F1141" t="s">
        <v>486</v>
      </c>
      <c r="G1141" t="s">
        <v>30</v>
      </c>
      <c r="H1141" t="s">
        <v>4480</v>
      </c>
      <c r="I1141" s="4"/>
      <c r="J1141" t="s">
        <v>2367</v>
      </c>
      <c r="K1141" t="s">
        <v>226</v>
      </c>
      <c r="L1141" s="5"/>
      <c r="M1141" s="5" t="s">
        <v>35</v>
      </c>
      <c r="N1141" t="s">
        <v>1824</v>
      </c>
      <c r="O1141" t="s">
        <v>4481</v>
      </c>
      <c r="S1141" t="s">
        <v>230</v>
      </c>
      <c r="T1141" s="5" t="s">
        <v>38</v>
      </c>
      <c r="Y1141" t="str">
        <f>VLOOKUP(C1141,'[1]DBS_KPY Sorumlular'!A:C,2,FALSE)</f>
        <v>Ayşegül AKGÜL</v>
      </c>
      <c r="Z1141" t="str">
        <f>VLOOKUP(C1141,'[1]DBS_KPY Sorumlular'!A:C,3,FALSE)</f>
        <v>Sinan ERDAŞ</v>
      </c>
      <c r="AA1141" t="str">
        <f>VLOOKUP(K1141,[1]!Tablo3[#Data],2,FALSE)</f>
        <v>Kadir TOPÇU</v>
      </c>
    </row>
    <row r="1142" spans="1:27" x14ac:dyDescent="0.25">
      <c r="A1142">
        <v>2451</v>
      </c>
      <c r="B1142" t="s">
        <v>1419</v>
      </c>
      <c r="C1142" t="s">
        <v>73</v>
      </c>
      <c r="D1142" t="s">
        <v>73</v>
      </c>
      <c r="E1142" t="s">
        <v>305</v>
      </c>
      <c r="F1142" t="s">
        <v>486</v>
      </c>
      <c r="G1142" t="s">
        <v>30</v>
      </c>
      <c r="H1142" t="s">
        <v>4482</v>
      </c>
      <c r="I1142" s="4"/>
      <c r="J1142" t="s">
        <v>2367</v>
      </c>
      <c r="K1142" t="s">
        <v>226</v>
      </c>
      <c r="L1142" s="5"/>
      <c r="M1142" s="5" t="s">
        <v>35</v>
      </c>
      <c r="N1142" t="s">
        <v>1824</v>
      </c>
      <c r="O1142" t="s">
        <v>4483</v>
      </c>
      <c r="S1142" t="s">
        <v>230</v>
      </c>
      <c r="T1142" s="5" t="s">
        <v>38</v>
      </c>
      <c r="Y1142" t="str">
        <f>VLOOKUP(C1142,'[1]DBS_KPY Sorumlular'!A:C,2,FALSE)</f>
        <v>Ayşegül AKGÜL</v>
      </c>
      <c r="Z1142" t="str">
        <f>VLOOKUP(C1142,'[1]DBS_KPY Sorumlular'!A:C,3,FALSE)</f>
        <v>Sinan ERDAŞ</v>
      </c>
      <c r="AA1142" t="str">
        <f>VLOOKUP(K1142,[1]!Tablo3[#Data],2,FALSE)</f>
        <v>Kadir TOPÇU</v>
      </c>
    </row>
    <row r="1143" spans="1:27" x14ac:dyDescent="0.25">
      <c r="A1143">
        <v>2452</v>
      </c>
      <c r="B1143" t="s">
        <v>1419</v>
      </c>
      <c r="C1143" t="s">
        <v>73</v>
      </c>
      <c r="D1143" t="s">
        <v>73</v>
      </c>
      <c r="E1143" t="s">
        <v>305</v>
      </c>
      <c r="F1143" t="s">
        <v>486</v>
      </c>
      <c r="G1143" t="s">
        <v>30</v>
      </c>
      <c r="H1143" t="s">
        <v>4484</v>
      </c>
      <c r="I1143" s="4"/>
      <c r="J1143" t="s">
        <v>2367</v>
      </c>
      <c r="K1143" t="s">
        <v>226</v>
      </c>
      <c r="L1143" s="5"/>
      <c r="M1143" s="5" t="s">
        <v>35</v>
      </c>
      <c r="N1143" t="s">
        <v>1824</v>
      </c>
      <c r="O1143" t="s">
        <v>4485</v>
      </c>
      <c r="S1143" t="s">
        <v>230</v>
      </c>
      <c r="T1143" s="5" t="s">
        <v>38</v>
      </c>
      <c r="Y1143" t="str">
        <f>VLOOKUP(C1143,'[1]DBS_KPY Sorumlular'!A:C,2,FALSE)</f>
        <v>Ayşegül AKGÜL</v>
      </c>
      <c r="Z1143" t="str">
        <f>VLOOKUP(C1143,'[1]DBS_KPY Sorumlular'!A:C,3,FALSE)</f>
        <v>Sinan ERDAŞ</v>
      </c>
      <c r="AA1143" t="str">
        <f>VLOOKUP(K1143,[1]!Tablo3[#Data],2,FALSE)</f>
        <v>Kadir TOPÇU</v>
      </c>
    </row>
    <row r="1144" spans="1:27" x14ac:dyDescent="0.25">
      <c r="A1144">
        <v>2455</v>
      </c>
      <c r="B1144" t="s">
        <v>1419</v>
      </c>
      <c r="C1144" t="s">
        <v>652</v>
      </c>
      <c r="D1144" t="s">
        <v>653</v>
      </c>
      <c r="F1144" t="s">
        <v>455</v>
      </c>
      <c r="G1144" t="s">
        <v>456</v>
      </c>
      <c r="H1144" t="s">
        <v>4486</v>
      </c>
      <c r="I1144" s="4"/>
      <c r="J1144" t="s">
        <v>4487</v>
      </c>
      <c r="K1144" t="s">
        <v>226</v>
      </c>
      <c r="L1144" s="5"/>
      <c r="M1144" s="5" t="s">
        <v>35</v>
      </c>
      <c r="N1144" t="s">
        <v>1824</v>
      </c>
      <c r="O1144" t="s">
        <v>4488</v>
      </c>
      <c r="S1144" t="s">
        <v>230</v>
      </c>
      <c r="T1144" s="5" t="s">
        <v>100</v>
      </c>
      <c r="W1144">
        <v>144</v>
      </c>
      <c r="X1144" t="s">
        <v>463</v>
      </c>
      <c r="Y1144" t="str">
        <f>VLOOKUP(C1144,'[1]DBS_KPY Sorumlular'!A:C,2,FALSE)</f>
        <v>Seyithan İŞİK</v>
      </c>
      <c r="Z1144" t="str">
        <f>VLOOKUP(C1144,'[1]DBS_KPY Sorumlular'!A:C,3,FALSE)</f>
        <v>Korhan KÖROĞLU</v>
      </c>
      <c r="AA1144" t="str">
        <f>VLOOKUP(K1144,[1]!Tablo3[#Data],2,FALSE)</f>
        <v>Kadir TOPÇU</v>
      </c>
    </row>
    <row r="1145" spans="1:27" x14ac:dyDescent="0.25">
      <c r="A1145">
        <v>2456</v>
      </c>
      <c r="B1145" t="s">
        <v>1419</v>
      </c>
      <c r="C1145" t="s">
        <v>304</v>
      </c>
      <c r="D1145" t="s">
        <v>305</v>
      </c>
      <c r="F1145" t="s">
        <v>486</v>
      </c>
      <c r="G1145" t="s">
        <v>67</v>
      </c>
      <c r="H1145" t="s">
        <v>4489</v>
      </c>
      <c r="I1145" s="4"/>
      <c r="J1145" t="s">
        <v>2367</v>
      </c>
      <c r="K1145" t="s">
        <v>226</v>
      </c>
      <c r="L1145" s="5"/>
      <c r="M1145" s="5" t="s">
        <v>35</v>
      </c>
      <c r="N1145" t="s">
        <v>1824</v>
      </c>
      <c r="O1145" t="s">
        <v>4490</v>
      </c>
      <c r="S1145" t="s">
        <v>230</v>
      </c>
      <c r="T1145" s="5" t="s">
        <v>38</v>
      </c>
      <c r="Y1145" t="str">
        <f>VLOOKUP(C1145,'[1]DBS_KPY Sorumlular'!A:C,2,FALSE)</f>
        <v>Erkan AKDOĞAN</v>
      </c>
      <c r="Z1145" t="str">
        <f>VLOOKUP(C1145,'[1]DBS_KPY Sorumlular'!A:C,3,FALSE)</f>
        <v>Kadir TOPÇU</v>
      </c>
      <c r="AA1145" t="str">
        <f>VLOOKUP(K1145,[1]!Tablo3[#Data],2,FALSE)</f>
        <v>Kadir TOPÇU</v>
      </c>
    </row>
    <row r="1146" spans="1:27" x14ac:dyDescent="0.25">
      <c r="A1146">
        <v>2457</v>
      </c>
      <c r="B1146" t="s">
        <v>1419</v>
      </c>
      <c r="C1146" t="s">
        <v>304</v>
      </c>
      <c r="D1146" t="s">
        <v>305</v>
      </c>
      <c r="F1146" t="s">
        <v>486</v>
      </c>
      <c r="G1146" t="s">
        <v>67</v>
      </c>
      <c r="H1146" t="s">
        <v>4491</v>
      </c>
      <c r="I1146" s="4"/>
      <c r="J1146" t="s">
        <v>2367</v>
      </c>
      <c r="K1146" t="s">
        <v>226</v>
      </c>
      <c r="L1146" s="5"/>
      <c r="M1146" s="5" t="s">
        <v>35</v>
      </c>
      <c r="N1146" t="s">
        <v>1824</v>
      </c>
      <c r="O1146" t="s">
        <v>4492</v>
      </c>
      <c r="S1146" t="s">
        <v>230</v>
      </c>
      <c r="T1146" s="5" t="s">
        <v>38</v>
      </c>
      <c r="Y1146" t="str">
        <f>VLOOKUP(C1146,'[1]DBS_KPY Sorumlular'!A:C,2,FALSE)</f>
        <v>Erkan AKDOĞAN</v>
      </c>
      <c r="Z1146" t="str">
        <f>VLOOKUP(C1146,'[1]DBS_KPY Sorumlular'!A:C,3,FALSE)</f>
        <v>Kadir TOPÇU</v>
      </c>
      <c r="AA1146" t="str">
        <f>VLOOKUP(K1146,[1]!Tablo3[#Data],2,FALSE)</f>
        <v>Kadir TOPÇU</v>
      </c>
    </row>
    <row r="1147" spans="1:27" x14ac:dyDescent="0.25">
      <c r="A1147">
        <v>2458</v>
      </c>
      <c r="B1147" t="s">
        <v>1419</v>
      </c>
      <c r="C1147" t="s">
        <v>73</v>
      </c>
      <c r="D1147" t="s">
        <v>73</v>
      </c>
      <c r="E1147" t="s">
        <v>305</v>
      </c>
      <c r="F1147" t="s">
        <v>486</v>
      </c>
      <c r="G1147" t="s">
        <v>30</v>
      </c>
      <c r="H1147" t="s">
        <v>4493</v>
      </c>
      <c r="I1147" s="4"/>
      <c r="J1147" t="s">
        <v>2367</v>
      </c>
      <c r="K1147" t="s">
        <v>226</v>
      </c>
      <c r="L1147" s="5"/>
      <c r="M1147" s="5" t="s">
        <v>35</v>
      </c>
      <c r="N1147" t="s">
        <v>1824</v>
      </c>
      <c r="O1147" t="s">
        <v>4494</v>
      </c>
      <c r="S1147" t="s">
        <v>230</v>
      </c>
      <c r="T1147" s="5" t="s">
        <v>38</v>
      </c>
      <c r="Y1147" t="str">
        <f>VLOOKUP(C1147,'[1]DBS_KPY Sorumlular'!A:C,2,FALSE)</f>
        <v>Ayşegül AKGÜL</v>
      </c>
      <c r="Z1147" t="str">
        <f>VLOOKUP(C1147,'[1]DBS_KPY Sorumlular'!A:C,3,FALSE)</f>
        <v>Sinan ERDAŞ</v>
      </c>
      <c r="AA1147" t="str">
        <f>VLOOKUP(K1147,[1]!Tablo3[#Data],2,FALSE)</f>
        <v>Kadir TOPÇU</v>
      </c>
    </row>
    <row r="1148" spans="1:27" x14ac:dyDescent="0.25">
      <c r="A1148">
        <v>2459</v>
      </c>
      <c r="B1148" t="s">
        <v>1419</v>
      </c>
      <c r="C1148" t="s">
        <v>402</v>
      </c>
      <c r="D1148" t="s">
        <v>403</v>
      </c>
      <c r="F1148" t="s">
        <v>383</v>
      </c>
      <c r="G1148" t="s">
        <v>384</v>
      </c>
      <c r="H1148" t="s">
        <v>4495</v>
      </c>
      <c r="I1148" s="4"/>
      <c r="J1148" t="s">
        <v>4496</v>
      </c>
      <c r="K1148" t="s">
        <v>226</v>
      </c>
      <c r="L1148" s="5" t="s">
        <v>4497</v>
      </c>
      <c r="M1148" s="5" t="s">
        <v>35</v>
      </c>
      <c r="N1148" t="s">
        <v>1824</v>
      </c>
      <c r="O1148" t="s">
        <v>4498</v>
      </c>
      <c r="S1148" t="s">
        <v>230</v>
      </c>
      <c r="T1148" s="5" t="s">
        <v>48</v>
      </c>
      <c r="U1148" t="s">
        <v>4499</v>
      </c>
      <c r="V1148" t="s">
        <v>4500</v>
      </c>
      <c r="W1148">
        <v>223</v>
      </c>
      <c r="X1148" t="s">
        <v>524</v>
      </c>
      <c r="Y1148" t="str">
        <f>VLOOKUP(C1148,'[1]DBS_KPY Sorumlular'!A:C,2,FALSE)</f>
        <v>Tayfun VİÇE</v>
      </c>
      <c r="Z1148" t="str">
        <f>VLOOKUP(C1148,'[1]DBS_KPY Sorumlular'!A:C,3,FALSE)</f>
        <v>Mehmet Ali YAVUZ</v>
      </c>
      <c r="AA1148" t="str">
        <f>VLOOKUP(K1148,[1]!Tablo3[#Data],2,FALSE)</f>
        <v>Kadir TOPÇU</v>
      </c>
    </row>
    <row r="1149" spans="1:27" x14ac:dyDescent="0.25">
      <c r="A1149">
        <v>2460</v>
      </c>
      <c r="B1149" t="s">
        <v>1419</v>
      </c>
      <c r="C1149" t="s">
        <v>1046</v>
      </c>
      <c r="D1149" t="s">
        <v>1047</v>
      </c>
      <c r="F1149" t="s">
        <v>4501</v>
      </c>
      <c r="G1149" t="s">
        <v>43</v>
      </c>
      <c r="H1149" t="s">
        <v>4502</v>
      </c>
      <c r="I1149" s="4"/>
      <c r="J1149" t="s">
        <v>4503</v>
      </c>
      <c r="K1149" t="s">
        <v>226</v>
      </c>
      <c r="L1149" s="5"/>
      <c r="M1149" s="5" t="s">
        <v>4028</v>
      </c>
      <c r="N1149" t="s">
        <v>1824</v>
      </c>
      <c r="O1149" t="s">
        <v>4504</v>
      </c>
      <c r="S1149" t="s">
        <v>230</v>
      </c>
      <c r="T1149" s="5" t="s">
        <v>38</v>
      </c>
      <c r="W1149">
        <v>71</v>
      </c>
      <c r="X1149" t="s">
        <v>1299</v>
      </c>
      <c r="Y1149" t="str">
        <f>VLOOKUP(C1149,'[1]DBS_KPY Sorumlular'!A:C,2,FALSE)</f>
        <v>Ayşegül AKGÜL</v>
      </c>
      <c r="Z1149" t="str">
        <f>VLOOKUP(C1149,'[1]DBS_KPY Sorumlular'!A:C,3,FALSE)</f>
        <v>Sinan ERDAŞ</v>
      </c>
      <c r="AA1149" t="str">
        <f>VLOOKUP(K1149,[1]!Tablo3[#Data],2,FALSE)</f>
        <v>Kadir TOPÇU</v>
      </c>
    </row>
    <row r="1150" spans="1:27" x14ac:dyDescent="0.25">
      <c r="A1150">
        <v>2462</v>
      </c>
      <c r="B1150" t="s">
        <v>1419</v>
      </c>
      <c r="C1150" t="s">
        <v>652</v>
      </c>
      <c r="D1150" t="s">
        <v>653</v>
      </c>
      <c r="F1150" t="s">
        <v>455</v>
      </c>
      <c r="G1150" t="s">
        <v>456</v>
      </c>
      <c r="H1150" t="s">
        <v>4505</v>
      </c>
      <c r="I1150" s="4"/>
      <c r="J1150" t="s">
        <v>4506</v>
      </c>
      <c r="K1150" t="s">
        <v>534</v>
      </c>
      <c r="L1150" s="5"/>
      <c r="M1150" s="5" t="s">
        <v>35</v>
      </c>
      <c r="N1150" t="s">
        <v>1824</v>
      </c>
      <c r="O1150" t="s">
        <v>4507</v>
      </c>
      <c r="S1150" t="s">
        <v>57</v>
      </c>
      <c r="T1150" s="5" t="s">
        <v>100</v>
      </c>
      <c r="W1150">
        <v>144</v>
      </c>
      <c r="X1150" t="s">
        <v>463</v>
      </c>
      <c r="Y1150" t="str">
        <f>VLOOKUP(C1150,'[1]DBS_KPY Sorumlular'!A:C,2,FALSE)</f>
        <v>Seyithan İŞİK</v>
      </c>
      <c r="Z1150" t="str">
        <f>VLOOKUP(C1150,'[1]DBS_KPY Sorumlular'!A:C,3,FALSE)</f>
        <v>Korhan KÖROĞLU</v>
      </c>
      <c r="AA1150" t="str">
        <f>VLOOKUP(K1150,[1]!Tablo3[#Data],2,FALSE)</f>
        <v>Erkan AKDOĞAN</v>
      </c>
    </row>
    <row r="1151" spans="1:27" x14ac:dyDescent="0.25">
      <c r="A1151">
        <v>2463</v>
      </c>
      <c r="B1151" t="s">
        <v>1419</v>
      </c>
      <c r="C1151" t="s">
        <v>73</v>
      </c>
      <c r="D1151" t="s">
        <v>73</v>
      </c>
      <c r="F1151" t="s">
        <v>74</v>
      </c>
      <c r="G1151" t="s">
        <v>30</v>
      </c>
      <c r="H1151" t="s">
        <v>4508</v>
      </c>
      <c r="I1151" s="4"/>
      <c r="K1151" t="s">
        <v>534</v>
      </c>
      <c r="L1151" s="5"/>
      <c r="M1151" s="5" t="s">
        <v>35</v>
      </c>
      <c r="N1151" t="s">
        <v>1824</v>
      </c>
      <c r="O1151" t="s">
        <v>4509</v>
      </c>
      <c r="S1151" t="s">
        <v>57</v>
      </c>
      <c r="T1151" s="5" t="s">
        <v>38</v>
      </c>
      <c r="Y1151" t="str">
        <f>VLOOKUP(C1151,'[1]DBS_KPY Sorumlular'!A:C,2,FALSE)</f>
        <v>Ayşegül AKGÜL</v>
      </c>
      <c r="Z1151" t="str">
        <f>VLOOKUP(C1151,'[1]DBS_KPY Sorumlular'!A:C,3,FALSE)</f>
        <v>Sinan ERDAŞ</v>
      </c>
      <c r="AA1151" t="str">
        <f>VLOOKUP(K1151,[1]!Tablo3[#Data],2,FALSE)</f>
        <v>Erkan AKDOĞAN</v>
      </c>
    </row>
    <row r="1152" spans="1:27" x14ac:dyDescent="0.25">
      <c r="A1152">
        <v>2464</v>
      </c>
      <c r="B1152" t="s">
        <v>1419</v>
      </c>
      <c r="C1152" t="s">
        <v>1674</v>
      </c>
      <c r="D1152" t="s">
        <v>1675</v>
      </c>
      <c r="F1152" t="s">
        <v>66</v>
      </c>
      <c r="G1152" t="s">
        <v>67</v>
      </c>
      <c r="H1152" t="s">
        <v>4510</v>
      </c>
      <c r="I1152" s="4"/>
      <c r="J1152" t="s">
        <v>4511</v>
      </c>
      <c r="K1152" t="s">
        <v>534</v>
      </c>
      <c r="L1152" s="5"/>
      <c r="M1152" s="5" t="s">
        <v>35</v>
      </c>
      <c r="N1152" t="s">
        <v>35</v>
      </c>
      <c r="O1152" t="s">
        <v>4512</v>
      </c>
      <c r="S1152" t="s">
        <v>57</v>
      </c>
      <c r="T1152" s="5" t="s">
        <v>48</v>
      </c>
      <c r="U1152" t="s">
        <v>4513</v>
      </c>
      <c r="V1152" t="s">
        <v>4510</v>
      </c>
      <c r="W1152">
        <v>203</v>
      </c>
      <c r="X1152" t="s">
        <v>72</v>
      </c>
      <c r="Y1152" t="str">
        <f>VLOOKUP(C1152,'[1]DBS_KPY Sorumlular'!A:C,2,FALSE)</f>
        <v>Kadir TOPÇU</v>
      </c>
      <c r="Z1152" t="str">
        <f>VLOOKUP(C1152,'[1]DBS_KPY Sorumlular'!A:C,3,FALSE)</f>
        <v>Erkan AKDOĞAN</v>
      </c>
      <c r="AA1152" t="str">
        <f>VLOOKUP(K1152,[1]!Tablo3[#Data],2,FALSE)</f>
        <v>Erkan AKDOĞAN</v>
      </c>
    </row>
    <row r="1153" spans="1:27" x14ac:dyDescent="0.25">
      <c r="A1153">
        <v>2465</v>
      </c>
      <c r="B1153" t="s">
        <v>1419</v>
      </c>
      <c r="C1153" t="s">
        <v>1674</v>
      </c>
      <c r="D1153" t="s">
        <v>1675</v>
      </c>
      <c r="F1153" t="s">
        <v>66</v>
      </c>
      <c r="G1153" t="s">
        <v>67</v>
      </c>
      <c r="H1153" t="s">
        <v>4514</v>
      </c>
      <c r="I1153" s="4"/>
      <c r="J1153" t="s">
        <v>4515</v>
      </c>
      <c r="K1153" t="s">
        <v>534</v>
      </c>
      <c r="L1153" s="5" t="s">
        <v>4516</v>
      </c>
      <c r="M1153" s="5" t="s">
        <v>35</v>
      </c>
      <c r="N1153" t="s">
        <v>739</v>
      </c>
      <c r="O1153" t="s">
        <v>4517</v>
      </c>
      <c r="S1153" t="s">
        <v>57</v>
      </c>
      <c r="T1153" s="5" t="s">
        <v>48</v>
      </c>
      <c r="U1153" t="s">
        <v>4518</v>
      </c>
      <c r="V1153" t="s">
        <v>4514</v>
      </c>
      <c r="W1153">
        <v>203</v>
      </c>
      <c r="X1153" t="s">
        <v>72</v>
      </c>
      <c r="Y1153" t="str">
        <f>VLOOKUP(C1153,'[1]DBS_KPY Sorumlular'!A:C,2,FALSE)</f>
        <v>Kadir TOPÇU</v>
      </c>
      <c r="Z1153" t="str">
        <f>VLOOKUP(C1153,'[1]DBS_KPY Sorumlular'!A:C,3,FALSE)</f>
        <v>Erkan AKDOĞAN</v>
      </c>
      <c r="AA1153" t="str">
        <f>VLOOKUP(K1153,[1]!Tablo3[#Data],2,FALSE)</f>
        <v>Erkan AKDOĞAN</v>
      </c>
    </row>
    <row r="1154" spans="1:27" x14ac:dyDescent="0.25">
      <c r="A1154">
        <v>2466</v>
      </c>
      <c r="B1154" t="s">
        <v>1419</v>
      </c>
      <c r="C1154" t="s">
        <v>1674</v>
      </c>
      <c r="D1154" t="s">
        <v>1675</v>
      </c>
      <c r="F1154" t="s">
        <v>66</v>
      </c>
      <c r="G1154" t="s">
        <v>67</v>
      </c>
      <c r="H1154" t="s">
        <v>4519</v>
      </c>
      <c r="I1154" s="4"/>
      <c r="J1154" t="s">
        <v>4520</v>
      </c>
      <c r="K1154" t="s">
        <v>534</v>
      </c>
      <c r="L1154" s="5"/>
      <c r="M1154" s="5" t="s">
        <v>35</v>
      </c>
      <c r="N1154" t="s">
        <v>35</v>
      </c>
      <c r="O1154" t="s">
        <v>4521</v>
      </c>
      <c r="S1154" t="s">
        <v>57</v>
      </c>
      <c r="T1154" s="5" t="s">
        <v>48</v>
      </c>
      <c r="U1154" t="s">
        <v>4522</v>
      </c>
      <c r="V1154" t="s">
        <v>4519</v>
      </c>
      <c r="W1154">
        <v>203</v>
      </c>
      <c r="X1154" t="s">
        <v>72</v>
      </c>
      <c r="Y1154" t="str">
        <f>VLOOKUP(C1154,'[1]DBS_KPY Sorumlular'!A:C,2,FALSE)</f>
        <v>Kadir TOPÇU</v>
      </c>
      <c r="Z1154" t="str">
        <f>VLOOKUP(C1154,'[1]DBS_KPY Sorumlular'!A:C,3,FALSE)</f>
        <v>Erkan AKDOĞAN</v>
      </c>
      <c r="AA1154" t="str">
        <f>VLOOKUP(K1154,[1]!Tablo3[#Data],2,FALSE)</f>
        <v>Erkan AKDOĞAN</v>
      </c>
    </row>
    <row r="1155" spans="1:27" x14ac:dyDescent="0.25">
      <c r="A1155">
        <v>2467</v>
      </c>
      <c r="B1155" t="s">
        <v>27</v>
      </c>
      <c r="C1155" t="s">
        <v>28</v>
      </c>
      <c r="D1155" t="s">
        <v>28</v>
      </c>
      <c r="F1155" t="s">
        <v>184</v>
      </c>
      <c r="G1155" t="s">
        <v>43</v>
      </c>
      <c r="H1155" t="s">
        <v>4523</v>
      </c>
      <c r="I1155" s="4"/>
      <c r="J1155" t="s">
        <v>4524</v>
      </c>
      <c r="K1155" t="s">
        <v>534</v>
      </c>
      <c r="L1155" s="5" t="s">
        <v>4525</v>
      </c>
      <c r="M1155" s="5" t="s">
        <v>35</v>
      </c>
      <c r="N1155" t="s">
        <v>35</v>
      </c>
      <c r="O1155" t="s">
        <v>4526</v>
      </c>
      <c r="S1155" t="s">
        <v>57</v>
      </c>
      <c r="T1155" s="5" t="s">
        <v>48</v>
      </c>
      <c r="U1155" t="s">
        <v>4527</v>
      </c>
      <c r="V1155" t="s">
        <v>4523</v>
      </c>
      <c r="W1155">
        <v>5</v>
      </c>
      <c r="X1155" t="s">
        <v>4528</v>
      </c>
      <c r="Y1155" t="str">
        <f>VLOOKUP(C1155,'[1]DBS_KPY Sorumlular'!A:C,2,FALSE)</f>
        <v>Ayşegül AKGÜL</v>
      </c>
      <c r="Z1155" t="str">
        <f>VLOOKUP(C1155,'[1]DBS_KPY Sorumlular'!A:C,3,FALSE)</f>
        <v>Sinan ERDAŞ</v>
      </c>
      <c r="AA1155" t="str">
        <f>VLOOKUP(K1155,[1]!Tablo3[#Data],2,FALSE)</f>
        <v>Erkan AKDOĞAN</v>
      </c>
    </row>
    <row r="1156" spans="1:27" x14ac:dyDescent="0.25">
      <c r="A1156">
        <v>2468</v>
      </c>
      <c r="B1156" t="s">
        <v>1419</v>
      </c>
      <c r="C1156" t="s">
        <v>1674</v>
      </c>
      <c r="D1156" t="s">
        <v>1700</v>
      </c>
      <c r="F1156" t="s">
        <v>95</v>
      </c>
      <c r="G1156" t="s">
        <v>96</v>
      </c>
      <c r="H1156" t="s">
        <v>4529</v>
      </c>
      <c r="I1156" s="4"/>
      <c r="J1156" t="s">
        <v>4530</v>
      </c>
      <c r="K1156" t="s">
        <v>534</v>
      </c>
      <c r="L1156" s="5" t="s">
        <v>2440</v>
      </c>
      <c r="M1156" s="5" t="s">
        <v>35</v>
      </c>
      <c r="N1156" t="s">
        <v>35</v>
      </c>
      <c r="O1156" t="s">
        <v>4531</v>
      </c>
      <c r="S1156" t="s">
        <v>57</v>
      </c>
      <c r="T1156" s="5" t="s">
        <v>48</v>
      </c>
      <c r="U1156" t="s">
        <v>4532</v>
      </c>
      <c r="V1156" t="s">
        <v>4529</v>
      </c>
      <c r="W1156">
        <v>28</v>
      </c>
      <c r="X1156" t="s">
        <v>667</v>
      </c>
      <c r="Y1156" t="str">
        <f>VLOOKUP(C1156,'[1]DBS_KPY Sorumlular'!A:C,2,FALSE)</f>
        <v>Kadir TOPÇU</v>
      </c>
      <c r="Z1156" t="str">
        <f>VLOOKUP(C1156,'[1]DBS_KPY Sorumlular'!A:C,3,FALSE)</f>
        <v>Erkan AKDOĞAN</v>
      </c>
      <c r="AA1156" t="str">
        <f>VLOOKUP(K1156,[1]!Tablo3[#Data],2,FALSE)</f>
        <v>Erkan AKDOĞAN</v>
      </c>
    </row>
    <row r="1157" spans="1:27" x14ac:dyDescent="0.25">
      <c r="A1157">
        <v>2469</v>
      </c>
      <c r="B1157" t="s">
        <v>1419</v>
      </c>
      <c r="C1157" t="s">
        <v>1674</v>
      </c>
      <c r="D1157" t="s">
        <v>1700</v>
      </c>
      <c r="F1157" t="s">
        <v>95</v>
      </c>
      <c r="G1157" t="s">
        <v>96</v>
      </c>
      <c r="H1157" t="s">
        <v>4533</v>
      </c>
      <c r="I1157" s="4"/>
      <c r="J1157" t="s">
        <v>4534</v>
      </c>
      <c r="K1157" t="s">
        <v>534</v>
      </c>
      <c r="L1157" s="5" t="s">
        <v>2440</v>
      </c>
      <c r="M1157" s="5" t="s">
        <v>35</v>
      </c>
      <c r="N1157" t="s">
        <v>35</v>
      </c>
      <c r="O1157" t="s">
        <v>4535</v>
      </c>
      <c r="S1157" t="s">
        <v>57</v>
      </c>
      <c r="T1157" s="5" t="s">
        <v>48</v>
      </c>
      <c r="U1157" t="s">
        <v>4536</v>
      </c>
      <c r="V1157" t="s">
        <v>2851</v>
      </c>
      <c r="W1157">
        <v>28</v>
      </c>
      <c r="X1157" t="s">
        <v>667</v>
      </c>
      <c r="Y1157" t="str">
        <f>VLOOKUP(C1157,'[1]DBS_KPY Sorumlular'!A:C,2,FALSE)</f>
        <v>Kadir TOPÇU</v>
      </c>
      <c r="Z1157" t="str">
        <f>VLOOKUP(C1157,'[1]DBS_KPY Sorumlular'!A:C,3,FALSE)</f>
        <v>Erkan AKDOĞAN</v>
      </c>
      <c r="AA1157" t="str">
        <f>VLOOKUP(K1157,[1]!Tablo3[#Data],2,FALSE)</f>
        <v>Erkan AKDOĞAN</v>
      </c>
    </row>
    <row r="1158" spans="1:27" x14ac:dyDescent="0.25">
      <c r="A1158">
        <v>2470</v>
      </c>
      <c r="B1158" t="s">
        <v>1419</v>
      </c>
      <c r="C1158" t="s">
        <v>1674</v>
      </c>
      <c r="D1158" t="s">
        <v>1717</v>
      </c>
      <c r="F1158" t="s">
        <v>882</v>
      </c>
      <c r="G1158" t="s">
        <v>43</v>
      </c>
      <c r="H1158" t="s">
        <v>4537</v>
      </c>
      <c r="I1158" s="4"/>
      <c r="J1158" t="s">
        <v>4538</v>
      </c>
      <c r="K1158" t="s">
        <v>534</v>
      </c>
      <c r="L1158" s="5"/>
      <c r="M1158" s="5" t="s">
        <v>35</v>
      </c>
      <c r="N1158" t="s">
        <v>35</v>
      </c>
      <c r="O1158" t="s">
        <v>4539</v>
      </c>
      <c r="S1158" t="s">
        <v>57</v>
      </c>
      <c r="T1158" s="5" t="s">
        <v>48</v>
      </c>
      <c r="U1158" t="s">
        <v>4540</v>
      </c>
      <c r="V1158" t="s">
        <v>4541</v>
      </c>
      <c r="W1158">
        <v>115</v>
      </c>
      <c r="X1158" t="s">
        <v>350</v>
      </c>
      <c r="Y1158" t="str">
        <f>VLOOKUP(C1158,'[1]DBS_KPY Sorumlular'!A:C,2,FALSE)</f>
        <v>Kadir TOPÇU</v>
      </c>
      <c r="Z1158" t="str">
        <f>VLOOKUP(C1158,'[1]DBS_KPY Sorumlular'!A:C,3,FALSE)</f>
        <v>Erkan AKDOĞAN</v>
      </c>
      <c r="AA1158" t="str">
        <f>VLOOKUP(K1158,[1]!Tablo3[#Data],2,FALSE)</f>
        <v>Erkan AKDOĞAN</v>
      </c>
    </row>
    <row r="1159" spans="1:27" x14ac:dyDescent="0.25">
      <c r="A1159">
        <v>2471</v>
      </c>
      <c r="B1159" t="s">
        <v>1419</v>
      </c>
      <c r="C1159" t="s">
        <v>1674</v>
      </c>
      <c r="D1159" t="s">
        <v>1717</v>
      </c>
      <c r="E1159" t="s">
        <v>4542</v>
      </c>
      <c r="F1159" t="s">
        <v>130</v>
      </c>
      <c r="G1159" t="s">
        <v>43</v>
      </c>
      <c r="H1159" t="s">
        <v>4543</v>
      </c>
      <c r="I1159" s="4"/>
      <c r="J1159" t="s">
        <v>4544</v>
      </c>
      <c r="K1159" t="s">
        <v>534</v>
      </c>
      <c r="L1159" s="5" t="s">
        <v>4545</v>
      </c>
      <c r="M1159" s="5" t="s">
        <v>35</v>
      </c>
      <c r="N1159" t="s">
        <v>739</v>
      </c>
      <c r="O1159" t="s">
        <v>4546</v>
      </c>
      <c r="S1159" t="s">
        <v>57</v>
      </c>
      <c r="T1159" s="5" t="s">
        <v>100</v>
      </c>
      <c r="W1159">
        <v>52</v>
      </c>
      <c r="X1159" t="s">
        <v>3153</v>
      </c>
      <c r="Y1159" t="str">
        <f>VLOOKUP(C1159,'[1]DBS_KPY Sorumlular'!A:C,2,FALSE)</f>
        <v>Kadir TOPÇU</v>
      </c>
      <c r="Z1159" t="str">
        <f>VLOOKUP(C1159,'[1]DBS_KPY Sorumlular'!A:C,3,FALSE)</f>
        <v>Erkan AKDOĞAN</v>
      </c>
      <c r="AA1159" t="str">
        <f>VLOOKUP(K1159,[1]!Tablo3[#Data],2,FALSE)</f>
        <v>Erkan AKDOĞAN</v>
      </c>
    </row>
    <row r="1160" spans="1:27" x14ac:dyDescent="0.25">
      <c r="A1160">
        <v>2472</v>
      </c>
      <c r="B1160" t="s">
        <v>1419</v>
      </c>
      <c r="C1160" t="s">
        <v>652</v>
      </c>
      <c r="D1160" t="s">
        <v>653</v>
      </c>
      <c r="F1160" t="s">
        <v>1725</v>
      </c>
      <c r="G1160" t="s">
        <v>67</v>
      </c>
      <c r="H1160" t="s">
        <v>4547</v>
      </c>
      <c r="I1160" s="4"/>
      <c r="K1160" t="s">
        <v>534</v>
      </c>
      <c r="L1160" s="5"/>
      <c r="M1160" s="5" t="s">
        <v>35</v>
      </c>
      <c r="N1160" t="s">
        <v>1824</v>
      </c>
      <c r="O1160" t="s">
        <v>4548</v>
      </c>
      <c r="S1160" t="s">
        <v>57</v>
      </c>
      <c r="T1160" s="5" t="s">
        <v>48</v>
      </c>
      <c r="U1160" t="s">
        <v>4549</v>
      </c>
      <c r="V1160" t="s">
        <v>4547</v>
      </c>
      <c r="W1160">
        <v>144</v>
      </c>
      <c r="X1160" t="s">
        <v>463</v>
      </c>
      <c r="Y1160" t="str">
        <f>VLOOKUP(C1160,'[1]DBS_KPY Sorumlular'!A:C,2,FALSE)</f>
        <v>Seyithan İŞİK</v>
      </c>
      <c r="Z1160" t="str">
        <f>VLOOKUP(C1160,'[1]DBS_KPY Sorumlular'!A:C,3,FALSE)</f>
        <v>Korhan KÖROĞLU</v>
      </c>
      <c r="AA1160" t="str">
        <f>VLOOKUP(K1160,[1]!Tablo3[#Data],2,FALSE)</f>
        <v>Erkan AKDOĞAN</v>
      </c>
    </row>
    <row r="1161" spans="1:27" x14ac:dyDescent="0.25">
      <c r="A1161">
        <v>2473</v>
      </c>
      <c r="B1161" t="s">
        <v>1419</v>
      </c>
      <c r="C1161" t="s">
        <v>1674</v>
      </c>
      <c r="D1161" t="s">
        <v>1675</v>
      </c>
      <c r="F1161" t="s">
        <v>95</v>
      </c>
      <c r="G1161" t="s">
        <v>96</v>
      </c>
      <c r="H1161" t="s">
        <v>4550</v>
      </c>
      <c r="I1161" s="4"/>
      <c r="J1161" t="s">
        <v>4551</v>
      </c>
      <c r="K1161" t="s">
        <v>534</v>
      </c>
      <c r="L1161" s="5"/>
      <c r="M1161" s="5" t="s">
        <v>4028</v>
      </c>
      <c r="N1161" t="s">
        <v>1824</v>
      </c>
      <c r="O1161" t="s">
        <v>4552</v>
      </c>
      <c r="S1161" t="s">
        <v>57</v>
      </c>
      <c r="T1161" s="5" t="s">
        <v>100</v>
      </c>
      <c r="W1161">
        <v>91</v>
      </c>
      <c r="X1161" t="s">
        <v>101</v>
      </c>
      <c r="Y1161" t="str">
        <f>VLOOKUP(C1161,'[1]DBS_KPY Sorumlular'!A:C,2,FALSE)</f>
        <v>Kadir TOPÇU</v>
      </c>
      <c r="Z1161" t="str">
        <f>VLOOKUP(C1161,'[1]DBS_KPY Sorumlular'!A:C,3,FALSE)</f>
        <v>Erkan AKDOĞAN</v>
      </c>
      <c r="AA1161" t="str">
        <f>VLOOKUP(K1161,[1]!Tablo3[#Data],2,FALSE)</f>
        <v>Erkan AKDOĞAN</v>
      </c>
    </row>
    <row r="1162" spans="1:27" x14ac:dyDescent="0.25">
      <c r="A1162">
        <v>2474</v>
      </c>
      <c r="B1162" t="s">
        <v>1419</v>
      </c>
      <c r="C1162" t="s">
        <v>1674</v>
      </c>
      <c r="D1162" t="s">
        <v>1717</v>
      </c>
      <c r="F1162" t="s">
        <v>102</v>
      </c>
      <c r="G1162" t="s">
        <v>43</v>
      </c>
      <c r="H1162" t="s">
        <v>4553</v>
      </c>
      <c r="I1162" s="4"/>
      <c r="J1162" t="s">
        <v>4554</v>
      </c>
      <c r="K1162" t="s">
        <v>534</v>
      </c>
      <c r="L1162" s="5"/>
      <c r="M1162" s="5" t="s">
        <v>4028</v>
      </c>
      <c r="N1162" t="s">
        <v>1824</v>
      </c>
      <c r="O1162" t="s">
        <v>4555</v>
      </c>
      <c r="S1162" t="s">
        <v>57</v>
      </c>
      <c r="T1162" s="5" t="s">
        <v>100</v>
      </c>
      <c r="W1162">
        <v>108</v>
      </c>
      <c r="X1162" t="s">
        <v>107</v>
      </c>
      <c r="Y1162" t="str">
        <f>VLOOKUP(C1162,'[1]DBS_KPY Sorumlular'!A:C,2,FALSE)</f>
        <v>Kadir TOPÇU</v>
      </c>
      <c r="Z1162" t="str">
        <f>VLOOKUP(C1162,'[1]DBS_KPY Sorumlular'!A:C,3,FALSE)</f>
        <v>Erkan AKDOĞAN</v>
      </c>
      <c r="AA1162" t="str">
        <f>VLOOKUP(K1162,[1]!Tablo3[#Data],2,FALSE)</f>
        <v>Erkan AKDOĞAN</v>
      </c>
    </row>
    <row r="1163" spans="1:27" x14ac:dyDescent="0.25">
      <c r="A1163">
        <v>2475</v>
      </c>
      <c r="B1163" t="s">
        <v>1419</v>
      </c>
      <c r="C1163" t="s">
        <v>1674</v>
      </c>
      <c r="D1163" t="s">
        <v>1717</v>
      </c>
      <c r="F1163" t="s">
        <v>102</v>
      </c>
      <c r="G1163" t="s">
        <v>43</v>
      </c>
      <c r="H1163" t="s">
        <v>4556</v>
      </c>
      <c r="I1163" s="4"/>
      <c r="J1163" t="s">
        <v>4554</v>
      </c>
      <c r="K1163" t="s">
        <v>534</v>
      </c>
      <c r="L1163" s="5"/>
      <c r="M1163" s="5" t="s">
        <v>4028</v>
      </c>
      <c r="N1163" t="s">
        <v>1824</v>
      </c>
      <c r="O1163" t="s">
        <v>4557</v>
      </c>
      <c r="S1163" t="s">
        <v>57</v>
      </c>
      <c r="T1163" s="5" t="s">
        <v>100</v>
      </c>
      <c r="W1163">
        <v>108</v>
      </c>
      <c r="X1163" t="s">
        <v>107</v>
      </c>
      <c r="Y1163" t="str">
        <f>VLOOKUP(C1163,'[1]DBS_KPY Sorumlular'!A:C,2,FALSE)</f>
        <v>Kadir TOPÇU</v>
      </c>
      <c r="Z1163" t="str">
        <f>VLOOKUP(C1163,'[1]DBS_KPY Sorumlular'!A:C,3,FALSE)</f>
        <v>Erkan AKDOĞAN</v>
      </c>
      <c r="AA1163" t="str">
        <f>VLOOKUP(K1163,[1]!Tablo3[#Data],2,FALSE)</f>
        <v>Erkan AKDOĞAN</v>
      </c>
    </row>
    <row r="1164" spans="1:27" x14ac:dyDescent="0.25">
      <c r="A1164">
        <v>2476</v>
      </c>
      <c r="B1164" t="s">
        <v>1419</v>
      </c>
      <c r="C1164" t="s">
        <v>1674</v>
      </c>
      <c r="D1164" t="s">
        <v>1717</v>
      </c>
      <c r="F1164" t="s">
        <v>455</v>
      </c>
      <c r="G1164" t="s">
        <v>43</v>
      </c>
      <c r="H1164" t="s">
        <v>4558</v>
      </c>
      <c r="I1164" s="4"/>
      <c r="J1164" t="s">
        <v>4559</v>
      </c>
      <c r="K1164" t="s">
        <v>459</v>
      </c>
      <c r="L1164" s="5"/>
      <c r="M1164" s="5" t="s">
        <v>4028</v>
      </c>
      <c r="N1164" t="s">
        <v>1824</v>
      </c>
      <c r="O1164" t="s">
        <v>4560</v>
      </c>
      <c r="S1164" t="s">
        <v>57</v>
      </c>
      <c r="T1164" s="5" t="s">
        <v>100</v>
      </c>
      <c r="W1164">
        <v>93</v>
      </c>
      <c r="X1164" t="s">
        <v>4561</v>
      </c>
      <c r="Y1164" t="str">
        <f>VLOOKUP(C1164,'[1]DBS_KPY Sorumlular'!A:C,2,FALSE)</f>
        <v>Kadir TOPÇU</v>
      </c>
      <c r="Z1164" t="str">
        <f>VLOOKUP(C1164,'[1]DBS_KPY Sorumlular'!A:C,3,FALSE)</f>
        <v>Erkan AKDOĞAN</v>
      </c>
      <c r="AA1164" t="str">
        <f>VLOOKUP(K1164,[1]!Tablo3[#Data],2,FALSE)</f>
        <v>Erkan AKDOĞAN</v>
      </c>
    </row>
    <row r="1165" spans="1:27" x14ac:dyDescent="0.25">
      <c r="A1165">
        <v>2477</v>
      </c>
      <c r="B1165" t="s">
        <v>1419</v>
      </c>
      <c r="C1165" t="s">
        <v>1674</v>
      </c>
      <c r="D1165" t="s">
        <v>1717</v>
      </c>
      <c r="F1165" t="s">
        <v>102</v>
      </c>
      <c r="G1165" t="s">
        <v>43</v>
      </c>
      <c r="H1165" t="s">
        <v>4562</v>
      </c>
      <c r="I1165" s="4"/>
      <c r="J1165" t="s">
        <v>4554</v>
      </c>
      <c r="K1165" t="s">
        <v>534</v>
      </c>
      <c r="L1165" s="5"/>
      <c r="M1165" s="5" t="s">
        <v>4028</v>
      </c>
      <c r="N1165" t="s">
        <v>1824</v>
      </c>
      <c r="O1165" t="s">
        <v>4563</v>
      </c>
      <c r="S1165" t="s">
        <v>57</v>
      </c>
      <c r="T1165" s="5" t="s">
        <v>100</v>
      </c>
      <c r="W1165">
        <v>108</v>
      </c>
      <c r="X1165" t="s">
        <v>107</v>
      </c>
      <c r="Y1165" t="str">
        <f>VLOOKUP(C1165,'[1]DBS_KPY Sorumlular'!A:C,2,FALSE)</f>
        <v>Kadir TOPÇU</v>
      </c>
      <c r="Z1165" t="str">
        <f>VLOOKUP(C1165,'[1]DBS_KPY Sorumlular'!A:C,3,FALSE)</f>
        <v>Erkan AKDOĞAN</v>
      </c>
      <c r="AA1165" t="str">
        <f>VLOOKUP(K1165,[1]!Tablo3[#Data],2,FALSE)</f>
        <v>Erkan AKDOĞAN</v>
      </c>
    </row>
    <row r="1166" spans="1:27" x14ac:dyDescent="0.25">
      <c r="A1166">
        <v>2478</v>
      </c>
      <c r="B1166" t="s">
        <v>1419</v>
      </c>
      <c r="C1166" t="s">
        <v>1674</v>
      </c>
      <c r="D1166" t="s">
        <v>1717</v>
      </c>
      <c r="F1166" t="s">
        <v>882</v>
      </c>
      <c r="G1166" t="s">
        <v>43</v>
      </c>
      <c r="H1166" t="s">
        <v>4564</v>
      </c>
      <c r="I1166" s="4"/>
      <c r="J1166" t="s">
        <v>4565</v>
      </c>
      <c r="K1166" t="s">
        <v>534</v>
      </c>
      <c r="L1166" s="5"/>
      <c r="M1166" s="5" t="s">
        <v>4028</v>
      </c>
      <c r="N1166" t="s">
        <v>1824</v>
      </c>
      <c r="O1166" t="s">
        <v>4566</v>
      </c>
      <c r="S1166" t="s">
        <v>57</v>
      </c>
      <c r="T1166" s="5" t="s">
        <v>100</v>
      </c>
      <c r="W1166">
        <v>163</v>
      </c>
      <c r="X1166" t="s">
        <v>869</v>
      </c>
      <c r="Y1166" t="str">
        <f>VLOOKUP(C1166,'[1]DBS_KPY Sorumlular'!A:C,2,FALSE)</f>
        <v>Kadir TOPÇU</v>
      </c>
      <c r="Z1166" t="str">
        <f>VLOOKUP(C1166,'[1]DBS_KPY Sorumlular'!A:C,3,FALSE)</f>
        <v>Erkan AKDOĞAN</v>
      </c>
      <c r="AA1166" t="str">
        <f>VLOOKUP(K1166,[1]!Tablo3[#Data],2,FALSE)</f>
        <v>Erkan AKDOĞAN</v>
      </c>
    </row>
    <row r="1167" spans="1:27" x14ac:dyDescent="0.25">
      <c r="A1167">
        <v>2479</v>
      </c>
      <c r="B1167" t="s">
        <v>1419</v>
      </c>
      <c r="C1167" t="s">
        <v>1674</v>
      </c>
      <c r="D1167" t="s">
        <v>1675</v>
      </c>
      <c r="F1167" t="s">
        <v>95</v>
      </c>
      <c r="G1167" t="s">
        <v>96</v>
      </c>
      <c r="H1167" t="s">
        <v>4567</v>
      </c>
      <c r="I1167" s="4"/>
      <c r="J1167" t="s">
        <v>4568</v>
      </c>
      <c r="K1167" t="s">
        <v>534</v>
      </c>
      <c r="L1167" s="5"/>
      <c r="M1167" s="5" t="s">
        <v>4028</v>
      </c>
      <c r="N1167" t="s">
        <v>1824</v>
      </c>
      <c r="O1167" t="s">
        <v>4569</v>
      </c>
      <c r="S1167" t="s">
        <v>57</v>
      </c>
      <c r="T1167" s="5" t="s">
        <v>100</v>
      </c>
      <c r="W1167">
        <v>150</v>
      </c>
      <c r="X1167" t="s">
        <v>485</v>
      </c>
      <c r="Y1167" t="str">
        <f>VLOOKUP(C1167,'[1]DBS_KPY Sorumlular'!A:C,2,FALSE)</f>
        <v>Kadir TOPÇU</v>
      </c>
      <c r="Z1167" t="str">
        <f>VLOOKUP(C1167,'[1]DBS_KPY Sorumlular'!A:C,3,FALSE)</f>
        <v>Erkan AKDOĞAN</v>
      </c>
      <c r="AA1167" t="str">
        <f>VLOOKUP(K1167,[1]!Tablo3[#Data],2,FALSE)</f>
        <v>Erkan AKDOĞAN</v>
      </c>
    </row>
    <row r="1168" spans="1:27" x14ac:dyDescent="0.25">
      <c r="A1168">
        <v>2480</v>
      </c>
      <c r="B1168" t="s">
        <v>1419</v>
      </c>
      <c r="C1168" t="s">
        <v>1674</v>
      </c>
      <c r="D1168" t="s">
        <v>1717</v>
      </c>
      <c r="F1168" t="s">
        <v>102</v>
      </c>
      <c r="G1168" t="s">
        <v>43</v>
      </c>
      <c r="H1168" t="s">
        <v>4570</v>
      </c>
      <c r="I1168" s="4"/>
      <c r="J1168" t="s">
        <v>4554</v>
      </c>
      <c r="K1168" t="s">
        <v>534</v>
      </c>
      <c r="L1168" s="5" t="s">
        <v>4571</v>
      </c>
      <c r="M1168" s="5" t="s">
        <v>4028</v>
      </c>
      <c r="N1168" t="s">
        <v>739</v>
      </c>
      <c r="O1168" t="s">
        <v>4572</v>
      </c>
      <c r="S1168" t="s">
        <v>57</v>
      </c>
      <c r="T1168" s="5" t="s">
        <v>100</v>
      </c>
      <c r="W1168">
        <v>108</v>
      </c>
      <c r="X1168" t="s">
        <v>107</v>
      </c>
      <c r="Y1168" t="str">
        <f>VLOOKUP(C1168,'[1]DBS_KPY Sorumlular'!A:C,2,FALSE)</f>
        <v>Kadir TOPÇU</v>
      </c>
      <c r="Z1168" t="str">
        <f>VLOOKUP(C1168,'[1]DBS_KPY Sorumlular'!A:C,3,FALSE)</f>
        <v>Erkan AKDOĞAN</v>
      </c>
      <c r="AA1168" t="str">
        <f>VLOOKUP(K1168,[1]!Tablo3[#Data],2,FALSE)</f>
        <v>Erkan AKDOĞAN</v>
      </c>
    </row>
    <row r="1169" spans="1:27" x14ac:dyDescent="0.25">
      <c r="A1169">
        <v>2481</v>
      </c>
      <c r="B1169" t="s">
        <v>1419</v>
      </c>
      <c r="C1169" t="s">
        <v>1723</v>
      </c>
      <c r="D1169" t="s">
        <v>1724</v>
      </c>
      <c r="F1169" t="s">
        <v>66</v>
      </c>
      <c r="G1169" t="s">
        <v>67</v>
      </c>
      <c r="H1169" t="s">
        <v>4573</v>
      </c>
      <c r="I1169" s="4"/>
      <c r="J1169" t="s">
        <v>4573</v>
      </c>
      <c r="K1169" t="s">
        <v>534</v>
      </c>
      <c r="L1169" s="5"/>
      <c r="M1169" s="5" t="s">
        <v>4028</v>
      </c>
      <c r="N1169" t="s">
        <v>1824</v>
      </c>
      <c r="O1169" t="s">
        <v>4574</v>
      </c>
      <c r="S1169" t="s">
        <v>57</v>
      </c>
      <c r="T1169" s="5" t="s">
        <v>38</v>
      </c>
      <c r="Y1169" t="str">
        <f>VLOOKUP(C1169,'[1]DBS_KPY Sorumlular'!A:C,2,FALSE)</f>
        <v>Erkan AKDOĞAN</v>
      </c>
      <c r="Z1169" t="str">
        <f>VLOOKUP(C1169,'[1]DBS_KPY Sorumlular'!A:C,3,FALSE)</f>
        <v>Kadir TOPÇU</v>
      </c>
      <c r="AA1169" t="str">
        <f>VLOOKUP(K1169,[1]!Tablo3[#Data],2,FALSE)</f>
        <v>Erkan AKDOĞAN</v>
      </c>
    </row>
    <row r="1170" spans="1:27" x14ac:dyDescent="0.25">
      <c r="A1170">
        <v>2482</v>
      </c>
      <c r="B1170" t="s">
        <v>1419</v>
      </c>
      <c r="C1170" t="s">
        <v>40</v>
      </c>
      <c r="D1170" t="s">
        <v>65</v>
      </c>
      <c r="F1170" t="s">
        <v>4314</v>
      </c>
      <c r="G1170" t="s">
        <v>43</v>
      </c>
      <c r="H1170" t="s">
        <v>4575</v>
      </c>
      <c r="I1170" s="4"/>
      <c r="J1170" t="s">
        <v>4575</v>
      </c>
      <c r="K1170" t="s">
        <v>534</v>
      </c>
      <c r="L1170" s="5"/>
      <c r="M1170" s="5" t="s">
        <v>4028</v>
      </c>
      <c r="N1170" t="s">
        <v>1824</v>
      </c>
      <c r="O1170" t="s">
        <v>4576</v>
      </c>
      <c r="S1170" t="s">
        <v>57</v>
      </c>
      <c r="T1170" s="5" t="s">
        <v>100</v>
      </c>
      <c r="W1170">
        <v>131</v>
      </c>
      <c r="X1170" t="s">
        <v>61</v>
      </c>
      <c r="Y1170" t="str">
        <f>VLOOKUP(C1170,'[1]DBS_KPY Sorumlular'!A:C,2,FALSE)</f>
        <v>Mustafa AYDIN</v>
      </c>
      <c r="Z1170" t="str">
        <f>VLOOKUP(C1170,'[1]DBS_KPY Sorumlular'!A:C,3,FALSE)</f>
        <v>Esra DOLAN</v>
      </c>
      <c r="AA1170" t="str">
        <f>VLOOKUP(K1170,[1]!Tablo3[#Data],2,FALSE)</f>
        <v>Erkan AKDOĞAN</v>
      </c>
    </row>
    <row r="1171" spans="1:27" x14ac:dyDescent="0.25">
      <c r="A1171">
        <v>2483</v>
      </c>
      <c r="B1171" t="s">
        <v>1419</v>
      </c>
      <c r="C1171" t="s">
        <v>1723</v>
      </c>
      <c r="D1171" t="s">
        <v>2478</v>
      </c>
      <c r="F1171" t="s">
        <v>66</v>
      </c>
      <c r="G1171" t="s">
        <v>67</v>
      </c>
      <c r="H1171" t="s">
        <v>4577</v>
      </c>
      <c r="I1171" s="4"/>
      <c r="J1171" t="s">
        <v>4578</v>
      </c>
      <c r="K1171" t="s">
        <v>534</v>
      </c>
      <c r="L1171" s="5" t="s">
        <v>4114</v>
      </c>
      <c r="M1171" s="5" t="s">
        <v>4114</v>
      </c>
      <c r="N1171" t="s">
        <v>1824</v>
      </c>
      <c r="O1171" t="s">
        <v>4579</v>
      </c>
      <c r="S1171" t="s">
        <v>57</v>
      </c>
      <c r="T1171" s="5" t="s">
        <v>38</v>
      </c>
      <c r="Y1171" t="str">
        <f>VLOOKUP(C1171,'[1]DBS_KPY Sorumlular'!A:C,2,FALSE)</f>
        <v>Erkan AKDOĞAN</v>
      </c>
      <c r="Z1171" t="str">
        <f>VLOOKUP(C1171,'[1]DBS_KPY Sorumlular'!A:C,3,FALSE)</f>
        <v>Kadir TOPÇU</v>
      </c>
      <c r="AA1171" t="str">
        <f>VLOOKUP(K1171,[1]!Tablo3[#Data],2,FALSE)</f>
        <v>Erkan AKDOĞAN</v>
      </c>
    </row>
    <row r="1172" spans="1:27" x14ac:dyDescent="0.25">
      <c r="A1172">
        <v>2484</v>
      </c>
      <c r="B1172" t="s">
        <v>1419</v>
      </c>
      <c r="C1172" t="s">
        <v>40</v>
      </c>
      <c r="D1172" t="s">
        <v>65</v>
      </c>
      <c r="F1172" t="s">
        <v>4314</v>
      </c>
      <c r="G1172" t="s">
        <v>43</v>
      </c>
      <c r="H1172" t="s">
        <v>4580</v>
      </c>
      <c r="I1172" s="4"/>
      <c r="J1172" t="s">
        <v>4581</v>
      </c>
      <c r="K1172" t="s">
        <v>534</v>
      </c>
      <c r="L1172" s="5"/>
      <c r="M1172" s="5" t="s">
        <v>4028</v>
      </c>
      <c r="N1172" t="s">
        <v>1824</v>
      </c>
      <c r="O1172" t="s">
        <v>4582</v>
      </c>
      <c r="S1172" t="s">
        <v>57</v>
      </c>
      <c r="T1172" s="5" t="s">
        <v>100</v>
      </c>
      <c r="W1172">
        <v>131</v>
      </c>
      <c r="X1172" t="s">
        <v>61</v>
      </c>
      <c r="Y1172" t="str">
        <f>VLOOKUP(C1172,'[1]DBS_KPY Sorumlular'!A:C,2,FALSE)</f>
        <v>Mustafa AYDIN</v>
      </c>
      <c r="Z1172" t="str">
        <f>VLOOKUP(C1172,'[1]DBS_KPY Sorumlular'!A:C,3,FALSE)</f>
        <v>Esra DOLAN</v>
      </c>
      <c r="AA1172" t="str">
        <f>VLOOKUP(K1172,[1]!Tablo3[#Data],2,FALSE)</f>
        <v>Erkan AKDOĞAN</v>
      </c>
    </row>
    <row r="1173" spans="1:27" x14ac:dyDescent="0.25">
      <c r="A1173">
        <v>2485</v>
      </c>
      <c r="B1173" t="s">
        <v>1419</v>
      </c>
      <c r="C1173" t="s">
        <v>73</v>
      </c>
      <c r="D1173" t="s">
        <v>73</v>
      </c>
      <c r="F1173" t="s">
        <v>74</v>
      </c>
      <c r="G1173" t="s">
        <v>30</v>
      </c>
      <c r="H1173" t="s">
        <v>4583</v>
      </c>
      <c r="I1173" s="4"/>
      <c r="J1173" t="s">
        <v>4584</v>
      </c>
      <c r="K1173" t="s">
        <v>534</v>
      </c>
      <c r="L1173" s="5"/>
      <c r="M1173" s="5" t="s">
        <v>4028</v>
      </c>
      <c r="N1173" t="s">
        <v>1824</v>
      </c>
      <c r="O1173" t="s">
        <v>4585</v>
      </c>
      <c r="S1173" t="s">
        <v>57</v>
      </c>
      <c r="T1173" s="5" t="s">
        <v>38</v>
      </c>
      <c r="Y1173" t="str">
        <f>VLOOKUP(C1173,'[1]DBS_KPY Sorumlular'!A:C,2,FALSE)</f>
        <v>Ayşegül AKGÜL</v>
      </c>
      <c r="Z1173" t="str">
        <f>VLOOKUP(C1173,'[1]DBS_KPY Sorumlular'!A:C,3,FALSE)</f>
        <v>Sinan ERDAŞ</v>
      </c>
      <c r="AA1173" t="str">
        <f>VLOOKUP(K1173,[1]!Tablo3[#Data],2,FALSE)</f>
        <v>Erkan AKDOĞAN</v>
      </c>
    </row>
    <row r="1174" spans="1:27" x14ac:dyDescent="0.25">
      <c r="A1174">
        <v>2486</v>
      </c>
      <c r="B1174" t="s">
        <v>1419</v>
      </c>
      <c r="C1174" t="s">
        <v>652</v>
      </c>
      <c r="D1174" t="s">
        <v>653</v>
      </c>
      <c r="F1174" t="s">
        <v>455</v>
      </c>
      <c r="G1174" t="s">
        <v>456</v>
      </c>
      <c r="H1174" t="s">
        <v>4586</v>
      </c>
      <c r="I1174" s="4"/>
      <c r="J1174" t="s">
        <v>4587</v>
      </c>
      <c r="K1174" t="s">
        <v>534</v>
      </c>
      <c r="L1174" s="5"/>
      <c r="M1174" s="5" t="s">
        <v>4028</v>
      </c>
      <c r="N1174" t="s">
        <v>1824</v>
      </c>
      <c r="O1174" t="s">
        <v>4588</v>
      </c>
      <c r="S1174" t="s">
        <v>57</v>
      </c>
      <c r="T1174" s="5" t="s">
        <v>100</v>
      </c>
      <c r="W1174">
        <v>144</v>
      </c>
      <c r="X1174" t="s">
        <v>463</v>
      </c>
      <c r="Y1174" t="str">
        <f>VLOOKUP(C1174,'[1]DBS_KPY Sorumlular'!A:C,2,FALSE)</f>
        <v>Seyithan İŞİK</v>
      </c>
      <c r="Z1174" t="str">
        <f>VLOOKUP(C1174,'[1]DBS_KPY Sorumlular'!A:C,3,FALSE)</f>
        <v>Korhan KÖROĞLU</v>
      </c>
      <c r="AA1174" t="str">
        <f>VLOOKUP(K1174,[1]!Tablo3[#Data],2,FALSE)</f>
        <v>Erkan AKDOĞAN</v>
      </c>
    </row>
    <row r="1175" spans="1:27" x14ac:dyDescent="0.25">
      <c r="A1175">
        <v>2487</v>
      </c>
      <c r="B1175" t="s">
        <v>27</v>
      </c>
      <c r="C1175" t="s">
        <v>40</v>
      </c>
      <c r="D1175" t="s">
        <v>41</v>
      </c>
      <c r="F1175" t="s">
        <v>4314</v>
      </c>
      <c r="G1175" t="s">
        <v>43</v>
      </c>
      <c r="H1175" t="s">
        <v>4589</v>
      </c>
      <c r="I1175" s="4"/>
      <c r="K1175" t="s">
        <v>568</v>
      </c>
      <c r="L1175" s="5"/>
      <c r="M1175" s="5" t="s">
        <v>35</v>
      </c>
      <c r="N1175" t="s">
        <v>35</v>
      </c>
      <c r="O1175" t="s">
        <v>4590</v>
      </c>
      <c r="S1175" t="s">
        <v>57</v>
      </c>
      <c r="T1175" s="5" t="s">
        <v>100</v>
      </c>
      <c r="W1175">
        <v>131</v>
      </c>
      <c r="X1175" t="s">
        <v>61</v>
      </c>
      <c r="Y1175" t="str">
        <f>VLOOKUP(C1175,'[1]DBS_KPY Sorumlular'!A:C,2,FALSE)</f>
        <v>Mustafa AYDIN</v>
      </c>
      <c r="Z1175" t="str">
        <f>VLOOKUP(C1175,'[1]DBS_KPY Sorumlular'!A:C,3,FALSE)</f>
        <v>Esra DOLAN</v>
      </c>
      <c r="AA1175" t="str">
        <f>VLOOKUP(K1175,[1]!Tablo3[#Data],2,FALSE)</f>
        <v>Erkan AKDOĞAN</v>
      </c>
    </row>
    <row r="1176" spans="1:27" x14ac:dyDescent="0.25">
      <c r="A1176">
        <v>2488</v>
      </c>
      <c r="B1176" t="s">
        <v>27</v>
      </c>
      <c r="C1176" t="s">
        <v>40</v>
      </c>
      <c r="D1176" t="s">
        <v>41</v>
      </c>
      <c r="F1176" t="s">
        <v>4314</v>
      </c>
      <c r="G1176" t="s">
        <v>43</v>
      </c>
      <c r="H1176" t="s">
        <v>4591</v>
      </c>
      <c r="I1176" s="4">
        <v>46063.875</v>
      </c>
      <c r="K1176" t="s">
        <v>568</v>
      </c>
      <c r="L1176" s="5"/>
      <c r="M1176" s="5"/>
      <c r="N1176" t="s">
        <v>46</v>
      </c>
      <c r="O1176" t="s">
        <v>4592</v>
      </c>
      <c r="R1176">
        <v>0.65</v>
      </c>
      <c r="S1176" t="s">
        <v>57</v>
      </c>
      <c r="T1176" s="5" t="s">
        <v>58</v>
      </c>
      <c r="U1176" t="s">
        <v>59</v>
      </c>
      <c r="V1176" t="s">
        <v>60</v>
      </c>
      <c r="W1176">
        <v>131</v>
      </c>
      <c r="X1176" t="s">
        <v>61</v>
      </c>
      <c r="Y1176" t="str">
        <f>VLOOKUP(C1176,'[1]DBS_KPY Sorumlular'!A:C,2,FALSE)</f>
        <v>Mustafa AYDIN</v>
      </c>
      <c r="Z1176" t="str">
        <f>VLOOKUP(C1176,'[1]DBS_KPY Sorumlular'!A:C,3,FALSE)</f>
        <v>Esra DOLAN</v>
      </c>
      <c r="AA1176" t="str">
        <f>VLOOKUP(K1176,[1]!Tablo3[#Data],2,FALSE)</f>
        <v>Erkan AKDOĞAN</v>
      </c>
    </row>
    <row r="1177" spans="1:27" x14ac:dyDescent="0.25">
      <c r="A1177">
        <v>2489</v>
      </c>
      <c r="B1177" t="s">
        <v>1419</v>
      </c>
      <c r="C1177" t="s">
        <v>402</v>
      </c>
      <c r="D1177" t="s">
        <v>403</v>
      </c>
      <c r="F1177" t="s">
        <v>383</v>
      </c>
      <c r="G1177" t="s">
        <v>384</v>
      </c>
      <c r="H1177" t="s">
        <v>4593</v>
      </c>
      <c r="I1177" s="4"/>
      <c r="J1177" t="s">
        <v>4594</v>
      </c>
      <c r="K1177" t="s">
        <v>568</v>
      </c>
      <c r="L1177" s="5" t="s">
        <v>4595</v>
      </c>
      <c r="M1177" s="5" t="s">
        <v>35</v>
      </c>
      <c r="N1177" t="s">
        <v>1824</v>
      </c>
      <c r="O1177" t="s">
        <v>4596</v>
      </c>
      <c r="S1177" t="s">
        <v>57</v>
      </c>
      <c r="T1177" s="5" t="s">
        <v>100</v>
      </c>
      <c r="W1177">
        <v>59</v>
      </c>
      <c r="X1177" t="s">
        <v>4597</v>
      </c>
      <c r="Y1177" t="str">
        <f>VLOOKUP(C1177,'[1]DBS_KPY Sorumlular'!A:C,2,FALSE)</f>
        <v>Tayfun VİÇE</v>
      </c>
      <c r="Z1177" t="str">
        <f>VLOOKUP(C1177,'[1]DBS_KPY Sorumlular'!A:C,3,FALSE)</f>
        <v>Mehmet Ali YAVUZ</v>
      </c>
      <c r="AA1177" t="str">
        <f>VLOOKUP(K1177,[1]!Tablo3[#Data],2,FALSE)</f>
        <v>Erkan AKDOĞAN</v>
      </c>
    </row>
    <row r="1178" spans="1:27" x14ac:dyDescent="0.25">
      <c r="A1178">
        <v>2490</v>
      </c>
      <c r="B1178" t="s">
        <v>1419</v>
      </c>
      <c r="C1178" t="s">
        <v>1674</v>
      </c>
      <c r="D1178" t="s">
        <v>1700</v>
      </c>
      <c r="F1178" t="s">
        <v>95</v>
      </c>
      <c r="G1178" t="s">
        <v>291</v>
      </c>
      <c r="H1178" t="s">
        <v>4598</v>
      </c>
      <c r="I1178" s="4"/>
      <c r="J1178" t="s">
        <v>1996</v>
      </c>
      <c r="K1178" t="s">
        <v>568</v>
      </c>
      <c r="L1178" s="5"/>
      <c r="M1178" s="5" t="s">
        <v>35</v>
      </c>
      <c r="N1178" t="s">
        <v>35</v>
      </c>
      <c r="O1178" t="s">
        <v>4599</v>
      </c>
      <c r="S1178" t="s">
        <v>57</v>
      </c>
      <c r="T1178" s="5" t="s">
        <v>48</v>
      </c>
      <c r="U1178" t="s">
        <v>4600</v>
      </c>
      <c r="V1178" t="s">
        <v>4598</v>
      </c>
      <c r="W1178">
        <v>28</v>
      </c>
      <c r="X1178" t="s">
        <v>667</v>
      </c>
      <c r="Y1178" t="str">
        <f>VLOOKUP(C1178,'[1]DBS_KPY Sorumlular'!A:C,2,FALSE)</f>
        <v>Kadir TOPÇU</v>
      </c>
      <c r="Z1178" t="str">
        <f>VLOOKUP(C1178,'[1]DBS_KPY Sorumlular'!A:C,3,FALSE)</f>
        <v>Erkan AKDOĞAN</v>
      </c>
      <c r="AA1178" t="str">
        <f>VLOOKUP(K1178,[1]!Tablo3[#Data],2,FALSE)</f>
        <v>Erkan AKDOĞAN</v>
      </c>
    </row>
    <row r="1179" spans="1:27" x14ac:dyDescent="0.25">
      <c r="A1179">
        <v>2492</v>
      </c>
      <c r="B1179" t="s">
        <v>1419</v>
      </c>
      <c r="C1179" t="s">
        <v>1674</v>
      </c>
      <c r="D1179" t="s">
        <v>1717</v>
      </c>
      <c r="F1179" t="s">
        <v>1263</v>
      </c>
      <c r="G1179" t="s">
        <v>30</v>
      </c>
      <c r="H1179" t="s">
        <v>4601</v>
      </c>
      <c r="I1179" s="4"/>
      <c r="J1179" t="s">
        <v>4602</v>
      </c>
      <c r="K1179" t="s">
        <v>568</v>
      </c>
      <c r="L1179" s="5"/>
      <c r="M1179" s="5" t="s">
        <v>4028</v>
      </c>
      <c r="N1179" t="s">
        <v>1824</v>
      </c>
      <c r="O1179" t="s">
        <v>4603</v>
      </c>
      <c r="S1179" t="s">
        <v>57</v>
      </c>
      <c r="T1179" s="5" t="s">
        <v>100</v>
      </c>
      <c r="W1179">
        <v>89</v>
      </c>
      <c r="X1179" t="s">
        <v>1267</v>
      </c>
      <c r="Y1179" t="str">
        <f>VLOOKUP(C1179,'[1]DBS_KPY Sorumlular'!A:C,2,FALSE)</f>
        <v>Kadir TOPÇU</v>
      </c>
      <c r="Z1179" t="str">
        <f>VLOOKUP(C1179,'[1]DBS_KPY Sorumlular'!A:C,3,FALSE)</f>
        <v>Erkan AKDOĞAN</v>
      </c>
      <c r="AA1179" t="str">
        <f>VLOOKUP(K1179,[1]!Tablo3[#Data],2,FALSE)</f>
        <v>Erkan AKDOĞAN</v>
      </c>
    </row>
    <row r="1180" spans="1:27" x14ac:dyDescent="0.25">
      <c r="A1180">
        <v>2493</v>
      </c>
      <c r="B1180" t="s">
        <v>1419</v>
      </c>
      <c r="C1180" t="s">
        <v>288</v>
      </c>
      <c r="D1180" t="s">
        <v>289</v>
      </c>
      <c r="E1180" t="s">
        <v>844</v>
      </c>
      <c r="F1180" t="s">
        <v>290</v>
      </c>
      <c r="G1180" t="s">
        <v>291</v>
      </c>
      <c r="H1180" t="s">
        <v>4604</v>
      </c>
      <c r="I1180" s="4"/>
      <c r="J1180" t="s">
        <v>4605</v>
      </c>
      <c r="K1180" t="s">
        <v>568</v>
      </c>
      <c r="L1180" s="5"/>
      <c r="M1180" s="5" t="s">
        <v>4028</v>
      </c>
      <c r="N1180" t="s">
        <v>1824</v>
      </c>
      <c r="O1180" t="s">
        <v>4606</v>
      </c>
      <c r="S1180" t="s">
        <v>57</v>
      </c>
      <c r="T1180" s="5" t="s">
        <v>38</v>
      </c>
      <c r="W1180">
        <v>94</v>
      </c>
      <c r="X1180" t="s">
        <v>1707</v>
      </c>
      <c r="Y1180" t="str">
        <f>VLOOKUP(C1180,'[1]DBS_KPY Sorumlular'!A:C,2,FALSE)</f>
        <v>Sinan ERDAŞ</v>
      </c>
      <c r="Z1180" t="str">
        <f>VLOOKUP(C1180,'[1]DBS_KPY Sorumlular'!A:C,3,FALSE)</f>
        <v>Ayşegül AKGÜL</v>
      </c>
      <c r="AA1180" t="str">
        <f>VLOOKUP(K1180,[1]!Tablo3[#Data],2,FALSE)</f>
        <v>Erkan AKDOĞAN</v>
      </c>
    </row>
    <row r="1181" spans="1:27" x14ac:dyDescent="0.25">
      <c r="A1181">
        <v>2494</v>
      </c>
      <c r="B1181" t="s">
        <v>1419</v>
      </c>
      <c r="C1181" t="s">
        <v>1723</v>
      </c>
      <c r="D1181" t="s">
        <v>1751</v>
      </c>
      <c r="F1181" t="s">
        <v>66</v>
      </c>
      <c r="G1181" t="s">
        <v>67</v>
      </c>
      <c r="H1181" t="s">
        <v>4607</v>
      </c>
      <c r="I1181" s="4"/>
      <c r="J1181" t="s">
        <v>2480</v>
      </c>
      <c r="K1181" t="s">
        <v>586</v>
      </c>
      <c r="L1181" s="5" t="s">
        <v>4608</v>
      </c>
      <c r="M1181" s="5" t="s">
        <v>4609</v>
      </c>
      <c r="N1181" t="s">
        <v>1824</v>
      </c>
      <c r="O1181" t="s">
        <v>4610</v>
      </c>
      <c r="S1181" t="s">
        <v>37</v>
      </c>
      <c r="T1181" s="5" t="s">
        <v>38</v>
      </c>
      <c r="Y1181" t="str">
        <f>VLOOKUP(C1181,'[1]DBS_KPY Sorumlular'!A:C,2,FALSE)</f>
        <v>Erkan AKDOĞAN</v>
      </c>
      <c r="Z1181" t="str">
        <f>VLOOKUP(C1181,'[1]DBS_KPY Sorumlular'!A:C,3,FALSE)</f>
        <v>Kadir TOPÇU</v>
      </c>
      <c r="AA1181" t="str">
        <f>VLOOKUP(K1181,[1]!Tablo3[#Data],2,FALSE)</f>
        <v>Tayfun VİÇE</v>
      </c>
    </row>
    <row r="1182" spans="1:27" x14ac:dyDescent="0.25">
      <c r="A1182">
        <v>2495</v>
      </c>
      <c r="B1182" t="s">
        <v>1419</v>
      </c>
      <c r="C1182" t="s">
        <v>137</v>
      </c>
      <c r="D1182" t="s">
        <v>138</v>
      </c>
      <c r="E1182" t="s">
        <v>138</v>
      </c>
      <c r="F1182" t="s">
        <v>2543</v>
      </c>
      <c r="G1182" t="s">
        <v>140</v>
      </c>
      <c r="H1182" t="s">
        <v>4611</v>
      </c>
      <c r="I1182" s="4"/>
      <c r="J1182" t="s">
        <v>4612</v>
      </c>
      <c r="K1182" t="s">
        <v>586</v>
      </c>
      <c r="L1182" s="5"/>
      <c r="M1182" s="5" t="s">
        <v>4613</v>
      </c>
      <c r="N1182" t="s">
        <v>1824</v>
      </c>
      <c r="O1182" t="s">
        <v>4614</v>
      </c>
      <c r="S1182" t="s">
        <v>37</v>
      </c>
      <c r="T1182" s="5" t="s">
        <v>38</v>
      </c>
      <c r="W1182">
        <v>126</v>
      </c>
      <c r="X1182" t="s">
        <v>147</v>
      </c>
      <c r="Y1182" t="str">
        <f>VLOOKUP(C1182,'[1]DBS_KPY Sorumlular'!A:C,2,FALSE)</f>
        <v>Erkan AKDOĞAN</v>
      </c>
      <c r="Z1182" t="str">
        <f>VLOOKUP(C1182,'[1]DBS_KPY Sorumlular'!A:C,3,FALSE)</f>
        <v>Kadir TOPÇU</v>
      </c>
      <c r="AA1182" t="str">
        <f>VLOOKUP(K1182,[1]!Tablo3[#Data],2,FALSE)</f>
        <v>Tayfun VİÇE</v>
      </c>
    </row>
    <row r="1183" spans="1:27" x14ac:dyDescent="0.25">
      <c r="A1183">
        <v>2496</v>
      </c>
      <c r="B1183" t="s">
        <v>1419</v>
      </c>
      <c r="C1183" t="s">
        <v>304</v>
      </c>
      <c r="D1183" t="s">
        <v>305</v>
      </c>
      <c r="F1183" t="s">
        <v>486</v>
      </c>
      <c r="G1183" t="s">
        <v>67</v>
      </c>
      <c r="H1183" t="s">
        <v>4615</v>
      </c>
      <c r="I1183" s="4"/>
      <c r="J1183" t="s">
        <v>4616</v>
      </c>
      <c r="K1183" t="s">
        <v>586</v>
      </c>
      <c r="L1183" s="5"/>
      <c r="M1183" s="5" t="s">
        <v>35</v>
      </c>
      <c r="N1183" t="s">
        <v>1824</v>
      </c>
      <c r="O1183" t="s">
        <v>4617</v>
      </c>
      <c r="S1183" t="s">
        <v>37</v>
      </c>
      <c r="T1183" s="5" t="s">
        <v>38</v>
      </c>
      <c r="Y1183" t="str">
        <f>VLOOKUP(C1183,'[1]DBS_KPY Sorumlular'!A:C,2,FALSE)</f>
        <v>Erkan AKDOĞAN</v>
      </c>
      <c r="Z1183" t="str">
        <f>VLOOKUP(C1183,'[1]DBS_KPY Sorumlular'!A:C,3,FALSE)</f>
        <v>Kadir TOPÇU</v>
      </c>
      <c r="AA1183" t="str">
        <f>VLOOKUP(K1183,[1]!Tablo3[#Data],2,FALSE)</f>
        <v>Tayfun VİÇE</v>
      </c>
    </row>
    <row r="1184" spans="1:27" x14ac:dyDescent="0.25">
      <c r="A1184">
        <v>2497</v>
      </c>
      <c r="B1184" t="s">
        <v>1419</v>
      </c>
      <c r="C1184" t="s">
        <v>652</v>
      </c>
      <c r="D1184" t="s">
        <v>653</v>
      </c>
      <c r="F1184" t="s">
        <v>455</v>
      </c>
      <c r="G1184" t="s">
        <v>43</v>
      </c>
      <c r="H1184" t="s">
        <v>4618</v>
      </c>
      <c r="I1184" s="4"/>
      <c r="J1184" t="s">
        <v>4619</v>
      </c>
      <c r="K1184" t="s">
        <v>586</v>
      </c>
      <c r="L1184" s="5"/>
      <c r="M1184" s="5" t="s">
        <v>35</v>
      </c>
      <c r="N1184" t="s">
        <v>1824</v>
      </c>
      <c r="O1184" t="s">
        <v>4620</v>
      </c>
      <c r="S1184" t="s">
        <v>37</v>
      </c>
      <c r="T1184" s="5" t="s">
        <v>100</v>
      </c>
      <c r="W1184">
        <v>144</v>
      </c>
      <c r="X1184" t="s">
        <v>463</v>
      </c>
      <c r="Y1184" t="str">
        <f>VLOOKUP(C1184,'[1]DBS_KPY Sorumlular'!A:C,2,FALSE)</f>
        <v>Seyithan İŞİK</v>
      </c>
      <c r="Z1184" t="str">
        <f>VLOOKUP(C1184,'[1]DBS_KPY Sorumlular'!A:C,3,FALSE)</f>
        <v>Korhan KÖROĞLU</v>
      </c>
      <c r="AA1184" t="str">
        <f>VLOOKUP(K1184,[1]!Tablo3[#Data],2,FALSE)</f>
        <v>Tayfun VİÇE</v>
      </c>
    </row>
    <row r="1185" spans="1:27" x14ac:dyDescent="0.25">
      <c r="A1185">
        <v>2498</v>
      </c>
      <c r="B1185" t="s">
        <v>1419</v>
      </c>
      <c r="C1185" t="s">
        <v>1723</v>
      </c>
      <c r="D1185" t="s">
        <v>1751</v>
      </c>
      <c r="F1185" t="s">
        <v>306</v>
      </c>
      <c r="G1185" t="s">
        <v>96</v>
      </c>
      <c r="H1185" t="s">
        <v>4621</v>
      </c>
      <c r="I1185" s="4"/>
      <c r="J1185" t="s">
        <v>2480</v>
      </c>
      <c r="K1185" t="s">
        <v>586</v>
      </c>
      <c r="L1185" s="5" t="s">
        <v>4622</v>
      </c>
      <c r="M1185" s="5" t="s">
        <v>35</v>
      </c>
      <c r="N1185" t="s">
        <v>1824</v>
      </c>
      <c r="O1185" t="s">
        <v>4623</v>
      </c>
      <c r="S1185" t="s">
        <v>37</v>
      </c>
      <c r="T1185" s="5" t="s">
        <v>38</v>
      </c>
      <c r="Y1185" t="str">
        <f>VLOOKUP(C1185,'[1]DBS_KPY Sorumlular'!A:C,2,FALSE)</f>
        <v>Erkan AKDOĞAN</v>
      </c>
      <c r="Z1185" t="str">
        <f>VLOOKUP(C1185,'[1]DBS_KPY Sorumlular'!A:C,3,FALSE)</f>
        <v>Kadir TOPÇU</v>
      </c>
      <c r="AA1185" t="str">
        <f>VLOOKUP(K1185,[1]!Tablo3[#Data],2,FALSE)</f>
        <v>Tayfun VİÇE</v>
      </c>
    </row>
    <row r="1186" spans="1:27" x14ac:dyDescent="0.25">
      <c r="A1186">
        <v>2499</v>
      </c>
      <c r="B1186" t="s">
        <v>1419</v>
      </c>
      <c r="C1186" t="s">
        <v>1674</v>
      </c>
      <c r="D1186" t="s">
        <v>1675</v>
      </c>
      <c r="F1186" t="s">
        <v>66</v>
      </c>
      <c r="G1186" t="s">
        <v>67</v>
      </c>
      <c r="H1186" t="s">
        <v>4624</v>
      </c>
      <c r="I1186" s="4"/>
      <c r="J1186" t="s">
        <v>4625</v>
      </c>
      <c r="K1186" t="s">
        <v>586</v>
      </c>
      <c r="L1186" s="5"/>
      <c r="M1186" s="5" t="s">
        <v>35</v>
      </c>
      <c r="N1186" t="s">
        <v>35</v>
      </c>
      <c r="O1186" t="s">
        <v>4626</v>
      </c>
      <c r="S1186" t="s">
        <v>37</v>
      </c>
      <c r="T1186" s="5" t="s">
        <v>48</v>
      </c>
      <c r="U1186" t="s">
        <v>4627</v>
      </c>
      <c r="V1186" t="s">
        <v>4624</v>
      </c>
      <c r="W1186">
        <v>203</v>
      </c>
      <c r="X1186" t="s">
        <v>72</v>
      </c>
      <c r="Y1186" t="str">
        <f>VLOOKUP(C1186,'[1]DBS_KPY Sorumlular'!A:C,2,FALSE)</f>
        <v>Kadir TOPÇU</v>
      </c>
      <c r="Z1186" t="str">
        <f>VLOOKUP(C1186,'[1]DBS_KPY Sorumlular'!A:C,3,FALSE)</f>
        <v>Erkan AKDOĞAN</v>
      </c>
      <c r="AA1186" t="str">
        <f>VLOOKUP(K1186,[1]!Tablo3[#Data],2,FALSE)</f>
        <v>Tayfun VİÇE</v>
      </c>
    </row>
    <row r="1187" spans="1:27" x14ac:dyDescent="0.25">
      <c r="A1187">
        <v>2500</v>
      </c>
      <c r="B1187" t="s">
        <v>1419</v>
      </c>
      <c r="C1187" t="s">
        <v>1674</v>
      </c>
      <c r="D1187" t="s">
        <v>1717</v>
      </c>
      <c r="F1187" t="s">
        <v>391</v>
      </c>
      <c r="G1187" t="s">
        <v>43</v>
      </c>
      <c r="H1187" t="s">
        <v>4628</v>
      </c>
      <c r="I1187" s="4"/>
      <c r="K1187" t="s">
        <v>586</v>
      </c>
      <c r="L1187" s="5"/>
      <c r="M1187" s="5" t="s">
        <v>35</v>
      </c>
      <c r="N1187" t="s">
        <v>1824</v>
      </c>
      <c r="O1187" t="s">
        <v>4629</v>
      </c>
      <c r="S1187" t="s">
        <v>37</v>
      </c>
      <c r="T1187" s="5" t="s">
        <v>100</v>
      </c>
      <c r="W1187">
        <v>168</v>
      </c>
      <c r="X1187" t="s">
        <v>394</v>
      </c>
      <c r="Y1187" t="str">
        <f>VLOOKUP(C1187,'[1]DBS_KPY Sorumlular'!A:C,2,FALSE)</f>
        <v>Kadir TOPÇU</v>
      </c>
      <c r="Z1187" t="str">
        <f>VLOOKUP(C1187,'[1]DBS_KPY Sorumlular'!A:C,3,FALSE)</f>
        <v>Erkan AKDOĞAN</v>
      </c>
      <c r="AA1187" t="str">
        <f>VLOOKUP(K1187,[1]!Tablo3[#Data],2,FALSE)</f>
        <v>Tayfun VİÇE</v>
      </c>
    </row>
    <row r="1188" spans="1:27" x14ac:dyDescent="0.25">
      <c r="A1188">
        <v>2501</v>
      </c>
      <c r="B1188" t="s">
        <v>1419</v>
      </c>
      <c r="C1188" t="s">
        <v>1674</v>
      </c>
      <c r="D1188" t="s">
        <v>1675</v>
      </c>
      <c r="F1188" t="s">
        <v>306</v>
      </c>
      <c r="G1188" t="s">
        <v>96</v>
      </c>
      <c r="H1188" t="s">
        <v>4630</v>
      </c>
      <c r="I1188" s="4"/>
      <c r="J1188" t="s">
        <v>2480</v>
      </c>
      <c r="K1188" t="s">
        <v>586</v>
      </c>
      <c r="L1188" s="5"/>
      <c r="M1188" s="5" t="s">
        <v>35</v>
      </c>
      <c r="N1188" t="s">
        <v>1824</v>
      </c>
      <c r="O1188" t="s">
        <v>4631</v>
      </c>
      <c r="S1188" t="s">
        <v>37</v>
      </c>
      <c r="T1188" s="5" t="s">
        <v>100</v>
      </c>
      <c r="W1188">
        <v>28</v>
      </c>
      <c r="X1188" t="s">
        <v>667</v>
      </c>
      <c r="Y1188" t="str">
        <f>VLOOKUP(C1188,'[1]DBS_KPY Sorumlular'!A:C,2,FALSE)</f>
        <v>Kadir TOPÇU</v>
      </c>
      <c r="Z1188" t="str">
        <f>VLOOKUP(C1188,'[1]DBS_KPY Sorumlular'!A:C,3,FALSE)</f>
        <v>Erkan AKDOĞAN</v>
      </c>
      <c r="AA1188" t="str">
        <f>VLOOKUP(K1188,[1]!Tablo3[#Data],2,FALSE)</f>
        <v>Tayfun VİÇE</v>
      </c>
    </row>
    <row r="1189" spans="1:27" x14ac:dyDescent="0.25">
      <c r="A1189">
        <v>2502</v>
      </c>
      <c r="B1189" t="s">
        <v>1419</v>
      </c>
      <c r="C1189" t="s">
        <v>1674</v>
      </c>
      <c r="D1189" t="s">
        <v>1675</v>
      </c>
      <c r="F1189" t="s">
        <v>184</v>
      </c>
      <c r="G1189" t="s">
        <v>43</v>
      </c>
      <c r="H1189" t="s">
        <v>4632</v>
      </c>
      <c r="I1189" s="4"/>
      <c r="J1189" t="s">
        <v>4633</v>
      </c>
      <c r="K1189" t="s">
        <v>586</v>
      </c>
      <c r="L1189" s="5"/>
      <c r="M1189" s="5" t="s">
        <v>4028</v>
      </c>
      <c r="N1189" t="s">
        <v>1824</v>
      </c>
      <c r="O1189" t="s">
        <v>4634</v>
      </c>
      <c r="S1189" t="s">
        <v>37</v>
      </c>
      <c r="T1189" s="5" t="s">
        <v>100</v>
      </c>
      <c r="W1189">
        <v>86</v>
      </c>
      <c r="X1189" t="s">
        <v>189</v>
      </c>
      <c r="Y1189" t="str">
        <f>VLOOKUP(C1189,'[1]DBS_KPY Sorumlular'!A:C,2,FALSE)</f>
        <v>Kadir TOPÇU</v>
      </c>
      <c r="Z1189" t="str">
        <f>VLOOKUP(C1189,'[1]DBS_KPY Sorumlular'!A:C,3,FALSE)</f>
        <v>Erkan AKDOĞAN</v>
      </c>
      <c r="AA1189" t="str">
        <f>VLOOKUP(K1189,[1]!Tablo3[#Data],2,FALSE)</f>
        <v>Tayfun VİÇE</v>
      </c>
    </row>
    <row r="1190" spans="1:27" x14ac:dyDescent="0.25">
      <c r="A1190">
        <v>2503</v>
      </c>
      <c r="B1190" t="s">
        <v>1419</v>
      </c>
      <c r="C1190" t="s">
        <v>1674</v>
      </c>
      <c r="D1190" t="s">
        <v>1675</v>
      </c>
      <c r="F1190" t="s">
        <v>95</v>
      </c>
      <c r="G1190" t="s">
        <v>43</v>
      </c>
      <c r="H1190" t="s">
        <v>4635</v>
      </c>
      <c r="I1190" s="4"/>
      <c r="J1190" t="s">
        <v>2480</v>
      </c>
      <c r="K1190" t="s">
        <v>586</v>
      </c>
      <c r="L1190" s="5"/>
      <c r="M1190" s="5" t="s">
        <v>4028</v>
      </c>
      <c r="N1190" t="s">
        <v>1824</v>
      </c>
      <c r="O1190" t="s">
        <v>4636</v>
      </c>
      <c r="S1190" t="s">
        <v>37</v>
      </c>
      <c r="T1190" s="5" t="s">
        <v>100</v>
      </c>
      <c r="W1190">
        <v>86</v>
      </c>
      <c r="X1190" t="s">
        <v>189</v>
      </c>
      <c r="Y1190" t="str">
        <f>VLOOKUP(C1190,'[1]DBS_KPY Sorumlular'!A:C,2,FALSE)</f>
        <v>Kadir TOPÇU</v>
      </c>
      <c r="Z1190" t="str">
        <f>VLOOKUP(C1190,'[1]DBS_KPY Sorumlular'!A:C,3,FALSE)</f>
        <v>Erkan AKDOĞAN</v>
      </c>
      <c r="AA1190" t="str">
        <f>VLOOKUP(K1190,[1]!Tablo3[#Data],2,FALSE)</f>
        <v>Tayfun VİÇE</v>
      </c>
    </row>
    <row r="1191" spans="1:27" x14ac:dyDescent="0.25">
      <c r="A1191">
        <v>2504</v>
      </c>
      <c r="B1191" t="s">
        <v>1419</v>
      </c>
      <c r="C1191" t="s">
        <v>1674</v>
      </c>
      <c r="D1191" t="s">
        <v>1717</v>
      </c>
      <c r="F1191" t="s">
        <v>1771</v>
      </c>
      <c r="G1191" t="s">
        <v>43</v>
      </c>
      <c r="H1191" t="s">
        <v>4637</v>
      </c>
      <c r="I1191" s="4"/>
      <c r="J1191" t="s">
        <v>4638</v>
      </c>
      <c r="K1191" t="s">
        <v>586</v>
      </c>
      <c r="L1191" s="5"/>
      <c r="M1191" s="5" t="s">
        <v>4028</v>
      </c>
      <c r="N1191" t="s">
        <v>35</v>
      </c>
      <c r="O1191" t="s">
        <v>4639</v>
      </c>
      <c r="S1191" t="s">
        <v>37</v>
      </c>
      <c r="T1191" s="5" t="s">
        <v>48</v>
      </c>
      <c r="U1191" t="s">
        <v>4640</v>
      </c>
      <c r="V1191" t="s">
        <v>4641</v>
      </c>
      <c r="W1191">
        <v>62</v>
      </c>
      <c r="X1191" t="s">
        <v>680</v>
      </c>
      <c r="Y1191" t="str">
        <f>VLOOKUP(C1191,'[1]DBS_KPY Sorumlular'!A:C,2,FALSE)</f>
        <v>Kadir TOPÇU</v>
      </c>
      <c r="Z1191" t="str">
        <f>VLOOKUP(C1191,'[1]DBS_KPY Sorumlular'!A:C,3,FALSE)</f>
        <v>Erkan AKDOĞAN</v>
      </c>
      <c r="AA1191" t="str">
        <f>VLOOKUP(K1191,[1]!Tablo3[#Data],2,FALSE)</f>
        <v>Tayfun VİÇE</v>
      </c>
    </row>
    <row r="1192" spans="1:27" x14ac:dyDescent="0.25">
      <c r="A1192">
        <v>2505</v>
      </c>
      <c r="B1192" t="s">
        <v>1419</v>
      </c>
      <c r="C1192" t="s">
        <v>1674</v>
      </c>
      <c r="D1192" t="s">
        <v>1717</v>
      </c>
      <c r="F1192" t="s">
        <v>391</v>
      </c>
      <c r="G1192" t="s">
        <v>43</v>
      </c>
      <c r="H1192" t="s">
        <v>2509</v>
      </c>
      <c r="I1192" s="4"/>
      <c r="J1192" t="s">
        <v>4642</v>
      </c>
      <c r="K1192" t="s">
        <v>586</v>
      </c>
      <c r="L1192" s="5" t="s">
        <v>3542</v>
      </c>
      <c r="M1192" s="5" t="s">
        <v>4028</v>
      </c>
      <c r="N1192" t="s">
        <v>739</v>
      </c>
      <c r="O1192" t="s">
        <v>4643</v>
      </c>
      <c r="S1192" t="s">
        <v>37</v>
      </c>
      <c r="T1192" s="5" t="s">
        <v>100</v>
      </c>
      <c r="W1192">
        <v>222</v>
      </c>
      <c r="X1192" t="s">
        <v>4644</v>
      </c>
      <c r="Y1192" t="str">
        <f>VLOOKUP(C1192,'[1]DBS_KPY Sorumlular'!A:C,2,FALSE)</f>
        <v>Kadir TOPÇU</v>
      </c>
      <c r="Z1192" t="str">
        <f>VLOOKUP(C1192,'[1]DBS_KPY Sorumlular'!A:C,3,FALSE)</f>
        <v>Erkan AKDOĞAN</v>
      </c>
      <c r="AA1192" t="str">
        <f>VLOOKUP(K1192,[1]!Tablo3[#Data],2,FALSE)</f>
        <v>Tayfun VİÇE</v>
      </c>
    </row>
    <row r="1193" spans="1:27" x14ac:dyDescent="0.25">
      <c r="A1193">
        <v>2506</v>
      </c>
      <c r="B1193" t="s">
        <v>1419</v>
      </c>
      <c r="C1193" t="s">
        <v>1674</v>
      </c>
      <c r="D1193" t="s">
        <v>1717</v>
      </c>
      <c r="F1193" t="s">
        <v>102</v>
      </c>
      <c r="G1193" t="s">
        <v>43</v>
      </c>
      <c r="H1193" t="s">
        <v>4645</v>
      </c>
      <c r="I1193" s="4"/>
      <c r="J1193" t="s">
        <v>4646</v>
      </c>
      <c r="K1193" t="s">
        <v>586</v>
      </c>
      <c r="L1193" s="5"/>
      <c r="M1193" s="5" t="s">
        <v>4028</v>
      </c>
      <c r="N1193" t="s">
        <v>35</v>
      </c>
      <c r="O1193" t="s">
        <v>4647</v>
      </c>
      <c r="S1193" t="s">
        <v>37</v>
      </c>
      <c r="T1193" s="5" t="s">
        <v>48</v>
      </c>
      <c r="U1193" t="s">
        <v>4648</v>
      </c>
      <c r="V1193" t="s">
        <v>4649</v>
      </c>
      <c r="W1193">
        <v>108</v>
      </c>
      <c r="X1193" t="s">
        <v>107</v>
      </c>
      <c r="Y1193" t="str">
        <f>VLOOKUP(C1193,'[1]DBS_KPY Sorumlular'!A:C,2,FALSE)</f>
        <v>Kadir TOPÇU</v>
      </c>
      <c r="Z1193" t="str">
        <f>VLOOKUP(C1193,'[1]DBS_KPY Sorumlular'!A:C,3,FALSE)</f>
        <v>Erkan AKDOĞAN</v>
      </c>
      <c r="AA1193" t="str">
        <f>VLOOKUP(K1193,[1]!Tablo3[#Data],2,FALSE)</f>
        <v>Tayfun VİÇE</v>
      </c>
    </row>
    <row r="1194" spans="1:27" x14ac:dyDescent="0.25">
      <c r="A1194">
        <v>2507</v>
      </c>
      <c r="B1194" t="s">
        <v>1419</v>
      </c>
      <c r="C1194" t="s">
        <v>1674</v>
      </c>
      <c r="D1194" t="s">
        <v>1717</v>
      </c>
      <c r="F1194" t="s">
        <v>102</v>
      </c>
      <c r="G1194" t="s">
        <v>43</v>
      </c>
      <c r="H1194" t="s">
        <v>4650</v>
      </c>
      <c r="I1194" s="4"/>
      <c r="J1194" t="s">
        <v>4633</v>
      </c>
      <c r="K1194" t="s">
        <v>586</v>
      </c>
      <c r="L1194" s="5" t="s">
        <v>3542</v>
      </c>
      <c r="M1194" s="5" t="s">
        <v>4028</v>
      </c>
      <c r="N1194" t="s">
        <v>739</v>
      </c>
      <c r="O1194" t="s">
        <v>4651</v>
      </c>
      <c r="S1194" t="s">
        <v>37</v>
      </c>
      <c r="T1194" s="5" t="s">
        <v>100</v>
      </c>
      <c r="W1194">
        <v>71</v>
      </c>
      <c r="X1194" t="s">
        <v>1299</v>
      </c>
      <c r="Y1194" t="str">
        <f>VLOOKUP(C1194,'[1]DBS_KPY Sorumlular'!A:C,2,FALSE)</f>
        <v>Kadir TOPÇU</v>
      </c>
      <c r="Z1194" t="str">
        <f>VLOOKUP(C1194,'[1]DBS_KPY Sorumlular'!A:C,3,FALSE)</f>
        <v>Erkan AKDOĞAN</v>
      </c>
      <c r="AA1194" t="str">
        <f>VLOOKUP(K1194,[1]!Tablo3[#Data],2,FALSE)</f>
        <v>Tayfun VİÇE</v>
      </c>
    </row>
    <row r="1195" spans="1:27" x14ac:dyDescent="0.25">
      <c r="A1195">
        <v>2508</v>
      </c>
      <c r="B1195" t="s">
        <v>1419</v>
      </c>
      <c r="C1195" t="s">
        <v>1674</v>
      </c>
      <c r="D1195" t="s">
        <v>1717</v>
      </c>
      <c r="F1195" t="s">
        <v>102</v>
      </c>
      <c r="G1195" t="s">
        <v>43</v>
      </c>
      <c r="H1195" t="s">
        <v>4652</v>
      </c>
      <c r="I1195" s="4"/>
      <c r="J1195" t="s">
        <v>4653</v>
      </c>
      <c r="K1195" t="s">
        <v>586</v>
      </c>
      <c r="L1195" s="5" t="s">
        <v>3542</v>
      </c>
      <c r="M1195" s="5" t="s">
        <v>4028</v>
      </c>
      <c r="N1195" t="s">
        <v>739</v>
      </c>
      <c r="O1195" t="s">
        <v>4654</v>
      </c>
      <c r="S1195" t="s">
        <v>37</v>
      </c>
      <c r="T1195" s="5" t="s">
        <v>100</v>
      </c>
      <c r="W1195">
        <v>52</v>
      </c>
      <c r="X1195" t="s">
        <v>3153</v>
      </c>
      <c r="Y1195" t="str">
        <f>VLOOKUP(C1195,'[1]DBS_KPY Sorumlular'!A:C,2,FALSE)</f>
        <v>Kadir TOPÇU</v>
      </c>
      <c r="Z1195" t="str">
        <f>VLOOKUP(C1195,'[1]DBS_KPY Sorumlular'!A:C,3,FALSE)</f>
        <v>Erkan AKDOĞAN</v>
      </c>
      <c r="AA1195" t="str">
        <f>VLOOKUP(K1195,[1]!Tablo3[#Data],2,FALSE)</f>
        <v>Tayfun VİÇE</v>
      </c>
    </row>
    <row r="1196" spans="1:27" x14ac:dyDescent="0.25">
      <c r="A1196">
        <v>2509</v>
      </c>
      <c r="B1196" t="s">
        <v>1419</v>
      </c>
      <c r="C1196" t="s">
        <v>1674</v>
      </c>
      <c r="D1196" t="s">
        <v>1675</v>
      </c>
      <c r="F1196" t="s">
        <v>1725</v>
      </c>
      <c r="G1196" t="s">
        <v>456</v>
      </c>
      <c r="H1196" t="s">
        <v>4655</v>
      </c>
      <c r="I1196" s="4"/>
      <c r="J1196" t="s">
        <v>4642</v>
      </c>
      <c r="K1196" t="s">
        <v>586</v>
      </c>
      <c r="L1196" s="5" t="s">
        <v>4656</v>
      </c>
      <c r="M1196" s="5" t="s">
        <v>4028</v>
      </c>
      <c r="N1196" t="s">
        <v>739</v>
      </c>
      <c r="O1196" t="s">
        <v>4657</v>
      </c>
      <c r="S1196" t="s">
        <v>37</v>
      </c>
      <c r="T1196" s="5" t="s">
        <v>100</v>
      </c>
      <c r="W1196">
        <v>94</v>
      </c>
      <c r="X1196" t="s">
        <v>1707</v>
      </c>
      <c r="Y1196" t="str">
        <f>VLOOKUP(C1196,'[1]DBS_KPY Sorumlular'!A:C,2,FALSE)</f>
        <v>Kadir TOPÇU</v>
      </c>
      <c r="Z1196" t="str">
        <f>VLOOKUP(C1196,'[1]DBS_KPY Sorumlular'!A:C,3,FALSE)</f>
        <v>Erkan AKDOĞAN</v>
      </c>
      <c r="AA1196" t="str">
        <f>VLOOKUP(K1196,[1]!Tablo3[#Data],2,FALSE)</f>
        <v>Tayfun VİÇE</v>
      </c>
    </row>
    <row r="1197" spans="1:27" x14ac:dyDescent="0.25">
      <c r="A1197">
        <v>2510</v>
      </c>
      <c r="B1197" t="s">
        <v>1419</v>
      </c>
      <c r="C1197" t="s">
        <v>1674</v>
      </c>
      <c r="D1197" t="s">
        <v>1717</v>
      </c>
      <c r="F1197" t="s">
        <v>391</v>
      </c>
      <c r="G1197" t="s">
        <v>43</v>
      </c>
      <c r="H1197" t="s">
        <v>4658</v>
      </c>
      <c r="I1197" s="4"/>
      <c r="J1197" t="s">
        <v>4653</v>
      </c>
      <c r="K1197" t="s">
        <v>586</v>
      </c>
      <c r="L1197" s="5" t="s">
        <v>4659</v>
      </c>
      <c r="M1197" s="5" t="s">
        <v>4028</v>
      </c>
      <c r="N1197" t="s">
        <v>739</v>
      </c>
      <c r="O1197" t="s">
        <v>4657</v>
      </c>
      <c r="S1197" t="s">
        <v>37</v>
      </c>
      <c r="T1197" s="5" t="s">
        <v>100</v>
      </c>
      <c r="W1197">
        <v>168</v>
      </c>
      <c r="X1197" t="s">
        <v>394</v>
      </c>
      <c r="Y1197" t="str">
        <f>VLOOKUP(C1197,'[1]DBS_KPY Sorumlular'!A:C,2,FALSE)</f>
        <v>Kadir TOPÇU</v>
      </c>
      <c r="Z1197" t="str">
        <f>VLOOKUP(C1197,'[1]DBS_KPY Sorumlular'!A:C,3,FALSE)</f>
        <v>Erkan AKDOĞAN</v>
      </c>
      <c r="AA1197" t="str">
        <f>VLOOKUP(K1197,[1]!Tablo3[#Data],2,FALSE)</f>
        <v>Tayfun VİÇE</v>
      </c>
    </row>
    <row r="1198" spans="1:27" x14ac:dyDescent="0.25">
      <c r="A1198">
        <v>2511</v>
      </c>
      <c r="B1198" t="s">
        <v>1419</v>
      </c>
      <c r="C1198" t="s">
        <v>1674</v>
      </c>
      <c r="D1198" t="s">
        <v>1675</v>
      </c>
      <c r="F1198" t="s">
        <v>66</v>
      </c>
      <c r="G1198" t="s">
        <v>67</v>
      </c>
      <c r="H1198" t="s">
        <v>4660</v>
      </c>
      <c r="I1198" s="4"/>
      <c r="J1198" t="s">
        <v>4661</v>
      </c>
      <c r="K1198" t="s">
        <v>586</v>
      </c>
      <c r="L1198" s="5" t="s">
        <v>4662</v>
      </c>
      <c r="M1198" s="5" t="s">
        <v>4028</v>
      </c>
      <c r="N1198" t="s">
        <v>35</v>
      </c>
      <c r="O1198" t="s">
        <v>4663</v>
      </c>
      <c r="S1198" t="s">
        <v>37</v>
      </c>
      <c r="T1198" s="5" t="s">
        <v>48</v>
      </c>
      <c r="U1198" t="s">
        <v>4664</v>
      </c>
      <c r="V1198" t="s">
        <v>4660</v>
      </c>
      <c r="W1198">
        <v>207</v>
      </c>
      <c r="X1198" t="s">
        <v>472</v>
      </c>
      <c r="Y1198" t="str">
        <f>VLOOKUP(C1198,'[1]DBS_KPY Sorumlular'!A:C,2,FALSE)</f>
        <v>Kadir TOPÇU</v>
      </c>
      <c r="Z1198" t="str">
        <f>VLOOKUP(C1198,'[1]DBS_KPY Sorumlular'!A:C,3,FALSE)</f>
        <v>Erkan AKDOĞAN</v>
      </c>
      <c r="AA1198" t="str">
        <f>VLOOKUP(K1198,[1]!Tablo3[#Data],2,FALSE)</f>
        <v>Tayfun VİÇE</v>
      </c>
    </row>
    <row r="1199" spans="1:27" x14ac:dyDescent="0.25">
      <c r="A1199">
        <v>2512</v>
      </c>
      <c r="B1199" t="s">
        <v>1419</v>
      </c>
      <c r="C1199" t="s">
        <v>1674</v>
      </c>
      <c r="D1199" t="s">
        <v>1675</v>
      </c>
      <c r="F1199" t="s">
        <v>66</v>
      </c>
      <c r="G1199" t="s">
        <v>67</v>
      </c>
      <c r="H1199" t="s">
        <v>4665</v>
      </c>
      <c r="I1199" s="4"/>
      <c r="J1199" t="s">
        <v>4666</v>
      </c>
      <c r="K1199" t="s">
        <v>611</v>
      </c>
      <c r="L1199" s="5"/>
      <c r="M1199" s="5" t="s">
        <v>35</v>
      </c>
      <c r="N1199" t="s">
        <v>35</v>
      </c>
      <c r="O1199" t="s">
        <v>4667</v>
      </c>
      <c r="S1199" t="s">
        <v>230</v>
      </c>
      <c r="T1199" s="5" t="s">
        <v>48</v>
      </c>
      <c r="U1199" t="s">
        <v>4668</v>
      </c>
      <c r="V1199" t="s">
        <v>4665</v>
      </c>
      <c r="W1199">
        <v>203</v>
      </c>
      <c r="X1199" t="s">
        <v>72</v>
      </c>
      <c r="Y1199" t="str">
        <f>VLOOKUP(C1199,'[1]DBS_KPY Sorumlular'!A:C,2,FALSE)</f>
        <v>Kadir TOPÇU</v>
      </c>
      <c r="Z1199" t="str">
        <f>VLOOKUP(C1199,'[1]DBS_KPY Sorumlular'!A:C,3,FALSE)</f>
        <v>Erkan AKDOĞAN</v>
      </c>
      <c r="AA1199" t="str">
        <f>VLOOKUP(K1199,[1]!Tablo3[#Data],2,FALSE)</f>
        <v>Kadir TOPÇU</v>
      </c>
    </row>
    <row r="1200" spans="1:27" x14ac:dyDescent="0.25">
      <c r="A1200">
        <v>2513</v>
      </c>
      <c r="B1200" t="s">
        <v>1419</v>
      </c>
      <c r="C1200" t="s">
        <v>1674</v>
      </c>
      <c r="D1200" t="s">
        <v>1700</v>
      </c>
      <c r="F1200" t="s">
        <v>306</v>
      </c>
      <c r="G1200" t="s">
        <v>96</v>
      </c>
      <c r="H1200" t="s">
        <v>4669</v>
      </c>
      <c r="I1200" s="4"/>
      <c r="J1200" t="s">
        <v>4670</v>
      </c>
      <c r="K1200" t="s">
        <v>611</v>
      </c>
      <c r="L1200" s="5" t="s">
        <v>1997</v>
      </c>
      <c r="M1200" s="5" t="s">
        <v>35</v>
      </c>
      <c r="N1200" t="s">
        <v>1824</v>
      </c>
      <c r="O1200" t="s">
        <v>4671</v>
      </c>
      <c r="S1200" t="s">
        <v>230</v>
      </c>
      <c r="T1200" s="5" t="s">
        <v>100</v>
      </c>
      <c r="W1200">
        <v>28</v>
      </c>
      <c r="X1200" t="s">
        <v>667</v>
      </c>
      <c r="Y1200" t="str">
        <f>VLOOKUP(C1200,'[1]DBS_KPY Sorumlular'!A:C,2,FALSE)</f>
        <v>Kadir TOPÇU</v>
      </c>
      <c r="Z1200" t="str">
        <f>VLOOKUP(C1200,'[1]DBS_KPY Sorumlular'!A:C,3,FALSE)</f>
        <v>Erkan AKDOĞAN</v>
      </c>
      <c r="AA1200" t="str">
        <f>VLOOKUP(K1200,[1]!Tablo3[#Data],2,FALSE)</f>
        <v>Kadir TOPÇU</v>
      </c>
    </row>
    <row r="1201" spans="1:27" x14ac:dyDescent="0.25">
      <c r="A1201">
        <v>2514</v>
      </c>
      <c r="B1201" t="s">
        <v>1419</v>
      </c>
      <c r="C1201" t="s">
        <v>1674</v>
      </c>
      <c r="D1201" t="s">
        <v>1675</v>
      </c>
      <c r="F1201" t="s">
        <v>95</v>
      </c>
      <c r="G1201" t="s">
        <v>96</v>
      </c>
      <c r="H1201" t="s">
        <v>4672</v>
      </c>
      <c r="I1201" s="4"/>
      <c r="J1201" t="s">
        <v>4673</v>
      </c>
      <c r="K1201" t="s">
        <v>611</v>
      </c>
      <c r="L1201" s="5"/>
      <c r="M1201" s="5" t="s">
        <v>35</v>
      </c>
      <c r="N1201" t="s">
        <v>1824</v>
      </c>
      <c r="O1201" t="s">
        <v>4674</v>
      </c>
      <c r="S1201" t="s">
        <v>230</v>
      </c>
      <c r="T1201" s="5" t="s">
        <v>100</v>
      </c>
      <c r="W1201">
        <v>91</v>
      </c>
      <c r="X1201" t="s">
        <v>101</v>
      </c>
      <c r="Y1201" t="str">
        <f>VLOOKUP(C1201,'[1]DBS_KPY Sorumlular'!A:C,2,FALSE)</f>
        <v>Kadir TOPÇU</v>
      </c>
      <c r="Z1201" t="str">
        <f>VLOOKUP(C1201,'[1]DBS_KPY Sorumlular'!A:C,3,FALSE)</f>
        <v>Erkan AKDOĞAN</v>
      </c>
      <c r="AA1201" t="str">
        <f>VLOOKUP(K1201,[1]!Tablo3[#Data],2,FALSE)</f>
        <v>Kadir TOPÇU</v>
      </c>
    </row>
    <row r="1202" spans="1:27" x14ac:dyDescent="0.25">
      <c r="A1202">
        <v>2515</v>
      </c>
      <c r="B1202" t="s">
        <v>1419</v>
      </c>
      <c r="C1202" t="s">
        <v>652</v>
      </c>
      <c r="D1202" t="s">
        <v>653</v>
      </c>
      <c r="F1202" t="s">
        <v>455</v>
      </c>
      <c r="G1202" t="s">
        <v>96</v>
      </c>
      <c r="H1202" t="s">
        <v>4675</v>
      </c>
      <c r="I1202" s="4"/>
      <c r="J1202" t="s">
        <v>4676</v>
      </c>
      <c r="K1202" t="s">
        <v>611</v>
      </c>
      <c r="L1202" s="5"/>
      <c r="M1202" s="5" t="s">
        <v>35</v>
      </c>
      <c r="N1202" t="s">
        <v>1824</v>
      </c>
      <c r="O1202" t="s">
        <v>4677</v>
      </c>
      <c r="S1202" t="s">
        <v>230</v>
      </c>
      <c r="T1202" s="5" t="s">
        <v>100</v>
      </c>
      <c r="W1202">
        <v>144</v>
      </c>
      <c r="X1202" t="s">
        <v>463</v>
      </c>
      <c r="Y1202" t="str">
        <f>VLOOKUP(C1202,'[1]DBS_KPY Sorumlular'!A:C,2,FALSE)</f>
        <v>Seyithan İŞİK</v>
      </c>
      <c r="Z1202" t="str">
        <f>VLOOKUP(C1202,'[1]DBS_KPY Sorumlular'!A:C,3,FALSE)</f>
        <v>Korhan KÖROĞLU</v>
      </c>
      <c r="AA1202" t="str">
        <f>VLOOKUP(K1202,[1]!Tablo3[#Data],2,FALSE)</f>
        <v>Kadir TOPÇU</v>
      </c>
    </row>
    <row r="1203" spans="1:27" x14ac:dyDescent="0.25">
      <c r="A1203">
        <v>2516</v>
      </c>
      <c r="B1203" t="s">
        <v>1419</v>
      </c>
      <c r="C1203" t="s">
        <v>402</v>
      </c>
      <c r="D1203" t="s">
        <v>403</v>
      </c>
      <c r="F1203" t="s">
        <v>383</v>
      </c>
      <c r="G1203" t="s">
        <v>384</v>
      </c>
      <c r="H1203" t="s">
        <v>4678</v>
      </c>
      <c r="I1203" s="4"/>
      <c r="J1203" t="s">
        <v>4679</v>
      </c>
      <c r="K1203" t="s">
        <v>611</v>
      </c>
      <c r="L1203" s="5" t="s">
        <v>4680</v>
      </c>
      <c r="M1203" s="5" t="s">
        <v>35</v>
      </c>
      <c r="N1203" t="s">
        <v>1824</v>
      </c>
      <c r="O1203" t="s">
        <v>4681</v>
      </c>
      <c r="S1203" t="s">
        <v>230</v>
      </c>
      <c r="T1203" s="5" t="s">
        <v>100</v>
      </c>
      <c r="W1203">
        <v>221</v>
      </c>
      <c r="X1203" t="s">
        <v>1005</v>
      </c>
      <c r="Y1203" t="str">
        <f>VLOOKUP(C1203,'[1]DBS_KPY Sorumlular'!A:C,2,FALSE)</f>
        <v>Tayfun VİÇE</v>
      </c>
      <c r="Z1203" t="str">
        <f>VLOOKUP(C1203,'[1]DBS_KPY Sorumlular'!A:C,3,FALSE)</f>
        <v>Mehmet Ali YAVUZ</v>
      </c>
      <c r="AA1203" t="str">
        <f>VLOOKUP(K1203,[1]!Tablo3[#Data],2,FALSE)</f>
        <v>Kadir TOPÇU</v>
      </c>
    </row>
    <row r="1204" spans="1:27" x14ac:dyDescent="0.25">
      <c r="A1204">
        <v>2517</v>
      </c>
      <c r="B1204" t="s">
        <v>1419</v>
      </c>
      <c r="C1204" t="s">
        <v>1674</v>
      </c>
      <c r="D1204" t="s">
        <v>1700</v>
      </c>
      <c r="F1204" t="s">
        <v>306</v>
      </c>
      <c r="G1204" t="s">
        <v>96</v>
      </c>
      <c r="H1204" t="s">
        <v>4682</v>
      </c>
      <c r="I1204" s="4"/>
      <c r="J1204" t="s">
        <v>4683</v>
      </c>
      <c r="K1204" t="s">
        <v>611</v>
      </c>
      <c r="L1204" s="5" t="s">
        <v>1997</v>
      </c>
      <c r="M1204" s="5" t="s">
        <v>35</v>
      </c>
      <c r="N1204" t="s">
        <v>1824</v>
      </c>
      <c r="O1204" t="s">
        <v>4684</v>
      </c>
      <c r="S1204" t="s">
        <v>230</v>
      </c>
      <c r="T1204" s="5" t="s">
        <v>100</v>
      </c>
      <c r="W1204">
        <v>28</v>
      </c>
      <c r="X1204" t="s">
        <v>667</v>
      </c>
      <c r="Y1204" t="str">
        <f>VLOOKUP(C1204,'[1]DBS_KPY Sorumlular'!A:C,2,FALSE)</f>
        <v>Kadir TOPÇU</v>
      </c>
      <c r="Z1204" t="str">
        <f>VLOOKUP(C1204,'[1]DBS_KPY Sorumlular'!A:C,3,FALSE)</f>
        <v>Erkan AKDOĞAN</v>
      </c>
      <c r="AA1204" t="str">
        <f>VLOOKUP(K1204,[1]!Tablo3[#Data],2,FALSE)</f>
        <v>Kadir TOPÇU</v>
      </c>
    </row>
    <row r="1205" spans="1:27" x14ac:dyDescent="0.25">
      <c r="A1205">
        <v>2518</v>
      </c>
      <c r="B1205" t="s">
        <v>1419</v>
      </c>
      <c r="C1205" t="s">
        <v>1723</v>
      </c>
      <c r="D1205" t="s">
        <v>1724</v>
      </c>
      <c r="F1205" t="s">
        <v>184</v>
      </c>
      <c r="G1205" t="s">
        <v>43</v>
      </c>
      <c r="H1205" t="s">
        <v>4685</v>
      </c>
      <c r="I1205" s="4"/>
      <c r="J1205" t="s">
        <v>4686</v>
      </c>
      <c r="K1205" t="s">
        <v>611</v>
      </c>
      <c r="L1205" s="5" t="s">
        <v>4687</v>
      </c>
      <c r="M1205" s="5" t="s">
        <v>35</v>
      </c>
      <c r="N1205" t="s">
        <v>1824</v>
      </c>
      <c r="O1205" t="s">
        <v>4688</v>
      </c>
      <c r="S1205" t="s">
        <v>230</v>
      </c>
      <c r="T1205" s="5" t="s">
        <v>38</v>
      </c>
      <c r="Y1205" t="str">
        <f>VLOOKUP(C1205,'[1]DBS_KPY Sorumlular'!A:C,2,FALSE)</f>
        <v>Erkan AKDOĞAN</v>
      </c>
      <c r="Z1205" t="str">
        <f>VLOOKUP(C1205,'[1]DBS_KPY Sorumlular'!A:C,3,FALSE)</f>
        <v>Kadir TOPÇU</v>
      </c>
      <c r="AA1205" t="str">
        <f>VLOOKUP(K1205,[1]!Tablo3[#Data],2,FALSE)</f>
        <v>Kadir TOPÇU</v>
      </c>
    </row>
    <row r="1206" spans="1:27" x14ac:dyDescent="0.25">
      <c r="A1206">
        <v>2519</v>
      </c>
      <c r="B1206" t="s">
        <v>1419</v>
      </c>
      <c r="C1206" t="s">
        <v>1723</v>
      </c>
      <c r="D1206" t="s">
        <v>1724</v>
      </c>
      <c r="F1206" t="s">
        <v>184</v>
      </c>
      <c r="G1206" t="s">
        <v>43</v>
      </c>
      <c r="H1206" t="s">
        <v>4689</v>
      </c>
      <c r="I1206" s="4"/>
      <c r="J1206" t="s">
        <v>4690</v>
      </c>
      <c r="K1206" t="s">
        <v>611</v>
      </c>
      <c r="L1206" s="5" t="s">
        <v>4691</v>
      </c>
      <c r="M1206" s="5" t="s">
        <v>35</v>
      </c>
      <c r="N1206" t="s">
        <v>1824</v>
      </c>
      <c r="O1206" t="s">
        <v>4692</v>
      </c>
      <c r="S1206" t="s">
        <v>230</v>
      </c>
      <c r="T1206" s="5" t="s">
        <v>38</v>
      </c>
      <c r="Y1206" t="str">
        <f>VLOOKUP(C1206,'[1]DBS_KPY Sorumlular'!A:C,2,FALSE)</f>
        <v>Erkan AKDOĞAN</v>
      </c>
      <c r="Z1206" t="str">
        <f>VLOOKUP(C1206,'[1]DBS_KPY Sorumlular'!A:C,3,FALSE)</f>
        <v>Kadir TOPÇU</v>
      </c>
      <c r="AA1206" t="str">
        <f>VLOOKUP(K1206,[1]!Tablo3[#Data],2,FALSE)</f>
        <v>Kadir TOPÇU</v>
      </c>
    </row>
    <row r="1207" spans="1:27" x14ac:dyDescent="0.25">
      <c r="A1207">
        <v>2520</v>
      </c>
      <c r="B1207" t="s">
        <v>1419</v>
      </c>
      <c r="C1207" t="s">
        <v>1723</v>
      </c>
      <c r="D1207" t="s">
        <v>1751</v>
      </c>
      <c r="F1207" t="s">
        <v>66</v>
      </c>
      <c r="G1207" t="s">
        <v>67</v>
      </c>
      <c r="H1207" t="s">
        <v>4693</v>
      </c>
      <c r="I1207" s="4"/>
      <c r="J1207" t="s">
        <v>4694</v>
      </c>
      <c r="K1207" t="s">
        <v>181</v>
      </c>
      <c r="L1207" s="5" t="s">
        <v>4695</v>
      </c>
      <c r="M1207" s="5" t="s">
        <v>4696</v>
      </c>
      <c r="N1207" t="s">
        <v>1824</v>
      </c>
      <c r="O1207" t="s">
        <v>4697</v>
      </c>
      <c r="S1207" t="s">
        <v>230</v>
      </c>
      <c r="T1207" s="5" t="s">
        <v>38</v>
      </c>
      <c r="Y1207" t="str">
        <f>VLOOKUP(C1207,'[1]DBS_KPY Sorumlular'!A:C,2,FALSE)</f>
        <v>Erkan AKDOĞAN</v>
      </c>
      <c r="Z1207" t="str">
        <f>VLOOKUP(C1207,'[1]DBS_KPY Sorumlular'!A:C,3,FALSE)</f>
        <v>Kadir TOPÇU</v>
      </c>
      <c r="AA1207" t="str">
        <f>VLOOKUP(K1207,[1]!Tablo3[#Data],2,FALSE)</f>
        <v>Erkan AKDOĞAN</v>
      </c>
    </row>
    <row r="1208" spans="1:27" x14ac:dyDescent="0.25">
      <c r="A1208">
        <v>2521</v>
      </c>
      <c r="B1208" t="s">
        <v>1419</v>
      </c>
      <c r="C1208" t="s">
        <v>1723</v>
      </c>
      <c r="D1208" t="s">
        <v>2478</v>
      </c>
      <c r="F1208" t="s">
        <v>66</v>
      </c>
      <c r="G1208" t="s">
        <v>67</v>
      </c>
      <c r="H1208" t="s">
        <v>4698</v>
      </c>
      <c r="I1208" s="4"/>
      <c r="J1208" t="s">
        <v>4699</v>
      </c>
      <c r="K1208" t="s">
        <v>611</v>
      </c>
      <c r="L1208" s="5" t="s">
        <v>4700</v>
      </c>
      <c r="M1208" s="5" t="s">
        <v>4701</v>
      </c>
      <c r="N1208" t="s">
        <v>1824</v>
      </c>
      <c r="O1208" t="s">
        <v>4702</v>
      </c>
      <c r="S1208" t="s">
        <v>230</v>
      </c>
      <c r="T1208" s="5" t="s">
        <v>38</v>
      </c>
      <c r="Y1208" t="str">
        <f>VLOOKUP(C1208,'[1]DBS_KPY Sorumlular'!A:C,2,FALSE)</f>
        <v>Erkan AKDOĞAN</v>
      </c>
      <c r="Z1208" t="str">
        <f>VLOOKUP(C1208,'[1]DBS_KPY Sorumlular'!A:C,3,FALSE)</f>
        <v>Kadir TOPÇU</v>
      </c>
      <c r="AA1208" t="str">
        <f>VLOOKUP(K1208,[1]!Tablo3[#Data],2,FALSE)</f>
        <v>Kadir TOPÇU</v>
      </c>
    </row>
    <row r="1209" spans="1:27" x14ac:dyDescent="0.25">
      <c r="A1209">
        <v>2522</v>
      </c>
      <c r="B1209" t="s">
        <v>1419</v>
      </c>
      <c r="C1209" t="s">
        <v>1723</v>
      </c>
      <c r="D1209" t="s">
        <v>1751</v>
      </c>
      <c r="F1209" t="s">
        <v>66</v>
      </c>
      <c r="G1209" t="s">
        <v>67</v>
      </c>
      <c r="H1209" t="s">
        <v>4703</v>
      </c>
      <c r="I1209" s="4"/>
      <c r="J1209" t="s">
        <v>4704</v>
      </c>
      <c r="K1209" t="s">
        <v>611</v>
      </c>
      <c r="L1209" s="5" t="s">
        <v>4705</v>
      </c>
      <c r="M1209" s="5" t="s">
        <v>35</v>
      </c>
      <c r="N1209" t="s">
        <v>1824</v>
      </c>
      <c r="O1209" t="s">
        <v>4706</v>
      </c>
      <c r="S1209" t="s">
        <v>230</v>
      </c>
      <c r="T1209" s="5" t="s">
        <v>38</v>
      </c>
      <c r="Y1209" t="str">
        <f>VLOOKUP(C1209,'[1]DBS_KPY Sorumlular'!A:C,2,FALSE)</f>
        <v>Erkan AKDOĞAN</v>
      </c>
      <c r="Z1209" t="str">
        <f>VLOOKUP(C1209,'[1]DBS_KPY Sorumlular'!A:C,3,FALSE)</f>
        <v>Kadir TOPÇU</v>
      </c>
      <c r="AA1209" t="str">
        <f>VLOOKUP(K1209,[1]!Tablo3[#Data],2,FALSE)</f>
        <v>Kadir TOPÇU</v>
      </c>
    </row>
    <row r="1210" spans="1:27" x14ac:dyDescent="0.25">
      <c r="A1210">
        <v>2523</v>
      </c>
      <c r="B1210" t="s">
        <v>1419</v>
      </c>
      <c r="C1210" t="s">
        <v>304</v>
      </c>
      <c r="D1210" t="s">
        <v>4707</v>
      </c>
      <c r="F1210" t="s">
        <v>66</v>
      </c>
      <c r="G1210" t="s">
        <v>67</v>
      </c>
      <c r="H1210" t="s">
        <v>4708</v>
      </c>
      <c r="I1210" s="4"/>
      <c r="J1210" t="s">
        <v>4708</v>
      </c>
      <c r="K1210" t="s">
        <v>611</v>
      </c>
      <c r="L1210" s="5" t="s">
        <v>4709</v>
      </c>
      <c r="M1210" s="5" t="s">
        <v>2670</v>
      </c>
      <c r="N1210" t="s">
        <v>1824</v>
      </c>
      <c r="O1210" t="s">
        <v>4710</v>
      </c>
      <c r="S1210" t="s">
        <v>230</v>
      </c>
      <c r="T1210" s="5" t="s">
        <v>38</v>
      </c>
      <c r="Y1210" t="str">
        <f>VLOOKUP(C1210,'[1]DBS_KPY Sorumlular'!A:C,2,FALSE)</f>
        <v>Erkan AKDOĞAN</v>
      </c>
      <c r="Z1210" t="str">
        <f>VLOOKUP(C1210,'[1]DBS_KPY Sorumlular'!A:C,3,FALSE)</f>
        <v>Kadir TOPÇU</v>
      </c>
      <c r="AA1210" t="str">
        <f>VLOOKUP(K1210,[1]!Tablo3[#Data],2,FALSE)</f>
        <v>Kadir TOPÇU</v>
      </c>
    </row>
    <row r="1211" spans="1:27" x14ac:dyDescent="0.25">
      <c r="A1211">
        <v>2524</v>
      </c>
      <c r="B1211" t="s">
        <v>1419</v>
      </c>
      <c r="C1211" t="s">
        <v>1723</v>
      </c>
      <c r="D1211" t="s">
        <v>1724</v>
      </c>
      <c r="F1211" t="s">
        <v>306</v>
      </c>
      <c r="G1211" t="s">
        <v>96</v>
      </c>
      <c r="H1211" t="s">
        <v>4711</v>
      </c>
      <c r="I1211" s="4"/>
      <c r="J1211" t="s">
        <v>4711</v>
      </c>
      <c r="K1211" t="s">
        <v>611</v>
      </c>
      <c r="L1211" s="5" t="s">
        <v>4712</v>
      </c>
      <c r="M1211" s="5" t="s">
        <v>4028</v>
      </c>
      <c r="N1211" t="s">
        <v>1824</v>
      </c>
      <c r="O1211" t="s">
        <v>4713</v>
      </c>
      <c r="S1211" t="s">
        <v>230</v>
      </c>
      <c r="T1211" s="5" t="s">
        <v>38</v>
      </c>
      <c r="Y1211" t="str">
        <f>VLOOKUP(C1211,'[1]DBS_KPY Sorumlular'!A:C,2,FALSE)</f>
        <v>Erkan AKDOĞAN</v>
      </c>
      <c r="Z1211" t="str">
        <f>VLOOKUP(C1211,'[1]DBS_KPY Sorumlular'!A:C,3,FALSE)</f>
        <v>Kadir TOPÇU</v>
      </c>
      <c r="AA1211" t="str">
        <f>VLOOKUP(K1211,[1]!Tablo3[#Data],2,FALSE)</f>
        <v>Kadir TOPÇU</v>
      </c>
    </row>
    <row r="1212" spans="1:27" x14ac:dyDescent="0.25">
      <c r="A1212">
        <v>2525</v>
      </c>
      <c r="B1212" t="s">
        <v>1419</v>
      </c>
      <c r="C1212" t="s">
        <v>1723</v>
      </c>
      <c r="D1212" t="s">
        <v>1724</v>
      </c>
      <c r="F1212" t="s">
        <v>486</v>
      </c>
      <c r="G1212" t="s">
        <v>67</v>
      </c>
      <c r="H1212" t="s">
        <v>4714</v>
      </c>
      <c r="I1212" s="4"/>
      <c r="J1212" t="s">
        <v>4715</v>
      </c>
      <c r="K1212" t="s">
        <v>636</v>
      </c>
      <c r="L1212" s="5" t="s">
        <v>4716</v>
      </c>
      <c r="M1212" s="5" t="s">
        <v>35</v>
      </c>
      <c r="N1212" t="s">
        <v>1824</v>
      </c>
      <c r="O1212" t="s">
        <v>4717</v>
      </c>
      <c r="S1212" t="s">
        <v>57</v>
      </c>
      <c r="T1212" s="5" t="s">
        <v>38</v>
      </c>
      <c r="Y1212" t="str">
        <f>VLOOKUP(C1212,'[1]DBS_KPY Sorumlular'!A:C,2,FALSE)</f>
        <v>Erkan AKDOĞAN</v>
      </c>
      <c r="Z1212" t="str">
        <f>VLOOKUP(C1212,'[1]DBS_KPY Sorumlular'!A:C,3,FALSE)</f>
        <v>Kadir TOPÇU</v>
      </c>
      <c r="AA1212" t="str">
        <f>VLOOKUP(K1212,[1]!Tablo3[#Data],2,FALSE)</f>
        <v>Erkan AKDOĞAN</v>
      </c>
    </row>
    <row r="1213" spans="1:27" x14ac:dyDescent="0.25">
      <c r="A1213">
        <v>2526</v>
      </c>
      <c r="B1213" t="s">
        <v>1419</v>
      </c>
      <c r="C1213" t="s">
        <v>1723</v>
      </c>
      <c r="D1213" t="s">
        <v>1751</v>
      </c>
      <c r="F1213" t="s">
        <v>486</v>
      </c>
      <c r="G1213" t="s">
        <v>67</v>
      </c>
      <c r="H1213" t="s">
        <v>4718</v>
      </c>
      <c r="I1213" s="4"/>
      <c r="J1213" t="s">
        <v>4719</v>
      </c>
      <c r="K1213" t="s">
        <v>636</v>
      </c>
      <c r="L1213" s="5" t="s">
        <v>4720</v>
      </c>
      <c r="M1213" s="5" t="s">
        <v>35</v>
      </c>
      <c r="N1213" t="s">
        <v>1824</v>
      </c>
      <c r="O1213" t="s">
        <v>4721</v>
      </c>
      <c r="S1213" t="s">
        <v>57</v>
      </c>
      <c r="T1213" s="5" t="s">
        <v>38</v>
      </c>
      <c r="Y1213" t="str">
        <f>VLOOKUP(C1213,'[1]DBS_KPY Sorumlular'!A:C,2,FALSE)</f>
        <v>Erkan AKDOĞAN</v>
      </c>
      <c r="Z1213" t="str">
        <f>VLOOKUP(C1213,'[1]DBS_KPY Sorumlular'!A:C,3,FALSE)</f>
        <v>Kadir TOPÇU</v>
      </c>
      <c r="AA1213" t="str">
        <f>VLOOKUP(K1213,[1]!Tablo3[#Data],2,FALSE)</f>
        <v>Erkan AKDOĞAN</v>
      </c>
    </row>
    <row r="1214" spans="1:27" x14ac:dyDescent="0.25">
      <c r="A1214">
        <v>2527</v>
      </c>
      <c r="B1214" t="s">
        <v>1419</v>
      </c>
      <c r="C1214" t="s">
        <v>1723</v>
      </c>
      <c r="D1214" t="s">
        <v>1751</v>
      </c>
      <c r="F1214" t="s">
        <v>486</v>
      </c>
      <c r="G1214" t="s">
        <v>67</v>
      </c>
      <c r="H1214" t="s">
        <v>4722</v>
      </c>
      <c r="I1214" s="4"/>
      <c r="J1214" t="s">
        <v>4723</v>
      </c>
      <c r="K1214" t="s">
        <v>636</v>
      </c>
      <c r="L1214" s="5" t="s">
        <v>4724</v>
      </c>
      <c r="M1214" s="5" t="s">
        <v>35</v>
      </c>
      <c r="N1214" t="s">
        <v>1824</v>
      </c>
      <c r="O1214" t="s">
        <v>4725</v>
      </c>
      <c r="S1214" t="s">
        <v>57</v>
      </c>
      <c r="T1214" s="5" t="s">
        <v>38</v>
      </c>
      <c r="Y1214" t="str">
        <f>VLOOKUP(C1214,'[1]DBS_KPY Sorumlular'!A:C,2,FALSE)</f>
        <v>Erkan AKDOĞAN</v>
      </c>
      <c r="Z1214" t="str">
        <f>VLOOKUP(C1214,'[1]DBS_KPY Sorumlular'!A:C,3,FALSE)</f>
        <v>Kadir TOPÇU</v>
      </c>
      <c r="AA1214" t="str">
        <f>VLOOKUP(K1214,[1]!Tablo3[#Data],2,FALSE)</f>
        <v>Erkan AKDOĞAN</v>
      </c>
    </row>
    <row r="1215" spans="1:27" x14ac:dyDescent="0.25">
      <c r="A1215">
        <v>2528</v>
      </c>
      <c r="B1215" t="s">
        <v>1419</v>
      </c>
      <c r="C1215" t="s">
        <v>304</v>
      </c>
      <c r="D1215" t="s">
        <v>305</v>
      </c>
      <c r="F1215" t="s">
        <v>486</v>
      </c>
      <c r="G1215" t="s">
        <v>67</v>
      </c>
      <c r="H1215" t="s">
        <v>4726</v>
      </c>
      <c r="I1215" s="4"/>
      <c r="J1215" t="s">
        <v>4727</v>
      </c>
      <c r="K1215" t="s">
        <v>636</v>
      </c>
      <c r="L1215" s="5"/>
      <c r="M1215" s="5" t="s">
        <v>35</v>
      </c>
      <c r="N1215" t="s">
        <v>1824</v>
      </c>
      <c r="O1215" t="s">
        <v>4728</v>
      </c>
      <c r="S1215" t="s">
        <v>57</v>
      </c>
      <c r="T1215" s="5" t="s">
        <v>38</v>
      </c>
      <c r="Y1215" t="str">
        <f>VLOOKUP(C1215,'[1]DBS_KPY Sorumlular'!A:C,2,FALSE)</f>
        <v>Erkan AKDOĞAN</v>
      </c>
      <c r="Z1215" t="str">
        <f>VLOOKUP(C1215,'[1]DBS_KPY Sorumlular'!A:C,3,FALSE)</f>
        <v>Kadir TOPÇU</v>
      </c>
      <c r="AA1215" t="str">
        <f>VLOOKUP(K1215,[1]!Tablo3[#Data],2,FALSE)</f>
        <v>Erkan AKDOĞAN</v>
      </c>
    </row>
    <row r="1216" spans="1:27" x14ac:dyDescent="0.25">
      <c r="A1216">
        <v>2529</v>
      </c>
      <c r="B1216" t="s">
        <v>1419</v>
      </c>
      <c r="C1216" t="s">
        <v>304</v>
      </c>
      <c r="D1216" t="s">
        <v>305</v>
      </c>
      <c r="F1216" t="s">
        <v>486</v>
      </c>
      <c r="G1216" t="s">
        <v>67</v>
      </c>
      <c r="H1216" t="s">
        <v>4729</v>
      </c>
      <c r="I1216" s="4"/>
      <c r="J1216" t="s">
        <v>4730</v>
      </c>
      <c r="K1216" t="s">
        <v>636</v>
      </c>
      <c r="L1216" s="5"/>
      <c r="M1216" s="5" t="s">
        <v>35</v>
      </c>
      <c r="N1216" t="s">
        <v>1824</v>
      </c>
      <c r="O1216" t="s">
        <v>4731</v>
      </c>
      <c r="S1216" t="s">
        <v>57</v>
      </c>
      <c r="T1216" s="5" t="s">
        <v>38</v>
      </c>
      <c r="Y1216" t="str">
        <f>VLOOKUP(C1216,'[1]DBS_KPY Sorumlular'!A:C,2,FALSE)</f>
        <v>Erkan AKDOĞAN</v>
      </c>
      <c r="Z1216" t="str">
        <f>VLOOKUP(C1216,'[1]DBS_KPY Sorumlular'!A:C,3,FALSE)</f>
        <v>Kadir TOPÇU</v>
      </c>
      <c r="AA1216" t="str">
        <f>VLOOKUP(K1216,[1]!Tablo3[#Data],2,FALSE)</f>
        <v>Erkan AKDOĞAN</v>
      </c>
    </row>
    <row r="1217" spans="1:27" x14ac:dyDescent="0.25">
      <c r="A1217">
        <v>2530</v>
      </c>
      <c r="B1217" t="s">
        <v>1419</v>
      </c>
      <c r="C1217" t="s">
        <v>304</v>
      </c>
      <c r="D1217" t="s">
        <v>305</v>
      </c>
      <c r="F1217" t="s">
        <v>486</v>
      </c>
      <c r="G1217" t="s">
        <v>67</v>
      </c>
      <c r="H1217" t="s">
        <v>4732</v>
      </c>
      <c r="I1217" s="4"/>
      <c r="J1217" t="s">
        <v>4733</v>
      </c>
      <c r="K1217" t="s">
        <v>636</v>
      </c>
      <c r="L1217" s="5"/>
      <c r="M1217" s="5" t="s">
        <v>35</v>
      </c>
      <c r="N1217" t="s">
        <v>1824</v>
      </c>
      <c r="O1217" t="s">
        <v>4734</v>
      </c>
      <c r="S1217" t="s">
        <v>57</v>
      </c>
      <c r="T1217" s="5" t="s">
        <v>38</v>
      </c>
      <c r="Y1217" t="str">
        <f>VLOOKUP(C1217,'[1]DBS_KPY Sorumlular'!A:C,2,FALSE)</f>
        <v>Erkan AKDOĞAN</v>
      </c>
      <c r="Z1217" t="str">
        <f>VLOOKUP(C1217,'[1]DBS_KPY Sorumlular'!A:C,3,FALSE)</f>
        <v>Kadir TOPÇU</v>
      </c>
      <c r="AA1217" t="str">
        <f>VLOOKUP(K1217,[1]!Tablo3[#Data],2,FALSE)</f>
        <v>Erkan AKDOĞAN</v>
      </c>
    </row>
    <row r="1218" spans="1:27" x14ac:dyDescent="0.25">
      <c r="A1218">
        <v>2531</v>
      </c>
      <c r="B1218" t="s">
        <v>1419</v>
      </c>
      <c r="C1218" t="s">
        <v>304</v>
      </c>
      <c r="D1218" t="s">
        <v>305</v>
      </c>
      <c r="F1218" t="s">
        <v>486</v>
      </c>
      <c r="G1218" t="s">
        <v>67</v>
      </c>
      <c r="H1218" t="s">
        <v>4735</v>
      </c>
      <c r="I1218" s="4"/>
      <c r="J1218" t="s">
        <v>4736</v>
      </c>
      <c r="K1218" t="s">
        <v>636</v>
      </c>
      <c r="L1218" s="5"/>
      <c r="M1218" s="5" t="s">
        <v>35</v>
      </c>
      <c r="N1218" t="s">
        <v>1824</v>
      </c>
      <c r="O1218" t="s">
        <v>4737</v>
      </c>
      <c r="S1218" t="s">
        <v>57</v>
      </c>
      <c r="T1218" s="5" t="s">
        <v>38</v>
      </c>
      <c r="Y1218" t="str">
        <f>VLOOKUP(C1218,'[1]DBS_KPY Sorumlular'!A:C,2,FALSE)</f>
        <v>Erkan AKDOĞAN</v>
      </c>
      <c r="Z1218" t="str">
        <f>VLOOKUP(C1218,'[1]DBS_KPY Sorumlular'!A:C,3,FALSE)</f>
        <v>Kadir TOPÇU</v>
      </c>
      <c r="AA1218" t="str">
        <f>VLOOKUP(K1218,[1]!Tablo3[#Data],2,FALSE)</f>
        <v>Erkan AKDOĞAN</v>
      </c>
    </row>
    <row r="1219" spans="1:27" x14ac:dyDescent="0.25">
      <c r="A1219">
        <v>2532</v>
      </c>
      <c r="B1219" t="s">
        <v>1419</v>
      </c>
      <c r="C1219" t="s">
        <v>1046</v>
      </c>
      <c r="D1219" t="s">
        <v>1047</v>
      </c>
      <c r="F1219" t="s">
        <v>486</v>
      </c>
      <c r="G1219" t="s">
        <v>43</v>
      </c>
      <c r="H1219" t="s">
        <v>4738</v>
      </c>
      <c r="I1219" s="4"/>
      <c r="J1219" t="s">
        <v>4739</v>
      </c>
      <c r="K1219" t="s">
        <v>636</v>
      </c>
      <c r="L1219" s="5"/>
      <c r="M1219" s="5" t="s">
        <v>35</v>
      </c>
      <c r="N1219" t="s">
        <v>1824</v>
      </c>
      <c r="O1219" t="s">
        <v>4740</v>
      </c>
      <c r="S1219" t="s">
        <v>57</v>
      </c>
      <c r="T1219" s="5" t="s">
        <v>38</v>
      </c>
      <c r="W1219">
        <v>38</v>
      </c>
      <c r="X1219" t="s">
        <v>165</v>
      </c>
      <c r="Y1219" t="str">
        <f>VLOOKUP(C1219,'[1]DBS_KPY Sorumlular'!A:C,2,FALSE)</f>
        <v>Ayşegül AKGÜL</v>
      </c>
      <c r="Z1219" t="str">
        <f>VLOOKUP(C1219,'[1]DBS_KPY Sorumlular'!A:C,3,FALSE)</f>
        <v>Sinan ERDAŞ</v>
      </c>
      <c r="AA1219" t="str">
        <f>VLOOKUP(K1219,[1]!Tablo3[#Data],2,FALSE)</f>
        <v>Erkan AKDOĞAN</v>
      </c>
    </row>
    <row r="1220" spans="1:27" x14ac:dyDescent="0.25">
      <c r="A1220">
        <v>2533</v>
      </c>
      <c r="B1220" t="s">
        <v>1419</v>
      </c>
      <c r="C1220" t="s">
        <v>304</v>
      </c>
      <c r="D1220" t="s">
        <v>305</v>
      </c>
      <c r="F1220" t="s">
        <v>306</v>
      </c>
      <c r="G1220" t="s">
        <v>96</v>
      </c>
      <c r="H1220" t="s">
        <v>4741</v>
      </c>
      <c r="I1220" s="4"/>
      <c r="J1220" t="s">
        <v>4742</v>
      </c>
      <c r="K1220" t="s">
        <v>636</v>
      </c>
      <c r="L1220" s="5"/>
      <c r="M1220" s="5" t="s">
        <v>35</v>
      </c>
      <c r="N1220" t="s">
        <v>1824</v>
      </c>
      <c r="O1220" t="s">
        <v>4743</v>
      </c>
      <c r="S1220" t="s">
        <v>57</v>
      </c>
      <c r="T1220" s="5" t="s">
        <v>38</v>
      </c>
      <c r="Y1220" t="str">
        <f>VLOOKUP(C1220,'[1]DBS_KPY Sorumlular'!A:C,2,FALSE)</f>
        <v>Erkan AKDOĞAN</v>
      </c>
      <c r="Z1220" t="str">
        <f>VLOOKUP(C1220,'[1]DBS_KPY Sorumlular'!A:C,3,FALSE)</f>
        <v>Kadir TOPÇU</v>
      </c>
      <c r="AA1220" t="str">
        <f>VLOOKUP(K1220,[1]!Tablo3[#Data],2,FALSE)</f>
        <v>Erkan AKDOĞAN</v>
      </c>
    </row>
    <row r="1221" spans="1:27" x14ac:dyDescent="0.25">
      <c r="A1221">
        <v>2534</v>
      </c>
      <c r="B1221" t="s">
        <v>1419</v>
      </c>
      <c r="C1221" t="s">
        <v>304</v>
      </c>
      <c r="D1221" t="s">
        <v>305</v>
      </c>
      <c r="F1221" t="s">
        <v>486</v>
      </c>
      <c r="G1221" t="s">
        <v>67</v>
      </c>
      <c r="H1221" t="s">
        <v>4744</v>
      </c>
      <c r="I1221" s="4"/>
      <c r="J1221" t="s">
        <v>4745</v>
      </c>
      <c r="K1221" t="s">
        <v>636</v>
      </c>
      <c r="L1221" s="5"/>
      <c r="M1221" s="5" t="s">
        <v>35</v>
      </c>
      <c r="N1221" t="s">
        <v>1824</v>
      </c>
      <c r="O1221" t="s">
        <v>4746</v>
      </c>
      <c r="S1221" t="s">
        <v>57</v>
      </c>
      <c r="T1221" s="5" t="s">
        <v>38</v>
      </c>
      <c r="Y1221" t="str">
        <f>VLOOKUP(C1221,'[1]DBS_KPY Sorumlular'!A:C,2,FALSE)</f>
        <v>Erkan AKDOĞAN</v>
      </c>
      <c r="Z1221" t="str">
        <f>VLOOKUP(C1221,'[1]DBS_KPY Sorumlular'!A:C,3,FALSE)</f>
        <v>Kadir TOPÇU</v>
      </c>
      <c r="AA1221" t="str">
        <f>VLOOKUP(K1221,[1]!Tablo3[#Data],2,FALSE)</f>
        <v>Erkan AKDOĞAN</v>
      </c>
    </row>
    <row r="1222" spans="1:27" x14ac:dyDescent="0.25">
      <c r="A1222">
        <v>2535</v>
      </c>
      <c r="B1222" t="s">
        <v>1419</v>
      </c>
      <c r="C1222" t="s">
        <v>73</v>
      </c>
      <c r="D1222" t="s">
        <v>73</v>
      </c>
      <c r="F1222" t="s">
        <v>486</v>
      </c>
      <c r="G1222" t="s">
        <v>30</v>
      </c>
      <c r="H1222" t="s">
        <v>4747</v>
      </c>
      <c r="I1222" s="4"/>
      <c r="J1222" t="s">
        <v>4748</v>
      </c>
      <c r="K1222" t="s">
        <v>636</v>
      </c>
      <c r="L1222" s="5"/>
      <c r="M1222" s="5" t="s">
        <v>35</v>
      </c>
      <c r="N1222" t="s">
        <v>1824</v>
      </c>
      <c r="O1222" t="s">
        <v>4749</v>
      </c>
      <c r="S1222" t="s">
        <v>57</v>
      </c>
      <c r="T1222" s="5" t="s">
        <v>38</v>
      </c>
      <c r="Y1222" t="str">
        <f>VLOOKUP(C1222,'[1]DBS_KPY Sorumlular'!A:C,2,FALSE)</f>
        <v>Ayşegül AKGÜL</v>
      </c>
      <c r="Z1222" t="str">
        <f>VLOOKUP(C1222,'[1]DBS_KPY Sorumlular'!A:C,3,FALSE)</f>
        <v>Sinan ERDAŞ</v>
      </c>
      <c r="AA1222" t="str">
        <f>VLOOKUP(K1222,[1]!Tablo3[#Data],2,FALSE)</f>
        <v>Erkan AKDOĞAN</v>
      </c>
    </row>
    <row r="1223" spans="1:27" x14ac:dyDescent="0.25">
      <c r="A1223">
        <v>2536</v>
      </c>
      <c r="B1223" t="s">
        <v>1419</v>
      </c>
      <c r="C1223" t="s">
        <v>73</v>
      </c>
      <c r="D1223" t="s">
        <v>73</v>
      </c>
      <c r="F1223" t="s">
        <v>486</v>
      </c>
      <c r="G1223" t="s">
        <v>30</v>
      </c>
      <c r="H1223" t="s">
        <v>4750</v>
      </c>
      <c r="I1223" s="4"/>
      <c r="J1223" t="s">
        <v>4751</v>
      </c>
      <c r="K1223" t="s">
        <v>636</v>
      </c>
      <c r="L1223" s="5"/>
      <c r="M1223" s="5" t="s">
        <v>35</v>
      </c>
      <c r="N1223" t="s">
        <v>1824</v>
      </c>
      <c r="O1223" t="s">
        <v>4752</v>
      </c>
      <c r="S1223" t="s">
        <v>57</v>
      </c>
      <c r="T1223" s="5" t="s">
        <v>38</v>
      </c>
      <c r="Y1223" t="str">
        <f>VLOOKUP(C1223,'[1]DBS_KPY Sorumlular'!A:C,2,FALSE)</f>
        <v>Ayşegül AKGÜL</v>
      </c>
      <c r="Z1223" t="str">
        <f>VLOOKUP(C1223,'[1]DBS_KPY Sorumlular'!A:C,3,FALSE)</f>
        <v>Sinan ERDAŞ</v>
      </c>
      <c r="AA1223" t="str">
        <f>VLOOKUP(K1223,[1]!Tablo3[#Data],2,FALSE)</f>
        <v>Erkan AKDOĞAN</v>
      </c>
    </row>
    <row r="1224" spans="1:27" x14ac:dyDescent="0.25">
      <c r="A1224">
        <v>2537</v>
      </c>
      <c r="B1224" t="s">
        <v>1419</v>
      </c>
      <c r="C1224" t="s">
        <v>1674</v>
      </c>
      <c r="D1224" t="s">
        <v>1675</v>
      </c>
      <c r="F1224" t="s">
        <v>306</v>
      </c>
      <c r="G1224" t="s">
        <v>96</v>
      </c>
      <c r="H1224" t="s">
        <v>4753</v>
      </c>
      <c r="I1224" s="4"/>
      <c r="J1224" t="s">
        <v>4754</v>
      </c>
      <c r="K1224" t="s">
        <v>636</v>
      </c>
      <c r="L1224" s="5"/>
      <c r="M1224" s="5" t="s">
        <v>35</v>
      </c>
      <c r="N1224" t="s">
        <v>1824</v>
      </c>
      <c r="O1224" t="s">
        <v>4755</v>
      </c>
      <c r="S1224" t="s">
        <v>57</v>
      </c>
      <c r="T1224" s="5" t="s">
        <v>100</v>
      </c>
      <c r="W1224">
        <v>28</v>
      </c>
      <c r="X1224" t="s">
        <v>667</v>
      </c>
      <c r="Y1224" t="str">
        <f>VLOOKUP(C1224,'[1]DBS_KPY Sorumlular'!A:C,2,FALSE)</f>
        <v>Kadir TOPÇU</v>
      </c>
      <c r="Z1224" t="str">
        <f>VLOOKUP(C1224,'[1]DBS_KPY Sorumlular'!A:C,3,FALSE)</f>
        <v>Erkan AKDOĞAN</v>
      </c>
      <c r="AA1224" t="str">
        <f>VLOOKUP(K1224,[1]!Tablo3[#Data],2,FALSE)</f>
        <v>Erkan AKDOĞAN</v>
      </c>
    </row>
    <row r="1225" spans="1:27" x14ac:dyDescent="0.25">
      <c r="A1225">
        <v>2538</v>
      </c>
      <c r="B1225" t="s">
        <v>1419</v>
      </c>
      <c r="C1225" t="s">
        <v>1674</v>
      </c>
      <c r="D1225" t="s">
        <v>1717</v>
      </c>
      <c r="F1225" t="s">
        <v>1133</v>
      </c>
      <c r="G1225" t="s">
        <v>43</v>
      </c>
      <c r="H1225" t="s">
        <v>4756</v>
      </c>
      <c r="I1225" s="4"/>
      <c r="J1225" t="s">
        <v>4739</v>
      </c>
      <c r="K1225" t="s">
        <v>636</v>
      </c>
      <c r="L1225" s="5"/>
      <c r="M1225" s="5" t="s">
        <v>35</v>
      </c>
      <c r="N1225" t="s">
        <v>1824</v>
      </c>
      <c r="O1225" t="s">
        <v>4757</v>
      </c>
      <c r="S1225" t="s">
        <v>57</v>
      </c>
      <c r="T1225" s="5" t="s">
        <v>100</v>
      </c>
      <c r="W1225">
        <v>28</v>
      </c>
      <c r="X1225" t="s">
        <v>667</v>
      </c>
      <c r="Y1225" t="str">
        <f>VLOOKUP(C1225,'[1]DBS_KPY Sorumlular'!A:C,2,FALSE)</f>
        <v>Kadir TOPÇU</v>
      </c>
      <c r="Z1225" t="str">
        <f>VLOOKUP(C1225,'[1]DBS_KPY Sorumlular'!A:C,3,FALSE)</f>
        <v>Erkan AKDOĞAN</v>
      </c>
      <c r="AA1225" t="str">
        <f>VLOOKUP(K1225,[1]!Tablo3[#Data],2,FALSE)</f>
        <v>Erkan AKDOĞAN</v>
      </c>
    </row>
    <row r="1226" spans="1:27" x14ac:dyDescent="0.25">
      <c r="A1226">
        <v>2540</v>
      </c>
      <c r="B1226" t="s">
        <v>1419</v>
      </c>
      <c r="C1226" t="s">
        <v>1674</v>
      </c>
      <c r="D1226" t="s">
        <v>1675</v>
      </c>
      <c r="F1226" t="s">
        <v>66</v>
      </c>
      <c r="G1226" t="s">
        <v>67</v>
      </c>
      <c r="H1226" t="s">
        <v>4758</v>
      </c>
      <c r="I1226" s="4"/>
      <c r="J1226" t="s">
        <v>4759</v>
      </c>
      <c r="K1226" t="s">
        <v>636</v>
      </c>
      <c r="L1226" s="5"/>
      <c r="M1226" s="5" t="s">
        <v>4028</v>
      </c>
      <c r="N1226" t="s">
        <v>1824</v>
      </c>
      <c r="O1226" t="s">
        <v>4760</v>
      </c>
      <c r="S1226" t="s">
        <v>57</v>
      </c>
      <c r="T1226" s="5" t="s">
        <v>100</v>
      </c>
      <c r="W1226">
        <v>28</v>
      </c>
      <c r="X1226" t="s">
        <v>667</v>
      </c>
      <c r="Y1226" t="str">
        <f>VLOOKUP(C1226,'[1]DBS_KPY Sorumlular'!A:C,2,FALSE)</f>
        <v>Kadir TOPÇU</v>
      </c>
      <c r="Z1226" t="str">
        <f>VLOOKUP(C1226,'[1]DBS_KPY Sorumlular'!A:C,3,FALSE)</f>
        <v>Erkan AKDOĞAN</v>
      </c>
      <c r="AA1226" t="str">
        <f>VLOOKUP(K1226,[1]!Tablo3[#Data],2,FALSE)</f>
        <v>Erkan AKDOĞAN</v>
      </c>
    </row>
    <row r="1227" spans="1:27" x14ac:dyDescent="0.25">
      <c r="A1227">
        <v>2541</v>
      </c>
      <c r="B1227" t="s">
        <v>1419</v>
      </c>
      <c r="C1227" t="s">
        <v>1674</v>
      </c>
      <c r="D1227" t="s">
        <v>1675</v>
      </c>
      <c r="F1227" t="s">
        <v>66</v>
      </c>
      <c r="G1227" t="s">
        <v>67</v>
      </c>
      <c r="H1227" t="s">
        <v>4761</v>
      </c>
      <c r="I1227" s="4"/>
      <c r="J1227" t="s">
        <v>4762</v>
      </c>
      <c r="K1227" t="s">
        <v>636</v>
      </c>
      <c r="L1227" s="5"/>
      <c r="M1227" s="5" t="s">
        <v>4028</v>
      </c>
      <c r="N1227" t="s">
        <v>1824</v>
      </c>
      <c r="O1227" t="s">
        <v>4763</v>
      </c>
      <c r="S1227" t="s">
        <v>57</v>
      </c>
      <c r="T1227" s="5" t="s">
        <v>100</v>
      </c>
      <c r="W1227">
        <v>28</v>
      </c>
      <c r="X1227" t="s">
        <v>667</v>
      </c>
      <c r="Y1227" t="str">
        <f>VLOOKUP(C1227,'[1]DBS_KPY Sorumlular'!A:C,2,FALSE)</f>
        <v>Kadir TOPÇU</v>
      </c>
      <c r="Z1227" t="str">
        <f>VLOOKUP(C1227,'[1]DBS_KPY Sorumlular'!A:C,3,FALSE)</f>
        <v>Erkan AKDOĞAN</v>
      </c>
      <c r="AA1227" t="str">
        <f>VLOOKUP(K1227,[1]!Tablo3[#Data],2,FALSE)</f>
        <v>Erkan AKDOĞAN</v>
      </c>
    </row>
    <row r="1228" spans="1:27" x14ac:dyDescent="0.25">
      <c r="A1228">
        <v>2542</v>
      </c>
      <c r="B1228" t="s">
        <v>1419</v>
      </c>
      <c r="C1228" t="s">
        <v>1674</v>
      </c>
      <c r="D1228" t="s">
        <v>1675</v>
      </c>
      <c r="F1228" t="s">
        <v>537</v>
      </c>
      <c r="G1228" t="s">
        <v>96</v>
      </c>
      <c r="H1228" t="s">
        <v>4764</v>
      </c>
      <c r="I1228" s="4"/>
      <c r="J1228" t="s">
        <v>4765</v>
      </c>
      <c r="K1228" t="s">
        <v>636</v>
      </c>
      <c r="L1228" s="5"/>
      <c r="M1228" s="5" t="s">
        <v>4028</v>
      </c>
      <c r="N1228" t="s">
        <v>1824</v>
      </c>
      <c r="O1228" t="s">
        <v>4766</v>
      </c>
      <c r="S1228" t="s">
        <v>57</v>
      </c>
      <c r="T1228" s="5" t="s">
        <v>100</v>
      </c>
      <c r="W1228">
        <v>28</v>
      </c>
      <c r="X1228" t="s">
        <v>667</v>
      </c>
      <c r="Y1228" t="str">
        <f>VLOOKUP(C1228,'[1]DBS_KPY Sorumlular'!A:C,2,FALSE)</f>
        <v>Kadir TOPÇU</v>
      </c>
      <c r="Z1228" t="str">
        <f>VLOOKUP(C1228,'[1]DBS_KPY Sorumlular'!A:C,3,FALSE)</f>
        <v>Erkan AKDOĞAN</v>
      </c>
      <c r="AA1228" t="str">
        <f>VLOOKUP(K1228,[1]!Tablo3[#Data],2,FALSE)</f>
        <v>Erkan AKDOĞAN</v>
      </c>
    </row>
    <row r="1229" spans="1:27" x14ac:dyDescent="0.25">
      <c r="A1229">
        <v>2543</v>
      </c>
      <c r="B1229" t="s">
        <v>1419</v>
      </c>
      <c r="C1229" t="s">
        <v>1723</v>
      </c>
      <c r="D1229" t="s">
        <v>1724</v>
      </c>
      <c r="F1229" t="s">
        <v>486</v>
      </c>
      <c r="G1229" t="s">
        <v>67</v>
      </c>
      <c r="H1229" t="s">
        <v>4767</v>
      </c>
      <c r="I1229" s="4"/>
      <c r="J1229" t="s">
        <v>4768</v>
      </c>
      <c r="K1229" t="s">
        <v>678</v>
      </c>
      <c r="L1229" s="5" t="s">
        <v>4769</v>
      </c>
      <c r="M1229" s="5" t="s">
        <v>4770</v>
      </c>
      <c r="N1229" t="s">
        <v>1824</v>
      </c>
      <c r="O1229" t="s">
        <v>4771</v>
      </c>
      <c r="S1229" t="s">
        <v>230</v>
      </c>
      <c r="T1229" s="5" t="s">
        <v>38</v>
      </c>
      <c r="Y1229" t="str">
        <f>VLOOKUP(C1229,'[1]DBS_KPY Sorumlular'!A:C,2,FALSE)</f>
        <v>Erkan AKDOĞAN</v>
      </c>
      <c r="Z1229" t="str">
        <f>VLOOKUP(C1229,'[1]DBS_KPY Sorumlular'!A:C,3,FALSE)</f>
        <v>Kadir TOPÇU</v>
      </c>
      <c r="AA1229" t="str">
        <f>VLOOKUP(K1229,[1]!Tablo3[#Data],2,FALSE)</f>
        <v>Kadir TOPÇU</v>
      </c>
    </row>
    <row r="1230" spans="1:27" x14ac:dyDescent="0.25">
      <c r="A1230">
        <v>2544</v>
      </c>
      <c r="B1230" t="s">
        <v>1419</v>
      </c>
      <c r="C1230" t="s">
        <v>402</v>
      </c>
      <c r="D1230" t="s">
        <v>403</v>
      </c>
      <c r="F1230" t="s">
        <v>1572</v>
      </c>
      <c r="G1230" t="s">
        <v>384</v>
      </c>
      <c r="H1230" t="s">
        <v>4772</v>
      </c>
      <c r="I1230" s="4"/>
      <c r="J1230" t="s">
        <v>4773</v>
      </c>
      <c r="K1230" t="s">
        <v>678</v>
      </c>
      <c r="L1230" s="5" t="s">
        <v>4774</v>
      </c>
      <c r="M1230" s="5" t="s">
        <v>35</v>
      </c>
      <c r="N1230" t="s">
        <v>739</v>
      </c>
      <c r="O1230" t="s">
        <v>4775</v>
      </c>
      <c r="S1230" t="s">
        <v>230</v>
      </c>
      <c r="T1230" s="5" t="s">
        <v>100</v>
      </c>
      <c r="W1230">
        <v>134</v>
      </c>
      <c r="X1230" t="s">
        <v>1577</v>
      </c>
      <c r="Y1230" t="str">
        <f>VLOOKUP(C1230,'[1]DBS_KPY Sorumlular'!A:C,2,FALSE)</f>
        <v>Tayfun VİÇE</v>
      </c>
      <c r="Z1230" t="str">
        <f>VLOOKUP(C1230,'[1]DBS_KPY Sorumlular'!A:C,3,FALSE)</f>
        <v>Mehmet Ali YAVUZ</v>
      </c>
      <c r="AA1230" t="str">
        <f>VLOOKUP(K1230,[1]!Tablo3[#Data],2,FALSE)</f>
        <v>Kadir TOPÇU</v>
      </c>
    </row>
    <row r="1231" spans="1:27" x14ac:dyDescent="0.25">
      <c r="A1231">
        <v>2545</v>
      </c>
      <c r="B1231" t="s">
        <v>1419</v>
      </c>
      <c r="C1231" t="s">
        <v>4284</v>
      </c>
      <c r="D1231" t="s">
        <v>4285</v>
      </c>
      <c r="F1231" t="s">
        <v>486</v>
      </c>
      <c r="G1231" t="s">
        <v>291</v>
      </c>
      <c r="H1231" t="s">
        <v>4776</v>
      </c>
      <c r="I1231" s="4">
        <v>46386.875</v>
      </c>
      <c r="J1231" t="s">
        <v>4777</v>
      </c>
      <c r="K1231" t="s">
        <v>678</v>
      </c>
      <c r="L1231" s="5" t="s">
        <v>4778</v>
      </c>
      <c r="M1231" s="5" t="s">
        <v>35</v>
      </c>
      <c r="N1231" t="s">
        <v>1824</v>
      </c>
      <c r="O1231" t="s">
        <v>4779</v>
      </c>
      <c r="S1231" t="s">
        <v>230</v>
      </c>
      <c r="T1231" s="5" t="s">
        <v>38</v>
      </c>
      <c r="W1231">
        <v>94</v>
      </c>
      <c r="X1231" t="s">
        <v>1707</v>
      </c>
      <c r="Y1231" t="str">
        <f>VLOOKUP(C1231,'[1]DBS_KPY Sorumlular'!A:C,2,FALSE)</f>
        <v>Korhan KÖROĞLU</v>
      </c>
      <c r="Z1231" t="str">
        <f>VLOOKUP(C1231,'[1]DBS_KPY Sorumlular'!A:C,3,FALSE)</f>
        <v>Seyithan İŞİK</v>
      </c>
      <c r="AA1231" t="str">
        <f>VLOOKUP(K1231,[1]!Tablo3[#Data],2,FALSE)</f>
        <v>Kadir TOPÇU</v>
      </c>
    </row>
    <row r="1232" spans="1:27" x14ac:dyDescent="0.25">
      <c r="A1232">
        <v>2546</v>
      </c>
      <c r="B1232" t="s">
        <v>1419</v>
      </c>
      <c r="C1232" t="s">
        <v>4284</v>
      </c>
      <c r="D1232" t="s">
        <v>4285</v>
      </c>
      <c r="F1232" t="s">
        <v>486</v>
      </c>
      <c r="G1232" t="s">
        <v>291</v>
      </c>
      <c r="H1232" t="s">
        <v>4780</v>
      </c>
      <c r="I1232" s="4">
        <v>46202.875</v>
      </c>
      <c r="J1232" t="s">
        <v>4781</v>
      </c>
      <c r="K1232" t="s">
        <v>678</v>
      </c>
      <c r="L1232" s="5" t="s">
        <v>4782</v>
      </c>
      <c r="M1232" s="5" t="s">
        <v>35</v>
      </c>
      <c r="N1232" t="s">
        <v>1824</v>
      </c>
      <c r="O1232" t="s">
        <v>4783</v>
      </c>
      <c r="S1232" t="s">
        <v>230</v>
      </c>
      <c r="T1232" s="5" t="s">
        <v>38</v>
      </c>
      <c r="W1232">
        <v>91</v>
      </c>
      <c r="X1232" t="s">
        <v>101</v>
      </c>
      <c r="Y1232" t="str">
        <f>VLOOKUP(C1232,'[1]DBS_KPY Sorumlular'!A:C,2,FALSE)</f>
        <v>Korhan KÖROĞLU</v>
      </c>
      <c r="Z1232" t="str">
        <f>VLOOKUP(C1232,'[1]DBS_KPY Sorumlular'!A:C,3,FALSE)</f>
        <v>Seyithan İŞİK</v>
      </c>
      <c r="AA1232" t="str">
        <f>VLOOKUP(K1232,[1]!Tablo3[#Data],2,FALSE)</f>
        <v>Kadir TOPÇU</v>
      </c>
    </row>
    <row r="1233" spans="1:27" x14ac:dyDescent="0.25">
      <c r="A1233">
        <v>2547</v>
      </c>
      <c r="B1233" t="s">
        <v>1419</v>
      </c>
      <c r="C1233" t="s">
        <v>652</v>
      </c>
      <c r="D1233" t="s">
        <v>653</v>
      </c>
      <c r="F1233" t="s">
        <v>455</v>
      </c>
      <c r="G1233" t="s">
        <v>456</v>
      </c>
      <c r="H1233" t="s">
        <v>4784</v>
      </c>
      <c r="I1233" s="4"/>
      <c r="J1233" t="s">
        <v>4785</v>
      </c>
      <c r="K1233" t="s">
        <v>678</v>
      </c>
      <c r="L1233" s="5"/>
      <c r="M1233" s="5" t="s">
        <v>35</v>
      </c>
      <c r="N1233" t="s">
        <v>1824</v>
      </c>
      <c r="O1233" t="s">
        <v>4786</v>
      </c>
      <c r="S1233" t="s">
        <v>230</v>
      </c>
      <c r="T1233" s="5" t="s">
        <v>100</v>
      </c>
      <c r="W1233">
        <v>144</v>
      </c>
      <c r="X1233" t="s">
        <v>463</v>
      </c>
      <c r="Y1233" t="str">
        <f>VLOOKUP(C1233,'[1]DBS_KPY Sorumlular'!A:C,2,FALSE)</f>
        <v>Seyithan İŞİK</v>
      </c>
      <c r="Z1233" t="str">
        <f>VLOOKUP(C1233,'[1]DBS_KPY Sorumlular'!A:C,3,FALSE)</f>
        <v>Korhan KÖROĞLU</v>
      </c>
      <c r="AA1233" t="str">
        <f>VLOOKUP(K1233,[1]!Tablo3[#Data],2,FALSE)</f>
        <v>Kadir TOPÇU</v>
      </c>
    </row>
    <row r="1234" spans="1:27" x14ac:dyDescent="0.25">
      <c r="A1234">
        <v>2548</v>
      </c>
      <c r="B1234" t="s">
        <v>1419</v>
      </c>
      <c r="C1234" t="s">
        <v>652</v>
      </c>
      <c r="D1234" t="s">
        <v>653</v>
      </c>
      <c r="F1234" t="s">
        <v>455</v>
      </c>
      <c r="G1234" t="s">
        <v>456</v>
      </c>
      <c r="H1234" t="s">
        <v>4787</v>
      </c>
      <c r="I1234" s="4"/>
      <c r="J1234" t="s">
        <v>4788</v>
      </c>
      <c r="K1234" t="s">
        <v>678</v>
      </c>
      <c r="L1234" s="5"/>
      <c r="M1234" s="5" t="s">
        <v>35</v>
      </c>
      <c r="N1234" t="s">
        <v>1824</v>
      </c>
      <c r="O1234" t="s">
        <v>4789</v>
      </c>
      <c r="S1234" t="s">
        <v>230</v>
      </c>
      <c r="T1234" s="5" t="s">
        <v>100</v>
      </c>
      <c r="W1234">
        <v>144</v>
      </c>
      <c r="X1234" t="s">
        <v>463</v>
      </c>
      <c r="Y1234" t="str">
        <f>VLOOKUP(C1234,'[1]DBS_KPY Sorumlular'!A:C,2,FALSE)</f>
        <v>Seyithan İŞİK</v>
      </c>
      <c r="Z1234" t="str">
        <f>VLOOKUP(C1234,'[1]DBS_KPY Sorumlular'!A:C,3,FALSE)</f>
        <v>Korhan KÖROĞLU</v>
      </c>
      <c r="AA1234" t="str">
        <f>VLOOKUP(K1234,[1]!Tablo3[#Data],2,FALSE)</f>
        <v>Kadir TOPÇU</v>
      </c>
    </row>
    <row r="1235" spans="1:27" x14ac:dyDescent="0.25">
      <c r="A1235">
        <v>2549</v>
      </c>
      <c r="B1235" t="s">
        <v>1419</v>
      </c>
      <c r="C1235" t="s">
        <v>1723</v>
      </c>
      <c r="D1235" t="s">
        <v>1751</v>
      </c>
      <c r="F1235" t="s">
        <v>184</v>
      </c>
      <c r="G1235" t="s">
        <v>43</v>
      </c>
      <c r="H1235" t="s">
        <v>4790</v>
      </c>
      <c r="I1235" s="4"/>
      <c r="J1235" t="s">
        <v>4791</v>
      </c>
      <c r="K1235" t="s">
        <v>678</v>
      </c>
      <c r="L1235" s="5" t="s">
        <v>4792</v>
      </c>
      <c r="M1235" s="5" t="s">
        <v>35</v>
      </c>
      <c r="N1235" t="s">
        <v>1824</v>
      </c>
      <c r="O1235" t="s">
        <v>4793</v>
      </c>
      <c r="S1235" t="s">
        <v>230</v>
      </c>
      <c r="T1235" s="5" t="s">
        <v>38</v>
      </c>
      <c r="Y1235" t="str">
        <f>VLOOKUP(C1235,'[1]DBS_KPY Sorumlular'!A:C,2,FALSE)</f>
        <v>Erkan AKDOĞAN</v>
      </c>
      <c r="Z1235" t="str">
        <f>VLOOKUP(C1235,'[1]DBS_KPY Sorumlular'!A:C,3,FALSE)</f>
        <v>Kadir TOPÇU</v>
      </c>
      <c r="AA1235" t="str">
        <f>VLOOKUP(K1235,[1]!Tablo3[#Data],2,FALSE)</f>
        <v>Kadir TOPÇU</v>
      </c>
    </row>
    <row r="1236" spans="1:27" x14ac:dyDescent="0.25">
      <c r="A1236">
        <v>2550</v>
      </c>
      <c r="B1236" t="s">
        <v>1419</v>
      </c>
      <c r="C1236" t="s">
        <v>1723</v>
      </c>
      <c r="D1236" t="s">
        <v>1724</v>
      </c>
      <c r="F1236" t="s">
        <v>184</v>
      </c>
      <c r="G1236" t="s">
        <v>43</v>
      </c>
      <c r="H1236" t="s">
        <v>4794</v>
      </c>
      <c r="I1236" s="4"/>
      <c r="J1236" t="s">
        <v>4795</v>
      </c>
      <c r="K1236" t="s">
        <v>678</v>
      </c>
      <c r="L1236" s="5" t="s">
        <v>4796</v>
      </c>
      <c r="M1236" s="5" t="s">
        <v>35</v>
      </c>
      <c r="N1236" t="s">
        <v>1824</v>
      </c>
      <c r="O1236" t="s">
        <v>4797</v>
      </c>
      <c r="S1236" t="s">
        <v>230</v>
      </c>
      <c r="T1236" s="5" t="s">
        <v>38</v>
      </c>
      <c r="Y1236" t="str">
        <f>VLOOKUP(C1236,'[1]DBS_KPY Sorumlular'!A:C,2,FALSE)</f>
        <v>Erkan AKDOĞAN</v>
      </c>
      <c r="Z1236" t="str">
        <f>VLOOKUP(C1236,'[1]DBS_KPY Sorumlular'!A:C,3,FALSE)</f>
        <v>Kadir TOPÇU</v>
      </c>
      <c r="AA1236" t="str">
        <f>VLOOKUP(K1236,[1]!Tablo3[#Data],2,FALSE)</f>
        <v>Kadir TOPÇU</v>
      </c>
    </row>
    <row r="1237" spans="1:27" x14ac:dyDescent="0.25">
      <c r="A1237">
        <v>2551</v>
      </c>
      <c r="B1237" t="s">
        <v>1419</v>
      </c>
      <c r="C1237" t="s">
        <v>1674</v>
      </c>
      <c r="D1237" t="s">
        <v>1675</v>
      </c>
      <c r="F1237" t="s">
        <v>486</v>
      </c>
      <c r="G1237" t="s">
        <v>67</v>
      </c>
      <c r="H1237" t="s">
        <v>4798</v>
      </c>
      <c r="I1237" s="4"/>
      <c r="J1237" t="s">
        <v>4799</v>
      </c>
      <c r="K1237" t="s">
        <v>678</v>
      </c>
      <c r="L1237" s="5"/>
      <c r="M1237" s="5" t="s">
        <v>35</v>
      </c>
      <c r="N1237" t="s">
        <v>35</v>
      </c>
      <c r="O1237" t="s">
        <v>4800</v>
      </c>
      <c r="S1237" t="s">
        <v>230</v>
      </c>
      <c r="T1237" s="5" t="s">
        <v>48</v>
      </c>
      <c r="U1237" t="s">
        <v>4801</v>
      </c>
      <c r="V1237" t="s">
        <v>4798</v>
      </c>
      <c r="W1237">
        <v>203</v>
      </c>
      <c r="X1237" t="s">
        <v>72</v>
      </c>
      <c r="Y1237" t="str">
        <f>VLOOKUP(C1237,'[1]DBS_KPY Sorumlular'!A:C,2,FALSE)</f>
        <v>Kadir TOPÇU</v>
      </c>
      <c r="Z1237" t="str">
        <f>VLOOKUP(C1237,'[1]DBS_KPY Sorumlular'!A:C,3,FALSE)</f>
        <v>Erkan AKDOĞAN</v>
      </c>
      <c r="AA1237" t="str">
        <f>VLOOKUP(K1237,[1]!Tablo3[#Data],2,FALSE)</f>
        <v>Kadir TOPÇU</v>
      </c>
    </row>
    <row r="1238" spans="1:27" x14ac:dyDescent="0.25">
      <c r="A1238">
        <v>2552</v>
      </c>
      <c r="B1238" t="s">
        <v>1419</v>
      </c>
      <c r="C1238" t="s">
        <v>1674</v>
      </c>
      <c r="D1238" t="s">
        <v>1717</v>
      </c>
      <c r="F1238" t="s">
        <v>42</v>
      </c>
      <c r="G1238" t="s">
        <v>43</v>
      </c>
      <c r="H1238" t="s">
        <v>4802</v>
      </c>
      <c r="I1238" s="4"/>
      <c r="K1238" t="s">
        <v>678</v>
      </c>
      <c r="L1238" s="5"/>
      <c r="M1238" s="5" t="s">
        <v>35</v>
      </c>
      <c r="N1238" t="s">
        <v>35</v>
      </c>
      <c r="O1238" t="s">
        <v>4803</v>
      </c>
      <c r="S1238" t="s">
        <v>230</v>
      </c>
      <c r="T1238" s="5" t="s">
        <v>48</v>
      </c>
      <c r="U1238" t="s">
        <v>4804</v>
      </c>
      <c r="V1238" t="s">
        <v>4805</v>
      </c>
      <c r="W1238">
        <v>38</v>
      </c>
      <c r="X1238" t="s">
        <v>165</v>
      </c>
      <c r="Y1238" t="str">
        <f>VLOOKUP(C1238,'[1]DBS_KPY Sorumlular'!A:C,2,FALSE)</f>
        <v>Kadir TOPÇU</v>
      </c>
      <c r="Z1238" t="str">
        <f>VLOOKUP(C1238,'[1]DBS_KPY Sorumlular'!A:C,3,FALSE)</f>
        <v>Erkan AKDOĞAN</v>
      </c>
      <c r="AA1238" t="str">
        <f>VLOOKUP(K1238,[1]!Tablo3[#Data],2,FALSE)</f>
        <v>Kadir TOPÇU</v>
      </c>
    </row>
    <row r="1239" spans="1:27" x14ac:dyDescent="0.25">
      <c r="A1239">
        <v>2553</v>
      </c>
      <c r="B1239" t="s">
        <v>1419</v>
      </c>
      <c r="C1239" t="s">
        <v>1674</v>
      </c>
      <c r="D1239" t="s">
        <v>1717</v>
      </c>
      <c r="F1239" t="s">
        <v>882</v>
      </c>
      <c r="G1239" t="s">
        <v>43</v>
      </c>
      <c r="H1239" t="s">
        <v>4806</v>
      </c>
      <c r="I1239" s="4"/>
      <c r="K1239" t="s">
        <v>678</v>
      </c>
      <c r="L1239" s="5"/>
      <c r="M1239" s="5" t="s">
        <v>35</v>
      </c>
      <c r="N1239" t="s">
        <v>1824</v>
      </c>
      <c r="O1239" t="s">
        <v>4807</v>
      </c>
      <c r="S1239" t="s">
        <v>230</v>
      </c>
      <c r="T1239" s="5" t="s">
        <v>100</v>
      </c>
      <c r="W1239">
        <v>114</v>
      </c>
      <c r="X1239" t="s">
        <v>136</v>
      </c>
      <c r="Y1239" t="str">
        <f>VLOOKUP(C1239,'[1]DBS_KPY Sorumlular'!A:C,2,FALSE)</f>
        <v>Kadir TOPÇU</v>
      </c>
      <c r="Z1239" t="str">
        <f>VLOOKUP(C1239,'[1]DBS_KPY Sorumlular'!A:C,3,FALSE)</f>
        <v>Erkan AKDOĞAN</v>
      </c>
      <c r="AA1239" t="str">
        <f>VLOOKUP(K1239,[1]!Tablo3[#Data],2,FALSE)</f>
        <v>Kadir TOPÇU</v>
      </c>
    </row>
    <row r="1240" spans="1:27" x14ac:dyDescent="0.25">
      <c r="A1240">
        <v>2554</v>
      </c>
      <c r="B1240" t="s">
        <v>1419</v>
      </c>
      <c r="C1240" t="s">
        <v>1674</v>
      </c>
      <c r="D1240" t="s">
        <v>1717</v>
      </c>
      <c r="F1240" t="s">
        <v>102</v>
      </c>
      <c r="G1240" t="s">
        <v>43</v>
      </c>
      <c r="H1240" t="s">
        <v>4808</v>
      </c>
      <c r="I1240" s="4"/>
      <c r="K1240" t="s">
        <v>678</v>
      </c>
      <c r="L1240" s="5"/>
      <c r="M1240" s="5" t="s">
        <v>35</v>
      </c>
      <c r="N1240" t="s">
        <v>1824</v>
      </c>
      <c r="O1240" t="s">
        <v>4807</v>
      </c>
      <c r="S1240" t="s">
        <v>230</v>
      </c>
      <c r="T1240" s="5" t="s">
        <v>100</v>
      </c>
      <c r="W1240">
        <v>30</v>
      </c>
      <c r="X1240" t="s">
        <v>327</v>
      </c>
      <c r="Y1240" t="str">
        <f>VLOOKUP(C1240,'[1]DBS_KPY Sorumlular'!A:C,2,FALSE)</f>
        <v>Kadir TOPÇU</v>
      </c>
      <c r="Z1240" t="str">
        <f>VLOOKUP(C1240,'[1]DBS_KPY Sorumlular'!A:C,3,FALSE)</f>
        <v>Erkan AKDOĞAN</v>
      </c>
      <c r="AA1240" t="str">
        <f>VLOOKUP(K1240,[1]!Tablo3[#Data],2,FALSE)</f>
        <v>Kadir TOPÇU</v>
      </c>
    </row>
    <row r="1241" spans="1:27" x14ac:dyDescent="0.25">
      <c r="A1241">
        <v>2555</v>
      </c>
      <c r="B1241" t="s">
        <v>1419</v>
      </c>
      <c r="C1241" t="s">
        <v>1674</v>
      </c>
      <c r="D1241" t="s">
        <v>1717</v>
      </c>
      <c r="F1241" t="s">
        <v>1771</v>
      </c>
      <c r="G1241" t="s">
        <v>43</v>
      </c>
      <c r="H1241" t="s">
        <v>4809</v>
      </c>
      <c r="I1241" s="4"/>
      <c r="J1241" t="s">
        <v>4810</v>
      </c>
      <c r="K1241" t="s">
        <v>678</v>
      </c>
      <c r="L1241" s="5"/>
      <c r="M1241" s="5" t="s">
        <v>35</v>
      </c>
      <c r="N1241" t="s">
        <v>1824</v>
      </c>
      <c r="O1241" t="s">
        <v>4811</v>
      </c>
      <c r="S1241" t="s">
        <v>230</v>
      </c>
      <c r="T1241" s="5" t="s">
        <v>100</v>
      </c>
      <c r="W1241">
        <v>62</v>
      </c>
      <c r="X1241" t="s">
        <v>680</v>
      </c>
      <c r="Y1241" t="str">
        <f>VLOOKUP(C1241,'[1]DBS_KPY Sorumlular'!A:C,2,FALSE)</f>
        <v>Kadir TOPÇU</v>
      </c>
      <c r="Z1241" t="str">
        <f>VLOOKUP(C1241,'[1]DBS_KPY Sorumlular'!A:C,3,FALSE)</f>
        <v>Erkan AKDOĞAN</v>
      </c>
      <c r="AA1241" t="str">
        <f>VLOOKUP(K1241,[1]!Tablo3[#Data],2,FALSE)</f>
        <v>Kadir TOPÇU</v>
      </c>
    </row>
    <row r="1242" spans="1:27" x14ac:dyDescent="0.25">
      <c r="A1242">
        <v>2556</v>
      </c>
      <c r="B1242" t="s">
        <v>1419</v>
      </c>
      <c r="C1242" t="s">
        <v>1674</v>
      </c>
      <c r="D1242" t="s">
        <v>1717</v>
      </c>
      <c r="F1242" t="s">
        <v>102</v>
      </c>
      <c r="G1242" t="s">
        <v>43</v>
      </c>
      <c r="H1242" t="s">
        <v>4812</v>
      </c>
      <c r="I1242" s="4"/>
      <c r="J1242" t="s">
        <v>4813</v>
      </c>
      <c r="K1242" t="s">
        <v>678</v>
      </c>
      <c r="L1242" s="5" t="s">
        <v>4814</v>
      </c>
      <c r="M1242" s="5" t="s">
        <v>4028</v>
      </c>
      <c r="N1242" t="s">
        <v>739</v>
      </c>
      <c r="O1242" t="s">
        <v>4815</v>
      </c>
      <c r="S1242" t="s">
        <v>230</v>
      </c>
      <c r="T1242" s="5" t="s">
        <v>100</v>
      </c>
      <c r="W1242">
        <v>108</v>
      </c>
      <c r="X1242" t="s">
        <v>107</v>
      </c>
      <c r="Y1242" t="str">
        <f>VLOOKUP(C1242,'[1]DBS_KPY Sorumlular'!A:C,2,FALSE)</f>
        <v>Kadir TOPÇU</v>
      </c>
      <c r="Z1242" t="str">
        <f>VLOOKUP(C1242,'[1]DBS_KPY Sorumlular'!A:C,3,FALSE)</f>
        <v>Erkan AKDOĞAN</v>
      </c>
      <c r="AA1242" t="str">
        <f>VLOOKUP(K1242,[1]!Tablo3[#Data],2,FALSE)</f>
        <v>Kadir TOPÇU</v>
      </c>
    </row>
    <row r="1243" spans="1:27" x14ac:dyDescent="0.25">
      <c r="A1243">
        <v>2557</v>
      </c>
      <c r="B1243" t="s">
        <v>1419</v>
      </c>
      <c r="C1243" t="s">
        <v>1674</v>
      </c>
      <c r="D1243" t="s">
        <v>1717</v>
      </c>
      <c r="F1243" t="s">
        <v>102</v>
      </c>
      <c r="G1243" t="s">
        <v>43</v>
      </c>
      <c r="H1243" t="s">
        <v>4816</v>
      </c>
      <c r="I1243" s="4"/>
      <c r="J1243" t="s">
        <v>4817</v>
      </c>
      <c r="K1243" t="s">
        <v>678</v>
      </c>
      <c r="L1243" s="5" t="s">
        <v>3542</v>
      </c>
      <c r="M1243" s="5" t="s">
        <v>4028</v>
      </c>
      <c r="N1243" t="s">
        <v>739</v>
      </c>
      <c r="O1243" t="s">
        <v>4818</v>
      </c>
      <c r="S1243" t="s">
        <v>230</v>
      </c>
      <c r="T1243" s="5" t="s">
        <v>100</v>
      </c>
      <c r="W1243">
        <v>134</v>
      </c>
      <c r="X1243" t="s">
        <v>1577</v>
      </c>
      <c r="Y1243" t="str">
        <f>VLOOKUP(C1243,'[1]DBS_KPY Sorumlular'!A:C,2,FALSE)</f>
        <v>Kadir TOPÇU</v>
      </c>
      <c r="Z1243" t="str">
        <f>VLOOKUP(C1243,'[1]DBS_KPY Sorumlular'!A:C,3,FALSE)</f>
        <v>Erkan AKDOĞAN</v>
      </c>
      <c r="AA1243" t="str">
        <f>VLOOKUP(K1243,[1]!Tablo3[#Data],2,FALSE)</f>
        <v>Kadir TOPÇU</v>
      </c>
    </row>
    <row r="1244" spans="1:27" x14ac:dyDescent="0.25">
      <c r="A1244">
        <v>2558</v>
      </c>
      <c r="B1244" t="s">
        <v>1419</v>
      </c>
      <c r="C1244" t="s">
        <v>1674</v>
      </c>
      <c r="D1244" t="s">
        <v>1717</v>
      </c>
      <c r="F1244" t="s">
        <v>391</v>
      </c>
      <c r="G1244" t="s">
        <v>43</v>
      </c>
      <c r="H1244" t="s">
        <v>4819</v>
      </c>
      <c r="I1244" s="4"/>
      <c r="J1244" t="s">
        <v>4820</v>
      </c>
      <c r="K1244" t="s">
        <v>678</v>
      </c>
      <c r="L1244" s="5" t="s">
        <v>3542</v>
      </c>
      <c r="M1244" s="5" t="s">
        <v>4028</v>
      </c>
      <c r="N1244" t="s">
        <v>739</v>
      </c>
      <c r="O1244" t="s">
        <v>4821</v>
      </c>
      <c r="S1244" t="s">
        <v>230</v>
      </c>
      <c r="T1244" s="5" t="s">
        <v>100</v>
      </c>
      <c r="W1244">
        <v>222</v>
      </c>
      <c r="X1244" t="s">
        <v>4644</v>
      </c>
      <c r="Y1244" t="str">
        <f>VLOOKUP(C1244,'[1]DBS_KPY Sorumlular'!A:C,2,FALSE)</f>
        <v>Kadir TOPÇU</v>
      </c>
      <c r="Z1244" t="str">
        <f>VLOOKUP(C1244,'[1]DBS_KPY Sorumlular'!A:C,3,FALSE)</f>
        <v>Erkan AKDOĞAN</v>
      </c>
      <c r="AA1244" t="str">
        <f>VLOOKUP(K1244,[1]!Tablo3[#Data],2,FALSE)</f>
        <v>Kadir TOPÇU</v>
      </c>
    </row>
    <row r="1245" spans="1:27" x14ac:dyDescent="0.25">
      <c r="A1245">
        <v>2559</v>
      </c>
      <c r="B1245" t="s">
        <v>1419</v>
      </c>
      <c r="C1245" t="s">
        <v>1674</v>
      </c>
      <c r="D1245" t="s">
        <v>1717</v>
      </c>
      <c r="F1245" t="s">
        <v>95</v>
      </c>
      <c r="G1245" t="s">
        <v>96</v>
      </c>
      <c r="H1245" t="s">
        <v>4822</v>
      </c>
      <c r="I1245" s="4"/>
      <c r="J1245" t="s">
        <v>4823</v>
      </c>
      <c r="K1245" t="s">
        <v>678</v>
      </c>
      <c r="L1245" s="5" t="s">
        <v>3542</v>
      </c>
      <c r="M1245" s="5" t="s">
        <v>4028</v>
      </c>
      <c r="N1245" t="s">
        <v>739</v>
      </c>
      <c r="O1245" t="s">
        <v>4824</v>
      </c>
      <c r="S1245" t="s">
        <v>230</v>
      </c>
      <c r="T1245" s="5" t="s">
        <v>100</v>
      </c>
      <c r="W1245">
        <v>91</v>
      </c>
      <c r="X1245" t="s">
        <v>101</v>
      </c>
      <c r="Y1245" t="str">
        <f>VLOOKUP(C1245,'[1]DBS_KPY Sorumlular'!A:C,2,FALSE)</f>
        <v>Kadir TOPÇU</v>
      </c>
      <c r="Z1245" t="str">
        <f>VLOOKUP(C1245,'[1]DBS_KPY Sorumlular'!A:C,3,FALSE)</f>
        <v>Erkan AKDOĞAN</v>
      </c>
      <c r="AA1245" t="str">
        <f>VLOOKUP(K1245,[1]!Tablo3[#Data],2,FALSE)</f>
        <v>Kadir TOPÇU</v>
      </c>
    </row>
    <row r="1246" spans="1:27" x14ac:dyDescent="0.25">
      <c r="A1246">
        <v>2560</v>
      </c>
      <c r="B1246" t="s">
        <v>1419</v>
      </c>
      <c r="C1246" t="s">
        <v>1674</v>
      </c>
      <c r="D1246" t="s">
        <v>1717</v>
      </c>
      <c r="F1246" t="s">
        <v>102</v>
      </c>
      <c r="G1246" t="s">
        <v>43</v>
      </c>
      <c r="H1246" t="s">
        <v>4825</v>
      </c>
      <c r="I1246" s="4"/>
      <c r="J1246" t="s">
        <v>4826</v>
      </c>
      <c r="K1246" t="s">
        <v>678</v>
      </c>
      <c r="L1246" s="5" t="s">
        <v>3542</v>
      </c>
      <c r="M1246" s="5" t="s">
        <v>4028</v>
      </c>
      <c r="N1246" t="s">
        <v>739</v>
      </c>
      <c r="O1246" t="s">
        <v>4827</v>
      </c>
      <c r="S1246" t="s">
        <v>230</v>
      </c>
      <c r="T1246" s="5" t="s">
        <v>100</v>
      </c>
      <c r="W1246">
        <v>70</v>
      </c>
      <c r="X1246" t="s">
        <v>711</v>
      </c>
      <c r="Y1246" t="str">
        <f>VLOOKUP(C1246,'[1]DBS_KPY Sorumlular'!A:C,2,FALSE)</f>
        <v>Kadir TOPÇU</v>
      </c>
      <c r="Z1246" t="str">
        <f>VLOOKUP(C1246,'[1]DBS_KPY Sorumlular'!A:C,3,FALSE)</f>
        <v>Erkan AKDOĞAN</v>
      </c>
      <c r="AA1246" t="str">
        <f>VLOOKUP(K1246,[1]!Tablo3[#Data],2,FALSE)</f>
        <v>Kadir TOPÇU</v>
      </c>
    </row>
    <row r="1247" spans="1:27" x14ac:dyDescent="0.25">
      <c r="A1247">
        <v>2561</v>
      </c>
      <c r="B1247" t="s">
        <v>1419</v>
      </c>
      <c r="C1247" t="s">
        <v>1674</v>
      </c>
      <c r="D1247" t="s">
        <v>1675</v>
      </c>
      <c r="F1247" t="s">
        <v>306</v>
      </c>
      <c r="G1247" t="s">
        <v>96</v>
      </c>
      <c r="H1247" t="s">
        <v>4828</v>
      </c>
      <c r="I1247" s="4"/>
      <c r="J1247" t="s">
        <v>2668</v>
      </c>
      <c r="K1247" t="s">
        <v>678</v>
      </c>
      <c r="L1247" s="5"/>
      <c r="M1247" s="5" t="s">
        <v>4028</v>
      </c>
      <c r="N1247" t="s">
        <v>1824</v>
      </c>
      <c r="O1247" t="s">
        <v>4829</v>
      </c>
      <c r="S1247" t="s">
        <v>230</v>
      </c>
      <c r="T1247" s="5" t="s">
        <v>100</v>
      </c>
      <c r="W1247">
        <v>28</v>
      </c>
      <c r="X1247" t="s">
        <v>667</v>
      </c>
      <c r="Y1247" t="str">
        <f>VLOOKUP(C1247,'[1]DBS_KPY Sorumlular'!A:C,2,FALSE)</f>
        <v>Kadir TOPÇU</v>
      </c>
      <c r="Z1247" t="str">
        <f>VLOOKUP(C1247,'[1]DBS_KPY Sorumlular'!A:C,3,FALSE)</f>
        <v>Erkan AKDOĞAN</v>
      </c>
      <c r="AA1247" t="str">
        <f>VLOOKUP(K1247,[1]!Tablo3[#Data],2,FALSE)</f>
        <v>Kadir TOPÇU</v>
      </c>
    </row>
    <row r="1248" spans="1:27" x14ac:dyDescent="0.25">
      <c r="A1248">
        <v>2562</v>
      </c>
      <c r="B1248" t="s">
        <v>1419</v>
      </c>
      <c r="C1248" t="s">
        <v>1674</v>
      </c>
      <c r="D1248" t="s">
        <v>1717</v>
      </c>
      <c r="F1248" t="s">
        <v>102</v>
      </c>
      <c r="G1248" t="s">
        <v>43</v>
      </c>
      <c r="H1248" t="s">
        <v>4830</v>
      </c>
      <c r="I1248" s="4"/>
      <c r="J1248" t="s">
        <v>4831</v>
      </c>
      <c r="K1248" t="s">
        <v>678</v>
      </c>
      <c r="L1248" s="5" t="s">
        <v>4832</v>
      </c>
      <c r="M1248" s="5" t="s">
        <v>4028</v>
      </c>
      <c r="N1248" t="s">
        <v>739</v>
      </c>
      <c r="O1248" t="s">
        <v>4833</v>
      </c>
      <c r="S1248" t="s">
        <v>230</v>
      </c>
      <c r="T1248" s="5" t="s">
        <v>100</v>
      </c>
      <c r="W1248">
        <v>41</v>
      </c>
      <c r="X1248" t="s">
        <v>4834</v>
      </c>
      <c r="Y1248" t="str">
        <f>VLOOKUP(C1248,'[1]DBS_KPY Sorumlular'!A:C,2,FALSE)</f>
        <v>Kadir TOPÇU</v>
      </c>
      <c r="Z1248" t="str">
        <f>VLOOKUP(C1248,'[1]DBS_KPY Sorumlular'!A:C,3,FALSE)</f>
        <v>Erkan AKDOĞAN</v>
      </c>
      <c r="AA1248" t="str">
        <f>VLOOKUP(K1248,[1]!Tablo3[#Data],2,FALSE)</f>
        <v>Kadir TOPÇU</v>
      </c>
    </row>
    <row r="1249" spans="1:27" x14ac:dyDescent="0.25">
      <c r="A1249">
        <v>2563</v>
      </c>
      <c r="B1249" t="s">
        <v>1419</v>
      </c>
      <c r="C1249" t="s">
        <v>1674</v>
      </c>
      <c r="D1249" t="s">
        <v>1717</v>
      </c>
      <c r="F1249" t="s">
        <v>102</v>
      </c>
      <c r="G1249" t="s">
        <v>43</v>
      </c>
      <c r="H1249" t="s">
        <v>4835</v>
      </c>
      <c r="I1249" s="4"/>
      <c r="J1249" t="s">
        <v>4836</v>
      </c>
      <c r="K1249" t="s">
        <v>678</v>
      </c>
      <c r="L1249" s="5"/>
      <c r="M1249" s="5" t="s">
        <v>4028</v>
      </c>
      <c r="N1249" t="s">
        <v>1824</v>
      </c>
      <c r="O1249" t="s">
        <v>4837</v>
      </c>
      <c r="S1249" t="s">
        <v>230</v>
      </c>
      <c r="T1249" s="5" t="s">
        <v>100</v>
      </c>
      <c r="W1249">
        <v>108</v>
      </c>
      <c r="X1249" t="s">
        <v>107</v>
      </c>
      <c r="Y1249" t="str">
        <f>VLOOKUP(C1249,'[1]DBS_KPY Sorumlular'!A:C,2,FALSE)</f>
        <v>Kadir TOPÇU</v>
      </c>
      <c r="Z1249" t="str">
        <f>VLOOKUP(C1249,'[1]DBS_KPY Sorumlular'!A:C,3,FALSE)</f>
        <v>Erkan AKDOĞAN</v>
      </c>
      <c r="AA1249" t="str">
        <f>VLOOKUP(K1249,[1]!Tablo3[#Data],2,FALSE)</f>
        <v>Kadir TOPÇU</v>
      </c>
    </row>
    <row r="1250" spans="1:27" x14ac:dyDescent="0.25">
      <c r="A1250">
        <v>2564</v>
      </c>
      <c r="B1250" t="s">
        <v>1419</v>
      </c>
      <c r="C1250" t="s">
        <v>1674</v>
      </c>
      <c r="D1250" t="s">
        <v>1717</v>
      </c>
      <c r="F1250" t="s">
        <v>102</v>
      </c>
      <c r="G1250" t="s">
        <v>43</v>
      </c>
      <c r="H1250" t="s">
        <v>4838</v>
      </c>
      <c r="I1250" s="4"/>
      <c r="J1250" t="s">
        <v>4839</v>
      </c>
      <c r="K1250" t="s">
        <v>678</v>
      </c>
      <c r="L1250" s="5" t="s">
        <v>3542</v>
      </c>
      <c r="M1250" s="5" t="s">
        <v>4028</v>
      </c>
      <c r="N1250" t="s">
        <v>739</v>
      </c>
      <c r="O1250" t="s">
        <v>4840</v>
      </c>
      <c r="S1250" t="s">
        <v>230</v>
      </c>
      <c r="T1250" s="5" t="s">
        <v>100</v>
      </c>
      <c r="W1250">
        <v>71</v>
      </c>
      <c r="X1250" t="s">
        <v>1299</v>
      </c>
      <c r="Y1250" t="str">
        <f>VLOOKUP(C1250,'[1]DBS_KPY Sorumlular'!A:C,2,FALSE)</f>
        <v>Kadir TOPÇU</v>
      </c>
      <c r="Z1250" t="str">
        <f>VLOOKUP(C1250,'[1]DBS_KPY Sorumlular'!A:C,3,FALSE)</f>
        <v>Erkan AKDOĞAN</v>
      </c>
      <c r="AA1250" t="str">
        <f>VLOOKUP(K1250,[1]!Tablo3[#Data],2,FALSE)</f>
        <v>Kadir TOPÇU</v>
      </c>
    </row>
    <row r="1251" spans="1:27" x14ac:dyDescent="0.25">
      <c r="A1251">
        <v>2565</v>
      </c>
      <c r="B1251" t="s">
        <v>1419</v>
      </c>
      <c r="C1251" t="s">
        <v>1674</v>
      </c>
      <c r="D1251" t="s">
        <v>1717</v>
      </c>
      <c r="F1251" t="s">
        <v>102</v>
      </c>
      <c r="G1251" t="s">
        <v>43</v>
      </c>
      <c r="H1251" t="s">
        <v>4841</v>
      </c>
      <c r="I1251" s="4"/>
      <c r="J1251" t="s">
        <v>4842</v>
      </c>
      <c r="K1251" t="s">
        <v>678</v>
      </c>
      <c r="L1251" s="5"/>
      <c r="M1251" s="5" t="s">
        <v>4028</v>
      </c>
      <c r="N1251" t="s">
        <v>1824</v>
      </c>
      <c r="O1251" t="s">
        <v>4843</v>
      </c>
      <c r="S1251" t="s">
        <v>230</v>
      </c>
      <c r="T1251" s="5" t="s">
        <v>100</v>
      </c>
      <c r="W1251">
        <v>108</v>
      </c>
      <c r="X1251" t="s">
        <v>107</v>
      </c>
      <c r="Y1251" t="str">
        <f>VLOOKUP(C1251,'[1]DBS_KPY Sorumlular'!A:C,2,FALSE)</f>
        <v>Kadir TOPÇU</v>
      </c>
      <c r="Z1251" t="str">
        <f>VLOOKUP(C1251,'[1]DBS_KPY Sorumlular'!A:C,3,FALSE)</f>
        <v>Erkan AKDOĞAN</v>
      </c>
      <c r="AA1251" t="str">
        <f>VLOOKUP(K1251,[1]!Tablo3[#Data],2,FALSE)</f>
        <v>Kadir TOPÇU</v>
      </c>
    </row>
    <row r="1252" spans="1:27" x14ac:dyDescent="0.25">
      <c r="A1252">
        <v>2566</v>
      </c>
      <c r="B1252" t="s">
        <v>1419</v>
      </c>
      <c r="C1252" t="s">
        <v>1723</v>
      </c>
      <c r="D1252" t="s">
        <v>1724</v>
      </c>
      <c r="F1252" t="s">
        <v>486</v>
      </c>
      <c r="G1252" t="s">
        <v>291</v>
      </c>
      <c r="H1252" t="s">
        <v>4844</v>
      </c>
      <c r="I1252" s="4"/>
      <c r="J1252" t="s">
        <v>4845</v>
      </c>
      <c r="K1252" t="s">
        <v>678</v>
      </c>
      <c r="L1252" s="5" t="s">
        <v>4846</v>
      </c>
      <c r="M1252" s="5" t="s">
        <v>4028</v>
      </c>
      <c r="N1252" t="s">
        <v>1824</v>
      </c>
      <c r="O1252" t="s">
        <v>4847</v>
      </c>
      <c r="S1252" t="s">
        <v>230</v>
      </c>
      <c r="T1252" s="5" t="s">
        <v>38</v>
      </c>
      <c r="Y1252" t="str">
        <f>VLOOKUP(C1252,'[1]DBS_KPY Sorumlular'!A:C,2,FALSE)</f>
        <v>Erkan AKDOĞAN</v>
      </c>
      <c r="Z1252" t="str">
        <f>VLOOKUP(C1252,'[1]DBS_KPY Sorumlular'!A:C,3,FALSE)</f>
        <v>Kadir TOPÇU</v>
      </c>
      <c r="AA1252" t="str">
        <f>VLOOKUP(K1252,[1]!Tablo3[#Data],2,FALSE)</f>
        <v>Kadir TOPÇU</v>
      </c>
    </row>
    <row r="1253" spans="1:27" x14ac:dyDescent="0.25">
      <c r="A1253">
        <v>2567</v>
      </c>
      <c r="B1253" t="s">
        <v>1419</v>
      </c>
      <c r="C1253" t="s">
        <v>1674</v>
      </c>
      <c r="D1253" t="s">
        <v>1675</v>
      </c>
      <c r="F1253" t="s">
        <v>306</v>
      </c>
      <c r="G1253" t="s">
        <v>96</v>
      </c>
      <c r="H1253" t="s">
        <v>4848</v>
      </c>
      <c r="I1253" s="4"/>
      <c r="J1253" t="s">
        <v>4849</v>
      </c>
      <c r="K1253" t="s">
        <v>678</v>
      </c>
      <c r="L1253" s="5"/>
      <c r="M1253" s="5" t="s">
        <v>4028</v>
      </c>
      <c r="N1253" t="s">
        <v>1824</v>
      </c>
      <c r="O1253" t="s">
        <v>4850</v>
      </c>
      <c r="S1253" t="s">
        <v>230</v>
      </c>
      <c r="T1253" s="5" t="s">
        <v>100</v>
      </c>
      <c r="W1253">
        <v>91</v>
      </c>
      <c r="X1253" t="s">
        <v>101</v>
      </c>
      <c r="Y1253" t="str">
        <f>VLOOKUP(C1253,'[1]DBS_KPY Sorumlular'!A:C,2,FALSE)</f>
        <v>Kadir TOPÇU</v>
      </c>
      <c r="Z1253" t="str">
        <f>VLOOKUP(C1253,'[1]DBS_KPY Sorumlular'!A:C,3,FALSE)</f>
        <v>Erkan AKDOĞAN</v>
      </c>
      <c r="AA1253" t="str">
        <f>VLOOKUP(K1253,[1]!Tablo3[#Data],2,FALSE)</f>
        <v>Kadir TOPÇU</v>
      </c>
    </row>
    <row r="1254" spans="1:27" x14ac:dyDescent="0.25">
      <c r="A1254">
        <v>2568</v>
      </c>
      <c r="B1254" t="s">
        <v>1419</v>
      </c>
      <c r="C1254" t="s">
        <v>1674</v>
      </c>
      <c r="D1254" t="s">
        <v>1717</v>
      </c>
      <c r="F1254" t="s">
        <v>102</v>
      </c>
      <c r="G1254" t="s">
        <v>43</v>
      </c>
      <c r="H1254" t="s">
        <v>4851</v>
      </c>
      <c r="I1254" s="4"/>
      <c r="J1254" t="s">
        <v>4852</v>
      </c>
      <c r="K1254" t="s">
        <v>678</v>
      </c>
      <c r="L1254" s="5" t="s">
        <v>4853</v>
      </c>
      <c r="M1254" s="5" t="s">
        <v>4028</v>
      </c>
      <c r="N1254" t="s">
        <v>739</v>
      </c>
      <c r="O1254" t="s">
        <v>4854</v>
      </c>
      <c r="S1254" t="s">
        <v>230</v>
      </c>
      <c r="T1254" s="5" t="s">
        <v>100</v>
      </c>
      <c r="W1254">
        <v>114</v>
      </c>
      <c r="X1254" t="s">
        <v>136</v>
      </c>
      <c r="Y1254" t="str">
        <f>VLOOKUP(C1254,'[1]DBS_KPY Sorumlular'!A:C,2,FALSE)</f>
        <v>Kadir TOPÇU</v>
      </c>
      <c r="Z1254" t="str">
        <f>VLOOKUP(C1254,'[1]DBS_KPY Sorumlular'!A:C,3,FALSE)</f>
        <v>Erkan AKDOĞAN</v>
      </c>
      <c r="AA1254" t="str">
        <f>VLOOKUP(K1254,[1]!Tablo3[#Data],2,FALSE)</f>
        <v>Kadir TOPÇU</v>
      </c>
    </row>
    <row r="1255" spans="1:27" x14ac:dyDescent="0.25">
      <c r="A1255">
        <v>2569</v>
      </c>
      <c r="B1255" t="s">
        <v>1419</v>
      </c>
      <c r="C1255" t="s">
        <v>1674</v>
      </c>
      <c r="D1255" t="s">
        <v>1717</v>
      </c>
      <c r="F1255" t="s">
        <v>882</v>
      </c>
      <c r="G1255" t="s">
        <v>43</v>
      </c>
      <c r="H1255" t="s">
        <v>4855</v>
      </c>
      <c r="I1255" s="4"/>
      <c r="J1255" t="s">
        <v>4856</v>
      </c>
      <c r="K1255" t="s">
        <v>678</v>
      </c>
      <c r="L1255" s="5"/>
      <c r="M1255" s="5" t="s">
        <v>4028</v>
      </c>
      <c r="N1255" t="s">
        <v>35</v>
      </c>
      <c r="O1255" t="s">
        <v>4857</v>
      </c>
      <c r="S1255" t="s">
        <v>230</v>
      </c>
      <c r="T1255" s="5" t="s">
        <v>48</v>
      </c>
      <c r="U1255" t="s">
        <v>4858</v>
      </c>
      <c r="V1255" t="s">
        <v>4859</v>
      </c>
      <c r="W1255">
        <v>115</v>
      </c>
      <c r="X1255" t="s">
        <v>350</v>
      </c>
      <c r="Y1255" t="str">
        <f>VLOOKUP(C1255,'[1]DBS_KPY Sorumlular'!A:C,2,FALSE)</f>
        <v>Kadir TOPÇU</v>
      </c>
      <c r="Z1255" t="str">
        <f>VLOOKUP(C1255,'[1]DBS_KPY Sorumlular'!A:C,3,FALSE)</f>
        <v>Erkan AKDOĞAN</v>
      </c>
      <c r="AA1255" t="str">
        <f>VLOOKUP(K1255,[1]!Tablo3[#Data],2,FALSE)</f>
        <v>Kadir TOPÇU</v>
      </c>
    </row>
    <row r="1256" spans="1:27" x14ac:dyDescent="0.25">
      <c r="A1256">
        <v>2570</v>
      </c>
      <c r="B1256" t="s">
        <v>1419</v>
      </c>
      <c r="C1256" t="s">
        <v>1674</v>
      </c>
      <c r="D1256" t="s">
        <v>1675</v>
      </c>
      <c r="F1256" t="s">
        <v>184</v>
      </c>
      <c r="G1256" t="s">
        <v>43</v>
      </c>
      <c r="H1256" t="s">
        <v>4860</v>
      </c>
      <c r="I1256" s="4"/>
      <c r="J1256" t="s">
        <v>4861</v>
      </c>
      <c r="K1256" t="s">
        <v>678</v>
      </c>
      <c r="L1256" s="5" t="s">
        <v>3542</v>
      </c>
      <c r="M1256" s="5" t="s">
        <v>4028</v>
      </c>
      <c r="N1256" t="s">
        <v>739</v>
      </c>
      <c r="O1256" t="s">
        <v>4862</v>
      </c>
      <c r="S1256" t="s">
        <v>230</v>
      </c>
      <c r="T1256" s="5" t="s">
        <v>100</v>
      </c>
      <c r="W1256">
        <v>86</v>
      </c>
      <c r="X1256" t="s">
        <v>189</v>
      </c>
      <c r="Y1256" t="str">
        <f>VLOOKUP(C1256,'[1]DBS_KPY Sorumlular'!A:C,2,FALSE)</f>
        <v>Kadir TOPÇU</v>
      </c>
      <c r="Z1256" t="str">
        <f>VLOOKUP(C1256,'[1]DBS_KPY Sorumlular'!A:C,3,FALSE)</f>
        <v>Erkan AKDOĞAN</v>
      </c>
      <c r="AA1256" t="str">
        <f>VLOOKUP(K1256,[1]!Tablo3[#Data],2,FALSE)</f>
        <v>Kadir TOPÇU</v>
      </c>
    </row>
    <row r="1257" spans="1:27" x14ac:dyDescent="0.25">
      <c r="A1257">
        <v>2571</v>
      </c>
      <c r="B1257" t="s">
        <v>1419</v>
      </c>
      <c r="C1257" t="s">
        <v>1674</v>
      </c>
      <c r="D1257" t="s">
        <v>1717</v>
      </c>
      <c r="F1257" t="s">
        <v>113</v>
      </c>
      <c r="G1257" t="s">
        <v>43</v>
      </c>
      <c r="H1257" t="s">
        <v>4863</v>
      </c>
      <c r="I1257" s="4"/>
      <c r="J1257" t="s">
        <v>4864</v>
      </c>
      <c r="K1257" t="s">
        <v>678</v>
      </c>
      <c r="L1257" s="5" t="s">
        <v>3542</v>
      </c>
      <c r="M1257" s="5" t="s">
        <v>4028</v>
      </c>
      <c r="N1257" t="s">
        <v>739</v>
      </c>
      <c r="O1257" t="s">
        <v>4865</v>
      </c>
      <c r="S1257" t="s">
        <v>230</v>
      </c>
      <c r="T1257" s="5" t="s">
        <v>100</v>
      </c>
      <c r="W1257">
        <v>169</v>
      </c>
      <c r="X1257" t="s">
        <v>1480</v>
      </c>
      <c r="Y1257" t="str">
        <f>VLOOKUP(C1257,'[1]DBS_KPY Sorumlular'!A:C,2,FALSE)</f>
        <v>Kadir TOPÇU</v>
      </c>
      <c r="Z1257" t="str">
        <f>VLOOKUP(C1257,'[1]DBS_KPY Sorumlular'!A:C,3,FALSE)</f>
        <v>Erkan AKDOĞAN</v>
      </c>
      <c r="AA1257" t="str">
        <f>VLOOKUP(K1257,[1]!Tablo3[#Data],2,FALSE)</f>
        <v>Kadir TOPÇU</v>
      </c>
    </row>
    <row r="1258" spans="1:27" x14ac:dyDescent="0.25">
      <c r="A1258">
        <v>2572</v>
      </c>
      <c r="B1258" t="s">
        <v>1419</v>
      </c>
      <c r="C1258" t="s">
        <v>1674</v>
      </c>
      <c r="D1258" t="s">
        <v>1717</v>
      </c>
      <c r="F1258" t="s">
        <v>882</v>
      </c>
      <c r="G1258" t="s">
        <v>43</v>
      </c>
      <c r="H1258" t="s">
        <v>4866</v>
      </c>
      <c r="I1258" s="4"/>
      <c r="J1258" t="s">
        <v>4867</v>
      </c>
      <c r="K1258" t="s">
        <v>678</v>
      </c>
      <c r="L1258" s="5" t="s">
        <v>4868</v>
      </c>
      <c r="M1258" s="5" t="s">
        <v>4028</v>
      </c>
      <c r="N1258" t="s">
        <v>739</v>
      </c>
      <c r="O1258" t="s">
        <v>4869</v>
      </c>
      <c r="S1258" t="s">
        <v>230</v>
      </c>
      <c r="T1258" s="5" t="s">
        <v>100</v>
      </c>
      <c r="W1258">
        <v>190</v>
      </c>
      <c r="X1258" t="s">
        <v>3630</v>
      </c>
      <c r="Y1258" t="str">
        <f>VLOOKUP(C1258,'[1]DBS_KPY Sorumlular'!A:C,2,FALSE)</f>
        <v>Kadir TOPÇU</v>
      </c>
      <c r="Z1258" t="str">
        <f>VLOOKUP(C1258,'[1]DBS_KPY Sorumlular'!A:C,3,FALSE)</f>
        <v>Erkan AKDOĞAN</v>
      </c>
      <c r="AA1258" t="str">
        <f>VLOOKUP(K1258,[1]!Tablo3[#Data],2,FALSE)</f>
        <v>Kadir TOPÇU</v>
      </c>
    </row>
    <row r="1259" spans="1:27" x14ac:dyDescent="0.25">
      <c r="A1259">
        <v>2573</v>
      </c>
      <c r="B1259" t="s">
        <v>1419</v>
      </c>
      <c r="C1259" t="s">
        <v>1674</v>
      </c>
      <c r="D1259" t="s">
        <v>1675</v>
      </c>
      <c r="F1259" t="s">
        <v>95</v>
      </c>
      <c r="G1259" t="s">
        <v>30</v>
      </c>
      <c r="H1259" t="s">
        <v>4870</v>
      </c>
      <c r="I1259" s="4"/>
      <c r="J1259" t="s">
        <v>4871</v>
      </c>
      <c r="K1259" t="s">
        <v>678</v>
      </c>
      <c r="L1259" s="5"/>
      <c r="M1259" s="5" t="s">
        <v>4028</v>
      </c>
      <c r="N1259" t="s">
        <v>1824</v>
      </c>
      <c r="O1259" t="s">
        <v>4872</v>
      </c>
      <c r="S1259" t="s">
        <v>230</v>
      </c>
      <c r="T1259" s="5" t="s">
        <v>100</v>
      </c>
      <c r="W1259">
        <v>150</v>
      </c>
      <c r="X1259" t="s">
        <v>485</v>
      </c>
      <c r="Y1259" t="str">
        <f>VLOOKUP(C1259,'[1]DBS_KPY Sorumlular'!A:C,2,FALSE)</f>
        <v>Kadir TOPÇU</v>
      </c>
      <c r="Z1259" t="str">
        <f>VLOOKUP(C1259,'[1]DBS_KPY Sorumlular'!A:C,3,FALSE)</f>
        <v>Erkan AKDOĞAN</v>
      </c>
      <c r="AA1259" t="str">
        <f>VLOOKUP(K1259,[1]!Tablo3[#Data],2,FALSE)</f>
        <v>Kadir TOPÇU</v>
      </c>
    </row>
    <row r="1260" spans="1:27" x14ac:dyDescent="0.25">
      <c r="A1260">
        <v>2574</v>
      </c>
      <c r="B1260" t="s">
        <v>1419</v>
      </c>
      <c r="C1260" t="s">
        <v>1674</v>
      </c>
      <c r="D1260" t="s">
        <v>1717</v>
      </c>
      <c r="F1260" t="s">
        <v>102</v>
      </c>
      <c r="G1260" t="s">
        <v>43</v>
      </c>
      <c r="H1260" t="s">
        <v>4873</v>
      </c>
      <c r="I1260" s="4"/>
      <c r="J1260" t="s">
        <v>4874</v>
      </c>
      <c r="K1260" t="s">
        <v>678</v>
      </c>
      <c r="L1260" s="5"/>
      <c r="M1260" s="5" t="s">
        <v>4028</v>
      </c>
      <c r="N1260" t="s">
        <v>1824</v>
      </c>
      <c r="O1260" t="s">
        <v>4875</v>
      </c>
      <c r="S1260" t="s">
        <v>230</v>
      </c>
      <c r="T1260" s="5" t="s">
        <v>100</v>
      </c>
      <c r="W1260">
        <v>108</v>
      </c>
      <c r="X1260" t="s">
        <v>107</v>
      </c>
      <c r="Y1260" t="str">
        <f>VLOOKUP(C1260,'[1]DBS_KPY Sorumlular'!A:C,2,FALSE)</f>
        <v>Kadir TOPÇU</v>
      </c>
      <c r="Z1260" t="str">
        <f>VLOOKUP(C1260,'[1]DBS_KPY Sorumlular'!A:C,3,FALSE)</f>
        <v>Erkan AKDOĞAN</v>
      </c>
      <c r="AA1260" t="str">
        <f>VLOOKUP(K1260,[1]!Tablo3[#Data],2,FALSE)</f>
        <v>Kadir TOPÇU</v>
      </c>
    </row>
    <row r="1261" spans="1:27" x14ac:dyDescent="0.25">
      <c r="A1261">
        <v>2575</v>
      </c>
      <c r="B1261" t="s">
        <v>1419</v>
      </c>
      <c r="C1261" t="s">
        <v>1674</v>
      </c>
      <c r="D1261" t="s">
        <v>1717</v>
      </c>
      <c r="F1261" t="s">
        <v>102</v>
      </c>
      <c r="G1261" t="s">
        <v>43</v>
      </c>
      <c r="H1261" t="s">
        <v>4876</v>
      </c>
      <c r="I1261" s="4"/>
      <c r="J1261" t="s">
        <v>4877</v>
      </c>
      <c r="K1261" t="s">
        <v>678</v>
      </c>
      <c r="L1261" s="5"/>
      <c r="M1261" s="5" t="s">
        <v>4028</v>
      </c>
      <c r="N1261" t="s">
        <v>1824</v>
      </c>
      <c r="O1261" t="s">
        <v>4878</v>
      </c>
      <c r="S1261" t="s">
        <v>230</v>
      </c>
      <c r="T1261" s="5" t="s">
        <v>100</v>
      </c>
      <c r="W1261">
        <v>108</v>
      </c>
      <c r="X1261" t="s">
        <v>107</v>
      </c>
      <c r="Y1261" t="str">
        <f>VLOOKUP(C1261,'[1]DBS_KPY Sorumlular'!A:C,2,FALSE)</f>
        <v>Kadir TOPÇU</v>
      </c>
      <c r="Z1261" t="str">
        <f>VLOOKUP(C1261,'[1]DBS_KPY Sorumlular'!A:C,3,FALSE)</f>
        <v>Erkan AKDOĞAN</v>
      </c>
      <c r="AA1261" t="str">
        <f>VLOOKUP(K1261,[1]!Tablo3[#Data],2,FALSE)</f>
        <v>Kadir TOPÇU</v>
      </c>
    </row>
    <row r="1262" spans="1:27" x14ac:dyDescent="0.25">
      <c r="A1262">
        <v>2576</v>
      </c>
      <c r="B1262" t="s">
        <v>1419</v>
      </c>
      <c r="C1262" t="s">
        <v>1674</v>
      </c>
      <c r="D1262" t="s">
        <v>1717</v>
      </c>
      <c r="F1262" t="s">
        <v>882</v>
      </c>
      <c r="G1262" t="s">
        <v>43</v>
      </c>
      <c r="H1262" t="s">
        <v>4879</v>
      </c>
      <c r="I1262" s="4"/>
      <c r="J1262" t="s">
        <v>4880</v>
      </c>
      <c r="K1262" t="s">
        <v>678</v>
      </c>
      <c r="L1262" s="5" t="s">
        <v>3542</v>
      </c>
      <c r="M1262" s="5" t="s">
        <v>4028</v>
      </c>
      <c r="N1262" t="s">
        <v>739</v>
      </c>
      <c r="O1262" t="s">
        <v>4881</v>
      </c>
      <c r="S1262" t="s">
        <v>230</v>
      </c>
      <c r="T1262" s="5" t="s">
        <v>100</v>
      </c>
      <c r="W1262">
        <v>114</v>
      </c>
      <c r="X1262" t="s">
        <v>136</v>
      </c>
      <c r="Y1262" t="str">
        <f>VLOOKUP(C1262,'[1]DBS_KPY Sorumlular'!A:C,2,FALSE)</f>
        <v>Kadir TOPÇU</v>
      </c>
      <c r="Z1262" t="str">
        <f>VLOOKUP(C1262,'[1]DBS_KPY Sorumlular'!A:C,3,FALSE)</f>
        <v>Erkan AKDOĞAN</v>
      </c>
      <c r="AA1262" t="str">
        <f>VLOOKUP(K1262,[1]!Tablo3[#Data],2,FALSE)</f>
        <v>Kadir TOPÇU</v>
      </c>
    </row>
    <row r="1263" spans="1:27" x14ac:dyDescent="0.25">
      <c r="A1263">
        <v>2577</v>
      </c>
      <c r="B1263" t="s">
        <v>1419</v>
      </c>
      <c r="C1263" t="s">
        <v>1674</v>
      </c>
      <c r="D1263" t="s">
        <v>1717</v>
      </c>
      <c r="F1263" t="s">
        <v>113</v>
      </c>
      <c r="G1263" t="s">
        <v>43</v>
      </c>
      <c r="H1263" t="s">
        <v>4882</v>
      </c>
      <c r="I1263" s="4"/>
      <c r="J1263" t="s">
        <v>4883</v>
      </c>
      <c r="K1263" t="s">
        <v>678</v>
      </c>
      <c r="L1263" s="5" t="s">
        <v>3542</v>
      </c>
      <c r="M1263" s="5" t="s">
        <v>4028</v>
      </c>
      <c r="N1263" t="s">
        <v>739</v>
      </c>
      <c r="O1263" t="s">
        <v>4884</v>
      </c>
      <c r="S1263" t="s">
        <v>230</v>
      </c>
      <c r="T1263" s="5" t="s">
        <v>100</v>
      </c>
      <c r="W1263">
        <v>169</v>
      </c>
      <c r="X1263" t="s">
        <v>1480</v>
      </c>
      <c r="Y1263" t="str">
        <f>VLOOKUP(C1263,'[1]DBS_KPY Sorumlular'!A:C,2,FALSE)</f>
        <v>Kadir TOPÇU</v>
      </c>
      <c r="Z1263" t="str">
        <f>VLOOKUP(C1263,'[1]DBS_KPY Sorumlular'!A:C,3,FALSE)</f>
        <v>Erkan AKDOĞAN</v>
      </c>
      <c r="AA1263" t="str">
        <f>VLOOKUP(K1263,[1]!Tablo3[#Data],2,FALSE)</f>
        <v>Kadir TOPÇU</v>
      </c>
    </row>
    <row r="1264" spans="1:27" x14ac:dyDescent="0.25">
      <c r="A1264">
        <v>2578</v>
      </c>
      <c r="B1264" t="s">
        <v>1419</v>
      </c>
      <c r="C1264" t="s">
        <v>1674</v>
      </c>
      <c r="D1264" t="s">
        <v>1717</v>
      </c>
      <c r="F1264" t="s">
        <v>102</v>
      </c>
      <c r="G1264" t="s">
        <v>43</v>
      </c>
      <c r="H1264" t="s">
        <v>4885</v>
      </c>
      <c r="I1264" s="4"/>
      <c r="J1264" t="s">
        <v>4886</v>
      </c>
      <c r="K1264" t="s">
        <v>678</v>
      </c>
      <c r="L1264" s="5" t="s">
        <v>4887</v>
      </c>
      <c r="M1264" s="5" t="s">
        <v>4028</v>
      </c>
      <c r="N1264" t="s">
        <v>739</v>
      </c>
      <c r="O1264" t="s">
        <v>4888</v>
      </c>
      <c r="S1264" t="s">
        <v>230</v>
      </c>
      <c r="T1264" s="5" t="s">
        <v>100</v>
      </c>
      <c r="W1264">
        <v>240</v>
      </c>
      <c r="X1264" t="s">
        <v>4889</v>
      </c>
      <c r="Y1264" t="str">
        <f>VLOOKUP(C1264,'[1]DBS_KPY Sorumlular'!A:C,2,FALSE)</f>
        <v>Kadir TOPÇU</v>
      </c>
      <c r="Z1264" t="str">
        <f>VLOOKUP(C1264,'[1]DBS_KPY Sorumlular'!A:C,3,FALSE)</f>
        <v>Erkan AKDOĞAN</v>
      </c>
      <c r="AA1264" t="str">
        <f>VLOOKUP(K1264,[1]!Tablo3[#Data],2,FALSE)</f>
        <v>Kadir TOPÇU</v>
      </c>
    </row>
    <row r="1265" spans="1:27" x14ac:dyDescent="0.25">
      <c r="A1265">
        <v>2579</v>
      </c>
      <c r="B1265" t="s">
        <v>1419</v>
      </c>
      <c r="C1265" t="s">
        <v>1674</v>
      </c>
      <c r="D1265" t="s">
        <v>1717</v>
      </c>
      <c r="F1265" t="s">
        <v>102</v>
      </c>
      <c r="G1265" t="s">
        <v>43</v>
      </c>
      <c r="H1265" t="s">
        <v>4890</v>
      </c>
      <c r="I1265" s="4"/>
      <c r="J1265" t="s">
        <v>4891</v>
      </c>
      <c r="K1265" t="s">
        <v>678</v>
      </c>
      <c r="L1265" s="5"/>
      <c r="M1265" s="5" t="s">
        <v>4028</v>
      </c>
      <c r="N1265" t="s">
        <v>1824</v>
      </c>
      <c r="O1265" t="s">
        <v>4892</v>
      </c>
      <c r="S1265" t="s">
        <v>230</v>
      </c>
      <c r="T1265" s="5" t="s">
        <v>100</v>
      </c>
      <c r="W1265">
        <v>108</v>
      </c>
      <c r="X1265" t="s">
        <v>107</v>
      </c>
      <c r="Y1265" t="str">
        <f>VLOOKUP(C1265,'[1]DBS_KPY Sorumlular'!A:C,2,FALSE)</f>
        <v>Kadir TOPÇU</v>
      </c>
      <c r="Z1265" t="str">
        <f>VLOOKUP(C1265,'[1]DBS_KPY Sorumlular'!A:C,3,FALSE)</f>
        <v>Erkan AKDOĞAN</v>
      </c>
      <c r="AA1265" t="str">
        <f>VLOOKUP(K1265,[1]!Tablo3[#Data],2,FALSE)</f>
        <v>Kadir TOPÇU</v>
      </c>
    </row>
    <row r="1266" spans="1:27" x14ac:dyDescent="0.25">
      <c r="A1266">
        <v>2580</v>
      </c>
      <c r="B1266" t="s">
        <v>1419</v>
      </c>
      <c r="C1266" t="s">
        <v>1674</v>
      </c>
      <c r="D1266" t="s">
        <v>1717</v>
      </c>
      <c r="F1266" t="s">
        <v>102</v>
      </c>
      <c r="G1266" t="s">
        <v>43</v>
      </c>
      <c r="H1266" t="s">
        <v>4893</v>
      </c>
      <c r="I1266" s="4"/>
      <c r="J1266" t="s">
        <v>4894</v>
      </c>
      <c r="K1266" t="s">
        <v>678</v>
      </c>
      <c r="L1266" s="5" t="s">
        <v>3542</v>
      </c>
      <c r="M1266" s="5" t="s">
        <v>4028</v>
      </c>
      <c r="N1266" t="s">
        <v>739</v>
      </c>
      <c r="O1266" t="s">
        <v>4895</v>
      </c>
      <c r="S1266" t="s">
        <v>230</v>
      </c>
      <c r="T1266" s="5" t="s">
        <v>100</v>
      </c>
      <c r="W1266">
        <v>52</v>
      </c>
      <c r="X1266" t="s">
        <v>3153</v>
      </c>
      <c r="Y1266" t="str">
        <f>VLOOKUP(C1266,'[1]DBS_KPY Sorumlular'!A:C,2,FALSE)</f>
        <v>Kadir TOPÇU</v>
      </c>
      <c r="Z1266" t="str">
        <f>VLOOKUP(C1266,'[1]DBS_KPY Sorumlular'!A:C,3,FALSE)</f>
        <v>Erkan AKDOĞAN</v>
      </c>
      <c r="AA1266" t="str">
        <f>VLOOKUP(K1266,[1]!Tablo3[#Data],2,FALSE)</f>
        <v>Kadir TOPÇU</v>
      </c>
    </row>
    <row r="1267" spans="1:27" x14ac:dyDescent="0.25">
      <c r="A1267">
        <v>2581</v>
      </c>
      <c r="B1267" t="s">
        <v>1419</v>
      </c>
      <c r="C1267" t="s">
        <v>1674</v>
      </c>
      <c r="D1267" t="s">
        <v>1717</v>
      </c>
      <c r="F1267" t="s">
        <v>102</v>
      </c>
      <c r="G1267" t="s">
        <v>43</v>
      </c>
      <c r="H1267" t="s">
        <v>4896</v>
      </c>
      <c r="I1267" s="4"/>
      <c r="J1267" t="s">
        <v>4897</v>
      </c>
      <c r="K1267" t="s">
        <v>678</v>
      </c>
      <c r="L1267" s="5" t="s">
        <v>3542</v>
      </c>
      <c r="M1267" s="5" t="s">
        <v>4028</v>
      </c>
      <c r="N1267" t="s">
        <v>739</v>
      </c>
      <c r="O1267" t="s">
        <v>4898</v>
      </c>
      <c r="S1267" t="s">
        <v>230</v>
      </c>
      <c r="T1267" s="5" t="s">
        <v>100</v>
      </c>
      <c r="W1267">
        <v>52</v>
      </c>
      <c r="X1267" t="s">
        <v>3153</v>
      </c>
      <c r="Y1267" t="str">
        <f>VLOOKUP(C1267,'[1]DBS_KPY Sorumlular'!A:C,2,FALSE)</f>
        <v>Kadir TOPÇU</v>
      </c>
      <c r="Z1267" t="str">
        <f>VLOOKUP(C1267,'[1]DBS_KPY Sorumlular'!A:C,3,FALSE)</f>
        <v>Erkan AKDOĞAN</v>
      </c>
      <c r="AA1267" t="str">
        <f>VLOOKUP(K1267,[1]!Tablo3[#Data],2,FALSE)</f>
        <v>Kadir TOPÇU</v>
      </c>
    </row>
    <row r="1268" spans="1:27" x14ac:dyDescent="0.25">
      <c r="A1268">
        <v>2582</v>
      </c>
      <c r="B1268" t="s">
        <v>1419</v>
      </c>
      <c r="C1268" t="s">
        <v>1674</v>
      </c>
      <c r="D1268" t="s">
        <v>1717</v>
      </c>
      <c r="F1268" t="s">
        <v>486</v>
      </c>
      <c r="G1268" t="s">
        <v>291</v>
      </c>
      <c r="H1268" t="s">
        <v>4899</v>
      </c>
      <c r="I1268" s="4"/>
      <c r="J1268" t="s">
        <v>4900</v>
      </c>
      <c r="K1268" t="s">
        <v>678</v>
      </c>
      <c r="L1268" s="5"/>
      <c r="M1268" s="5" t="s">
        <v>4028</v>
      </c>
      <c r="N1268" t="s">
        <v>1824</v>
      </c>
      <c r="O1268" t="s">
        <v>4901</v>
      </c>
      <c r="S1268" t="s">
        <v>230</v>
      </c>
      <c r="T1268" s="5" t="s">
        <v>100</v>
      </c>
      <c r="W1268">
        <v>44</v>
      </c>
      <c r="X1268" t="s">
        <v>1821</v>
      </c>
      <c r="Y1268" t="str">
        <f>VLOOKUP(C1268,'[1]DBS_KPY Sorumlular'!A:C,2,FALSE)</f>
        <v>Kadir TOPÇU</v>
      </c>
      <c r="Z1268" t="str">
        <f>VLOOKUP(C1268,'[1]DBS_KPY Sorumlular'!A:C,3,FALSE)</f>
        <v>Erkan AKDOĞAN</v>
      </c>
      <c r="AA1268" t="str">
        <f>VLOOKUP(K1268,[1]!Tablo3[#Data],2,FALSE)</f>
        <v>Kadir TOPÇU</v>
      </c>
    </row>
    <row r="1269" spans="1:27" x14ac:dyDescent="0.25">
      <c r="A1269">
        <v>2583</v>
      </c>
      <c r="B1269" t="s">
        <v>1419</v>
      </c>
      <c r="C1269" t="s">
        <v>1723</v>
      </c>
      <c r="D1269" t="s">
        <v>1751</v>
      </c>
      <c r="F1269" t="s">
        <v>306</v>
      </c>
      <c r="G1269" t="s">
        <v>96</v>
      </c>
      <c r="H1269" t="s">
        <v>4902</v>
      </c>
      <c r="I1269" s="4"/>
      <c r="J1269" t="s">
        <v>4903</v>
      </c>
      <c r="K1269" t="s">
        <v>743</v>
      </c>
      <c r="L1269" s="5" t="s">
        <v>4904</v>
      </c>
      <c r="M1269" s="5" t="s">
        <v>35</v>
      </c>
      <c r="N1269" t="s">
        <v>1824</v>
      </c>
      <c r="O1269" t="s">
        <v>4905</v>
      </c>
      <c r="S1269" t="s">
        <v>230</v>
      </c>
      <c r="T1269" s="5" t="s">
        <v>38</v>
      </c>
      <c r="Y1269" t="str">
        <f>VLOOKUP(C1269,'[1]DBS_KPY Sorumlular'!A:C,2,FALSE)</f>
        <v>Erkan AKDOĞAN</v>
      </c>
      <c r="Z1269" t="str">
        <f>VLOOKUP(C1269,'[1]DBS_KPY Sorumlular'!A:C,3,FALSE)</f>
        <v>Kadir TOPÇU</v>
      </c>
      <c r="AA1269" t="str">
        <f>VLOOKUP(K1269,[1]!Tablo3[#Data],2,FALSE)</f>
        <v>Kadir TOPÇU</v>
      </c>
    </row>
    <row r="1270" spans="1:27" x14ac:dyDescent="0.25">
      <c r="A1270">
        <v>2584</v>
      </c>
      <c r="B1270" t="s">
        <v>1419</v>
      </c>
      <c r="C1270" t="s">
        <v>652</v>
      </c>
      <c r="D1270" t="s">
        <v>653</v>
      </c>
      <c r="F1270" t="s">
        <v>455</v>
      </c>
      <c r="G1270" t="s">
        <v>456</v>
      </c>
      <c r="H1270" t="s">
        <v>4906</v>
      </c>
      <c r="I1270" s="4"/>
      <c r="K1270" t="s">
        <v>743</v>
      </c>
      <c r="L1270" s="5"/>
      <c r="M1270" s="5" t="s">
        <v>35</v>
      </c>
      <c r="N1270" t="s">
        <v>1824</v>
      </c>
      <c r="O1270" t="s">
        <v>4907</v>
      </c>
      <c r="S1270" t="s">
        <v>230</v>
      </c>
      <c r="T1270" s="5" t="s">
        <v>48</v>
      </c>
      <c r="U1270" t="s">
        <v>4908</v>
      </c>
      <c r="V1270" t="s">
        <v>4906</v>
      </c>
      <c r="W1270">
        <v>144</v>
      </c>
      <c r="X1270" t="s">
        <v>463</v>
      </c>
      <c r="Y1270" t="str">
        <f>VLOOKUP(C1270,'[1]DBS_KPY Sorumlular'!A:C,2,FALSE)</f>
        <v>Seyithan İŞİK</v>
      </c>
      <c r="Z1270" t="str">
        <f>VLOOKUP(C1270,'[1]DBS_KPY Sorumlular'!A:C,3,FALSE)</f>
        <v>Korhan KÖROĞLU</v>
      </c>
      <c r="AA1270" t="str">
        <f>VLOOKUP(K1270,[1]!Tablo3[#Data],2,FALSE)</f>
        <v>Kadir TOPÇU</v>
      </c>
    </row>
    <row r="1271" spans="1:27" x14ac:dyDescent="0.25">
      <c r="A1271">
        <v>2585</v>
      </c>
      <c r="B1271" t="s">
        <v>1419</v>
      </c>
      <c r="C1271" t="s">
        <v>652</v>
      </c>
      <c r="D1271" t="s">
        <v>653</v>
      </c>
      <c r="F1271" t="s">
        <v>455</v>
      </c>
      <c r="G1271" t="s">
        <v>456</v>
      </c>
      <c r="H1271" t="s">
        <v>4909</v>
      </c>
      <c r="I1271" s="4"/>
      <c r="K1271" t="s">
        <v>743</v>
      </c>
      <c r="L1271" s="5"/>
      <c r="M1271" s="5" t="s">
        <v>35</v>
      </c>
      <c r="N1271" t="s">
        <v>1824</v>
      </c>
      <c r="O1271" t="s">
        <v>4910</v>
      </c>
      <c r="S1271" t="s">
        <v>230</v>
      </c>
      <c r="T1271" s="5" t="s">
        <v>48</v>
      </c>
      <c r="U1271" t="s">
        <v>4911</v>
      </c>
      <c r="V1271" t="s">
        <v>4909</v>
      </c>
      <c r="W1271">
        <v>144</v>
      </c>
      <c r="X1271" t="s">
        <v>463</v>
      </c>
      <c r="Y1271" t="str">
        <f>VLOOKUP(C1271,'[1]DBS_KPY Sorumlular'!A:C,2,FALSE)</f>
        <v>Seyithan İŞİK</v>
      </c>
      <c r="Z1271" t="str">
        <f>VLOOKUP(C1271,'[1]DBS_KPY Sorumlular'!A:C,3,FALSE)</f>
        <v>Korhan KÖROĞLU</v>
      </c>
      <c r="AA1271" t="str">
        <f>VLOOKUP(K1271,[1]!Tablo3[#Data],2,FALSE)</f>
        <v>Kadir TOPÇU</v>
      </c>
    </row>
    <row r="1272" spans="1:27" x14ac:dyDescent="0.25">
      <c r="A1272">
        <v>2586</v>
      </c>
      <c r="B1272" t="s">
        <v>1419</v>
      </c>
      <c r="C1272" t="s">
        <v>652</v>
      </c>
      <c r="D1272" t="s">
        <v>653</v>
      </c>
      <c r="F1272" t="s">
        <v>455</v>
      </c>
      <c r="G1272" t="s">
        <v>456</v>
      </c>
      <c r="H1272" t="s">
        <v>4912</v>
      </c>
      <c r="I1272" s="4"/>
      <c r="K1272" t="s">
        <v>743</v>
      </c>
      <c r="L1272" s="5"/>
      <c r="M1272" s="5" t="s">
        <v>35</v>
      </c>
      <c r="N1272" t="s">
        <v>1824</v>
      </c>
      <c r="O1272" t="s">
        <v>4913</v>
      </c>
      <c r="S1272" t="s">
        <v>230</v>
      </c>
      <c r="T1272" s="5" t="s">
        <v>48</v>
      </c>
      <c r="U1272" t="s">
        <v>4914</v>
      </c>
      <c r="V1272" t="s">
        <v>4912</v>
      </c>
      <c r="W1272">
        <v>144</v>
      </c>
      <c r="X1272" t="s">
        <v>463</v>
      </c>
      <c r="Y1272" t="str">
        <f>VLOOKUP(C1272,'[1]DBS_KPY Sorumlular'!A:C,2,FALSE)</f>
        <v>Seyithan İŞİK</v>
      </c>
      <c r="Z1272" t="str">
        <f>VLOOKUP(C1272,'[1]DBS_KPY Sorumlular'!A:C,3,FALSE)</f>
        <v>Korhan KÖROĞLU</v>
      </c>
      <c r="AA1272" t="str">
        <f>VLOOKUP(K1272,[1]!Tablo3[#Data],2,FALSE)</f>
        <v>Kadir TOPÇU</v>
      </c>
    </row>
    <row r="1273" spans="1:27" x14ac:dyDescent="0.25">
      <c r="A1273">
        <v>2587</v>
      </c>
      <c r="B1273" t="s">
        <v>1419</v>
      </c>
      <c r="C1273" t="s">
        <v>1674</v>
      </c>
      <c r="D1273" t="s">
        <v>1700</v>
      </c>
      <c r="F1273" t="s">
        <v>95</v>
      </c>
      <c r="G1273" t="s">
        <v>291</v>
      </c>
      <c r="H1273" t="s">
        <v>4915</v>
      </c>
      <c r="I1273" s="4"/>
      <c r="J1273" t="s">
        <v>4916</v>
      </c>
      <c r="K1273" t="s">
        <v>743</v>
      </c>
      <c r="L1273" s="5" t="s">
        <v>4917</v>
      </c>
      <c r="M1273" s="5" t="s">
        <v>35</v>
      </c>
      <c r="N1273" t="s">
        <v>35</v>
      </c>
      <c r="O1273" t="s">
        <v>2782</v>
      </c>
      <c r="S1273" t="s">
        <v>230</v>
      </c>
      <c r="T1273" s="5" t="s">
        <v>48</v>
      </c>
      <c r="U1273" t="s">
        <v>4918</v>
      </c>
      <c r="V1273" t="s">
        <v>4915</v>
      </c>
      <c r="W1273">
        <v>94</v>
      </c>
      <c r="X1273" t="s">
        <v>1707</v>
      </c>
      <c r="Y1273" t="str">
        <f>VLOOKUP(C1273,'[1]DBS_KPY Sorumlular'!A:C,2,FALSE)</f>
        <v>Kadir TOPÇU</v>
      </c>
      <c r="Z1273" t="str">
        <f>VLOOKUP(C1273,'[1]DBS_KPY Sorumlular'!A:C,3,FALSE)</f>
        <v>Erkan AKDOĞAN</v>
      </c>
      <c r="AA1273" t="str">
        <f>VLOOKUP(K1273,[1]!Tablo3[#Data],2,FALSE)</f>
        <v>Kadir TOPÇU</v>
      </c>
    </row>
    <row r="1274" spans="1:27" x14ac:dyDescent="0.25">
      <c r="A1274">
        <v>2588</v>
      </c>
      <c r="B1274" t="s">
        <v>1419</v>
      </c>
      <c r="C1274" t="s">
        <v>1674</v>
      </c>
      <c r="D1274" t="s">
        <v>1700</v>
      </c>
      <c r="F1274" t="s">
        <v>95</v>
      </c>
      <c r="G1274" t="s">
        <v>291</v>
      </c>
      <c r="H1274" t="s">
        <v>4919</v>
      </c>
      <c r="I1274" s="4"/>
      <c r="K1274" t="s">
        <v>743</v>
      </c>
      <c r="L1274" s="5" t="s">
        <v>4917</v>
      </c>
      <c r="M1274" s="5" t="s">
        <v>35</v>
      </c>
      <c r="N1274" t="s">
        <v>35</v>
      </c>
      <c r="O1274" t="s">
        <v>4920</v>
      </c>
      <c r="S1274" t="s">
        <v>230</v>
      </c>
      <c r="T1274" s="5" t="s">
        <v>48</v>
      </c>
      <c r="U1274" t="s">
        <v>4921</v>
      </c>
      <c r="V1274" t="s">
        <v>4919</v>
      </c>
      <c r="W1274">
        <v>94</v>
      </c>
      <c r="X1274" t="s">
        <v>1707</v>
      </c>
      <c r="Y1274" t="str">
        <f>VLOOKUP(C1274,'[1]DBS_KPY Sorumlular'!A:C,2,FALSE)</f>
        <v>Kadir TOPÇU</v>
      </c>
      <c r="Z1274" t="str">
        <f>VLOOKUP(C1274,'[1]DBS_KPY Sorumlular'!A:C,3,FALSE)</f>
        <v>Erkan AKDOĞAN</v>
      </c>
      <c r="AA1274" t="str">
        <f>VLOOKUP(K1274,[1]!Tablo3[#Data],2,FALSE)</f>
        <v>Kadir TOPÇU</v>
      </c>
    </row>
    <row r="1275" spans="1:27" x14ac:dyDescent="0.25">
      <c r="A1275">
        <v>2589</v>
      </c>
      <c r="B1275" t="s">
        <v>1419</v>
      </c>
      <c r="C1275" t="s">
        <v>1674</v>
      </c>
      <c r="D1275" t="s">
        <v>1700</v>
      </c>
      <c r="F1275" t="s">
        <v>95</v>
      </c>
      <c r="G1275" t="s">
        <v>96</v>
      </c>
      <c r="H1275" t="s">
        <v>4922</v>
      </c>
      <c r="I1275" s="4"/>
      <c r="K1275" t="s">
        <v>743</v>
      </c>
      <c r="L1275" s="5" t="s">
        <v>4917</v>
      </c>
      <c r="M1275" s="5" t="s">
        <v>35</v>
      </c>
      <c r="N1275" t="s">
        <v>35</v>
      </c>
      <c r="O1275" t="s">
        <v>4923</v>
      </c>
      <c r="S1275" t="s">
        <v>230</v>
      </c>
      <c r="T1275" s="5" t="s">
        <v>48</v>
      </c>
      <c r="U1275" t="s">
        <v>4924</v>
      </c>
      <c r="V1275" t="s">
        <v>4922</v>
      </c>
      <c r="W1275">
        <v>94</v>
      </c>
      <c r="X1275" t="s">
        <v>1707</v>
      </c>
      <c r="Y1275" t="str">
        <f>VLOOKUP(C1275,'[1]DBS_KPY Sorumlular'!A:C,2,FALSE)</f>
        <v>Kadir TOPÇU</v>
      </c>
      <c r="Z1275" t="str">
        <f>VLOOKUP(C1275,'[1]DBS_KPY Sorumlular'!A:C,3,FALSE)</f>
        <v>Erkan AKDOĞAN</v>
      </c>
      <c r="AA1275" t="str">
        <f>VLOOKUP(K1275,[1]!Tablo3[#Data],2,FALSE)</f>
        <v>Kadir TOPÇU</v>
      </c>
    </row>
    <row r="1276" spans="1:27" x14ac:dyDescent="0.25">
      <c r="A1276">
        <v>2590</v>
      </c>
      <c r="B1276" t="s">
        <v>1419</v>
      </c>
      <c r="C1276" t="s">
        <v>1674</v>
      </c>
      <c r="D1276" t="s">
        <v>1700</v>
      </c>
      <c r="F1276" t="s">
        <v>95</v>
      </c>
      <c r="G1276" t="s">
        <v>96</v>
      </c>
      <c r="H1276" t="s">
        <v>4925</v>
      </c>
      <c r="I1276" s="4"/>
      <c r="K1276" t="s">
        <v>743</v>
      </c>
      <c r="L1276" s="5" t="s">
        <v>4917</v>
      </c>
      <c r="M1276" s="5" t="s">
        <v>35</v>
      </c>
      <c r="N1276" t="s">
        <v>35</v>
      </c>
      <c r="O1276" t="s">
        <v>2788</v>
      </c>
      <c r="S1276" t="s">
        <v>230</v>
      </c>
      <c r="T1276" s="5" t="s">
        <v>48</v>
      </c>
      <c r="U1276" t="s">
        <v>4926</v>
      </c>
      <c r="V1276" t="s">
        <v>4925</v>
      </c>
      <c r="W1276">
        <v>94</v>
      </c>
      <c r="X1276" t="s">
        <v>1707</v>
      </c>
      <c r="Y1276" t="str">
        <f>VLOOKUP(C1276,'[1]DBS_KPY Sorumlular'!A:C,2,FALSE)</f>
        <v>Kadir TOPÇU</v>
      </c>
      <c r="Z1276" t="str">
        <f>VLOOKUP(C1276,'[1]DBS_KPY Sorumlular'!A:C,3,FALSE)</f>
        <v>Erkan AKDOĞAN</v>
      </c>
      <c r="AA1276" t="str">
        <f>VLOOKUP(K1276,[1]!Tablo3[#Data],2,FALSE)</f>
        <v>Kadir TOPÇU</v>
      </c>
    </row>
    <row r="1277" spans="1:27" x14ac:dyDescent="0.25">
      <c r="A1277">
        <v>2591</v>
      </c>
      <c r="B1277" t="s">
        <v>1419</v>
      </c>
      <c r="C1277" t="s">
        <v>1674</v>
      </c>
      <c r="D1277" t="s">
        <v>1717</v>
      </c>
      <c r="F1277" t="s">
        <v>42</v>
      </c>
      <c r="G1277" t="s">
        <v>43</v>
      </c>
      <c r="H1277" t="s">
        <v>4927</v>
      </c>
      <c r="I1277" s="4"/>
      <c r="K1277" t="s">
        <v>743</v>
      </c>
      <c r="L1277" s="5"/>
      <c r="M1277" s="5" t="s">
        <v>4928</v>
      </c>
      <c r="N1277" t="s">
        <v>35</v>
      </c>
      <c r="O1277" t="s">
        <v>4929</v>
      </c>
      <c r="S1277" t="s">
        <v>230</v>
      </c>
      <c r="T1277" s="5" t="s">
        <v>48</v>
      </c>
      <c r="U1277" t="s">
        <v>4930</v>
      </c>
      <c r="V1277" t="s">
        <v>4927</v>
      </c>
      <c r="W1277">
        <v>233</v>
      </c>
      <c r="X1277" t="s">
        <v>4931</v>
      </c>
      <c r="Y1277" t="str">
        <f>VLOOKUP(C1277,'[1]DBS_KPY Sorumlular'!A:C,2,FALSE)</f>
        <v>Kadir TOPÇU</v>
      </c>
      <c r="Z1277" t="str">
        <f>VLOOKUP(C1277,'[1]DBS_KPY Sorumlular'!A:C,3,FALSE)</f>
        <v>Erkan AKDOĞAN</v>
      </c>
      <c r="AA1277" t="str">
        <f>VLOOKUP(K1277,[1]!Tablo3[#Data],2,FALSE)</f>
        <v>Kadir TOPÇU</v>
      </c>
    </row>
    <row r="1278" spans="1:27" x14ac:dyDescent="0.25">
      <c r="A1278">
        <v>2593</v>
      </c>
      <c r="B1278" t="s">
        <v>1419</v>
      </c>
      <c r="C1278" t="s">
        <v>288</v>
      </c>
      <c r="D1278" t="s">
        <v>289</v>
      </c>
      <c r="F1278" t="s">
        <v>486</v>
      </c>
      <c r="G1278" t="s">
        <v>291</v>
      </c>
      <c r="H1278" t="s">
        <v>4932</v>
      </c>
      <c r="I1278" s="4"/>
      <c r="J1278" t="s">
        <v>4933</v>
      </c>
      <c r="K1278" t="s">
        <v>743</v>
      </c>
      <c r="L1278" s="5"/>
      <c r="M1278" s="5" t="s">
        <v>4028</v>
      </c>
      <c r="N1278" t="s">
        <v>1824</v>
      </c>
      <c r="O1278" t="s">
        <v>4934</v>
      </c>
      <c r="S1278" t="s">
        <v>230</v>
      </c>
      <c r="T1278" s="5" t="s">
        <v>38</v>
      </c>
      <c r="W1278">
        <v>23</v>
      </c>
      <c r="X1278" t="s">
        <v>295</v>
      </c>
      <c r="Y1278" t="str">
        <f>VLOOKUP(C1278,'[1]DBS_KPY Sorumlular'!A:C,2,FALSE)</f>
        <v>Sinan ERDAŞ</v>
      </c>
      <c r="Z1278" t="str">
        <f>VLOOKUP(C1278,'[1]DBS_KPY Sorumlular'!A:C,3,FALSE)</f>
        <v>Ayşegül AKGÜL</v>
      </c>
      <c r="AA1278" t="str">
        <f>VLOOKUP(K1278,[1]!Tablo3[#Data],2,FALSE)</f>
        <v>Kadir TOPÇU</v>
      </c>
    </row>
    <row r="1279" spans="1:27" x14ac:dyDescent="0.25">
      <c r="A1279">
        <v>2594</v>
      </c>
      <c r="B1279" t="s">
        <v>1419</v>
      </c>
      <c r="C1279" t="s">
        <v>1723</v>
      </c>
      <c r="D1279" t="s">
        <v>1724</v>
      </c>
      <c r="F1279" t="s">
        <v>184</v>
      </c>
      <c r="G1279" t="s">
        <v>43</v>
      </c>
      <c r="H1279" t="s">
        <v>4935</v>
      </c>
      <c r="I1279" s="4"/>
      <c r="J1279" t="s">
        <v>4936</v>
      </c>
      <c r="K1279" t="s">
        <v>743</v>
      </c>
      <c r="L1279" s="5" t="s">
        <v>4937</v>
      </c>
      <c r="M1279" s="5" t="s">
        <v>35</v>
      </c>
      <c r="N1279" t="s">
        <v>1824</v>
      </c>
      <c r="O1279" t="s">
        <v>4938</v>
      </c>
      <c r="S1279" t="s">
        <v>230</v>
      </c>
      <c r="T1279" s="5" t="s">
        <v>38</v>
      </c>
      <c r="Y1279" t="str">
        <f>VLOOKUP(C1279,'[1]DBS_KPY Sorumlular'!A:C,2,FALSE)</f>
        <v>Erkan AKDOĞAN</v>
      </c>
      <c r="Z1279" t="str">
        <f>VLOOKUP(C1279,'[1]DBS_KPY Sorumlular'!A:C,3,FALSE)</f>
        <v>Kadir TOPÇU</v>
      </c>
      <c r="AA1279" t="str">
        <f>VLOOKUP(K1279,[1]!Tablo3[#Data],2,FALSE)</f>
        <v>Kadir TOPÇU</v>
      </c>
    </row>
    <row r="1280" spans="1:27" x14ac:dyDescent="0.25">
      <c r="A1280">
        <v>2595</v>
      </c>
      <c r="B1280" t="s">
        <v>1419</v>
      </c>
      <c r="C1280" t="s">
        <v>1723</v>
      </c>
      <c r="D1280" t="s">
        <v>1724</v>
      </c>
      <c r="F1280" t="s">
        <v>184</v>
      </c>
      <c r="G1280" t="s">
        <v>43</v>
      </c>
      <c r="H1280" t="s">
        <v>4939</v>
      </c>
      <c r="I1280" s="4"/>
      <c r="J1280" t="s">
        <v>4940</v>
      </c>
      <c r="K1280" t="s">
        <v>743</v>
      </c>
      <c r="L1280" s="5" t="s">
        <v>4941</v>
      </c>
      <c r="M1280" s="5" t="s">
        <v>35</v>
      </c>
      <c r="N1280" t="s">
        <v>1824</v>
      </c>
      <c r="O1280" t="s">
        <v>4942</v>
      </c>
      <c r="S1280" t="s">
        <v>230</v>
      </c>
      <c r="T1280" s="5" t="s">
        <v>38</v>
      </c>
      <c r="Y1280" t="str">
        <f>VLOOKUP(C1280,'[1]DBS_KPY Sorumlular'!A:C,2,FALSE)</f>
        <v>Erkan AKDOĞAN</v>
      </c>
      <c r="Z1280" t="str">
        <f>VLOOKUP(C1280,'[1]DBS_KPY Sorumlular'!A:C,3,FALSE)</f>
        <v>Kadir TOPÇU</v>
      </c>
      <c r="AA1280" t="str">
        <f>VLOOKUP(K1280,[1]!Tablo3[#Data],2,FALSE)</f>
        <v>Kadir TOPÇU</v>
      </c>
    </row>
    <row r="1281" spans="1:27" x14ac:dyDescent="0.25">
      <c r="A1281">
        <v>2596</v>
      </c>
      <c r="B1281" t="s">
        <v>1419</v>
      </c>
      <c r="C1281" t="s">
        <v>1723</v>
      </c>
      <c r="D1281" t="s">
        <v>1751</v>
      </c>
      <c r="F1281" t="s">
        <v>306</v>
      </c>
      <c r="G1281" t="s">
        <v>96</v>
      </c>
      <c r="H1281" t="s">
        <v>4943</v>
      </c>
      <c r="I1281" s="4"/>
      <c r="J1281" t="s">
        <v>4944</v>
      </c>
      <c r="K1281" t="s">
        <v>743</v>
      </c>
      <c r="L1281" s="5" t="s">
        <v>4945</v>
      </c>
      <c r="M1281" s="5" t="s">
        <v>35</v>
      </c>
      <c r="N1281" t="s">
        <v>1824</v>
      </c>
      <c r="O1281" t="s">
        <v>4946</v>
      </c>
      <c r="S1281" t="s">
        <v>230</v>
      </c>
      <c r="T1281" s="5" t="s">
        <v>38</v>
      </c>
      <c r="Y1281" t="str">
        <f>VLOOKUP(C1281,'[1]DBS_KPY Sorumlular'!A:C,2,FALSE)</f>
        <v>Erkan AKDOĞAN</v>
      </c>
      <c r="Z1281" t="str">
        <f>VLOOKUP(C1281,'[1]DBS_KPY Sorumlular'!A:C,3,FALSE)</f>
        <v>Kadir TOPÇU</v>
      </c>
      <c r="AA1281" t="str">
        <f>VLOOKUP(K1281,[1]!Tablo3[#Data],2,FALSE)</f>
        <v>Kadir TOPÇU</v>
      </c>
    </row>
    <row r="1282" spans="1:27" x14ac:dyDescent="0.25">
      <c r="A1282">
        <v>2597</v>
      </c>
      <c r="B1282" t="s">
        <v>1419</v>
      </c>
      <c r="C1282" t="s">
        <v>1723</v>
      </c>
      <c r="D1282" t="s">
        <v>1724</v>
      </c>
      <c r="F1282" t="s">
        <v>486</v>
      </c>
      <c r="G1282" t="s">
        <v>67</v>
      </c>
      <c r="H1282" t="s">
        <v>4947</v>
      </c>
      <c r="I1282" s="4"/>
      <c r="J1282" t="s">
        <v>2825</v>
      </c>
      <c r="K1282" t="s">
        <v>743</v>
      </c>
      <c r="L1282" s="5" t="s">
        <v>4948</v>
      </c>
      <c r="M1282" s="5" t="s">
        <v>35</v>
      </c>
      <c r="N1282" t="s">
        <v>1824</v>
      </c>
      <c r="O1282" t="s">
        <v>4949</v>
      </c>
      <c r="S1282" t="s">
        <v>230</v>
      </c>
      <c r="T1282" s="5" t="s">
        <v>38</v>
      </c>
      <c r="Y1282" t="str">
        <f>VLOOKUP(C1282,'[1]DBS_KPY Sorumlular'!A:C,2,FALSE)</f>
        <v>Erkan AKDOĞAN</v>
      </c>
      <c r="Z1282" t="str">
        <f>VLOOKUP(C1282,'[1]DBS_KPY Sorumlular'!A:C,3,FALSE)</f>
        <v>Kadir TOPÇU</v>
      </c>
      <c r="AA1282" t="str">
        <f>VLOOKUP(K1282,[1]!Tablo3[#Data],2,FALSE)</f>
        <v>Kadir TOPÇU</v>
      </c>
    </row>
    <row r="1283" spans="1:27" x14ac:dyDescent="0.25">
      <c r="A1283">
        <v>2598</v>
      </c>
      <c r="B1283" t="s">
        <v>1419</v>
      </c>
      <c r="C1283" t="s">
        <v>402</v>
      </c>
      <c r="D1283" t="s">
        <v>403</v>
      </c>
      <c r="F1283" t="s">
        <v>383</v>
      </c>
      <c r="G1283" t="s">
        <v>384</v>
      </c>
      <c r="H1283" t="s">
        <v>4950</v>
      </c>
      <c r="I1283" s="4"/>
      <c r="J1283" t="s">
        <v>4951</v>
      </c>
      <c r="K1283" t="s">
        <v>743</v>
      </c>
      <c r="L1283" s="5" t="s">
        <v>4952</v>
      </c>
      <c r="M1283" s="5" t="s">
        <v>4028</v>
      </c>
      <c r="N1283" t="s">
        <v>1824</v>
      </c>
      <c r="O1283" t="s">
        <v>4953</v>
      </c>
      <c r="S1283" t="s">
        <v>230</v>
      </c>
      <c r="T1283" s="5" t="s">
        <v>100</v>
      </c>
      <c r="W1283">
        <v>218</v>
      </c>
      <c r="X1283" t="s">
        <v>2835</v>
      </c>
      <c r="Y1283" t="str">
        <f>VLOOKUP(C1283,'[1]DBS_KPY Sorumlular'!A:C,2,FALSE)</f>
        <v>Tayfun VİÇE</v>
      </c>
      <c r="Z1283" t="str">
        <f>VLOOKUP(C1283,'[1]DBS_KPY Sorumlular'!A:C,3,FALSE)</f>
        <v>Mehmet Ali YAVUZ</v>
      </c>
      <c r="AA1283" t="str">
        <f>VLOOKUP(K1283,[1]!Tablo3[#Data],2,FALSE)</f>
        <v>Kadir TOPÇU</v>
      </c>
    </row>
    <row r="1284" spans="1:27" x14ac:dyDescent="0.25">
      <c r="A1284">
        <v>2599</v>
      </c>
      <c r="B1284" t="s">
        <v>1419</v>
      </c>
      <c r="C1284" t="s">
        <v>402</v>
      </c>
      <c r="D1284" t="s">
        <v>403</v>
      </c>
      <c r="F1284" t="s">
        <v>383</v>
      </c>
      <c r="G1284" t="s">
        <v>384</v>
      </c>
      <c r="H1284" t="s">
        <v>4954</v>
      </c>
      <c r="I1284" s="4">
        <v>44605.875</v>
      </c>
      <c r="K1284" t="s">
        <v>743</v>
      </c>
      <c r="L1284" s="5" t="s">
        <v>4955</v>
      </c>
      <c r="M1284" s="5" t="s">
        <v>35</v>
      </c>
      <c r="N1284" t="s">
        <v>82</v>
      </c>
      <c r="O1284" t="s">
        <v>4956</v>
      </c>
      <c r="R1284">
        <v>1</v>
      </c>
      <c r="S1284" t="s">
        <v>230</v>
      </c>
      <c r="T1284" s="5" t="s">
        <v>48</v>
      </c>
      <c r="U1284" t="s">
        <v>4957</v>
      </c>
      <c r="V1284" t="s">
        <v>4954</v>
      </c>
      <c r="W1284">
        <v>226</v>
      </c>
      <c r="X1284" t="s">
        <v>779</v>
      </c>
      <c r="Y1284" t="str">
        <f>VLOOKUP(C1284,'[1]DBS_KPY Sorumlular'!A:C,2,FALSE)</f>
        <v>Tayfun VİÇE</v>
      </c>
      <c r="Z1284" t="str">
        <f>VLOOKUP(C1284,'[1]DBS_KPY Sorumlular'!A:C,3,FALSE)</f>
        <v>Mehmet Ali YAVUZ</v>
      </c>
      <c r="AA1284" t="str">
        <f>VLOOKUP(K1284,[1]!Tablo3[#Data],2,FALSE)</f>
        <v>Kadir TOPÇU</v>
      </c>
    </row>
    <row r="1285" spans="1:27" x14ac:dyDescent="0.25">
      <c r="A1285">
        <v>2600</v>
      </c>
      <c r="B1285" t="s">
        <v>1419</v>
      </c>
      <c r="C1285" t="s">
        <v>402</v>
      </c>
      <c r="D1285" t="s">
        <v>403</v>
      </c>
      <c r="F1285" t="s">
        <v>383</v>
      </c>
      <c r="G1285" t="s">
        <v>384</v>
      </c>
      <c r="H1285" t="s">
        <v>4958</v>
      </c>
      <c r="I1285" s="4">
        <v>43674.875</v>
      </c>
      <c r="J1285" t="s">
        <v>4959</v>
      </c>
      <c r="K1285" t="s">
        <v>743</v>
      </c>
      <c r="L1285" s="5" t="s">
        <v>4960</v>
      </c>
      <c r="M1285" s="5" t="s">
        <v>35</v>
      </c>
      <c r="N1285" t="s">
        <v>82</v>
      </c>
      <c r="O1285" t="s">
        <v>4961</v>
      </c>
      <c r="R1285">
        <v>1</v>
      </c>
      <c r="S1285" t="s">
        <v>230</v>
      </c>
      <c r="T1285" s="5" t="s">
        <v>48</v>
      </c>
      <c r="U1285" t="s">
        <v>4962</v>
      </c>
      <c r="V1285" t="s">
        <v>4958</v>
      </c>
      <c r="W1285">
        <v>223</v>
      </c>
      <c r="X1285" t="s">
        <v>524</v>
      </c>
      <c r="Y1285" t="str">
        <f>VLOOKUP(C1285,'[1]DBS_KPY Sorumlular'!A:C,2,FALSE)</f>
        <v>Tayfun VİÇE</v>
      </c>
      <c r="Z1285" t="str">
        <f>VLOOKUP(C1285,'[1]DBS_KPY Sorumlular'!A:C,3,FALSE)</f>
        <v>Mehmet Ali YAVUZ</v>
      </c>
      <c r="AA1285" t="str">
        <f>VLOOKUP(K1285,[1]!Tablo3[#Data],2,FALSE)</f>
        <v>Kadir TOPÇU</v>
      </c>
    </row>
    <row r="1286" spans="1:27" x14ac:dyDescent="0.25">
      <c r="A1286">
        <v>2601</v>
      </c>
      <c r="B1286" t="s">
        <v>1419</v>
      </c>
      <c r="C1286" t="s">
        <v>1674</v>
      </c>
      <c r="D1286" t="s">
        <v>1717</v>
      </c>
      <c r="F1286" t="s">
        <v>642</v>
      </c>
      <c r="G1286" t="s">
        <v>43</v>
      </c>
      <c r="H1286" t="s">
        <v>4963</v>
      </c>
      <c r="I1286" s="4"/>
      <c r="K1286" t="s">
        <v>835</v>
      </c>
      <c r="L1286" s="5"/>
      <c r="M1286" s="5" t="s">
        <v>4964</v>
      </c>
      <c r="N1286" t="s">
        <v>35</v>
      </c>
      <c r="O1286" t="s">
        <v>4965</v>
      </c>
      <c r="S1286" t="s">
        <v>230</v>
      </c>
      <c r="T1286" s="5" t="s">
        <v>48</v>
      </c>
      <c r="U1286" t="s">
        <v>4966</v>
      </c>
      <c r="V1286" t="s">
        <v>4967</v>
      </c>
      <c r="W1286">
        <v>80</v>
      </c>
      <c r="X1286" t="s">
        <v>647</v>
      </c>
      <c r="Y1286" t="str">
        <f>VLOOKUP(C1286,'[1]DBS_KPY Sorumlular'!A:C,2,FALSE)</f>
        <v>Kadir TOPÇU</v>
      </c>
      <c r="Z1286" t="str">
        <f>VLOOKUP(C1286,'[1]DBS_KPY Sorumlular'!A:C,3,FALSE)</f>
        <v>Erkan AKDOĞAN</v>
      </c>
      <c r="AA1286" t="str">
        <f>VLOOKUP(K1286,[1]!Tablo3[#Data],2,FALSE)</f>
        <v>Kadir TOPÇU</v>
      </c>
    </row>
    <row r="1287" spans="1:27" x14ac:dyDescent="0.25">
      <c r="A1287">
        <v>2602</v>
      </c>
      <c r="B1287" t="s">
        <v>1419</v>
      </c>
      <c r="C1287" t="s">
        <v>1674</v>
      </c>
      <c r="D1287" t="s">
        <v>1717</v>
      </c>
      <c r="F1287" t="s">
        <v>102</v>
      </c>
      <c r="G1287" t="s">
        <v>43</v>
      </c>
      <c r="H1287" t="s">
        <v>4968</v>
      </c>
      <c r="I1287" s="4"/>
      <c r="K1287" t="s">
        <v>835</v>
      </c>
      <c r="L1287" s="5"/>
      <c r="M1287" s="5" t="s">
        <v>35</v>
      </c>
      <c r="N1287" t="s">
        <v>35</v>
      </c>
      <c r="O1287" t="s">
        <v>4969</v>
      </c>
      <c r="S1287" t="s">
        <v>230</v>
      </c>
      <c r="T1287" s="5" t="s">
        <v>100</v>
      </c>
      <c r="U1287" t="s">
        <v>4970</v>
      </c>
      <c r="V1287" t="s">
        <v>4968</v>
      </c>
      <c r="W1287">
        <v>41</v>
      </c>
      <c r="X1287" t="s">
        <v>4834</v>
      </c>
      <c r="Y1287" t="str">
        <f>VLOOKUP(C1287,'[1]DBS_KPY Sorumlular'!A:C,2,FALSE)</f>
        <v>Kadir TOPÇU</v>
      </c>
      <c r="Z1287" t="str">
        <f>VLOOKUP(C1287,'[1]DBS_KPY Sorumlular'!A:C,3,FALSE)</f>
        <v>Erkan AKDOĞAN</v>
      </c>
      <c r="AA1287" t="str">
        <f>VLOOKUP(K1287,[1]!Tablo3[#Data],2,FALSE)</f>
        <v>Kadir TOPÇU</v>
      </c>
    </row>
    <row r="1288" spans="1:27" x14ac:dyDescent="0.25">
      <c r="A1288">
        <v>2603</v>
      </c>
      <c r="B1288" t="s">
        <v>1419</v>
      </c>
      <c r="C1288" t="s">
        <v>652</v>
      </c>
      <c r="D1288" t="s">
        <v>653</v>
      </c>
      <c r="F1288" t="s">
        <v>455</v>
      </c>
      <c r="G1288" t="s">
        <v>456</v>
      </c>
      <c r="H1288" t="s">
        <v>4971</v>
      </c>
      <c r="I1288" s="4"/>
      <c r="J1288" t="s">
        <v>4972</v>
      </c>
      <c r="K1288" t="s">
        <v>835</v>
      </c>
      <c r="L1288" s="5"/>
      <c r="M1288" s="5" t="s">
        <v>4028</v>
      </c>
      <c r="N1288" t="s">
        <v>1824</v>
      </c>
      <c r="O1288" t="s">
        <v>4973</v>
      </c>
      <c r="S1288" t="s">
        <v>230</v>
      </c>
      <c r="T1288" s="5" t="s">
        <v>100</v>
      </c>
      <c r="W1288">
        <v>144</v>
      </c>
      <c r="X1288" t="s">
        <v>463</v>
      </c>
      <c r="Y1288" t="str">
        <f>VLOOKUP(C1288,'[1]DBS_KPY Sorumlular'!A:C,2,FALSE)</f>
        <v>Seyithan İŞİK</v>
      </c>
      <c r="Z1288" t="str">
        <f>VLOOKUP(C1288,'[1]DBS_KPY Sorumlular'!A:C,3,FALSE)</f>
        <v>Korhan KÖROĞLU</v>
      </c>
      <c r="AA1288" t="str">
        <f>VLOOKUP(K1288,[1]!Tablo3[#Data],2,FALSE)</f>
        <v>Kadir TOPÇU</v>
      </c>
    </row>
    <row r="1289" spans="1:27" x14ac:dyDescent="0.25">
      <c r="A1289">
        <v>2604</v>
      </c>
      <c r="B1289" t="s">
        <v>1419</v>
      </c>
      <c r="C1289" t="s">
        <v>1674</v>
      </c>
      <c r="D1289" t="s">
        <v>1675</v>
      </c>
      <c r="F1289" t="s">
        <v>486</v>
      </c>
      <c r="G1289" t="s">
        <v>30</v>
      </c>
      <c r="H1289" t="s">
        <v>4974</v>
      </c>
      <c r="I1289" s="4"/>
      <c r="J1289" t="s">
        <v>4975</v>
      </c>
      <c r="K1289" t="s">
        <v>835</v>
      </c>
      <c r="L1289" s="5"/>
      <c r="M1289" s="5" t="s">
        <v>35</v>
      </c>
      <c r="N1289" t="s">
        <v>35</v>
      </c>
      <c r="O1289" t="s">
        <v>4976</v>
      </c>
      <c r="S1289" t="s">
        <v>230</v>
      </c>
      <c r="T1289" s="5" t="s">
        <v>48</v>
      </c>
      <c r="U1289" t="s">
        <v>4977</v>
      </c>
      <c r="V1289" t="s">
        <v>4974</v>
      </c>
      <c r="W1289">
        <v>79</v>
      </c>
      <c r="X1289" t="s">
        <v>1619</v>
      </c>
      <c r="Y1289" t="str">
        <f>VLOOKUP(C1289,'[1]DBS_KPY Sorumlular'!A:C,2,FALSE)</f>
        <v>Kadir TOPÇU</v>
      </c>
      <c r="Z1289" t="str">
        <f>VLOOKUP(C1289,'[1]DBS_KPY Sorumlular'!A:C,3,FALSE)</f>
        <v>Erkan AKDOĞAN</v>
      </c>
      <c r="AA1289" t="str">
        <f>VLOOKUP(K1289,[1]!Tablo3[#Data],2,FALSE)</f>
        <v>Kadir TOPÇU</v>
      </c>
    </row>
    <row r="1290" spans="1:27" x14ac:dyDescent="0.25">
      <c r="A1290">
        <v>2605</v>
      </c>
      <c r="B1290" t="s">
        <v>1419</v>
      </c>
      <c r="C1290" t="s">
        <v>652</v>
      </c>
      <c r="D1290" t="s">
        <v>653</v>
      </c>
      <c r="F1290" t="s">
        <v>486</v>
      </c>
      <c r="G1290" t="s">
        <v>456</v>
      </c>
      <c r="H1290" t="s">
        <v>4978</v>
      </c>
      <c r="I1290" s="4"/>
      <c r="J1290" t="s">
        <v>4979</v>
      </c>
      <c r="K1290" t="s">
        <v>835</v>
      </c>
      <c r="L1290" s="5"/>
      <c r="M1290" s="5" t="s">
        <v>4028</v>
      </c>
      <c r="N1290" t="s">
        <v>1824</v>
      </c>
      <c r="O1290" t="s">
        <v>4980</v>
      </c>
      <c r="S1290" t="s">
        <v>230</v>
      </c>
      <c r="T1290" s="5" t="s">
        <v>100</v>
      </c>
      <c r="W1290">
        <v>144</v>
      </c>
      <c r="X1290" t="s">
        <v>463</v>
      </c>
      <c r="Y1290" t="str">
        <f>VLOOKUP(C1290,'[1]DBS_KPY Sorumlular'!A:C,2,FALSE)</f>
        <v>Seyithan İŞİK</v>
      </c>
      <c r="Z1290" t="str">
        <f>VLOOKUP(C1290,'[1]DBS_KPY Sorumlular'!A:C,3,FALSE)</f>
        <v>Korhan KÖROĞLU</v>
      </c>
      <c r="AA1290" t="str">
        <f>VLOOKUP(K1290,[1]!Tablo3[#Data],2,FALSE)</f>
        <v>Kadir TOPÇU</v>
      </c>
    </row>
    <row r="1291" spans="1:27" x14ac:dyDescent="0.25">
      <c r="A1291">
        <v>2606</v>
      </c>
      <c r="B1291" t="s">
        <v>1419</v>
      </c>
      <c r="C1291" t="s">
        <v>1674</v>
      </c>
      <c r="D1291" t="s">
        <v>1717</v>
      </c>
      <c r="F1291" t="s">
        <v>52</v>
      </c>
      <c r="G1291" t="s">
        <v>291</v>
      </c>
      <c r="H1291" t="s">
        <v>4981</v>
      </c>
      <c r="I1291" s="4"/>
      <c r="J1291" t="s">
        <v>4982</v>
      </c>
      <c r="K1291" t="s">
        <v>835</v>
      </c>
      <c r="L1291" s="5"/>
      <c r="M1291" s="5" t="s">
        <v>4028</v>
      </c>
      <c r="N1291" t="s">
        <v>35</v>
      </c>
      <c r="O1291" t="s">
        <v>4983</v>
      </c>
      <c r="S1291" t="s">
        <v>230</v>
      </c>
      <c r="T1291" s="5" t="s">
        <v>48</v>
      </c>
      <c r="U1291" t="s">
        <v>4984</v>
      </c>
      <c r="V1291" t="s">
        <v>4985</v>
      </c>
      <c r="W1291">
        <v>72</v>
      </c>
      <c r="X1291" t="s">
        <v>341</v>
      </c>
      <c r="Y1291" t="str">
        <f>VLOOKUP(C1291,'[1]DBS_KPY Sorumlular'!A:C,2,FALSE)</f>
        <v>Kadir TOPÇU</v>
      </c>
      <c r="Z1291" t="str">
        <f>VLOOKUP(C1291,'[1]DBS_KPY Sorumlular'!A:C,3,FALSE)</f>
        <v>Erkan AKDOĞAN</v>
      </c>
      <c r="AA1291" t="str">
        <f>VLOOKUP(K1291,[1]!Tablo3[#Data],2,FALSE)</f>
        <v>Kadir TOPÇU</v>
      </c>
    </row>
    <row r="1292" spans="1:27" x14ac:dyDescent="0.25">
      <c r="A1292">
        <v>2607</v>
      </c>
      <c r="B1292" t="s">
        <v>1419</v>
      </c>
      <c r="C1292" t="s">
        <v>1674</v>
      </c>
      <c r="D1292" t="s">
        <v>1717</v>
      </c>
      <c r="F1292" t="s">
        <v>102</v>
      </c>
      <c r="G1292" t="s">
        <v>43</v>
      </c>
      <c r="H1292" t="s">
        <v>4986</v>
      </c>
      <c r="I1292" s="4"/>
      <c r="J1292" t="s">
        <v>4987</v>
      </c>
      <c r="K1292" t="s">
        <v>835</v>
      </c>
      <c r="L1292" s="5"/>
      <c r="M1292" s="5" t="s">
        <v>4028</v>
      </c>
      <c r="N1292" t="s">
        <v>1824</v>
      </c>
      <c r="O1292" t="s">
        <v>4988</v>
      </c>
      <c r="S1292" t="s">
        <v>230</v>
      </c>
      <c r="T1292" s="5" t="s">
        <v>100</v>
      </c>
      <c r="W1292">
        <v>41</v>
      </c>
      <c r="X1292" t="s">
        <v>4834</v>
      </c>
      <c r="Y1292" t="str">
        <f>VLOOKUP(C1292,'[1]DBS_KPY Sorumlular'!A:C,2,FALSE)</f>
        <v>Kadir TOPÇU</v>
      </c>
      <c r="Z1292" t="str">
        <f>VLOOKUP(C1292,'[1]DBS_KPY Sorumlular'!A:C,3,FALSE)</f>
        <v>Erkan AKDOĞAN</v>
      </c>
      <c r="AA1292" t="str">
        <f>VLOOKUP(K1292,[1]!Tablo3[#Data],2,FALSE)</f>
        <v>Kadir TOPÇU</v>
      </c>
    </row>
    <row r="1293" spans="1:27" x14ac:dyDescent="0.25">
      <c r="A1293">
        <v>2608</v>
      </c>
      <c r="B1293" t="s">
        <v>1419</v>
      </c>
      <c r="C1293" t="s">
        <v>1723</v>
      </c>
      <c r="D1293" t="s">
        <v>1724</v>
      </c>
      <c r="F1293" t="s">
        <v>306</v>
      </c>
      <c r="G1293" t="s">
        <v>96</v>
      </c>
      <c r="H1293" t="s">
        <v>4989</v>
      </c>
      <c r="I1293" s="4"/>
      <c r="J1293" t="s">
        <v>4990</v>
      </c>
      <c r="K1293" t="s">
        <v>835</v>
      </c>
      <c r="L1293" s="5"/>
      <c r="M1293" s="5" t="s">
        <v>4028</v>
      </c>
      <c r="N1293" t="s">
        <v>1824</v>
      </c>
      <c r="O1293" t="s">
        <v>4991</v>
      </c>
      <c r="S1293" t="s">
        <v>230</v>
      </c>
      <c r="T1293" s="5" t="s">
        <v>38</v>
      </c>
      <c r="Y1293" t="str">
        <f>VLOOKUP(C1293,'[1]DBS_KPY Sorumlular'!A:C,2,FALSE)</f>
        <v>Erkan AKDOĞAN</v>
      </c>
      <c r="Z1293" t="str">
        <f>VLOOKUP(C1293,'[1]DBS_KPY Sorumlular'!A:C,3,FALSE)</f>
        <v>Kadir TOPÇU</v>
      </c>
      <c r="AA1293" t="str">
        <f>VLOOKUP(K1293,[1]!Tablo3[#Data],2,FALSE)</f>
        <v>Kadir TOPÇU</v>
      </c>
    </row>
    <row r="1294" spans="1:27" x14ac:dyDescent="0.25">
      <c r="A1294">
        <v>2609</v>
      </c>
      <c r="B1294" t="s">
        <v>27</v>
      </c>
      <c r="C1294" t="s">
        <v>40</v>
      </c>
      <c r="D1294" t="s">
        <v>41</v>
      </c>
      <c r="F1294" t="s">
        <v>113</v>
      </c>
      <c r="G1294" t="s">
        <v>43</v>
      </c>
      <c r="H1294" t="s">
        <v>4992</v>
      </c>
      <c r="I1294" s="4">
        <v>45930.875</v>
      </c>
      <c r="K1294" t="s">
        <v>835</v>
      </c>
      <c r="L1294" s="5"/>
      <c r="M1294" s="5"/>
      <c r="N1294" t="s">
        <v>46</v>
      </c>
      <c r="O1294" t="s">
        <v>4993</v>
      </c>
      <c r="R1294">
        <v>0.5</v>
      </c>
      <c r="S1294" t="s">
        <v>230</v>
      </c>
      <c r="T1294" s="5" t="s">
        <v>58</v>
      </c>
      <c r="U1294" t="s">
        <v>752</v>
      </c>
      <c r="V1294" t="s">
        <v>753</v>
      </c>
      <c r="W1294">
        <v>72</v>
      </c>
      <c r="X1294" t="s">
        <v>341</v>
      </c>
      <c r="Y1294" t="str">
        <f>VLOOKUP(C1294,'[1]DBS_KPY Sorumlular'!A:C,2,FALSE)</f>
        <v>Mustafa AYDIN</v>
      </c>
      <c r="Z1294" t="str">
        <f>VLOOKUP(C1294,'[1]DBS_KPY Sorumlular'!A:C,3,FALSE)</f>
        <v>Esra DOLAN</v>
      </c>
      <c r="AA1294" t="str">
        <f>VLOOKUP(K1294,[1]!Tablo3[#Data],2,FALSE)</f>
        <v>Kadir TOPÇU</v>
      </c>
    </row>
    <row r="1295" spans="1:27" x14ac:dyDescent="0.25">
      <c r="A1295">
        <v>2611</v>
      </c>
      <c r="B1295" t="s">
        <v>1419</v>
      </c>
      <c r="C1295" t="s">
        <v>1723</v>
      </c>
      <c r="D1295" t="s">
        <v>1751</v>
      </c>
      <c r="F1295" t="s">
        <v>486</v>
      </c>
      <c r="G1295" t="s">
        <v>67</v>
      </c>
      <c r="H1295" t="s">
        <v>4994</v>
      </c>
      <c r="I1295" s="4"/>
      <c r="J1295" t="s">
        <v>4995</v>
      </c>
      <c r="K1295" t="s">
        <v>853</v>
      </c>
      <c r="L1295" s="5" t="s">
        <v>4996</v>
      </c>
      <c r="M1295" s="5" t="s">
        <v>35</v>
      </c>
      <c r="N1295" t="s">
        <v>1824</v>
      </c>
      <c r="O1295" t="s">
        <v>4997</v>
      </c>
      <c r="S1295" t="s">
        <v>57</v>
      </c>
      <c r="T1295" s="5" t="s">
        <v>38</v>
      </c>
      <c r="Y1295" t="str">
        <f>VLOOKUP(C1295,'[1]DBS_KPY Sorumlular'!A:C,2,FALSE)</f>
        <v>Erkan AKDOĞAN</v>
      </c>
      <c r="Z1295" t="str">
        <f>VLOOKUP(C1295,'[1]DBS_KPY Sorumlular'!A:C,3,FALSE)</f>
        <v>Kadir TOPÇU</v>
      </c>
      <c r="AA1295" t="str">
        <f>VLOOKUP(K1295,[1]!Tablo3[#Data],2,FALSE)</f>
        <v>Erkan AKDOĞAN</v>
      </c>
    </row>
    <row r="1296" spans="1:27" x14ac:dyDescent="0.25">
      <c r="A1296">
        <v>2612</v>
      </c>
      <c r="B1296" t="s">
        <v>1419</v>
      </c>
      <c r="C1296" t="s">
        <v>1723</v>
      </c>
      <c r="D1296" t="s">
        <v>1751</v>
      </c>
      <c r="F1296" t="s">
        <v>306</v>
      </c>
      <c r="G1296" t="s">
        <v>96</v>
      </c>
      <c r="H1296" t="s">
        <v>4998</v>
      </c>
      <c r="I1296" s="4"/>
      <c r="J1296" t="s">
        <v>4999</v>
      </c>
      <c r="K1296" t="s">
        <v>853</v>
      </c>
      <c r="L1296" s="5" t="s">
        <v>5000</v>
      </c>
      <c r="M1296" s="5" t="s">
        <v>35</v>
      </c>
      <c r="N1296" t="s">
        <v>1824</v>
      </c>
      <c r="O1296" t="s">
        <v>5001</v>
      </c>
      <c r="S1296" t="s">
        <v>57</v>
      </c>
      <c r="T1296" s="5" t="s">
        <v>38</v>
      </c>
      <c r="Y1296" t="str">
        <f>VLOOKUP(C1296,'[1]DBS_KPY Sorumlular'!A:C,2,FALSE)</f>
        <v>Erkan AKDOĞAN</v>
      </c>
      <c r="Z1296" t="str">
        <f>VLOOKUP(C1296,'[1]DBS_KPY Sorumlular'!A:C,3,FALSE)</f>
        <v>Kadir TOPÇU</v>
      </c>
      <c r="AA1296" t="str">
        <f>VLOOKUP(K1296,[1]!Tablo3[#Data],2,FALSE)</f>
        <v>Erkan AKDOĞAN</v>
      </c>
    </row>
    <row r="1297" spans="1:27" x14ac:dyDescent="0.25">
      <c r="A1297">
        <v>2613</v>
      </c>
      <c r="B1297" t="s">
        <v>1419</v>
      </c>
      <c r="C1297" t="s">
        <v>1674</v>
      </c>
      <c r="D1297" t="s">
        <v>1675</v>
      </c>
      <c r="F1297" t="s">
        <v>66</v>
      </c>
      <c r="G1297" t="s">
        <v>67</v>
      </c>
      <c r="H1297" t="s">
        <v>5002</v>
      </c>
      <c r="I1297" s="4"/>
      <c r="J1297" t="s">
        <v>5003</v>
      </c>
      <c r="K1297" t="s">
        <v>853</v>
      </c>
      <c r="L1297" s="5" t="s">
        <v>5004</v>
      </c>
      <c r="M1297" s="5"/>
      <c r="N1297" t="s">
        <v>739</v>
      </c>
      <c r="O1297" t="s">
        <v>5005</v>
      </c>
      <c r="S1297" t="s">
        <v>57</v>
      </c>
      <c r="T1297" s="5" t="s">
        <v>48</v>
      </c>
      <c r="U1297" t="s">
        <v>5006</v>
      </c>
      <c r="V1297" t="s">
        <v>5007</v>
      </c>
      <c r="W1297">
        <v>203</v>
      </c>
      <c r="X1297" t="s">
        <v>72</v>
      </c>
      <c r="Y1297" t="str">
        <f>VLOOKUP(C1297,'[1]DBS_KPY Sorumlular'!A:C,2,FALSE)</f>
        <v>Kadir TOPÇU</v>
      </c>
      <c r="Z1297" t="str">
        <f>VLOOKUP(C1297,'[1]DBS_KPY Sorumlular'!A:C,3,FALSE)</f>
        <v>Erkan AKDOĞAN</v>
      </c>
      <c r="AA1297" t="str">
        <f>VLOOKUP(K1297,[1]!Tablo3[#Data],2,FALSE)</f>
        <v>Erkan AKDOĞAN</v>
      </c>
    </row>
    <row r="1298" spans="1:27" x14ac:dyDescent="0.25">
      <c r="A1298">
        <v>2614</v>
      </c>
      <c r="B1298" t="s">
        <v>1419</v>
      </c>
      <c r="C1298" t="s">
        <v>1723</v>
      </c>
      <c r="D1298" t="s">
        <v>1751</v>
      </c>
      <c r="F1298" t="s">
        <v>306</v>
      </c>
      <c r="G1298" t="s">
        <v>96</v>
      </c>
      <c r="H1298" t="s">
        <v>5008</v>
      </c>
      <c r="I1298" s="4"/>
      <c r="J1298" t="s">
        <v>5009</v>
      </c>
      <c r="K1298" t="s">
        <v>853</v>
      </c>
      <c r="L1298" s="5" t="s">
        <v>5010</v>
      </c>
      <c r="M1298" s="5" t="s">
        <v>5011</v>
      </c>
      <c r="N1298" t="s">
        <v>1824</v>
      </c>
      <c r="O1298" t="s">
        <v>5012</v>
      </c>
      <c r="S1298" t="s">
        <v>57</v>
      </c>
      <c r="T1298" s="5" t="s">
        <v>38</v>
      </c>
      <c r="Y1298" t="str">
        <f>VLOOKUP(C1298,'[1]DBS_KPY Sorumlular'!A:C,2,FALSE)</f>
        <v>Erkan AKDOĞAN</v>
      </c>
      <c r="Z1298" t="str">
        <f>VLOOKUP(C1298,'[1]DBS_KPY Sorumlular'!A:C,3,FALSE)</f>
        <v>Kadir TOPÇU</v>
      </c>
      <c r="AA1298" t="str">
        <f>VLOOKUP(K1298,[1]!Tablo3[#Data],2,FALSE)</f>
        <v>Erkan AKDOĞAN</v>
      </c>
    </row>
    <row r="1299" spans="1:27" x14ac:dyDescent="0.25">
      <c r="A1299">
        <v>2615</v>
      </c>
      <c r="B1299" t="s">
        <v>1419</v>
      </c>
      <c r="C1299" t="s">
        <v>1723</v>
      </c>
      <c r="D1299" t="s">
        <v>1751</v>
      </c>
      <c r="F1299" t="s">
        <v>486</v>
      </c>
      <c r="G1299" t="s">
        <v>30</v>
      </c>
      <c r="H1299" t="s">
        <v>5013</v>
      </c>
      <c r="I1299" s="4"/>
      <c r="J1299" t="s">
        <v>5013</v>
      </c>
      <c r="K1299" t="s">
        <v>853</v>
      </c>
      <c r="L1299" s="5" t="s">
        <v>5014</v>
      </c>
      <c r="M1299" s="5" t="s">
        <v>4028</v>
      </c>
      <c r="N1299" t="s">
        <v>1824</v>
      </c>
      <c r="O1299" t="s">
        <v>5015</v>
      </c>
      <c r="S1299" t="s">
        <v>57</v>
      </c>
      <c r="T1299" s="5" t="s">
        <v>38</v>
      </c>
      <c r="Y1299" t="str">
        <f>VLOOKUP(C1299,'[1]DBS_KPY Sorumlular'!A:C,2,FALSE)</f>
        <v>Erkan AKDOĞAN</v>
      </c>
      <c r="Z1299" t="str">
        <f>VLOOKUP(C1299,'[1]DBS_KPY Sorumlular'!A:C,3,FALSE)</f>
        <v>Kadir TOPÇU</v>
      </c>
      <c r="AA1299" t="str">
        <f>VLOOKUP(K1299,[1]!Tablo3[#Data],2,FALSE)</f>
        <v>Erkan AKDOĞAN</v>
      </c>
    </row>
    <row r="1300" spans="1:27" x14ac:dyDescent="0.25">
      <c r="A1300">
        <v>2616</v>
      </c>
      <c r="B1300" t="s">
        <v>1419</v>
      </c>
      <c r="C1300" t="s">
        <v>4284</v>
      </c>
      <c r="D1300" t="s">
        <v>5016</v>
      </c>
      <c r="E1300" t="s">
        <v>844</v>
      </c>
      <c r="F1300" t="s">
        <v>290</v>
      </c>
      <c r="G1300" t="s">
        <v>96</v>
      </c>
      <c r="H1300" t="s">
        <v>5017</v>
      </c>
      <c r="I1300" s="4"/>
      <c r="J1300" t="s">
        <v>5018</v>
      </c>
      <c r="K1300" t="s">
        <v>853</v>
      </c>
      <c r="L1300" s="5" t="s">
        <v>5019</v>
      </c>
      <c r="M1300" s="5" t="s">
        <v>4028</v>
      </c>
      <c r="N1300" t="s">
        <v>1824</v>
      </c>
      <c r="O1300" t="s">
        <v>5020</v>
      </c>
      <c r="S1300" t="s">
        <v>57</v>
      </c>
      <c r="T1300" s="5" t="s">
        <v>38</v>
      </c>
      <c r="W1300">
        <v>91</v>
      </c>
      <c r="X1300" t="s">
        <v>101</v>
      </c>
      <c r="Y1300" t="str">
        <f>VLOOKUP(C1300,'[1]DBS_KPY Sorumlular'!A:C,2,FALSE)</f>
        <v>Korhan KÖROĞLU</v>
      </c>
      <c r="Z1300" t="str">
        <f>VLOOKUP(C1300,'[1]DBS_KPY Sorumlular'!A:C,3,FALSE)</f>
        <v>Seyithan İŞİK</v>
      </c>
      <c r="AA1300" t="str">
        <f>VLOOKUP(K1300,[1]!Tablo3[#Data],2,FALSE)</f>
        <v>Erkan AKDOĞAN</v>
      </c>
    </row>
    <row r="1301" spans="1:27" x14ac:dyDescent="0.25">
      <c r="A1301">
        <v>2617</v>
      </c>
      <c r="B1301" t="s">
        <v>1419</v>
      </c>
      <c r="C1301" t="s">
        <v>1046</v>
      </c>
      <c r="D1301" t="s">
        <v>1047</v>
      </c>
      <c r="F1301" t="s">
        <v>42</v>
      </c>
      <c r="G1301" t="s">
        <v>43</v>
      </c>
      <c r="H1301" t="s">
        <v>5021</v>
      </c>
      <c r="I1301" s="4"/>
      <c r="J1301" t="s">
        <v>5022</v>
      </c>
      <c r="K1301" t="s">
        <v>898</v>
      </c>
      <c r="L1301" s="5"/>
      <c r="M1301" s="5" t="s">
        <v>35</v>
      </c>
      <c r="N1301" t="s">
        <v>1824</v>
      </c>
      <c r="O1301" t="s">
        <v>5023</v>
      </c>
      <c r="S1301" t="s">
        <v>57</v>
      </c>
      <c r="T1301" s="5" t="s">
        <v>38</v>
      </c>
      <c r="U1301" t="s">
        <v>5024</v>
      </c>
      <c r="V1301" t="s">
        <v>5021</v>
      </c>
      <c r="W1301">
        <v>68</v>
      </c>
      <c r="X1301" t="s">
        <v>51</v>
      </c>
      <c r="Y1301" t="str">
        <f>VLOOKUP(C1301,'[1]DBS_KPY Sorumlular'!A:C,2,FALSE)</f>
        <v>Ayşegül AKGÜL</v>
      </c>
      <c r="Z1301" t="str">
        <f>VLOOKUP(C1301,'[1]DBS_KPY Sorumlular'!A:C,3,FALSE)</f>
        <v>Sinan ERDAŞ</v>
      </c>
      <c r="AA1301" t="str">
        <f>VLOOKUP(K1301,[1]!Tablo3[#Data],2,FALSE)</f>
        <v>Erkan AKDOĞAN</v>
      </c>
    </row>
    <row r="1302" spans="1:27" x14ac:dyDescent="0.25">
      <c r="A1302">
        <v>2618</v>
      </c>
      <c r="B1302" t="s">
        <v>1419</v>
      </c>
      <c r="C1302" t="s">
        <v>1723</v>
      </c>
      <c r="D1302" t="s">
        <v>3285</v>
      </c>
      <c r="F1302" t="s">
        <v>5025</v>
      </c>
      <c r="G1302" t="s">
        <v>67</v>
      </c>
      <c r="H1302" t="s">
        <v>5026</v>
      </c>
      <c r="I1302" s="4"/>
      <c r="J1302" t="s">
        <v>5027</v>
      </c>
      <c r="K1302" t="s">
        <v>898</v>
      </c>
      <c r="L1302" s="5" t="s">
        <v>5028</v>
      </c>
      <c r="M1302" s="5" t="s">
        <v>35</v>
      </c>
      <c r="N1302" t="s">
        <v>1824</v>
      </c>
      <c r="O1302" t="s">
        <v>5023</v>
      </c>
      <c r="S1302" t="s">
        <v>57</v>
      </c>
      <c r="T1302" s="5" t="s">
        <v>38</v>
      </c>
      <c r="Y1302" t="str">
        <f>VLOOKUP(C1302,'[1]DBS_KPY Sorumlular'!A:C,2,FALSE)</f>
        <v>Erkan AKDOĞAN</v>
      </c>
      <c r="Z1302" t="str">
        <f>VLOOKUP(C1302,'[1]DBS_KPY Sorumlular'!A:C,3,FALSE)</f>
        <v>Kadir TOPÇU</v>
      </c>
      <c r="AA1302" t="str">
        <f>VLOOKUP(K1302,[1]!Tablo3[#Data],2,FALSE)</f>
        <v>Erkan AKDOĞAN</v>
      </c>
    </row>
    <row r="1303" spans="1:27" x14ac:dyDescent="0.25">
      <c r="A1303">
        <v>2620</v>
      </c>
      <c r="B1303" t="s">
        <v>27</v>
      </c>
      <c r="C1303" t="s">
        <v>40</v>
      </c>
      <c r="D1303" t="s">
        <v>65</v>
      </c>
      <c r="F1303" t="s">
        <v>486</v>
      </c>
      <c r="G1303" t="s">
        <v>67</v>
      </c>
      <c r="H1303" t="s">
        <v>5029</v>
      </c>
      <c r="I1303" s="4">
        <v>45550.875</v>
      </c>
      <c r="K1303" t="s">
        <v>914</v>
      </c>
      <c r="L1303" s="5"/>
      <c r="M1303" s="5"/>
      <c r="N1303" t="s">
        <v>82</v>
      </c>
      <c r="O1303" t="s">
        <v>5030</v>
      </c>
      <c r="R1303">
        <v>1</v>
      </c>
      <c r="S1303" t="s">
        <v>37</v>
      </c>
      <c r="T1303" s="5" t="s">
        <v>100</v>
      </c>
      <c r="W1303">
        <v>103</v>
      </c>
      <c r="X1303" t="s">
        <v>353</v>
      </c>
      <c r="Y1303" t="str">
        <f>VLOOKUP(C1303,'[1]DBS_KPY Sorumlular'!A:C,2,FALSE)</f>
        <v>Mustafa AYDIN</v>
      </c>
      <c r="Z1303" t="str">
        <f>VLOOKUP(C1303,'[1]DBS_KPY Sorumlular'!A:C,3,FALSE)</f>
        <v>Esra DOLAN</v>
      </c>
      <c r="AA1303" t="str">
        <f>VLOOKUP(K1303,[1]!Tablo3[#Data],2,FALSE)</f>
        <v>Tayfun VİÇE</v>
      </c>
    </row>
    <row r="1304" spans="1:27" x14ac:dyDescent="0.25">
      <c r="A1304">
        <v>2621</v>
      </c>
      <c r="B1304" t="s">
        <v>1419</v>
      </c>
      <c r="C1304" t="s">
        <v>40</v>
      </c>
      <c r="D1304" t="s">
        <v>65</v>
      </c>
      <c r="F1304" t="s">
        <v>486</v>
      </c>
      <c r="G1304" t="s">
        <v>67</v>
      </c>
      <c r="H1304" t="s">
        <v>5031</v>
      </c>
      <c r="I1304" s="4"/>
      <c r="K1304" t="s">
        <v>914</v>
      </c>
      <c r="L1304" s="5"/>
      <c r="M1304" s="5" t="s">
        <v>35</v>
      </c>
      <c r="N1304" t="s">
        <v>1824</v>
      </c>
      <c r="O1304" t="s">
        <v>5032</v>
      </c>
      <c r="S1304" t="s">
        <v>37</v>
      </c>
      <c r="T1304" s="5" t="s">
        <v>100</v>
      </c>
      <c r="W1304">
        <v>103</v>
      </c>
      <c r="X1304" t="s">
        <v>353</v>
      </c>
      <c r="Y1304" t="str">
        <f>VLOOKUP(C1304,'[1]DBS_KPY Sorumlular'!A:C,2,FALSE)</f>
        <v>Mustafa AYDIN</v>
      </c>
      <c r="Z1304" t="str">
        <f>VLOOKUP(C1304,'[1]DBS_KPY Sorumlular'!A:C,3,FALSE)</f>
        <v>Esra DOLAN</v>
      </c>
      <c r="AA1304" t="str">
        <f>VLOOKUP(K1304,[1]!Tablo3[#Data],2,FALSE)</f>
        <v>Tayfun VİÇE</v>
      </c>
    </row>
    <row r="1305" spans="1:27" x14ac:dyDescent="0.25">
      <c r="A1305">
        <v>2622</v>
      </c>
      <c r="B1305" t="s">
        <v>1419</v>
      </c>
      <c r="C1305" t="s">
        <v>652</v>
      </c>
      <c r="D1305" t="s">
        <v>653</v>
      </c>
      <c r="F1305" t="s">
        <v>455</v>
      </c>
      <c r="G1305" t="s">
        <v>456</v>
      </c>
      <c r="H1305" t="s">
        <v>5033</v>
      </c>
      <c r="I1305" s="4"/>
      <c r="J1305" t="s">
        <v>5034</v>
      </c>
      <c r="K1305" t="s">
        <v>914</v>
      </c>
      <c r="L1305" s="5"/>
      <c r="M1305" s="5" t="s">
        <v>35</v>
      </c>
      <c r="N1305" t="s">
        <v>1824</v>
      </c>
      <c r="O1305" t="s">
        <v>5035</v>
      </c>
      <c r="S1305" t="s">
        <v>37</v>
      </c>
      <c r="T1305" s="5" t="s">
        <v>100</v>
      </c>
      <c r="W1305">
        <v>144</v>
      </c>
      <c r="X1305" t="s">
        <v>463</v>
      </c>
      <c r="Y1305" t="str">
        <f>VLOOKUP(C1305,'[1]DBS_KPY Sorumlular'!A:C,2,FALSE)</f>
        <v>Seyithan İŞİK</v>
      </c>
      <c r="Z1305" t="str">
        <f>VLOOKUP(C1305,'[1]DBS_KPY Sorumlular'!A:C,3,FALSE)</f>
        <v>Korhan KÖROĞLU</v>
      </c>
      <c r="AA1305" t="str">
        <f>VLOOKUP(K1305,[1]!Tablo3[#Data],2,FALSE)</f>
        <v>Tayfun VİÇE</v>
      </c>
    </row>
    <row r="1306" spans="1:27" x14ac:dyDescent="0.25">
      <c r="A1306">
        <v>2623</v>
      </c>
      <c r="B1306" t="s">
        <v>1419</v>
      </c>
      <c r="C1306" t="s">
        <v>652</v>
      </c>
      <c r="D1306" t="s">
        <v>653</v>
      </c>
      <c r="F1306" t="s">
        <v>455</v>
      </c>
      <c r="G1306" t="s">
        <v>456</v>
      </c>
      <c r="H1306" t="s">
        <v>5036</v>
      </c>
      <c r="I1306" s="4"/>
      <c r="J1306" t="s">
        <v>5037</v>
      </c>
      <c r="K1306" t="s">
        <v>914</v>
      </c>
      <c r="L1306" s="5"/>
      <c r="M1306" s="5" t="s">
        <v>35</v>
      </c>
      <c r="N1306" t="s">
        <v>1824</v>
      </c>
      <c r="O1306" t="s">
        <v>5038</v>
      </c>
      <c r="S1306" t="s">
        <v>37</v>
      </c>
      <c r="T1306" s="5" t="s">
        <v>100</v>
      </c>
      <c r="W1306">
        <v>144</v>
      </c>
      <c r="X1306" t="s">
        <v>463</v>
      </c>
      <c r="Y1306" t="str">
        <f>VLOOKUP(C1306,'[1]DBS_KPY Sorumlular'!A:C,2,FALSE)</f>
        <v>Seyithan İŞİK</v>
      </c>
      <c r="Z1306" t="str">
        <f>VLOOKUP(C1306,'[1]DBS_KPY Sorumlular'!A:C,3,FALSE)</f>
        <v>Korhan KÖROĞLU</v>
      </c>
      <c r="AA1306" t="str">
        <f>VLOOKUP(K1306,[1]!Tablo3[#Data],2,FALSE)</f>
        <v>Tayfun VİÇE</v>
      </c>
    </row>
    <row r="1307" spans="1:27" x14ac:dyDescent="0.25">
      <c r="A1307">
        <v>2624</v>
      </c>
      <c r="B1307" t="s">
        <v>1419</v>
      </c>
      <c r="C1307" t="s">
        <v>304</v>
      </c>
      <c r="D1307" t="s">
        <v>305</v>
      </c>
      <c r="F1307" t="s">
        <v>306</v>
      </c>
      <c r="G1307" t="s">
        <v>96</v>
      </c>
      <c r="H1307" t="s">
        <v>5039</v>
      </c>
      <c r="I1307" s="4"/>
      <c r="J1307" t="s">
        <v>5040</v>
      </c>
      <c r="K1307" t="s">
        <v>914</v>
      </c>
      <c r="L1307" s="5"/>
      <c r="M1307" s="5" t="s">
        <v>35</v>
      </c>
      <c r="N1307" t="s">
        <v>1824</v>
      </c>
      <c r="O1307" t="s">
        <v>5041</v>
      </c>
      <c r="S1307" t="s">
        <v>37</v>
      </c>
      <c r="T1307" s="5" t="s">
        <v>38</v>
      </c>
      <c r="Y1307" t="str">
        <f>VLOOKUP(C1307,'[1]DBS_KPY Sorumlular'!A:C,2,FALSE)</f>
        <v>Erkan AKDOĞAN</v>
      </c>
      <c r="Z1307" t="str">
        <f>VLOOKUP(C1307,'[1]DBS_KPY Sorumlular'!A:C,3,FALSE)</f>
        <v>Kadir TOPÇU</v>
      </c>
      <c r="AA1307" t="str">
        <f>VLOOKUP(K1307,[1]!Tablo3[#Data],2,FALSE)</f>
        <v>Tayfun VİÇE</v>
      </c>
    </row>
    <row r="1308" spans="1:27" x14ac:dyDescent="0.25">
      <c r="A1308">
        <v>2625</v>
      </c>
      <c r="B1308" t="s">
        <v>1419</v>
      </c>
      <c r="C1308" t="s">
        <v>1674</v>
      </c>
      <c r="D1308" t="s">
        <v>1675</v>
      </c>
      <c r="F1308" t="s">
        <v>486</v>
      </c>
      <c r="G1308" t="s">
        <v>96</v>
      </c>
      <c r="H1308" t="s">
        <v>5042</v>
      </c>
      <c r="I1308" s="4"/>
      <c r="J1308" t="s">
        <v>5043</v>
      </c>
      <c r="K1308" t="s">
        <v>914</v>
      </c>
      <c r="L1308" s="5"/>
      <c r="M1308" s="5" t="s">
        <v>35</v>
      </c>
      <c r="N1308" t="s">
        <v>1824</v>
      </c>
      <c r="O1308" t="s">
        <v>5044</v>
      </c>
      <c r="S1308" t="s">
        <v>37</v>
      </c>
      <c r="T1308" s="5" t="s">
        <v>100</v>
      </c>
      <c r="W1308">
        <v>28</v>
      </c>
      <c r="X1308" t="s">
        <v>667</v>
      </c>
      <c r="Y1308" t="str">
        <f>VLOOKUP(C1308,'[1]DBS_KPY Sorumlular'!A:C,2,FALSE)</f>
        <v>Kadir TOPÇU</v>
      </c>
      <c r="Z1308" t="str">
        <f>VLOOKUP(C1308,'[1]DBS_KPY Sorumlular'!A:C,3,FALSE)</f>
        <v>Erkan AKDOĞAN</v>
      </c>
      <c r="AA1308" t="str">
        <f>VLOOKUP(K1308,[1]!Tablo3[#Data],2,FALSE)</f>
        <v>Tayfun VİÇE</v>
      </c>
    </row>
    <row r="1309" spans="1:27" x14ac:dyDescent="0.25">
      <c r="A1309">
        <v>2627</v>
      </c>
      <c r="B1309" t="s">
        <v>1419</v>
      </c>
      <c r="C1309" t="s">
        <v>893</v>
      </c>
      <c r="D1309" t="s">
        <v>902</v>
      </c>
      <c r="F1309" t="s">
        <v>903</v>
      </c>
      <c r="G1309" t="s">
        <v>30</v>
      </c>
      <c r="H1309" t="s">
        <v>5045</v>
      </c>
      <c r="I1309" s="4"/>
      <c r="J1309" t="s">
        <v>5046</v>
      </c>
      <c r="K1309" t="s">
        <v>1002</v>
      </c>
      <c r="L1309" s="5" t="s">
        <v>5047</v>
      </c>
      <c r="M1309" s="5" t="s">
        <v>35</v>
      </c>
      <c r="N1309" t="s">
        <v>1824</v>
      </c>
      <c r="O1309" t="s">
        <v>5048</v>
      </c>
      <c r="S1309" t="s">
        <v>230</v>
      </c>
      <c r="T1309" s="5" t="s">
        <v>38</v>
      </c>
      <c r="W1309">
        <v>55</v>
      </c>
      <c r="X1309" t="s">
        <v>907</v>
      </c>
      <c r="Y1309" t="str">
        <f>VLOOKUP(C1309,'[1]DBS_KPY Sorumlular'!A:C,2,FALSE)</f>
        <v>Seyithan İŞİK</v>
      </c>
      <c r="Z1309" t="str">
        <f>VLOOKUP(C1309,'[1]DBS_KPY Sorumlular'!A:C,3,FALSE)</f>
        <v>Korhan KÖROĞLU</v>
      </c>
      <c r="AA1309" t="str">
        <f>VLOOKUP(K1309,[1]!Tablo3[#Data],2,FALSE)</f>
        <v>Kadir TOPÇU</v>
      </c>
    </row>
    <row r="1310" spans="1:27" x14ac:dyDescent="0.25">
      <c r="A1310">
        <v>2628</v>
      </c>
      <c r="B1310" t="s">
        <v>1419</v>
      </c>
      <c r="C1310" t="s">
        <v>288</v>
      </c>
      <c r="D1310" t="s">
        <v>289</v>
      </c>
      <c r="F1310" t="s">
        <v>486</v>
      </c>
      <c r="G1310" t="s">
        <v>291</v>
      </c>
      <c r="H1310" t="s">
        <v>5049</v>
      </c>
      <c r="I1310" s="4"/>
      <c r="J1310" t="s">
        <v>5050</v>
      </c>
      <c r="K1310" t="s">
        <v>1002</v>
      </c>
      <c r="L1310" s="5"/>
      <c r="M1310" s="5" t="s">
        <v>35</v>
      </c>
      <c r="N1310" t="s">
        <v>1824</v>
      </c>
      <c r="O1310" t="s">
        <v>5051</v>
      </c>
      <c r="S1310" t="s">
        <v>230</v>
      </c>
      <c r="T1310" s="5" t="s">
        <v>38</v>
      </c>
      <c r="W1310">
        <v>23</v>
      </c>
      <c r="X1310" t="s">
        <v>295</v>
      </c>
      <c r="Y1310" t="str">
        <f>VLOOKUP(C1310,'[1]DBS_KPY Sorumlular'!A:C,2,FALSE)</f>
        <v>Sinan ERDAŞ</v>
      </c>
      <c r="Z1310" t="str">
        <f>VLOOKUP(C1310,'[1]DBS_KPY Sorumlular'!A:C,3,FALSE)</f>
        <v>Ayşegül AKGÜL</v>
      </c>
      <c r="AA1310" t="str">
        <f>VLOOKUP(K1310,[1]!Tablo3[#Data],2,FALSE)</f>
        <v>Kadir TOPÇU</v>
      </c>
    </row>
    <row r="1311" spans="1:27" x14ac:dyDescent="0.25">
      <c r="A1311">
        <v>2629</v>
      </c>
      <c r="B1311" t="s">
        <v>1419</v>
      </c>
      <c r="C1311" t="s">
        <v>1723</v>
      </c>
      <c r="D1311" t="s">
        <v>1724</v>
      </c>
      <c r="F1311" t="s">
        <v>184</v>
      </c>
      <c r="G1311" t="s">
        <v>43</v>
      </c>
      <c r="H1311" t="s">
        <v>5052</v>
      </c>
      <c r="I1311" s="4"/>
      <c r="J1311" t="s">
        <v>5053</v>
      </c>
      <c r="K1311" t="s">
        <v>1002</v>
      </c>
      <c r="L1311" s="5" t="s">
        <v>5054</v>
      </c>
      <c r="M1311" s="5" t="s">
        <v>1824</v>
      </c>
      <c r="N1311" t="s">
        <v>1824</v>
      </c>
      <c r="O1311" t="s">
        <v>5055</v>
      </c>
      <c r="S1311" t="s">
        <v>230</v>
      </c>
      <c r="T1311" s="5" t="s">
        <v>38</v>
      </c>
      <c r="Y1311" t="str">
        <f>VLOOKUP(C1311,'[1]DBS_KPY Sorumlular'!A:C,2,FALSE)</f>
        <v>Erkan AKDOĞAN</v>
      </c>
      <c r="Z1311" t="str">
        <f>VLOOKUP(C1311,'[1]DBS_KPY Sorumlular'!A:C,3,FALSE)</f>
        <v>Kadir TOPÇU</v>
      </c>
      <c r="AA1311" t="str">
        <f>VLOOKUP(K1311,[1]!Tablo3[#Data],2,FALSE)</f>
        <v>Kadir TOPÇU</v>
      </c>
    </row>
    <row r="1312" spans="1:27" x14ac:dyDescent="0.25">
      <c r="A1312">
        <v>2630</v>
      </c>
      <c r="B1312" t="s">
        <v>1419</v>
      </c>
      <c r="C1312" t="s">
        <v>652</v>
      </c>
      <c r="D1312" t="s">
        <v>653</v>
      </c>
      <c r="F1312" t="s">
        <v>455</v>
      </c>
      <c r="G1312" t="s">
        <v>456</v>
      </c>
      <c r="H1312" t="s">
        <v>5056</v>
      </c>
      <c r="I1312" s="4"/>
      <c r="K1312" t="s">
        <v>1002</v>
      </c>
      <c r="L1312" s="5"/>
      <c r="M1312" s="5" t="s">
        <v>35</v>
      </c>
      <c r="N1312" t="s">
        <v>1824</v>
      </c>
      <c r="O1312" t="s">
        <v>5057</v>
      </c>
      <c r="S1312" t="s">
        <v>230</v>
      </c>
      <c r="T1312" s="5" t="s">
        <v>48</v>
      </c>
      <c r="U1312" t="s">
        <v>5058</v>
      </c>
      <c r="V1312" t="s">
        <v>5056</v>
      </c>
      <c r="W1312">
        <v>144</v>
      </c>
      <c r="X1312" t="s">
        <v>463</v>
      </c>
      <c r="Y1312" t="str">
        <f>VLOOKUP(C1312,'[1]DBS_KPY Sorumlular'!A:C,2,FALSE)</f>
        <v>Seyithan İŞİK</v>
      </c>
      <c r="Z1312" t="str">
        <f>VLOOKUP(C1312,'[1]DBS_KPY Sorumlular'!A:C,3,FALSE)</f>
        <v>Korhan KÖROĞLU</v>
      </c>
      <c r="AA1312" t="str">
        <f>VLOOKUP(K1312,[1]!Tablo3[#Data],2,FALSE)</f>
        <v>Kadir TOPÇU</v>
      </c>
    </row>
    <row r="1313" spans="1:27" x14ac:dyDescent="0.25">
      <c r="A1313">
        <v>2631</v>
      </c>
      <c r="B1313" t="s">
        <v>1419</v>
      </c>
      <c r="C1313" t="s">
        <v>1674</v>
      </c>
      <c r="D1313" t="s">
        <v>1675</v>
      </c>
      <c r="F1313" t="s">
        <v>66</v>
      </c>
      <c r="G1313" t="s">
        <v>67</v>
      </c>
      <c r="H1313" t="s">
        <v>5059</v>
      </c>
      <c r="I1313" s="4"/>
      <c r="J1313" t="s">
        <v>5060</v>
      </c>
      <c r="K1313" t="s">
        <v>1029</v>
      </c>
      <c r="L1313" s="5"/>
      <c r="M1313" s="5" t="s">
        <v>35</v>
      </c>
      <c r="N1313" t="s">
        <v>35</v>
      </c>
      <c r="O1313" t="s">
        <v>5061</v>
      </c>
      <c r="S1313" t="s">
        <v>37</v>
      </c>
      <c r="T1313" s="5" t="s">
        <v>48</v>
      </c>
      <c r="U1313" t="s">
        <v>5062</v>
      </c>
      <c r="V1313" t="s">
        <v>5059</v>
      </c>
      <c r="W1313">
        <v>203</v>
      </c>
      <c r="X1313" t="s">
        <v>72</v>
      </c>
      <c r="Y1313" t="str">
        <f>VLOOKUP(C1313,'[1]DBS_KPY Sorumlular'!A:C,2,FALSE)</f>
        <v>Kadir TOPÇU</v>
      </c>
      <c r="Z1313" t="str">
        <f>VLOOKUP(C1313,'[1]DBS_KPY Sorumlular'!A:C,3,FALSE)</f>
        <v>Erkan AKDOĞAN</v>
      </c>
      <c r="AA1313" t="str">
        <f>VLOOKUP(K1313,[1]!Tablo3[#Data],2,FALSE)</f>
        <v>Tayfun VİÇE</v>
      </c>
    </row>
    <row r="1314" spans="1:27" x14ac:dyDescent="0.25">
      <c r="A1314">
        <v>2632</v>
      </c>
      <c r="B1314" t="s">
        <v>27</v>
      </c>
      <c r="C1314" t="s">
        <v>40</v>
      </c>
      <c r="D1314" t="s">
        <v>41</v>
      </c>
      <c r="F1314" t="s">
        <v>42</v>
      </c>
      <c r="G1314" t="s">
        <v>43</v>
      </c>
      <c r="H1314" t="s">
        <v>5063</v>
      </c>
      <c r="I1314" s="4">
        <v>45837.875</v>
      </c>
      <c r="K1314" t="s">
        <v>1029</v>
      </c>
      <c r="L1314" s="5"/>
      <c r="M1314" s="5"/>
      <c r="N1314" t="s">
        <v>82</v>
      </c>
      <c r="O1314" t="s">
        <v>5064</v>
      </c>
      <c r="R1314">
        <v>1</v>
      </c>
      <c r="S1314" t="s">
        <v>37</v>
      </c>
      <c r="T1314" s="5" t="s">
        <v>58</v>
      </c>
      <c r="U1314" t="s">
        <v>134</v>
      </c>
      <c r="V1314" t="s">
        <v>135</v>
      </c>
      <c r="W1314">
        <v>74</v>
      </c>
      <c r="X1314" t="s">
        <v>234</v>
      </c>
      <c r="Y1314" t="str">
        <f>VLOOKUP(C1314,'[1]DBS_KPY Sorumlular'!A:C,2,FALSE)</f>
        <v>Mustafa AYDIN</v>
      </c>
      <c r="Z1314" t="str">
        <f>VLOOKUP(C1314,'[1]DBS_KPY Sorumlular'!A:C,3,FALSE)</f>
        <v>Esra DOLAN</v>
      </c>
      <c r="AA1314" t="str">
        <f>VLOOKUP(K1314,[1]!Tablo3[#Data],2,FALSE)</f>
        <v>Tayfun VİÇE</v>
      </c>
    </row>
    <row r="1315" spans="1:27" x14ac:dyDescent="0.25">
      <c r="A1315">
        <v>2633</v>
      </c>
      <c r="B1315" t="s">
        <v>1419</v>
      </c>
      <c r="C1315" t="s">
        <v>288</v>
      </c>
      <c r="D1315" t="s">
        <v>289</v>
      </c>
      <c r="F1315" t="s">
        <v>486</v>
      </c>
      <c r="G1315" t="s">
        <v>291</v>
      </c>
      <c r="H1315" t="s">
        <v>5065</v>
      </c>
      <c r="I1315" s="4"/>
      <c r="J1315" t="s">
        <v>5066</v>
      </c>
      <c r="K1315" t="s">
        <v>1029</v>
      </c>
      <c r="L1315" s="5"/>
      <c r="M1315" s="5" t="s">
        <v>35</v>
      </c>
      <c r="N1315" t="s">
        <v>1824</v>
      </c>
      <c r="O1315" t="s">
        <v>5067</v>
      </c>
      <c r="S1315" t="s">
        <v>37</v>
      </c>
      <c r="T1315" s="5" t="s">
        <v>38</v>
      </c>
      <c r="W1315">
        <v>23</v>
      </c>
      <c r="X1315" t="s">
        <v>295</v>
      </c>
      <c r="Y1315" t="str">
        <f>VLOOKUP(C1315,'[1]DBS_KPY Sorumlular'!A:C,2,FALSE)</f>
        <v>Sinan ERDAŞ</v>
      </c>
      <c r="Z1315" t="str">
        <f>VLOOKUP(C1315,'[1]DBS_KPY Sorumlular'!A:C,3,FALSE)</f>
        <v>Ayşegül AKGÜL</v>
      </c>
      <c r="AA1315" t="str">
        <f>VLOOKUP(K1315,[1]!Tablo3[#Data],2,FALSE)</f>
        <v>Tayfun VİÇE</v>
      </c>
    </row>
    <row r="1316" spans="1:27" x14ac:dyDescent="0.25">
      <c r="A1316">
        <v>2634</v>
      </c>
      <c r="B1316" t="s">
        <v>1419</v>
      </c>
      <c r="C1316" t="s">
        <v>288</v>
      </c>
      <c r="D1316" t="s">
        <v>289</v>
      </c>
      <c r="F1316" t="s">
        <v>882</v>
      </c>
      <c r="G1316" t="s">
        <v>43</v>
      </c>
      <c r="H1316" t="s">
        <v>5068</v>
      </c>
      <c r="I1316" s="4"/>
      <c r="J1316" t="s">
        <v>5069</v>
      </c>
      <c r="K1316" t="s">
        <v>1029</v>
      </c>
      <c r="L1316" s="5"/>
      <c r="M1316" s="5" t="s">
        <v>35</v>
      </c>
      <c r="N1316" t="s">
        <v>1824</v>
      </c>
      <c r="O1316" t="s">
        <v>5070</v>
      </c>
      <c r="S1316" t="s">
        <v>37</v>
      </c>
      <c r="T1316" s="5" t="s">
        <v>38</v>
      </c>
      <c r="W1316">
        <v>23</v>
      </c>
      <c r="X1316" t="s">
        <v>295</v>
      </c>
      <c r="Y1316" t="str">
        <f>VLOOKUP(C1316,'[1]DBS_KPY Sorumlular'!A:C,2,FALSE)</f>
        <v>Sinan ERDAŞ</v>
      </c>
      <c r="Z1316" t="str">
        <f>VLOOKUP(C1316,'[1]DBS_KPY Sorumlular'!A:C,3,FALSE)</f>
        <v>Ayşegül AKGÜL</v>
      </c>
      <c r="AA1316" t="str">
        <f>VLOOKUP(K1316,[1]!Tablo3[#Data],2,FALSE)</f>
        <v>Tayfun VİÇE</v>
      </c>
    </row>
    <row r="1317" spans="1:27" x14ac:dyDescent="0.25">
      <c r="A1317">
        <v>2635</v>
      </c>
      <c r="B1317" t="s">
        <v>1419</v>
      </c>
      <c r="C1317" t="s">
        <v>288</v>
      </c>
      <c r="D1317" t="s">
        <v>289</v>
      </c>
      <c r="F1317" t="s">
        <v>290</v>
      </c>
      <c r="G1317" t="s">
        <v>96</v>
      </c>
      <c r="H1317" t="s">
        <v>5071</v>
      </c>
      <c r="I1317" s="4"/>
      <c r="J1317" t="s">
        <v>5072</v>
      </c>
      <c r="K1317" t="s">
        <v>1029</v>
      </c>
      <c r="L1317" s="5"/>
      <c r="M1317" s="5" t="s">
        <v>35</v>
      </c>
      <c r="N1317" t="s">
        <v>1824</v>
      </c>
      <c r="O1317" t="s">
        <v>5073</v>
      </c>
      <c r="S1317" t="s">
        <v>37</v>
      </c>
      <c r="T1317" s="5" t="s">
        <v>38</v>
      </c>
      <c r="W1317">
        <v>94</v>
      </c>
      <c r="X1317" t="s">
        <v>1707</v>
      </c>
      <c r="Y1317" t="str">
        <f>VLOOKUP(C1317,'[1]DBS_KPY Sorumlular'!A:C,2,FALSE)</f>
        <v>Sinan ERDAŞ</v>
      </c>
      <c r="Z1317" t="str">
        <f>VLOOKUP(C1317,'[1]DBS_KPY Sorumlular'!A:C,3,FALSE)</f>
        <v>Ayşegül AKGÜL</v>
      </c>
      <c r="AA1317" t="str">
        <f>VLOOKUP(K1317,[1]!Tablo3[#Data],2,FALSE)</f>
        <v>Tayfun VİÇE</v>
      </c>
    </row>
    <row r="1318" spans="1:27" x14ac:dyDescent="0.25">
      <c r="A1318">
        <v>2636</v>
      </c>
      <c r="B1318" t="s">
        <v>1419</v>
      </c>
      <c r="C1318" t="s">
        <v>1674</v>
      </c>
      <c r="D1318" t="s">
        <v>1717</v>
      </c>
      <c r="F1318" t="s">
        <v>42</v>
      </c>
      <c r="G1318" t="s">
        <v>43</v>
      </c>
      <c r="H1318" t="s">
        <v>5074</v>
      </c>
      <c r="I1318" s="4"/>
      <c r="K1318" t="s">
        <v>1029</v>
      </c>
      <c r="L1318" s="5"/>
      <c r="M1318" s="5" t="s">
        <v>5075</v>
      </c>
      <c r="N1318" t="s">
        <v>35</v>
      </c>
      <c r="O1318" t="s">
        <v>5076</v>
      </c>
      <c r="S1318" t="s">
        <v>37</v>
      </c>
      <c r="T1318" s="5" t="s">
        <v>48</v>
      </c>
      <c r="U1318" t="s">
        <v>5077</v>
      </c>
      <c r="V1318" t="s">
        <v>5074</v>
      </c>
      <c r="W1318">
        <v>71</v>
      </c>
      <c r="X1318" t="s">
        <v>1299</v>
      </c>
      <c r="Y1318" t="str">
        <f>VLOOKUP(C1318,'[1]DBS_KPY Sorumlular'!A:C,2,FALSE)</f>
        <v>Kadir TOPÇU</v>
      </c>
      <c r="Z1318" t="str">
        <f>VLOOKUP(C1318,'[1]DBS_KPY Sorumlular'!A:C,3,FALSE)</f>
        <v>Erkan AKDOĞAN</v>
      </c>
      <c r="AA1318" t="str">
        <f>VLOOKUP(K1318,[1]!Tablo3[#Data],2,FALSE)</f>
        <v>Tayfun VİÇE</v>
      </c>
    </row>
    <row r="1319" spans="1:27" x14ac:dyDescent="0.25">
      <c r="A1319">
        <v>2637</v>
      </c>
      <c r="B1319" t="s">
        <v>1419</v>
      </c>
      <c r="C1319" t="s">
        <v>1674</v>
      </c>
      <c r="D1319" t="s">
        <v>1717</v>
      </c>
      <c r="F1319" t="s">
        <v>102</v>
      </c>
      <c r="G1319" t="s">
        <v>43</v>
      </c>
      <c r="H1319" t="s">
        <v>5078</v>
      </c>
      <c r="I1319" s="4"/>
      <c r="J1319" t="s">
        <v>5079</v>
      </c>
      <c r="K1319" t="s">
        <v>1029</v>
      </c>
      <c r="L1319" s="5"/>
      <c r="M1319" s="5" t="s">
        <v>4028</v>
      </c>
      <c r="N1319" t="s">
        <v>1824</v>
      </c>
      <c r="O1319" t="s">
        <v>5080</v>
      </c>
      <c r="S1319" t="s">
        <v>37</v>
      </c>
      <c r="T1319" s="5" t="s">
        <v>100</v>
      </c>
      <c r="W1319">
        <v>108</v>
      </c>
      <c r="X1319" t="s">
        <v>107</v>
      </c>
      <c r="Y1319" t="str">
        <f>VLOOKUP(C1319,'[1]DBS_KPY Sorumlular'!A:C,2,FALSE)</f>
        <v>Kadir TOPÇU</v>
      </c>
      <c r="Z1319" t="str">
        <f>VLOOKUP(C1319,'[1]DBS_KPY Sorumlular'!A:C,3,FALSE)</f>
        <v>Erkan AKDOĞAN</v>
      </c>
      <c r="AA1319" t="str">
        <f>VLOOKUP(K1319,[1]!Tablo3[#Data],2,FALSE)</f>
        <v>Tayfun VİÇE</v>
      </c>
    </row>
    <row r="1320" spans="1:27" x14ac:dyDescent="0.25">
      <c r="A1320">
        <v>2638</v>
      </c>
      <c r="B1320" t="s">
        <v>1419</v>
      </c>
      <c r="C1320" t="s">
        <v>1674</v>
      </c>
      <c r="D1320" t="s">
        <v>1700</v>
      </c>
      <c r="F1320" t="s">
        <v>95</v>
      </c>
      <c r="G1320" t="s">
        <v>43</v>
      </c>
      <c r="H1320" t="s">
        <v>5081</v>
      </c>
      <c r="I1320" s="4"/>
      <c r="J1320" t="s">
        <v>5081</v>
      </c>
      <c r="K1320" t="s">
        <v>1029</v>
      </c>
      <c r="L1320" s="5"/>
      <c r="M1320" s="5" t="s">
        <v>4028</v>
      </c>
      <c r="N1320" t="s">
        <v>1824</v>
      </c>
      <c r="O1320" t="s">
        <v>1095</v>
      </c>
      <c r="S1320" t="s">
        <v>37</v>
      </c>
      <c r="T1320" s="5" t="s">
        <v>100</v>
      </c>
      <c r="W1320">
        <v>94</v>
      </c>
      <c r="X1320" t="s">
        <v>1707</v>
      </c>
      <c r="Y1320" t="str">
        <f>VLOOKUP(C1320,'[1]DBS_KPY Sorumlular'!A:C,2,FALSE)</f>
        <v>Kadir TOPÇU</v>
      </c>
      <c r="Z1320" t="str">
        <f>VLOOKUP(C1320,'[1]DBS_KPY Sorumlular'!A:C,3,FALSE)</f>
        <v>Erkan AKDOĞAN</v>
      </c>
      <c r="AA1320" t="str">
        <f>VLOOKUP(K1320,[1]!Tablo3[#Data],2,FALSE)</f>
        <v>Tayfun VİÇE</v>
      </c>
    </row>
    <row r="1321" spans="1:27" x14ac:dyDescent="0.25">
      <c r="A1321">
        <v>2639</v>
      </c>
      <c r="B1321" t="s">
        <v>1419</v>
      </c>
      <c r="C1321" t="s">
        <v>1723</v>
      </c>
      <c r="D1321" t="s">
        <v>1751</v>
      </c>
      <c r="F1321" t="s">
        <v>486</v>
      </c>
      <c r="G1321" t="s">
        <v>67</v>
      </c>
      <c r="H1321" t="s">
        <v>5082</v>
      </c>
      <c r="I1321" s="4"/>
      <c r="J1321" t="s">
        <v>5083</v>
      </c>
      <c r="K1321" t="s">
        <v>280</v>
      </c>
      <c r="L1321" s="5" t="s">
        <v>5084</v>
      </c>
      <c r="M1321" s="5" t="s">
        <v>35</v>
      </c>
      <c r="N1321" t="s">
        <v>1824</v>
      </c>
      <c r="O1321" t="s">
        <v>5085</v>
      </c>
      <c r="S1321" t="s">
        <v>57</v>
      </c>
      <c r="T1321" s="5" t="s">
        <v>38</v>
      </c>
      <c r="Y1321" t="str">
        <f>VLOOKUP(C1321,'[1]DBS_KPY Sorumlular'!A:C,2,FALSE)</f>
        <v>Erkan AKDOĞAN</v>
      </c>
      <c r="Z1321" t="str">
        <f>VLOOKUP(C1321,'[1]DBS_KPY Sorumlular'!A:C,3,FALSE)</f>
        <v>Kadir TOPÇU</v>
      </c>
      <c r="AA1321" t="str">
        <f>VLOOKUP(K1321,[1]!Tablo3[#Data],2,FALSE)</f>
        <v>Erkan AKDOĞAN</v>
      </c>
    </row>
    <row r="1322" spans="1:27" x14ac:dyDescent="0.25">
      <c r="A1322">
        <v>2640</v>
      </c>
      <c r="B1322" t="s">
        <v>1419</v>
      </c>
      <c r="C1322" t="s">
        <v>652</v>
      </c>
      <c r="D1322" t="s">
        <v>653</v>
      </c>
      <c r="F1322" t="s">
        <v>455</v>
      </c>
      <c r="G1322" t="s">
        <v>456</v>
      </c>
      <c r="H1322" t="s">
        <v>5086</v>
      </c>
      <c r="I1322" s="4"/>
      <c r="K1322" t="s">
        <v>280</v>
      </c>
      <c r="L1322" s="5"/>
      <c r="M1322" s="5" t="s">
        <v>35</v>
      </c>
      <c r="N1322" t="s">
        <v>1824</v>
      </c>
      <c r="O1322" t="s">
        <v>5087</v>
      </c>
      <c r="S1322" t="s">
        <v>57</v>
      </c>
      <c r="T1322" s="5" t="s">
        <v>48</v>
      </c>
      <c r="U1322" t="s">
        <v>5088</v>
      </c>
      <c r="V1322" t="s">
        <v>5086</v>
      </c>
      <c r="W1322">
        <v>144</v>
      </c>
      <c r="X1322" t="s">
        <v>463</v>
      </c>
      <c r="Y1322" t="str">
        <f>VLOOKUP(C1322,'[1]DBS_KPY Sorumlular'!A:C,2,FALSE)</f>
        <v>Seyithan İŞİK</v>
      </c>
      <c r="Z1322" t="str">
        <f>VLOOKUP(C1322,'[1]DBS_KPY Sorumlular'!A:C,3,FALSE)</f>
        <v>Korhan KÖROĞLU</v>
      </c>
      <c r="AA1322" t="str">
        <f>VLOOKUP(K1322,[1]!Tablo3[#Data],2,FALSE)</f>
        <v>Erkan AKDOĞAN</v>
      </c>
    </row>
    <row r="1323" spans="1:27" x14ac:dyDescent="0.25">
      <c r="A1323">
        <v>2641</v>
      </c>
      <c r="B1323" t="s">
        <v>1419</v>
      </c>
      <c r="C1323" t="s">
        <v>1674</v>
      </c>
      <c r="D1323" t="s">
        <v>1675</v>
      </c>
      <c r="F1323" t="s">
        <v>66</v>
      </c>
      <c r="G1323" t="s">
        <v>67</v>
      </c>
      <c r="H1323" t="s">
        <v>5089</v>
      </c>
      <c r="I1323" s="4"/>
      <c r="K1323" t="s">
        <v>280</v>
      </c>
      <c r="L1323" s="5"/>
      <c r="M1323" s="5" t="s">
        <v>35</v>
      </c>
      <c r="N1323" t="s">
        <v>1824</v>
      </c>
      <c r="O1323" t="s">
        <v>5090</v>
      </c>
      <c r="S1323" t="s">
        <v>57</v>
      </c>
      <c r="T1323" s="5" t="s">
        <v>100</v>
      </c>
      <c r="W1323">
        <v>28</v>
      </c>
      <c r="X1323" t="s">
        <v>667</v>
      </c>
      <c r="Y1323" t="str">
        <f>VLOOKUP(C1323,'[1]DBS_KPY Sorumlular'!A:C,2,FALSE)</f>
        <v>Kadir TOPÇU</v>
      </c>
      <c r="Z1323" t="str">
        <f>VLOOKUP(C1323,'[1]DBS_KPY Sorumlular'!A:C,3,FALSE)</f>
        <v>Erkan AKDOĞAN</v>
      </c>
      <c r="AA1323" t="str">
        <f>VLOOKUP(K1323,[1]!Tablo3[#Data],2,FALSE)</f>
        <v>Erkan AKDOĞAN</v>
      </c>
    </row>
    <row r="1324" spans="1:27" x14ac:dyDescent="0.25">
      <c r="A1324">
        <v>2642</v>
      </c>
      <c r="B1324" t="s">
        <v>1419</v>
      </c>
      <c r="C1324" t="s">
        <v>1674</v>
      </c>
      <c r="D1324" t="s">
        <v>1717</v>
      </c>
      <c r="F1324" t="s">
        <v>882</v>
      </c>
      <c r="G1324" t="s">
        <v>43</v>
      </c>
      <c r="H1324" t="s">
        <v>5091</v>
      </c>
      <c r="I1324" s="4"/>
      <c r="J1324" t="s">
        <v>5092</v>
      </c>
      <c r="K1324" t="s">
        <v>280</v>
      </c>
      <c r="L1324" s="5"/>
      <c r="M1324" s="5" t="s">
        <v>35</v>
      </c>
      <c r="N1324" t="s">
        <v>35</v>
      </c>
      <c r="O1324" t="s">
        <v>5093</v>
      </c>
      <c r="S1324" t="s">
        <v>57</v>
      </c>
      <c r="T1324" s="5" t="s">
        <v>48</v>
      </c>
      <c r="U1324" t="s">
        <v>5094</v>
      </c>
      <c r="V1324" t="s">
        <v>5095</v>
      </c>
      <c r="W1324">
        <v>115</v>
      </c>
      <c r="X1324" t="s">
        <v>350</v>
      </c>
      <c r="Y1324" t="str">
        <f>VLOOKUP(C1324,'[1]DBS_KPY Sorumlular'!A:C,2,FALSE)</f>
        <v>Kadir TOPÇU</v>
      </c>
      <c r="Z1324" t="str">
        <f>VLOOKUP(C1324,'[1]DBS_KPY Sorumlular'!A:C,3,FALSE)</f>
        <v>Erkan AKDOĞAN</v>
      </c>
      <c r="AA1324" t="str">
        <f>VLOOKUP(K1324,[1]!Tablo3[#Data],2,FALSE)</f>
        <v>Erkan AKDOĞAN</v>
      </c>
    </row>
    <row r="1325" spans="1:27" x14ac:dyDescent="0.25">
      <c r="A1325">
        <v>2643</v>
      </c>
      <c r="B1325" t="s">
        <v>1419</v>
      </c>
      <c r="C1325" t="s">
        <v>1674</v>
      </c>
      <c r="D1325" t="s">
        <v>1717</v>
      </c>
      <c r="F1325" t="s">
        <v>882</v>
      </c>
      <c r="G1325" t="s">
        <v>43</v>
      </c>
      <c r="H1325" t="s">
        <v>5096</v>
      </c>
      <c r="I1325" s="4"/>
      <c r="J1325" t="s">
        <v>5097</v>
      </c>
      <c r="K1325" t="s">
        <v>280</v>
      </c>
      <c r="L1325" s="5"/>
      <c r="M1325" s="5" t="s">
        <v>35</v>
      </c>
      <c r="N1325" t="s">
        <v>35</v>
      </c>
      <c r="O1325" t="s">
        <v>5098</v>
      </c>
      <c r="S1325" t="s">
        <v>57</v>
      </c>
      <c r="T1325" s="5" t="s">
        <v>48</v>
      </c>
      <c r="U1325" t="s">
        <v>5099</v>
      </c>
      <c r="V1325" t="s">
        <v>5096</v>
      </c>
      <c r="W1325">
        <v>115</v>
      </c>
      <c r="X1325" t="s">
        <v>350</v>
      </c>
      <c r="Y1325" t="str">
        <f>VLOOKUP(C1325,'[1]DBS_KPY Sorumlular'!A:C,2,FALSE)</f>
        <v>Kadir TOPÇU</v>
      </c>
      <c r="Z1325" t="str">
        <f>VLOOKUP(C1325,'[1]DBS_KPY Sorumlular'!A:C,3,FALSE)</f>
        <v>Erkan AKDOĞAN</v>
      </c>
      <c r="AA1325" t="str">
        <f>VLOOKUP(K1325,[1]!Tablo3[#Data],2,FALSE)</f>
        <v>Erkan AKDOĞAN</v>
      </c>
    </row>
    <row r="1326" spans="1:27" x14ac:dyDescent="0.25">
      <c r="A1326">
        <v>2644</v>
      </c>
      <c r="B1326" t="s">
        <v>1419</v>
      </c>
      <c r="C1326" t="s">
        <v>652</v>
      </c>
      <c r="D1326" t="s">
        <v>653</v>
      </c>
      <c r="F1326" t="s">
        <v>455</v>
      </c>
      <c r="G1326" t="s">
        <v>456</v>
      </c>
      <c r="H1326" t="s">
        <v>5100</v>
      </c>
      <c r="I1326" s="4"/>
      <c r="J1326" t="s">
        <v>5101</v>
      </c>
      <c r="K1326" t="s">
        <v>280</v>
      </c>
      <c r="L1326" s="5"/>
      <c r="M1326" s="5" t="s">
        <v>35</v>
      </c>
      <c r="N1326" t="s">
        <v>1824</v>
      </c>
      <c r="O1326" t="s">
        <v>5102</v>
      </c>
      <c r="S1326" t="s">
        <v>57</v>
      </c>
      <c r="T1326" s="5" t="s">
        <v>100</v>
      </c>
      <c r="W1326">
        <v>144</v>
      </c>
      <c r="X1326" t="s">
        <v>463</v>
      </c>
      <c r="Y1326" t="str">
        <f>VLOOKUP(C1326,'[1]DBS_KPY Sorumlular'!A:C,2,FALSE)</f>
        <v>Seyithan İŞİK</v>
      </c>
      <c r="Z1326" t="str">
        <f>VLOOKUP(C1326,'[1]DBS_KPY Sorumlular'!A:C,3,FALSE)</f>
        <v>Korhan KÖROĞLU</v>
      </c>
      <c r="AA1326" t="str">
        <f>VLOOKUP(K1326,[1]!Tablo3[#Data],2,FALSE)</f>
        <v>Erkan AKDOĞAN</v>
      </c>
    </row>
    <row r="1327" spans="1:27" x14ac:dyDescent="0.25">
      <c r="A1327">
        <v>2645</v>
      </c>
      <c r="B1327" t="s">
        <v>1419</v>
      </c>
      <c r="C1327" t="s">
        <v>1723</v>
      </c>
      <c r="D1327" t="s">
        <v>2478</v>
      </c>
      <c r="F1327" t="s">
        <v>486</v>
      </c>
      <c r="G1327" t="s">
        <v>96</v>
      </c>
      <c r="H1327" t="s">
        <v>5103</v>
      </c>
      <c r="I1327" s="4"/>
      <c r="J1327" t="s">
        <v>5104</v>
      </c>
      <c r="K1327" t="s">
        <v>280</v>
      </c>
      <c r="L1327" s="5" t="s">
        <v>5105</v>
      </c>
      <c r="M1327" s="5" t="s">
        <v>4028</v>
      </c>
      <c r="N1327" t="s">
        <v>1824</v>
      </c>
      <c r="O1327" t="s">
        <v>5106</v>
      </c>
      <c r="S1327" t="s">
        <v>57</v>
      </c>
      <c r="T1327" s="5" t="s">
        <v>38</v>
      </c>
      <c r="Y1327" t="str">
        <f>VLOOKUP(C1327,'[1]DBS_KPY Sorumlular'!A:C,2,FALSE)</f>
        <v>Erkan AKDOĞAN</v>
      </c>
      <c r="Z1327" t="str">
        <f>VLOOKUP(C1327,'[1]DBS_KPY Sorumlular'!A:C,3,FALSE)</f>
        <v>Kadir TOPÇU</v>
      </c>
      <c r="AA1327" t="str">
        <f>VLOOKUP(K1327,[1]!Tablo3[#Data],2,FALSE)</f>
        <v>Erkan AKDOĞAN</v>
      </c>
    </row>
    <row r="1328" spans="1:27" x14ac:dyDescent="0.25">
      <c r="A1328">
        <v>2646</v>
      </c>
      <c r="B1328" t="s">
        <v>1419</v>
      </c>
      <c r="C1328" t="s">
        <v>1723</v>
      </c>
      <c r="D1328" t="s">
        <v>1724</v>
      </c>
      <c r="F1328" t="s">
        <v>184</v>
      </c>
      <c r="G1328" t="s">
        <v>43</v>
      </c>
      <c r="H1328" t="s">
        <v>5107</v>
      </c>
      <c r="I1328" s="4"/>
      <c r="J1328" t="s">
        <v>5108</v>
      </c>
      <c r="K1328" t="s">
        <v>280</v>
      </c>
      <c r="L1328" s="5" t="s">
        <v>5109</v>
      </c>
      <c r="M1328" s="5" t="s">
        <v>4028</v>
      </c>
      <c r="N1328" t="s">
        <v>1824</v>
      </c>
      <c r="O1328" t="s">
        <v>5110</v>
      </c>
      <c r="S1328" t="s">
        <v>57</v>
      </c>
      <c r="T1328" s="5" t="s">
        <v>38</v>
      </c>
      <c r="Y1328" t="str">
        <f>VLOOKUP(C1328,'[1]DBS_KPY Sorumlular'!A:C,2,FALSE)</f>
        <v>Erkan AKDOĞAN</v>
      </c>
      <c r="Z1328" t="str">
        <f>VLOOKUP(C1328,'[1]DBS_KPY Sorumlular'!A:C,3,FALSE)</f>
        <v>Kadir TOPÇU</v>
      </c>
      <c r="AA1328" t="str">
        <f>VLOOKUP(K1328,[1]!Tablo3[#Data],2,FALSE)</f>
        <v>Erkan AKDOĞAN</v>
      </c>
    </row>
    <row r="1329" spans="1:27" x14ac:dyDescent="0.25">
      <c r="A1329">
        <v>2647</v>
      </c>
      <c r="B1329" t="s">
        <v>1419</v>
      </c>
      <c r="C1329" t="s">
        <v>73</v>
      </c>
      <c r="D1329" t="s">
        <v>73</v>
      </c>
      <c r="F1329" t="s">
        <v>486</v>
      </c>
      <c r="G1329" t="s">
        <v>30</v>
      </c>
      <c r="H1329" t="s">
        <v>5111</v>
      </c>
      <c r="I1329" s="4"/>
      <c r="J1329" t="s">
        <v>5112</v>
      </c>
      <c r="K1329" t="s">
        <v>280</v>
      </c>
      <c r="L1329" s="5"/>
      <c r="M1329" s="5" t="s">
        <v>35</v>
      </c>
      <c r="N1329" t="s">
        <v>1824</v>
      </c>
      <c r="O1329" t="s">
        <v>5113</v>
      </c>
      <c r="S1329" t="s">
        <v>57</v>
      </c>
      <c r="T1329" s="5" t="s">
        <v>38</v>
      </c>
      <c r="Y1329" t="str">
        <f>VLOOKUP(C1329,'[1]DBS_KPY Sorumlular'!A:C,2,FALSE)</f>
        <v>Ayşegül AKGÜL</v>
      </c>
      <c r="Z1329" t="str">
        <f>VLOOKUP(C1329,'[1]DBS_KPY Sorumlular'!A:C,3,FALSE)</f>
        <v>Sinan ERDAŞ</v>
      </c>
      <c r="AA1329" t="str">
        <f>VLOOKUP(K1329,[1]!Tablo3[#Data],2,FALSE)</f>
        <v>Erkan AKDOĞAN</v>
      </c>
    </row>
    <row r="1330" spans="1:27" x14ac:dyDescent="0.25">
      <c r="A1330">
        <v>2648</v>
      </c>
      <c r="B1330" t="s">
        <v>1419</v>
      </c>
      <c r="C1330" t="s">
        <v>40</v>
      </c>
      <c r="D1330" t="s">
        <v>65</v>
      </c>
      <c r="F1330" t="s">
        <v>66</v>
      </c>
      <c r="G1330" t="s">
        <v>43</v>
      </c>
      <c r="H1330" t="s">
        <v>5114</v>
      </c>
      <c r="I1330" s="4"/>
      <c r="J1330" t="s">
        <v>5114</v>
      </c>
      <c r="K1330" t="s">
        <v>280</v>
      </c>
      <c r="L1330" s="5"/>
      <c r="M1330" s="5" t="s">
        <v>4028</v>
      </c>
      <c r="N1330" t="s">
        <v>1824</v>
      </c>
      <c r="O1330" t="s">
        <v>5115</v>
      </c>
      <c r="S1330" t="s">
        <v>57</v>
      </c>
      <c r="T1330" s="5" t="s">
        <v>100</v>
      </c>
      <c r="W1330">
        <v>203</v>
      </c>
      <c r="X1330" t="s">
        <v>72</v>
      </c>
      <c r="Y1330" t="str">
        <f>VLOOKUP(C1330,'[1]DBS_KPY Sorumlular'!A:C,2,FALSE)</f>
        <v>Mustafa AYDIN</v>
      </c>
      <c r="Z1330" t="str">
        <f>VLOOKUP(C1330,'[1]DBS_KPY Sorumlular'!A:C,3,FALSE)</f>
        <v>Esra DOLAN</v>
      </c>
      <c r="AA1330" t="str">
        <f>VLOOKUP(K1330,[1]!Tablo3[#Data],2,FALSE)</f>
        <v>Erkan AKDOĞAN</v>
      </c>
    </row>
    <row r="1331" spans="1:27" x14ac:dyDescent="0.25">
      <c r="A1331">
        <v>2649</v>
      </c>
      <c r="B1331" t="s">
        <v>1419</v>
      </c>
      <c r="C1331" t="s">
        <v>1674</v>
      </c>
      <c r="D1331" t="s">
        <v>1717</v>
      </c>
      <c r="F1331" t="s">
        <v>113</v>
      </c>
      <c r="G1331" t="s">
        <v>43</v>
      </c>
      <c r="H1331" t="s">
        <v>5116</v>
      </c>
      <c r="I1331" s="4"/>
      <c r="J1331" t="s">
        <v>5117</v>
      </c>
      <c r="K1331" t="s">
        <v>280</v>
      </c>
      <c r="L1331" s="5"/>
      <c r="M1331" s="5" t="s">
        <v>4028</v>
      </c>
      <c r="N1331" t="s">
        <v>1824</v>
      </c>
      <c r="O1331" t="s">
        <v>5118</v>
      </c>
      <c r="S1331" t="s">
        <v>57</v>
      </c>
      <c r="T1331" s="5" t="s">
        <v>100</v>
      </c>
      <c r="W1331">
        <v>172</v>
      </c>
      <c r="X1331" t="s">
        <v>240</v>
      </c>
      <c r="Y1331" t="str">
        <f>VLOOKUP(C1331,'[1]DBS_KPY Sorumlular'!A:C,2,FALSE)</f>
        <v>Kadir TOPÇU</v>
      </c>
      <c r="Z1331" t="str">
        <f>VLOOKUP(C1331,'[1]DBS_KPY Sorumlular'!A:C,3,FALSE)</f>
        <v>Erkan AKDOĞAN</v>
      </c>
      <c r="AA1331" t="str">
        <f>VLOOKUP(K1331,[1]!Tablo3[#Data],2,FALSE)</f>
        <v>Erkan AKDOĞAN</v>
      </c>
    </row>
    <row r="1332" spans="1:27" x14ac:dyDescent="0.25">
      <c r="A1332">
        <v>2650</v>
      </c>
      <c r="B1332" t="s">
        <v>1419</v>
      </c>
      <c r="C1332" t="s">
        <v>652</v>
      </c>
      <c r="D1332" t="s">
        <v>653</v>
      </c>
      <c r="F1332" t="s">
        <v>486</v>
      </c>
      <c r="G1332" t="s">
        <v>456</v>
      </c>
      <c r="H1332" t="s">
        <v>5119</v>
      </c>
      <c r="I1332" s="4"/>
      <c r="J1332" t="s">
        <v>5119</v>
      </c>
      <c r="K1332" t="s">
        <v>280</v>
      </c>
      <c r="L1332" s="5"/>
      <c r="M1332" s="5" t="s">
        <v>4028</v>
      </c>
      <c r="N1332" t="s">
        <v>1824</v>
      </c>
      <c r="O1332" t="s">
        <v>5120</v>
      </c>
      <c r="S1332" t="s">
        <v>57</v>
      </c>
      <c r="T1332" s="5" t="s">
        <v>100</v>
      </c>
      <c r="W1332">
        <v>144</v>
      </c>
      <c r="X1332" t="s">
        <v>463</v>
      </c>
      <c r="Y1332" t="str">
        <f>VLOOKUP(C1332,'[1]DBS_KPY Sorumlular'!A:C,2,FALSE)</f>
        <v>Seyithan İŞİK</v>
      </c>
      <c r="Z1332" t="str">
        <f>VLOOKUP(C1332,'[1]DBS_KPY Sorumlular'!A:C,3,FALSE)</f>
        <v>Korhan KÖROĞLU</v>
      </c>
      <c r="AA1332" t="str">
        <f>VLOOKUP(K1332,[1]!Tablo3[#Data],2,FALSE)</f>
        <v>Erkan AKDOĞAN</v>
      </c>
    </row>
    <row r="1333" spans="1:27" x14ac:dyDescent="0.25">
      <c r="A1333">
        <v>2651</v>
      </c>
      <c r="B1333" t="s">
        <v>1419</v>
      </c>
      <c r="C1333" t="s">
        <v>1674</v>
      </c>
      <c r="D1333" t="s">
        <v>1675</v>
      </c>
      <c r="F1333" t="s">
        <v>66</v>
      </c>
      <c r="G1333" t="s">
        <v>67</v>
      </c>
      <c r="H1333" t="s">
        <v>5121</v>
      </c>
      <c r="I1333" s="4"/>
      <c r="J1333" t="s">
        <v>5122</v>
      </c>
      <c r="K1333" t="s">
        <v>1157</v>
      </c>
      <c r="L1333" s="5"/>
      <c r="M1333" s="5" t="s">
        <v>35</v>
      </c>
      <c r="N1333" t="s">
        <v>35</v>
      </c>
      <c r="O1333" t="s">
        <v>5123</v>
      </c>
      <c r="S1333" t="s">
        <v>37</v>
      </c>
      <c r="T1333" s="5" t="s">
        <v>48</v>
      </c>
      <c r="U1333" t="s">
        <v>5124</v>
      </c>
      <c r="V1333" t="s">
        <v>5121</v>
      </c>
      <c r="W1333">
        <v>203</v>
      </c>
      <c r="X1333" t="s">
        <v>72</v>
      </c>
      <c r="Y1333" t="str">
        <f>VLOOKUP(C1333,'[1]DBS_KPY Sorumlular'!A:C,2,FALSE)</f>
        <v>Kadir TOPÇU</v>
      </c>
      <c r="Z1333" t="str">
        <f>VLOOKUP(C1333,'[1]DBS_KPY Sorumlular'!A:C,3,FALSE)</f>
        <v>Erkan AKDOĞAN</v>
      </c>
      <c r="AA1333" t="str">
        <f>VLOOKUP(K1333,[1]!Tablo3[#Data],2,FALSE)</f>
        <v>Tayfun VİÇE</v>
      </c>
    </row>
    <row r="1334" spans="1:27" x14ac:dyDescent="0.25">
      <c r="A1334">
        <v>2652</v>
      </c>
      <c r="B1334" t="s">
        <v>1419</v>
      </c>
      <c r="C1334" t="s">
        <v>288</v>
      </c>
      <c r="D1334" t="s">
        <v>289</v>
      </c>
      <c r="E1334" t="s">
        <v>5125</v>
      </c>
      <c r="F1334" t="s">
        <v>290</v>
      </c>
      <c r="G1334" t="s">
        <v>291</v>
      </c>
      <c r="H1334" t="s">
        <v>5126</v>
      </c>
      <c r="I1334" s="4"/>
      <c r="J1334" t="s">
        <v>3234</v>
      </c>
      <c r="K1334" t="s">
        <v>1157</v>
      </c>
      <c r="L1334" s="5"/>
      <c r="M1334" s="5" t="s">
        <v>35</v>
      </c>
      <c r="N1334" t="s">
        <v>1824</v>
      </c>
      <c r="O1334" t="s">
        <v>1187</v>
      </c>
      <c r="S1334" t="s">
        <v>37</v>
      </c>
      <c r="T1334" s="5" t="s">
        <v>38</v>
      </c>
      <c r="W1334">
        <v>23</v>
      </c>
      <c r="X1334" t="s">
        <v>295</v>
      </c>
      <c r="Y1334" t="str">
        <f>VLOOKUP(C1334,'[1]DBS_KPY Sorumlular'!A:C,2,FALSE)</f>
        <v>Sinan ERDAŞ</v>
      </c>
      <c r="Z1334" t="str">
        <f>VLOOKUP(C1334,'[1]DBS_KPY Sorumlular'!A:C,3,FALSE)</f>
        <v>Ayşegül AKGÜL</v>
      </c>
      <c r="AA1334" t="str">
        <f>VLOOKUP(K1334,[1]!Tablo3[#Data],2,FALSE)</f>
        <v>Tayfun VİÇE</v>
      </c>
    </row>
    <row r="1335" spans="1:27" x14ac:dyDescent="0.25">
      <c r="A1335">
        <v>2653</v>
      </c>
      <c r="B1335" t="s">
        <v>1419</v>
      </c>
      <c r="C1335" t="s">
        <v>304</v>
      </c>
      <c r="D1335" t="s">
        <v>305</v>
      </c>
      <c r="F1335" t="s">
        <v>486</v>
      </c>
      <c r="G1335" t="s">
        <v>67</v>
      </c>
      <c r="H1335" t="s">
        <v>5127</v>
      </c>
      <c r="I1335" s="4"/>
      <c r="J1335" t="s">
        <v>3213</v>
      </c>
      <c r="K1335" t="s">
        <v>1157</v>
      </c>
      <c r="L1335" s="5"/>
      <c r="M1335" s="5" t="s">
        <v>35</v>
      </c>
      <c r="N1335" t="s">
        <v>1824</v>
      </c>
      <c r="O1335" t="s">
        <v>5128</v>
      </c>
      <c r="S1335" t="s">
        <v>37</v>
      </c>
      <c r="T1335" s="5" t="s">
        <v>38</v>
      </c>
      <c r="Y1335" t="str">
        <f>VLOOKUP(C1335,'[1]DBS_KPY Sorumlular'!A:C,2,FALSE)</f>
        <v>Erkan AKDOĞAN</v>
      </c>
      <c r="Z1335" t="str">
        <f>VLOOKUP(C1335,'[1]DBS_KPY Sorumlular'!A:C,3,FALSE)</f>
        <v>Kadir TOPÇU</v>
      </c>
      <c r="AA1335" t="str">
        <f>VLOOKUP(K1335,[1]!Tablo3[#Data],2,FALSE)</f>
        <v>Tayfun VİÇE</v>
      </c>
    </row>
    <row r="1336" spans="1:27" x14ac:dyDescent="0.25">
      <c r="A1336">
        <v>2654</v>
      </c>
      <c r="B1336" t="s">
        <v>1419</v>
      </c>
      <c r="C1336" t="s">
        <v>1674</v>
      </c>
      <c r="D1336" t="s">
        <v>1700</v>
      </c>
      <c r="F1336" t="s">
        <v>95</v>
      </c>
      <c r="G1336" t="s">
        <v>96</v>
      </c>
      <c r="H1336" t="s">
        <v>5129</v>
      </c>
      <c r="I1336" s="4"/>
      <c r="K1336" t="s">
        <v>1157</v>
      </c>
      <c r="L1336" s="5"/>
      <c r="M1336" s="5" t="s">
        <v>35</v>
      </c>
      <c r="N1336" t="s">
        <v>1824</v>
      </c>
      <c r="O1336" t="s">
        <v>5130</v>
      </c>
      <c r="S1336" t="s">
        <v>37</v>
      </c>
      <c r="T1336" s="5" t="s">
        <v>100</v>
      </c>
      <c r="W1336">
        <v>91</v>
      </c>
      <c r="X1336" t="s">
        <v>101</v>
      </c>
      <c r="Y1336" t="str">
        <f>VLOOKUP(C1336,'[1]DBS_KPY Sorumlular'!A:C,2,FALSE)</f>
        <v>Kadir TOPÇU</v>
      </c>
      <c r="Z1336" t="str">
        <f>VLOOKUP(C1336,'[1]DBS_KPY Sorumlular'!A:C,3,FALSE)</f>
        <v>Erkan AKDOĞAN</v>
      </c>
      <c r="AA1336" t="str">
        <f>VLOOKUP(K1336,[1]!Tablo3[#Data],2,FALSE)</f>
        <v>Tayfun VİÇE</v>
      </c>
    </row>
    <row r="1337" spans="1:27" x14ac:dyDescent="0.25">
      <c r="A1337">
        <v>2655</v>
      </c>
      <c r="B1337" t="s">
        <v>1419</v>
      </c>
      <c r="C1337" t="s">
        <v>402</v>
      </c>
      <c r="D1337" t="s">
        <v>403</v>
      </c>
      <c r="F1337" t="s">
        <v>383</v>
      </c>
      <c r="G1337" t="s">
        <v>384</v>
      </c>
      <c r="H1337" t="s">
        <v>5131</v>
      </c>
      <c r="I1337" s="4"/>
      <c r="J1337" t="s">
        <v>3234</v>
      </c>
      <c r="K1337" t="s">
        <v>1157</v>
      </c>
      <c r="L1337" s="5" t="s">
        <v>5132</v>
      </c>
      <c r="M1337" s="5" t="s">
        <v>4028</v>
      </c>
      <c r="N1337" t="s">
        <v>1824</v>
      </c>
      <c r="O1337" t="s">
        <v>5133</v>
      </c>
      <c r="S1337" t="s">
        <v>37</v>
      </c>
      <c r="T1337" s="5" t="s">
        <v>100</v>
      </c>
      <c r="W1337">
        <v>177</v>
      </c>
      <c r="X1337" t="s">
        <v>2818</v>
      </c>
      <c r="Y1337" t="str">
        <f>VLOOKUP(C1337,'[1]DBS_KPY Sorumlular'!A:C,2,FALSE)</f>
        <v>Tayfun VİÇE</v>
      </c>
      <c r="Z1337" t="str">
        <f>VLOOKUP(C1337,'[1]DBS_KPY Sorumlular'!A:C,3,FALSE)</f>
        <v>Mehmet Ali YAVUZ</v>
      </c>
      <c r="AA1337" t="str">
        <f>VLOOKUP(K1337,[1]!Tablo3[#Data],2,FALSE)</f>
        <v>Tayfun VİÇE</v>
      </c>
    </row>
    <row r="1338" spans="1:27" x14ac:dyDescent="0.25">
      <c r="A1338">
        <v>2656</v>
      </c>
      <c r="B1338" t="s">
        <v>1419</v>
      </c>
      <c r="C1338" t="s">
        <v>1723</v>
      </c>
      <c r="D1338" t="s">
        <v>2478</v>
      </c>
      <c r="F1338" t="s">
        <v>486</v>
      </c>
      <c r="G1338" t="s">
        <v>67</v>
      </c>
      <c r="H1338" t="s">
        <v>5134</v>
      </c>
      <c r="I1338" s="4"/>
      <c r="J1338" t="s">
        <v>5135</v>
      </c>
      <c r="K1338" t="s">
        <v>1106</v>
      </c>
      <c r="L1338" s="5" t="s">
        <v>5136</v>
      </c>
      <c r="M1338" s="5" t="s">
        <v>35</v>
      </c>
      <c r="N1338" t="s">
        <v>1824</v>
      </c>
      <c r="O1338" t="s">
        <v>5137</v>
      </c>
      <c r="S1338" t="s">
        <v>37</v>
      </c>
      <c r="T1338" s="5" t="s">
        <v>38</v>
      </c>
      <c r="Y1338" t="str">
        <f>VLOOKUP(C1338,'[1]DBS_KPY Sorumlular'!A:C,2,FALSE)</f>
        <v>Erkan AKDOĞAN</v>
      </c>
      <c r="Z1338" t="str">
        <f>VLOOKUP(C1338,'[1]DBS_KPY Sorumlular'!A:C,3,FALSE)</f>
        <v>Kadir TOPÇU</v>
      </c>
      <c r="AA1338" t="str">
        <f>VLOOKUP(K1338,[1]!Tablo3[#Data],2,FALSE)</f>
        <v>Tayfun VİÇE</v>
      </c>
    </row>
    <row r="1339" spans="1:27" x14ac:dyDescent="0.25">
      <c r="A1339">
        <v>2657</v>
      </c>
      <c r="B1339" t="s">
        <v>1419</v>
      </c>
      <c r="C1339" t="s">
        <v>1674</v>
      </c>
      <c r="D1339" t="s">
        <v>1717</v>
      </c>
      <c r="F1339" t="s">
        <v>42</v>
      </c>
      <c r="G1339" t="s">
        <v>43</v>
      </c>
      <c r="H1339" t="s">
        <v>5138</v>
      </c>
      <c r="I1339" s="4"/>
      <c r="K1339" t="s">
        <v>1106</v>
      </c>
      <c r="L1339" s="5"/>
      <c r="M1339" s="5" t="s">
        <v>5139</v>
      </c>
      <c r="N1339" t="s">
        <v>35</v>
      </c>
      <c r="O1339" t="s">
        <v>5140</v>
      </c>
      <c r="S1339" t="s">
        <v>37</v>
      </c>
      <c r="T1339" s="5" t="s">
        <v>48</v>
      </c>
      <c r="U1339" t="s">
        <v>5141</v>
      </c>
      <c r="V1339" t="s">
        <v>5138</v>
      </c>
      <c r="W1339">
        <v>68</v>
      </c>
      <c r="X1339" t="s">
        <v>51</v>
      </c>
      <c r="Y1339" t="str">
        <f>VLOOKUP(C1339,'[1]DBS_KPY Sorumlular'!A:C,2,FALSE)</f>
        <v>Kadir TOPÇU</v>
      </c>
      <c r="Z1339" t="str">
        <f>VLOOKUP(C1339,'[1]DBS_KPY Sorumlular'!A:C,3,FALSE)</f>
        <v>Erkan AKDOĞAN</v>
      </c>
      <c r="AA1339" t="str">
        <f>VLOOKUP(K1339,[1]!Tablo3[#Data],2,FALSE)</f>
        <v>Tayfun VİÇE</v>
      </c>
    </row>
    <row r="1340" spans="1:27" x14ac:dyDescent="0.25">
      <c r="A1340">
        <v>2658</v>
      </c>
      <c r="B1340" t="s">
        <v>1419</v>
      </c>
      <c r="C1340" t="s">
        <v>652</v>
      </c>
      <c r="D1340" t="s">
        <v>653</v>
      </c>
      <c r="F1340" t="s">
        <v>486</v>
      </c>
      <c r="G1340" t="s">
        <v>456</v>
      </c>
      <c r="H1340" t="s">
        <v>5142</v>
      </c>
      <c r="I1340" s="4"/>
      <c r="J1340" t="s">
        <v>5143</v>
      </c>
      <c r="K1340" t="s">
        <v>1106</v>
      </c>
      <c r="L1340" s="5"/>
      <c r="M1340" s="5" t="s">
        <v>35</v>
      </c>
      <c r="N1340" t="s">
        <v>1824</v>
      </c>
      <c r="O1340" t="s">
        <v>5144</v>
      </c>
      <c r="S1340" t="s">
        <v>37</v>
      </c>
      <c r="T1340" s="5" t="s">
        <v>100</v>
      </c>
      <c r="W1340">
        <v>144</v>
      </c>
      <c r="X1340" t="s">
        <v>463</v>
      </c>
      <c r="Y1340" t="str">
        <f>VLOOKUP(C1340,'[1]DBS_KPY Sorumlular'!A:C,2,FALSE)</f>
        <v>Seyithan İŞİK</v>
      </c>
      <c r="Z1340" t="str">
        <f>VLOOKUP(C1340,'[1]DBS_KPY Sorumlular'!A:C,3,FALSE)</f>
        <v>Korhan KÖROĞLU</v>
      </c>
      <c r="AA1340" t="str">
        <f>VLOOKUP(K1340,[1]!Tablo3[#Data],2,FALSE)</f>
        <v>Tayfun VİÇE</v>
      </c>
    </row>
    <row r="1341" spans="1:27" x14ac:dyDescent="0.25">
      <c r="A1341">
        <v>2659</v>
      </c>
      <c r="B1341" t="s">
        <v>1419</v>
      </c>
      <c r="C1341" t="s">
        <v>5145</v>
      </c>
      <c r="D1341" t="s">
        <v>5146</v>
      </c>
      <c r="F1341" t="s">
        <v>486</v>
      </c>
      <c r="G1341" t="s">
        <v>456</v>
      </c>
      <c r="H1341" t="s">
        <v>5147</v>
      </c>
      <c r="I1341" s="4"/>
      <c r="J1341" t="s">
        <v>5148</v>
      </c>
      <c r="K1341" t="s">
        <v>1106</v>
      </c>
      <c r="L1341" s="5" t="s">
        <v>5149</v>
      </c>
      <c r="M1341" s="5" t="s">
        <v>35</v>
      </c>
      <c r="N1341" t="s">
        <v>739</v>
      </c>
      <c r="O1341" t="s">
        <v>5150</v>
      </c>
      <c r="S1341" t="s">
        <v>37</v>
      </c>
      <c r="T1341" s="5" t="s">
        <v>38</v>
      </c>
      <c r="W1341">
        <v>168</v>
      </c>
      <c r="X1341" t="s">
        <v>394</v>
      </c>
      <c r="Y1341" t="str">
        <f>VLOOKUP(C1341,'[1]DBS_KPY Sorumlular'!A:C,2,FALSE)</f>
        <v>Korhan KOROĞLU</v>
      </c>
      <c r="Z1341" t="str">
        <f>VLOOKUP(C1341,'[1]DBS_KPY Sorumlular'!A:C,3,FALSE)</f>
        <v>Seyithan İŞİK</v>
      </c>
      <c r="AA1341" t="str">
        <f>VLOOKUP(K1341,[1]!Tablo3[#Data],2,FALSE)</f>
        <v>Tayfun VİÇE</v>
      </c>
    </row>
    <row r="1342" spans="1:27" x14ac:dyDescent="0.25">
      <c r="A1342">
        <v>2660</v>
      </c>
      <c r="B1342" t="s">
        <v>1419</v>
      </c>
      <c r="C1342" t="s">
        <v>1674</v>
      </c>
      <c r="D1342" t="s">
        <v>1675</v>
      </c>
      <c r="F1342" t="s">
        <v>95</v>
      </c>
      <c r="G1342" t="s">
        <v>96</v>
      </c>
      <c r="H1342" t="s">
        <v>5151</v>
      </c>
      <c r="I1342" s="4"/>
      <c r="J1342" t="s">
        <v>5152</v>
      </c>
      <c r="K1342" t="s">
        <v>1106</v>
      </c>
      <c r="L1342" s="5"/>
      <c r="M1342" s="5" t="s">
        <v>35</v>
      </c>
      <c r="N1342" t="s">
        <v>1824</v>
      </c>
      <c r="O1342" t="s">
        <v>1214</v>
      </c>
      <c r="S1342" t="s">
        <v>37</v>
      </c>
      <c r="T1342" s="5" t="s">
        <v>100</v>
      </c>
      <c r="W1342">
        <v>91</v>
      </c>
      <c r="X1342" t="s">
        <v>101</v>
      </c>
      <c r="Y1342" t="str">
        <f>VLOOKUP(C1342,'[1]DBS_KPY Sorumlular'!A:C,2,FALSE)</f>
        <v>Kadir TOPÇU</v>
      </c>
      <c r="Z1342" t="str">
        <f>VLOOKUP(C1342,'[1]DBS_KPY Sorumlular'!A:C,3,FALSE)</f>
        <v>Erkan AKDOĞAN</v>
      </c>
      <c r="AA1342" t="str">
        <f>VLOOKUP(K1342,[1]!Tablo3[#Data],2,FALSE)</f>
        <v>Tayfun VİÇE</v>
      </c>
    </row>
    <row r="1343" spans="1:27" x14ac:dyDescent="0.25">
      <c r="A1343">
        <v>2661</v>
      </c>
      <c r="B1343" t="s">
        <v>1419</v>
      </c>
      <c r="C1343" t="s">
        <v>1674</v>
      </c>
      <c r="D1343" t="s">
        <v>1717</v>
      </c>
      <c r="F1343" t="s">
        <v>1154</v>
      </c>
      <c r="G1343" t="s">
        <v>43</v>
      </c>
      <c r="H1343" t="s">
        <v>5153</v>
      </c>
      <c r="I1343" s="4"/>
      <c r="J1343" t="s">
        <v>5154</v>
      </c>
      <c r="K1343" t="s">
        <v>1106</v>
      </c>
      <c r="L1343" s="5" t="s">
        <v>3542</v>
      </c>
      <c r="M1343" s="5" t="s">
        <v>35</v>
      </c>
      <c r="N1343" t="s">
        <v>739</v>
      </c>
      <c r="O1343" t="s">
        <v>1214</v>
      </c>
      <c r="S1343" t="s">
        <v>37</v>
      </c>
      <c r="T1343" s="5" t="s">
        <v>100</v>
      </c>
      <c r="W1343">
        <v>48</v>
      </c>
      <c r="X1343" t="s">
        <v>5155</v>
      </c>
      <c r="Y1343" t="str">
        <f>VLOOKUP(C1343,'[1]DBS_KPY Sorumlular'!A:C,2,FALSE)</f>
        <v>Kadir TOPÇU</v>
      </c>
      <c r="Z1343" t="str">
        <f>VLOOKUP(C1343,'[1]DBS_KPY Sorumlular'!A:C,3,FALSE)</f>
        <v>Erkan AKDOĞAN</v>
      </c>
      <c r="AA1343" t="str">
        <f>VLOOKUP(K1343,[1]!Tablo3[#Data],2,FALSE)</f>
        <v>Tayfun VİÇE</v>
      </c>
    </row>
    <row r="1344" spans="1:27" x14ac:dyDescent="0.25">
      <c r="A1344">
        <v>2662</v>
      </c>
      <c r="B1344" t="s">
        <v>1419</v>
      </c>
      <c r="C1344" t="s">
        <v>1723</v>
      </c>
      <c r="D1344" t="s">
        <v>2478</v>
      </c>
      <c r="F1344" t="s">
        <v>486</v>
      </c>
      <c r="G1344" t="s">
        <v>67</v>
      </c>
      <c r="H1344" t="s">
        <v>5156</v>
      </c>
      <c r="I1344" s="4"/>
      <c r="J1344" t="s">
        <v>5157</v>
      </c>
      <c r="K1344" t="s">
        <v>1106</v>
      </c>
      <c r="L1344" s="5" t="s">
        <v>5158</v>
      </c>
      <c r="M1344" s="5" t="s">
        <v>35</v>
      </c>
      <c r="N1344" t="s">
        <v>1824</v>
      </c>
      <c r="O1344" t="s">
        <v>5159</v>
      </c>
      <c r="S1344" t="s">
        <v>37</v>
      </c>
      <c r="T1344" s="5" t="s">
        <v>38</v>
      </c>
      <c r="Y1344" t="str">
        <f>VLOOKUP(C1344,'[1]DBS_KPY Sorumlular'!A:C,2,FALSE)</f>
        <v>Erkan AKDOĞAN</v>
      </c>
      <c r="Z1344" t="str">
        <f>VLOOKUP(C1344,'[1]DBS_KPY Sorumlular'!A:C,3,FALSE)</f>
        <v>Kadir TOPÇU</v>
      </c>
      <c r="AA1344" t="str">
        <f>VLOOKUP(K1344,[1]!Tablo3[#Data],2,FALSE)</f>
        <v>Tayfun VİÇE</v>
      </c>
    </row>
    <row r="1345" spans="1:27" x14ac:dyDescent="0.25">
      <c r="A1345">
        <v>2663</v>
      </c>
      <c r="B1345" t="s">
        <v>1419</v>
      </c>
      <c r="C1345" t="s">
        <v>1723</v>
      </c>
      <c r="D1345" t="s">
        <v>1751</v>
      </c>
      <c r="F1345" t="s">
        <v>486</v>
      </c>
      <c r="G1345" t="s">
        <v>67</v>
      </c>
      <c r="H1345" t="s">
        <v>5160</v>
      </c>
      <c r="I1345" s="4"/>
      <c r="J1345" t="s">
        <v>5161</v>
      </c>
      <c r="K1345" t="s">
        <v>1106</v>
      </c>
      <c r="L1345" s="5" t="s">
        <v>5162</v>
      </c>
      <c r="M1345" s="5" t="s">
        <v>35</v>
      </c>
      <c r="N1345" t="s">
        <v>1824</v>
      </c>
      <c r="O1345" t="s">
        <v>5163</v>
      </c>
      <c r="S1345" t="s">
        <v>37</v>
      </c>
      <c r="T1345" s="5" t="s">
        <v>38</v>
      </c>
      <c r="Y1345" t="str">
        <f>VLOOKUP(C1345,'[1]DBS_KPY Sorumlular'!A:C,2,FALSE)</f>
        <v>Erkan AKDOĞAN</v>
      </c>
      <c r="Z1345" t="str">
        <f>VLOOKUP(C1345,'[1]DBS_KPY Sorumlular'!A:C,3,FALSE)</f>
        <v>Kadir TOPÇU</v>
      </c>
      <c r="AA1345" t="str">
        <f>VLOOKUP(K1345,[1]!Tablo3[#Data],2,FALSE)</f>
        <v>Tayfun VİÇE</v>
      </c>
    </row>
    <row r="1346" spans="1:27" x14ac:dyDescent="0.25">
      <c r="A1346">
        <v>2664</v>
      </c>
      <c r="B1346" t="s">
        <v>1419</v>
      </c>
      <c r="C1346" t="s">
        <v>1674</v>
      </c>
      <c r="D1346" t="s">
        <v>1675</v>
      </c>
      <c r="F1346" t="s">
        <v>66</v>
      </c>
      <c r="G1346" t="s">
        <v>67</v>
      </c>
      <c r="H1346" t="s">
        <v>5164</v>
      </c>
      <c r="I1346" s="4"/>
      <c r="J1346" t="s">
        <v>5165</v>
      </c>
      <c r="K1346" t="s">
        <v>1106</v>
      </c>
      <c r="L1346" s="5"/>
      <c r="M1346" s="5" t="s">
        <v>35</v>
      </c>
      <c r="N1346" t="s">
        <v>1824</v>
      </c>
      <c r="O1346" t="s">
        <v>1214</v>
      </c>
      <c r="S1346" t="s">
        <v>37</v>
      </c>
      <c r="T1346" s="5" t="s">
        <v>100</v>
      </c>
      <c r="W1346">
        <v>104</v>
      </c>
      <c r="X1346" t="s">
        <v>703</v>
      </c>
      <c r="Y1346" t="str">
        <f>VLOOKUP(C1346,'[1]DBS_KPY Sorumlular'!A:C,2,FALSE)</f>
        <v>Kadir TOPÇU</v>
      </c>
      <c r="Z1346" t="str">
        <f>VLOOKUP(C1346,'[1]DBS_KPY Sorumlular'!A:C,3,FALSE)</f>
        <v>Erkan AKDOĞAN</v>
      </c>
      <c r="AA1346" t="str">
        <f>VLOOKUP(K1346,[1]!Tablo3[#Data],2,FALSE)</f>
        <v>Tayfun VİÇE</v>
      </c>
    </row>
    <row r="1347" spans="1:27" x14ac:dyDescent="0.25">
      <c r="A1347">
        <v>2665</v>
      </c>
      <c r="B1347" t="s">
        <v>1419</v>
      </c>
      <c r="C1347" t="s">
        <v>1674</v>
      </c>
      <c r="D1347" t="s">
        <v>1675</v>
      </c>
      <c r="F1347" t="s">
        <v>66</v>
      </c>
      <c r="G1347" t="s">
        <v>67</v>
      </c>
      <c r="H1347" t="s">
        <v>5166</v>
      </c>
      <c r="I1347" s="4"/>
      <c r="J1347" t="s">
        <v>5167</v>
      </c>
      <c r="K1347" t="s">
        <v>1106</v>
      </c>
      <c r="L1347" s="5"/>
      <c r="M1347" s="5" t="s">
        <v>4028</v>
      </c>
      <c r="N1347" t="s">
        <v>1824</v>
      </c>
      <c r="O1347" t="s">
        <v>5168</v>
      </c>
      <c r="S1347" t="s">
        <v>37</v>
      </c>
      <c r="T1347" s="5" t="s">
        <v>100</v>
      </c>
      <c r="W1347">
        <v>208</v>
      </c>
      <c r="X1347" t="s">
        <v>594</v>
      </c>
      <c r="Y1347" t="str">
        <f>VLOOKUP(C1347,'[1]DBS_KPY Sorumlular'!A:C,2,FALSE)</f>
        <v>Kadir TOPÇU</v>
      </c>
      <c r="Z1347" t="str">
        <f>VLOOKUP(C1347,'[1]DBS_KPY Sorumlular'!A:C,3,FALSE)</f>
        <v>Erkan AKDOĞAN</v>
      </c>
      <c r="AA1347" t="str">
        <f>VLOOKUP(K1347,[1]!Tablo3[#Data],2,FALSE)</f>
        <v>Tayfun VİÇE</v>
      </c>
    </row>
    <row r="1348" spans="1:27" x14ac:dyDescent="0.25">
      <c r="A1348">
        <v>2666</v>
      </c>
      <c r="B1348" t="s">
        <v>1419</v>
      </c>
      <c r="C1348" t="s">
        <v>1723</v>
      </c>
      <c r="D1348" t="s">
        <v>1751</v>
      </c>
      <c r="F1348" t="s">
        <v>486</v>
      </c>
      <c r="G1348" t="s">
        <v>67</v>
      </c>
      <c r="H1348" t="s">
        <v>5169</v>
      </c>
      <c r="I1348" s="4"/>
      <c r="J1348" t="s">
        <v>5170</v>
      </c>
      <c r="K1348" t="s">
        <v>1106</v>
      </c>
      <c r="L1348" s="5" t="s">
        <v>5171</v>
      </c>
      <c r="M1348" s="5" t="s">
        <v>2670</v>
      </c>
      <c r="N1348" t="s">
        <v>1824</v>
      </c>
      <c r="O1348" t="s">
        <v>5172</v>
      </c>
      <c r="S1348" t="s">
        <v>37</v>
      </c>
      <c r="T1348" s="5" t="s">
        <v>38</v>
      </c>
      <c r="Y1348" t="str">
        <f>VLOOKUP(C1348,'[1]DBS_KPY Sorumlular'!A:C,2,FALSE)</f>
        <v>Erkan AKDOĞAN</v>
      </c>
      <c r="Z1348" t="str">
        <f>VLOOKUP(C1348,'[1]DBS_KPY Sorumlular'!A:C,3,FALSE)</f>
        <v>Kadir TOPÇU</v>
      </c>
      <c r="AA1348" t="str">
        <f>VLOOKUP(K1348,[1]!Tablo3[#Data],2,FALSE)</f>
        <v>Tayfun VİÇE</v>
      </c>
    </row>
    <row r="1349" spans="1:27" x14ac:dyDescent="0.25">
      <c r="A1349">
        <v>2667</v>
      </c>
      <c r="B1349" t="s">
        <v>27</v>
      </c>
      <c r="C1349" t="s">
        <v>40</v>
      </c>
      <c r="D1349" t="s">
        <v>41</v>
      </c>
      <c r="F1349" t="s">
        <v>102</v>
      </c>
      <c r="G1349" t="s">
        <v>43</v>
      </c>
      <c r="H1349" t="s">
        <v>5173</v>
      </c>
      <c r="I1349" s="4">
        <v>46182.875</v>
      </c>
      <c r="K1349" t="s">
        <v>1106</v>
      </c>
      <c r="L1349" s="5" t="s">
        <v>265</v>
      </c>
      <c r="M1349" s="5"/>
      <c r="N1349" t="s">
        <v>46</v>
      </c>
      <c r="O1349" t="s">
        <v>5174</v>
      </c>
      <c r="R1349">
        <v>0.1</v>
      </c>
      <c r="S1349" t="s">
        <v>37</v>
      </c>
      <c r="T1349" s="5" t="s">
        <v>48</v>
      </c>
      <c r="U1349" t="s">
        <v>5175</v>
      </c>
      <c r="V1349" t="s">
        <v>5176</v>
      </c>
      <c r="W1349">
        <v>30</v>
      </c>
      <c r="X1349" t="s">
        <v>327</v>
      </c>
      <c r="Y1349" t="str">
        <f>VLOOKUP(C1349,'[1]DBS_KPY Sorumlular'!A:C,2,FALSE)</f>
        <v>Mustafa AYDIN</v>
      </c>
      <c r="Z1349" t="str">
        <f>VLOOKUP(C1349,'[1]DBS_KPY Sorumlular'!A:C,3,FALSE)</f>
        <v>Esra DOLAN</v>
      </c>
      <c r="AA1349" t="str">
        <f>VLOOKUP(K1349,[1]!Tablo3[#Data],2,FALSE)</f>
        <v>Tayfun VİÇE</v>
      </c>
    </row>
    <row r="1350" spans="1:27" x14ac:dyDescent="0.25">
      <c r="A1350">
        <v>2668</v>
      </c>
      <c r="B1350" t="s">
        <v>1419</v>
      </c>
      <c r="C1350" t="s">
        <v>1723</v>
      </c>
      <c r="D1350" t="s">
        <v>1751</v>
      </c>
      <c r="F1350" t="s">
        <v>486</v>
      </c>
      <c r="G1350" t="s">
        <v>67</v>
      </c>
      <c r="H1350" t="s">
        <v>5177</v>
      </c>
      <c r="I1350" s="4"/>
      <c r="J1350" t="s">
        <v>5178</v>
      </c>
      <c r="K1350" t="s">
        <v>1221</v>
      </c>
      <c r="L1350" s="5" t="s">
        <v>5179</v>
      </c>
      <c r="M1350" s="5" t="s">
        <v>35</v>
      </c>
      <c r="N1350" t="s">
        <v>1824</v>
      </c>
      <c r="O1350" t="s">
        <v>5180</v>
      </c>
      <c r="S1350" t="s">
        <v>37</v>
      </c>
      <c r="T1350" s="5" t="s">
        <v>38</v>
      </c>
      <c r="Y1350" t="str">
        <f>VLOOKUP(C1350,'[1]DBS_KPY Sorumlular'!A:C,2,FALSE)</f>
        <v>Erkan AKDOĞAN</v>
      </c>
      <c r="Z1350" t="str">
        <f>VLOOKUP(C1350,'[1]DBS_KPY Sorumlular'!A:C,3,FALSE)</f>
        <v>Kadir TOPÇU</v>
      </c>
      <c r="AA1350" t="str">
        <f>VLOOKUP(K1350,[1]!Tablo3[#Data],2,FALSE)</f>
        <v>Tayfun VİÇE</v>
      </c>
    </row>
    <row r="1351" spans="1:27" x14ac:dyDescent="0.25">
      <c r="A1351">
        <v>2669</v>
      </c>
      <c r="B1351" t="s">
        <v>1419</v>
      </c>
      <c r="C1351" t="s">
        <v>304</v>
      </c>
      <c r="D1351" t="s">
        <v>305</v>
      </c>
      <c r="F1351" t="s">
        <v>306</v>
      </c>
      <c r="G1351" t="s">
        <v>96</v>
      </c>
      <c r="H1351" t="s">
        <v>5181</v>
      </c>
      <c r="I1351" s="4"/>
      <c r="J1351" t="s">
        <v>5182</v>
      </c>
      <c r="K1351" t="s">
        <v>1221</v>
      </c>
      <c r="L1351" s="5"/>
      <c r="M1351" s="5" t="s">
        <v>35</v>
      </c>
      <c r="N1351" t="s">
        <v>1824</v>
      </c>
      <c r="O1351" t="s">
        <v>5183</v>
      </c>
      <c r="S1351" t="s">
        <v>37</v>
      </c>
      <c r="T1351" s="5" t="s">
        <v>38</v>
      </c>
      <c r="Y1351" t="str">
        <f>VLOOKUP(C1351,'[1]DBS_KPY Sorumlular'!A:C,2,FALSE)</f>
        <v>Erkan AKDOĞAN</v>
      </c>
      <c r="Z1351" t="str">
        <f>VLOOKUP(C1351,'[1]DBS_KPY Sorumlular'!A:C,3,FALSE)</f>
        <v>Kadir TOPÇU</v>
      </c>
      <c r="AA1351" t="str">
        <f>VLOOKUP(K1351,[1]!Tablo3[#Data],2,FALSE)</f>
        <v>Tayfun VİÇE</v>
      </c>
    </row>
    <row r="1352" spans="1:27" x14ac:dyDescent="0.25">
      <c r="A1352">
        <v>2670</v>
      </c>
      <c r="B1352" t="s">
        <v>1419</v>
      </c>
      <c r="C1352" t="s">
        <v>288</v>
      </c>
      <c r="D1352" t="s">
        <v>289</v>
      </c>
      <c r="F1352" t="s">
        <v>486</v>
      </c>
      <c r="G1352" t="s">
        <v>291</v>
      </c>
      <c r="H1352" t="s">
        <v>5184</v>
      </c>
      <c r="I1352" s="4"/>
      <c r="J1352" t="s">
        <v>5185</v>
      </c>
      <c r="K1352" t="s">
        <v>1221</v>
      </c>
      <c r="L1352" s="5"/>
      <c r="M1352" s="5" t="s">
        <v>35</v>
      </c>
      <c r="N1352" t="s">
        <v>1824</v>
      </c>
      <c r="O1352" t="s">
        <v>5186</v>
      </c>
      <c r="S1352" t="s">
        <v>37</v>
      </c>
      <c r="T1352" s="5" t="s">
        <v>38</v>
      </c>
      <c r="W1352">
        <v>23</v>
      </c>
      <c r="X1352" t="s">
        <v>295</v>
      </c>
      <c r="Y1352" t="str">
        <f>VLOOKUP(C1352,'[1]DBS_KPY Sorumlular'!A:C,2,FALSE)</f>
        <v>Sinan ERDAŞ</v>
      </c>
      <c r="Z1352" t="str">
        <f>VLOOKUP(C1352,'[1]DBS_KPY Sorumlular'!A:C,3,FALSE)</f>
        <v>Ayşegül AKGÜL</v>
      </c>
      <c r="AA1352" t="str">
        <f>VLOOKUP(K1352,[1]!Tablo3[#Data],2,FALSE)</f>
        <v>Tayfun VİÇE</v>
      </c>
    </row>
    <row r="1353" spans="1:27" x14ac:dyDescent="0.25">
      <c r="A1353">
        <v>2671</v>
      </c>
      <c r="B1353" t="s">
        <v>1419</v>
      </c>
      <c r="C1353" t="s">
        <v>304</v>
      </c>
      <c r="D1353" t="s">
        <v>305</v>
      </c>
      <c r="F1353" t="s">
        <v>306</v>
      </c>
      <c r="G1353" t="s">
        <v>96</v>
      </c>
      <c r="H1353" t="s">
        <v>5187</v>
      </c>
      <c r="I1353" s="4"/>
      <c r="J1353" t="s">
        <v>5188</v>
      </c>
      <c r="K1353" t="s">
        <v>1221</v>
      </c>
      <c r="L1353" s="5"/>
      <c r="M1353" s="5" t="s">
        <v>35</v>
      </c>
      <c r="N1353" t="s">
        <v>1824</v>
      </c>
      <c r="O1353" t="s">
        <v>5189</v>
      </c>
      <c r="S1353" t="s">
        <v>37</v>
      </c>
      <c r="T1353" s="5" t="s">
        <v>38</v>
      </c>
      <c r="Y1353" t="str">
        <f>VLOOKUP(C1353,'[1]DBS_KPY Sorumlular'!A:C,2,FALSE)</f>
        <v>Erkan AKDOĞAN</v>
      </c>
      <c r="Z1353" t="str">
        <f>VLOOKUP(C1353,'[1]DBS_KPY Sorumlular'!A:C,3,FALSE)</f>
        <v>Kadir TOPÇU</v>
      </c>
      <c r="AA1353" t="str">
        <f>VLOOKUP(K1353,[1]!Tablo3[#Data],2,FALSE)</f>
        <v>Tayfun VİÇE</v>
      </c>
    </row>
    <row r="1354" spans="1:27" x14ac:dyDescent="0.25">
      <c r="A1354">
        <v>2672</v>
      </c>
      <c r="B1354" t="s">
        <v>1419</v>
      </c>
      <c r="C1354" t="s">
        <v>304</v>
      </c>
      <c r="D1354" t="s">
        <v>305</v>
      </c>
      <c r="F1354" t="s">
        <v>306</v>
      </c>
      <c r="G1354" t="s">
        <v>96</v>
      </c>
      <c r="H1354" t="s">
        <v>5190</v>
      </c>
      <c r="I1354" s="4"/>
      <c r="J1354" t="s">
        <v>5182</v>
      </c>
      <c r="K1354" t="s">
        <v>1221</v>
      </c>
      <c r="L1354" s="5"/>
      <c r="M1354" s="5" t="s">
        <v>35</v>
      </c>
      <c r="N1354" t="s">
        <v>1824</v>
      </c>
      <c r="O1354" t="s">
        <v>5191</v>
      </c>
      <c r="S1354" t="s">
        <v>37</v>
      </c>
      <c r="T1354" s="5" t="s">
        <v>38</v>
      </c>
      <c r="Y1354" t="str">
        <f>VLOOKUP(C1354,'[1]DBS_KPY Sorumlular'!A:C,2,FALSE)</f>
        <v>Erkan AKDOĞAN</v>
      </c>
      <c r="Z1354" t="str">
        <f>VLOOKUP(C1354,'[1]DBS_KPY Sorumlular'!A:C,3,FALSE)</f>
        <v>Kadir TOPÇU</v>
      </c>
      <c r="AA1354" t="str">
        <f>VLOOKUP(K1354,[1]!Tablo3[#Data],2,FALSE)</f>
        <v>Tayfun VİÇE</v>
      </c>
    </row>
    <row r="1355" spans="1:27" x14ac:dyDescent="0.25">
      <c r="A1355">
        <v>2673</v>
      </c>
      <c r="B1355" t="s">
        <v>1419</v>
      </c>
      <c r="C1355" t="s">
        <v>652</v>
      </c>
      <c r="D1355" t="s">
        <v>653</v>
      </c>
      <c r="F1355" t="s">
        <v>455</v>
      </c>
      <c r="G1355" t="s">
        <v>456</v>
      </c>
      <c r="H1355" t="s">
        <v>5192</v>
      </c>
      <c r="I1355" s="4"/>
      <c r="J1355" t="s">
        <v>5193</v>
      </c>
      <c r="K1355" t="s">
        <v>98</v>
      </c>
      <c r="L1355" s="5"/>
      <c r="M1355" s="5" t="s">
        <v>35</v>
      </c>
      <c r="N1355" t="s">
        <v>1824</v>
      </c>
      <c r="O1355" t="s">
        <v>5194</v>
      </c>
      <c r="S1355" t="s">
        <v>37</v>
      </c>
      <c r="T1355" s="5" t="s">
        <v>100</v>
      </c>
      <c r="W1355">
        <v>144</v>
      </c>
      <c r="X1355" t="s">
        <v>463</v>
      </c>
      <c r="Y1355" t="str">
        <f>VLOOKUP(C1355,'[1]DBS_KPY Sorumlular'!A:C,2,FALSE)</f>
        <v>Seyithan İŞİK</v>
      </c>
      <c r="Z1355" t="str">
        <f>VLOOKUP(C1355,'[1]DBS_KPY Sorumlular'!A:C,3,FALSE)</f>
        <v>Korhan KÖROĞLU</v>
      </c>
      <c r="AA1355" t="str">
        <f>VLOOKUP(K1355,[1]!Tablo3[#Data],2,FALSE)</f>
        <v>Tayfun VİÇE</v>
      </c>
    </row>
    <row r="1356" spans="1:27" x14ac:dyDescent="0.25">
      <c r="A1356">
        <v>2674</v>
      </c>
      <c r="B1356" t="s">
        <v>1419</v>
      </c>
      <c r="C1356" t="s">
        <v>304</v>
      </c>
      <c r="D1356" t="s">
        <v>305</v>
      </c>
      <c r="F1356" t="s">
        <v>306</v>
      </c>
      <c r="G1356" t="s">
        <v>96</v>
      </c>
      <c r="H1356" t="s">
        <v>5195</v>
      </c>
      <c r="I1356" s="4"/>
      <c r="J1356" t="s">
        <v>5188</v>
      </c>
      <c r="K1356" t="s">
        <v>1221</v>
      </c>
      <c r="L1356" s="5"/>
      <c r="M1356" s="5" t="s">
        <v>35</v>
      </c>
      <c r="N1356" t="s">
        <v>1824</v>
      </c>
      <c r="O1356" t="s">
        <v>5196</v>
      </c>
      <c r="S1356" t="s">
        <v>37</v>
      </c>
      <c r="T1356" s="5" t="s">
        <v>38</v>
      </c>
      <c r="Y1356" t="str">
        <f>VLOOKUP(C1356,'[1]DBS_KPY Sorumlular'!A:C,2,FALSE)</f>
        <v>Erkan AKDOĞAN</v>
      </c>
      <c r="Z1356" t="str">
        <f>VLOOKUP(C1356,'[1]DBS_KPY Sorumlular'!A:C,3,FALSE)</f>
        <v>Kadir TOPÇU</v>
      </c>
      <c r="AA1356" t="str">
        <f>VLOOKUP(K1356,[1]!Tablo3[#Data],2,FALSE)</f>
        <v>Tayfun VİÇE</v>
      </c>
    </row>
    <row r="1357" spans="1:27" x14ac:dyDescent="0.25">
      <c r="A1357">
        <v>2675</v>
      </c>
      <c r="B1357" t="s">
        <v>1419</v>
      </c>
      <c r="C1357" t="s">
        <v>288</v>
      </c>
      <c r="D1357" t="s">
        <v>289</v>
      </c>
      <c r="F1357" t="s">
        <v>486</v>
      </c>
      <c r="G1357" t="s">
        <v>291</v>
      </c>
      <c r="H1357" t="s">
        <v>5197</v>
      </c>
      <c r="I1357" s="4"/>
      <c r="J1357" t="s">
        <v>5185</v>
      </c>
      <c r="K1357" t="s">
        <v>1221</v>
      </c>
      <c r="L1357" s="5"/>
      <c r="M1357" s="5" t="s">
        <v>35</v>
      </c>
      <c r="N1357" t="s">
        <v>1824</v>
      </c>
      <c r="O1357" t="s">
        <v>5198</v>
      </c>
      <c r="S1357" t="s">
        <v>37</v>
      </c>
      <c r="T1357" s="5" t="s">
        <v>38</v>
      </c>
      <c r="W1357">
        <v>94</v>
      </c>
      <c r="X1357" t="s">
        <v>1707</v>
      </c>
      <c r="Y1357" t="str">
        <f>VLOOKUP(C1357,'[1]DBS_KPY Sorumlular'!A:C,2,FALSE)</f>
        <v>Sinan ERDAŞ</v>
      </c>
      <c r="Z1357" t="str">
        <f>VLOOKUP(C1357,'[1]DBS_KPY Sorumlular'!A:C,3,FALSE)</f>
        <v>Ayşegül AKGÜL</v>
      </c>
      <c r="AA1357" t="str">
        <f>VLOOKUP(K1357,[1]!Tablo3[#Data],2,FALSE)</f>
        <v>Tayfun VİÇE</v>
      </c>
    </row>
    <row r="1358" spans="1:27" x14ac:dyDescent="0.25">
      <c r="A1358">
        <v>2676</v>
      </c>
      <c r="B1358" t="s">
        <v>1419</v>
      </c>
      <c r="C1358" t="s">
        <v>652</v>
      </c>
      <c r="D1358" t="s">
        <v>653</v>
      </c>
      <c r="F1358" t="s">
        <v>455</v>
      </c>
      <c r="G1358" t="s">
        <v>456</v>
      </c>
      <c r="H1358" t="s">
        <v>5199</v>
      </c>
      <c r="I1358" s="4"/>
      <c r="J1358" t="s">
        <v>5200</v>
      </c>
      <c r="K1358" t="s">
        <v>1221</v>
      </c>
      <c r="L1358" s="5"/>
      <c r="M1358" s="5" t="s">
        <v>35</v>
      </c>
      <c r="N1358" t="s">
        <v>1824</v>
      </c>
      <c r="O1358" t="s">
        <v>5201</v>
      </c>
      <c r="S1358" t="s">
        <v>37</v>
      </c>
      <c r="T1358" s="5" t="s">
        <v>100</v>
      </c>
      <c r="W1358">
        <v>144</v>
      </c>
      <c r="X1358" t="s">
        <v>463</v>
      </c>
      <c r="Y1358" t="str">
        <f>VLOOKUP(C1358,'[1]DBS_KPY Sorumlular'!A:C,2,FALSE)</f>
        <v>Seyithan İŞİK</v>
      </c>
      <c r="Z1358" t="str">
        <f>VLOOKUP(C1358,'[1]DBS_KPY Sorumlular'!A:C,3,FALSE)</f>
        <v>Korhan KÖROĞLU</v>
      </c>
      <c r="AA1358" t="str">
        <f>VLOOKUP(K1358,[1]!Tablo3[#Data],2,FALSE)</f>
        <v>Tayfun VİÇE</v>
      </c>
    </row>
    <row r="1359" spans="1:27" x14ac:dyDescent="0.25">
      <c r="A1359">
        <v>2677</v>
      </c>
      <c r="B1359" t="s">
        <v>1419</v>
      </c>
      <c r="C1359" t="s">
        <v>652</v>
      </c>
      <c r="D1359" t="s">
        <v>653</v>
      </c>
      <c r="F1359" t="s">
        <v>455</v>
      </c>
      <c r="G1359" t="s">
        <v>456</v>
      </c>
      <c r="H1359" t="s">
        <v>5202</v>
      </c>
      <c r="I1359" s="4"/>
      <c r="J1359" t="s">
        <v>5200</v>
      </c>
      <c r="K1359" t="s">
        <v>1221</v>
      </c>
      <c r="L1359" s="5"/>
      <c r="M1359" s="5" t="s">
        <v>35</v>
      </c>
      <c r="N1359" t="s">
        <v>1824</v>
      </c>
      <c r="O1359" t="s">
        <v>5203</v>
      </c>
      <c r="S1359" t="s">
        <v>37</v>
      </c>
      <c r="T1359" s="5" t="s">
        <v>100</v>
      </c>
      <c r="W1359">
        <v>144</v>
      </c>
      <c r="X1359" t="s">
        <v>463</v>
      </c>
      <c r="Y1359" t="str">
        <f>VLOOKUP(C1359,'[1]DBS_KPY Sorumlular'!A:C,2,FALSE)</f>
        <v>Seyithan İŞİK</v>
      </c>
      <c r="Z1359" t="str">
        <f>VLOOKUP(C1359,'[1]DBS_KPY Sorumlular'!A:C,3,FALSE)</f>
        <v>Korhan KÖROĞLU</v>
      </c>
      <c r="AA1359" t="str">
        <f>VLOOKUP(K1359,[1]!Tablo3[#Data],2,FALSE)</f>
        <v>Tayfun VİÇE</v>
      </c>
    </row>
    <row r="1360" spans="1:27" x14ac:dyDescent="0.25">
      <c r="A1360">
        <v>2678</v>
      </c>
      <c r="B1360" t="s">
        <v>1419</v>
      </c>
      <c r="C1360" t="s">
        <v>288</v>
      </c>
      <c r="D1360" t="s">
        <v>289</v>
      </c>
      <c r="F1360" t="s">
        <v>486</v>
      </c>
      <c r="G1360" t="s">
        <v>291</v>
      </c>
      <c r="H1360" t="s">
        <v>5204</v>
      </c>
      <c r="I1360" s="4"/>
      <c r="J1360" t="s">
        <v>5185</v>
      </c>
      <c r="K1360" t="s">
        <v>1221</v>
      </c>
      <c r="L1360" s="5"/>
      <c r="M1360" s="5" t="s">
        <v>35</v>
      </c>
      <c r="N1360" t="s">
        <v>1824</v>
      </c>
      <c r="O1360" t="s">
        <v>5205</v>
      </c>
      <c r="S1360" t="s">
        <v>37</v>
      </c>
      <c r="T1360" s="5" t="s">
        <v>38</v>
      </c>
      <c r="W1360">
        <v>23</v>
      </c>
      <c r="X1360" t="s">
        <v>295</v>
      </c>
      <c r="Y1360" t="str">
        <f>VLOOKUP(C1360,'[1]DBS_KPY Sorumlular'!A:C,2,FALSE)</f>
        <v>Sinan ERDAŞ</v>
      </c>
      <c r="Z1360" t="str">
        <f>VLOOKUP(C1360,'[1]DBS_KPY Sorumlular'!A:C,3,FALSE)</f>
        <v>Ayşegül AKGÜL</v>
      </c>
      <c r="AA1360" t="str">
        <f>VLOOKUP(K1360,[1]!Tablo3[#Data],2,FALSE)</f>
        <v>Tayfun VİÇE</v>
      </c>
    </row>
    <row r="1361" spans="1:27" x14ac:dyDescent="0.25">
      <c r="A1361">
        <v>2679</v>
      </c>
      <c r="B1361" t="s">
        <v>1419</v>
      </c>
      <c r="C1361" t="s">
        <v>1674</v>
      </c>
      <c r="D1361" t="s">
        <v>1675</v>
      </c>
      <c r="F1361" t="s">
        <v>306</v>
      </c>
      <c r="G1361" t="s">
        <v>96</v>
      </c>
      <c r="H1361" t="s">
        <v>5206</v>
      </c>
      <c r="I1361" s="4"/>
      <c r="J1361" t="s">
        <v>5207</v>
      </c>
      <c r="K1361" t="s">
        <v>1221</v>
      </c>
      <c r="L1361" s="5"/>
      <c r="M1361" s="5" t="s">
        <v>35</v>
      </c>
      <c r="N1361" t="s">
        <v>1824</v>
      </c>
      <c r="O1361" t="s">
        <v>5208</v>
      </c>
      <c r="S1361" t="s">
        <v>37</v>
      </c>
      <c r="T1361" s="5" t="s">
        <v>100</v>
      </c>
      <c r="W1361">
        <v>28</v>
      </c>
      <c r="X1361" t="s">
        <v>667</v>
      </c>
      <c r="Y1361" t="str">
        <f>VLOOKUP(C1361,'[1]DBS_KPY Sorumlular'!A:C,2,FALSE)</f>
        <v>Kadir TOPÇU</v>
      </c>
      <c r="Z1361" t="str">
        <f>VLOOKUP(C1361,'[1]DBS_KPY Sorumlular'!A:C,3,FALSE)</f>
        <v>Erkan AKDOĞAN</v>
      </c>
      <c r="AA1361" t="str">
        <f>VLOOKUP(K1361,[1]!Tablo3[#Data],2,FALSE)</f>
        <v>Tayfun VİÇE</v>
      </c>
    </row>
    <row r="1362" spans="1:27" x14ac:dyDescent="0.25">
      <c r="A1362">
        <v>2680</v>
      </c>
      <c r="B1362" t="s">
        <v>1419</v>
      </c>
      <c r="C1362" t="s">
        <v>1674</v>
      </c>
      <c r="D1362" t="s">
        <v>1675</v>
      </c>
      <c r="F1362" t="s">
        <v>306</v>
      </c>
      <c r="G1362" t="s">
        <v>96</v>
      </c>
      <c r="H1362" t="s">
        <v>5209</v>
      </c>
      <c r="I1362" s="4"/>
      <c r="J1362" t="s">
        <v>5182</v>
      </c>
      <c r="K1362" t="s">
        <v>1221</v>
      </c>
      <c r="L1362" s="5"/>
      <c r="M1362" s="5" t="s">
        <v>35</v>
      </c>
      <c r="N1362" t="s">
        <v>1824</v>
      </c>
      <c r="O1362" t="s">
        <v>5210</v>
      </c>
      <c r="S1362" t="s">
        <v>37</v>
      </c>
      <c r="T1362" s="5" t="s">
        <v>100</v>
      </c>
      <c r="W1362">
        <v>28</v>
      </c>
      <c r="X1362" t="s">
        <v>667</v>
      </c>
      <c r="Y1362" t="str">
        <f>VLOOKUP(C1362,'[1]DBS_KPY Sorumlular'!A:C,2,FALSE)</f>
        <v>Kadir TOPÇU</v>
      </c>
      <c r="Z1362" t="str">
        <f>VLOOKUP(C1362,'[1]DBS_KPY Sorumlular'!A:C,3,FALSE)</f>
        <v>Erkan AKDOĞAN</v>
      </c>
      <c r="AA1362" t="str">
        <f>VLOOKUP(K1362,[1]!Tablo3[#Data],2,FALSE)</f>
        <v>Tayfun VİÇE</v>
      </c>
    </row>
    <row r="1363" spans="1:27" x14ac:dyDescent="0.25">
      <c r="A1363">
        <v>2681</v>
      </c>
      <c r="B1363" t="s">
        <v>1419</v>
      </c>
      <c r="C1363" t="s">
        <v>304</v>
      </c>
      <c r="D1363" t="s">
        <v>305</v>
      </c>
      <c r="F1363" t="s">
        <v>306</v>
      </c>
      <c r="G1363" t="s">
        <v>96</v>
      </c>
      <c r="H1363" t="s">
        <v>5211</v>
      </c>
      <c r="I1363" s="4"/>
      <c r="J1363" t="s">
        <v>5182</v>
      </c>
      <c r="K1363" t="s">
        <v>1221</v>
      </c>
      <c r="L1363" s="5"/>
      <c r="M1363" s="5" t="s">
        <v>35</v>
      </c>
      <c r="N1363" t="s">
        <v>1824</v>
      </c>
      <c r="O1363" t="s">
        <v>5212</v>
      </c>
      <c r="S1363" t="s">
        <v>37</v>
      </c>
      <c r="T1363" s="5" t="s">
        <v>38</v>
      </c>
      <c r="Y1363" t="str">
        <f>VLOOKUP(C1363,'[1]DBS_KPY Sorumlular'!A:C,2,FALSE)</f>
        <v>Erkan AKDOĞAN</v>
      </c>
      <c r="Z1363" t="str">
        <f>VLOOKUP(C1363,'[1]DBS_KPY Sorumlular'!A:C,3,FALSE)</f>
        <v>Kadir TOPÇU</v>
      </c>
      <c r="AA1363" t="str">
        <f>VLOOKUP(K1363,[1]!Tablo3[#Data],2,FALSE)</f>
        <v>Tayfun VİÇE</v>
      </c>
    </row>
    <row r="1364" spans="1:27" x14ac:dyDescent="0.25">
      <c r="A1364">
        <v>2682</v>
      </c>
      <c r="B1364" t="s">
        <v>1419</v>
      </c>
      <c r="C1364" t="s">
        <v>652</v>
      </c>
      <c r="D1364" t="s">
        <v>653</v>
      </c>
      <c r="F1364" t="s">
        <v>455</v>
      </c>
      <c r="G1364" t="s">
        <v>456</v>
      </c>
      <c r="H1364" t="s">
        <v>5213</v>
      </c>
      <c r="I1364" s="4"/>
      <c r="J1364" t="s">
        <v>5200</v>
      </c>
      <c r="K1364" t="s">
        <v>1221</v>
      </c>
      <c r="L1364" s="5"/>
      <c r="M1364" s="5" t="s">
        <v>35</v>
      </c>
      <c r="N1364" t="s">
        <v>1824</v>
      </c>
      <c r="O1364" t="s">
        <v>5214</v>
      </c>
      <c r="S1364" t="s">
        <v>37</v>
      </c>
      <c r="T1364" s="5" t="s">
        <v>100</v>
      </c>
      <c r="W1364">
        <v>144</v>
      </c>
      <c r="X1364" t="s">
        <v>463</v>
      </c>
      <c r="Y1364" t="str">
        <f>VLOOKUP(C1364,'[1]DBS_KPY Sorumlular'!A:C,2,FALSE)</f>
        <v>Seyithan İŞİK</v>
      </c>
      <c r="Z1364" t="str">
        <f>VLOOKUP(C1364,'[1]DBS_KPY Sorumlular'!A:C,3,FALSE)</f>
        <v>Korhan KÖROĞLU</v>
      </c>
      <c r="AA1364" t="str">
        <f>VLOOKUP(K1364,[1]!Tablo3[#Data],2,FALSE)</f>
        <v>Tayfun VİÇE</v>
      </c>
    </row>
    <row r="1365" spans="1:27" x14ac:dyDescent="0.25">
      <c r="A1365">
        <v>2683</v>
      </c>
      <c r="B1365" t="s">
        <v>1419</v>
      </c>
      <c r="C1365" t="s">
        <v>304</v>
      </c>
      <c r="D1365" t="s">
        <v>305</v>
      </c>
      <c r="F1365" t="s">
        <v>306</v>
      </c>
      <c r="G1365" t="s">
        <v>96</v>
      </c>
      <c r="H1365" t="s">
        <v>5215</v>
      </c>
      <c r="I1365" s="4"/>
      <c r="J1365" t="s">
        <v>5182</v>
      </c>
      <c r="K1365" t="s">
        <v>1221</v>
      </c>
      <c r="L1365" s="5"/>
      <c r="M1365" s="5" t="s">
        <v>35</v>
      </c>
      <c r="N1365" t="s">
        <v>1824</v>
      </c>
      <c r="O1365" t="s">
        <v>5216</v>
      </c>
      <c r="S1365" t="s">
        <v>37</v>
      </c>
      <c r="T1365" s="5" t="s">
        <v>38</v>
      </c>
      <c r="Y1365" t="str">
        <f>VLOOKUP(C1365,'[1]DBS_KPY Sorumlular'!A:C,2,FALSE)</f>
        <v>Erkan AKDOĞAN</v>
      </c>
      <c r="Z1365" t="str">
        <f>VLOOKUP(C1365,'[1]DBS_KPY Sorumlular'!A:C,3,FALSE)</f>
        <v>Kadir TOPÇU</v>
      </c>
      <c r="AA1365" t="str">
        <f>VLOOKUP(K1365,[1]!Tablo3[#Data],2,FALSE)</f>
        <v>Tayfun VİÇE</v>
      </c>
    </row>
    <row r="1366" spans="1:27" x14ac:dyDescent="0.25">
      <c r="A1366">
        <v>2684</v>
      </c>
      <c r="B1366" t="s">
        <v>1419</v>
      </c>
      <c r="C1366" t="s">
        <v>304</v>
      </c>
      <c r="D1366" t="s">
        <v>305</v>
      </c>
      <c r="F1366" t="s">
        <v>306</v>
      </c>
      <c r="G1366" t="s">
        <v>96</v>
      </c>
      <c r="H1366" t="s">
        <v>5217</v>
      </c>
      <c r="I1366" s="4"/>
      <c r="J1366" t="s">
        <v>5218</v>
      </c>
      <c r="K1366" t="s">
        <v>1221</v>
      </c>
      <c r="L1366" s="5"/>
      <c r="M1366" s="5" t="s">
        <v>35</v>
      </c>
      <c r="N1366" t="s">
        <v>1824</v>
      </c>
      <c r="O1366" t="s">
        <v>5219</v>
      </c>
      <c r="S1366" t="s">
        <v>37</v>
      </c>
      <c r="T1366" s="5" t="s">
        <v>38</v>
      </c>
      <c r="Y1366" t="str">
        <f>VLOOKUP(C1366,'[1]DBS_KPY Sorumlular'!A:C,2,FALSE)</f>
        <v>Erkan AKDOĞAN</v>
      </c>
      <c r="Z1366" t="str">
        <f>VLOOKUP(C1366,'[1]DBS_KPY Sorumlular'!A:C,3,FALSE)</f>
        <v>Kadir TOPÇU</v>
      </c>
      <c r="AA1366" t="str">
        <f>VLOOKUP(K1366,[1]!Tablo3[#Data],2,FALSE)</f>
        <v>Tayfun VİÇE</v>
      </c>
    </row>
    <row r="1367" spans="1:27" x14ac:dyDescent="0.25">
      <c r="A1367">
        <v>2685</v>
      </c>
      <c r="B1367" t="s">
        <v>1419</v>
      </c>
      <c r="C1367" t="s">
        <v>652</v>
      </c>
      <c r="D1367" t="s">
        <v>653</v>
      </c>
      <c r="F1367" t="s">
        <v>455</v>
      </c>
      <c r="G1367" t="s">
        <v>456</v>
      </c>
      <c r="H1367" t="s">
        <v>5220</v>
      </c>
      <c r="I1367" s="4"/>
      <c r="J1367" t="s">
        <v>5200</v>
      </c>
      <c r="K1367" t="s">
        <v>1221</v>
      </c>
      <c r="L1367" s="5"/>
      <c r="M1367" s="5" t="s">
        <v>35</v>
      </c>
      <c r="N1367" t="s">
        <v>1824</v>
      </c>
      <c r="O1367" t="s">
        <v>5221</v>
      </c>
      <c r="S1367" t="s">
        <v>37</v>
      </c>
      <c r="T1367" s="5" t="s">
        <v>100</v>
      </c>
      <c r="W1367">
        <v>144</v>
      </c>
      <c r="X1367" t="s">
        <v>463</v>
      </c>
      <c r="Y1367" t="str">
        <f>VLOOKUP(C1367,'[1]DBS_KPY Sorumlular'!A:C,2,FALSE)</f>
        <v>Seyithan İŞİK</v>
      </c>
      <c r="Z1367" t="str">
        <f>VLOOKUP(C1367,'[1]DBS_KPY Sorumlular'!A:C,3,FALSE)</f>
        <v>Korhan KÖROĞLU</v>
      </c>
      <c r="AA1367" t="str">
        <f>VLOOKUP(K1367,[1]!Tablo3[#Data],2,FALSE)</f>
        <v>Tayfun VİÇE</v>
      </c>
    </row>
    <row r="1368" spans="1:27" x14ac:dyDescent="0.25">
      <c r="A1368">
        <v>2686</v>
      </c>
      <c r="B1368" t="s">
        <v>1419</v>
      </c>
      <c r="C1368" t="s">
        <v>652</v>
      </c>
      <c r="D1368" t="s">
        <v>653</v>
      </c>
      <c r="F1368" t="s">
        <v>455</v>
      </c>
      <c r="G1368" t="s">
        <v>456</v>
      </c>
      <c r="H1368" t="s">
        <v>5222</v>
      </c>
      <c r="I1368" s="4"/>
      <c r="J1368" t="s">
        <v>5200</v>
      </c>
      <c r="K1368" t="s">
        <v>1221</v>
      </c>
      <c r="L1368" s="5"/>
      <c r="M1368" s="5" t="s">
        <v>35</v>
      </c>
      <c r="N1368" t="s">
        <v>1824</v>
      </c>
      <c r="O1368" t="s">
        <v>5223</v>
      </c>
      <c r="S1368" t="s">
        <v>37</v>
      </c>
      <c r="T1368" s="5" t="s">
        <v>100</v>
      </c>
      <c r="W1368">
        <v>144</v>
      </c>
      <c r="X1368" t="s">
        <v>463</v>
      </c>
      <c r="Y1368" t="str">
        <f>VLOOKUP(C1368,'[1]DBS_KPY Sorumlular'!A:C,2,FALSE)</f>
        <v>Seyithan İŞİK</v>
      </c>
      <c r="Z1368" t="str">
        <f>VLOOKUP(C1368,'[1]DBS_KPY Sorumlular'!A:C,3,FALSE)</f>
        <v>Korhan KÖROĞLU</v>
      </c>
      <c r="AA1368" t="str">
        <f>VLOOKUP(K1368,[1]!Tablo3[#Data],2,FALSE)</f>
        <v>Tayfun VİÇE</v>
      </c>
    </row>
    <row r="1369" spans="1:27" x14ac:dyDescent="0.25">
      <c r="A1369">
        <v>2687</v>
      </c>
      <c r="B1369" t="s">
        <v>1419</v>
      </c>
      <c r="C1369" t="s">
        <v>304</v>
      </c>
      <c r="D1369" t="s">
        <v>305</v>
      </c>
      <c r="F1369" t="s">
        <v>306</v>
      </c>
      <c r="G1369" t="s">
        <v>96</v>
      </c>
      <c r="H1369" t="s">
        <v>5224</v>
      </c>
      <c r="I1369" s="4"/>
      <c r="J1369" t="s">
        <v>5182</v>
      </c>
      <c r="K1369" t="s">
        <v>1221</v>
      </c>
      <c r="L1369" s="5"/>
      <c r="M1369" s="5" t="s">
        <v>35</v>
      </c>
      <c r="N1369" t="s">
        <v>1824</v>
      </c>
      <c r="O1369" t="s">
        <v>5225</v>
      </c>
      <c r="S1369" t="s">
        <v>37</v>
      </c>
      <c r="T1369" s="5" t="s">
        <v>38</v>
      </c>
      <c r="Y1369" t="str">
        <f>VLOOKUP(C1369,'[1]DBS_KPY Sorumlular'!A:C,2,FALSE)</f>
        <v>Erkan AKDOĞAN</v>
      </c>
      <c r="Z1369" t="str">
        <f>VLOOKUP(C1369,'[1]DBS_KPY Sorumlular'!A:C,3,FALSE)</f>
        <v>Kadir TOPÇU</v>
      </c>
      <c r="AA1369" t="str">
        <f>VLOOKUP(K1369,[1]!Tablo3[#Data],2,FALSE)</f>
        <v>Tayfun VİÇE</v>
      </c>
    </row>
    <row r="1370" spans="1:27" x14ac:dyDescent="0.25">
      <c r="A1370">
        <v>2688</v>
      </c>
      <c r="B1370" t="s">
        <v>1419</v>
      </c>
      <c r="C1370" t="s">
        <v>652</v>
      </c>
      <c r="D1370" t="s">
        <v>653</v>
      </c>
      <c r="F1370" t="s">
        <v>455</v>
      </c>
      <c r="G1370" t="s">
        <v>456</v>
      </c>
      <c r="H1370" t="s">
        <v>5226</v>
      </c>
      <c r="I1370" s="4"/>
      <c r="J1370" t="s">
        <v>5200</v>
      </c>
      <c r="K1370" t="s">
        <v>1221</v>
      </c>
      <c r="L1370" s="5"/>
      <c r="M1370" s="5" t="s">
        <v>35</v>
      </c>
      <c r="N1370" t="s">
        <v>1824</v>
      </c>
      <c r="O1370" t="s">
        <v>5227</v>
      </c>
      <c r="S1370" t="s">
        <v>37</v>
      </c>
      <c r="T1370" s="5" t="s">
        <v>100</v>
      </c>
      <c r="W1370">
        <v>144</v>
      </c>
      <c r="X1370" t="s">
        <v>463</v>
      </c>
      <c r="Y1370" t="str">
        <f>VLOOKUP(C1370,'[1]DBS_KPY Sorumlular'!A:C,2,FALSE)</f>
        <v>Seyithan İŞİK</v>
      </c>
      <c r="Z1370" t="str">
        <f>VLOOKUP(C1370,'[1]DBS_KPY Sorumlular'!A:C,3,FALSE)</f>
        <v>Korhan KÖROĞLU</v>
      </c>
      <c r="AA1370" t="str">
        <f>VLOOKUP(K1370,[1]!Tablo3[#Data],2,FALSE)</f>
        <v>Tayfun VİÇE</v>
      </c>
    </row>
    <row r="1371" spans="1:27" x14ac:dyDescent="0.25">
      <c r="A1371">
        <v>2689</v>
      </c>
      <c r="B1371" t="s">
        <v>1419</v>
      </c>
      <c r="C1371" t="s">
        <v>652</v>
      </c>
      <c r="D1371" t="s">
        <v>653</v>
      </c>
      <c r="F1371" t="s">
        <v>455</v>
      </c>
      <c r="G1371" t="s">
        <v>456</v>
      </c>
      <c r="H1371" t="s">
        <v>5228</v>
      </c>
      <c r="I1371" s="4"/>
      <c r="J1371" t="s">
        <v>5200</v>
      </c>
      <c r="K1371" t="s">
        <v>1221</v>
      </c>
      <c r="L1371" s="5"/>
      <c r="M1371" s="5" t="s">
        <v>35</v>
      </c>
      <c r="N1371" t="s">
        <v>1824</v>
      </c>
      <c r="O1371" t="s">
        <v>5229</v>
      </c>
      <c r="S1371" t="s">
        <v>37</v>
      </c>
      <c r="T1371" s="5" t="s">
        <v>100</v>
      </c>
      <c r="W1371">
        <v>144</v>
      </c>
      <c r="X1371" t="s">
        <v>463</v>
      </c>
      <c r="Y1371" t="str">
        <f>VLOOKUP(C1371,'[1]DBS_KPY Sorumlular'!A:C,2,FALSE)</f>
        <v>Seyithan İŞİK</v>
      </c>
      <c r="Z1371" t="str">
        <f>VLOOKUP(C1371,'[1]DBS_KPY Sorumlular'!A:C,3,FALSE)</f>
        <v>Korhan KÖROĞLU</v>
      </c>
      <c r="AA1371" t="str">
        <f>VLOOKUP(K1371,[1]!Tablo3[#Data],2,FALSE)</f>
        <v>Tayfun VİÇE</v>
      </c>
    </row>
    <row r="1372" spans="1:27" x14ac:dyDescent="0.25">
      <c r="A1372">
        <v>2690</v>
      </c>
      <c r="B1372" t="s">
        <v>1419</v>
      </c>
      <c r="C1372" t="s">
        <v>5145</v>
      </c>
      <c r="D1372" t="s">
        <v>5230</v>
      </c>
      <c r="F1372" t="s">
        <v>486</v>
      </c>
      <c r="G1372" t="s">
        <v>456</v>
      </c>
      <c r="H1372" t="s">
        <v>5231</v>
      </c>
      <c r="I1372" s="4"/>
      <c r="J1372" t="s">
        <v>5231</v>
      </c>
      <c r="K1372" t="s">
        <v>1221</v>
      </c>
      <c r="L1372" s="5" t="s">
        <v>5232</v>
      </c>
      <c r="M1372" s="5" t="s">
        <v>4028</v>
      </c>
      <c r="N1372" t="s">
        <v>739</v>
      </c>
      <c r="O1372" t="s">
        <v>5233</v>
      </c>
      <c r="S1372" t="s">
        <v>37</v>
      </c>
      <c r="T1372" s="5" t="s">
        <v>38</v>
      </c>
      <c r="W1372">
        <v>144</v>
      </c>
      <c r="X1372" t="s">
        <v>463</v>
      </c>
      <c r="Y1372" t="str">
        <f>VLOOKUP(C1372,'[1]DBS_KPY Sorumlular'!A:C,2,FALSE)</f>
        <v>Korhan KOROĞLU</v>
      </c>
      <c r="Z1372" t="str">
        <f>VLOOKUP(C1372,'[1]DBS_KPY Sorumlular'!A:C,3,FALSE)</f>
        <v>Seyithan İŞİK</v>
      </c>
      <c r="AA1372" t="str">
        <f>VLOOKUP(K1372,[1]!Tablo3[#Data],2,FALSE)</f>
        <v>Tayfun VİÇE</v>
      </c>
    </row>
    <row r="1373" spans="1:27" x14ac:dyDescent="0.25">
      <c r="A1373">
        <v>2691</v>
      </c>
      <c r="B1373" t="s">
        <v>1419</v>
      </c>
      <c r="C1373" t="s">
        <v>1723</v>
      </c>
      <c r="D1373" t="s">
        <v>1751</v>
      </c>
      <c r="F1373" t="s">
        <v>486</v>
      </c>
      <c r="G1373" t="s">
        <v>67</v>
      </c>
      <c r="H1373" t="s">
        <v>5234</v>
      </c>
      <c r="I1373" s="4"/>
      <c r="J1373" t="s">
        <v>5235</v>
      </c>
      <c r="K1373" t="s">
        <v>1221</v>
      </c>
      <c r="L1373" s="5" t="s">
        <v>5236</v>
      </c>
      <c r="M1373" s="5" t="s">
        <v>35</v>
      </c>
      <c r="N1373" t="s">
        <v>1824</v>
      </c>
      <c r="O1373" t="s">
        <v>5237</v>
      </c>
      <c r="S1373" t="s">
        <v>37</v>
      </c>
      <c r="T1373" s="5" t="s">
        <v>38</v>
      </c>
      <c r="Y1373" t="str">
        <f>VLOOKUP(C1373,'[1]DBS_KPY Sorumlular'!A:C,2,FALSE)</f>
        <v>Erkan AKDOĞAN</v>
      </c>
      <c r="Z1373" t="str">
        <f>VLOOKUP(C1373,'[1]DBS_KPY Sorumlular'!A:C,3,FALSE)</f>
        <v>Kadir TOPÇU</v>
      </c>
      <c r="AA1373" t="str">
        <f>VLOOKUP(K1373,[1]!Tablo3[#Data],2,FALSE)</f>
        <v>Tayfun VİÇE</v>
      </c>
    </row>
    <row r="1374" spans="1:27" x14ac:dyDescent="0.25">
      <c r="A1374">
        <v>2692</v>
      </c>
      <c r="B1374" t="s">
        <v>1419</v>
      </c>
      <c r="C1374" t="s">
        <v>640</v>
      </c>
      <c r="D1374" t="s">
        <v>5238</v>
      </c>
      <c r="F1374" t="s">
        <v>642</v>
      </c>
      <c r="G1374" t="s">
        <v>43</v>
      </c>
      <c r="H1374" t="s">
        <v>5239</v>
      </c>
      <c r="I1374" s="4"/>
      <c r="J1374" t="s">
        <v>5240</v>
      </c>
      <c r="K1374" t="s">
        <v>1221</v>
      </c>
      <c r="L1374" s="5" t="s">
        <v>5241</v>
      </c>
      <c r="M1374" s="5" t="s">
        <v>4028</v>
      </c>
      <c r="N1374" t="s">
        <v>1824</v>
      </c>
      <c r="O1374" t="s">
        <v>5242</v>
      </c>
      <c r="S1374" t="s">
        <v>37</v>
      </c>
      <c r="T1374" s="5" t="s">
        <v>38</v>
      </c>
      <c r="W1374">
        <v>80</v>
      </c>
      <c r="X1374" t="s">
        <v>647</v>
      </c>
      <c r="Y1374" t="str">
        <f>VLOOKUP(C1374,'[1]DBS_KPY Sorumlular'!A:C,2,FALSE)</f>
        <v>Sinan ERDAŞ</v>
      </c>
      <c r="Z1374" t="str">
        <f>VLOOKUP(C1374,'[1]DBS_KPY Sorumlular'!A:C,3,FALSE)</f>
        <v>Ayşegül AKGÜL</v>
      </c>
      <c r="AA1374" t="str">
        <f>VLOOKUP(K1374,[1]!Tablo3[#Data],2,FALSE)</f>
        <v>Tayfun VİÇE</v>
      </c>
    </row>
    <row r="1375" spans="1:27" x14ac:dyDescent="0.25">
      <c r="A1375">
        <v>2693</v>
      </c>
      <c r="B1375" t="s">
        <v>1419</v>
      </c>
      <c r="C1375" t="s">
        <v>1723</v>
      </c>
      <c r="D1375" t="s">
        <v>1751</v>
      </c>
      <c r="F1375" t="s">
        <v>486</v>
      </c>
      <c r="G1375" t="s">
        <v>67</v>
      </c>
      <c r="H1375" t="s">
        <v>5243</v>
      </c>
      <c r="I1375" s="4"/>
      <c r="J1375" t="s">
        <v>5244</v>
      </c>
      <c r="K1375" t="s">
        <v>926</v>
      </c>
      <c r="L1375" s="5" t="s">
        <v>5245</v>
      </c>
      <c r="M1375" s="5" t="s">
        <v>4770</v>
      </c>
      <c r="N1375" t="s">
        <v>1824</v>
      </c>
      <c r="O1375" t="s">
        <v>5246</v>
      </c>
      <c r="S1375" t="s">
        <v>230</v>
      </c>
      <c r="T1375" s="5" t="s">
        <v>38</v>
      </c>
      <c r="Y1375" t="str">
        <f>VLOOKUP(C1375,'[1]DBS_KPY Sorumlular'!A:C,2,FALSE)</f>
        <v>Erkan AKDOĞAN</v>
      </c>
      <c r="Z1375" t="str">
        <f>VLOOKUP(C1375,'[1]DBS_KPY Sorumlular'!A:C,3,FALSE)</f>
        <v>Kadir TOPÇU</v>
      </c>
      <c r="AA1375" t="str">
        <f>VLOOKUP(K1375,[1]!Tablo3[#Data],2,FALSE)</f>
        <v>Kadir TOPÇU</v>
      </c>
    </row>
    <row r="1376" spans="1:27" x14ac:dyDescent="0.25">
      <c r="A1376">
        <v>2694</v>
      </c>
      <c r="B1376" t="s">
        <v>1419</v>
      </c>
      <c r="C1376" t="s">
        <v>652</v>
      </c>
      <c r="D1376" t="s">
        <v>653</v>
      </c>
      <c r="F1376" t="s">
        <v>455</v>
      </c>
      <c r="G1376" t="s">
        <v>456</v>
      </c>
      <c r="H1376" t="s">
        <v>5247</v>
      </c>
      <c r="I1376" s="4"/>
      <c r="K1376" t="s">
        <v>926</v>
      </c>
      <c r="L1376" s="5"/>
      <c r="M1376" s="5" t="s">
        <v>35</v>
      </c>
      <c r="N1376" t="s">
        <v>1824</v>
      </c>
      <c r="O1376" t="s">
        <v>5248</v>
      </c>
      <c r="S1376" t="s">
        <v>230</v>
      </c>
      <c r="T1376" s="5" t="s">
        <v>48</v>
      </c>
      <c r="U1376" t="s">
        <v>5249</v>
      </c>
      <c r="V1376" t="s">
        <v>5250</v>
      </c>
      <c r="W1376">
        <v>144</v>
      </c>
      <c r="X1376" t="s">
        <v>463</v>
      </c>
      <c r="Y1376" t="str">
        <f>VLOOKUP(C1376,'[1]DBS_KPY Sorumlular'!A:C,2,FALSE)</f>
        <v>Seyithan İŞİK</v>
      </c>
      <c r="Z1376" t="str">
        <f>VLOOKUP(C1376,'[1]DBS_KPY Sorumlular'!A:C,3,FALSE)</f>
        <v>Korhan KÖROĞLU</v>
      </c>
      <c r="AA1376" t="str">
        <f>VLOOKUP(K1376,[1]!Tablo3[#Data],2,FALSE)</f>
        <v>Kadir TOPÇU</v>
      </c>
    </row>
    <row r="1377" spans="1:27" x14ac:dyDescent="0.25">
      <c r="A1377">
        <v>2695</v>
      </c>
      <c r="B1377" t="s">
        <v>1419</v>
      </c>
      <c r="C1377" t="s">
        <v>652</v>
      </c>
      <c r="D1377" t="s">
        <v>653</v>
      </c>
      <c r="F1377" t="s">
        <v>455</v>
      </c>
      <c r="G1377" t="s">
        <v>456</v>
      </c>
      <c r="H1377" t="s">
        <v>5251</v>
      </c>
      <c r="I1377" s="4"/>
      <c r="K1377" t="s">
        <v>926</v>
      </c>
      <c r="L1377" s="5"/>
      <c r="M1377" s="5" t="s">
        <v>35</v>
      </c>
      <c r="N1377" t="s">
        <v>1824</v>
      </c>
      <c r="O1377" t="s">
        <v>5252</v>
      </c>
      <c r="S1377" t="s">
        <v>230</v>
      </c>
      <c r="T1377" s="5" t="s">
        <v>48</v>
      </c>
      <c r="U1377" t="s">
        <v>5253</v>
      </c>
      <c r="V1377" t="s">
        <v>5251</v>
      </c>
      <c r="W1377">
        <v>144</v>
      </c>
      <c r="X1377" t="s">
        <v>463</v>
      </c>
      <c r="Y1377" t="str">
        <f>VLOOKUP(C1377,'[1]DBS_KPY Sorumlular'!A:C,2,FALSE)</f>
        <v>Seyithan İŞİK</v>
      </c>
      <c r="Z1377" t="str">
        <f>VLOOKUP(C1377,'[1]DBS_KPY Sorumlular'!A:C,3,FALSE)</f>
        <v>Korhan KÖROĞLU</v>
      </c>
      <c r="AA1377" t="str">
        <f>VLOOKUP(K1377,[1]!Tablo3[#Data],2,FALSE)</f>
        <v>Kadir TOPÇU</v>
      </c>
    </row>
    <row r="1378" spans="1:27" x14ac:dyDescent="0.25">
      <c r="A1378">
        <v>2696</v>
      </c>
      <c r="B1378" t="s">
        <v>1419</v>
      </c>
      <c r="C1378" t="s">
        <v>652</v>
      </c>
      <c r="D1378" t="s">
        <v>653</v>
      </c>
      <c r="F1378" t="s">
        <v>455</v>
      </c>
      <c r="G1378" t="s">
        <v>456</v>
      </c>
      <c r="H1378" t="s">
        <v>5254</v>
      </c>
      <c r="I1378" s="4"/>
      <c r="K1378" t="s">
        <v>926</v>
      </c>
      <c r="L1378" s="5"/>
      <c r="M1378" s="5" t="s">
        <v>35</v>
      </c>
      <c r="N1378" t="s">
        <v>1824</v>
      </c>
      <c r="O1378" t="s">
        <v>5255</v>
      </c>
      <c r="S1378" t="s">
        <v>230</v>
      </c>
      <c r="T1378" s="5" t="s">
        <v>48</v>
      </c>
      <c r="U1378" t="s">
        <v>5256</v>
      </c>
      <c r="V1378" t="s">
        <v>5254</v>
      </c>
      <c r="W1378">
        <v>144</v>
      </c>
      <c r="X1378" t="s">
        <v>463</v>
      </c>
      <c r="Y1378" t="str">
        <f>VLOOKUP(C1378,'[1]DBS_KPY Sorumlular'!A:C,2,FALSE)</f>
        <v>Seyithan İŞİK</v>
      </c>
      <c r="Z1378" t="str">
        <f>VLOOKUP(C1378,'[1]DBS_KPY Sorumlular'!A:C,3,FALSE)</f>
        <v>Korhan KÖROĞLU</v>
      </c>
      <c r="AA1378" t="str">
        <f>VLOOKUP(K1378,[1]!Tablo3[#Data],2,FALSE)</f>
        <v>Kadir TOPÇU</v>
      </c>
    </row>
    <row r="1379" spans="1:27" x14ac:dyDescent="0.25">
      <c r="A1379">
        <v>2697</v>
      </c>
      <c r="B1379" t="s">
        <v>1419</v>
      </c>
      <c r="C1379" t="s">
        <v>402</v>
      </c>
      <c r="D1379" t="s">
        <v>403</v>
      </c>
      <c r="F1379" t="s">
        <v>383</v>
      </c>
      <c r="G1379" t="s">
        <v>30</v>
      </c>
      <c r="H1379" t="s">
        <v>5257</v>
      </c>
      <c r="I1379" s="4">
        <v>44382.875</v>
      </c>
      <c r="J1379" t="s">
        <v>5258</v>
      </c>
      <c r="K1379" t="s">
        <v>926</v>
      </c>
      <c r="L1379" s="5" t="s">
        <v>5259</v>
      </c>
      <c r="M1379" s="5" t="s">
        <v>35</v>
      </c>
      <c r="N1379" t="s">
        <v>82</v>
      </c>
      <c r="O1379" t="s">
        <v>5260</v>
      </c>
      <c r="R1379">
        <v>1</v>
      </c>
      <c r="S1379" t="s">
        <v>230</v>
      </c>
      <c r="T1379" s="5" t="s">
        <v>48</v>
      </c>
      <c r="U1379" t="s">
        <v>5261</v>
      </c>
      <c r="V1379" t="s">
        <v>5257</v>
      </c>
      <c r="W1379">
        <v>245</v>
      </c>
      <c r="X1379" t="s">
        <v>5262</v>
      </c>
      <c r="Y1379" t="str">
        <f>VLOOKUP(C1379,'[1]DBS_KPY Sorumlular'!A:C,2,FALSE)</f>
        <v>Tayfun VİÇE</v>
      </c>
      <c r="Z1379" t="str">
        <f>VLOOKUP(C1379,'[1]DBS_KPY Sorumlular'!A:C,3,FALSE)</f>
        <v>Mehmet Ali YAVUZ</v>
      </c>
      <c r="AA1379" t="str">
        <f>VLOOKUP(K1379,[1]!Tablo3[#Data],2,FALSE)</f>
        <v>Kadir TOPÇU</v>
      </c>
    </row>
    <row r="1380" spans="1:27" x14ac:dyDescent="0.25">
      <c r="A1380">
        <v>2698</v>
      </c>
      <c r="B1380" t="s">
        <v>1419</v>
      </c>
      <c r="C1380" t="s">
        <v>652</v>
      </c>
      <c r="D1380" t="s">
        <v>653</v>
      </c>
      <c r="F1380" t="s">
        <v>455</v>
      </c>
      <c r="G1380" t="s">
        <v>456</v>
      </c>
      <c r="H1380" t="s">
        <v>5263</v>
      </c>
      <c r="I1380" s="4"/>
      <c r="K1380" t="s">
        <v>926</v>
      </c>
      <c r="L1380" s="5"/>
      <c r="M1380" s="5" t="s">
        <v>35</v>
      </c>
      <c r="N1380" t="s">
        <v>1824</v>
      </c>
      <c r="O1380" t="s">
        <v>5264</v>
      </c>
      <c r="S1380" t="s">
        <v>230</v>
      </c>
      <c r="T1380" s="5" t="s">
        <v>48</v>
      </c>
      <c r="U1380" t="s">
        <v>5265</v>
      </c>
      <c r="V1380" t="s">
        <v>5263</v>
      </c>
      <c r="W1380">
        <v>144</v>
      </c>
      <c r="X1380" t="s">
        <v>463</v>
      </c>
      <c r="Y1380" t="str">
        <f>VLOOKUP(C1380,'[1]DBS_KPY Sorumlular'!A:C,2,FALSE)</f>
        <v>Seyithan İŞİK</v>
      </c>
      <c r="Z1380" t="str">
        <f>VLOOKUP(C1380,'[1]DBS_KPY Sorumlular'!A:C,3,FALSE)</f>
        <v>Korhan KÖROĞLU</v>
      </c>
      <c r="AA1380" t="str">
        <f>VLOOKUP(K1380,[1]!Tablo3[#Data],2,FALSE)</f>
        <v>Kadir TOPÇU</v>
      </c>
    </row>
    <row r="1381" spans="1:27" x14ac:dyDescent="0.25">
      <c r="A1381">
        <v>2699</v>
      </c>
      <c r="B1381" t="s">
        <v>1419</v>
      </c>
      <c r="C1381" t="s">
        <v>1674</v>
      </c>
      <c r="D1381" t="s">
        <v>1675</v>
      </c>
      <c r="F1381" t="s">
        <v>66</v>
      </c>
      <c r="G1381" t="s">
        <v>67</v>
      </c>
      <c r="H1381" t="s">
        <v>5266</v>
      </c>
      <c r="I1381" s="4"/>
      <c r="J1381" t="s">
        <v>5267</v>
      </c>
      <c r="K1381" t="s">
        <v>926</v>
      </c>
      <c r="L1381" s="5"/>
      <c r="M1381" s="5" t="s">
        <v>35</v>
      </c>
      <c r="N1381" t="s">
        <v>1824</v>
      </c>
      <c r="O1381" t="s">
        <v>5268</v>
      </c>
      <c r="S1381" t="s">
        <v>230</v>
      </c>
      <c r="T1381" s="5" t="s">
        <v>100</v>
      </c>
      <c r="W1381">
        <v>91</v>
      </c>
      <c r="X1381" t="s">
        <v>101</v>
      </c>
      <c r="Y1381" t="str">
        <f>VLOOKUP(C1381,'[1]DBS_KPY Sorumlular'!A:C,2,FALSE)</f>
        <v>Kadir TOPÇU</v>
      </c>
      <c r="Z1381" t="str">
        <f>VLOOKUP(C1381,'[1]DBS_KPY Sorumlular'!A:C,3,FALSE)</f>
        <v>Erkan AKDOĞAN</v>
      </c>
      <c r="AA1381" t="str">
        <f>VLOOKUP(K1381,[1]!Tablo3[#Data],2,FALSE)</f>
        <v>Kadir TOPÇU</v>
      </c>
    </row>
    <row r="1382" spans="1:27" x14ac:dyDescent="0.25">
      <c r="A1382">
        <v>2700</v>
      </c>
      <c r="B1382" t="s">
        <v>1419</v>
      </c>
      <c r="C1382" t="s">
        <v>137</v>
      </c>
      <c r="D1382" t="s">
        <v>138</v>
      </c>
      <c r="E1382" t="s">
        <v>138</v>
      </c>
      <c r="F1382" t="s">
        <v>486</v>
      </c>
      <c r="G1382" t="s">
        <v>140</v>
      </c>
      <c r="H1382" t="s">
        <v>5269</v>
      </c>
      <c r="I1382" s="4"/>
      <c r="J1382" t="s">
        <v>5270</v>
      </c>
      <c r="K1382" t="s">
        <v>926</v>
      </c>
      <c r="L1382" s="5"/>
      <c r="M1382" s="5" t="s">
        <v>35</v>
      </c>
      <c r="N1382" t="s">
        <v>1824</v>
      </c>
      <c r="O1382" t="s">
        <v>5271</v>
      </c>
      <c r="S1382" t="s">
        <v>230</v>
      </c>
      <c r="T1382" s="5" t="s">
        <v>38</v>
      </c>
      <c r="W1382">
        <v>126</v>
      </c>
      <c r="X1382" t="s">
        <v>147</v>
      </c>
      <c r="Y1382" t="str">
        <f>VLOOKUP(C1382,'[1]DBS_KPY Sorumlular'!A:C,2,FALSE)</f>
        <v>Erkan AKDOĞAN</v>
      </c>
      <c r="Z1382" t="str">
        <f>VLOOKUP(C1382,'[1]DBS_KPY Sorumlular'!A:C,3,FALSE)</f>
        <v>Kadir TOPÇU</v>
      </c>
      <c r="AA1382" t="str">
        <f>VLOOKUP(K1382,[1]!Tablo3[#Data],2,FALSE)</f>
        <v>Kadir TOPÇU</v>
      </c>
    </row>
    <row r="1383" spans="1:27" x14ac:dyDescent="0.25">
      <c r="A1383">
        <v>2701</v>
      </c>
      <c r="B1383" t="s">
        <v>1419</v>
      </c>
      <c r="C1383" t="s">
        <v>1723</v>
      </c>
      <c r="D1383" t="s">
        <v>1751</v>
      </c>
      <c r="F1383" t="s">
        <v>537</v>
      </c>
      <c r="G1383" t="s">
        <v>96</v>
      </c>
      <c r="H1383" t="s">
        <v>5272</v>
      </c>
      <c r="I1383" s="4"/>
      <c r="J1383" t="s">
        <v>5272</v>
      </c>
      <c r="K1383" t="s">
        <v>1334</v>
      </c>
      <c r="L1383" s="5" t="s">
        <v>5273</v>
      </c>
      <c r="M1383" s="5" t="s">
        <v>4028</v>
      </c>
      <c r="N1383" t="s">
        <v>1824</v>
      </c>
      <c r="O1383" t="s">
        <v>5274</v>
      </c>
      <c r="S1383" t="s">
        <v>57</v>
      </c>
      <c r="T1383" s="5" t="s">
        <v>38</v>
      </c>
      <c r="Y1383" t="str">
        <f>VLOOKUP(C1383,'[1]DBS_KPY Sorumlular'!A:C,2,FALSE)</f>
        <v>Erkan AKDOĞAN</v>
      </c>
      <c r="Z1383" t="str">
        <f>VLOOKUP(C1383,'[1]DBS_KPY Sorumlular'!A:C,3,FALSE)</f>
        <v>Kadir TOPÇU</v>
      </c>
      <c r="AA1383" t="str">
        <f>VLOOKUP(K1383,[1]!Tablo3[#Data],2,FALSE)</f>
        <v>Erkan AKDOĞAN</v>
      </c>
    </row>
    <row r="1384" spans="1:27" x14ac:dyDescent="0.25">
      <c r="A1384">
        <v>2702</v>
      </c>
      <c r="B1384" t="s">
        <v>1419</v>
      </c>
      <c r="C1384" t="s">
        <v>652</v>
      </c>
      <c r="D1384" t="s">
        <v>653</v>
      </c>
      <c r="F1384" t="s">
        <v>455</v>
      </c>
      <c r="G1384" t="s">
        <v>456</v>
      </c>
      <c r="H1384" t="s">
        <v>5275</v>
      </c>
      <c r="I1384" s="4"/>
      <c r="J1384" t="s">
        <v>5276</v>
      </c>
      <c r="K1384" t="s">
        <v>1334</v>
      </c>
      <c r="L1384" s="5"/>
      <c r="M1384" s="5" t="s">
        <v>35</v>
      </c>
      <c r="N1384" t="s">
        <v>1824</v>
      </c>
      <c r="O1384" t="s">
        <v>5277</v>
      </c>
      <c r="S1384" t="s">
        <v>57</v>
      </c>
      <c r="T1384" s="5" t="s">
        <v>100</v>
      </c>
      <c r="W1384">
        <v>144</v>
      </c>
      <c r="X1384" t="s">
        <v>463</v>
      </c>
      <c r="Y1384" t="str">
        <f>VLOOKUP(C1384,'[1]DBS_KPY Sorumlular'!A:C,2,FALSE)</f>
        <v>Seyithan İŞİK</v>
      </c>
      <c r="Z1384" t="str">
        <f>VLOOKUP(C1384,'[1]DBS_KPY Sorumlular'!A:C,3,FALSE)</f>
        <v>Korhan KÖROĞLU</v>
      </c>
      <c r="AA1384" t="str">
        <f>VLOOKUP(K1384,[1]!Tablo3[#Data],2,FALSE)</f>
        <v>Erkan AKDOĞAN</v>
      </c>
    </row>
    <row r="1385" spans="1:27" x14ac:dyDescent="0.25">
      <c r="A1385">
        <v>2703</v>
      </c>
      <c r="B1385" t="s">
        <v>1419</v>
      </c>
      <c r="C1385" t="s">
        <v>304</v>
      </c>
      <c r="D1385" t="s">
        <v>305</v>
      </c>
      <c r="F1385" t="s">
        <v>486</v>
      </c>
      <c r="G1385" t="s">
        <v>67</v>
      </c>
      <c r="H1385" t="s">
        <v>5278</v>
      </c>
      <c r="I1385" s="4"/>
      <c r="J1385" t="s">
        <v>5279</v>
      </c>
      <c r="K1385" t="s">
        <v>1334</v>
      </c>
      <c r="L1385" s="5"/>
      <c r="M1385" s="5" t="s">
        <v>35</v>
      </c>
      <c r="N1385" t="s">
        <v>1824</v>
      </c>
      <c r="O1385" t="s">
        <v>5280</v>
      </c>
      <c r="S1385" t="s">
        <v>57</v>
      </c>
      <c r="T1385" s="5" t="s">
        <v>38</v>
      </c>
      <c r="Y1385" t="str">
        <f>VLOOKUP(C1385,'[1]DBS_KPY Sorumlular'!A:C,2,FALSE)</f>
        <v>Erkan AKDOĞAN</v>
      </c>
      <c r="Z1385" t="str">
        <f>VLOOKUP(C1385,'[1]DBS_KPY Sorumlular'!A:C,3,FALSE)</f>
        <v>Kadir TOPÇU</v>
      </c>
      <c r="AA1385" t="str">
        <f>VLOOKUP(K1385,[1]!Tablo3[#Data],2,FALSE)</f>
        <v>Erkan AKDOĞAN</v>
      </c>
    </row>
    <row r="1386" spans="1:27" x14ac:dyDescent="0.25">
      <c r="A1386">
        <v>2704</v>
      </c>
      <c r="B1386" t="s">
        <v>1419</v>
      </c>
      <c r="C1386" t="s">
        <v>304</v>
      </c>
      <c r="D1386" t="s">
        <v>305</v>
      </c>
      <c r="F1386" t="s">
        <v>486</v>
      </c>
      <c r="G1386" t="s">
        <v>67</v>
      </c>
      <c r="H1386" t="s">
        <v>5281</v>
      </c>
      <c r="I1386" s="4"/>
      <c r="J1386" t="s">
        <v>5282</v>
      </c>
      <c r="K1386" t="s">
        <v>1334</v>
      </c>
      <c r="L1386" s="5"/>
      <c r="M1386" s="5" t="s">
        <v>35</v>
      </c>
      <c r="N1386" t="s">
        <v>1824</v>
      </c>
      <c r="O1386" t="s">
        <v>5274</v>
      </c>
      <c r="S1386" t="s">
        <v>57</v>
      </c>
      <c r="T1386" s="5" t="s">
        <v>38</v>
      </c>
      <c r="Y1386" t="str">
        <f>VLOOKUP(C1386,'[1]DBS_KPY Sorumlular'!A:C,2,FALSE)</f>
        <v>Erkan AKDOĞAN</v>
      </c>
      <c r="Z1386" t="str">
        <f>VLOOKUP(C1386,'[1]DBS_KPY Sorumlular'!A:C,3,FALSE)</f>
        <v>Kadir TOPÇU</v>
      </c>
      <c r="AA1386" t="str">
        <f>VLOOKUP(K1386,[1]!Tablo3[#Data],2,FALSE)</f>
        <v>Erkan AKDOĞAN</v>
      </c>
    </row>
    <row r="1387" spans="1:27" x14ac:dyDescent="0.25">
      <c r="A1387">
        <v>2705</v>
      </c>
      <c r="B1387" t="s">
        <v>1419</v>
      </c>
      <c r="C1387" t="s">
        <v>1674</v>
      </c>
      <c r="D1387" t="s">
        <v>1717</v>
      </c>
      <c r="F1387" t="s">
        <v>113</v>
      </c>
      <c r="G1387" t="s">
        <v>43</v>
      </c>
      <c r="H1387" t="s">
        <v>5283</v>
      </c>
      <c r="I1387" s="4"/>
      <c r="J1387" t="s">
        <v>1480</v>
      </c>
      <c r="K1387" t="s">
        <v>1334</v>
      </c>
      <c r="L1387" s="5"/>
      <c r="M1387" s="5" t="s">
        <v>35</v>
      </c>
      <c r="N1387" t="s">
        <v>1824</v>
      </c>
      <c r="O1387" t="s">
        <v>5284</v>
      </c>
      <c r="S1387" t="s">
        <v>57</v>
      </c>
      <c r="T1387" s="5" t="s">
        <v>100</v>
      </c>
      <c r="W1387">
        <v>169</v>
      </c>
      <c r="X1387" t="s">
        <v>1480</v>
      </c>
      <c r="Y1387" t="str">
        <f>VLOOKUP(C1387,'[1]DBS_KPY Sorumlular'!A:C,2,FALSE)</f>
        <v>Kadir TOPÇU</v>
      </c>
      <c r="Z1387" t="str">
        <f>VLOOKUP(C1387,'[1]DBS_KPY Sorumlular'!A:C,3,FALSE)</f>
        <v>Erkan AKDOĞAN</v>
      </c>
      <c r="AA1387" t="str">
        <f>VLOOKUP(K1387,[1]!Tablo3[#Data],2,FALSE)</f>
        <v>Erkan AKDOĞAN</v>
      </c>
    </row>
    <row r="1388" spans="1:27" x14ac:dyDescent="0.25">
      <c r="A1388">
        <v>2707</v>
      </c>
      <c r="B1388" t="s">
        <v>1419</v>
      </c>
      <c r="C1388" t="s">
        <v>1723</v>
      </c>
      <c r="D1388" t="s">
        <v>1724</v>
      </c>
      <c r="F1388" t="s">
        <v>95</v>
      </c>
      <c r="G1388" t="s">
        <v>96</v>
      </c>
      <c r="H1388" t="s">
        <v>5285</v>
      </c>
      <c r="I1388" s="4"/>
      <c r="J1388" t="s">
        <v>5286</v>
      </c>
      <c r="K1388" t="s">
        <v>1334</v>
      </c>
      <c r="L1388" s="5" t="s">
        <v>5287</v>
      </c>
      <c r="M1388" s="5" t="s">
        <v>4028</v>
      </c>
      <c r="N1388" t="s">
        <v>1824</v>
      </c>
      <c r="O1388" t="s">
        <v>5288</v>
      </c>
      <c r="S1388" t="s">
        <v>57</v>
      </c>
      <c r="T1388" s="5" t="s">
        <v>38</v>
      </c>
      <c r="Y1388" t="str">
        <f>VLOOKUP(C1388,'[1]DBS_KPY Sorumlular'!A:C,2,FALSE)</f>
        <v>Erkan AKDOĞAN</v>
      </c>
      <c r="Z1388" t="str">
        <f>VLOOKUP(C1388,'[1]DBS_KPY Sorumlular'!A:C,3,FALSE)</f>
        <v>Kadir TOPÇU</v>
      </c>
      <c r="AA1388" t="str">
        <f>VLOOKUP(K1388,[1]!Tablo3[#Data],2,FALSE)</f>
        <v>Erkan AKDOĞAN</v>
      </c>
    </row>
    <row r="1389" spans="1:27" x14ac:dyDescent="0.25">
      <c r="A1389">
        <v>2708</v>
      </c>
      <c r="B1389" t="s">
        <v>1419</v>
      </c>
      <c r="C1389" t="s">
        <v>1674</v>
      </c>
      <c r="D1389" t="s">
        <v>1700</v>
      </c>
      <c r="F1389" t="s">
        <v>95</v>
      </c>
      <c r="G1389" t="s">
        <v>96</v>
      </c>
      <c r="H1389" t="s">
        <v>5289</v>
      </c>
      <c r="I1389" s="4"/>
      <c r="J1389" t="s">
        <v>5289</v>
      </c>
      <c r="K1389" t="s">
        <v>1334</v>
      </c>
      <c r="L1389" s="5"/>
      <c r="M1389" s="5" t="s">
        <v>4028</v>
      </c>
      <c r="N1389" t="s">
        <v>1824</v>
      </c>
      <c r="O1389" t="s">
        <v>5274</v>
      </c>
      <c r="S1389" t="s">
        <v>57</v>
      </c>
      <c r="T1389" s="5" t="s">
        <v>100</v>
      </c>
      <c r="W1389">
        <v>201</v>
      </c>
      <c r="X1389" t="s">
        <v>3899</v>
      </c>
      <c r="Y1389" t="str">
        <f>VLOOKUP(C1389,'[1]DBS_KPY Sorumlular'!A:C,2,FALSE)</f>
        <v>Kadir TOPÇU</v>
      </c>
      <c r="Z1389" t="str">
        <f>VLOOKUP(C1389,'[1]DBS_KPY Sorumlular'!A:C,3,FALSE)</f>
        <v>Erkan AKDOĞAN</v>
      </c>
      <c r="AA1389" t="str">
        <f>VLOOKUP(K1389,[1]!Tablo3[#Data],2,FALSE)</f>
        <v>Erkan AKDOĞAN</v>
      </c>
    </row>
    <row r="1390" spans="1:27" x14ac:dyDescent="0.25">
      <c r="A1390">
        <v>2709</v>
      </c>
      <c r="B1390" t="s">
        <v>1419</v>
      </c>
      <c r="C1390" t="s">
        <v>652</v>
      </c>
      <c r="D1390" t="s">
        <v>653</v>
      </c>
      <c r="F1390" t="s">
        <v>113</v>
      </c>
      <c r="G1390" t="s">
        <v>96</v>
      </c>
      <c r="H1390" t="s">
        <v>5290</v>
      </c>
      <c r="I1390" s="4"/>
      <c r="J1390" t="s">
        <v>5291</v>
      </c>
      <c r="K1390" t="s">
        <v>1334</v>
      </c>
      <c r="L1390" s="5"/>
      <c r="M1390" s="5" t="s">
        <v>4028</v>
      </c>
      <c r="N1390" t="s">
        <v>1824</v>
      </c>
      <c r="O1390" t="s">
        <v>5292</v>
      </c>
      <c r="S1390" t="s">
        <v>57</v>
      </c>
      <c r="T1390" s="5" t="s">
        <v>100</v>
      </c>
      <c r="W1390">
        <v>144</v>
      </c>
      <c r="X1390" t="s">
        <v>463</v>
      </c>
      <c r="Y1390" t="str">
        <f>VLOOKUP(C1390,'[1]DBS_KPY Sorumlular'!A:C,2,FALSE)</f>
        <v>Seyithan İŞİK</v>
      </c>
      <c r="Z1390" t="str">
        <f>VLOOKUP(C1390,'[1]DBS_KPY Sorumlular'!A:C,3,FALSE)</f>
        <v>Korhan KÖROĞLU</v>
      </c>
      <c r="AA1390" t="str">
        <f>VLOOKUP(K1390,[1]!Tablo3[#Data],2,FALSE)</f>
        <v>Erkan AKDOĞAN</v>
      </c>
    </row>
    <row r="1391" spans="1:27" x14ac:dyDescent="0.25">
      <c r="A1391">
        <v>2710</v>
      </c>
      <c r="B1391" t="s">
        <v>1419</v>
      </c>
      <c r="C1391" t="s">
        <v>304</v>
      </c>
      <c r="D1391" t="s">
        <v>305</v>
      </c>
      <c r="F1391" t="s">
        <v>486</v>
      </c>
      <c r="G1391" t="s">
        <v>67</v>
      </c>
      <c r="H1391" t="s">
        <v>5293</v>
      </c>
      <c r="I1391" s="4"/>
      <c r="J1391" t="s">
        <v>5294</v>
      </c>
      <c r="K1391" t="s">
        <v>1348</v>
      </c>
      <c r="L1391" s="5"/>
      <c r="M1391" s="5" t="s">
        <v>35</v>
      </c>
      <c r="N1391" t="s">
        <v>1824</v>
      </c>
      <c r="O1391" t="s">
        <v>5295</v>
      </c>
      <c r="S1391" t="s">
        <v>37</v>
      </c>
      <c r="T1391" s="5" t="s">
        <v>38</v>
      </c>
      <c r="Y1391" t="str">
        <f>VLOOKUP(C1391,'[1]DBS_KPY Sorumlular'!A:C,2,FALSE)</f>
        <v>Erkan AKDOĞAN</v>
      </c>
      <c r="Z1391" t="str">
        <f>VLOOKUP(C1391,'[1]DBS_KPY Sorumlular'!A:C,3,FALSE)</f>
        <v>Kadir TOPÇU</v>
      </c>
      <c r="AA1391" t="str">
        <f>VLOOKUP(K1391,[1]!Tablo3[#Data],2,FALSE)</f>
        <v>Tayfun VİÇE</v>
      </c>
    </row>
    <row r="1392" spans="1:27" x14ac:dyDescent="0.25">
      <c r="A1392">
        <v>2711</v>
      </c>
      <c r="B1392" t="s">
        <v>1419</v>
      </c>
      <c r="C1392" t="s">
        <v>304</v>
      </c>
      <c r="D1392" t="s">
        <v>305</v>
      </c>
      <c r="F1392" t="s">
        <v>306</v>
      </c>
      <c r="G1392" t="s">
        <v>96</v>
      </c>
      <c r="H1392" t="s">
        <v>5296</v>
      </c>
      <c r="I1392" s="4"/>
      <c r="J1392" t="s">
        <v>5297</v>
      </c>
      <c r="K1392" t="s">
        <v>1221</v>
      </c>
      <c r="L1392" s="5"/>
      <c r="M1392" s="5" t="s">
        <v>35</v>
      </c>
      <c r="N1392" t="s">
        <v>1824</v>
      </c>
      <c r="O1392" t="s">
        <v>5298</v>
      </c>
      <c r="S1392" t="s">
        <v>37</v>
      </c>
      <c r="T1392" s="5" t="s">
        <v>38</v>
      </c>
      <c r="Y1392" t="str">
        <f>VLOOKUP(C1392,'[1]DBS_KPY Sorumlular'!A:C,2,FALSE)</f>
        <v>Erkan AKDOĞAN</v>
      </c>
      <c r="Z1392" t="str">
        <f>VLOOKUP(C1392,'[1]DBS_KPY Sorumlular'!A:C,3,FALSE)</f>
        <v>Kadir TOPÇU</v>
      </c>
      <c r="AA1392" t="str">
        <f>VLOOKUP(K1392,[1]!Tablo3[#Data],2,FALSE)</f>
        <v>Tayfun VİÇE</v>
      </c>
    </row>
    <row r="1393" spans="1:27" x14ac:dyDescent="0.25">
      <c r="A1393">
        <v>2712</v>
      </c>
      <c r="B1393" t="s">
        <v>1419</v>
      </c>
      <c r="C1393" t="s">
        <v>1723</v>
      </c>
      <c r="D1393" t="s">
        <v>1724</v>
      </c>
      <c r="F1393" t="s">
        <v>306</v>
      </c>
      <c r="G1393" t="s">
        <v>96</v>
      </c>
      <c r="H1393" t="s">
        <v>5299</v>
      </c>
      <c r="I1393" s="4"/>
      <c r="J1393" t="s">
        <v>5300</v>
      </c>
      <c r="K1393" t="s">
        <v>1348</v>
      </c>
      <c r="L1393" s="5" t="s">
        <v>5301</v>
      </c>
      <c r="M1393" s="5" t="s">
        <v>35</v>
      </c>
      <c r="N1393" t="s">
        <v>1824</v>
      </c>
      <c r="O1393" t="s">
        <v>5302</v>
      </c>
      <c r="S1393" t="s">
        <v>37</v>
      </c>
      <c r="T1393" s="5" t="s">
        <v>38</v>
      </c>
      <c r="Y1393" t="str">
        <f>VLOOKUP(C1393,'[1]DBS_KPY Sorumlular'!A:C,2,FALSE)</f>
        <v>Erkan AKDOĞAN</v>
      </c>
      <c r="Z1393" t="str">
        <f>VLOOKUP(C1393,'[1]DBS_KPY Sorumlular'!A:C,3,FALSE)</f>
        <v>Kadir TOPÇU</v>
      </c>
      <c r="AA1393" t="str">
        <f>VLOOKUP(K1393,[1]!Tablo3[#Data],2,FALSE)</f>
        <v>Tayfun VİÇE</v>
      </c>
    </row>
    <row r="1394" spans="1:27" x14ac:dyDescent="0.25">
      <c r="A1394">
        <v>2713</v>
      </c>
      <c r="B1394" t="s">
        <v>1419</v>
      </c>
      <c r="C1394" t="s">
        <v>304</v>
      </c>
      <c r="D1394" t="s">
        <v>305</v>
      </c>
      <c r="F1394" t="s">
        <v>306</v>
      </c>
      <c r="G1394" t="s">
        <v>96</v>
      </c>
      <c r="H1394" t="s">
        <v>5303</v>
      </c>
      <c r="I1394" s="4"/>
      <c r="J1394" t="s">
        <v>5304</v>
      </c>
      <c r="K1394" t="s">
        <v>1348</v>
      </c>
      <c r="L1394" s="5"/>
      <c r="M1394" s="5" t="s">
        <v>35</v>
      </c>
      <c r="N1394" t="s">
        <v>1824</v>
      </c>
      <c r="O1394" t="s">
        <v>5305</v>
      </c>
      <c r="S1394" t="s">
        <v>37</v>
      </c>
      <c r="T1394" s="5" t="s">
        <v>38</v>
      </c>
      <c r="Y1394" t="str">
        <f>VLOOKUP(C1394,'[1]DBS_KPY Sorumlular'!A:C,2,FALSE)</f>
        <v>Erkan AKDOĞAN</v>
      </c>
      <c r="Z1394" t="str">
        <f>VLOOKUP(C1394,'[1]DBS_KPY Sorumlular'!A:C,3,FALSE)</f>
        <v>Kadir TOPÇU</v>
      </c>
      <c r="AA1394" t="str">
        <f>VLOOKUP(K1394,[1]!Tablo3[#Data],2,FALSE)</f>
        <v>Tayfun VİÇE</v>
      </c>
    </row>
    <row r="1395" spans="1:27" x14ac:dyDescent="0.25">
      <c r="A1395">
        <v>2714</v>
      </c>
      <c r="B1395" t="s">
        <v>1419</v>
      </c>
      <c r="C1395" t="s">
        <v>304</v>
      </c>
      <c r="D1395" t="s">
        <v>305</v>
      </c>
      <c r="F1395" t="s">
        <v>486</v>
      </c>
      <c r="G1395" t="s">
        <v>67</v>
      </c>
      <c r="H1395" t="s">
        <v>5306</v>
      </c>
      <c r="I1395" s="4"/>
      <c r="J1395" t="s">
        <v>5307</v>
      </c>
      <c r="K1395" t="s">
        <v>1348</v>
      </c>
      <c r="L1395" s="5"/>
      <c r="M1395" s="5" t="s">
        <v>35</v>
      </c>
      <c r="N1395" t="s">
        <v>1824</v>
      </c>
      <c r="O1395" t="s">
        <v>5305</v>
      </c>
      <c r="S1395" t="s">
        <v>37</v>
      </c>
      <c r="T1395" s="5" t="s">
        <v>38</v>
      </c>
      <c r="Y1395" t="str">
        <f>VLOOKUP(C1395,'[1]DBS_KPY Sorumlular'!A:C,2,FALSE)</f>
        <v>Erkan AKDOĞAN</v>
      </c>
      <c r="Z1395" t="str">
        <f>VLOOKUP(C1395,'[1]DBS_KPY Sorumlular'!A:C,3,FALSE)</f>
        <v>Kadir TOPÇU</v>
      </c>
      <c r="AA1395" t="str">
        <f>VLOOKUP(K1395,[1]!Tablo3[#Data],2,FALSE)</f>
        <v>Tayfun VİÇE</v>
      </c>
    </row>
    <row r="1396" spans="1:27" x14ac:dyDescent="0.25">
      <c r="A1396">
        <v>2715</v>
      </c>
      <c r="B1396" t="s">
        <v>1419</v>
      </c>
      <c r="C1396" t="s">
        <v>304</v>
      </c>
      <c r="D1396" t="s">
        <v>305</v>
      </c>
      <c r="F1396" t="s">
        <v>306</v>
      </c>
      <c r="G1396" t="s">
        <v>96</v>
      </c>
      <c r="H1396" t="s">
        <v>5308</v>
      </c>
      <c r="I1396" s="4"/>
      <c r="J1396" t="s">
        <v>5309</v>
      </c>
      <c r="K1396" t="s">
        <v>1348</v>
      </c>
      <c r="L1396" s="5"/>
      <c r="M1396" s="5" t="s">
        <v>35</v>
      </c>
      <c r="N1396" t="s">
        <v>1824</v>
      </c>
      <c r="O1396" t="s">
        <v>5310</v>
      </c>
      <c r="S1396" t="s">
        <v>37</v>
      </c>
      <c r="T1396" s="5" t="s">
        <v>38</v>
      </c>
      <c r="Y1396" t="str">
        <f>VLOOKUP(C1396,'[1]DBS_KPY Sorumlular'!A:C,2,FALSE)</f>
        <v>Erkan AKDOĞAN</v>
      </c>
      <c r="Z1396" t="str">
        <f>VLOOKUP(C1396,'[1]DBS_KPY Sorumlular'!A:C,3,FALSE)</f>
        <v>Kadir TOPÇU</v>
      </c>
      <c r="AA1396" t="str">
        <f>VLOOKUP(K1396,[1]!Tablo3[#Data],2,FALSE)</f>
        <v>Tayfun VİÇE</v>
      </c>
    </row>
    <row r="1397" spans="1:27" x14ac:dyDescent="0.25">
      <c r="A1397">
        <v>2716</v>
      </c>
      <c r="B1397" t="s">
        <v>1419</v>
      </c>
      <c r="C1397" t="s">
        <v>304</v>
      </c>
      <c r="D1397" t="s">
        <v>305</v>
      </c>
      <c r="F1397" t="s">
        <v>306</v>
      </c>
      <c r="G1397" t="s">
        <v>96</v>
      </c>
      <c r="H1397" t="s">
        <v>5311</v>
      </c>
      <c r="I1397" s="4"/>
      <c r="J1397" t="s">
        <v>5312</v>
      </c>
      <c r="K1397" t="s">
        <v>1348</v>
      </c>
      <c r="L1397" s="5"/>
      <c r="M1397" s="5" t="s">
        <v>35</v>
      </c>
      <c r="N1397" t="s">
        <v>1824</v>
      </c>
      <c r="O1397" t="s">
        <v>5313</v>
      </c>
      <c r="S1397" t="s">
        <v>37</v>
      </c>
      <c r="T1397" s="5" t="s">
        <v>38</v>
      </c>
      <c r="Y1397" t="str">
        <f>VLOOKUP(C1397,'[1]DBS_KPY Sorumlular'!A:C,2,FALSE)</f>
        <v>Erkan AKDOĞAN</v>
      </c>
      <c r="Z1397" t="str">
        <f>VLOOKUP(C1397,'[1]DBS_KPY Sorumlular'!A:C,3,FALSE)</f>
        <v>Kadir TOPÇU</v>
      </c>
      <c r="AA1397" t="str">
        <f>VLOOKUP(K1397,[1]!Tablo3[#Data],2,FALSE)</f>
        <v>Tayfun VİÇE</v>
      </c>
    </row>
    <row r="1398" spans="1:27" x14ac:dyDescent="0.25">
      <c r="A1398">
        <v>2718</v>
      </c>
      <c r="B1398" t="s">
        <v>1419</v>
      </c>
      <c r="C1398" t="s">
        <v>137</v>
      </c>
      <c r="D1398" t="s">
        <v>138</v>
      </c>
      <c r="E1398" t="s">
        <v>138</v>
      </c>
      <c r="F1398" t="s">
        <v>486</v>
      </c>
      <c r="G1398" t="s">
        <v>140</v>
      </c>
      <c r="H1398" t="s">
        <v>5314</v>
      </c>
      <c r="I1398" s="4"/>
      <c r="J1398" t="s">
        <v>5315</v>
      </c>
      <c r="K1398" t="s">
        <v>1348</v>
      </c>
      <c r="L1398" s="5"/>
      <c r="M1398" s="5" t="s">
        <v>35</v>
      </c>
      <c r="N1398" t="s">
        <v>1824</v>
      </c>
      <c r="O1398" t="s">
        <v>5316</v>
      </c>
      <c r="S1398" t="s">
        <v>37</v>
      </c>
      <c r="T1398" s="5" t="s">
        <v>38</v>
      </c>
      <c r="W1398">
        <v>126</v>
      </c>
      <c r="X1398" t="s">
        <v>147</v>
      </c>
      <c r="Y1398" t="str">
        <f>VLOOKUP(C1398,'[1]DBS_KPY Sorumlular'!A:C,2,FALSE)</f>
        <v>Erkan AKDOĞAN</v>
      </c>
      <c r="Z1398" t="str">
        <f>VLOOKUP(C1398,'[1]DBS_KPY Sorumlular'!A:C,3,FALSE)</f>
        <v>Kadir TOPÇU</v>
      </c>
      <c r="AA1398" t="str">
        <f>VLOOKUP(K1398,[1]!Tablo3[#Data],2,FALSE)</f>
        <v>Tayfun VİÇE</v>
      </c>
    </row>
    <row r="1399" spans="1:27" x14ac:dyDescent="0.25">
      <c r="A1399">
        <v>2719</v>
      </c>
      <c r="B1399" t="s">
        <v>1419</v>
      </c>
      <c r="C1399" t="s">
        <v>137</v>
      </c>
      <c r="D1399" t="s">
        <v>138</v>
      </c>
      <c r="E1399" t="s">
        <v>138</v>
      </c>
      <c r="F1399" t="s">
        <v>486</v>
      </c>
      <c r="G1399" t="s">
        <v>140</v>
      </c>
      <c r="H1399" t="s">
        <v>5317</v>
      </c>
      <c r="I1399" s="4"/>
      <c r="J1399" t="s">
        <v>5318</v>
      </c>
      <c r="K1399" t="s">
        <v>1348</v>
      </c>
      <c r="L1399" s="5"/>
      <c r="M1399" s="5" t="s">
        <v>35</v>
      </c>
      <c r="N1399" t="s">
        <v>1824</v>
      </c>
      <c r="O1399" t="s">
        <v>5319</v>
      </c>
      <c r="S1399" t="s">
        <v>37</v>
      </c>
      <c r="T1399" s="5" t="s">
        <v>38</v>
      </c>
      <c r="W1399">
        <v>185</v>
      </c>
      <c r="X1399" t="s">
        <v>5320</v>
      </c>
      <c r="Y1399" t="str">
        <f>VLOOKUP(C1399,'[1]DBS_KPY Sorumlular'!A:C,2,FALSE)</f>
        <v>Erkan AKDOĞAN</v>
      </c>
      <c r="Z1399" t="str">
        <f>VLOOKUP(C1399,'[1]DBS_KPY Sorumlular'!A:C,3,FALSE)</f>
        <v>Kadir TOPÇU</v>
      </c>
      <c r="AA1399" t="str">
        <f>VLOOKUP(K1399,[1]!Tablo3[#Data],2,FALSE)</f>
        <v>Tayfun VİÇE</v>
      </c>
    </row>
    <row r="1400" spans="1:27" x14ac:dyDescent="0.25">
      <c r="A1400">
        <v>2720</v>
      </c>
      <c r="B1400" t="s">
        <v>1419</v>
      </c>
      <c r="C1400" t="s">
        <v>1723</v>
      </c>
      <c r="D1400" t="s">
        <v>2478</v>
      </c>
      <c r="F1400" t="s">
        <v>486</v>
      </c>
      <c r="G1400" t="s">
        <v>67</v>
      </c>
      <c r="H1400" t="s">
        <v>5321</v>
      </c>
      <c r="I1400" s="4"/>
      <c r="J1400" t="s">
        <v>5322</v>
      </c>
      <c r="K1400" t="s">
        <v>1348</v>
      </c>
      <c r="L1400" s="5" t="s">
        <v>5323</v>
      </c>
      <c r="M1400" s="5" t="s">
        <v>4770</v>
      </c>
      <c r="N1400" t="s">
        <v>1824</v>
      </c>
      <c r="O1400" t="s">
        <v>5324</v>
      </c>
      <c r="S1400" t="s">
        <v>37</v>
      </c>
      <c r="T1400" s="5" t="s">
        <v>38</v>
      </c>
      <c r="Y1400" t="str">
        <f>VLOOKUP(C1400,'[1]DBS_KPY Sorumlular'!A:C,2,FALSE)</f>
        <v>Erkan AKDOĞAN</v>
      </c>
      <c r="Z1400" t="str">
        <f>VLOOKUP(C1400,'[1]DBS_KPY Sorumlular'!A:C,3,FALSE)</f>
        <v>Kadir TOPÇU</v>
      </c>
      <c r="AA1400" t="str">
        <f>VLOOKUP(K1400,[1]!Tablo3[#Data],2,FALSE)</f>
        <v>Tayfun VİÇE</v>
      </c>
    </row>
    <row r="1401" spans="1:27" x14ac:dyDescent="0.25">
      <c r="A1401">
        <v>2721</v>
      </c>
      <c r="B1401" t="s">
        <v>1419</v>
      </c>
      <c r="C1401" t="s">
        <v>1674</v>
      </c>
      <c r="D1401" t="s">
        <v>1675</v>
      </c>
      <c r="F1401" t="s">
        <v>95</v>
      </c>
      <c r="G1401" t="s">
        <v>96</v>
      </c>
      <c r="H1401" t="s">
        <v>5325</v>
      </c>
      <c r="I1401" s="4"/>
      <c r="J1401" t="s">
        <v>5326</v>
      </c>
      <c r="K1401" t="s">
        <v>1348</v>
      </c>
      <c r="L1401" s="5"/>
      <c r="M1401" s="5" t="s">
        <v>35</v>
      </c>
      <c r="N1401" t="s">
        <v>35</v>
      </c>
      <c r="O1401" t="s">
        <v>5327</v>
      </c>
      <c r="S1401" t="s">
        <v>37</v>
      </c>
      <c r="T1401" s="5" t="s">
        <v>48</v>
      </c>
      <c r="U1401" t="s">
        <v>5328</v>
      </c>
      <c r="V1401" t="s">
        <v>5329</v>
      </c>
      <c r="W1401">
        <v>91</v>
      </c>
      <c r="X1401" t="s">
        <v>101</v>
      </c>
      <c r="Y1401" t="str">
        <f>VLOOKUP(C1401,'[1]DBS_KPY Sorumlular'!A:C,2,FALSE)</f>
        <v>Kadir TOPÇU</v>
      </c>
      <c r="Z1401" t="str">
        <f>VLOOKUP(C1401,'[1]DBS_KPY Sorumlular'!A:C,3,FALSE)</f>
        <v>Erkan AKDOĞAN</v>
      </c>
      <c r="AA1401" t="str">
        <f>VLOOKUP(K1401,[1]!Tablo3[#Data],2,FALSE)</f>
        <v>Tayfun VİÇE</v>
      </c>
    </row>
    <row r="1402" spans="1:27" x14ac:dyDescent="0.25">
      <c r="A1402">
        <v>2722</v>
      </c>
      <c r="B1402" t="s">
        <v>1419</v>
      </c>
      <c r="C1402" t="s">
        <v>1674</v>
      </c>
      <c r="D1402" t="s">
        <v>1675</v>
      </c>
      <c r="F1402" t="s">
        <v>66</v>
      </c>
      <c r="G1402" t="s">
        <v>67</v>
      </c>
      <c r="H1402" t="s">
        <v>5330</v>
      </c>
      <c r="I1402" s="4"/>
      <c r="J1402" t="s">
        <v>5331</v>
      </c>
      <c r="K1402" t="s">
        <v>1348</v>
      </c>
      <c r="L1402" s="5"/>
      <c r="M1402" s="5" t="s">
        <v>4028</v>
      </c>
      <c r="N1402" t="s">
        <v>1824</v>
      </c>
      <c r="O1402" t="s">
        <v>5332</v>
      </c>
      <c r="S1402" t="s">
        <v>37</v>
      </c>
      <c r="T1402" s="5" t="s">
        <v>100</v>
      </c>
      <c r="W1402">
        <v>104</v>
      </c>
      <c r="X1402" t="s">
        <v>703</v>
      </c>
      <c r="Y1402" t="str">
        <f>VLOOKUP(C1402,'[1]DBS_KPY Sorumlular'!A:C,2,FALSE)</f>
        <v>Kadir TOPÇU</v>
      </c>
      <c r="Z1402" t="str">
        <f>VLOOKUP(C1402,'[1]DBS_KPY Sorumlular'!A:C,3,FALSE)</f>
        <v>Erkan AKDOĞAN</v>
      </c>
      <c r="AA1402" t="str">
        <f>VLOOKUP(K1402,[1]!Tablo3[#Data],2,FALSE)</f>
        <v>Tayfun VİÇE</v>
      </c>
    </row>
    <row r="1403" spans="1:27" x14ac:dyDescent="0.25">
      <c r="A1403">
        <v>2723</v>
      </c>
      <c r="B1403" t="s">
        <v>1419</v>
      </c>
      <c r="C1403" t="s">
        <v>304</v>
      </c>
      <c r="D1403" t="s">
        <v>4707</v>
      </c>
      <c r="F1403" t="s">
        <v>486</v>
      </c>
      <c r="G1403" t="s">
        <v>67</v>
      </c>
      <c r="H1403" t="s">
        <v>5333</v>
      </c>
      <c r="I1403" s="4"/>
      <c r="J1403" t="s">
        <v>3545</v>
      </c>
      <c r="K1403" t="s">
        <v>1360</v>
      </c>
      <c r="L1403" s="5" t="s">
        <v>5334</v>
      </c>
      <c r="M1403" s="5" t="s">
        <v>2670</v>
      </c>
      <c r="N1403" t="s">
        <v>1824</v>
      </c>
      <c r="O1403" t="s">
        <v>5335</v>
      </c>
      <c r="S1403" t="s">
        <v>230</v>
      </c>
      <c r="T1403" s="5" t="s">
        <v>38</v>
      </c>
      <c r="Y1403" t="str">
        <f>VLOOKUP(C1403,'[1]DBS_KPY Sorumlular'!A:C,2,FALSE)</f>
        <v>Erkan AKDOĞAN</v>
      </c>
      <c r="Z1403" t="str">
        <f>VLOOKUP(C1403,'[1]DBS_KPY Sorumlular'!A:C,3,FALSE)</f>
        <v>Kadir TOPÇU</v>
      </c>
      <c r="AA1403" t="str">
        <f>VLOOKUP(K1403,[1]!Tablo3[#Data],2,FALSE)</f>
        <v>Kadir TOPÇU</v>
      </c>
    </row>
    <row r="1404" spans="1:27" x14ac:dyDescent="0.25">
      <c r="A1404">
        <v>2724</v>
      </c>
      <c r="B1404" t="s">
        <v>1419</v>
      </c>
      <c r="C1404" t="s">
        <v>1723</v>
      </c>
      <c r="D1404" t="s">
        <v>1724</v>
      </c>
      <c r="F1404" t="s">
        <v>184</v>
      </c>
      <c r="G1404" t="s">
        <v>43</v>
      </c>
      <c r="H1404" t="s">
        <v>5336</v>
      </c>
      <c r="I1404" s="4"/>
      <c r="J1404" t="s">
        <v>5337</v>
      </c>
      <c r="K1404" t="s">
        <v>1360</v>
      </c>
      <c r="L1404" s="5" t="s">
        <v>5338</v>
      </c>
      <c r="M1404" s="5" t="s">
        <v>35</v>
      </c>
      <c r="N1404" t="s">
        <v>1824</v>
      </c>
      <c r="O1404" t="s">
        <v>5339</v>
      </c>
      <c r="S1404" t="s">
        <v>230</v>
      </c>
      <c r="T1404" s="5" t="s">
        <v>38</v>
      </c>
      <c r="Y1404" t="str">
        <f>VLOOKUP(C1404,'[1]DBS_KPY Sorumlular'!A:C,2,FALSE)</f>
        <v>Erkan AKDOĞAN</v>
      </c>
      <c r="Z1404" t="str">
        <f>VLOOKUP(C1404,'[1]DBS_KPY Sorumlular'!A:C,3,FALSE)</f>
        <v>Kadir TOPÇU</v>
      </c>
      <c r="AA1404" t="str">
        <f>VLOOKUP(K1404,[1]!Tablo3[#Data],2,FALSE)</f>
        <v>Kadir TOPÇU</v>
      </c>
    </row>
    <row r="1405" spans="1:27" x14ac:dyDescent="0.25">
      <c r="A1405">
        <v>2725</v>
      </c>
      <c r="B1405" t="s">
        <v>1419</v>
      </c>
      <c r="C1405" t="s">
        <v>304</v>
      </c>
      <c r="D1405" t="s">
        <v>305</v>
      </c>
      <c r="F1405" t="s">
        <v>486</v>
      </c>
      <c r="G1405" t="s">
        <v>67</v>
      </c>
      <c r="H1405" t="s">
        <v>5340</v>
      </c>
      <c r="I1405" s="4"/>
      <c r="J1405" t="s">
        <v>3545</v>
      </c>
      <c r="K1405" t="s">
        <v>1360</v>
      </c>
      <c r="L1405" s="5"/>
      <c r="M1405" s="5" t="s">
        <v>35</v>
      </c>
      <c r="N1405" t="s">
        <v>1824</v>
      </c>
      <c r="O1405" t="s">
        <v>5341</v>
      </c>
      <c r="S1405" t="s">
        <v>230</v>
      </c>
      <c r="T1405" s="5" t="s">
        <v>38</v>
      </c>
      <c r="Y1405" t="str">
        <f>VLOOKUP(C1405,'[1]DBS_KPY Sorumlular'!A:C,2,FALSE)</f>
        <v>Erkan AKDOĞAN</v>
      </c>
      <c r="Z1405" t="str">
        <f>VLOOKUP(C1405,'[1]DBS_KPY Sorumlular'!A:C,3,FALSE)</f>
        <v>Kadir TOPÇU</v>
      </c>
      <c r="AA1405" t="str">
        <f>VLOOKUP(K1405,[1]!Tablo3[#Data],2,FALSE)</f>
        <v>Kadir TOPÇU</v>
      </c>
    </row>
    <row r="1406" spans="1:27" x14ac:dyDescent="0.25">
      <c r="A1406">
        <v>2726</v>
      </c>
      <c r="B1406" t="s">
        <v>1419</v>
      </c>
      <c r="C1406" t="s">
        <v>304</v>
      </c>
      <c r="D1406" t="s">
        <v>305</v>
      </c>
      <c r="F1406" t="s">
        <v>486</v>
      </c>
      <c r="G1406" t="s">
        <v>67</v>
      </c>
      <c r="H1406" t="s">
        <v>5342</v>
      </c>
      <c r="I1406" s="4"/>
      <c r="J1406" t="s">
        <v>3545</v>
      </c>
      <c r="K1406" t="s">
        <v>1360</v>
      </c>
      <c r="L1406" s="5"/>
      <c r="M1406" s="5" t="s">
        <v>35</v>
      </c>
      <c r="N1406" t="s">
        <v>1824</v>
      </c>
      <c r="O1406" t="s">
        <v>5343</v>
      </c>
      <c r="S1406" t="s">
        <v>230</v>
      </c>
      <c r="T1406" s="5" t="s">
        <v>38</v>
      </c>
      <c r="Y1406" t="str">
        <f>VLOOKUP(C1406,'[1]DBS_KPY Sorumlular'!A:C,2,FALSE)</f>
        <v>Erkan AKDOĞAN</v>
      </c>
      <c r="Z1406" t="str">
        <f>VLOOKUP(C1406,'[1]DBS_KPY Sorumlular'!A:C,3,FALSE)</f>
        <v>Kadir TOPÇU</v>
      </c>
      <c r="AA1406" t="str">
        <f>VLOOKUP(K1406,[1]!Tablo3[#Data],2,FALSE)</f>
        <v>Kadir TOPÇU</v>
      </c>
    </row>
    <row r="1407" spans="1:27" x14ac:dyDescent="0.25">
      <c r="A1407">
        <v>2727</v>
      </c>
      <c r="B1407" t="s">
        <v>1419</v>
      </c>
      <c r="C1407" t="s">
        <v>304</v>
      </c>
      <c r="D1407" t="s">
        <v>305</v>
      </c>
      <c r="F1407" t="s">
        <v>486</v>
      </c>
      <c r="G1407" t="s">
        <v>67</v>
      </c>
      <c r="H1407" t="s">
        <v>5344</v>
      </c>
      <c r="I1407" s="4"/>
      <c r="J1407" t="s">
        <v>3545</v>
      </c>
      <c r="K1407" t="s">
        <v>1360</v>
      </c>
      <c r="L1407" s="5"/>
      <c r="M1407" s="5" t="s">
        <v>35</v>
      </c>
      <c r="N1407" t="s">
        <v>1824</v>
      </c>
      <c r="O1407" t="s">
        <v>5345</v>
      </c>
      <c r="S1407" t="s">
        <v>230</v>
      </c>
      <c r="T1407" s="5" t="s">
        <v>38</v>
      </c>
      <c r="Y1407" t="str">
        <f>VLOOKUP(C1407,'[1]DBS_KPY Sorumlular'!A:C,2,FALSE)</f>
        <v>Erkan AKDOĞAN</v>
      </c>
      <c r="Z1407" t="str">
        <f>VLOOKUP(C1407,'[1]DBS_KPY Sorumlular'!A:C,3,FALSE)</f>
        <v>Kadir TOPÇU</v>
      </c>
      <c r="AA1407" t="str">
        <f>VLOOKUP(K1407,[1]!Tablo3[#Data],2,FALSE)</f>
        <v>Kadir TOPÇU</v>
      </c>
    </row>
    <row r="1408" spans="1:27" x14ac:dyDescent="0.25">
      <c r="A1408">
        <v>2728</v>
      </c>
      <c r="B1408" t="s">
        <v>1419</v>
      </c>
      <c r="C1408" t="s">
        <v>137</v>
      </c>
      <c r="D1408" t="s">
        <v>138</v>
      </c>
      <c r="E1408" t="s">
        <v>138</v>
      </c>
      <c r="F1408" t="s">
        <v>2543</v>
      </c>
      <c r="G1408" t="s">
        <v>140</v>
      </c>
      <c r="H1408" t="s">
        <v>5346</v>
      </c>
      <c r="I1408" s="4"/>
      <c r="J1408" t="s">
        <v>5347</v>
      </c>
      <c r="K1408" t="s">
        <v>1360</v>
      </c>
      <c r="L1408" s="5"/>
      <c r="M1408" s="5" t="s">
        <v>35</v>
      </c>
      <c r="N1408" t="s">
        <v>1824</v>
      </c>
      <c r="O1408" t="s">
        <v>5348</v>
      </c>
      <c r="S1408" t="s">
        <v>230</v>
      </c>
      <c r="T1408" s="5" t="s">
        <v>38</v>
      </c>
      <c r="W1408">
        <v>192</v>
      </c>
      <c r="X1408" t="s">
        <v>1770</v>
      </c>
      <c r="Y1408" t="str">
        <f>VLOOKUP(C1408,'[1]DBS_KPY Sorumlular'!A:C,2,FALSE)</f>
        <v>Erkan AKDOĞAN</v>
      </c>
      <c r="Z1408" t="str">
        <f>VLOOKUP(C1408,'[1]DBS_KPY Sorumlular'!A:C,3,FALSE)</f>
        <v>Kadir TOPÇU</v>
      </c>
      <c r="AA1408" t="str">
        <f>VLOOKUP(K1408,[1]!Tablo3[#Data],2,FALSE)</f>
        <v>Kadir TOPÇU</v>
      </c>
    </row>
    <row r="1409" spans="1:27" x14ac:dyDescent="0.25">
      <c r="A1409">
        <v>2729</v>
      </c>
      <c r="B1409" t="s">
        <v>1419</v>
      </c>
      <c r="C1409" t="s">
        <v>1674</v>
      </c>
      <c r="D1409" t="s">
        <v>1675</v>
      </c>
      <c r="F1409" t="s">
        <v>306</v>
      </c>
      <c r="G1409" t="s">
        <v>96</v>
      </c>
      <c r="H1409" t="s">
        <v>5349</v>
      </c>
      <c r="I1409" s="4"/>
      <c r="K1409" t="s">
        <v>1360</v>
      </c>
      <c r="L1409" s="5"/>
      <c r="M1409" s="5" t="s">
        <v>35</v>
      </c>
      <c r="N1409" t="s">
        <v>1824</v>
      </c>
      <c r="O1409" t="s">
        <v>5350</v>
      </c>
      <c r="S1409" t="s">
        <v>230</v>
      </c>
      <c r="T1409" s="5" t="s">
        <v>100</v>
      </c>
      <c r="W1409">
        <v>28</v>
      </c>
      <c r="X1409" t="s">
        <v>667</v>
      </c>
      <c r="Y1409" t="str">
        <f>VLOOKUP(C1409,'[1]DBS_KPY Sorumlular'!A:C,2,FALSE)</f>
        <v>Kadir TOPÇU</v>
      </c>
      <c r="Z1409" t="str">
        <f>VLOOKUP(C1409,'[1]DBS_KPY Sorumlular'!A:C,3,FALSE)</f>
        <v>Erkan AKDOĞAN</v>
      </c>
      <c r="AA1409" t="str">
        <f>VLOOKUP(K1409,[1]!Tablo3[#Data],2,FALSE)</f>
        <v>Kadir TOPÇU</v>
      </c>
    </row>
    <row r="1410" spans="1:27" x14ac:dyDescent="0.25">
      <c r="A1410">
        <v>2730</v>
      </c>
      <c r="B1410" t="s">
        <v>27</v>
      </c>
      <c r="C1410" t="s">
        <v>40</v>
      </c>
      <c r="D1410" t="s">
        <v>41</v>
      </c>
      <c r="F1410" t="s">
        <v>42</v>
      </c>
      <c r="G1410" t="s">
        <v>43</v>
      </c>
      <c r="H1410" t="s">
        <v>5351</v>
      </c>
      <c r="I1410" s="4"/>
      <c r="K1410" t="s">
        <v>1360</v>
      </c>
      <c r="L1410" s="5"/>
      <c r="M1410" s="5" t="s">
        <v>35</v>
      </c>
      <c r="N1410" t="s">
        <v>35</v>
      </c>
      <c r="O1410" t="s">
        <v>5352</v>
      </c>
      <c r="S1410" t="s">
        <v>230</v>
      </c>
      <c r="T1410" s="5" t="s">
        <v>48</v>
      </c>
      <c r="U1410" t="s">
        <v>5353</v>
      </c>
      <c r="V1410" t="s">
        <v>5354</v>
      </c>
      <c r="W1410">
        <v>71</v>
      </c>
      <c r="X1410" t="s">
        <v>1299</v>
      </c>
      <c r="Y1410" t="str">
        <f>VLOOKUP(C1410,'[1]DBS_KPY Sorumlular'!A:C,2,FALSE)</f>
        <v>Mustafa AYDIN</v>
      </c>
      <c r="Z1410" t="str">
        <f>VLOOKUP(C1410,'[1]DBS_KPY Sorumlular'!A:C,3,FALSE)</f>
        <v>Esra DOLAN</v>
      </c>
      <c r="AA1410" t="str">
        <f>VLOOKUP(K1410,[1]!Tablo3[#Data],2,FALSE)</f>
        <v>Kadir TOPÇU</v>
      </c>
    </row>
    <row r="1411" spans="1:27" x14ac:dyDescent="0.25">
      <c r="A1411">
        <v>2731</v>
      </c>
      <c r="B1411" t="s">
        <v>1419</v>
      </c>
      <c r="C1411" t="s">
        <v>1674</v>
      </c>
      <c r="D1411" t="s">
        <v>1717</v>
      </c>
      <c r="F1411" t="s">
        <v>102</v>
      </c>
      <c r="G1411" t="s">
        <v>43</v>
      </c>
      <c r="H1411" t="s">
        <v>5355</v>
      </c>
      <c r="I1411" s="4"/>
      <c r="K1411" t="s">
        <v>1360</v>
      </c>
      <c r="L1411" s="5"/>
      <c r="M1411" s="5" t="s">
        <v>35</v>
      </c>
      <c r="N1411" t="s">
        <v>1824</v>
      </c>
      <c r="O1411" t="s">
        <v>5356</v>
      </c>
      <c r="S1411" t="s">
        <v>230</v>
      </c>
      <c r="T1411" s="5" t="s">
        <v>100</v>
      </c>
      <c r="W1411">
        <v>108</v>
      </c>
      <c r="X1411" t="s">
        <v>107</v>
      </c>
      <c r="Y1411" t="str">
        <f>VLOOKUP(C1411,'[1]DBS_KPY Sorumlular'!A:C,2,FALSE)</f>
        <v>Kadir TOPÇU</v>
      </c>
      <c r="Z1411" t="str">
        <f>VLOOKUP(C1411,'[1]DBS_KPY Sorumlular'!A:C,3,FALSE)</f>
        <v>Erkan AKDOĞAN</v>
      </c>
      <c r="AA1411" t="str">
        <f>VLOOKUP(K1411,[1]!Tablo3[#Data],2,FALSE)</f>
        <v>Kadir TOPÇU</v>
      </c>
    </row>
    <row r="1412" spans="1:27" x14ac:dyDescent="0.25">
      <c r="A1412">
        <v>2732</v>
      </c>
      <c r="B1412" t="s">
        <v>27</v>
      </c>
      <c r="C1412" t="s">
        <v>40</v>
      </c>
      <c r="D1412" t="s">
        <v>41</v>
      </c>
      <c r="F1412" t="s">
        <v>42</v>
      </c>
      <c r="G1412" t="s">
        <v>43</v>
      </c>
      <c r="H1412" t="s">
        <v>5357</v>
      </c>
      <c r="I1412" s="4"/>
      <c r="J1412" t="s">
        <v>5358</v>
      </c>
      <c r="K1412" t="s">
        <v>1360</v>
      </c>
      <c r="L1412" s="5" t="s">
        <v>5359</v>
      </c>
      <c r="M1412" s="5" t="s">
        <v>5360</v>
      </c>
      <c r="N1412" t="s">
        <v>739</v>
      </c>
      <c r="O1412" t="s">
        <v>5361</v>
      </c>
      <c r="S1412" t="s">
        <v>230</v>
      </c>
      <c r="T1412" s="5" t="s">
        <v>58</v>
      </c>
      <c r="U1412" t="s">
        <v>192</v>
      </c>
      <c r="V1412" t="s">
        <v>193</v>
      </c>
      <c r="W1412">
        <v>68</v>
      </c>
      <c r="X1412" t="s">
        <v>51</v>
      </c>
      <c r="Y1412" t="str">
        <f>VLOOKUP(C1412,'[1]DBS_KPY Sorumlular'!A:C,2,FALSE)</f>
        <v>Mustafa AYDIN</v>
      </c>
      <c r="Z1412" t="str">
        <f>VLOOKUP(C1412,'[1]DBS_KPY Sorumlular'!A:C,3,FALSE)</f>
        <v>Esra DOLAN</v>
      </c>
      <c r="AA1412" t="str">
        <f>VLOOKUP(K1412,[1]!Tablo3[#Data],2,FALSE)</f>
        <v>Kadir TOPÇU</v>
      </c>
    </row>
    <row r="1413" spans="1:27" x14ac:dyDescent="0.25">
      <c r="A1413">
        <v>2733</v>
      </c>
      <c r="B1413" t="s">
        <v>27</v>
      </c>
      <c r="C1413" t="s">
        <v>40</v>
      </c>
      <c r="D1413" t="s">
        <v>41</v>
      </c>
      <c r="F1413" t="s">
        <v>184</v>
      </c>
      <c r="G1413" t="s">
        <v>43</v>
      </c>
      <c r="H1413" t="s">
        <v>5362</v>
      </c>
      <c r="I1413" s="4"/>
      <c r="J1413" t="s">
        <v>5363</v>
      </c>
      <c r="K1413" t="s">
        <v>1360</v>
      </c>
      <c r="L1413" s="5"/>
      <c r="M1413" s="5" t="s">
        <v>4028</v>
      </c>
      <c r="N1413" t="s">
        <v>1824</v>
      </c>
      <c r="O1413" t="s">
        <v>5364</v>
      </c>
      <c r="S1413" t="s">
        <v>230</v>
      </c>
      <c r="T1413" s="5" t="s">
        <v>100</v>
      </c>
      <c r="W1413">
        <v>68</v>
      </c>
      <c r="X1413" t="s">
        <v>51</v>
      </c>
      <c r="Y1413" t="str">
        <f>VLOOKUP(C1413,'[1]DBS_KPY Sorumlular'!A:C,2,FALSE)</f>
        <v>Mustafa AYDIN</v>
      </c>
      <c r="Z1413" t="str">
        <f>VLOOKUP(C1413,'[1]DBS_KPY Sorumlular'!A:C,3,FALSE)</f>
        <v>Esra DOLAN</v>
      </c>
      <c r="AA1413" t="str">
        <f>VLOOKUP(K1413,[1]!Tablo3[#Data],2,FALSE)</f>
        <v>Kadir TOPÇU</v>
      </c>
    </row>
    <row r="1414" spans="1:27" x14ac:dyDescent="0.25">
      <c r="A1414">
        <v>2734</v>
      </c>
      <c r="B1414" t="s">
        <v>1419</v>
      </c>
      <c r="C1414" t="s">
        <v>1674</v>
      </c>
      <c r="D1414" t="s">
        <v>1717</v>
      </c>
      <c r="F1414" t="s">
        <v>184</v>
      </c>
      <c r="G1414" t="s">
        <v>43</v>
      </c>
      <c r="H1414" t="s">
        <v>5365</v>
      </c>
      <c r="I1414" s="4"/>
      <c r="J1414" t="s">
        <v>5337</v>
      </c>
      <c r="K1414" t="s">
        <v>1360</v>
      </c>
      <c r="L1414" s="5" t="s">
        <v>5366</v>
      </c>
      <c r="M1414" s="5" t="s">
        <v>4028</v>
      </c>
      <c r="N1414" t="s">
        <v>739</v>
      </c>
      <c r="O1414" t="s">
        <v>5367</v>
      </c>
      <c r="S1414" t="s">
        <v>230</v>
      </c>
      <c r="T1414" s="5" t="s">
        <v>100</v>
      </c>
      <c r="W1414">
        <v>86</v>
      </c>
      <c r="X1414" t="s">
        <v>189</v>
      </c>
      <c r="Y1414" t="str">
        <f>VLOOKUP(C1414,'[1]DBS_KPY Sorumlular'!A:C,2,FALSE)</f>
        <v>Kadir TOPÇU</v>
      </c>
      <c r="Z1414" t="str">
        <f>VLOOKUP(C1414,'[1]DBS_KPY Sorumlular'!A:C,3,FALSE)</f>
        <v>Erkan AKDOĞAN</v>
      </c>
      <c r="AA1414" t="str">
        <f>VLOOKUP(K1414,[1]!Tablo3[#Data],2,FALSE)</f>
        <v>Kadir TOPÇU</v>
      </c>
    </row>
    <row r="1415" spans="1:27" x14ac:dyDescent="0.25">
      <c r="A1415">
        <v>2735</v>
      </c>
      <c r="B1415" t="s">
        <v>1419</v>
      </c>
      <c r="C1415" t="s">
        <v>288</v>
      </c>
      <c r="D1415" t="s">
        <v>2644</v>
      </c>
      <c r="E1415" t="s">
        <v>2645</v>
      </c>
      <c r="F1415" t="s">
        <v>1263</v>
      </c>
      <c r="G1415" t="s">
        <v>30</v>
      </c>
      <c r="H1415" t="s">
        <v>5368</v>
      </c>
      <c r="I1415" s="4"/>
      <c r="K1415" t="s">
        <v>1398</v>
      </c>
      <c r="L1415" s="5"/>
      <c r="M1415" s="5" t="s">
        <v>35</v>
      </c>
      <c r="N1415" t="s">
        <v>1824</v>
      </c>
      <c r="O1415" t="s">
        <v>5369</v>
      </c>
      <c r="S1415" t="s">
        <v>37</v>
      </c>
      <c r="T1415" s="5" t="s">
        <v>38</v>
      </c>
      <c r="W1415">
        <v>89</v>
      </c>
      <c r="X1415" t="s">
        <v>1267</v>
      </c>
      <c r="Y1415" t="str">
        <f>VLOOKUP(C1415,'[1]DBS_KPY Sorumlular'!A:C,2,FALSE)</f>
        <v>Sinan ERDAŞ</v>
      </c>
      <c r="Z1415" t="str">
        <f>VLOOKUP(C1415,'[1]DBS_KPY Sorumlular'!A:C,3,FALSE)</f>
        <v>Ayşegül AKGÜL</v>
      </c>
      <c r="AA1415" t="str">
        <f>VLOOKUP(K1415,[1]!Tablo3[#Data],2,FALSE)</f>
        <v>Tayfun VİÇE</v>
      </c>
    </row>
    <row r="1416" spans="1:27" x14ac:dyDescent="0.25">
      <c r="A1416">
        <v>2736</v>
      </c>
      <c r="B1416" t="s">
        <v>27</v>
      </c>
      <c r="C1416" t="s">
        <v>40</v>
      </c>
      <c r="D1416" t="s">
        <v>41</v>
      </c>
      <c r="F1416" t="s">
        <v>4314</v>
      </c>
      <c r="G1416" t="s">
        <v>43</v>
      </c>
      <c r="H1416" t="s">
        <v>5370</v>
      </c>
      <c r="I1416" s="4">
        <v>45600.875</v>
      </c>
      <c r="K1416" t="s">
        <v>1398</v>
      </c>
      <c r="L1416" s="5"/>
      <c r="M1416" s="5" t="s">
        <v>35</v>
      </c>
      <c r="N1416" t="s">
        <v>82</v>
      </c>
      <c r="O1416" t="s">
        <v>5371</v>
      </c>
      <c r="R1416">
        <v>1</v>
      </c>
      <c r="S1416" t="s">
        <v>37</v>
      </c>
      <c r="T1416" s="5" t="s">
        <v>58</v>
      </c>
      <c r="U1416" t="s">
        <v>437</v>
      </c>
      <c r="V1416" t="s">
        <v>438</v>
      </c>
      <c r="W1416">
        <v>131</v>
      </c>
      <c r="X1416" t="s">
        <v>61</v>
      </c>
      <c r="Y1416" t="str">
        <f>VLOOKUP(C1416,'[1]DBS_KPY Sorumlular'!A:C,2,FALSE)</f>
        <v>Mustafa AYDIN</v>
      </c>
      <c r="Z1416" t="str">
        <f>VLOOKUP(C1416,'[1]DBS_KPY Sorumlular'!A:C,3,FALSE)</f>
        <v>Esra DOLAN</v>
      </c>
      <c r="AA1416" t="str">
        <f>VLOOKUP(K1416,[1]!Tablo3[#Data],2,FALSE)</f>
        <v>Tayfun VİÇE</v>
      </c>
    </row>
    <row r="1417" spans="1:27" x14ac:dyDescent="0.25">
      <c r="A1417">
        <v>2737</v>
      </c>
      <c r="B1417" t="s">
        <v>27</v>
      </c>
      <c r="C1417" t="s">
        <v>40</v>
      </c>
      <c r="D1417" t="s">
        <v>41</v>
      </c>
      <c r="F1417" t="s">
        <v>4314</v>
      </c>
      <c r="G1417" t="s">
        <v>43</v>
      </c>
      <c r="H1417" t="s">
        <v>5372</v>
      </c>
      <c r="I1417" s="4">
        <v>45837.875</v>
      </c>
      <c r="K1417" t="s">
        <v>1398</v>
      </c>
      <c r="L1417" s="5"/>
      <c r="M1417" s="5"/>
      <c r="N1417" t="s">
        <v>46</v>
      </c>
      <c r="O1417" t="s">
        <v>5373</v>
      </c>
      <c r="R1417">
        <v>0.85</v>
      </c>
      <c r="S1417" t="s">
        <v>37</v>
      </c>
      <c r="T1417" s="5" t="s">
        <v>58</v>
      </c>
      <c r="U1417" t="s">
        <v>437</v>
      </c>
      <c r="V1417" t="s">
        <v>438</v>
      </c>
      <c r="W1417">
        <v>131</v>
      </c>
      <c r="X1417" t="s">
        <v>61</v>
      </c>
      <c r="Y1417" t="str">
        <f>VLOOKUP(C1417,'[1]DBS_KPY Sorumlular'!A:C,2,FALSE)</f>
        <v>Mustafa AYDIN</v>
      </c>
      <c r="Z1417" t="str">
        <f>VLOOKUP(C1417,'[1]DBS_KPY Sorumlular'!A:C,3,FALSE)</f>
        <v>Esra DOLAN</v>
      </c>
      <c r="AA1417" t="str">
        <f>VLOOKUP(K1417,[1]!Tablo3[#Data],2,FALSE)</f>
        <v>Tayfun VİÇE</v>
      </c>
    </row>
    <row r="1418" spans="1:27" x14ac:dyDescent="0.25">
      <c r="A1418">
        <v>2738</v>
      </c>
      <c r="B1418" t="s">
        <v>1419</v>
      </c>
      <c r="C1418" t="s">
        <v>40</v>
      </c>
      <c r="D1418" t="s">
        <v>41</v>
      </c>
      <c r="F1418" t="s">
        <v>4314</v>
      </c>
      <c r="G1418" t="s">
        <v>43</v>
      </c>
      <c r="H1418" t="s">
        <v>5374</v>
      </c>
      <c r="I1418" s="4"/>
      <c r="K1418" t="s">
        <v>1398</v>
      </c>
      <c r="L1418" s="5"/>
      <c r="M1418" s="5" t="s">
        <v>35</v>
      </c>
      <c r="N1418" t="s">
        <v>1824</v>
      </c>
      <c r="O1418" t="s">
        <v>5375</v>
      </c>
      <c r="S1418" t="s">
        <v>37</v>
      </c>
      <c r="T1418" s="5" t="s">
        <v>100</v>
      </c>
      <c r="W1418">
        <v>131</v>
      </c>
      <c r="X1418" t="s">
        <v>61</v>
      </c>
      <c r="Y1418" t="str">
        <f>VLOOKUP(C1418,'[1]DBS_KPY Sorumlular'!A:C,2,FALSE)</f>
        <v>Mustafa AYDIN</v>
      </c>
      <c r="Z1418" t="str">
        <f>VLOOKUP(C1418,'[1]DBS_KPY Sorumlular'!A:C,3,FALSE)</f>
        <v>Esra DOLAN</v>
      </c>
      <c r="AA1418" t="str">
        <f>VLOOKUP(K1418,[1]!Tablo3[#Data],2,FALSE)</f>
        <v>Tayfun VİÇE</v>
      </c>
    </row>
    <row r="1419" spans="1:27" x14ac:dyDescent="0.25">
      <c r="A1419">
        <v>2739</v>
      </c>
      <c r="B1419" t="s">
        <v>1419</v>
      </c>
      <c r="C1419" t="s">
        <v>40</v>
      </c>
      <c r="D1419" t="s">
        <v>65</v>
      </c>
      <c r="F1419" t="s">
        <v>66</v>
      </c>
      <c r="G1419" t="s">
        <v>43</v>
      </c>
      <c r="H1419" t="s">
        <v>5376</v>
      </c>
      <c r="I1419" s="4"/>
      <c r="K1419" t="s">
        <v>1398</v>
      </c>
      <c r="L1419" s="5"/>
      <c r="M1419" s="5" t="s">
        <v>35</v>
      </c>
      <c r="N1419" t="s">
        <v>35</v>
      </c>
      <c r="O1419" t="s">
        <v>5377</v>
      </c>
      <c r="S1419" t="s">
        <v>37</v>
      </c>
      <c r="T1419" s="5" t="s">
        <v>48</v>
      </c>
      <c r="U1419" t="s">
        <v>5378</v>
      </c>
      <c r="V1419" t="s">
        <v>5379</v>
      </c>
      <c r="W1419">
        <v>207</v>
      </c>
      <c r="X1419" t="s">
        <v>472</v>
      </c>
      <c r="Y1419" t="str">
        <f>VLOOKUP(C1419,'[1]DBS_KPY Sorumlular'!A:C,2,FALSE)</f>
        <v>Mustafa AYDIN</v>
      </c>
      <c r="Z1419" t="str">
        <f>VLOOKUP(C1419,'[1]DBS_KPY Sorumlular'!A:C,3,FALSE)</f>
        <v>Esra DOLAN</v>
      </c>
      <c r="AA1419" t="str">
        <f>VLOOKUP(K1419,[1]!Tablo3[#Data],2,FALSE)</f>
        <v>Tayfun VİÇE</v>
      </c>
    </row>
    <row r="1420" spans="1:27" x14ac:dyDescent="0.25">
      <c r="A1420">
        <v>2740</v>
      </c>
      <c r="B1420" t="s">
        <v>1419</v>
      </c>
      <c r="C1420" t="s">
        <v>402</v>
      </c>
      <c r="D1420" t="s">
        <v>403</v>
      </c>
      <c r="F1420" t="s">
        <v>383</v>
      </c>
      <c r="G1420" t="s">
        <v>384</v>
      </c>
      <c r="H1420" t="s">
        <v>5380</v>
      </c>
      <c r="I1420" s="4"/>
      <c r="J1420" t="s">
        <v>3592</v>
      </c>
      <c r="K1420" t="s">
        <v>1398</v>
      </c>
      <c r="L1420" s="5" t="s">
        <v>5381</v>
      </c>
      <c r="M1420" s="5" t="s">
        <v>35</v>
      </c>
      <c r="N1420" t="s">
        <v>1824</v>
      </c>
      <c r="O1420" t="s">
        <v>5382</v>
      </c>
      <c r="S1420" t="s">
        <v>37</v>
      </c>
      <c r="T1420" s="5" t="s">
        <v>100</v>
      </c>
      <c r="W1420">
        <v>83</v>
      </c>
      <c r="X1420" t="s">
        <v>1309</v>
      </c>
      <c r="Y1420" t="str">
        <f>VLOOKUP(C1420,'[1]DBS_KPY Sorumlular'!A:C,2,FALSE)</f>
        <v>Tayfun VİÇE</v>
      </c>
      <c r="Z1420" t="str">
        <f>VLOOKUP(C1420,'[1]DBS_KPY Sorumlular'!A:C,3,FALSE)</f>
        <v>Mehmet Ali YAVUZ</v>
      </c>
      <c r="AA1420" t="str">
        <f>VLOOKUP(K1420,[1]!Tablo3[#Data],2,FALSE)</f>
        <v>Tayfun VİÇE</v>
      </c>
    </row>
    <row r="1421" spans="1:27" x14ac:dyDescent="0.25">
      <c r="A1421">
        <v>2741</v>
      </c>
      <c r="B1421" t="s">
        <v>1419</v>
      </c>
      <c r="C1421" t="s">
        <v>1674</v>
      </c>
      <c r="D1421" t="s">
        <v>1717</v>
      </c>
      <c r="F1421" t="s">
        <v>391</v>
      </c>
      <c r="G1421" t="s">
        <v>43</v>
      </c>
      <c r="H1421" t="s">
        <v>5383</v>
      </c>
      <c r="I1421" s="4"/>
      <c r="J1421" t="s">
        <v>3583</v>
      </c>
      <c r="K1421" t="s">
        <v>1398</v>
      </c>
      <c r="L1421" s="5" t="s">
        <v>3542</v>
      </c>
      <c r="M1421" s="5" t="s">
        <v>35</v>
      </c>
      <c r="N1421" t="s">
        <v>739</v>
      </c>
      <c r="O1421" t="s">
        <v>5384</v>
      </c>
      <c r="S1421" t="s">
        <v>37</v>
      </c>
      <c r="T1421" s="5" t="s">
        <v>100</v>
      </c>
      <c r="W1421">
        <v>162</v>
      </c>
      <c r="X1421" t="s">
        <v>918</v>
      </c>
      <c r="Y1421" t="str">
        <f>VLOOKUP(C1421,'[1]DBS_KPY Sorumlular'!A:C,2,FALSE)</f>
        <v>Kadir TOPÇU</v>
      </c>
      <c r="Z1421" t="str">
        <f>VLOOKUP(C1421,'[1]DBS_KPY Sorumlular'!A:C,3,FALSE)</f>
        <v>Erkan AKDOĞAN</v>
      </c>
      <c r="AA1421" t="str">
        <f>VLOOKUP(K1421,[1]!Tablo3[#Data],2,FALSE)</f>
        <v>Tayfun VİÇE</v>
      </c>
    </row>
    <row r="1422" spans="1:27" x14ac:dyDescent="0.25">
      <c r="A1422">
        <v>2742</v>
      </c>
      <c r="B1422" t="s">
        <v>1419</v>
      </c>
      <c r="C1422" t="s">
        <v>402</v>
      </c>
      <c r="D1422" t="s">
        <v>403</v>
      </c>
      <c r="F1422" t="s">
        <v>383</v>
      </c>
      <c r="G1422" t="s">
        <v>384</v>
      </c>
      <c r="H1422" t="s">
        <v>5385</v>
      </c>
      <c r="I1422" s="4"/>
      <c r="J1422" t="s">
        <v>3592</v>
      </c>
      <c r="K1422" t="s">
        <v>1398</v>
      </c>
      <c r="L1422" s="5" t="s">
        <v>4680</v>
      </c>
      <c r="M1422" s="5" t="s">
        <v>35</v>
      </c>
      <c r="N1422" t="s">
        <v>1824</v>
      </c>
      <c r="O1422" t="s">
        <v>5386</v>
      </c>
      <c r="S1422" t="s">
        <v>37</v>
      </c>
      <c r="T1422" s="5" t="s">
        <v>100</v>
      </c>
      <c r="W1422">
        <v>241</v>
      </c>
      <c r="X1422" t="s">
        <v>3500</v>
      </c>
      <c r="Y1422" t="str">
        <f>VLOOKUP(C1422,'[1]DBS_KPY Sorumlular'!A:C,2,FALSE)</f>
        <v>Tayfun VİÇE</v>
      </c>
      <c r="Z1422" t="str">
        <f>VLOOKUP(C1422,'[1]DBS_KPY Sorumlular'!A:C,3,FALSE)</f>
        <v>Mehmet Ali YAVUZ</v>
      </c>
      <c r="AA1422" t="str">
        <f>VLOOKUP(K1422,[1]!Tablo3[#Data],2,FALSE)</f>
        <v>Tayfun VİÇE</v>
      </c>
    </row>
    <row r="1423" spans="1:27" x14ac:dyDescent="0.25">
      <c r="A1423">
        <v>2743</v>
      </c>
      <c r="B1423" t="s">
        <v>1419</v>
      </c>
      <c r="C1423" t="s">
        <v>1674</v>
      </c>
      <c r="D1423" t="s">
        <v>1675</v>
      </c>
      <c r="F1423" t="s">
        <v>1154</v>
      </c>
      <c r="G1423" t="s">
        <v>43</v>
      </c>
      <c r="H1423" t="s">
        <v>5387</v>
      </c>
      <c r="I1423" s="4"/>
      <c r="J1423" t="s">
        <v>5388</v>
      </c>
      <c r="K1423" t="s">
        <v>1398</v>
      </c>
      <c r="L1423" s="5"/>
      <c r="M1423" s="5" t="s">
        <v>4028</v>
      </c>
      <c r="N1423" t="s">
        <v>1824</v>
      </c>
      <c r="O1423" t="s">
        <v>5389</v>
      </c>
      <c r="S1423" t="s">
        <v>37</v>
      </c>
      <c r="T1423" s="5" t="s">
        <v>100</v>
      </c>
      <c r="W1423">
        <v>84</v>
      </c>
      <c r="X1423" t="s">
        <v>1161</v>
      </c>
      <c r="Y1423" t="str">
        <f>VLOOKUP(C1423,'[1]DBS_KPY Sorumlular'!A:C,2,FALSE)</f>
        <v>Kadir TOPÇU</v>
      </c>
      <c r="Z1423" t="str">
        <f>VLOOKUP(C1423,'[1]DBS_KPY Sorumlular'!A:C,3,FALSE)</f>
        <v>Erkan AKDOĞAN</v>
      </c>
      <c r="AA1423" t="str">
        <f>VLOOKUP(K1423,[1]!Tablo3[#Data],2,FALSE)</f>
        <v>Tayfun VİÇE</v>
      </c>
    </row>
    <row r="1424" spans="1:27" x14ac:dyDescent="0.25">
      <c r="A1424">
        <v>2744</v>
      </c>
      <c r="B1424" t="s">
        <v>1419</v>
      </c>
      <c r="C1424" t="s">
        <v>402</v>
      </c>
      <c r="D1424" t="s">
        <v>403</v>
      </c>
      <c r="F1424" t="s">
        <v>383</v>
      </c>
      <c r="G1424" t="s">
        <v>384</v>
      </c>
      <c r="H1424" t="s">
        <v>5390</v>
      </c>
      <c r="I1424" s="4">
        <v>45306.875</v>
      </c>
      <c r="K1424" t="s">
        <v>1398</v>
      </c>
      <c r="L1424" s="5" t="s">
        <v>5391</v>
      </c>
      <c r="M1424" s="5" t="s">
        <v>35</v>
      </c>
      <c r="N1424" t="s">
        <v>82</v>
      </c>
      <c r="O1424" t="s">
        <v>5392</v>
      </c>
      <c r="R1424">
        <v>1</v>
      </c>
      <c r="S1424" t="s">
        <v>37</v>
      </c>
      <c r="T1424" s="5" t="s">
        <v>48</v>
      </c>
      <c r="U1424" t="s">
        <v>5393</v>
      </c>
      <c r="V1424" t="s">
        <v>5390</v>
      </c>
      <c r="W1424">
        <v>64</v>
      </c>
      <c r="X1424" t="s">
        <v>5394</v>
      </c>
      <c r="Y1424" t="str">
        <f>VLOOKUP(C1424,'[1]DBS_KPY Sorumlular'!A:C,2,FALSE)</f>
        <v>Tayfun VİÇE</v>
      </c>
      <c r="Z1424" t="str">
        <f>VLOOKUP(C1424,'[1]DBS_KPY Sorumlular'!A:C,3,FALSE)</f>
        <v>Mehmet Ali YAVUZ</v>
      </c>
      <c r="AA1424" t="str">
        <f>VLOOKUP(K1424,[1]!Tablo3[#Data],2,FALSE)</f>
        <v>Tayfun VİÇE</v>
      </c>
    </row>
    <row r="1425" spans="1:27" x14ac:dyDescent="0.25">
      <c r="A1425">
        <v>2745</v>
      </c>
      <c r="B1425" t="s">
        <v>1419</v>
      </c>
      <c r="C1425" t="s">
        <v>402</v>
      </c>
      <c r="D1425" t="s">
        <v>403</v>
      </c>
      <c r="F1425" t="s">
        <v>383</v>
      </c>
      <c r="G1425" t="s">
        <v>384</v>
      </c>
      <c r="H1425" t="s">
        <v>5395</v>
      </c>
      <c r="I1425" s="4"/>
      <c r="J1425" t="s">
        <v>5396</v>
      </c>
      <c r="K1425" t="s">
        <v>423</v>
      </c>
      <c r="L1425" s="5" t="s">
        <v>5397</v>
      </c>
      <c r="M1425" s="5" t="s">
        <v>35</v>
      </c>
      <c r="N1425" t="s">
        <v>35</v>
      </c>
      <c r="O1425" t="s">
        <v>5398</v>
      </c>
      <c r="S1425" t="s">
        <v>230</v>
      </c>
      <c r="T1425" s="5" t="s">
        <v>48</v>
      </c>
      <c r="U1425" t="s">
        <v>5399</v>
      </c>
      <c r="V1425" t="s">
        <v>5395</v>
      </c>
      <c r="W1425">
        <v>157</v>
      </c>
      <c r="X1425" t="s">
        <v>3495</v>
      </c>
      <c r="Y1425" t="str">
        <f>VLOOKUP(C1425,'[1]DBS_KPY Sorumlular'!A:C,2,FALSE)</f>
        <v>Tayfun VİÇE</v>
      </c>
      <c r="Z1425" t="str">
        <f>VLOOKUP(C1425,'[1]DBS_KPY Sorumlular'!A:C,3,FALSE)</f>
        <v>Mehmet Ali YAVUZ</v>
      </c>
      <c r="AA1425" t="str">
        <f>VLOOKUP(K1425,[1]!Tablo3[#Data],2,FALSE)</f>
        <v>Kadir TOPÇU</v>
      </c>
    </row>
    <row r="1426" spans="1:27" x14ac:dyDescent="0.25">
      <c r="A1426">
        <v>2746</v>
      </c>
      <c r="B1426" t="s">
        <v>1419</v>
      </c>
      <c r="C1426" t="s">
        <v>304</v>
      </c>
      <c r="D1426" t="s">
        <v>305</v>
      </c>
      <c r="E1426" t="s">
        <v>5400</v>
      </c>
      <c r="F1426" t="s">
        <v>306</v>
      </c>
      <c r="G1426" t="s">
        <v>96</v>
      </c>
      <c r="H1426" t="s">
        <v>5401</v>
      </c>
      <c r="I1426" s="4"/>
      <c r="J1426" t="s">
        <v>5402</v>
      </c>
      <c r="K1426" t="s">
        <v>423</v>
      </c>
      <c r="L1426" s="5" t="s">
        <v>5403</v>
      </c>
      <c r="M1426" s="5" t="s">
        <v>35</v>
      </c>
      <c r="N1426" t="s">
        <v>1824</v>
      </c>
      <c r="O1426" t="s">
        <v>5404</v>
      </c>
      <c r="S1426" t="s">
        <v>230</v>
      </c>
      <c r="T1426" s="5" t="s">
        <v>38</v>
      </c>
      <c r="Y1426" t="str">
        <f>VLOOKUP(C1426,'[1]DBS_KPY Sorumlular'!A:C,2,FALSE)</f>
        <v>Erkan AKDOĞAN</v>
      </c>
      <c r="Z1426" t="str">
        <f>VLOOKUP(C1426,'[1]DBS_KPY Sorumlular'!A:C,3,FALSE)</f>
        <v>Kadir TOPÇU</v>
      </c>
      <c r="AA1426" t="str">
        <f>VLOOKUP(K1426,[1]!Tablo3[#Data],2,FALSE)</f>
        <v>Kadir TOPÇU</v>
      </c>
    </row>
    <row r="1427" spans="1:27" x14ac:dyDescent="0.25">
      <c r="A1427">
        <v>2747</v>
      </c>
      <c r="B1427" t="s">
        <v>1419</v>
      </c>
      <c r="C1427" t="s">
        <v>304</v>
      </c>
      <c r="D1427" t="s">
        <v>305</v>
      </c>
      <c r="F1427" t="s">
        <v>306</v>
      </c>
      <c r="G1427" t="s">
        <v>96</v>
      </c>
      <c r="H1427" t="s">
        <v>5405</v>
      </c>
      <c r="I1427" s="4"/>
      <c r="J1427" t="s">
        <v>5406</v>
      </c>
      <c r="K1427" t="s">
        <v>423</v>
      </c>
      <c r="L1427" s="5"/>
      <c r="M1427" s="5" t="s">
        <v>4028</v>
      </c>
      <c r="N1427" t="s">
        <v>1824</v>
      </c>
      <c r="O1427" t="s">
        <v>5407</v>
      </c>
      <c r="S1427" t="s">
        <v>230</v>
      </c>
      <c r="T1427" s="5" t="s">
        <v>38</v>
      </c>
      <c r="Y1427" t="str">
        <f>VLOOKUP(C1427,'[1]DBS_KPY Sorumlular'!A:C,2,FALSE)</f>
        <v>Erkan AKDOĞAN</v>
      </c>
      <c r="Z1427" t="str">
        <f>VLOOKUP(C1427,'[1]DBS_KPY Sorumlular'!A:C,3,FALSE)</f>
        <v>Kadir TOPÇU</v>
      </c>
      <c r="AA1427" t="str">
        <f>VLOOKUP(K1427,[1]!Tablo3[#Data],2,FALSE)</f>
        <v>Kadir TOPÇU</v>
      </c>
    </row>
    <row r="1428" spans="1:27" x14ac:dyDescent="0.25">
      <c r="A1428">
        <v>2748</v>
      </c>
      <c r="B1428" t="s">
        <v>1419</v>
      </c>
      <c r="C1428" t="s">
        <v>1674</v>
      </c>
      <c r="D1428" t="s">
        <v>1717</v>
      </c>
      <c r="F1428" t="s">
        <v>42</v>
      </c>
      <c r="G1428" t="s">
        <v>43</v>
      </c>
      <c r="H1428" t="s">
        <v>5408</v>
      </c>
      <c r="I1428" s="4"/>
      <c r="J1428" t="s">
        <v>5409</v>
      </c>
      <c r="K1428" t="s">
        <v>423</v>
      </c>
      <c r="L1428" s="5"/>
      <c r="M1428" s="5" t="s">
        <v>35</v>
      </c>
      <c r="N1428" t="s">
        <v>35</v>
      </c>
      <c r="O1428" t="s">
        <v>5410</v>
      </c>
      <c r="S1428" t="s">
        <v>230</v>
      </c>
      <c r="T1428" s="5" t="s">
        <v>48</v>
      </c>
      <c r="U1428" t="s">
        <v>5411</v>
      </c>
      <c r="V1428" t="s">
        <v>5412</v>
      </c>
      <c r="W1428">
        <v>68</v>
      </c>
      <c r="X1428" t="s">
        <v>51</v>
      </c>
      <c r="Y1428" t="str">
        <f>VLOOKUP(C1428,'[1]DBS_KPY Sorumlular'!A:C,2,FALSE)</f>
        <v>Kadir TOPÇU</v>
      </c>
      <c r="Z1428" t="str">
        <f>VLOOKUP(C1428,'[1]DBS_KPY Sorumlular'!A:C,3,FALSE)</f>
        <v>Erkan AKDOĞAN</v>
      </c>
      <c r="AA1428" t="str">
        <f>VLOOKUP(K1428,[1]!Tablo3[#Data],2,FALSE)</f>
        <v>Kadir TOPÇU</v>
      </c>
    </row>
    <row r="1429" spans="1:27" x14ac:dyDescent="0.25">
      <c r="A1429">
        <v>2749</v>
      </c>
      <c r="B1429" t="s">
        <v>1419</v>
      </c>
      <c r="C1429" t="s">
        <v>1674</v>
      </c>
      <c r="D1429" t="s">
        <v>1717</v>
      </c>
      <c r="F1429" t="s">
        <v>113</v>
      </c>
      <c r="G1429" t="s">
        <v>43</v>
      </c>
      <c r="H1429" t="s">
        <v>5413</v>
      </c>
      <c r="I1429" s="4"/>
      <c r="J1429" t="s">
        <v>3638</v>
      </c>
      <c r="K1429" t="s">
        <v>423</v>
      </c>
      <c r="L1429" s="5"/>
      <c r="M1429" s="5" t="s">
        <v>35</v>
      </c>
      <c r="N1429" t="s">
        <v>1824</v>
      </c>
      <c r="O1429" t="s">
        <v>5414</v>
      </c>
      <c r="S1429" t="s">
        <v>230</v>
      </c>
      <c r="T1429" s="5" t="s">
        <v>100</v>
      </c>
      <c r="W1429">
        <v>169</v>
      </c>
      <c r="X1429" t="s">
        <v>1480</v>
      </c>
      <c r="Y1429" t="str">
        <f>VLOOKUP(C1429,'[1]DBS_KPY Sorumlular'!A:C,2,FALSE)</f>
        <v>Kadir TOPÇU</v>
      </c>
      <c r="Z1429" t="str">
        <f>VLOOKUP(C1429,'[1]DBS_KPY Sorumlular'!A:C,3,FALSE)</f>
        <v>Erkan AKDOĞAN</v>
      </c>
      <c r="AA1429" t="str">
        <f>VLOOKUP(K1429,[1]!Tablo3[#Data],2,FALSE)</f>
        <v>Kadir TOPÇU</v>
      </c>
    </row>
    <row r="1430" spans="1:27" x14ac:dyDescent="0.25">
      <c r="A1430">
        <v>2750</v>
      </c>
      <c r="B1430" t="s">
        <v>1419</v>
      </c>
      <c r="C1430" t="s">
        <v>1674</v>
      </c>
      <c r="D1430" t="s">
        <v>1717</v>
      </c>
      <c r="F1430" t="s">
        <v>184</v>
      </c>
      <c r="G1430" t="s">
        <v>43</v>
      </c>
      <c r="H1430" t="s">
        <v>5415</v>
      </c>
      <c r="I1430" s="4"/>
      <c r="K1430" t="s">
        <v>423</v>
      </c>
      <c r="L1430" s="5"/>
      <c r="M1430" s="5" t="s">
        <v>5416</v>
      </c>
      <c r="N1430" t="s">
        <v>35</v>
      </c>
      <c r="O1430" t="s">
        <v>5417</v>
      </c>
      <c r="S1430" t="s">
        <v>230</v>
      </c>
      <c r="T1430" s="5" t="s">
        <v>48</v>
      </c>
      <c r="U1430" t="s">
        <v>5418</v>
      </c>
      <c r="V1430" t="s">
        <v>5419</v>
      </c>
      <c r="W1430">
        <v>162</v>
      </c>
      <c r="X1430" t="s">
        <v>918</v>
      </c>
      <c r="Y1430" t="str">
        <f>VLOOKUP(C1430,'[1]DBS_KPY Sorumlular'!A:C,2,FALSE)</f>
        <v>Kadir TOPÇU</v>
      </c>
      <c r="Z1430" t="str">
        <f>VLOOKUP(C1430,'[1]DBS_KPY Sorumlular'!A:C,3,FALSE)</f>
        <v>Erkan AKDOĞAN</v>
      </c>
      <c r="AA1430" t="str">
        <f>VLOOKUP(K1430,[1]!Tablo3[#Data],2,FALSE)</f>
        <v>Kadir TOPÇU</v>
      </c>
    </row>
    <row r="1431" spans="1:27" x14ac:dyDescent="0.25">
      <c r="A1431">
        <v>2752</v>
      </c>
      <c r="B1431" t="s">
        <v>1419</v>
      </c>
      <c r="C1431" t="s">
        <v>1674</v>
      </c>
      <c r="D1431" t="s">
        <v>1717</v>
      </c>
      <c r="F1431" t="s">
        <v>4501</v>
      </c>
      <c r="G1431" t="s">
        <v>43</v>
      </c>
      <c r="H1431" t="s">
        <v>5420</v>
      </c>
      <c r="I1431" s="4"/>
      <c r="J1431" t="s">
        <v>3638</v>
      </c>
      <c r="K1431" t="s">
        <v>423</v>
      </c>
      <c r="L1431" s="5"/>
      <c r="M1431" s="5" t="s">
        <v>4028</v>
      </c>
      <c r="N1431" t="s">
        <v>1824</v>
      </c>
      <c r="O1431" t="s">
        <v>5421</v>
      </c>
      <c r="S1431" t="s">
        <v>230</v>
      </c>
      <c r="T1431" s="5" t="s">
        <v>100</v>
      </c>
      <c r="W1431">
        <v>71</v>
      </c>
      <c r="X1431" t="s">
        <v>1299</v>
      </c>
      <c r="Y1431" t="str">
        <f>VLOOKUP(C1431,'[1]DBS_KPY Sorumlular'!A:C,2,FALSE)</f>
        <v>Kadir TOPÇU</v>
      </c>
      <c r="Z1431" t="str">
        <f>VLOOKUP(C1431,'[1]DBS_KPY Sorumlular'!A:C,3,FALSE)</f>
        <v>Erkan AKDOĞAN</v>
      </c>
      <c r="AA1431" t="str">
        <f>VLOOKUP(K1431,[1]!Tablo3[#Data],2,FALSE)</f>
        <v>Kadir TOPÇU</v>
      </c>
    </row>
    <row r="1432" spans="1:27" x14ac:dyDescent="0.25">
      <c r="A1432">
        <v>2753</v>
      </c>
      <c r="B1432" t="s">
        <v>1419</v>
      </c>
      <c r="C1432" t="s">
        <v>1674</v>
      </c>
      <c r="D1432" t="s">
        <v>1717</v>
      </c>
      <c r="F1432" t="s">
        <v>102</v>
      </c>
      <c r="G1432" t="s">
        <v>43</v>
      </c>
      <c r="H1432" t="s">
        <v>5422</v>
      </c>
      <c r="I1432" s="4"/>
      <c r="J1432" t="s">
        <v>5423</v>
      </c>
      <c r="K1432" t="s">
        <v>423</v>
      </c>
      <c r="L1432" s="5"/>
      <c r="M1432" s="5" t="s">
        <v>4028</v>
      </c>
      <c r="N1432" t="s">
        <v>1824</v>
      </c>
      <c r="O1432" t="s">
        <v>5424</v>
      </c>
      <c r="S1432" t="s">
        <v>230</v>
      </c>
      <c r="T1432" s="5" t="s">
        <v>100</v>
      </c>
      <c r="W1432">
        <v>108</v>
      </c>
      <c r="X1432" t="s">
        <v>107</v>
      </c>
      <c r="Y1432" t="str">
        <f>VLOOKUP(C1432,'[1]DBS_KPY Sorumlular'!A:C,2,FALSE)</f>
        <v>Kadir TOPÇU</v>
      </c>
      <c r="Z1432" t="str">
        <f>VLOOKUP(C1432,'[1]DBS_KPY Sorumlular'!A:C,3,FALSE)</f>
        <v>Erkan AKDOĞAN</v>
      </c>
      <c r="AA1432" t="str">
        <f>VLOOKUP(K1432,[1]!Tablo3[#Data],2,FALSE)</f>
        <v>Kadir TOPÇU</v>
      </c>
    </row>
    <row r="1433" spans="1:27" x14ac:dyDescent="0.25">
      <c r="A1433">
        <v>2754</v>
      </c>
      <c r="B1433" t="s">
        <v>1419</v>
      </c>
      <c r="C1433" t="s">
        <v>1674</v>
      </c>
      <c r="D1433" t="s">
        <v>1717</v>
      </c>
      <c r="F1433" t="s">
        <v>102</v>
      </c>
      <c r="G1433" t="s">
        <v>43</v>
      </c>
      <c r="H1433" t="s">
        <v>5425</v>
      </c>
      <c r="I1433" s="4"/>
      <c r="J1433" t="s">
        <v>5426</v>
      </c>
      <c r="K1433" t="s">
        <v>423</v>
      </c>
      <c r="L1433" s="5"/>
      <c r="M1433" s="5" t="s">
        <v>4028</v>
      </c>
      <c r="N1433" t="s">
        <v>1824</v>
      </c>
      <c r="O1433" t="s">
        <v>5421</v>
      </c>
      <c r="S1433" t="s">
        <v>230</v>
      </c>
      <c r="T1433" s="5" t="s">
        <v>100</v>
      </c>
      <c r="W1433">
        <v>108</v>
      </c>
      <c r="X1433" t="s">
        <v>107</v>
      </c>
      <c r="Y1433" t="str">
        <f>VLOOKUP(C1433,'[1]DBS_KPY Sorumlular'!A:C,2,FALSE)</f>
        <v>Kadir TOPÇU</v>
      </c>
      <c r="Z1433" t="str">
        <f>VLOOKUP(C1433,'[1]DBS_KPY Sorumlular'!A:C,3,FALSE)</f>
        <v>Erkan AKDOĞAN</v>
      </c>
      <c r="AA1433" t="str">
        <f>VLOOKUP(K1433,[1]!Tablo3[#Data],2,FALSE)</f>
        <v>Kadir TOPÇU</v>
      </c>
    </row>
    <row r="1434" spans="1:27" x14ac:dyDescent="0.25">
      <c r="A1434">
        <v>2755</v>
      </c>
      <c r="B1434" t="s">
        <v>1419</v>
      </c>
      <c r="C1434" t="s">
        <v>1674</v>
      </c>
      <c r="D1434" t="s">
        <v>1717</v>
      </c>
      <c r="F1434" t="s">
        <v>102</v>
      </c>
      <c r="G1434" t="s">
        <v>43</v>
      </c>
      <c r="H1434" t="s">
        <v>5427</v>
      </c>
      <c r="I1434" s="4"/>
      <c r="J1434" t="s">
        <v>5428</v>
      </c>
      <c r="K1434" t="s">
        <v>423</v>
      </c>
      <c r="L1434" s="5"/>
      <c r="M1434" s="5" t="s">
        <v>4028</v>
      </c>
      <c r="N1434" t="s">
        <v>1824</v>
      </c>
      <c r="O1434" t="s">
        <v>5429</v>
      </c>
      <c r="S1434" t="s">
        <v>230</v>
      </c>
      <c r="T1434" s="5" t="s">
        <v>100</v>
      </c>
      <c r="W1434">
        <v>108</v>
      </c>
      <c r="X1434" t="s">
        <v>107</v>
      </c>
      <c r="Y1434" t="str">
        <f>VLOOKUP(C1434,'[1]DBS_KPY Sorumlular'!A:C,2,FALSE)</f>
        <v>Kadir TOPÇU</v>
      </c>
      <c r="Z1434" t="str">
        <f>VLOOKUP(C1434,'[1]DBS_KPY Sorumlular'!A:C,3,FALSE)</f>
        <v>Erkan AKDOĞAN</v>
      </c>
      <c r="AA1434" t="str">
        <f>VLOOKUP(K1434,[1]!Tablo3[#Data],2,FALSE)</f>
        <v>Kadir TOPÇU</v>
      </c>
    </row>
    <row r="1435" spans="1:27" x14ac:dyDescent="0.25">
      <c r="A1435">
        <v>2756</v>
      </c>
      <c r="B1435" t="s">
        <v>1419</v>
      </c>
      <c r="C1435" t="s">
        <v>652</v>
      </c>
      <c r="D1435" t="s">
        <v>653</v>
      </c>
      <c r="F1435" t="s">
        <v>66</v>
      </c>
      <c r="G1435" t="s">
        <v>456</v>
      </c>
      <c r="H1435" t="s">
        <v>5430</v>
      </c>
      <c r="I1435" s="4"/>
      <c r="K1435" t="s">
        <v>423</v>
      </c>
      <c r="L1435" s="5"/>
      <c r="M1435" s="5" t="s">
        <v>35</v>
      </c>
      <c r="N1435" t="s">
        <v>1824</v>
      </c>
      <c r="O1435" t="s">
        <v>5421</v>
      </c>
      <c r="S1435" t="s">
        <v>230</v>
      </c>
      <c r="T1435" s="5" t="s">
        <v>48</v>
      </c>
      <c r="U1435" t="s">
        <v>5431</v>
      </c>
      <c r="V1435" t="s">
        <v>5432</v>
      </c>
      <c r="W1435">
        <v>144</v>
      </c>
      <c r="X1435" t="s">
        <v>463</v>
      </c>
      <c r="Y1435" t="str">
        <f>VLOOKUP(C1435,'[1]DBS_KPY Sorumlular'!A:C,2,FALSE)</f>
        <v>Seyithan İŞİK</v>
      </c>
      <c r="Z1435" t="str">
        <f>VLOOKUP(C1435,'[1]DBS_KPY Sorumlular'!A:C,3,FALSE)</f>
        <v>Korhan KÖROĞLU</v>
      </c>
      <c r="AA1435" t="str">
        <f>VLOOKUP(K1435,[1]!Tablo3[#Data],2,FALSE)</f>
        <v>Kadir TOPÇU</v>
      </c>
    </row>
    <row r="1436" spans="1:27" x14ac:dyDescent="0.25">
      <c r="A1436">
        <v>2757</v>
      </c>
      <c r="B1436" t="s">
        <v>1419</v>
      </c>
      <c r="C1436" t="s">
        <v>1723</v>
      </c>
      <c r="D1436" t="s">
        <v>1751</v>
      </c>
      <c r="F1436" t="s">
        <v>95</v>
      </c>
      <c r="G1436" t="s">
        <v>96</v>
      </c>
      <c r="H1436" t="s">
        <v>5433</v>
      </c>
      <c r="I1436" s="4"/>
      <c r="J1436" t="s">
        <v>5434</v>
      </c>
      <c r="K1436" t="s">
        <v>423</v>
      </c>
      <c r="L1436" s="5" t="s">
        <v>5435</v>
      </c>
      <c r="M1436" s="5" t="s">
        <v>4028</v>
      </c>
      <c r="N1436" t="s">
        <v>1824</v>
      </c>
      <c r="O1436" t="s">
        <v>5421</v>
      </c>
      <c r="S1436" t="s">
        <v>230</v>
      </c>
      <c r="T1436" s="5" t="s">
        <v>38</v>
      </c>
      <c r="Y1436" t="str">
        <f>VLOOKUP(C1436,'[1]DBS_KPY Sorumlular'!A:C,2,FALSE)</f>
        <v>Erkan AKDOĞAN</v>
      </c>
      <c r="Z1436" t="str">
        <f>VLOOKUP(C1436,'[1]DBS_KPY Sorumlular'!A:C,3,FALSE)</f>
        <v>Kadir TOPÇU</v>
      </c>
      <c r="AA1436" t="str">
        <f>VLOOKUP(K1436,[1]!Tablo3[#Data],2,FALSE)</f>
        <v>Kadir TOPÇU</v>
      </c>
    </row>
    <row r="1437" spans="1:27" x14ac:dyDescent="0.25">
      <c r="A1437">
        <v>2758</v>
      </c>
      <c r="B1437" t="s">
        <v>1419</v>
      </c>
      <c r="C1437" t="s">
        <v>1674</v>
      </c>
      <c r="D1437" t="s">
        <v>1717</v>
      </c>
      <c r="F1437" t="s">
        <v>391</v>
      </c>
      <c r="G1437" t="s">
        <v>43</v>
      </c>
      <c r="H1437" t="s">
        <v>5436</v>
      </c>
      <c r="I1437" s="4"/>
      <c r="J1437" t="s">
        <v>5437</v>
      </c>
      <c r="K1437" t="s">
        <v>423</v>
      </c>
      <c r="L1437" s="5"/>
      <c r="M1437" s="5" t="s">
        <v>4028</v>
      </c>
      <c r="N1437" t="s">
        <v>35</v>
      </c>
      <c r="O1437" t="s">
        <v>5438</v>
      </c>
      <c r="S1437" t="s">
        <v>230</v>
      </c>
      <c r="T1437" s="5" t="s">
        <v>48</v>
      </c>
      <c r="U1437" t="s">
        <v>5418</v>
      </c>
      <c r="V1437" t="s">
        <v>5419</v>
      </c>
      <c r="W1437">
        <v>162</v>
      </c>
      <c r="X1437" t="s">
        <v>918</v>
      </c>
      <c r="Y1437" t="str">
        <f>VLOOKUP(C1437,'[1]DBS_KPY Sorumlular'!A:C,2,FALSE)</f>
        <v>Kadir TOPÇU</v>
      </c>
      <c r="Z1437" t="str">
        <f>VLOOKUP(C1437,'[1]DBS_KPY Sorumlular'!A:C,3,FALSE)</f>
        <v>Erkan AKDOĞAN</v>
      </c>
      <c r="AA1437" t="str">
        <f>VLOOKUP(K1437,[1]!Tablo3[#Data],2,FALSE)</f>
        <v>Kadir TOPÇU</v>
      </c>
    </row>
    <row r="1438" spans="1:27" x14ac:dyDescent="0.25">
      <c r="A1438">
        <v>2759</v>
      </c>
      <c r="B1438" t="s">
        <v>1419</v>
      </c>
      <c r="C1438" t="s">
        <v>652</v>
      </c>
      <c r="D1438" t="s">
        <v>653</v>
      </c>
      <c r="F1438" t="s">
        <v>455</v>
      </c>
      <c r="G1438" t="s">
        <v>456</v>
      </c>
      <c r="H1438" t="s">
        <v>2123</v>
      </c>
      <c r="I1438" s="4"/>
      <c r="J1438" t="s">
        <v>5439</v>
      </c>
      <c r="K1438" t="s">
        <v>423</v>
      </c>
      <c r="L1438" s="5"/>
      <c r="M1438" s="5" t="s">
        <v>4028</v>
      </c>
      <c r="N1438" t="s">
        <v>1824</v>
      </c>
      <c r="O1438" t="s">
        <v>5440</v>
      </c>
      <c r="S1438" t="s">
        <v>230</v>
      </c>
      <c r="T1438" s="5" t="s">
        <v>100</v>
      </c>
      <c r="W1438">
        <v>144</v>
      </c>
      <c r="X1438" t="s">
        <v>463</v>
      </c>
      <c r="Y1438" t="str">
        <f>VLOOKUP(C1438,'[1]DBS_KPY Sorumlular'!A:C,2,FALSE)</f>
        <v>Seyithan İŞİK</v>
      </c>
      <c r="Z1438" t="str">
        <f>VLOOKUP(C1438,'[1]DBS_KPY Sorumlular'!A:C,3,FALSE)</f>
        <v>Korhan KÖROĞLU</v>
      </c>
      <c r="AA1438" t="str">
        <f>VLOOKUP(K1438,[1]!Tablo3[#Data],2,FALSE)</f>
        <v>Kadir TOPÇU</v>
      </c>
    </row>
    <row r="1439" spans="1:27" x14ac:dyDescent="0.25">
      <c r="A1439">
        <v>2760</v>
      </c>
      <c r="B1439" t="s">
        <v>27</v>
      </c>
      <c r="C1439" t="s">
        <v>40</v>
      </c>
      <c r="D1439" t="s">
        <v>41</v>
      </c>
      <c r="F1439" t="s">
        <v>102</v>
      </c>
      <c r="G1439" t="s">
        <v>43</v>
      </c>
      <c r="H1439" t="s">
        <v>5441</v>
      </c>
      <c r="I1439" s="4">
        <v>45805.875</v>
      </c>
      <c r="K1439" t="s">
        <v>423</v>
      </c>
      <c r="L1439" s="5"/>
      <c r="M1439" s="5"/>
      <c r="N1439" t="s">
        <v>82</v>
      </c>
      <c r="O1439" t="s">
        <v>5442</v>
      </c>
      <c r="R1439">
        <v>1</v>
      </c>
      <c r="S1439" t="s">
        <v>230</v>
      </c>
      <c r="T1439" s="5" t="s">
        <v>48</v>
      </c>
      <c r="U1439" t="s">
        <v>5443</v>
      </c>
      <c r="V1439" t="s">
        <v>5444</v>
      </c>
      <c r="W1439">
        <v>108</v>
      </c>
      <c r="X1439" t="s">
        <v>107</v>
      </c>
      <c r="Y1439" t="str">
        <f>VLOOKUP(C1439,'[1]DBS_KPY Sorumlular'!A:C,2,FALSE)</f>
        <v>Mustafa AYDIN</v>
      </c>
      <c r="Z1439" t="str">
        <f>VLOOKUP(C1439,'[1]DBS_KPY Sorumlular'!A:C,3,FALSE)</f>
        <v>Esra DOLAN</v>
      </c>
      <c r="AA1439" t="str">
        <f>VLOOKUP(K1439,[1]!Tablo3[#Data],2,FALSE)</f>
        <v>Kadir TOPÇU</v>
      </c>
    </row>
    <row r="1440" spans="1:27" x14ac:dyDescent="0.25">
      <c r="A1440">
        <v>2761</v>
      </c>
      <c r="B1440" t="s">
        <v>1419</v>
      </c>
      <c r="C1440" t="s">
        <v>402</v>
      </c>
      <c r="D1440" t="s">
        <v>403</v>
      </c>
      <c r="F1440" t="s">
        <v>383</v>
      </c>
      <c r="G1440" t="s">
        <v>384</v>
      </c>
      <c r="H1440" t="s">
        <v>5445</v>
      </c>
      <c r="I1440" s="4"/>
      <c r="J1440" t="s">
        <v>5446</v>
      </c>
      <c r="K1440" t="s">
        <v>423</v>
      </c>
      <c r="L1440" s="5" t="s">
        <v>5447</v>
      </c>
      <c r="M1440" s="5" t="s">
        <v>35</v>
      </c>
      <c r="N1440" t="s">
        <v>35</v>
      </c>
      <c r="O1440" t="s">
        <v>5448</v>
      </c>
      <c r="S1440" t="s">
        <v>230</v>
      </c>
      <c r="T1440" s="5" t="s">
        <v>48</v>
      </c>
      <c r="U1440" t="s">
        <v>5449</v>
      </c>
      <c r="V1440" t="s">
        <v>5450</v>
      </c>
      <c r="W1440">
        <v>51</v>
      </c>
      <c r="X1440" t="s">
        <v>809</v>
      </c>
      <c r="Y1440" t="str">
        <f>VLOOKUP(C1440,'[1]DBS_KPY Sorumlular'!A:C,2,FALSE)</f>
        <v>Tayfun VİÇE</v>
      </c>
      <c r="Z1440" t="str">
        <f>VLOOKUP(C1440,'[1]DBS_KPY Sorumlular'!A:C,3,FALSE)</f>
        <v>Mehmet Ali YAVUZ</v>
      </c>
      <c r="AA1440" t="str">
        <f>VLOOKUP(K1440,[1]!Tablo3[#Data],2,FALSE)</f>
        <v>Kadir TOPÇU</v>
      </c>
    </row>
    <row r="1441" spans="1:27" x14ac:dyDescent="0.25">
      <c r="A1441">
        <v>2762</v>
      </c>
      <c r="B1441" t="s">
        <v>1419</v>
      </c>
      <c r="C1441" t="s">
        <v>288</v>
      </c>
      <c r="D1441" t="s">
        <v>4091</v>
      </c>
      <c r="F1441" t="s">
        <v>439</v>
      </c>
      <c r="G1441" t="s">
        <v>67</v>
      </c>
      <c r="H1441" t="s">
        <v>5451</v>
      </c>
      <c r="I1441" s="4"/>
      <c r="J1441" t="s">
        <v>5452</v>
      </c>
      <c r="K1441" t="s">
        <v>1471</v>
      </c>
      <c r="L1441" s="5"/>
      <c r="M1441" s="5" t="s">
        <v>35</v>
      </c>
      <c r="N1441" t="s">
        <v>1824</v>
      </c>
      <c r="O1441" t="s">
        <v>5453</v>
      </c>
      <c r="S1441" t="s">
        <v>37</v>
      </c>
      <c r="T1441" s="5" t="s">
        <v>38</v>
      </c>
      <c r="W1441">
        <v>217</v>
      </c>
      <c r="X1441" t="s">
        <v>5454</v>
      </c>
      <c r="Y1441" t="str">
        <f>VLOOKUP(C1441,'[1]DBS_KPY Sorumlular'!A:C,2,FALSE)</f>
        <v>Sinan ERDAŞ</v>
      </c>
      <c r="Z1441" t="str">
        <f>VLOOKUP(C1441,'[1]DBS_KPY Sorumlular'!A:C,3,FALSE)</f>
        <v>Ayşegül AKGÜL</v>
      </c>
      <c r="AA1441" t="str">
        <f>VLOOKUP(K1441,[1]!Tablo3[#Data],2,FALSE)</f>
        <v>Tayfun VİÇE</v>
      </c>
    </row>
    <row r="1442" spans="1:27" x14ac:dyDescent="0.25">
      <c r="A1442">
        <v>2763</v>
      </c>
      <c r="B1442" t="s">
        <v>1419</v>
      </c>
      <c r="C1442" t="s">
        <v>288</v>
      </c>
      <c r="D1442" t="s">
        <v>5455</v>
      </c>
      <c r="F1442" t="s">
        <v>42</v>
      </c>
      <c r="G1442" t="s">
        <v>43</v>
      </c>
      <c r="H1442" t="s">
        <v>5456</v>
      </c>
      <c r="I1442" s="4"/>
      <c r="J1442" t="s">
        <v>5457</v>
      </c>
      <c r="K1442" t="s">
        <v>1471</v>
      </c>
      <c r="L1442" s="5"/>
      <c r="M1442" s="5" t="s">
        <v>35</v>
      </c>
      <c r="N1442" t="s">
        <v>1824</v>
      </c>
      <c r="O1442" t="s">
        <v>5458</v>
      </c>
      <c r="S1442" t="s">
        <v>37</v>
      </c>
      <c r="T1442" s="5" t="s">
        <v>38</v>
      </c>
      <c r="W1442">
        <v>74</v>
      </c>
      <c r="X1442" t="s">
        <v>234</v>
      </c>
      <c r="Y1442" t="str">
        <f>VLOOKUP(C1442,'[1]DBS_KPY Sorumlular'!A:C,2,FALSE)</f>
        <v>Sinan ERDAŞ</v>
      </c>
      <c r="Z1442" t="str">
        <f>VLOOKUP(C1442,'[1]DBS_KPY Sorumlular'!A:C,3,FALSE)</f>
        <v>Ayşegül AKGÜL</v>
      </c>
      <c r="AA1442" t="str">
        <f>VLOOKUP(K1442,[1]!Tablo3[#Data],2,FALSE)</f>
        <v>Tayfun VİÇE</v>
      </c>
    </row>
    <row r="1443" spans="1:27" x14ac:dyDescent="0.25">
      <c r="A1443">
        <v>2764</v>
      </c>
      <c r="B1443" t="s">
        <v>1419</v>
      </c>
      <c r="C1443" t="s">
        <v>1674</v>
      </c>
      <c r="D1443" t="s">
        <v>1675</v>
      </c>
      <c r="F1443" t="s">
        <v>455</v>
      </c>
      <c r="G1443" t="s">
        <v>96</v>
      </c>
      <c r="H1443" t="s">
        <v>5459</v>
      </c>
      <c r="I1443" s="4"/>
      <c r="J1443" t="s">
        <v>5460</v>
      </c>
      <c r="K1443" t="s">
        <v>1471</v>
      </c>
      <c r="L1443" s="5"/>
      <c r="M1443" s="5" t="s">
        <v>35</v>
      </c>
      <c r="N1443" t="s">
        <v>1824</v>
      </c>
      <c r="O1443" t="s">
        <v>5461</v>
      </c>
      <c r="S1443" t="s">
        <v>37</v>
      </c>
      <c r="T1443" s="5" t="s">
        <v>100</v>
      </c>
      <c r="W1443">
        <v>86</v>
      </c>
      <c r="X1443" t="s">
        <v>189</v>
      </c>
      <c r="Y1443" t="str">
        <f>VLOOKUP(C1443,'[1]DBS_KPY Sorumlular'!A:C,2,FALSE)</f>
        <v>Kadir TOPÇU</v>
      </c>
      <c r="Z1443" t="str">
        <f>VLOOKUP(C1443,'[1]DBS_KPY Sorumlular'!A:C,3,FALSE)</f>
        <v>Erkan AKDOĞAN</v>
      </c>
      <c r="AA1443" t="str">
        <f>VLOOKUP(K1443,[1]!Tablo3[#Data],2,FALSE)</f>
        <v>Tayfun VİÇE</v>
      </c>
    </row>
    <row r="1444" spans="1:27" x14ac:dyDescent="0.25">
      <c r="A1444">
        <v>2765</v>
      </c>
      <c r="B1444" t="s">
        <v>1419</v>
      </c>
      <c r="C1444" t="s">
        <v>652</v>
      </c>
      <c r="D1444" t="s">
        <v>653</v>
      </c>
      <c r="F1444" t="s">
        <v>455</v>
      </c>
      <c r="G1444" t="s">
        <v>456</v>
      </c>
      <c r="H1444" t="s">
        <v>5462</v>
      </c>
      <c r="I1444" s="4"/>
      <c r="J1444" t="s">
        <v>5463</v>
      </c>
      <c r="K1444" t="s">
        <v>1471</v>
      </c>
      <c r="L1444" s="5"/>
      <c r="M1444" s="5" t="s">
        <v>35</v>
      </c>
      <c r="N1444" t="s">
        <v>1824</v>
      </c>
      <c r="O1444" t="s">
        <v>5464</v>
      </c>
      <c r="S1444" t="s">
        <v>37</v>
      </c>
      <c r="T1444" s="5" t="s">
        <v>100</v>
      </c>
      <c r="W1444">
        <v>144</v>
      </c>
      <c r="X1444" t="s">
        <v>463</v>
      </c>
      <c r="Y1444" t="str">
        <f>VLOOKUP(C1444,'[1]DBS_KPY Sorumlular'!A:C,2,FALSE)</f>
        <v>Seyithan İŞİK</v>
      </c>
      <c r="Z1444" t="str">
        <f>VLOOKUP(C1444,'[1]DBS_KPY Sorumlular'!A:C,3,FALSE)</f>
        <v>Korhan KÖROĞLU</v>
      </c>
      <c r="AA1444" t="str">
        <f>VLOOKUP(K1444,[1]!Tablo3[#Data],2,FALSE)</f>
        <v>Tayfun VİÇE</v>
      </c>
    </row>
    <row r="1445" spans="1:27" x14ac:dyDescent="0.25">
      <c r="A1445">
        <v>2766</v>
      </c>
      <c r="B1445" t="s">
        <v>1419</v>
      </c>
      <c r="C1445" t="s">
        <v>1723</v>
      </c>
      <c r="D1445" t="s">
        <v>3285</v>
      </c>
      <c r="F1445" t="s">
        <v>95</v>
      </c>
      <c r="G1445" t="s">
        <v>43</v>
      </c>
      <c r="H1445" t="s">
        <v>5465</v>
      </c>
      <c r="I1445" s="4"/>
      <c r="J1445" t="s">
        <v>5466</v>
      </c>
      <c r="K1445" t="s">
        <v>1471</v>
      </c>
      <c r="L1445" s="5" t="s">
        <v>5467</v>
      </c>
      <c r="M1445" s="5" t="s">
        <v>35</v>
      </c>
      <c r="N1445" t="s">
        <v>1824</v>
      </c>
      <c r="O1445" t="s">
        <v>5468</v>
      </c>
      <c r="S1445" t="s">
        <v>37</v>
      </c>
      <c r="T1445" s="5" t="s">
        <v>38</v>
      </c>
      <c r="Y1445" t="str">
        <f>VLOOKUP(C1445,'[1]DBS_KPY Sorumlular'!A:C,2,FALSE)</f>
        <v>Erkan AKDOĞAN</v>
      </c>
      <c r="Z1445" t="str">
        <f>VLOOKUP(C1445,'[1]DBS_KPY Sorumlular'!A:C,3,FALSE)</f>
        <v>Kadir TOPÇU</v>
      </c>
      <c r="AA1445" t="str">
        <f>VLOOKUP(K1445,[1]!Tablo3[#Data],2,FALSE)</f>
        <v>Tayfun VİÇE</v>
      </c>
    </row>
    <row r="1446" spans="1:27" x14ac:dyDescent="0.25">
      <c r="A1446">
        <v>2767</v>
      </c>
      <c r="B1446" t="s">
        <v>1419</v>
      </c>
      <c r="C1446" t="s">
        <v>1674</v>
      </c>
      <c r="D1446" t="s">
        <v>1717</v>
      </c>
      <c r="F1446" t="s">
        <v>113</v>
      </c>
      <c r="G1446" t="s">
        <v>43</v>
      </c>
      <c r="H1446" t="s">
        <v>5469</v>
      </c>
      <c r="I1446" s="4"/>
      <c r="J1446" t="s">
        <v>5470</v>
      </c>
      <c r="K1446" t="s">
        <v>1471</v>
      </c>
      <c r="L1446" s="5"/>
      <c r="M1446" s="5" t="s">
        <v>35</v>
      </c>
      <c r="N1446" t="s">
        <v>1824</v>
      </c>
      <c r="O1446" t="s">
        <v>5471</v>
      </c>
      <c r="S1446" t="s">
        <v>37</v>
      </c>
      <c r="T1446" s="5" t="s">
        <v>100</v>
      </c>
      <c r="W1446">
        <v>87</v>
      </c>
      <c r="X1446" t="s">
        <v>119</v>
      </c>
      <c r="Y1446" t="str">
        <f>VLOOKUP(C1446,'[1]DBS_KPY Sorumlular'!A:C,2,FALSE)</f>
        <v>Kadir TOPÇU</v>
      </c>
      <c r="Z1446" t="str">
        <f>VLOOKUP(C1446,'[1]DBS_KPY Sorumlular'!A:C,3,FALSE)</f>
        <v>Erkan AKDOĞAN</v>
      </c>
      <c r="AA1446" t="str">
        <f>VLOOKUP(K1446,[1]!Tablo3[#Data],2,FALSE)</f>
        <v>Tayfun VİÇE</v>
      </c>
    </row>
    <row r="1447" spans="1:27" x14ac:dyDescent="0.25">
      <c r="A1447">
        <v>2768</v>
      </c>
      <c r="B1447" t="s">
        <v>1419</v>
      </c>
      <c r="C1447" t="s">
        <v>288</v>
      </c>
      <c r="D1447" t="s">
        <v>289</v>
      </c>
      <c r="E1447" t="s">
        <v>844</v>
      </c>
      <c r="F1447" t="s">
        <v>290</v>
      </c>
      <c r="G1447" t="s">
        <v>291</v>
      </c>
      <c r="H1447" t="s">
        <v>5472</v>
      </c>
      <c r="I1447" s="4"/>
      <c r="J1447" t="s">
        <v>5473</v>
      </c>
      <c r="K1447" t="s">
        <v>1471</v>
      </c>
      <c r="L1447" s="5"/>
      <c r="M1447" s="5" t="s">
        <v>4028</v>
      </c>
      <c r="N1447" t="s">
        <v>1824</v>
      </c>
      <c r="O1447" t="s">
        <v>5474</v>
      </c>
      <c r="S1447" t="s">
        <v>37</v>
      </c>
      <c r="T1447" s="5" t="s">
        <v>38</v>
      </c>
      <c r="W1447">
        <v>23</v>
      </c>
      <c r="X1447" t="s">
        <v>295</v>
      </c>
      <c r="Y1447" t="str">
        <f>VLOOKUP(C1447,'[1]DBS_KPY Sorumlular'!A:C,2,FALSE)</f>
        <v>Sinan ERDAŞ</v>
      </c>
      <c r="Z1447" t="str">
        <f>VLOOKUP(C1447,'[1]DBS_KPY Sorumlular'!A:C,3,FALSE)</f>
        <v>Ayşegül AKGÜL</v>
      </c>
      <c r="AA1447" t="str">
        <f>VLOOKUP(K1447,[1]!Tablo3[#Data],2,FALSE)</f>
        <v>Tayfun VİÇE</v>
      </c>
    </row>
    <row r="1448" spans="1:27" x14ac:dyDescent="0.25">
      <c r="A1448">
        <v>2769</v>
      </c>
      <c r="B1448" t="s">
        <v>1419</v>
      </c>
      <c r="C1448" t="s">
        <v>1674</v>
      </c>
      <c r="D1448" t="s">
        <v>1675</v>
      </c>
      <c r="F1448" t="s">
        <v>113</v>
      </c>
      <c r="G1448" t="s">
        <v>43</v>
      </c>
      <c r="H1448" t="s">
        <v>5475</v>
      </c>
      <c r="I1448" s="4"/>
      <c r="J1448" t="s">
        <v>5475</v>
      </c>
      <c r="K1448" t="s">
        <v>1471</v>
      </c>
      <c r="L1448" s="5" t="s">
        <v>5476</v>
      </c>
      <c r="M1448" s="5" t="s">
        <v>4028</v>
      </c>
      <c r="N1448" t="s">
        <v>739</v>
      </c>
      <c r="O1448" t="s">
        <v>5471</v>
      </c>
      <c r="S1448" t="s">
        <v>37</v>
      </c>
      <c r="T1448" s="5" t="s">
        <v>100</v>
      </c>
      <c r="W1448">
        <v>175</v>
      </c>
      <c r="X1448" t="s">
        <v>155</v>
      </c>
      <c r="Y1448" t="str">
        <f>VLOOKUP(C1448,'[1]DBS_KPY Sorumlular'!A:C,2,FALSE)</f>
        <v>Kadir TOPÇU</v>
      </c>
      <c r="Z1448" t="str">
        <f>VLOOKUP(C1448,'[1]DBS_KPY Sorumlular'!A:C,3,FALSE)</f>
        <v>Erkan AKDOĞAN</v>
      </c>
      <c r="AA1448" t="str">
        <f>VLOOKUP(K1448,[1]!Tablo3[#Data],2,FALSE)</f>
        <v>Tayfun VİÇE</v>
      </c>
    </row>
    <row r="1449" spans="1:27" x14ac:dyDescent="0.25">
      <c r="A1449">
        <v>2770</v>
      </c>
      <c r="B1449" t="s">
        <v>1419</v>
      </c>
      <c r="C1449" t="s">
        <v>40</v>
      </c>
      <c r="D1449" t="s">
        <v>65</v>
      </c>
      <c r="F1449" t="s">
        <v>66</v>
      </c>
      <c r="G1449" t="s">
        <v>43</v>
      </c>
      <c r="H1449" t="s">
        <v>5477</v>
      </c>
      <c r="I1449" s="4"/>
      <c r="J1449" t="s">
        <v>5478</v>
      </c>
      <c r="K1449" t="s">
        <v>1471</v>
      </c>
      <c r="L1449" s="5"/>
      <c r="M1449" s="5" t="s">
        <v>4028</v>
      </c>
      <c r="N1449" t="s">
        <v>1824</v>
      </c>
      <c r="O1449" t="s">
        <v>5479</v>
      </c>
      <c r="S1449" t="s">
        <v>37</v>
      </c>
      <c r="T1449" s="5" t="s">
        <v>100</v>
      </c>
      <c r="W1449">
        <v>104</v>
      </c>
      <c r="X1449" t="s">
        <v>703</v>
      </c>
      <c r="Y1449" t="str">
        <f>VLOOKUP(C1449,'[1]DBS_KPY Sorumlular'!A:C,2,FALSE)</f>
        <v>Mustafa AYDIN</v>
      </c>
      <c r="Z1449" t="str">
        <f>VLOOKUP(C1449,'[1]DBS_KPY Sorumlular'!A:C,3,FALSE)</f>
        <v>Esra DOLAN</v>
      </c>
      <c r="AA1449" t="str">
        <f>VLOOKUP(K1449,[1]!Tablo3[#Data],2,FALSE)</f>
        <v>Tayfun VİÇE</v>
      </c>
    </row>
    <row r="1450" spans="1:27" x14ac:dyDescent="0.25">
      <c r="A1450">
        <v>2771</v>
      </c>
      <c r="B1450" t="s">
        <v>1419</v>
      </c>
      <c r="C1450" t="s">
        <v>1723</v>
      </c>
      <c r="D1450" t="s">
        <v>1724</v>
      </c>
      <c r="F1450" t="s">
        <v>66</v>
      </c>
      <c r="G1450" t="s">
        <v>67</v>
      </c>
      <c r="H1450" t="s">
        <v>5480</v>
      </c>
      <c r="I1450" s="4"/>
      <c r="J1450" t="s">
        <v>5480</v>
      </c>
      <c r="K1450" t="s">
        <v>1471</v>
      </c>
      <c r="L1450" s="5"/>
      <c r="M1450" s="5" t="s">
        <v>4028</v>
      </c>
      <c r="N1450" t="s">
        <v>1824</v>
      </c>
      <c r="O1450" t="s">
        <v>5481</v>
      </c>
      <c r="S1450" t="s">
        <v>37</v>
      </c>
      <c r="T1450" s="5" t="s">
        <v>38</v>
      </c>
      <c r="Y1450" t="str">
        <f>VLOOKUP(C1450,'[1]DBS_KPY Sorumlular'!A:C,2,FALSE)</f>
        <v>Erkan AKDOĞAN</v>
      </c>
      <c r="Z1450" t="str">
        <f>VLOOKUP(C1450,'[1]DBS_KPY Sorumlular'!A:C,3,FALSE)</f>
        <v>Kadir TOPÇU</v>
      </c>
      <c r="AA1450" t="str">
        <f>VLOOKUP(K1450,[1]!Tablo3[#Data],2,FALSE)</f>
        <v>Tayfun VİÇE</v>
      </c>
    </row>
    <row r="1451" spans="1:27" x14ac:dyDescent="0.25">
      <c r="A1451">
        <v>2772</v>
      </c>
      <c r="B1451" t="s">
        <v>27</v>
      </c>
      <c r="C1451" t="s">
        <v>73</v>
      </c>
      <c r="D1451" t="s">
        <v>73</v>
      </c>
      <c r="F1451" t="s">
        <v>42</v>
      </c>
      <c r="G1451" t="s">
        <v>30</v>
      </c>
      <c r="H1451" t="s">
        <v>5482</v>
      </c>
      <c r="I1451" s="4">
        <v>45593.875</v>
      </c>
      <c r="J1451" t="s">
        <v>5483</v>
      </c>
      <c r="K1451" t="s">
        <v>143</v>
      </c>
      <c r="L1451" s="5" t="s">
        <v>5484</v>
      </c>
      <c r="M1451" s="5"/>
      <c r="N1451" t="s">
        <v>82</v>
      </c>
      <c r="O1451" t="s">
        <v>5485</v>
      </c>
      <c r="R1451">
        <v>1</v>
      </c>
      <c r="S1451" t="s">
        <v>37</v>
      </c>
      <c r="T1451" s="5" t="s">
        <v>38</v>
      </c>
      <c r="W1451">
        <v>74</v>
      </c>
      <c r="X1451" t="s">
        <v>234</v>
      </c>
      <c r="Y1451" t="str">
        <f>VLOOKUP(C1451,'[1]DBS_KPY Sorumlular'!A:C,2,FALSE)</f>
        <v>Ayşegül AKGÜL</v>
      </c>
      <c r="Z1451" t="str">
        <f>VLOOKUP(C1451,'[1]DBS_KPY Sorumlular'!A:C,3,FALSE)</f>
        <v>Sinan ERDAŞ</v>
      </c>
      <c r="AA1451" t="str">
        <f>VLOOKUP(K1451,[1]!Tablo3[#Data],2,FALSE)</f>
        <v>Tayfun VİÇE</v>
      </c>
    </row>
    <row r="1452" spans="1:27" x14ac:dyDescent="0.25">
      <c r="A1452">
        <v>2773</v>
      </c>
      <c r="B1452" t="s">
        <v>1419</v>
      </c>
      <c r="C1452" t="s">
        <v>1723</v>
      </c>
      <c r="D1452" t="s">
        <v>1751</v>
      </c>
      <c r="F1452" t="s">
        <v>66</v>
      </c>
      <c r="G1452" t="s">
        <v>67</v>
      </c>
      <c r="H1452" t="s">
        <v>5486</v>
      </c>
      <c r="I1452" s="4"/>
      <c r="J1452" t="s">
        <v>5487</v>
      </c>
      <c r="K1452" t="s">
        <v>143</v>
      </c>
      <c r="L1452" s="5" t="s">
        <v>5488</v>
      </c>
      <c r="M1452" s="5" t="s">
        <v>5489</v>
      </c>
      <c r="N1452" t="s">
        <v>1824</v>
      </c>
      <c r="O1452" t="s">
        <v>5490</v>
      </c>
      <c r="S1452" t="s">
        <v>37</v>
      </c>
      <c r="T1452" s="5" t="s">
        <v>38</v>
      </c>
      <c r="Y1452" t="str">
        <f>VLOOKUP(C1452,'[1]DBS_KPY Sorumlular'!A:C,2,FALSE)</f>
        <v>Erkan AKDOĞAN</v>
      </c>
      <c r="Z1452" t="str">
        <f>VLOOKUP(C1452,'[1]DBS_KPY Sorumlular'!A:C,3,FALSE)</f>
        <v>Kadir TOPÇU</v>
      </c>
      <c r="AA1452" t="str">
        <f>VLOOKUP(K1452,[1]!Tablo3[#Data],2,FALSE)</f>
        <v>Tayfun VİÇE</v>
      </c>
    </row>
    <row r="1453" spans="1:27" x14ac:dyDescent="0.25">
      <c r="A1453">
        <v>2774</v>
      </c>
      <c r="B1453" t="s">
        <v>1419</v>
      </c>
      <c r="C1453" t="s">
        <v>652</v>
      </c>
      <c r="D1453" t="s">
        <v>653</v>
      </c>
      <c r="F1453" t="s">
        <v>455</v>
      </c>
      <c r="G1453" t="s">
        <v>456</v>
      </c>
      <c r="H1453" t="s">
        <v>5491</v>
      </c>
      <c r="I1453" s="4"/>
      <c r="J1453" t="s">
        <v>5492</v>
      </c>
      <c r="K1453" t="s">
        <v>143</v>
      </c>
      <c r="L1453" s="5"/>
      <c r="M1453" s="5" t="s">
        <v>35</v>
      </c>
      <c r="N1453" t="s">
        <v>1824</v>
      </c>
      <c r="O1453" t="s">
        <v>5493</v>
      </c>
      <c r="S1453" t="s">
        <v>37</v>
      </c>
      <c r="T1453" s="5" t="s">
        <v>100</v>
      </c>
      <c r="W1453">
        <v>144</v>
      </c>
      <c r="X1453" t="s">
        <v>463</v>
      </c>
      <c r="Y1453" t="str">
        <f>VLOOKUP(C1453,'[1]DBS_KPY Sorumlular'!A:C,2,FALSE)</f>
        <v>Seyithan İŞİK</v>
      </c>
      <c r="Z1453" t="str">
        <f>VLOOKUP(C1453,'[1]DBS_KPY Sorumlular'!A:C,3,FALSE)</f>
        <v>Korhan KÖROĞLU</v>
      </c>
      <c r="AA1453" t="str">
        <f>VLOOKUP(K1453,[1]!Tablo3[#Data],2,FALSE)</f>
        <v>Tayfun VİÇE</v>
      </c>
    </row>
    <row r="1454" spans="1:27" x14ac:dyDescent="0.25">
      <c r="A1454">
        <v>2775</v>
      </c>
      <c r="B1454" t="s">
        <v>1419</v>
      </c>
      <c r="C1454" t="s">
        <v>652</v>
      </c>
      <c r="D1454" t="s">
        <v>653</v>
      </c>
      <c r="F1454" t="s">
        <v>455</v>
      </c>
      <c r="G1454" t="s">
        <v>456</v>
      </c>
      <c r="H1454" t="s">
        <v>5494</v>
      </c>
      <c r="I1454" s="4"/>
      <c r="J1454" t="s">
        <v>5494</v>
      </c>
      <c r="K1454" t="s">
        <v>143</v>
      </c>
      <c r="L1454" s="5"/>
      <c r="M1454" s="5" t="s">
        <v>35</v>
      </c>
      <c r="N1454" t="s">
        <v>1824</v>
      </c>
      <c r="O1454" t="s">
        <v>5495</v>
      </c>
      <c r="S1454" t="s">
        <v>37</v>
      </c>
      <c r="T1454" s="5" t="s">
        <v>100</v>
      </c>
      <c r="W1454">
        <v>144</v>
      </c>
      <c r="X1454" t="s">
        <v>463</v>
      </c>
      <c r="Y1454" t="str">
        <f>VLOOKUP(C1454,'[1]DBS_KPY Sorumlular'!A:C,2,FALSE)</f>
        <v>Seyithan İŞİK</v>
      </c>
      <c r="Z1454" t="str">
        <f>VLOOKUP(C1454,'[1]DBS_KPY Sorumlular'!A:C,3,FALSE)</f>
        <v>Korhan KÖROĞLU</v>
      </c>
      <c r="AA1454" t="str">
        <f>VLOOKUP(K1454,[1]!Tablo3[#Data],2,FALSE)</f>
        <v>Tayfun VİÇE</v>
      </c>
    </row>
    <row r="1455" spans="1:27" x14ac:dyDescent="0.25">
      <c r="A1455">
        <v>2776</v>
      </c>
      <c r="B1455" t="s">
        <v>1419</v>
      </c>
      <c r="C1455" t="s">
        <v>1674</v>
      </c>
      <c r="D1455" t="s">
        <v>1675</v>
      </c>
      <c r="F1455" t="s">
        <v>306</v>
      </c>
      <c r="G1455" t="s">
        <v>96</v>
      </c>
      <c r="H1455" t="s">
        <v>5496</v>
      </c>
      <c r="I1455" s="4"/>
      <c r="K1455" t="s">
        <v>143</v>
      </c>
      <c r="L1455" s="5"/>
      <c r="M1455" s="5" t="s">
        <v>35</v>
      </c>
      <c r="N1455" t="s">
        <v>1824</v>
      </c>
      <c r="O1455" t="s">
        <v>5497</v>
      </c>
      <c r="S1455" t="s">
        <v>37</v>
      </c>
      <c r="T1455" s="5" t="s">
        <v>100</v>
      </c>
      <c r="W1455">
        <v>28</v>
      </c>
      <c r="X1455" t="s">
        <v>667</v>
      </c>
      <c r="Y1455" t="str">
        <f>VLOOKUP(C1455,'[1]DBS_KPY Sorumlular'!A:C,2,FALSE)</f>
        <v>Kadir TOPÇU</v>
      </c>
      <c r="Z1455" t="str">
        <f>VLOOKUP(C1455,'[1]DBS_KPY Sorumlular'!A:C,3,FALSE)</f>
        <v>Erkan AKDOĞAN</v>
      </c>
      <c r="AA1455" t="str">
        <f>VLOOKUP(K1455,[1]!Tablo3[#Data],2,FALSE)</f>
        <v>Tayfun VİÇE</v>
      </c>
    </row>
    <row r="1456" spans="1:27" x14ac:dyDescent="0.25">
      <c r="A1456">
        <v>2777</v>
      </c>
      <c r="B1456" t="s">
        <v>1419</v>
      </c>
      <c r="C1456" t="s">
        <v>1674</v>
      </c>
      <c r="D1456" t="s">
        <v>1675</v>
      </c>
      <c r="F1456" t="s">
        <v>532</v>
      </c>
      <c r="G1456" t="s">
        <v>67</v>
      </c>
      <c r="H1456" t="s">
        <v>5498</v>
      </c>
      <c r="I1456" s="4"/>
      <c r="J1456" t="s">
        <v>5499</v>
      </c>
      <c r="K1456" t="s">
        <v>143</v>
      </c>
      <c r="L1456" s="5"/>
      <c r="M1456" s="5" t="s">
        <v>35</v>
      </c>
      <c r="N1456" t="s">
        <v>1824</v>
      </c>
      <c r="O1456" t="s">
        <v>5500</v>
      </c>
      <c r="S1456" t="s">
        <v>37</v>
      </c>
      <c r="T1456" s="5" t="s">
        <v>100</v>
      </c>
      <c r="W1456">
        <v>71</v>
      </c>
      <c r="X1456" t="s">
        <v>1299</v>
      </c>
      <c r="Y1456" t="str">
        <f>VLOOKUP(C1456,'[1]DBS_KPY Sorumlular'!A:C,2,FALSE)</f>
        <v>Kadir TOPÇU</v>
      </c>
      <c r="Z1456" t="str">
        <f>VLOOKUP(C1456,'[1]DBS_KPY Sorumlular'!A:C,3,FALSE)</f>
        <v>Erkan AKDOĞAN</v>
      </c>
      <c r="AA1456" t="str">
        <f>VLOOKUP(K1456,[1]!Tablo3[#Data],2,FALSE)</f>
        <v>Tayfun VİÇE</v>
      </c>
    </row>
    <row r="1457" spans="1:27" x14ac:dyDescent="0.25">
      <c r="A1457">
        <v>2778</v>
      </c>
      <c r="B1457" t="s">
        <v>1419</v>
      </c>
      <c r="C1457" t="s">
        <v>1674</v>
      </c>
      <c r="D1457" t="s">
        <v>1675</v>
      </c>
      <c r="F1457" t="s">
        <v>66</v>
      </c>
      <c r="G1457" t="s">
        <v>96</v>
      </c>
      <c r="H1457" t="s">
        <v>5501</v>
      </c>
      <c r="I1457" s="4"/>
      <c r="J1457" t="s">
        <v>5502</v>
      </c>
      <c r="K1457" t="s">
        <v>143</v>
      </c>
      <c r="L1457" s="5"/>
      <c r="M1457" s="5" t="s">
        <v>35</v>
      </c>
      <c r="N1457" t="s">
        <v>1824</v>
      </c>
      <c r="O1457" t="s">
        <v>5503</v>
      </c>
      <c r="S1457" t="s">
        <v>37</v>
      </c>
      <c r="T1457" s="5" t="s">
        <v>100</v>
      </c>
      <c r="W1457">
        <v>206</v>
      </c>
      <c r="X1457" t="s">
        <v>311</v>
      </c>
      <c r="Y1457" t="str">
        <f>VLOOKUP(C1457,'[1]DBS_KPY Sorumlular'!A:C,2,FALSE)</f>
        <v>Kadir TOPÇU</v>
      </c>
      <c r="Z1457" t="str">
        <f>VLOOKUP(C1457,'[1]DBS_KPY Sorumlular'!A:C,3,FALSE)</f>
        <v>Erkan AKDOĞAN</v>
      </c>
      <c r="AA1457" t="str">
        <f>VLOOKUP(K1457,[1]!Tablo3[#Data],2,FALSE)</f>
        <v>Tayfun VİÇE</v>
      </c>
    </row>
    <row r="1458" spans="1:27" x14ac:dyDescent="0.25">
      <c r="A1458">
        <v>2779</v>
      </c>
      <c r="B1458" t="s">
        <v>1419</v>
      </c>
      <c r="C1458" t="s">
        <v>1674</v>
      </c>
      <c r="D1458" t="s">
        <v>1675</v>
      </c>
      <c r="F1458" t="s">
        <v>66</v>
      </c>
      <c r="G1458" t="s">
        <v>67</v>
      </c>
      <c r="H1458" t="s">
        <v>5504</v>
      </c>
      <c r="I1458" s="4"/>
      <c r="J1458" t="s">
        <v>5505</v>
      </c>
      <c r="K1458" t="s">
        <v>143</v>
      </c>
      <c r="L1458" s="5"/>
      <c r="M1458" s="5" t="s">
        <v>4028</v>
      </c>
      <c r="N1458" t="s">
        <v>1824</v>
      </c>
      <c r="O1458" t="s">
        <v>5506</v>
      </c>
      <c r="S1458" t="s">
        <v>37</v>
      </c>
      <c r="T1458" s="5" t="s">
        <v>100</v>
      </c>
      <c r="W1458">
        <v>28</v>
      </c>
      <c r="X1458" t="s">
        <v>667</v>
      </c>
      <c r="Y1458" t="str">
        <f>VLOOKUP(C1458,'[1]DBS_KPY Sorumlular'!A:C,2,FALSE)</f>
        <v>Kadir TOPÇU</v>
      </c>
      <c r="Z1458" t="str">
        <f>VLOOKUP(C1458,'[1]DBS_KPY Sorumlular'!A:C,3,FALSE)</f>
        <v>Erkan AKDOĞAN</v>
      </c>
      <c r="AA1458" t="str">
        <f>VLOOKUP(K1458,[1]!Tablo3[#Data],2,FALSE)</f>
        <v>Tayfun VİÇE</v>
      </c>
    </row>
    <row r="1459" spans="1:27" x14ac:dyDescent="0.25">
      <c r="A1459">
        <v>2780</v>
      </c>
      <c r="B1459" t="s">
        <v>1419</v>
      </c>
      <c r="C1459" t="s">
        <v>1723</v>
      </c>
      <c r="D1459" t="s">
        <v>2478</v>
      </c>
      <c r="F1459" t="s">
        <v>2141</v>
      </c>
      <c r="G1459" t="s">
        <v>67</v>
      </c>
      <c r="H1459" t="s">
        <v>5507</v>
      </c>
      <c r="I1459" s="4"/>
      <c r="J1459" t="s">
        <v>3810</v>
      </c>
      <c r="K1459" t="s">
        <v>1528</v>
      </c>
      <c r="L1459" s="5" t="s">
        <v>5508</v>
      </c>
      <c r="M1459" s="5" t="s">
        <v>35</v>
      </c>
      <c r="N1459" t="s">
        <v>1824</v>
      </c>
      <c r="O1459" t="s">
        <v>5509</v>
      </c>
      <c r="S1459" t="s">
        <v>37</v>
      </c>
      <c r="T1459" s="5" t="s">
        <v>38</v>
      </c>
      <c r="Y1459" t="str">
        <f>VLOOKUP(C1459,'[1]DBS_KPY Sorumlular'!A:C,2,FALSE)</f>
        <v>Erkan AKDOĞAN</v>
      </c>
      <c r="Z1459" t="str">
        <f>VLOOKUP(C1459,'[1]DBS_KPY Sorumlular'!A:C,3,FALSE)</f>
        <v>Kadir TOPÇU</v>
      </c>
      <c r="AA1459" t="str">
        <f>VLOOKUP(K1459,[1]!Tablo3[#Data],2,FALSE)</f>
        <v>Tayfun VİÇE</v>
      </c>
    </row>
    <row r="1460" spans="1:27" x14ac:dyDescent="0.25">
      <c r="A1460">
        <v>2781</v>
      </c>
      <c r="B1460" t="s">
        <v>1419</v>
      </c>
      <c r="C1460" t="s">
        <v>1723</v>
      </c>
      <c r="D1460" t="s">
        <v>1751</v>
      </c>
      <c r="F1460" t="s">
        <v>306</v>
      </c>
      <c r="G1460" t="s">
        <v>96</v>
      </c>
      <c r="H1460" t="s">
        <v>5510</v>
      </c>
      <c r="I1460" s="4"/>
      <c r="J1460" t="s">
        <v>5511</v>
      </c>
      <c r="K1460" t="s">
        <v>1528</v>
      </c>
      <c r="L1460" s="5" t="s">
        <v>5512</v>
      </c>
      <c r="M1460" s="5" t="s">
        <v>35</v>
      </c>
      <c r="N1460" t="s">
        <v>1824</v>
      </c>
      <c r="O1460" t="s">
        <v>5513</v>
      </c>
      <c r="S1460" t="s">
        <v>37</v>
      </c>
      <c r="T1460" s="5" t="s">
        <v>38</v>
      </c>
      <c r="Y1460" t="str">
        <f>VLOOKUP(C1460,'[1]DBS_KPY Sorumlular'!A:C,2,FALSE)</f>
        <v>Erkan AKDOĞAN</v>
      </c>
      <c r="Z1460" t="str">
        <f>VLOOKUP(C1460,'[1]DBS_KPY Sorumlular'!A:C,3,FALSE)</f>
        <v>Kadir TOPÇU</v>
      </c>
      <c r="AA1460" t="str">
        <f>VLOOKUP(K1460,[1]!Tablo3[#Data],2,FALSE)</f>
        <v>Tayfun VİÇE</v>
      </c>
    </row>
    <row r="1461" spans="1:27" x14ac:dyDescent="0.25">
      <c r="A1461">
        <v>2782</v>
      </c>
      <c r="B1461" t="s">
        <v>1419</v>
      </c>
      <c r="C1461" t="s">
        <v>1723</v>
      </c>
      <c r="D1461" t="s">
        <v>1751</v>
      </c>
      <c r="F1461" t="s">
        <v>306</v>
      </c>
      <c r="G1461" t="s">
        <v>96</v>
      </c>
      <c r="H1461" t="s">
        <v>5514</v>
      </c>
      <c r="I1461" s="4"/>
      <c r="J1461" t="s">
        <v>5511</v>
      </c>
      <c r="K1461" t="s">
        <v>1528</v>
      </c>
      <c r="L1461" s="5" t="s">
        <v>5515</v>
      </c>
      <c r="M1461" s="5" t="s">
        <v>35</v>
      </c>
      <c r="N1461" t="s">
        <v>1824</v>
      </c>
      <c r="O1461" t="s">
        <v>5516</v>
      </c>
      <c r="S1461" t="s">
        <v>37</v>
      </c>
      <c r="T1461" s="5" t="s">
        <v>38</v>
      </c>
      <c r="Y1461" t="str">
        <f>VLOOKUP(C1461,'[1]DBS_KPY Sorumlular'!A:C,2,FALSE)</f>
        <v>Erkan AKDOĞAN</v>
      </c>
      <c r="Z1461" t="str">
        <f>VLOOKUP(C1461,'[1]DBS_KPY Sorumlular'!A:C,3,FALSE)</f>
        <v>Kadir TOPÇU</v>
      </c>
      <c r="AA1461" t="str">
        <f>VLOOKUP(K1461,[1]!Tablo3[#Data],2,FALSE)</f>
        <v>Tayfun VİÇE</v>
      </c>
    </row>
    <row r="1462" spans="1:27" x14ac:dyDescent="0.25">
      <c r="A1462">
        <v>2783</v>
      </c>
      <c r="B1462" t="s">
        <v>1419</v>
      </c>
      <c r="C1462" t="s">
        <v>652</v>
      </c>
      <c r="D1462" t="s">
        <v>653</v>
      </c>
      <c r="F1462" t="s">
        <v>482</v>
      </c>
      <c r="G1462" t="s">
        <v>43</v>
      </c>
      <c r="H1462" t="s">
        <v>5517</v>
      </c>
      <c r="I1462" s="4"/>
      <c r="J1462" t="s">
        <v>5518</v>
      </c>
      <c r="K1462" t="s">
        <v>1528</v>
      </c>
      <c r="L1462" s="5"/>
      <c r="M1462" s="5" t="s">
        <v>35</v>
      </c>
      <c r="N1462" t="s">
        <v>1824</v>
      </c>
      <c r="O1462" t="s">
        <v>5519</v>
      </c>
      <c r="S1462" t="s">
        <v>37</v>
      </c>
      <c r="T1462" s="5" t="s">
        <v>48</v>
      </c>
      <c r="U1462" t="s">
        <v>5520</v>
      </c>
      <c r="V1462" t="s">
        <v>5517</v>
      </c>
      <c r="W1462">
        <v>101</v>
      </c>
      <c r="X1462" t="s">
        <v>5521</v>
      </c>
      <c r="Y1462" t="str">
        <f>VLOOKUP(C1462,'[1]DBS_KPY Sorumlular'!A:C,2,FALSE)</f>
        <v>Seyithan İŞİK</v>
      </c>
      <c r="Z1462" t="str">
        <f>VLOOKUP(C1462,'[1]DBS_KPY Sorumlular'!A:C,3,FALSE)</f>
        <v>Korhan KÖROĞLU</v>
      </c>
      <c r="AA1462" t="str">
        <f>VLOOKUP(K1462,[1]!Tablo3[#Data],2,FALSE)</f>
        <v>Tayfun VİÇE</v>
      </c>
    </row>
    <row r="1463" spans="1:27" x14ac:dyDescent="0.25">
      <c r="A1463">
        <v>2784</v>
      </c>
      <c r="B1463" t="s">
        <v>27</v>
      </c>
      <c r="C1463" t="s">
        <v>40</v>
      </c>
      <c r="D1463" t="s">
        <v>65</v>
      </c>
      <c r="F1463" t="s">
        <v>66</v>
      </c>
      <c r="G1463" t="s">
        <v>67</v>
      </c>
      <c r="H1463" t="s">
        <v>5522</v>
      </c>
      <c r="I1463" s="4">
        <v>45547.875</v>
      </c>
      <c r="K1463" t="s">
        <v>1528</v>
      </c>
      <c r="L1463" s="5"/>
      <c r="M1463" s="5" t="s">
        <v>35</v>
      </c>
      <c r="N1463" t="s">
        <v>82</v>
      </c>
      <c r="O1463" t="s">
        <v>5523</v>
      </c>
      <c r="R1463">
        <v>1</v>
      </c>
      <c r="S1463" t="s">
        <v>37</v>
      </c>
      <c r="T1463" s="5" t="s">
        <v>100</v>
      </c>
      <c r="W1463">
        <v>103</v>
      </c>
      <c r="X1463" t="s">
        <v>353</v>
      </c>
      <c r="Y1463" t="str">
        <f>VLOOKUP(C1463,'[1]DBS_KPY Sorumlular'!A:C,2,FALSE)</f>
        <v>Mustafa AYDIN</v>
      </c>
      <c r="Z1463" t="str">
        <f>VLOOKUP(C1463,'[1]DBS_KPY Sorumlular'!A:C,3,FALSE)</f>
        <v>Esra DOLAN</v>
      </c>
      <c r="AA1463" t="str">
        <f>VLOOKUP(K1463,[1]!Tablo3[#Data],2,FALSE)</f>
        <v>Tayfun VİÇE</v>
      </c>
    </row>
    <row r="1464" spans="1:27" x14ac:dyDescent="0.25">
      <c r="A1464">
        <v>2785</v>
      </c>
      <c r="B1464" t="s">
        <v>1419</v>
      </c>
      <c r="C1464" t="s">
        <v>1674</v>
      </c>
      <c r="D1464" t="s">
        <v>1717</v>
      </c>
      <c r="F1464" t="s">
        <v>882</v>
      </c>
      <c r="G1464" t="s">
        <v>43</v>
      </c>
      <c r="H1464" t="s">
        <v>5524</v>
      </c>
      <c r="I1464" s="4"/>
      <c r="J1464" t="s">
        <v>5525</v>
      </c>
      <c r="K1464" t="s">
        <v>1528</v>
      </c>
      <c r="L1464" s="5"/>
      <c r="M1464" s="5" t="s">
        <v>35</v>
      </c>
      <c r="N1464" t="s">
        <v>35</v>
      </c>
      <c r="O1464" t="s">
        <v>5526</v>
      </c>
      <c r="S1464" t="s">
        <v>37</v>
      </c>
      <c r="T1464" s="5" t="s">
        <v>48</v>
      </c>
      <c r="U1464" t="s">
        <v>5527</v>
      </c>
      <c r="V1464" t="s">
        <v>5528</v>
      </c>
      <c r="W1464">
        <v>100</v>
      </c>
      <c r="X1464" t="s">
        <v>5529</v>
      </c>
      <c r="Y1464" t="str">
        <f>VLOOKUP(C1464,'[1]DBS_KPY Sorumlular'!A:C,2,FALSE)</f>
        <v>Kadir TOPÇU</v>
      </c>
      <c r="Z1464" t="str">
        <f>VLOOKUP(C1464,'[1]DBS_KPY Sorumlular'!A:C,3,FALSE)</f>
        <v>Erkan AKDOĞAN</v>
      </c>
      <c r="AA1464" t="str">
        <f>VLOOKUP(K1464,[1]!Tablo3[#Data],2,FALSE)</f>
        <v>Tayfun VİÇE</v>
      </c>
    </row>
    <row r="1465" spans="1:27" x14ac:dyDescent="0.25">
      <c r="A1465">
        <v>2786</v>
      </c>
      <c r="B1465" t="s">
        <v>1419</v>
      </c>
      <c r="C1465" t="s">
        <v>304</v>
      </c>
      <c r="D1465" t="s">
        <v>305</v>
      </c>
      <c r="F1465" t="s">
        <v>306</v>
      </c>
      <c r="G1465" t="s">
        <v>96</v>
      </c>
      <c r="H1465" t="s">
        <v>5530</v>
      </c>
      <c r="I1465" s="4"/>
      <c r="J1465" t="s">
        <v>5511</v>
      </c>
      <c r="K1465" t="s">
        <v>1528</v>
      </c>
      <c r="L1465" s="5"/>
      <c r="M1465" s="5" t="s">
        <v>35</v>
      </c>
      <c r="N1465" t="s">
        <v>1824</v>
      </c>
      <c r="O1465" t="s">
        <v>5531</v>
      </c>
      <c r="S1465" t="s">
        <v>37</v>
      </c>
      <c r="T1465" s="5" t="s">
        <v>38</v>
      </c>
      <c r="Y1465" t="str">
        <f>VLOOKUP(C1465,'[1]DBS_KPY Sorumlular'!A:C,2,FALSE)</f>
        <v>Erkan AKDOĞAN</v>
      </c>
      <c r="Z1465" t="str">
        <f>VLOOKUP(C1465,'[1]DBS_KPY Sorumlular'!A:C,3,FALSE)</f>
        <v>Kadir TOPÇU</v>
      </c>
      <c r="AA1465" t="str">
        <f>VLOOKUP(K1465,[1]!Tablo3[#Data],2,FALSE)</f>
        <v>Tayfun VİÇE</v>
      </c>
    </row>
    <row r="1466" spans="1:27" x14ac:dyDescent="0.25">
      <c r="A1466">
        <v>2788</v>
      </c>
      <c r="B1466" t="s">
        <v>1419</v>
      </c>
      <c r="C1466" t="s">
        <v>304</v>
      </c>
      <c r="D1466" t="s">
        <v>305</v>
      </c>
      <c r="F1466" t="s">
        <v>306</v>
      </c>
      <c r="G1466" t="s">
        <v>96</v>
      </c>
      <c r="H1466" t="s">
        <v>5532</v>
      </c>
      <c r="I1466" s="4"/>
      <c r="J1466" t="s">
        <v>5511</v>
      </c>
      <c r="K1466" t="s">
        <v>1528</v>
      </c>
      <c r="L1466" s="5"/>
      <c r="M1466" s="5" t="s">
        <v>35</v>
      </c>
      <c r="N1466" t="s">
        <v>1824</v>
      </c>
      <c r="O1466" t="s">
        <v>5533</v>
      </c>
      <c r="S1466" t="s">
        <v>37</v>
      </c>
      <c r="T1466" s="5" t="s">
        <v>38</v>
      </c>
      <c r="Y1466" t="str">
        <f>VLOOKUP(C1466,'[1]DBS_KPY Sorumlular'!A:C,2,FALSE)</f>
        <v>Erkan AKDOĞAN</v>
      </c>
      <c r="Z1466" t="str">
        <f>VLOOKUP(C1466,'[1]DBS_KPY Sorumlular'!A:C,3,FALSE)</f>
        <v>Kadir TOPÇU</v>
      </c>
      <c r="AA1466" t="str">
        <f>VLOOKUP(K1466,[1]!Tablo3[#Data],2,FALSE)</f>
        <v>Tayfun VİÇE</v>
      </c>
    </row>
    <row r="1467" spans="1:27" x14ac:dyDescent="0.25">
      <c r="A1467">
        <v>2789</v>
      </c>
      <c r="B1467" t="s">
        <v>1419</v>
      </c>
      <c r="C1467" t="s">
        <v>652</v>
      </c>
      <c r="D1467" t="s">
        <v>653</v>
      </c>
      <c r="F1467" t="s">
        <v>455</v>
      </c>
      <c r="G1467" t="s">
        <v>456</v>
      </c>
      <c r="H1467" t="s">
        <v>5534</v>
      </c>
      <c r="I1467" s="4"/>
      <c r="J1467" t="s">
        <v>5535</v>
      </c>
      <c r="K1467" t="s">
        <v>1528</v>
      </c>
      <c r="L1467" s="5"/>
      <c r="M1467" s="5" t="s">
        <v>35</v>
      </c>
      <c r="N1467" t="s">
        <v>1824</v>
      </c>
      <c r="O1467" t="s">
        <v>5536</v>
      </c>
      <c r="S1467" t="s">
        <v>37</v>
      </c>
      <c r="T1467" s="5" t="s">
        <v>100</v>
      </c>
      <c r="W1467">
        <v>144</v>
      </c>
      <c r="X1467" t="s">
        <v>463</v>
      </c>
      <c r="Y1467" t="str">
        <f>VLOOKUP(C1467,'[1]DBS_KPY Sorumlular'!A:C,2,FALSE)</f>
        <v>Seyithan İŞİK</v>
      </c>
      <c r="Z1467" t="str">
        <f>VLOOKUP(C1467,'[1]DBS_KPY Sorumlular'!A:C,3,FALSE)</f>
        <v>Korhan KÖROĞLU</v>
      </c>
      <c r="AA1467" t="str">
        <f>VLOOKUP(K1467,[1]!Tablo3[#Data],2,FALSE)</f>
        <v>Tayfun VİÇE</v>
      </c>
    </row>
    <row r="1468" spans="1:27" x14ac:dyDescent="0.25">
      <c r="A1468">
        <v>2790</v>
      </c>
      <c r="B1468" t="s">
        <v>1419</v>
      </c>
      <c r="C1468" t="s">
        <v>893</v>
      </c>
      <c r="D1468" t="s">
        <v>4391</v>
      </c>
      <c r="E1468" t="s">
        <v>894</v>
      </c>
      <c r="F1468" t="s">
        <v>4392</v>
      </c>
      <c r="G1468" t="s">
        <v>43</v>
      </c>
      <c r="H1468" t="s">
        <v>5537</v>
      </c>
      <c r="I1468" s="4"/>
      <c r="J1468" t="s">
        <v>27</v>
      </c>
      <c r="K1468" t="s">
        <v>898</v>
      </c>
      <c r="L1468" s="5" t="s">
        <v>4395</v>
      </c>
      <c r="M1468" s="5" t="s">
        <v>35</v>
      </c>
      <c r="N1468" t="s">
        <v>1824</v>
      </c>
      <c r="O1468" t="s">
        <v>1548</v>
      </c>
      <c r="S1468" t="s">
        <v>37</v>
      </c>
      <c r="T1468" s="5" t="s">
        <v>38</v>
      </c>
      <c r="W1468">
        <v>184</v>
      </c>
      <c r="X1468" t="s">
        <v>901</v>
      </c>
      <c r="Y1468" t="str">
        <f>VLOOKUP(C1468,'[1]DBS_KPY Sorumlular'!A:C,2,FALSE)</f>
        <v>Seyithan İŞİK</v>
      </c>
      <c r="Z1468" t="str">
        <f>VLOOKUP(C1468,'[1]DBS_KPY Sorumlular'!A:C,3,FALSE)</f>
        <v>Korhan KÖROĞLU</v>
      </c>
      <c r="AA1468" t="str">
        <f>VLOOKUP(K1468,[1]!Tablo3[#Data],2,FALSE)</f>
        <v>Erkan AKDOĞAN</v>
      </c>
    </row>
    <row r="1469" spans="1:27" x14ac:dyDescent="0.25">
      <c r="A1469">
        <v>2791</v>
      </c>
      <c r="B1469" t="s">
        <v>1419</v>
      </c>
      <c r="C1469" t="s">
        <v>1674</v>
      </c>
      <c r="D1469" t="s">
        <v>1700</v>
      </c>
      <c r="F1469" t="s">
        <v>306</v>
      </c>
      <c r="G1469" t="s">
        <v>96</v>
      </c>
      <c r="H1469" t="s">
        <v>5538</v>
      </c>
      <c r="I1469" s="4"/>
      <c r="J1469" t="s">
        <v>5511</v>
      </c>
      <c r="K1469" t="s">
        <v>1528</v>
      </c>
      <c r="L1469" s="5"/>
      <c r="M1469" s="5" t="s">
        <v>35</v>
      </c>
      <c r="N1469" t="s">
        <v>1824</v>
      </c>
      <c r="O1469" t="s">
        <v>5539</v>
      </c>
      <c r="S1469" t="s">
        <v>37</v>
      </c>
      <c r="T1469" s="5" t="s">
        <v>100</v>
      </c>
      <c r="W1469">
        <v>23</v>
      </c>
      <c r="X1469" t="s">
        <v>295</v>
      </c>
      <c r="Y1469" t="str">
        <f>VLOOKUP(C1469,'[1]DBS_KPY Sorumlular'!A:C,2,FALSE)</f>
        <v>Kadir TOPÇU</v>
      </c>
      <c r="Z1469" t="str">
        <f>VLOOKUP(C1469,'[1]DBS_KPY Sorumlular'!A:C,3,FALSE)</f>
        <v>Erkan AKDOĞAN</v>
      </c>
      <c r="AA1469" t="str">
        <f>VLOOKUP(K1469,[1]!Tablo3[#Data],2,FALSE)</f>
        <v>Tayfun VİÇE</v>
      </c>
    </row>
    <row r="1470" spans="1:27" x14ac:dyDescent="0.25">
      <c r="A1470">
        <v>2792</v>
      </c>
      <c r="B1470" t="s">
        <v>1419</v>
      </c>
      <c r="C1470" t="s">
        <v>1674</v>
      </c>
      <c r="D1470" t="s">
        <v>1717</v>
      </c>
      <c r="F1470" t="s">
        <v>102</v>
      </c>
      <c r="G1470" t="s">
        <v>43</v>
      </c>
      <c r="H1470" t="s">
        <v>5540</v>
      </c>
      <c r="I1470" s="4"/>
      <c r="J1470" t="s">
        <v>5541</v>
      </c>
      <c r="K1470" t="s">
        <v>1528</v>
      </c>
      <c r="L1470" s="5"/>
      <c r="M1470" s="5" t="s">
        <v>4028</v>
      </c>
      <c r="N1470" t="s">
        <v>35</v>
      </c>
      <c r="O1470" t="s">
        <v>5542</v>
      </c>
      <c r="S1470" t="s">
        <v>37</v>
      </c>
      <c r="T1470" s="5" t="s">
        <v>48</v>
      </c>
      <c r="U1470" t="s">
        <v>5543</v>
      </c>
      <c r="V1470" t="s">
        <v>5544</v>
      </c>
      <c r="W1470">
        <v>240</v>
      </c>
      <c r="X1470" t="s">
        <v>4889</v>
      </c>
      <c r="Y1470" t="str">
        <f>VLOOKUP(C1470,'[1]DBS_KPY Sorumlular'!A:C,2,FALSE)</f>
        <v>Kadir TOPÇU</v>
      </c>
      <c r="Z1470" t="str">
        <f>VLOOKUP(C1470,'[1]DBS_KPY Sorumlular'!A:C,3,FALSE)</f>
        <v>Erkan AKDOĞAN</v>
      </c>
      <c r="AA1470" t="str">
        <f>VLOOKUP(K1470,[1]!Tablo3[#Data],2,FALSE)</f>
        <v>Tayfun VİÇE</v>
      </c>
    </row>
    <row r="1471" spans="1:27" x14ac:dyDescent="0.25">
      <c r="A1471">
        <v>2793</v>
      </c>
      <c r="B1471" t="s">
        <v>1419</v>
      </c>
      <c r="C1471" t="s">
        <v>402</v>
      </c>
      <c r="D1471" t="s">
        <v>403</v>
      </c>
      <c r="F1471" t="s">
        <v>383</v>
      </c>
      <c r="G1471" t="s">
        <v>384</v>
      </c>
      <c r="H1471" t="s">
        <v>5545</v>
      </c>
      <c r="I1471" s="4">
        <v>43737.875</v>
      </c>
      <c r="J1471" t="s">
        <v>5546</v>
      </c>
      <c r="K1471" t="s">
        <v>1528</v>
      </c>
      <c r="L1471" s="5"/>
      <c r="M1471" s="5" t="s">
        <v>4028</v>
      </c>
      <c r="N1471" t="s">
        <v>82</v>
      </c>
      <c r="O1471" t="s">
        <v>5547</v>
      </c>
      <c r="R1471">
        <v>1</v>
      </c>
      <c r="S1471" t="s">
        <v>37</v>
      </c>
      <c r="T1471" s="5" t="s">
        <v>48</v>
      </c>
      <c r="U1471" t="s">
        <v>5548</v>
      </c>
      <c r="V1471" t="s">
        <v>5545</v>
      </c>
      <c r="W1471">
        <v>250</v>
      </c>
      <c r="X1471" t="s">
        <v>5549</v>
      </c>
      <c r="Y1471" t="str">
        <f>VLOOKUP(C1471,'[1]DBS_KPY Sorumlular'!A:C,2,FALSE)</f>
        <v>Tayfun VİÇE</v>
      </c>
      <c r="Z1471" t="str">
        <f>VLOOKUP(C1471,'[1]DBS_KPY Sorumlular'!A:C,3,FALSE)</f>
        <v>Mehmet Ali YAVUZ</v>
      </c>
      <c r="AA1471" t="str">
        <f>VLOOKUP(K1471,[1]!Tablo3[#Data],2,FALSE)</f>
        <v>Tayfun VİÇE</v>
      </c>
    </row>
    <row r="1472" spans="1:27" x14ac:dyDescent="0.25">
      <c r="A1472">
        <v>2794</v>
      </c>
      <c r="B1472" t="s">
        <v>1419</v>
      </c>
      <c r="C1472" t="s">
        <v>1674</v>
      </c>
      <c r="D1472" t="s">
        <v>1700</v>
      </c>
      <c r="F1472" t="s">
        <v>95</v>
      </c>
      <c r="G1472" t="s">
        <v>291</v>
      </c>
      <c r="H1472" t="s">
        <v>5550</v>
      </c>
      <c r="I1472" s="4"/>
      <c r="J1472" t="s">
        <v>5551</v>
      </c>
      <c r="K1472" t="s">
        <v>1528</v>
      </c>
      <c r="L1472" s="5"/>
      <c r="M1472" s="5" t="s">
        <v>4028</v>
      </c>
      <c r="N1472" t="s">
        <v>1824</v>
      </c>
      <c r="O1472" t="s">
        <v>5552</v>
      </c>
      <c r="S1472" t="s">
        <v>37</v>
      </c>
      <c r="T1472" s="5" t="s">
        <v>100</v>
      </c>
      <c r="W1472">
        <v>94</v>
      </c>
      <c r="X1472" t="s">
        <v>1707</v>
      </c>
      <c r="Y1472" t="str">
        <f>VLOOKUP(C1472,'[1]DBS_KPY Sorumlular'!A:C,2,FALSE)</f>
        <v>Kadir TOPÇU</v>
      </c>
      <c r="Z1472" t="str">
        <f>VLOOKUP(C1472,'[1]DBS_KPY Sorumlular'!A:C,3,FALSE)</f>
        <v>Erkan AKDOĞAN</v>
      </c>
      <c r="AA1472" t="str">
        <f>VLOOKUP(K1472,[1]!Tablo3[#Data],2,FALSE)</f>
        <v>Tayfun VİÇE</v>
      </c>
    </row>
    <row r="1473" spans="1:27" x14ac:dyDescent="0.25">
      <c r="A1473">
        <v>2795</v>
      </c>
      <c r="B1473" t="s">
        <v>1419</v>
      </c>
      <c r="C1473" t="s">
        <v>1674</v>
      </c>
      <c r="D1473" t="s">
        <v>1700</v>
      </c>
      <c r="F1473" t="s">
        <v>95</v>
      </c>
      <c r="G1473" t="s">
        <v>43</v>
      </c>
      <c r="H1473" t="s">
        <v>5553</v>
      </c>
      <c r="I1473" s="4"/>
      <c r="J1473" t="s">
        <v>5554</v>
      </c>
      <c r="K1473" t="s">
        <v>1528</v>
      </c>
      <c r="L1473" s="5"/>
      <c r="M1473" s="5" t="s">
        <v>4028</v>
      </c>
      <c r="N1473" t="s">
        <v>1824</v>
      </c>
      <c r="O1473" t="s">
        <v>5555</v>
      </c>
      <c r="S1473" t="s">
        <v>37</v>
      </c>
      <c r="T1473" s="5" t="s">
        <v>100</v>
      </c>
      <c r="W1473">
        <v>91</v>
      </c>
      <c r="X1473" t="s">
        <v>101</v>
      </c>
      <c r="Y1473" t="str">
        <f>VLOOKUP(C1473,'[1]DBS_KPY Sorumlular'!A:C,2,FALSE)</f>
        <v>Kadir TOPÇU</v>
      </c>
      <c r="Z1473" t="str">
        <f>VLOOKUP(C1473,'[1]DBS_KPY Sorumlular'!A:C,3,FALSE)</f>
        <v>Erkan AKDOĞAN</v>
      </c>
      <c r="AA1473" t="str">
        <f>VLOOKUP(K1473,[1]!Tablo3[#Data],2,FALSE)</f>
        <v>Tayfun VİÇE</v>
      </c>
    </row>
    <row r="1474" spans="1:27" x14ac:dyDescent="0.25">
      <c r="A1474">
        <v>2796</v>
      </c>
      <c r="B1474" t="s">
        <v>1419</v>
      </c>
      <c r="C1474" t="s">
        <v>288</v>
      </c>
      <c r="D1474" t="s">
        <v>289</v>
      </c>
      <c r="E1474" t="s">
        <v>844</v>
      </c>
      <c r="F1474" t="s">
        <v>290</v>
      </c>
      <c r="G1474" t="s">
        <v>291</v>
      </c>
      <c r="H1474" t="s">
        <v>5556</v>
      </c>
      <c r="I1474" s="4"/>
      <c r="J1474" t="s">
        <v>5557</v>
      </c>
      <c r="K1474" t="s">
        <v>1528</v>
      </c>
      <c r="L1474" s="5"/>
      <c r="M1474" s="5" t="s">
        <v>4028</v>
      </c>
      <c r="N1474" t="s">
        <v>1824</v>
      </c>
      <c r="O1474" t="s">
        <v>5558</v>
      </c>
      <c r="S1474" t="s">
        <v>37</v>
      </c>
      <c r="T1474" s="5" t="s">
        <v>38</v>
      </c>
      <c r="W1474">
        <v>23</v>
      </c>
      <c r="X1474" t="s">
        <v>295</v>
      </c>
      <c r="Y1474" t="str">
        <f>VLOOKUP(C1474,'[1]DBS_KPY Sorumlular'!A:C,2,FALSE)</f>
        <v>Sinan ERDAŞ</v>
      </c>
      <c r="Z1474" t="str">
        <f>VLOOKUP(C1474,'[1]DBS_KPY Sorumlular'!A:C,3,FALSE)</f>
        <v>Ayşegül AKGÜL</v>
      </c>
      <c r="AA1474" t="str">
        <f>VLOOKUP(K1474,[1]!Tablo3[#Data],2,FALSE)</f>
        <v>Tayfun VİÇE</v>
      </c>
    </row>
    <row r="1475" spans="1:27" x14ac:dyDescent="0.25">
      <c r="A1475">
        <v>2797</v>
      </c>
      <c r="B1475" t="s">
        <v>1419</v>
      </c>
      <c r="C1475" t="s">
        <v>1674</v>
      </c>
      <c r="D1475" t="s">
        <v>1675</v>
      </c>
      <c r="F1475" t="s">
        <v>95</v>
      </c>
      <c r="G1475" t="s">
        <v>96</v>
      </c>
      <c r="H1475" t="s">
        <v>5559</v>
      </c>
      <c r="I1475" s="4"/>
      <c r="J1475" t="s">
        <v>5559</v>
      </c>
      <c r="K1475" t="s">
        <v>1528</v>
      </c>
      <c r="L1475" s="5"/>
      <c r="M1475" s="5" t="s">
        <v>4028</v>
      </c>
      <c r="N1475" t="s">
        <v>1824</v>
      </c>
      <c r="O1475" t="s">
        <v>5560</v>
      </c>
      <c r="S1475" t="s">
        <v>37</v>
      </c>
      <c r="T1475" s="5" t="s">
        <v>100</v>
      </c>
      <c r="W1475">
        <v>91</v>
      </c>
      <c r="X1475" t="s">
        <v>101</v>
      </c>
      <c r="Y1475" t="str">
        <f>VLOOKUP(C1475,'[1]DBS_KPY Sorumlular'!A:C,2,FALSE)</f>
        <v>Kadir TOPÇU</v>
      </c>
      <c r="Z1475" t="str">
        <f>VLOOKUP(C1475,'[1]DBS_KPY Sorumlular'!A:C,3,FALSE)</f>
        <v>Erkan AKDOĞAN</v>
      </c>
      <c r="AA1475" t="str">
        <f>VLOOKUP(K1475,[1]!Tablo3[#Data],2,FALSE)</f>
        <v>Tayfun VİÇE</v>
      </c>
    </row>
    <row r="1476" spans="1:27" x14ac:dyDescent="0.25">
      <c r="A1476">
        <v>2798</v>
      </c>
      <c r="B1476" t="s">
        <v>1419</v>
      </c>
      <c r="C1476" t="s">
        <v>1674</v>
      </c>
      <c r="D1476" t="s">
        <v>1717</v>
      </c>
      <c r="F1476" t="s">
        <v>1133</v>
      </c>
      <c r="G1476" t="s">
        <v>43</v>
      </c>
      <c r="H1476" t="s">
        <v>5561</v>
      </c>
      <c r="I1476" s="4"/>
      <c r="J1476" t="s">
        <v>5562</v>
      </c>
      <c r="K1476" t="s">
        <v>1528</v>
      </c>
      <c r="L1476" s="5"/>
      <c r="M1476" s="5" t="s">
        <v>4028</v>
      </c>
      <c r="N1476" t="s">
        <v>35</v>
      </c>
      <c r="O1476" t="s">
        <v>5563</v>
      </c>
      <c r="S1476" t="s">
        <v>37</v>
      </c>
      <c r="T1476" s="5" t="s">
        <v>48</v>
      </c>
      <c r="U1476" t="s">
        <v>3857</v>
      </c>
      <c r="V1476" t="s">
        <v>3854</v>
      </c>
      <c r="W1476">
        <v>191</v>
      </c>
      <c r="X1476" t="s">
        <v>3841</v>
      </c>
      <c r="Y1476" t="str">
        <f>VLOOKUP(C1476,'[1]DBS_KPY Sorumlular'!A:C,2,FALSE)</f>
        <v>Kadir TOPÇU</v>
      </c>
      <c r="Z1476" t="str">
        <f>VLOOKUP(C1476,'[1]DBS_KPY Sorumlular'!A:C,3,FALSE)</f>
        <v>Erkan AKDOĞAN</v>
      </c>
      <c r="AA1476" t="str">
        <f>VLOOKUP(K1476,[1]!Tablo3[#Data],2,FALSE)</f>
        <v>Tayfun VİÇE</v>
      </c>
    </row>
    <row r="1477" spans="1:27" x14ac:dyDescent="0.25">
      <c r="A1477">
        <v>2799</v>
      </c>
      <c r="B1477" t="s">
        <v>1419</v>
      </c>
      <c r="C1477" t="s">
        <v>402</v>
      </c>
      <c r="D1477" t="s">
        <v>403</v>
      </c>
      <c r="F1477" t="s">
        <v>102</v>
      </c>
      <c r="G1477" t="s">
        <v>43</v>
      </c>
      <c r="H1477" t="s">
        <v>5564</v>
      </c>
      <c r="I1477" s="4"/>
      <c r="K1477" t="s">
        <v>1528</v>
      </c>
      <c r="L1477" s="5" t="s">
        <v>5565</v>
      </c>
      <c r="M1477" s="5" t="s">
        <v>35</v>
      </c>
      <c r="N1477" t="s">
        <v>1824</v>
      </c>
      <c r="O1477" t="s">
        <v>5555</v>
      </c>
      <c r="S1477" t="s">
        <v>37</v>
      </c>
      <c r="T1477" s="5" t="s">
        <v>100</v>
      </c>
      <c r="W1477">
        <v>154</v>
      </c>
      <c r="X1477" t="s">
        <v>4370</v>
      </c>
      <c r="Y1477" t="str">
        <f>VLOOKUP(C1477,'[1]DBS_KPY Sorumlular'!A:C,2,FALSE)</f>
        <v>Tayfun VİÇE</v>
      </c>
      <c r="Z1477" t="str">
        <f>VLOOKUP(C1477,'[1]DBS_KPY Sorumlular'!A:C,3,FALSE)</f>
        <v>Mehmet Ali YAVUZ</v>
      </c>
      <c r="AA1477" t="str">
        <f>VLOOKUP(K1477,[1]!Tablo3[#Data],2,FALSE)</f>
        <v>Tayfun VİÇE</v>
      </c>
    </row>
    <row r="1478" spans="1:27" x14ac:dyDescent="0.25">
      <c r="A1478">
        <v>2800</v>
      </c>
      <c r="B1478" t="s">
        <v>1419</v>
      </c>
      <c r="C1478" t="s">
        <v>402</v>
      </c>
      <c r="D1478" t="s">
        <v>403</v>
      </c>
      <c r="F1478" t="s">
        <v>383</v>
      </c>
      <c r="G1478" t="s">
        <v>384</v>
      </c>
      <c r="H1478" t="s">
        <v>5566</v>
      </c>
      <c r="I1478" s="4">
        <v>45365.875</v>
      </c>
      <c r="J1478" t="s">
        <v>5567</v>
      </c>
      <c r="K1478" t="s">
        <v>1528</v>
      </c>
      <c r="L1478" s="5" t="s">
        <v>5568</v>
      </c>
      <c r="M1478" s="5" t="s">
        <v>35</v>
      </c>
      <c r="N1478" t="s">
        <v>82</v>
      </c>
      <c r="O1478" t="s">
        <v>5569</v>
      </c>
      <c r="R1478">
        <v>1</v>
      </c>
      <c r="S1478" t="s">
        <v>37</v>
      </c>
      <c r="T1478" s="5" t="s">
        <v>48</v>
      </c>
      <c r="U1478" t="s">
        <v>5570</v>
      </c>
      <c r="V1478" t="s">
        <v>5566</v>
      </c>
      <c r="W1478">
        <v>253</v>
      </c>
      <c r="X1478" t="s">
        <v>5571</v>
      </c>
      <c r="Y1478" t="str">
        <f>VLOOKUP(C1478,'[1]DBS_KPY Sorumlular'!A:C,2,FALSE)</f>
        <v>Tayfun VİÇE</v>
      </c>
      <c r="Z1478" t="str">
        <f>VLOOKUP(C1478,'[1]DBS_KPY Sorumlular'!A:C,3,FALSE)</f>
        <v>Mehmet Ali YAVUZ</v>
      </c>
      <c r="AA1478" t="str">
        <f>VLOOKUP(K1478,[1]!Tablo3[#Data],2,FALSE)</f>
        <v>Tayfun VİÇE</v>
      </c>
    </row>
    <row r="1479" spans="1:27" x14ac:dyDescent="0.25">
      <c r="A1479">
        <v>2801</v>
      </c>
      <c r="B1479" t="s">
        <v>1419</v>
      </c>
      <c r="C1479" t="s">
        <v>1723</v>
      </c>
      <c r="D1479" t="s">
        <v>1751</v>
      </c>
      <c r="F1479" t="s">
        <v>95</v>
      </c>
      <c r="G1479" t="s">
        <v>96</v>
      </c>
      <c r="H1479" t="s">
        <v>5572</v>
      </c>
      <c r="I1479" s="4"/>
      <c r="J1479" t="s">
        <v>5573</v>
      </c>
      <c r="K1479" t="s">
        <v>1550</v>
      </c>
      <c r="L1479" s="5" t="s">
        <v>5574</v>
      </c>
      <c r="M1479" s="5" t="s">
        <v>35</v>
      </c>
      <c r="N1479" t="s">
        <v>1824</v>
      </c>
      <c r="O1479" t="s">
        <v>5575</v>
      </c>
      <c r="S1479" t="s">
        <v>230</v>
      </c>
      <c r="T1479" s="5" t="s">
        <v>38</v>
      </c>
      <c r="Y1479" t="str">
        <f>VLOOKUP(C1479,'[1]DBS_KPY Sorumlular'!A:C,2,FALSE)</f>
        <v>Erkan AKDOĞAN</v>
      </c>
      <c r="Z1479" t="str">
        <f>VLOOKUP(C1479,'[1]DBS_KPY Sorumlular'!A:C,3,FALSE)</f>
        <v>Kadir TOPÇU</v>
      </c>
      <c r="AA1479" t="str">
        <f>VLOOKUP(K1479,[1]!Tablo3[#Data],2,FALSE)</f>
        <v>Kadir TOPÇU</v>
      </c>
    </row>
    <row r="1480" spans="1:27" x14ac:dyDescent="0.25">
      <c r="A1480">
        <v>2804</v>
      </c>
      <c r="B1480" t="s">
        <v>1419</v>
      </c>
      <c r="C1480" t="s">
        <v>304</v>
      </c>
      <c r="D1480" t="s">
        <v>305</v>
      </c>
      <c r="F1480" t="s">
        <v>486</v>
      </c>
      <c r="G1480" t="s">
        <v>30</v>
      </c>
      <c r="H1480" t="s">
        <v>5576</v>
      </c>
      <c r="I1480" s="4"/>
      <c r="J1480" t="s">
        <v>5577</v>
      </c>
      <c r="K1480" t="s">
        <v>226</v>
      </c>
      <c r="L1480" s="5" t="s">
        <v>5578</v>
      </c>
      <c r="M1480" s="5"/>
      <c r="N1480" t="s">
        <v>1824</v>
      </c>
      <c r="O1480" t="s">
        <v>5579</v>
      </c>
      <c r="S1480" t="s">
        <v>230</v>
      </c>
      <c r="T1480" s="5" t="s">
        <v>38</v>
      </c>
      <c r="Y1480" t="str">
        <f>VLOOKUP(C1480,'[1]DBS_KPY Sorumlular'!A:C,2,FALSE)</f>
        <v>Erkan AKDOĞAN</v>
      </c>
      <c r="Z1480" t="str">
        <f>VLOOKUP(C1480,'[1]DBS_KPY Sorumlular'!A:C,3,FALSE)</f>
        <v>Kadir TOPÇU</v>
      </c>
      <c r="AA1480" t="str">
        <f>VLOOKUP(K1480,[1]!Tablo3[#Data],2,FALSE)</f>
        <v>Kadir TOPÇU</v>
      </c>
    </row>
    <row r="1481" spans="1:27" x14ac:dyDescent="0.25">
      <c r="A1481">
        <v>2806</v>
      </c>
      <c r="B1481" t="s">
        <v>27</v>
      </c>
      <c r="C1481" t="s">
        <v>28</v>
      </c>
      <c r="D1481" t="s">
        <v>28</v>
      </c>
      <c r="F1481" t="s">
        <v>532</v>
      </c>
      <c r="G1481" t="s">
        <v>43</v>
      </c>
      <c r="H1481" t="s">
        <v>5580</v>
      </c>
      <c r="I1481" s="4">
        <v>46021.875</v>
      </c>
      <c r="J1481" t="s">
        <v>5581</v>
      </c>
      <c r="K1481" t="s">
        <v>1106</v>
      </c>
      <c r="L1481" s="5" t="s">
        <v>5582</v>
      </c>
      <c r="M1481" s="5" t="s">
        <v>5583</v>
      </c>
      <c r="N1481" t="s">
        <v>46</v>
      </c>
      <c r="O1481" t="s">
        <v>5584</v>
      </c>
      <c r="R1481">
        <v>0.55000000000000004</v>
      </c>
      <c r="S1481" t="s">
        <v>37</v>
      </c>
      <c r="T1481" s="5" t="s">
        <v>38</v>
      </c>
      <c r="W1481">
        <v>86</v>
      </c>
      <c r="X1481" t="s">
        <v>189</v>
      </c>
      <c r="Y1481" t="str">
        <f>VLOOKUP(C1481,'[1]DBS_KPY Sorumlular'!A:C,2,FALSE)</f>
        <v>Ayşegül AKGÜL</v>
      </c>
      <c r="Z1481" t="str">
        <f>VLOOKUP(C1481,'[1]DBS_KPY Sorumlular'!A:C,3,FALSE)</f>
        <v>Sinan ERDAŞ</v>
      </c>
      <c r="AA1481" t="str">
        <f>VLOOKUP(K1481,[1]!Tablo3[#Data],2,FALSE)</f>
        <v>Tayfun VİÇE</v>
      </c>
    </row>
    <row r="1482" spans="1:27" x14ac:dyDescent="0.25">
      <c r="A1482">
        <v>2807</v>
      </c>
      <c r="B1482" t="s">
        <v>27</v>
      </c>
      <c r="C1482" t="s">
        <v>40</v>
      </c>
      <c r="D1482" t="s">
        <v>41</v>
      </c>
      <c r="F1482" t="s">
        <v>102</v>
      </c>
      <c r="G1482" t="s">
        <v>43</v>
      </c>
      <c r="H1482" t="s">
        <v>5585</v>
      </c>
      <c r="I1482" s="4">
        <v>45868.875</v>
      </c>
      <c r="K1482" t="s">
        <v>568</v>
      </c>
      <c r="L1482" s="5"/>
      <c r="M1482" s="5"/>
      <c r="N1482" t="s">
        <v>46</v>
      </c>
      <c r="O1482" t="s">
        <v>5586</v>
      </c>
      <c r="R1482">
        <v>0.45</v>
      </c>
      <c r="S1482" t="s">
        <v>57</v>
      </c>
      <c r="T1482" s="5" t="s">
        <v>48</v>
      </c>
      <c r="U1482" t="s">
        <v>5587</v>
      </c>
      <c r="V1482" t="s">
        <v>5588</v>
      </c>
      <c r="W1482">
        <v>108</v>
      </c>
      <c r="X1482" t="s">
        <v>107</v>
      </c>
      <c r="Y1482" t="str">
        <f>VLOOKUP(C1482,'[1]DBS_KPY Sorumlular'!A:C,2,FALSE)</f>
        <v>Mustafa AYDIN</v>
      </c>
      <c r="Z1482" t="str">
        <f>VLOOKUP(C1482,'[1]DBS_KPY Sorumlular'!A:C,3,FALSE)</f>
        <v>Esra DOLAN</v>
      </c>
      <c r="AA1482" t="str">
        <f>VLOOKUP(K1482,[1]!Tablo3[#Data],2,FALSE)</f>
        <v>Erkan AKDOĞAN</v>
      </c>
    </row>
    <row r="1483" spans="1:27" x14ac:dyDescent="0.25">
      <c r="A1483">
        <v>2808</v>
      </c>
      <c r="B1483" t="s">
        <v>27</v>
      </c>
      <c r="C1483" t="s">
        <v>73</v>
      </c>
      <c r="D1483" t="s">
        <v>73</v>
      </c>
      <c r="F1483" t="s">
        <v>74</v>
      </c>
      <c r="G1483" t="s">
        <v>30</v>
      </c>
      <c r="H1483" t="s">
        <v>5589</v>
      </c>
      <c r="I1483" s="4">
        <v>46722.875</v>
      </c>
      <c r="J1483" t="s">
        <v>5590</v>
      </c>
      <c r="K1483" t="s">
        <v>1221</v>
      </c>
      <c r="L1483" s="5" t="s">
        <v>5591</v>
      </c>
      <c r="M1483" s="5"/>
      <c r="N1483" t="s">
        <v>46</v>
      </c>
      <c r="O1483" t="s">
        <v>5592</v>
      </c>
      <c r="R1483">
        <v>0</v>
      </c>
      <c r="S1483" t="s">
        <v>37</v>
      </c>
      <c r="T1483" s="5" t="s">
        <v>38</v>
      </c>
      <c r="Y1483" t="str">
        <f>VLOOKUP(C1483,'[1]DBS_KPY Sorumlular'!A:C,2,FALSE)</f>
        <v>Ayşegül AKGÜL</v>
      </c>
      <c r="Z1483" t="str">
        <f>VLOOKUP(C1483,'[1]DBS_KPY Sorumlular'!A:C,3,FALSE)</f>
        <v>Sinan ERDAŞ</v>
      </c>
      <c r="AA1483" t="str">
        <f>VLOOKUP(K1483,[1]!Tablo3[#Data],2,FALSE)</f>
        <v>Tayfun VİÇE</v>
      </c>
    </row>
    <row r="1484" spans="1:27" x14ac:dyDescent="0.25">
      <c r="A1484">
        <v>2809</v>
      </c>
      <c r="B1484" t="s">
        <v>27</v>
      </c>
      <c r="C1484" t="s">
        <v>73</v>
      </c>
      <c r="D1484" t="s">
        <v>73</v>
      </c>
      <c r="F1484" t="s">
        <v>74</v>
      </c>
      <c r="G1484" t="s">
        <v>30</v>
      </c>
      <c r="H1484" t="s">
        <v>5593</v>
      </c>
      <c r="I1484" s="4">
        <v>45838.875</v>
      </c>
      <c r="J1484" t="s">
        <v>825</v>
      </c>
      <c r="K1484" t="s">
        <v>926</v>
      </c>
      <c r="L1484" s="5" t="s">
        <v>5594</v>
      </c>
      <c r="M1484" s="5"/>
      <c r="N1484" t="s">
        <v>46</v>
      </c>
      <c r="O1484" t="s">
        <v>5595</v>
      </c>
      <c r="R1484">
        <v>0.99</v>
      </c>
      <c r="S1484" t="s">
        <v>230</v>
      </c>
      <c r="T1484" s="5" t="s">
        <v>38</v>
      </c>
      <c r="Y1484" t="str">
        <f>VLOOKUP(C1484,'[1]DBS_KPY Sorumlular'!A:C,2,FALSE)</f>
        <v>Ayşegül AKGÜL</v>
      </c>
      <c r="Z1484" t="str">
        <f>VLOOKUP(C1484,'[1]DBS_KPY Sorumlular'!A:C,3,FALSE)</f>
        <v>Sinan ERDAŞ</v>
      </c>
      <c r="AA1484" t="str">
        <f>VLOOKUP(K1484,[1]!Tablo3[#Data],2,FALSE)</f>
        <v>Kadir TOPÇU</v>
      </c>
    </row>
    <row r="1485" spans="1:27" x14ac:dyDescent="0.25">
      <c r="A1485">
        <v>2810</v>
      </c>
      <c r="B1485" t="s">
        <v>1419</v>
      </c>
      <c r="C1485" t="s">
        <v>73</v>
      </c>
      <c r="D1485" t="s">
        <v>73</v>
      </c>
      <c r="F1485" t="s">
        <v>383</v>
      </c>
      <c r="G1485" t="s">
        <v>384</v>
      </c>
      <c r="H1485" t="s">
        <v>5596</v>
      </c>
      <c r="I1485" s="4"/>
      <c r="J1485" t="s">
        <v>5597</v>
      </c>
      <c r="K1485" t="s">
        <v>611</v>
      </c>
      <c r="L1485" s="5"/>
      <c r="M1485" s="5"/>
      <c r="N1485" t="s">
        <v>35</v>
      </c>
      <c r="O1485" t="s">
        <v>5598</v>
      </c>
      <c r="S1485" t="s">
        <v>230</v>
      </c>
      <c r="T1485" s="5" t="s">
        <v>38</v>
      </c>
      <c r="Y1485" t="str">
        <f>VLOOKUP(C1485,'[1]DBS_KPY Sorumlular'!A:C,2,FALSE)</f>
        <v>Ayşegül AKGÜL</v>
      </c>
      <c r="Z1485" t="str">
        <f>VLOOKUP(C1485,'[1]DBS_KPY Sorumlular'!A:C,3,FALSE)</f>
        <v>Sinan ERDAŞ</v>
      </c>
      <c r="AA1485" t="str">
        <f>VLOOKUP(K1485,[1]!Tablo3[#Data],2,FALSE)</f>
        <v>Kadir TOPÇU</v>
      </c>
    </row>
    <row r="1486" spans="1:27" x14ac:dyDescent="0.25">
      <c r="A1486">
        <v>2812</v>
      </c>
      <c r="B1486" t="s">
        <v>27</v>
      </c>
      <c r="C1486" t="s">
        <v>73</v>
      </c>
      <c r="D1486" t="s">
        <v>73</v>
      </c>
      <c r="F1486" t="s">
        <v>383</v>
      </c>
      <c r="G1486" t="s">
        <v>384</v>
      </c>
      <c r="H1486" t="s">
        <v>5599</v>
      </c>
      <c r="I1486" s="4">
        <v>45432.875</v>
      </c>
      <c r="J1486" t="s">
        <v>5600</v>
      </c>
      <c r="K1486" t="s">
        <v>54</v>
      </c>
      <c r="L1486" s="5"/>
      <c r="M1486" s="5"/>
      <c r="N1486" t="s">
        <v>82</v>
      </c>
      <c r="O1486" t="s">
        <v>5601</v>
      </c>
      <c r="R1486">
        <v>1</v>
      </c>
      <c r="S1486" t="s">
        <v>57</v>
      </c>
      <c r="T1486" s="5" t="s">
        <v>38</v>
      </c>
      <c r="W1486">
        <v>221</v>
      </c>
      <c r="X1486" t="s">
        <v>1005</v>
      </c>
      <c r="Y1486" t="str">
        <f>VLOOKUP(C1486,'[1]DBS_KPY Sorumlular'!A:C,2,FALSE)</f>
        <v>Ayşegül AKGÜL</v>
      </c>
      <c r="Z1486" t="str">
        <f>VLOOKUP(C1486,'[1]DBS_KPY Sorumlular'!A:C,3,FALSE)</f>
        <v>Sinan ERDAŞ</v>
      </c>
      <c r="AA1486" t="str">
        <f>VLOOKUP(K1486,[1]!Tablo3[#Data],2,FALSE)</f>
        <v>Erkan AKDOĞAN</v>
      </c>
    </row>
    <row r="1487" spans="1:27" x14ac:dyDescent="0.25">
      <c r="A1487">
        <v>2813</v>
      </c>
      <c r="B1487" t="s">
        <v>27</v>
      </c>
      <c r="C1487" t="s">
        <v>73</v>
      </c>
      <c r="D1487" t="s">
        <v>73</v>
      </c>
      <c r="F1487" t="s">
        <v>383</v>
      </c>
      <c r="G1487" t="s">
        <v>384</v>
      </c>
      <c r="H1487" t="s">
        <v>5602</v>
      </c>
      <c r="I1487" s="4">
        <v>45432.875</v>
      </c>
      <c r="J1487" t="s">
        <v>5603</v>
      </c>
      <c r="K1487" t="s">
        <v>898</v>
      </c>
      <c r="L1487" s="5" t="s">
        <v>5604</v>
      </c>
      <c r="M1487" s="5"/>
      <c r="N1487" t="s">
        <v>82</v>
      </c>
      <c r="O1487" t="s">
        <v>5605</v>
      </c>
      <c r="R1487">
        <v>1</v>
      </c>
      <c r="S1487" t="s">
        <v>37</v>
      </c>
      <c r="T1487" s="5" t="s">
        <v>38</v>
      </c>
      <c r="W1487">
        <v>32</v>
      </c>
      <c r="X1487" t="s">
        <v>4412</v>
      </c>
      <c r="Y1487" t="str">
        <f>VLOOKUP(C1487,'[1]DBS_KPY Sorumlular'!A:C,2,FALSE)</f>
        <v>Ayşegül AKGÜL</v>
      </c>
      <c r="Z1487" t="str">
        <f>VLOOKUP(C1487,'[1]DBS_KPY Sorumlular'!A:C,3,FALSE)</f>
        <v>Sinan ERDAŞ</v>
      </c>
      <c r="AA1487" t="str">
        <f>VLOOKUP(K1487,[1]!Tablo3[#Data],2,FALSE)</f>
        <v>Erkan AKDOĞAN</v>
      </c>
    </row>
    <row r="1488" spans="1:27" x14ac:dyDescent="0.25">
      <c r="A1488">
        <v>2814</v>
      </c>
      <c r="B1488" t="s">
        <v>27</v>
      </c>
      <c r="C1488" t="s">
        <v>73</v>
      </c>
      <c r="D1488" t="s">
        <v>73</v>
      </c>
      <c r="F1488" t="s">
        <v>383</v>
      </c>
      <c r="G1488" t="s">
        <v>384</v>
      </c>
      <c r="H1488" t="s">
        <v>5606</v>
      </c>
      <c r="I1488" s="4">
        <v>46005.875</v>
      </c>
      <c r="J1488" t="s">
        <v>5607</v>
      </c>
      <c r="K1488" t="s">
        <v>143</v>
      </c>
      <c r="L1488" s="5" t="s">
        <v>5608</v>
      </c>
      <c r="M1488" s="5"/>
      <c r="N1488" t="s">
        <v>46</v>
      </c>
      <c r="O1488" t="s">
        <v>1518</v>
      </c>
      <c r="R1488">
        <v>0.95</v>
      </c>
      <c r="S1488" t="s">
        <v>37</v>
      </c>
      <c r="T1488" s="5" t="s">
        <v>38</v>
      </c>
      <c r="Y1488" t="str">
        <f>VLOOKUP(C1488,'[1]DBS_KPY Sorumlular'!A:C,2,FALSE)</f>
        <v>Ayşegül AKGÜL</v>
      </c>
      <c r="Z1488" t="str">
        <f>VLOOKUP(C1488,'[1]DBS_KPY Sorumlular'!A:C,3,FALSE)</f>
        <v>Sinan ERDAŞ</v>
      </c>
      <c r="AA1488" t="str">
        <f>VLOOKUP(K1488,[1]!Tablo3[#Data],2,FALSE)</f>
        <v>Tayfun VİÇE</v>
      </c>
    </row>
    <row r="1489" spans="1:27" x14ac:dyDescent="0.25">
      <c r="A1489">
        <v>2815</v>
      </c>
      <c r="B1489" t="s">
        <v>27</v>
      </c>
      <c r="C1489" t="s">
        <v>73</v>
      </c>
      <c r="D1489" t="s">
        <v>73</v>
      </c>
      <c r="F1489" t="s">
        <v>383</v>
      </c>
      <c r="G1489" t="s">
        <v>384</v>
      </c>
      <c r="H1489" t="s">
        <v>5609</v>
      </c>
      <c r="I1489" s="4">
        <v>45821.875</v>
      </c>
      <c r="J1489" t="s">
        <v>5610</v>
      </c>
      <c r="K1489" t="s">
        <v>364</v>
      </c>
      <c r="L1489" s="5" t="s">
        <v>5611</v>
      </c>
      <c r="M1489" s="5"/>
      <c r="N1489" t="s">
        <v>46</v>
      </c>
      <c r="O1489" t="s">
        <v>5612</v>
      </c>
      <c r="R1489">
        <v>0.8</v>
      </c>
      <c r="S1489" t="s">
        <v>230</v>
      </c>
      <c r="T1489" s="5" t="s">
        <v>38</v>
      </c>
      <c r="Y1489" t="str">
        <f>VLOOKUP(C1489,'[1]DBS_KPY Sorumlular'!A:C,2,FALSE)</f>
        <v>Ayşegül AKGÜL</v>
      </c>
      <c r="Z1489" t="str">
        <f>VLOOKUP(C1489,'[1]DBS_KPY Sorumlular'!A:C,3,FALSE)</f>
        <v>Sinan ERDAŞ</v>
      </c>
      <c r="AA1489" t="str">
        <f>VLOOKUP(K1489,[1]!Tablo3[#Data],2,FALSE)</f>
        <v>Kadir TOPÇU</v>
      </c>
    </row>
    <row r="1490" spans="1:27" x14ac:dyDescent="0.25">
      <c r="A1490">
        <v>2816</v>
      </c>
      <c r="B1490" t="s">
        <v>27</v>
      </c>
      <c r="C1490" t="s">
        <v>73</v>
      </c>
      <c r="D1490" t="s">
        <v>73</v>
      </c>
      <c r="F1490" t="s">
        <v>383</v>
      </c>
      <c r="G1490" t="s">
        <v>384</v>
      </c>
      <c r="H1490" t="s">
        <v>5613</v>
      </c>
      <c r="I1490" s="4">
        <v>46005.875</v>
      </c>
      <c r="J1490" t="s">
        <v>5614</v>
      </c>
      <c r="K1490" t="s">
        <v>226</v>
      </c>
      <c r="L1490" s="5" t="s">
        <v>5615</v>
      </c>
      <c r="M1490" s="5"/>
      <c r="N1490" t="s">
        <v>82</v>
      </c>
      <c r="O1490" t="s">
        <v>5616</v>
      </c>
      <c r="R1490">
        <v>1</v>
      </c>
      <c r="S1490" t="s">
        <v>230</v>
      </c>
      <c r="T1490" s="5" t="s">
        <v>38</v>
      </c>
      <c r="W1490">
        <v>221</v>
      </c>
      <c r="X1490" t="s">
        <v>1005</v>
      </c>
      <c r="Y1490" t="str">
        <f>VLOOKUP(C1490,'[1]DBS_KPY Sorumlular'!A:C,2,FALSE)</f>
        <v>Ayşegül AKGÜL</v>
      </c>
      <c r="Z1490" t="str">
        <f>VLOOKUP(C1490,'[1]DBS_KPY Sorumlular'!A:C,3,FALSE)</f>
        <v>Sinan ERDAŞ</v>
      </c>
      <c r="AA1490" t="str">
        <f>VLOOKUP(K1490,[1]!Tablo3[#Data],2,FALSE)</f>
        <v>Kadir TOPÇU</v>
      </c>
    </row>
    <row r="1491" spans="1:27" x14ac:dyDescent="0.25">
      <c r="A1491">
        <v>2818</v>
      </c>
      <c r="B1491" t="s">
        <v>27</v>
      </c>
      <c r="C1491" t="s">
        <v>73</v>
      </c>
      <c r="D1491" t="s">
        <v>73</v>
      </c>
      <c r="F1491" t="s">
        <v>42</v>
      </c>
      <c r="G1491" t="s">
        <v>291</v>
      </c>
      <c r="H1491" t="s">
        <v>5617</v>
      </c>
      <c r="I1491" s="4">
        <v>45642.875</v>
      </c>
      <c r="J1491" t="s">
        <v>5618</v>
      </c>
      <c r="K1491" t="s">
        <v>1398</v>
      </c>
      <c r="L1491" s="5"/>
      <c r="M1491" s="5"/>
      <c r="N1491" t="s">
        <v>82</v>
      </c>
      <c r="O1491" t="s">
        <v>5619</v>
      </c>
      <c r="R1491">
        <v>1</v>
      </c>
      <c r="S1491" t="s">
        <v>37</v>
      </c>
      <c r="T1491" s="5" t="s">
        <v>38</v>
      </c>
      <c r="W1491">
        <v>72</v>
      </c>
      <c r="X1491" t="s">
        <v>341</v>
      </c>
      <c r="Y1491" t="str">
        <f>VLOOKUP(C1491,'[1]DBS_KPY Sorumlular'!A:C,2,FALSE)</f>
        <v>Ayşegül AKGÜL</v>
      </c>
      <c r="Z1491" t="str">
        <f>VLOOKUP(C1491,'[1]DBS_KPY Sorumlular'!A:C,3,FALSE)</f>
        <v>Sinan ERDAŞ</v>
      </c>
      <c r="AA1491" t="str">
        <f>VLOOKUP(K1491,[1]!Tablo3[#Data],2,FALSE)</f>
        <v>Tayfun VİÇE</v>
      </c>
    </row>
    <row r="1492" spans="1:27" x14ac:dyDescent="0.25">
      <c r="A1492">
        <v>2819</v>
      </c>
      <c r="B1492" t="s">
        <v>27</v>
      </c>
      <c r="C1492" t="s">
        <v>73</v>
      </c>
      <c r="D1492" t="s">
        <v>73</v>
      </c>
      <c r="F1492" t="s">
        <v>42</v>
      </c>
      <c r="G1492" t="s">
        <v>291</v>
      </c>
      <c r="H1492" t="s">
        <v>5620</v>
      </c>
      <c r="I1492" s="4">
        <v>45653.875</v>
      </c>
      <c r="J1492" t="s">
        <v>5621</v>
      </c>
      <c r="K1492" t="s">
        <v>1029</v>
      </c>
      <c r="L1492" s="5"/>
      <c r="M1492" s="5"/>
      <c r="N1492" t="s">
        <v>82</v>
      </c>
      <c r="O1492" t="s">
        <v>5622</v>
      </c>
      <c r="R1492">
        <v>1</v>
      </c>
      <c r="S1492" t="s">
        <v>37</v>
      </c>
      <c r="T1492" s="5" t="s">
        <v>38</v>
      </c>
      <c r="W1492">
        <v>74</v>
      </c>
      <c r="X1492" t="s">
        <v>234</v>
      </c>
      <c r="Y1492" t="str">
        <f>VLOOKUP(C1492,'[1]DBS_KPY Sorumlular'!A:C,2,FALSE)</f>
        <v>Ayşegül AKGÜL</v>
      </c>
      <c r="Z1492" t="str">
        <f>VLOOKUP(C1492,'[1]DBS_KPY Sorumlular'!A:C,3,FALSE)</f>
        <v>Sinan ERDAŞ</v>
      </c>
      <c r="AA1492" t="str">
        <f>VLOOKUP(K1492,[1]!Tablo3[#Data],2,FALSE)</f>
        <v>Tayfun VİÇE</v>
      </c>
    </row>
    <row r="1493" spans="1:27" x14ac:dyDescent="0.25">
      <c r="A1493">
        <v>2820</v>
      </c>
      <c r="B1493" t="s">
        <v>27</v>
      </c>
      <c r="C1493" t="s">
        <v>73</v>
      </c>
      <c r="D1493" t="s">
        <v>73</v>
      </c>
      <c r="F1493" t="s">
        <v>42</v>
      </c>
      <c r="G1493" t="s">
        <v>291</v>
      </c>
      <c r="H1493" t="s">
        <v>5623</v>
      </c>
      <c r="I1493" s="4">
        <v>45747.875</v>
      </c>
      <c r="J1493" t="s">
        <v>5624</v>
      </c>
      <c r="K1493" t="s">
        <v>1029</v>
      </c>
      <c r="L1493" s="5" t="s">
        <v>5625</v>
      </c>
      <c r="M1493" s="5"/>
      <c r="N1493" t="s">
        <v>82</v>
      </c>
      <c r="O1493" t="s">
        <v>5622</v>
      </c>
      <c r="R1493">
        <v>1</v>
      </c>
      <c r="S1493" t="s">
        <v>37</v>
      </c>
      <c r="T1493" s="5" t="s">
        <v>38</v>
      </c>
      <c r="W1493">
        <v>72</v>
      </c>
      <c r="X1493" t="s">
        <v>341</v>
      </c>
      <c r="Y1493" t="str">
        <f>VLOOKUP(C1493,'[1]DBS_KPY Sorumlular'!A:C,2,FALSE)</f>
        <v>Ayşegül AKGÜL</v>
      </c>
      <c r="Z1493" t="str">
        <f>VLOOKUP(C1493,'[1]DBS_KPY Sorumlular'!A:C,3,FALSE)</f>
        <v>Sinan ERDAŞ</v>
      </c>
      <c r="AA1493" t="str">
        <f>VLOOKUP(K1493,[1]!Tablo3[#Data],2,FALSE)</f>
        <v>Tayfun VİÇE</v>
      </c>
    </row>
    <row r="1494" spans="1:27" x14ac:dyDescent="0.25">
      <c r="A1494">
        <v>2820</v>
      </c>
      <c r="B1494" t="s">
        <v>27</v>
      </c>
      <c r="C1494" t="s">
        <v>73</v>
      </c>
      <c r="D1494" t="s">
        <v>73</v>
      </c>
      <c r="F1494" t="s">
        <v>42</v>
      </c>
      <c r="G1494" t="s">
        <v>291</v>
      </c>
      <c r="H1494" t="s">
        <v>5623</v>
      </c>
      <c r="I1494" s="4">
        <v>45747.875</v>
      </c>
      <c r="J1494" t="s">
        <v>5624</v>
      </c>
      <c r="K1494" t="s">
        <v>1029</v>
      </c>
      <c r="L1494" s="5" t="s">
        <v>5625</v>
      </c>
      <c r="M1494" s="5"/>
      <c r="N1494" t="s">
        <v>82</v>
      </c>
      <c r="O1494" t="s">
        <v>5622</v>
      </c>
      <c r="R1494">
        <v>1</v>
      </c>
      <c r="S1494" t="s">
        <v>37</v>
      </c>
      <c r="T1494" s="5" t="s">
        <v>38</v>
      </c>
      <c r="W1494">
        <v>74</v>
      </c>
      <c r="X1494" t="s">
        <v>234</v>
      </c>
      <c r="Y1494" t="str">
        <f>VLOOKUP(C1494,'[1]DBS_KPY Sorumlular'!A:C,2,FALSE)</f>
        <v>Ayşegül AKGÜL</v>
      </c>
      <c r="Z1494" t="str">
        <f>VLOOKUP(C1494,'[1]DBS_KPY Sorumlular'!A:C,3,FALSE)</f>
        <v>Sinan ERDAŞ</v>
      </c>
      <c r="AA1494" t="str">
        <f>VLOOKUP(K1494,[1]!Tablo3[#Data],2,FALSE)</f>
        <v>Tayfun VİÇE</v>
      </c>
    </row>
    <row r="1495" spans="1:27" x14ac:dyDescent="0.25">
      <c r="A1495">
        <v>2821</v>
      </c>
      <c r="B1495" t="s">
        <v>27</v>
      </c>
      <c r="C1495" t="s">
        <v>73</v>
      </c>
      <c r="D1495" t="s">
        <v>73</v>
      </c>
      <c r="F1495" t="s">
        <v>42</v>
      </c>
      <c r="G1495" t="s">
        <v>291</v>
      </c>
      <c r="H1495" t="s">
        <v>5626</v>
      </c>
      <c r="I1495" s="4">
        <v>45732.875</v>
      </c>
      <c r="J1495" t="s">
        <v>5627</v>
      </c>
      <c r="K1495" t="s">
        <v>364</v>
      </c>
      <c r="L1495" s="5" t="s">
        <v>5628</v>
      </c>
      <c r="M1495" s="5" t="s">
        <v>5629</v>
      </c>
      <c r="N1495" t="s">
        <v>82</v>
      </c>
      <c r="O1495" t="s">
        <v>5630</v>
      </c>
      <c r="R1495">
        <v>1</v>
      </c>
      <c r="S1495" t="s">
        <v>230</v>
      </c>
      <c r="T1495" s="5" t="s">
        <v>38</v>
      </c>
      <c r="W1495">
        <v>72</v>
      </c>
      <c r="X1495" t="s">
        <v>341</v>
      </c>
      <c r="Y1495" t="str">
        <f>VLOOKUP(C1495,'[1]DBS_KPY Sorumlular'!A:C,2,FALSE)</f>
        <v>Ayşegül AKGÜL</v>
      </c>
      <c r="Z1495" t="str">
        <f>VLOOKUP(C1495,'[1]DBS_KPY Sorumlular'!A:C,3,FALSE)</f>
        <v>Sinan ERDAŞ</v>
      </c>
      <c r="AA1495" t="str">
        <f>VLOOKUP(K1495,[1]!Tablo3[#Data],2,FALSE)</f>
        <v>Kadir TOPÇU</v>
      </c>
    </row>
    <row r="1496" spans="1:27" x14ac:dyDescent="0.25">
      <c r="A1496">
        <v>2821</v>
      </c>
      <c r="B1496" t="s">
        <v>27</v>
      </c>
      <c r="C1496" t="s">
        <v>73</v>
      </c>
      <c r="D1496" t="s">
        <v>73</v>
      </c>
      <c r="F1496" t="s">
        <v>42</v>
      </c>
      <c r="G1496" t="s">
        <v>291</v>
      </c>
      <c r="H1496" t="s">
        <v>5626</v>
      </c>
      <c r="I1496" s="4">
        <v>45732.875</v>
      </c>
      <c r="J1496" t="s">
        <v>5627</v>
      </c>
      <c r="K1496" t="s">
        <v>364</v>
      </c>
      <c r="L1496" s="5" t="s">
        <v>5628</v>
      </c>
      <c r="M1496" s="5" t="s">
        <v>5629</v>
      </c>
      <c r="N1496" t="s">
        <v>82</v>
      </c>
      <c r="O1496" t="s">
        <v>5630</v>
      </c>
      <c r="R1496">
        <v>1</v>
      </c>
      <c r="S1496" t="s">
        <v>230</v>
      </c>
      <c r="T1496" s="5" t="s">
        <v>38</v>
      </c>
      <c r="W1496">
        <v>74</v>
      </c>
      <c r="X1496" t="s">
        <v>234</v>
      </c>
      <c r="Y1496" t="str">
        <f>VLOOKUP(C1496,'[1]DBS_KPY Sorumlular'!A:C,2,FALSE)</f>
        <v>Ayşegül AKGÜL</v>
      </c>
      <c r="Z1496" t="str">
        <f>VLOOKUP(C1496,'[1]DBS_KPY Sorumlular'!A:C,3,FALSE)</f>
        <v>Sinan ERDAŞ</v>
      </c>
      <c r="AA1496" t="str">
        <f>VLOOKUP(K1496,[1]!Tablo3[#Data],2,FALSE)</f>
        <v>Kadir TOPÇU</v>
      </c>
    </row>
    <row r="1497" spans="1:27" x14ac:dyDescent="0.25">
      <c r="A1497">
        <v>2822</v>
      </c>
      <c r="B1497" t="s">
        <v>1419</v>
      </c>
      <c r="C1497" t="s">
        <v>73</v>
      </c>
      <c r="D1497" t="s">
        <v>73</v>
      </c>
      <c r="F1497" t="s">
        <v>42</v>
      </c>
      <c r="G1497" t="s">
        <v>291</v>
      </c>
      <c r="H1497" t="s">
        <v>5631</v>
      </c>
      <c r="I1497" s="4">
        <v>46021.875</v>
      </c>
      <c r="J1497" t="s">
        <v>5632</v>
      </c>
      <c r="K1497" t="s">
        <v>678</v>
      </c>
      <c r="L1497" s="5" t="s">
        <v>5633</v>
      </c>
      <c r="M1497" s="5"/>
      <c r="N1497" t="s">
        <v>35</v>
      </c>
      <c r="O1497" t="s">
        <v>5634</v>
      </c>
      <c r="S1497" t="s">
        <v>230</v>
      </c>
      <c r="T1497" s="5" t="s">
        <v>38</v>
      </c>
      <c r="Y1497" t="str">
        <f>VLOOKUP(C1497,'[1]DBS_KPY Sorumlular'!A:C,2,FALSE)</f>
        <v>Ayşegül AKGÜL</v>
      </c>
      <c r="Z1497" t="str">
        <f>VLOOKUP(C1497,'[1]DBS_KPY Sorumlular'!A:C,3,FALSE)</f>
        <v>Sinan ERDAŞ</v>
      </c>
      <c r="AA1497" t="str">
        <f>VLOOKUP(K1497,[1]!Tablo3[#Data],2,FALSE)</f>
        <v>Kadir TOPÇU</v>
      </c>
    </row>
    <row r="1498" spans="1:27" x14ac:dyDescent="0.25">
      <c r="A1498">
        <v>2823</v>
      </c>
      <c r="B1498" t="s">
        <v>1419</v>
      </c>
      <c r="C1498" t="s">
        <v>73</v>
      </c>
      <c r="D1498" t="s">
        <v>73</v>
      </c>
      <c r="F1498" t="s">
        <v>42</v>
      </c>
      <c r="G1498" t="s">
        <v>291</v>
      </c>
      <c r="H1498" t="s">
        <v>5635</v>
      </c>
      <c r="I1498" s="4">
        <v>45927.875</v>
      </c>
      <c r="J1498" t="s">
        <v>5636</v>
      </c>
      <c r="K1498" t="s">
        <v>678</v>
      </c>
      <c r="L1498" s="5" t="s">
        <v>5637</v>
      </c>
      <c r="M1498" s="5"/>
      <c r="N1498" t="s">
        <v>35</v>
      </c>
      <c r="O1498" t="s">
        <v>5638</v>
      </c>
      <c r="S1498" t="s">
        <v>230</v>
      </c>
      <c r="T1498" s="5" t="s">
        <v>38</v>
      </c>
      <c r="Y1498" t="str">
        <f>VLOOKUP(C1498,'[1]DBS_KPY Sorumlular'!A:C,2,FALSE)</f>
        <v>Ayşegül AKGÜL</v>
      </c>
      <c r="Z1498" t="str">
        <f>VLOOKUP(C1498,'[1]DBS_KPY Sorumlular'!A:C,3,FALSE)</f>
        <v>Sinan ERDAŞ</v>
      </c>
      <c r="AA1498" t="str">
        <f>VLOOKUP(K1498,[1]!Tablo3[#Data],2,FALSE)</f>
        <v>Kadir TOPÇU</v>
      </c>
    </row>
    <row r="1499" spans="1:27" x14ac:dyDescent="0.25">
      <c r="A1499">
        <v>2824</v>
      </c>
      <c r="B1499" t="s">
        <v>27</v>
      </c>
      <c r="C1499" t="s">
        <v>73</v>
      </c>
      <c r="D1499" t="s">
        <v>73</v>
      </c>
      <c r="F1499" t="s">
        <v>74</v>
      </c>
      <c r="G1499" t="s">
        <v>30</v>
      </c>
      <c r="H1499" t="s">
        <v>5639</v>
      </c>
      <c r="I1499" s="4">
        <v>45396.875</v>
      </c>
      <c r="J1499" t="s">
        <v>5640</v>
      </c>
      <c r="K1499" t="s">
        <v>1398</v>
      </c>
      <c r="L1499" s="5"/>
      <c r="M1499" s="5"/>
      <c r="N1499" t="s">
        <v>82</v>
      </c>
      <c r="O1499" t="s">
        <v>1434</v>
      </c>
      <c r="R1499">
        <v>1</v>
      </c>
      <c r="S1499" t="s">
        <v>37</v>
      </c>
      <c r="T1499" s="5" t="s">
        <v>38</v>
      </c>
      <c r="W1499">
        <v>65</v>
      </c>
      <c r="X1499" t="s">
        <v>374</v>
      </c>
      <c r="Y1499" t="str">
        <f>VLOOKUP(C1499,'[1]DBS_KPY Sorumlular'!A:C,2,FALSE)</f>
        <v>Ayşegül AKGÜL</v>
      </c>
      <c r="Z1499" t="str">
        <f>VLOOKUP(C1499,'[1]DBS_KPY Sorumlular'!A:C,3,FALSE)</f>
        <v>Sinan ERDAŞ</v>
      </c>
      <c r="AA1499" t="str">
        <f>VLOOKUP(K1499,[1]!Tablo3[#Data],2,FALSE)</f>
        <v>Tayfun VİÇE</v>
      </c>
    </row>
    <row r="1500" spans="1:27" x14ac:dyDescent="0.25">
      <c r="A1500">
        <v>2825</v>
      </c>
      <c r="B1500" t="s">
        <v>27</v>
      </c>
      <c r="C1500" t="s">
        <v>73</v>
      </c>
      <c r="D1500" t="s">
        <v>73</v>
      </c>
      <c r="F1500" t="s">
        <v>1263</v>
      </c>
      <c r="G1500" t="s">
        <v>291</v>
      </c>
      <c r="H1500" t="s">
        <v>5641</v>
      </c>
      <c r="I1500" s="4">
        <v>45766.875</v>
      </c>
      <c r="J1500" t="s">
        <v>5642</v>
      </c>
      <c r="K1500" t="s">
        <v>898</v>
      </c>
      <c r="L1500" s="5" t="s">
        <v>5643</v>
      </c>
      <c r="M1500" s="5"/>
      <c r="N1500" t="s">
        <v>82</v>
      </c>
      <c r="O1500" t="s">
        <v>906</v>
      </c>
      <c r="R1500">
        <v>1</v>
      </c>
      <c r="S1500" t="s">
        <v>57</v>
      </c>
      <c r="T1500" s="5" t="s">
        <v>38</v>
      </c>
      <c r="W1500">
        <v>212</v>
      </c>
      <c r="X1500" t="s">
        <v>1864</v>
      </c>
      <c r="Y1500" t="str">
        <f>VLOOKUP(C1500,'[1]DBS_KPY Sorumlular'!A:C,2,FALSE)</f>
        <v>Ayşegül AKGÜL</v>
      </c>
      <c r="Z1500" t="str">
        <f>VLOOKUP(C1500,'[1]DBS_KPY Sorumlular'!A:C,3,FALSE)</f>
        <v>Sinan ERDAŞ</v>
      </c>
      <c r="AA1500" t="str">
        <f>VLOOKUP(K1500,[1]!Tablo3[#Data],2,FALSE)</f>
        <v>Erkan AKDOĞAN</v>
      </c>
    </row>
    <row r="1501" spans="1:27" x14ac:dyDescent="0.25">
      <c r="A1501">
        <v>2826</v>
      </c>
      <c r="B1501" t="s">
        <v>27</v>
      </c>
      <c r="C1501" t="s">
        <v>73</v>
      </c>
      <c r="D1501" t="s">
        <v>73</v>
      </c>
      <c r="F1501" t="s">
        <v>74</v>
      </c>
      <c r="G1501" t="s">
        <v>291</v>
      </c>
      <c r="H1501" t="s">
        <v>5644</v>
      </c>
      <c r="I1501" s="4">
        <v>46187.875</v>
      </c>
      <c r="J1501" t="s">
        <v>5645</v>
      </c>
      <c r="K1501" t="s">
        <v>898</v>
      </c>
      <c r="L1501" s="5" t="s">
        <v>5646</v>
      </c>
      <c r="M1501" s="5"/>
      <c r="N1501" t="s">
        <v>46</v>
      </c>
      <c r="O1501" t="s">
        <v>906</v>
      </c>
      <c r="R1501">
        <v>0.45</v>
      </c>
      <c r="S1501" t="s">
        <v>57</v>
      </c>
      <c r="T1501" s="5" t="s">
        <v>38</v>
      </c>
      <c r="Y1501" t="str">
        <f>VLOOKUP(C1501,'[1]DBS_KPY Sorumlular'!A:C,2,FALSE)</f>
        <v>Ayşegül AKGÜL</v>
      </c>
      <c r="Z1501" t="str">
        <f>VLOOKUP(C1501,'[1]DBS_KPY Sorumlular'!A:C,3,FALSE)</f>
        <v>Sinan ERDAŞ</v>
      </c>
      <c r="AA1501" t="str">
        <f>VLOOKUP(K1501,[1]!Tablo3[#Data],2,FALSE)</f>
        <v>Erkan AKDOĞAN</v>
      </c>
    </row>
    <row r="1502" spans="1:27" x14ac:dyDescent="0.25">
      <c r="A1502">
        <v>2827</v>
      </c>
      <c r="B1502" t="s">
        <v>1419</v>
      </c>
      <c r="C1502" t="s">
        <v>73</v>
      </c>
      <c r="D1502" t="s">
        <v>73</v>
      </c>
      <c r="F1502" t="s">
        <v>74</v>
      </c>
      <c r="G1502" t="s">
        <v>30</v>
      </c>
      <c r="H1502" t="s">
        <v>5647</v>
      </c>
      <c r="I1502" s="4">
        <v>46751.875</v>
      </c>
      <c r="J1502" t="s">
        <v>5648</v>
      </c>
      <c r="K1502" t="s">
        <v>435</v>
      </c>
      <c r="L1502" s="5" t="s">
        <v>5649</v>
      </c>
      <c r="M1502" s="5"/>
      <c r="N1502" t="s">
        <v>35</v>
      </c>
      <c r="O1502" t="s">
        <v>5650</v>
      </c>
      <c r="S1502" t="s">
        <v>37</v>
      </c>
      <c r="T1502" s="5" t="s">
        <v>38</v>
      </c>
      <c r="Y1502" t="str">
        <f>VLOOKUP(C1502,'[1]DBS_KPY Sorumlular'!A:C,2,FALSE)</f>
        <v>Ayşegül AKGÜL</v>
      </c>
      <c r="Z1502" t="str">
        <f>VLOOKUP(C1502,'[1]DBS_KPY Sorumlular'!A:C,3,FALSE)</f>
        <v>Sinan ERDAŞ</v>
      </c>
      <c r="AA1502" t="str">
        <f>VLOOKUP(K1502,[1]!Tablo3[#Data],2,FALSE)</f>
        <v>Tayfun VİÇE</v>
      </c>
    </row>
    <row r="1503" spans="1:27" x14ac:dyDescent="0.25">
      <c r="A1503">
        <v>2829</v>
      </c>
      <c r="B1503" t="s">
        <v>1419</v>
      </c>
      <c r="C1503" t="s">
        <v>1674</v>
      </c>
      <c r="D1503" t="s">
        <v>1675</v>
      </c>
      <c r="F1503" t="s">
        <v>66</v>
      </c>
      <c r="G1503" t="s">
        <v>67</v>
      </c>
      <c r="H1503" t="s">
        <v>5651</v>
      </c>
      <c r="I1503" s="4"/>
      <c r="J1503" t="s">
        <v>5652</v>
      </c>
      <c r="K1503" t="s">
        <v>98</v>
      </c>
      <c r="L1503" s="5"/>
      <c r="M1503" s="5"/>
      <c r="N1503" t="s">
        <v>35</v>
      </c>
      <c r="O1503" t="s">
        <v>5653</v>
      </c>
      <c r="S1503" t="s">
        <v>37</v>
      </c>
      <c r="T1503" s="5" t="s">
        <v>48</v>
      </c>
      <c r="U1503" t="s">
        <v>5654</v>
      </c>
      <c r="V1503" t="s">
        <v>5651</v>
      </c>
      <c r="W1503">
        <v>90</v>
      </c>
      <c r="X1503" t="s">
        <v>1851</v>
      </c>
      <c r="Y1503" t="str">
        <f>VLOOKUP(C1503,'[1]DBS_KPY Sorumlular'!A:C,2,FALSE)</f>
        <v>Kadir TOPÇU</v>
      </c>
      <c r="Z1503" t="str">
        <f>VLOOKUP(C1503,'[1]DBS_KPY Sorumlular'!A:C,3,FALSE)</f>
        <v>Erkan AKDOĞAN</v>
      </c>
      <c r="AA1503" t="str">
        <f>VLOOKUP(K1503,[1]!Tablo3[#Data],2,FALSE)</f>
        <v>Tayfun VİÇE</v>
      </c>
    </row>
    <row r="1504" spans="1:27" x14ac:dyDescent="0.25">
      <c r="A1504">
        <v>2830</v>
      </c>
      <c r="B1504" t="s">
        <v>1419</v>
      </c>
      <c r="C1504" t="s">
        <v>1674</v>
      </c>
      <c r="D1504" t="s">
        <v>1675</v>
      </c>
      <c r="F1504" t="s">
        <v>52</v>
      </c>
      <c r="G1504" t="s">
        <v>67</v>
      </c>
      <c r="H1504" t="s">
        <v>5655</v>
      </c>
      <c r="I1504" s="4"/>
      <c r="J1504" t="s">
        <v>5656</v>
      </c>
      <c r="K1504" t="s">
        <v>152</v>
      </c>
      <c r="L1504" s="5"/>
      <c r="M1504" s="5"/>
      <c r="N1504" t="s">
        <v>35</v>
      </c>
      <c r="O1504" t="s">
        <v>5657</v>
      </c>
      <c r="S1504" t="s">
        <v>57</v>
      </c>
      <c r="T1504" s="5" t="s">
        <v>48</v>
      </c>
      <c r="U1504" t="s">
        <v>5658</v>
      </c>
      <c r="V1504" t="s">
        <v>5655</v>
      </c>
      <c r="W1504">
        <v>65</v>
      </c>
      <c r="X1504" t="s">
        <v>374</v>
      </c>
      <c r="Y1504" t="str">
        <f>VLOOKUP(C1504,'[1]DBS_KPY Sorumlular'!A:C,2,FALSE)</f>
        <v>Kadir TOPÇU</v>
      </c>
      <c r="Z1504" t="str">
        <f>VLOOKUP(C1504,'[1]DBS_KPY Sorumlular'!A:C,3,FALSE)</f>
        <v>Erkan AKDOĞAN</v>
      </c>
      <c r="AA1504" t="str">
        <f>VLOOKUP(K1504,[1]!Tablo3[#Data],2,FALSE)</f>
        <v>Erkan AKDOĞAN</v>
      </c>
    </row>
    <row r="1505" spans="1:27" x14ac:dyDescent="0.25">
      <c r="A1505">
        <v>2831</v>
      </c>
      <c r="B1505" t="s">
        <v>1419</v>
      </c>
      <c r="C1505" t="s">
        <v>1674</v>
      </c>
      <c r="D1505" t="s">
        <v>1675</v>
      </c>
      <c r="F1505" t="s">
        <v>66</v>
      </c>
      <c r="G1505" t="s">
        <v>67</v>
      </c>
      <c r="H1505" t="s">
        <v>5659</v>
      </c>
      <c r="I1505" s="4"/>
      <c r="J1505" t="s">
        <v>5660</v>
      </c>
      <c r="K1505" t="s">
        <v>152</v>
      </c>
      <c r="L1505" s="5"/>
      <c r="M1505" s="5"/>
      <c r="N1505" t="s">
        <v>35</v>
      </c>
      <c r="O1505" t="s">
        <v>5661</v>
      </c>
      <c r="S1505" t="s">
        <v>57</v>
      </c>
      <c r="T1505" s="5" t="s">
        <v>48</v>
      </c>
      <c r="U1505" t="s">
        <v>5662</v>
      </c>
      <c r="V1505" t="s">
        <v>5659</v>
      </c>
      <c r="W1505">
        <v>104</v>
      </c>
      <c r="X1505" t="s">
        <v>703</v>
      </c>
      <c r="Y1505" t="str">
        <f>VLOOKUP(C1505,'[1]DBS_KPY Sorumlular'!A:C,2,FALSE)</f>
        <v>Kadir TOPÇU</v>
      </c>
      <c r="Z1505" t="str">
        <f>VLOOKUP(C1505,'[1]DBS_KPY Sorumlular'!A:C,3,FALSE)</f>
        <v>Erkan AKDOĞAN</v>
      </c>
      <c r="AA1505" t="str">
        <f>VLOOKUP(K1505,[1]!Tablo3[#Data],2,FALSE)</f>
        <v>Erkan AKDOĞAN</v>
      </c>
    </row>
    <row r="1506" spans="1:27" x14ac:dyDescent="0.25">
      <c r="A1506">
        <v>2832</v>
      </c>
      <c r="B1506" t="s">
        <v>1419</v>
      </c>
      <c r="C1506" t="s">
        <v>1674</v>
      </c>
      <c r="D1506" t="s">
        <v>1675</v>
      </c>
      <c r="F1506" t="s">
        <v>66</v>
      </c>
      <c r="G1506" t="s">
        <v>67</v>
      </c>
      <c r="H1506" t="s">
        <v>5663</v>
      </c>
      <c r="I1506" s="4"/>
      <c r="J1506" t="s">
        <v>5664</v>
      </c>
      <c r="K1506" t="s">
        <v>636</v>
      </c>
      <c r="L1506" s="5"/>
      <c r="M1506" s="5"/>
      <c r="N1506" t="s">
        <v>35</v>
      </c>
      <c r="O1506" t="s">
        <v>5665</v>
      </c>
      <c r="S1506" t="s">
        <v>57</v>
      </c>
      <c r="T1506" s="5" t="s">
        <v>48</v>
      </c>
      <c r="U1506" t="s">
        <v>5666</v>
      </c>
      <c r="V1506" t="s">
        <v>5663</v>
      </c>
      <c r="W1506">
        <v>90</v>
      </c>
      <c r="X1506" t="s">
        <v>1851</v>
      </c>
      <c r="Y1506" t="str">
        <f>VLOOKUP(C1506,'[1]DBS_KPY Sorumlular'!A:C,2,FALSE)</f>
        <v>Kadir TOPÇU</v>
      </c>
      <c r="Z1506" t="str">
        <f>VLOOKUP(C1506,'[1]DBS_KPY Sorumlular'!A:C,3,FALSE)</f>
        <v>Erkan AKDOĞAN</v>
      </c>
      <c r="AA1506" t="str">
        <f>VLOOKUP(K1506,[1]!Tablo3[#Data],2,FALSE)</f>
        <v>Erkan AKDOĞAN</v>
      </c>
    </row>
    <row r="1507" spans="1:27" x14ac:dyDescent="0.25">
      <c r="A1507">
        <v>2833</v>
      </c>
      <c r="B1507" t="s">
        <v>1419</v>
      </c>
      <c r="C1507" t="s">
        <v>1674</v>
      </c>
      <c r="D1507" t="s">
        <v>1675</v>
      </c>
      <c r="F1507" t="s">
        <v>52</v>
      </c>
      <c r="G1507" t="s">
        <v>67</v>
      </c>
      <c r="H1507" t="s">
        <v>5667</v>
      </c>
      <c r="I1507" s="4"/>
      <c r="J1507" t="s">
        <v>5668</v>
      </c>
      <c r="K1507" t="s">
        <v>232</v>
      </c>
      <c r="L1507" s="5"/>
      <c r="M1507" s="5"/>
      <c r="N1507" t="s">
        <v>35</v>
      </c>
      <c r="O1507" t="s">
        <v>5669</v>
      </c>
      <c r="S1507" t="s">
        <v>57</v>
      </c>
      <c r="T1507" s="5" t="s">
        <v>48</v>
      </c>
      <c r="U1507" t="s">
        <v>5670</v>
      </c>
      <c r="V1507" t="s">
        <v>5667</v>
      </c>
      <c r="W1507">
        <v>65</v>
      </c>
      <c r="X1507" t="s">
        <v>374</v>
      </c>
      <c r="Y1507" t="str">
        <f>VLOOKUP(C1507,'[1]DBS_KPY Sorumlular'!A:C,2,FALSE)</f>
        <v>Kadir TOPÇU</v>
      </c>
      <c r="Z1507" t="str">
        <f>VLOOKUP(C1507,'[1]DBS_KPY Sorumlular'!A:C,3,FALSE)</f>
        <v>Erkan AKDOĞAN</v>
      </c>
      <c r="AA1507" t="str">
        <f>VLOOKUP(K1507,[1]!Tablo3[#Data],2,FALSE)</f>
        <v>Erkan AKDOĞAN</v>
      </c>
    </row>
    <row r="1508" spans="1:27" x14ac:dyDescent="0.25">
      <c r="A1508">
        <v>2834</v>
      </c>
      <c r="B1508" t="s">
        <v>1419</v>
      </c>
      <c r="C1508" t="s">
        <v>1674</v>
      </c>
      <c r="D1508" t="s">
        <v>1675</v>
      </c>
      <c r="F1508" t="s">
        <v>52</v>
      </c>
      <c r="G1508" t="s">
        <v>67</v>
      </c>
      <c r="H1508" t="s">
        <v>5671</v>
      </c>
      <c r="I1508" s="4"/>
      <c r="J1508" t="s">
        <v>5672</v>
      </c>
      <c r="K1508" t="s">
        <v>232</v>
      </c>
      <c r="L1508" s="5"/>
      <c r="M1508" s="5"/>
      <c r="N1508" t="s">
        <v>35</v>
      </c>
      <c r="O1508" t="s">
        <v>5673</v>
      </c>
      <c r="S1508" t="s">
        <v>57</v>
      </c>
      <c r="T1508" s="5" t="s">
        <v>48</v>
      </c>
      <c r="U1508" t="s">
        <v>5674</v>
      </c>
      <c r="V1508" t="s">
        <v>5671</v>
      </c>
      <c r="W1508">
        <v>65</v>
      </c>
      <c r="X1508" t="s">
        <v>374</v>
      </c>
      <c r="Y1508" t="str">
        <f>VLOOKUP(C1508,'[1]DBS_KPY Sorumlular'!A:C,2,FALSE)</f>
        <v>Kadir TOPÇU</v>
      </c>
      <c r="Z1508" t="str">
        <f>VLOOKUP(C1508,'[1]DBS_KPY Sorumlular'!A:C,3,FALSE)</f>
        <v>Erkan AKDOĞAN</v>
      </c>
      <c r="AA1508" t="str">
        <f>VLOOKUP(K1508,[1]!Tablo3[#Data],2,FALSE)</f>
        <v>Erkan AKDOĞAN</v>
      </c>
    </row>
    <row r="1509" spans="1:27" x14ac:dyDescent="0.25">
      <c r="A1509">
        <v>2835</v>
      </c>
      <c r="B1509" t="s">
        <v>1419</v>
      </c>
      <c r="C1509" t="s">
        <v>1674</v>
      </c>
      <c r="D1509" t="s">
        <v>1675</v>
      </c>
      <c r="F1509" t="s">
        <v>66</v>
      </c>
      <c r="G1509" t="s">
        <v>67</v>
      </c>
      <c r="H1509" t="s">
        <v>5675</v>
      </c>
      <c r="I1509" s="4"/>
      <c r="J1509" t="s">
        <v>5676</v>
      </c>
      <c r="K1509" t="s">
        <v>217</v>
      </c>
      <c r="L1509" s="5" t="s">
        <v>5677</v>
      </c>
      <c r="M1509" s="5"/>
      <c r="N1509" t="s">
        <v>35</v>
      </c>
      <c r="O1509" t="s">
        <v>5678</v>
      </c>
      <c r="S1509" t="s">
        <v>57</v>
      </c>
      <c r="T1509" s="5" t="s">
        <v>48</v>
      </c>
      <c r="U1509" t="s">
        <v>5679</v>
      </c>
      <c r="V1509" t="s">
        <v>5675</v>
      </c>
      <c r="W1509">
        <v>208</v>
      </c>
      <c r="X1509" t="s">
        <v>594</v>
      </c>
      <c r="Y1509" t="str">
        <f>VLOOKUP(C1509,'[1]DBS_KPY Sorumlular'!A:C,2,FALSE)</f>
        <v>Kadir TOPÇU</v>
      </c>
      <c r="Z1509" t="str">
        <f>VLOOKUP(C1509,'[1]DBS_KPY Sorumlular'!A:C,3,FALSE)</f>
        <v>Erkan AKDOĞAN</v>
      </c>
      <c r="AA1509" t="str">
        <f>VLOOKUP(K1509,[1]!Tablo3[#Data],2,FALSE)</f>
        <v>Erkan AKDOĞAN</v>
      </c>
    </row>
    <row r="1510" spans="1:27" x14ac:dyDescent="0.25">
      <c r="A1510">
        <v>2836</v>
      </c>
      <c r="B1510" t="s">
        <v>1419</v>
      </c>
      <c r="C1510" t="s">
        <v>1674</v>
      </c>
      <c r="D1510" t="s">
        <v>1675</v>
      </c>
      <c r="F1510" t="s">
        <v>52</v>
      </c>
      <c r="G1510" t="s">
        <v>67</v>
      </c>
      <c r="H1510" t="s">
        <v>5680</v>
      </c>
      <c r="I1510" s="4"/>
      <c r="J1510" t="s">
        <v>5681</v>
      </c>
      <c r="K1510" t="s">
        <v>325</v>
      </c>
      <c r="L1510" s="5"/>
      <c r="M1510" s="5"/>
      <c r="N1510" t="s">
        <v>35</v>
      </c>
      <c r="O1510" t="s">
        <v>5682</v>
      </c>
      <c r="S1510" t="s">
        <v>230</v>
      </c>
      <c r="T1510" s="5" t="s">
        <v>48</v>
      </c>
      <c r="U1510" t="s">
        <v>5683</v>
      </c>
      <c r="V1510" t="s">
        <v>5680</v>
      </c>
      <c r="W1510">
        <v>103</v>
      </c>
      <c r="X1510" t="s">
        <v>353</v>
      </c>
      <c r="Y1510" t="str">
        <f>VLOOKUP(C1510,'[1]DBS_KPY Sorumlular'!A:C,2,FALSE)</f>
        <v>Kadir TOPÇU</v>
      </c>
      <c r="Z1510" t="str">
        <f>VLOOKUP(C1510,'[1]DBS_KPY Sorumlular'!A:C,3,FALSE)</f>
        <v>Erkan AKDOĞAN</v>
      </c>
      <c r="AA1510" t="str">
        <f>VLOOKUP(K1510,[1]!Tablo3[#Data],2,FALSE)</f>
        <v>Kadir TOPÇU</v>
      </c>
    </row>
    <row r="1511" spans="1:27" x14ac:dyDescent="0.25">
      <c r="A1511">
        <v>2837</v>
      </c>
      <c r="B1511" t="s">
        <v>1419</v>
      </c>
      <c r="C1511" t="s">
        <v>1674</v>
      </c>
      <c r="D1511" t="s">
        <v>1675</v>
      </c>
      <c r="F1511" t="s">
        <v>52</v>
      </c>
      <c r="G1511" t="s">
        <v>67</v>
      </c>
      <c r="H1511" t="s">
        <v>5684</v>
      </c>
      <c r="I1511" s="4"/>
      <c r="J1511" t="s">
        <v>5685</v>
      </c>
      <c r="K1511" t="s">
        <v>325</v>
      </c>
      <c r="L1511" s="5"/>
      <c r="M1511" s="5"/>
      <c r="N1511" t="s">
        <v>35</v>
      </c>
      <c r="O1511" t="s">
        <v>5686</v>
      </c>
      <c r="S1511" t="s">
        <v>230</v>
      </c>
      <c r="T1511" s="5" t="s">
        <v>48</v>
      </c>
      <c r="U1511" t="s">
        <v>5687</v>
      </c>
      <c r="V1511" t="s">
        <v>5684</v>
      </c>
      <c r="W1511">
        <v>65</v>
      </c>
      <c r="X1511" t="s">
        <v>374</v>
      </c>
      <c r="Y1511" t="str">
        <f>VLOOKUP(C1511,'[1]DBS_KPY Sorumlular'!A:C,2,FALSE)</f>
        <v>Kadir TOPÇU</v>
      </c>
      <c r="Z1511" t="str">
        <f>VLOOKUP(C1511,'[1]DBS_KPY Sorumlular'!A:C,3,FALSE)</f>
        <v>Erkan AKDOĞAN</v>
      </c>
      <c r="AA1511" t="str">
        <f>VLOOKUP(K1511,[1]!Tablo3[#Data],2,FALSE)</f>
        <v>Kadir TOPÇU</v>
      </c>
    </row>
    <row r="1512" spans="1:27" x14ac:dyDescent="0.25">
      <c r="A1512">
        <v>2838</v>
      </c>
      <c r="B1512" t="s">
        <v>1419</v>
      </c>
      <c r="C1512" t="s">
        <v>1674</v>
      </c>
      <c r="D1512" t="s">
        <v>1675</v>
      </c>
      <c r="F1512" t="s">
        <v>306</v>
      </c>
      <c r="G1512" t="s">
        <v>96</v>
      </c>
      <c r="H1512" t="s">
        <v>5688</v>
      </c>
      <c r="I1512" s="4"/>
      <c r="J1512" t="s">
        <v>5689</v>
      </c>
      <c r="K1512" t="s">
        <v>325</v>
      </c>
      <c r="L1512" s="5"/>
      <c r="M1512" s="5"/>
      <c r="N1512" t="s">
        <v>35</v>
      </c>
      <c r="O1512" t="s">
        <v>5690</v>
      </c>
      <c r="S1512" t="s">
        <v>230</v>
      </c>
      <c r="T1512" s="5" t="s">
        <v>48</v>
      </c>
      <c r="U1512" t="s">
        <v>5691</v>
      </c>
      <c r="V1512" t="s">
        <v>5688</v>
      </c>
      <c r="W1512">
        <v>28</v>
      </c>
      <c r="X1512" t="s">
        <v>667</v>
      </c>
      <c r="Y1512" t="str">
        <f>VLOOKUP(C1512,'[1]DBS_KPY Sorumlular'!A:C,2,FALSE)</f>
        <v>Kadir TOPÇU</v>
      </c>
      <c r="Z1512" t="str">
        <f>VLOOKUP(C1512,'[1]DBS_KPY Sorumlular'!A:C,3,FALSE)</f>
        <v>Erkan AKDOĞAN</v>
      </c>
      <c r="AA1512" t="str">
        <f>VLOOKUP(K1512,[1]!Tablo3[#Data],2,FALSE)</f>
        <v>Kadir TOPÇU</v>
      </c>
    </row>
    <row r="1513" spans="1:27" x14ac:dyDescent="0.25">
      <c r="A1513">
        <v>2839</v>
      </c>
      <c r="B1513" t="s">
        <v>1419</v>
      </c>
      <c r="C1513" t="s">
        <v>1674</v>
      </c>
      <c r="D1513" t="s">
        <v>1675</v>
      </c>
      <c r="F1513" t="s">
        <v>52</v>
      </c>
      <c r="G1513" t="s">
        <v>67</v>
      </c>
      <c r="H1513" t="s">
        <v>5692</v>
      </c>
      <c r="I1513" s="4"/>
      <c r="J1513" t="s">
        <v>5693</v>
      </c>
      <c r="K1513" t="s">
        <v>364</v>
      </c>
      <c r="L1513" s="5"/>
      <c r="M1513" s="5"/>
      <c r="N1513" t="s">
        <v>35</v>
      </c>
      <c r="O1513" t="s">
        <v>5694</v>
      </c>
      <c r="S1513" t="s">
        <v>230</v>
      </c>
      <c r="T1513" s="5" t="s">
        <v>48</v>
      </c>
      <c r="U1513" t="s">
        <v>5695</v>
      </c>
      <c r="V1513" t="s">
        <v>5692</v>
      </c>
      <c r="W1513">
        <v>65</v>
      </c>
      <c r="X1513" t="s">
        <v>374</v>
      </c>
      <c r="Y1513" t="str">
        <f>VLOOKUP(C1513,'[1]DBS_KPY Sorumlular'!A:C,2,FALSE)</f>
        <v>Kadir TOPÇU</v>
      </c>
      <c r="Z1513" t="str">
        <f>VLOOKUP(C1513,'[1]DBS_KPY Sorumlular'!A:C,3,FALSE)</f>
        <v>Erkan AKDOĞAN</v>
      </c>
      <c r="AA1513" t="str">
        <f>VLOOKUP(K1513,[1]!Tablo3[#Data],2,FALSE)</f>
        <v>Kadir TOPÇU</v>
      </c>
    </row>
    <row r="1514" spans="1:27" x14ac:dyDescent="0.25">
      <c r="A1514">
        <v>2840</v>
      </c>
      <c r="B1514" t="s">
        <v>1419</v>
      </c>
      <c r="C1514" t="s">
        <v>1674</v>
      </c>
      <c r="D1514" t="s">
        <v>1675</v>
      </c>
      <c r="F1514" t="s">
        <v>95</v>
      </c>
      <c r="G1514" t="s">
        <v>291</v>
      </c>
      <c r="H1514" t="s">
        <v>5696</v>
      </c>
      <c r="I1514" s="4"/>
      <c r="J1514" t="s">
        <v>5697</v>
      </c>
      <c r="K1514" t="s">
        <v>459</v>
      </c>
      <c r="L1514" s="5" t="s">
        <v>5698</v>
      </c>
      <c r="M1514" s="5"/>
      <c r="N1514" t="s">
        <v>35</v>
      </c>
      <c r="O1514" t="s">
        <v>5699</v>
      </c>
      <c r="S1514" t="s">
        <v>57</v>
      </c>
      <c r="T1514" s="5" t="s">
        <v>48</v>
      </c>
      <c r="U1514" t="s">
        <v>5700</v>
      </c>
      <c r="V1514" t="s">
        <v>5696</v>
      </c>
      <c r="W1514">
        <v>150</v>
      </c>
      <c r="X1514" t="s">
        <v>485</v>
      </c>
      <c r="Y1514" t="str">
        <f>VLOOKUP(C1514,'[1]DBS_KPY Sorumlular'!A:C,2,FALSE)</f>
        <v>Kadir TOPÇU</v>
      </c>
      <c r="Z1514" t="str">
        <f>VLOOKUP(C1514,'[1]DBS_KPY Sorumlular'!A:C,3,FALSE)</f>
        <v>Erkan AKDOĞAN</v>
      </c>
      <c r="AA1514" t="str">
        <f>VLOOKUP(K1514,[1]!Tablo3[#Data],2,FALSE)</f>
        <v>Erkan AKDOĞAN</v>
      </c>
    </row>
    <row r="1515" spans="1:27" x14ac:dyDescent="0.25">
      <c r="A1515">
        <v>2841</v>
      </c>
      <c r="B1515" t="s">
        <v>1419</v>
      </c>
      <c r="C1515" t="s">
        <v>1674</v>
      </c>
      <c r="D1515" t="s">
        <v>1675</v>
      </c>
      <c r="F1515" t="s">
        <v>306</v>
      </c>
      <c r="G1515" t="s">
        <v>96</v>
      </c>
      <c r="H1515" t="s">
        <v>5701</v>
      </c>
      <c r="I1515" s="4"/>
      <c r="J1515" t="s">
        <v>5702</v>
      </c>
      <c r="K1515" t="s">
        <v>226</v>
      </c>
      <c r="L1515" s="5" t="s">
        <v>5703</v>
      </c>
      <c r="M1515" s="5"/>
      <c r="N1515" t="s">
        <v>35</v>
      </c>
      <c r="O1515" t="s">
        <v>5704</v>
      </c>
      <c r="S1515" t="s">
        <v>230</v>
      </c>
      <c r="T1515" s="5" t="s">
        <v>48</v>
      </c>
      <c r="U1515" t="s">
        <v>5705</v>
      </c>
      <c r="V1515" t="s">
        <v>5701</v>
      </c>
      <c r="W1515">
        <v>28</v>
      </c>
      <c r="X1515" t="s">
        <v>667</v>
      </c>
      <c r="Y1515" t="str">
        <f>VLOOKUP(C1515,'[1]DBS_KPY Sorumlular'!A:C,2,FALSE)</f>
        <v>Kadir TOPÇU</v>
      </c>
      <c r="Z1515" t="str">
        <f>VLOOKUP(C1515,'[1]DBS_KPY Sorumlular'!A:C,3,FALSE)</f>
        <v>Erkan AKDOĞAN</v>
      </c>
      <c r="AA1515" t="str">
        <f>VLOOKUP(K1515,[1]!Tablo3[#Data],2,FALSE)</f>
        <v>Kadir TOPÇU</v>
      </c>
    </row>
    <row r="1516" spans="1:27" x14ac:dyDescent="0.25">
      <c r="A1516">
        <v>2842</v>
      </c>
      <c r="B1516" t="s">
        <v>1419</v>
      </c>
      <c r="C1516" t="s">
        <v>1674</v>
      </c>
      <c r="D1516" t="s">
        <v>1675</v>
      </c>
      <c r="F1516" t="s">
        <v>306</v>
      </c>
      <c r="G1516" t="s">
        <v>96</v>
      </c>
      <c r="H1516" t="s">
        <v>5706</v>
      </c>
      <c r="I1516" s="4"/>
      <c r="J1516" t="s">
        <v>5707</v>
      </c>
      <c r="K1516" t="s">
        <v>226</v>
      </c>
      <c r="L1516" s="5"/>
      <c r="M1516" s="5"/>
      <c r="N1516" t="s">
        <v>35</v>
      </c>
      <c r="O1516" t="s">
        <v>5708</v>
      </c>
      <c r="S1516" t="s">
        <v>230</v>
      </c>
      <c r="T1516" s="5" t="s">
        <v>48</v>
      </c>
      <c r="U1516" t="s">
        <v>5709</v>
      </c>
      <c r="V1516" t="s">
        <v>5706</v>
      </c>
      <c r="W1516">
        <v>28</v>
      </c>
      <c r="X1516" t="s">
        <v>667</v>
      </c>
      <c r="Y1516" t="str">
        <f>VLOOKUP(C1516,'[1]DBS_KPY Sorumlular'!A:C,2,FALSE)</f>
        <v>Kadir TOPÇU</v>
      </c>
      <c r="Z1516" t="str">
        <f>VLOOKUP(C1516,'[1]DBS_KPY Sorumlular'!A:C,3,FALSE)</f>
        <v>Erkan AKDOĞAN</v>
      </c>
      <c r="AA1516" t="str">
        <f>VLOOKUP(K1516,[1]!Tablo3[#Data],2,FALSE)</f>
        <v>Kadir TOPÇU</v>
      </c>
    </row>
    <row r="1517" spans="1:27" x14ac:dyDescent="0.25">
      <c r="A1517">
        <v>2843</v>
      </c>
      <c r="B1517" t="s">
        <v>1419</v>
      </c>
      <c r="C1517" t="s">
        <v>1674</v>
      </c>
      <c r="D1517" t="s">
        <v>1675</v>
      </c>
      <c r="F1517" t="s">
        <v>66</v>
      </c>
      <c r="G1517" t="s">
        <v>67</v>
      </c>
      <c r="H1517" t="s">
        <v>5710</v>
      </c>
      <c r="I1517" s="4"/>
      <c r="J1517" t="s">
        <v>5711</v>
      </c>
      <c r="K1517" t="s">
        <v>586</v>
      </c>
      <c r="L1517" s="5"/>
      <c r="M1517" s="5"/>
      <c r="N1517" t="s">
        <v>35</v>
      </c>
      <c r="O1517" t="s">
        <v>5712</v>
      </c>
      <c r="S1517" t="s">
        <v>37</v>
      </c>
      <c r="T1517" s="5" t="s">
        <v>48</v>
      </c>
      <c r="U1517" t="s">
        <v>5713</v>
      </c>
      <c r="V1517" t="s">
        <v>5710</v>
      </c>
      <c r="W1517">
        <v>208</v>
      </c>
      <c r="X1517" t="s">
        <v>594</v>
      </c>
      <c r="Y1517" t="str">
        <f>VLOOKUP(C1517,'[1]DBS_KPY Sorumlular'!A:C,2,FALSE)</f>
        <v>Kadir TOPÇU</v>
      </c>
      <c r="Z1517" t="str">
        <f>VLOOKUP(C1517,'[1]DBS_KPY Sorumlular'!A:C,3,FALSE)</f>
        <v>Erkan AKDOĞAN</v>
      </c>
      <c r="AA1517" t="str">
        <f>VLOOKUP(K1517,[1]!Tablo3[#Data],2,FALSE)</f>
        <v>Tayfun VİÇE</v>
      </c>
    </row>
    <row r="1518" spans="1:27" x14ac:dyDescent="0.25">
      <c r="A1518">
        <v>2844</v>
      </c>
      <c r="B1518" t="s">
        <v>1419</v>
      </c>
      <c r="C1518" t="s">
        <v>1674</v>
      </c>
      <c r="D1518" t="s">
        <v>1675</v>
      </c>
      <c r="F1518" t="s">
        <v>66</v>
      </c>
      <c r="G1518" t="s">
        <v>67</v>
      </c>
      <c r="H1518" t="s">
        <v>5714</v>
      </c>
      <c r="I1518" s="4"/>
      <c r="J1518" t="s">
        <v>5715</v>
      </c>
      <c r="K1518" t="s">
        <v>636</v>
      </c>
      <c r="L1518" s="5"/>
      <c r="M1518" s="5"/>
      <c r="N1518" t="s">
        <v>35</v>
      </c>
      <c r="O1518" t="s">
        <v>5716</v>
      </c>
      <c r="S1518" t="s">
        <v>57</v>
      </c>
      <c r="T1518" s="5" t="s">
        <v>48</v>
      </c>
      <c r="U1518" t="s">
        <v>5717</v>
      </c>
      <c r="V1518" t="s">
        <v>5714</v>
      </c>
      <c r="W1518">
        <v>90</v>
      </c>
      <c r="X1518" t="s">
        <v>1851</v>
      </c>
      <c r="Y1518" t="str">
        <f>VLOOKUP(C1518,'[1]DBS_KPY Sorumlular'!A:C,2,FALSE)</f>
        <v>Kadir TOPÇU</v>
      </c>
      <c r="Z1518" t="str">
        <f>VLOOKUP(C1518,'[1]DBS_KPY Sorumlular'!A:C,3,FALSE)</f>
        <v>Erkan AKDOĞAN</v>
      </c>
      <c r="AA1518" t="str">
        <f>VLOOKUP(K1518,[1]!Tablo3[#Data],2,FALSE)</f>
        <v>Erkan AKDOĞAN</v>
      </c>
    </row>
    <row r="1519" spans="1:27" x14ac:dyDescent="0.25">
      <c r="A1519">
        <v>2845</v>
      </c>
      <c r="B1519" t="s">
        <v>1419</v>
      </c>
      <c r="C1519" t="s">
        <v>1674</v>
      </c>
      <c r="D1519" t="s">
        <v>1675</v>
      </c>
      <c r="F1519" t="s">
        <v>52</v>
      </c>
      <c r="G1519" t="s">
        <v>67</v>
      </c>
      <c r="H1519" t="s">
        <v>2685</v>
      </c>
      <c r="I1519" s="4"/>
      <c r="J1519" t="s">
        <v>5718</v>
      </c>
      <c r="K1519" t="s">
        <v>678</v>
      </c>
      <c r="L1519" s="5"/>
      <c r="M1519" s="5"/>
      <c r="N1519" t="s">
        <v>35</v>
      </c>
      <c r="O1519" t="s">
        <v>5719</v>
      </c>
      <c r="S1519" t="s">
        <v>230</v>
      </c>
      <c r="T1519" s="5" t="s">
        <v>48</v>
      </c>
      <c r="U1519" t="s">
        <v>2684</v>
      </c>
      <c r="V1519" t="s">
        <v>2685</v>
      </c>
      <c r="W1519">
        <v>65</v>
      </c>
      <c r="X1519" t="s">
        <v>374</v>
      </c>
      <c r="Y1519" t="str">
        <f>VLOOKUP(C1519,'[1]DBS_KPY Sorumlular'!A:C,2,FALSE)</f>
        <v>Kadir TOPÇU</v>
      </c>
      <c r="Z1519" t="str">
        <f>VLOOKUP(C1519,'[1]DBS_KPY Sorumlular'!A:C,3,FALSE)</f>
        <v>Erkan AKDOĞAN</v>
      </c>
      <c r="AA1519" t="str">
        <f>VLOOKUP(K1519,[1]!Tablo3[#Data],2,FALSE)</f>
        <v>Kadir TOPÇU</v>
      </c>
    </row>
    <row r="1520" spans="1:27" x14ac:dyDescent="0.25">
      <c r="A1520">
        <v>2846</v>
      </c>
      <c r="B1520" t="s">
        <v>1419</v>
      </c>
      <c r="C1520" t="s">
        <v>1674</v>
      </c>
      <c r="D1520" t="s">
        <v>1675</v>
      </c>
      <c r="F1520" t="s">
        <v>52</v>
      </c>
      <c r="G1520" t="s">
        <v>67</v>
      </c>
      <c r="H1520" t="s">
        <v>5720</v>
      </c>
      <c r="I1520" s="4"/>
      <c r="J1520" t="s">
        <v>5721</v>
      </c>
      <c r="K1520" t="s">
        <v>678</v>
      </c>
      <c r="L1520" s="5"/>
      <c r="M1520" s="5"/>
      <c r="N1520" t="s">
        <v>35</v>
      </c>
      <c r="O1520" t="s">
        <v>5722</v>
      </c>
      <c r="S1520" t="s">
        <v>230</v>
      </c>
      <c r="T1520" s="5" t="s">
        <v>48</v>
      </c>
      <c r="U1520" t="s">
        <v>5723</v>
      </c>
      <c r="V1520" t="s">
        <v>5720</v>
      </c>
      <c r="W1520">
        <v>103</v>
      </c>
      <c r="X1520" t="s">
        <v>353</v>
      </c>
      <c r="Y1520" t="str">
        <f>VLOOKUP(C1520,'[1]DBS_KPY Sorumlular'!A:C,2,FALSE)</f>
        <v>Kadir TOPÇU</v>
      </c>
      <c r="Z1520" t="str">
        <f>VLOOKUP(C1520,'[1]DBS_KPY Sorumlular'!A:C,3,FALSE)</f>
        <v>Erkan AKDOĞAN</v>
      </c>
      <c r="AA1520" t="str">
        <f>VLOOKUP(K1520,[1]!Tablo3[#Data],2,FALSE)</f>
        <v>Kadir TOPÇU</v>
      </c>
    </row>
    <row r="1521" spans="1:27" x14ac:dyDescent="0.25">
      <c r="A1521">
        <v>2847</v>
      </c>
      <c r="B1521" t="s">
        <v>1419</v>
      </c>
      <c r="C1521" t="s">
        <v>1674</v>
      </c>
      <c r="D1521" t="s">
        <v>1675</v>
      </c>
      <c r="F1521" t="s">
        <v>439</v>
      </c>
      <c r="G1521" t="s">
        <v>291</v>
      </c>
      <c r="H1521" t="s">
        <v>5724</v>
      </c>
      <c r="I1521" s="4"/>
      <c r="J1521" t="s">
        <v>2773</v>
      </c>
      <c r="K1521" t="s">
        <v>743</v>
      </c>
      <c r="L1521" s="5"/>
      <c r="M1521" s="5"/>
      <c r="N1521" t="s">
        <v>35</v>
      </c>
      <c r="O1521" t="s">
        <v>5725</v>
      </c>
      <c r="S1521" t="s">
        <v>230</v>
      </c>
      <c r="T1521" s="5" t="s">
        <v>48</v>
      </c>
      <c r="U1521" t="s">
        <v>5726</v>
      </c>
      <c r="V1521" t="s">
        <v>5724</v>
      </c>
      <c r="W1521">
        <v>148</v>
      </c>
      <c r="X1521" t="s">
        <v>368</v>
      </c>
      <c r="Y1521" t="str">
        <f>VLOOKUP(C1521,'[1]DBS_KPY Sorumlular'!A:C,2,FALSE)</f>
        <v>Kadir TOPÇU</v>
      </c>
      <c r="Z1521" t="str">
        <f>VLOOKUP(C1521,'[1]DBS_KPY Sorumlular'!A:C,3,FALSE)</f>
        <v>Erkan AKDOĞAN</v>
      </c>
      <c r="AA1521" t="str">
        <f>VLOOKUP(K1521,[1]!Tablo3[#Data],2,FALSE)</f>
        <v>Kadir TOPÇU</v>
      </c>
    </row>
    <row r="1522" spans="1:27" x14ac:dyDescent="0.25">
      <c r="A1522">
        <v>2848</v>
      </c>
      <c r="B1522" t="s">
        <v>1419</v>
      </c>
      <c r="C1522" t="s">
        <v>1674</v>
      </c>
      <c r="D1522" t="s">
        <v>1675</v>
      </c>
      <c r="F1522" t="s">
        <v>306</v>
      </c>
      <c r="G1522" t="s">
        <v>96</v>
      </c>
      <c r="H1522" t="s">
        <v>5727</v>
      </c>
      <c r="I1522" s="4"/>
      <c r="J1522" t="s">
        <v>5728</v>
      </c>
      <c r="K1522" t="s">
        <v>853</v>
      </c>
      <c r="L1522" s="5"/>
      <c r="M1522" s="5"/>
      <c r="N1522" t="s">
        <v>35</v>
      </c>
      <c r="O1522" t="s">
        <v>5729</v>
      </c>
      <c r="S1522" t="s">
        <v>57</v>
      </c>
      <c r="T1522" s="5" t="s">
        <v>48</v>
      </c>
      <c r="U1522" t="s">
        <v>5730</v>
      </c>
      <c r="V1522" t="s">
        <v>5727</v>
      </c>
      <c r="W1522">
        <v>91</v>
      </c>
      <c r="X1522" t="s">
        <v>101</v>
      </c>
      <c r="Y1522" t="str">
        <f>VLOOKUP(C1522,'[1]DBS_KPY Sorumlular'!A:C,2,FALSE)</f>
        <v>Kadir TOPÇU</v>
      </c>
      <c r="Z1522" t="str">
        <f>VLOOKUP(C1522,'[1]DBS_KPY Sorumlular'!A:C,3,FALSE)</f>
        <v>Erkan AKDOĞAN</v>
      </c>
      <c r="AA1522" t="str">
        <f>VLOOKUP(K1522,[1]!Tablo3[#Data],2,FALSE)</f>
        <v>Erkan AKDOĞAN</v>
      </c>
    </row>
    <row r="1523" spans="1:27" x14ac:dyDescent="0.25">
      <c r="A1523">
        <v>2849</v>
      </c>
      <c r="B1523" t="s">
        <v>1419</v>
      </c>
      <c r="C1523" t="s">
        <v>1674</v>
      </c>
      <c r="D1523" t="s">
        <v>1675</v>
      </c>
      <c r="F1523" t="s">
        <v>52</v>
      </c>
      <c r="G1523" t="s">
        <v>67</v>
      </c>
      <c r="H1523" t="s">
        <v>5731</v>
      </c>
      <c r="I1523" s="4"/>
      <c r="J1523" t="s">
        <v>5732</v>
      </c>
      <c r="K1523" t="s">
        <v>1002</v>
      </c>
      <c r="L1523" s="5"/>
      <c r="M1523" s="5"/>
      <c r="N1523" t="s">
        <v>35</v>
      </c>
      <c r="O1523" t="s">
        <v>5733</v>
      </c>
      <c r="S1523" t="s">
        <v>230</v>
      </c>
      <c r="T1523" s="5" t="s">
        <v>48</v>
      </c>
      <c r="U1523" t="s">
        <v>5734</v>
      </c>
      <c r="V1523" t="s">
        <v>5731</v>
      </c>
      <c r="W1523">
        <v>103</v>
      </c>
      <c r="X1523" t="s">
        <v>353</v>
      </c>
      <c r="Y1523" t="str">
        <f>VLOOKUP(C1523,'[1]DBS_KPY Sorumlular'!A:C,2,FALSE)</f>
        <v>Kadir TOPÇU</v>
      </c>
      <c r="Z1523" t="str">
        <f>VLOOKUP(C1523,'[1]DBS_KPY Sorumlular'!A:C,3,FALSE)</f>
        <v>Erkan AKDOĞAN</v>
      </c>
      <c r="AA1523" t="str">
        <f>VLOOKUP(K1523,[1]!Tablo3[#Data],2,FALSE)</f>
        <v>Kadir TOPÇU</v>
      </c>
    </row>
    <row r="1524" spans="1:27" x14ac:dyDescent="0.25">
      <c r="A1524">
        <v>2850</v>
      </c>
      <c r="B1524" t="s">
        <v>1419</v>
      </c>
      <c r="C1524" t="s">
        <v>1674</v>
      </c>
      <c r="D1524" t="s">
        <v>1675</v>
      </c>
      <c r="F1524" t="s">
        <v>184</v>
      </c>
      <c r="G1524" t="s">
        <v>43</v>
      </c>
      <c r="H1524" t="s">
        <v>5735</v>
      </c>
      <c r="I1524" s="4"/>
      <c r="J1524" t="s">
        <v>5736</v>
      </c>
      <c r="K1524" t="s">
        <v>1002</v>
      </c>
      <c r="L1524" s="5"/>
      <c r="M1524" s="5"/>
      <c r="N1524" t="s">
        <v>35</v>
      </c>
      <c r="O1524" t="s">
        <v>5737</v>
      </c>
      <c r="S1524" t="s">
        <v>230</v>
      </c>
      <c r="T1524" s="5" t="s">
        <v>48</v>
      </c>
      <c r="U1524" t="s">
        <v>5738</v>
      </c>
      <c r="V1524" t="s">
        <v>5735</v>
      </c>
      <c r="W1524">
        <v>86</v>
      </c>
      <c r="X1524" t="s">
        <v>189</v>
      </c>
      <c r="Y1524" t="str">
        <f>VLOOKUP(C1524,'[1]DBS_KPY Sorumlular'!A:C,2,FALSE)</f>
        <v>Kadir TOPÇU</v>
      </c>
      <c r="Z1524" t="str">
        <f>VLOOKUP(C1524,'[1]DBS_KPY Sorumlular'!A:C,3,FALSE)</f>
        <v>Erkan AKDOĞAN</v>
      </c>
      <c r="AA1524" t="str">
        <f>VLOOKUP(K1524,[1]!Tablo3[#Data],2,FALSE)</f>
        <v>Kadir TOPÇU</v>
      </c>
    </row>
    <row r="1525" spans="1:27" x14ac:dyDescent="0.25">
      <c r="A1525">
        <v>2851</v>
      </c>
      <c r="B1525" t="s">
        <v>1419</v>
      </c>
      <c r="C1525" t="s">
        <v>1674</v>
      </c>
      <c r="D1525" t="s">
        <v>1675</v>
      </c>
      <c r="F1525" t="s">
        <v>52</v>
      </c>
      <c r="G1525" t="s">
        <v>67</v>
      </c>
      <c r="H1525" t="s">
        <v>5739</v>
      </c>
      <c r="I1525" s="4"/>
      <c r="J1525" t="s">
        <v>5740</v>
      </c>
      <c r="K1525" t="s">
        <v>280</v>
      </c>
      <c r="L1525" s="5"/>
      <c r="M1525" s="5"/>
      <c r="N1525" t="s">
        <v>35</v>
      </c>
      <c r="O1525" t="s">
        <v>5741</v>
      </c>
      <c r="S1525" t="s">
        <v>57</v>
      </c>
      <c r="T1525" s="5" t="s">
        <v>48</v>
      </c>
      <c r="U1525" t="s">
        <v>5742</v>
      </c>
      <c r="V1525" t="s">
        <v>5739</v>
      </c>
      <c r="W1525">
        <v>65</v>
      </c>
      <c r="X1525" t="s">
        <v>374</v>
      </c>
      <c r="Y1525" t="str">
        <f>VLOOKUP(C1525,'[1]DBS_KPY Sorumlular'!A:C,2,FALSE)</f>
        <v>Kadir TOPÇU</v>
      </c>
      <c r="Z1525" t="str">
        <f>VLOOKUP(C1525,'[1]DBS_KPY Sorumlular'!A:C,3,FALSE)</f>
        <v>Erkan AKDOĞAN</v>
      </c>
      <c r="AA1525" t="str">
        <f>VLOOKUP(K1525,[1]!Tablo3[#Data],2,FALSE)</f>
        <v>Erkan AKDOĞAN</v>
      </c>
    </row>
    <row r="1526" spans="1:27" x14ac:dyDescent="0.25">
      <c r="A1526">
        <v>2852</v>
      </c>
      <c r="B1526" t="s">
        <v>1419</v>
      </c>
      <c r="C1526" t="s">
        <v>1674</v>
      </c>
      <c r="D1526" t="s">
        <v>1675</v>
      </c>
      <c r="F1526" t="s">
        <v>52</v>
      </c>
      <c r="G1526" t="s">
        <v>67</v>
      </c>
      <c r="H1526" t="s">
        <v>5743</v>
      </c>
      <c r="I1526" s="4"/>
      <c r="J1526" t="s">
        <v>5744</v>
      </c>
      <c r="K1526" t="s">
        <v>1157</v>
      </c>
      <c r="L1526" s="5"/>
      <c r="M1526" s="5"/>
      <c r="N1526" t="s">
        <v>35</v>
      </c>
      <c r="O1526" t="s">
        <v>5745</v>
      </c>
      <c r="S1526" t="s">
        <v>37</v>
      </c>
      <c r="T1526" s="5" t="s">
        <v>48</v>
      </c>
      <c r="U1526" t="s">
        <v>5746</v>
      </c>
      <c r="V1526" t="s">
        <v>5743</v>
      </c>
      <c r="W1526">
        <v>65</v>
      </c>
      <c r="X1526" t="s">
        <v>374</v>
      </c>
      <c r="Y1526" t="str">
        <f>VLOOKUP(C1526,'[1]DBS_KPY Sorumlular'!A:C,2,FALSE)</f>
        <v>Kadir TOPÇU</v>
      </c>
      <c r="Z1526" t="str">
        <f>VLOOKUP(C1526,'[1]DBS_KPY Sorumlular'!A:C,3,FALSE)</f>
        <v>Erkan AKDOĞAN</v>
      </c>
      <c r="AA1526" t="str">
        <f>VLOOKUP(K1526,[1]!Tablo3[#Data],2,FALSE)</f>
        <v>Tayfun VİÇE</v>
      </c>
    </row>
    <row r="1527" spans="1:27" x14ac:dyDescent="0.25">
      <c r="A1527">
        <v>2853</v>
      </c>
      <c r="B1527" t="s">
        <v>1419</v>
      </c>
      <c r="C1527" t="s">
        <v>1674</v>
      </c>
      <c r="D1527" t="s">
        <v>1675</v>
      </c>
      <c r="F1527" t="s">
        <v>52</v>
      </c>
      <c r="G1527" t="s">
        <v>67</v>
      </c>
      <c r="H1527" t="s">
        <v>5747</v>
      </c>
      <c r="I1527" s="4"/>
      <c r="J1527" t="s">
        <v>5748</v>
      </c>
      <c r="K1527" t="s">
        <v>1157</v>
      </c>
      <c r="L1527" s="5"/>
      <c r="M1527" s="5"/>
      <c r="N1527" t="s">
        <v>35</v>
      </c>
      <c r="O1527" t="s">
        <v>5749</v>
      </c>
      <c r="S1527" t="s">
        <v>37</v>
      </c>
      <c r="T1527" s="5" t="s">
        <v>48</v>
      </c>
      <c r="U1527" t="s">
        <v>5750</v>
      </c>
      <c r="V1527" t="s">
        <v>5747</v>
      </c>
      <c r="W1527">
        <v>65</v>
      </c>
      <c r="X1527" t="s">
        <v>374</v>
      </c>
      <c r="Y1527" t="str">
        <f>VLOOKUP(C1527,'[1]DBS_KPY Sorumlular'!A:C,2,FALSE)</f>
        <v>Kadir TOPÇU</v>
      </c>
      <c r="Z1527" t="str">
        <f>VLOOKUP(C1527,'[1]DBS_KPY Sorumlular'!A:C,3,FALSE)</f>
        <v>Erkan AKDOĞAN</v>
      </c>
      <c r="AA1527" t="str">
        <f>VLOOKUP(K1527,[1]!Tablo3[#Data],2,FALSE)</f>
        <v>Tayfun VİÇE</v>
      </c>
    </row>
    <row r="1528" spans="1:27" x14ac:dyDescent="0.25">
      <c r="A1528">
        <v>2854</v>
      </c>
      <c r="B1528" t="s">
        <v>1419</v>
      </c>
      <c r="C1528" t="s">
        <v>1674</v>
      </c>
      <c r="D1528" t="s">
        <v>1675</v>
      </c>
      <c r="F1528" t="s">
        <v>66</v>
      </c>
      <c r="G1528" t="s">
        <v>67</v>
      </c>
      <c r="H1528" t="s">
        <v>5751</v>
      </c>
      <c r="I1528" s="4"/>
      <c r="J1528" t="s">
        <v>5752</v>
      </c>
      <c r="K1528" t="s">
        <v>1221</v>
      </c>
      <c r="L1528" s="5"/>
      <c r="M1528" s="5"/>
      <c r="N1528" t="s">
        <v>35</v>
      </c>
      <c r="O1528" t="s">
        <v>5753</v>
      </c>
      <c r="S1528" t="s">
        <v>37</v>
      </c>
      <c r="T1528" s="5" t="s">
        <v>48</v>
      </c>
      <c r="U1528" t="s">
        <v>5754</v>
      </c>
      <c r="V1528" t="s">
        <v>5751</v>
      </c>
      <c r="W1528">
        <v>208</v>
      </c>
      <c r="X1528" t="s">
        <v>594</v>
      </c>
      <c r="Y1528" t="str">
        <f>VLOOKUP(C1528,'[1]DBS_KPY Sorumlular'!A:C,2,FALSE)</f>
        <v>Kadir TOPÇU</v>
      </c>
      <c r="Z1528" t="str">
        <f>VLOOKUP(C1528,'[1]DBS_KPY Sorumlular'!A:C,3,FALSE)</f>
        <v>Erkan AKDOĞAN</v>
      </c>
      <c r="AA1528" t="str">
        <f>VLOOKUP(K1528,[1]!Tablo3[#Data],2,FALSE)</f>
        <v>Tayfun VİÇE</v>
      </c>
    </row>
    <row r="1529" spans="1:27" x14ac:dyDescent="0.25">
      <c r="A1529">
        <v>2855</v>
      </c>
      <c r="B1529" t="s">
        <v>1419</v>
      </c>
      <c r="C1529" t="s">
        <v>1674</v>
      </c>
      <c r="D1529" t="s">
        <v>1675</v>
      </c>
      <c r="F1529" t="s">
        <v>52</v>
      </c>
      <c r="G1529" t="s">
        <v>67</v>
      </c>
      <c r="H1529" t="s">
        <v>5755</v>
      </c>
      <c r="I1529" s="4"/>
      <c r="J1529" t="s">
        <v>5756</v>
      </c>
      <c r="K1529" t="s">
        <v>926</v>
      </c>
      <c r="L1529" s="5"/>
      <c r="M1529" s="5"/>
      <c r="N1529" t="s">
        <v>35</v>
      </c>
      <c r="O1529" t="s">
        <v>5757</v>
      </c>
      <c r="S1529" t="s">
        <v>230</v>
      </c>
      <c r="T1529" s="5" t="s">
        <v>48</v>
      </c>
      <c r="U1529" t="s">
        <v>5758</v>
      </c>
      <c r="V1529" t="s">
        <v>5755</v>
      </c>
      <c r="W1529">
        <v>65</v>
      </c>
      <c r="X1529" t="s">
        <v>374</v>
      </c>
      <c r="Y1529" t="str">
        <f>VLOOKUP(C1529,'[1]DBS_KPY Sorumlular'!A:C,2,FALSE)</f>
        <v>Kadir TOPÇU</v>
      </c>
      <c r="Z1529" t="str">
        <f>VLOOKUP(C1529,'[1]DBS_KPY Sorumlular'!A:C,3,FALSE)</f>
        <v>Erkan AKDOĞAN</v>
      </c>
      <c r="AA1529" t="str">
        <f>VLOOKUP(K1529,[1]!Tablo3[#Data],2,FALSE)</f>
        <v>Kadir TOPÇU</v>
      </c>
    </row>
    <row r="1530" spans="1:27" x14ac:dyDescent="0.25">
      <c r="A1530">
        <v>2856</v>
      </c>
      <c r="B1530" t="s">
        <v>1419</v>
      </c>
      <c r="C1530" t="s">
        <v>1674</v>
      </c>
      <c r="D1530" t="s">
        <v>1675</v>
      </c>
      <c r="F1530" t="s">
        <v>66</v>
      </c>
      <c r="G1530" t="s">
        <v>67</v>
      </c>
      <c r="H1530" t="s">
        <v>5759</v>
      </c>
      <c r="I1530" s="4"/>
      <c r="J1530" t="s">
        <v>5760</v>
      </c>
      <c r="K1530" t="s">
        <v>926</v>
      </c>
      <c r="L1530" s="5"/>
      <c r="M1530" s="5"/>
      <c r="N1530" t="s">
        <v>35</v>
      </c>
      <c r="O1530" t="s">
        <v>5761</v>
      </c>
      <c r="S1530" t="s">
        <v>230</v>
      </c>
      <c r="T1530" s="5" t="s">
        <v>48</v>
      </c>
      <c r="U1530" t="s">
        <v>5762</v>
      </c>
      <c r="V1530" t="s">
        <v>5759</v>
      </c>
      <c r="W1530">
        <v>208</v>
      </c>
      <c r="X1530" t="s">
        <v>594</v>
      </c>
      <c r="Y1530" t="str">
        <f>VLOOKUP(C1530,'[1]DBS_KPY Sorumlular'!A:C,2,FALSE)</f>
        <v>Kadir TOPÇU</v>
      </c>
      <c r="Z1530" t="str">
        <f>VLOOKUP(C1530,'[1]DBS_KPY Sorumlular'!A:C,3,FALSE)</f>
        <v>Erkan AKDOĞAN</v>
      </c>
      <c r="AA1530" t="str">
        <f>VLOOKUP(K1530,[1]!Tablo3[#Data],2,FALSE)</f>
        <v>Kadir TOPÇU</v>
      </c>
    </row>
    <row r="1531" spans="1:27" x14ac:dyDescent="0.25">
      <c r="A1531">
        <v>2857</v>
      </c>
      <c r="B1531" t="s">
        <v>1419</v>
      </c>
      <c r="C1531" t="s">
        <v>1674</v>
      </c>
      <c r="D1531" t="s">
        <v>1675</v>
      </c>
      <c r="F1531" t="s">
        <v>66</v>
      </c>
      <c r="G1531" t="s">
        <v>67</v>
      </c>
      <c r="H1531" t="s">
        <v>5763</v>
      </c>
      <c r="I1531" s="4"/>
      <c r="J1531" t="s">
        <v>5764</v>
      </c>
      <c r="K1531" t="s">
        <v>926</v>
      </c>
      <c r="L1531" s="5"/>
      <c r="M1531" s="5"/>
      <c r="N1531" t="s">
        <v>35</v>
      </c>
      <c r="O1531" t="s">
        <v>5765</v>
      </c>
      <c r="S1531" t="s">
        <v>230</v>
      </c>
      <c r="T1531" s="5" t="s">
        <v>48</v>
      </c>
      <c r="U1531" t="s">
        <v>5766</v>
      </c>
      <c r="V1531" t="s">
        <v>5767</v>
      </c>
      <c r="W1531">
        <v>104</v>
      </c>
      <c r="X1531" t="s">
        <v>703</v>
      </c>
      <c r="Y1531" t="str">
        <f>VLOOKUP(C1531,'[1]DBS_KPY Sorumlular'!A:C,2,FALSE)</f>
        <v>Kadir TOPÇU</v>
      </c>
      <c r="Z1531" t="str">
        <f>VLOOKUP(C1531,'[1]DBS_KPY Sorumlular'!A:C,3,FALSE)</f>
        <v>Erkan AKDOĞAN</v>
      </c>
      <c r="AA1531" t="str">
        <f>VLOOKUP(K1531,[1]!Tablo3[#Data],2,FALSE)</f>
        <v>Kadir TOPÇU</v>
      </c>
    </row>
    <row r="1532" spans="1:27" x14ac:dyDescent="0.25">
      <c r="A1532">
        <v>2858</v>
      </c>
      <c r="B1532" t="s">
        <v>1419</v>
      </c>
      <c r="C1532" t="s">
        <v>1674</v>
      </c>
      <c r="D1532" t="s">
        <v>1675</v>
      </c>
      <c r="F1532" t="s">
        <v>66</v>
      </c>
      <c r="G1532" t="s">
        <v>67</v>
      </c>
      <c r="H1532" t="s">
        <v>5768</v>
      </c>
      <c r="I1532" s="4"/>
      <c r="J1532" t="s">
        <v>5769</v>
      </c>
      <c r="K1532" t="s">
        <v>926</v>
      </c>
      <c r="L1532" s="5"/>
      <c r="M1532" s="5" t="s">
        <v>5770</v>
      </c>
      <c r="N1532" t="s">
        <v>35</v>
      </c>
      <c r="O1532" t="s">
        <v>5771</v>
      </c>
      <c r="S1532" t="s">
        <v>230</v>
      </c>
      <c r="T1532" s="5" t="s">
        <v>48</v>
      </c>
      <c r="U1532" t="s">
        <v>5772</v>
      </c>
      <c r="V1532" t="s">
        <v>5768</v>
      </c>
      <c r="W1532">
        <v>208</v>
      </c>
      <c r="X1532" t="s">
        <v>594</v>
      </c>
      <c r="Y1532" t="str">
        <f>VLOOKUP(C1532,'[1]DBS_KPY Sorumlular'!A:C,2,FALSE)</f>
        <v>Kadir TOPÇU</v>
      </c>
      <c r="Z1532" t="str">
        <f>VLOOKUP(C1532,'[1]DBS_KPY Sorumlular'!A:C,3,FALSE)</f>
        <v>Erkan AKDOĞAN</v>
      </c>
      <c r="AA1532" t="str">
        <f>VLOOKUP(K1532,[1]!Tablo3[#Data],2,FALSE)</f>
        <v>Kadir TOPÇU</v>
      </c>
    </row>
    <row r="1533" spans="1:27" x14ac:dyDescent="0.25">
      <c r="A1533">
        <v>2859</v>
      </c>
      <c r="B1533" t="s">
        <v>1419</v>
      </c>
      <c r="C1533" t="s">
        <v>1674</v>
      </c>
      <c r="D1533" t="s">
        <v>1675</v>
      </c>
      <c r="F1533" t="s">
        <v>184</v>
      </c>
      <c r="G1533" t="s">
        <v>43</v>
      </c>
      <c r="H1533" t="s">
        <v>5773</v>
      </c>
      <c r="I1533" s="4"/>
      <c r="J1533" t="s">
        <v>5774</v>
      </c>
      <c r="K1533" t="s">
        <v>423</v>
      </c>
      <c r="L1533" s="5"/>
      <c r="M1533" s="5"/>
      <c r="N1533" t="s">
        <v>35</v>
      </c>
      <c r="O1533" t="s">
        <v>5775</v>
      </c>
      <c r="S1533" t="s">
        <v>230</v>
      </c>
      <c r="T1533" s="5" t="s">
        <v>48</v>
      </c>
      <c r="U1533" t="s">
        <v>5776</v>
      </c>
      <c r="V1533" t="s">
        <v>5773</v>
      </c>
      <c r="W1533">
        <v>86</v>
      </c>
      <c r="X1533" t="s">
        <v>189</v>
      </c>
      <c r="Y1533" t="str">
        <f>VLOOKUP(C1533,'[1]DBS_KPY Sorumlular'!A:C,2,FALSE)</f>
        <v>Kadir TOPÇU</v>
      </c>
      <c r="Z1533" t="str">
        <f>VLOOKUP(C1533,'[1]DBS_KPY Sorumlular'!A:C,3,FALSE)</f>
        <v>Erkan AKDOĞAN</v>
      </c>
      <c r="AA1533" t="str">
        <f>VLOOKUP(K1533,[1]!Tablo3[#Data],2,FALSE)</f>
        <v>Kadir TOPÇU</v>
      </c>
    </row>
    <row r="1534" spans="1:27" x14ac:dyDescent="0.25">
      <c r="A1534">
        <v>2860</v>
      </c>
      <c r="B1534" t="s">
        <v>1419</v>
      </c>
      <c r="C1534" t="s">
        <v>1674</v>
      </c>
      <c r="D1534" t="s">
        <v>1675</v>
      </c>
      <c r="F1534" t="s">
        <v>66</v>
      </c>
      <c r="G1534" t="s">
        <v>67</v>
      </c>
      <c r="H1534" t="s">
        <v>5777</v>
      </c>
      <c r="I1534" s="4"/>
      <c r="J1534" t="s">
        <v>5778</v>
      </c>
      <c r="K1534" t="s">
        <v>423</v>
      </c>
      <c r="L1534" s="5"/>
      <c r="M1534" s="5"/>
      <c r="N1534" t="s">
        <v>35</v>
      </c>
      <c r="O1534" t="s">
        <v>5779</v>
      </c>
      <c r="S1534" t="s">
        <v>230</v>
      </c>
      <c r="T1534" s="5" t="s">
        <v>48</v>
      </c>
      <c r="U1534" t="s">
        <v>5780</v>
      </c>
      <c r="V1534" t="s">
        <v>5777</v>
      </c>
      <c r="W1534">
        <v>203</v>
      </c>
      <c r="X1534" t="s">
        <v>72</v>
      </c>
      <c r="Y1534" t="str">
        <f>VLOOKUP(C1534,'[1]DBS_KPY Sorumlular'!A:C,2,FALSE)</f>
        <v>Kadir TOPÇU</v>
      </c>
      <c r="Z1534" t="str">
        <f>VLOOKUP(C1534,'[1]DBS_KPY Sorumlular'!A:C,3,FALSE)</f>
        <v>Erkan AKDOĞAN</v>
      </c>
      <c r="AA1534" t="str">
        <f>VLOOKUP(K1534,[1]!Tablo3[#Data],2,FALSE)</f>
        <v>Kadir TOPÇU</v>
      </c>
    </row>
    <row r="1535" spans="1:27" x14ac:dyDescent="0.25">
      <c r="A1535">
        <v>2861</v>
      </c>
      <c r="B1535" t="s">
        <v>1419</v>
      </c>
      <c r="C1535" t="s">
        <v>1674</v>
      </c>
      <c r="D1535" t="s">
        <v>1675</v>
      </c>
      <c r="F1535" t="s">
        <v>306</v>
      </c>
      <c r="G1535" t="s">
        <v>96</v>
      </c>
      <c r="H1535" t="s">
        <v>5781</v>
      </c>
      <c r="I1535" s="4"/>
      <c r="J1535" t="s">
        <v>5782</v>
      </c>
      <c r="K1535" t="s">
        <v>1360</v>
      </c>
      <c r="L1535" s="5"/>
      <c r="M1535" s="5"/>
      <c r="N1535" t="s">
        <v>35</v>
      </c>
      <c r="O1535" t="s">
        <v>5783</v>
      </c>
      <c r="S1535" t="s">
        <v>230</v>
      </c>
      <c r="T1535" s="5" t="s">
        <v>48</v>
      </c>
      <c r="U1535" t="s">
        <v>5784</v>
      </c>
      <c r="V1535" t="s">
        <v>5781</v>
      </c>
      <c r="W1535">
        <v>91</v>
      </c>
      <c r="X1535" t="s">
        <v>101</v>
      </c>
      <c r="Y1535" t="str">
        <f>VLOOKUP(C1535,'[1]DBS_KPY Sorumlular'!A:C,2,FALSE)</f>
        <v>Kadir TOPÇU</v>
      </c>
      <c r="Z1535" t="str">
        <f>VLOOKUP(C1535,'[1]DBS_KPY Sorumlular'!A:C,3,FALSE)</f>
        <v>Erkan AKDOĞAN</v>
      </c>
      <c r="AA1535" t="str">
        <f>VLOOKUP(K1535,[1]!Tablo3[#Data],2,FALSE)</f>
        <v>Kadir TOPÇU</v>
      </c>
    </row>
    <row r="1536" spans="1:27" x14ac:dyDescent="0.25">
      <c r="A1536">
        <v>2862</v>
      </c>
      <c r="B1536" t="s">
        <v>1419</v>
      </c>
      <c r="C1536" t="s">
        <v>1674</v>
      </c>
      <c r="D1536" t="s">
        <v>1675</v>
      </c>
      <c r="F1536" t="s">
        <v>439</v>
      </c>
      <c r="G1536" t="s">
        <v>291</v>
      </c>
      <c r="H1536" t="s">
        <v>5785</v>
      </c>
      <c r="I1536" s="4"/>
      <c r="J1536" t="s">
        <v>5786</v>
      </c>
      <c r="K1536" t="s">
        <v>1528</v>
      </c>
      <c r="L1536" s="5"/>
      <c r="M1536" s="5"/>
      <c r="N1536" t="s">
        <v>35</v>
      </c>
      <c r="O1536" t="s">
        <v>5787</v>
      </c>
      <c r="S1536" t="s">
        <v>37</v>
      </c>
      <c r="T1536" s="5" t="s">
        <v>48</v>
      </c>
      <c r="U1536" t="s">
        <v>5788</v>
      </c>
      <c r="V1536" t="s">
        <v>5785</v>
      </c>
      <c r="W1536">
        <v>148</v>
      </c>
      <c r="X1536" t="s">
        <v>368</v>
      </c>
      <c r="Y1536" t="str">
        <f>VLOOKUP(C1536,'[1]DBS_KPY Sorumlular'!A:C,2,FALSE)</f>
        <v>Kadir TOPÇU</v>
      </c>
      <c r="Z1536" t="str">
        <f>VLOOKUP(C1536,'[1]DBS_KPY Sorumlular'!A:C,3,FALSE)</f>
        <v>Erkan AKDOĞAN</v>
      </c>
      <c r="AA1536" t="str">
        <f>VLOOKUP(K1536,[1]!Tablo3[#Data],2,FALSE)</f>
        <v>Tayfun VİÇE</v>
      </c>
    </row>
    <row r="1537" spans="1:27" x14ac:dyDescent="0.25">
      <c r="A1537">
        <v>2863</v>
      </c>
      <c r="B1537" t="s">
        <v>1419</v>
      </c>
      <c r="C1537" t="s">
        <v>1674</v>
      </c>
      <c r="D1537" t="s">
        <v>1675</v>
      </c>
      <c r="F1537" t="s">
        <v>52</v>
      </c>
      <c r="G1537" t="s">
        <v>67</v>
      </c>
      <c r="H1537" t="s">
        <v>5789</v>
      </c>
      <c r="I1537" s="4"/>
      <c r="J1537" t="s">
        <v>5790</v>
      </c>
      <c r="K1537" t="s">
        <v>1528</v>
      </c>
      <c r="L1537" s="5"/>
      <c r="M1537" s="5"/>
      <c r="N1537" t="s">
        <v>35</v>
      </c>
      <c r="O1537" t="s">
        <v>5791</v>
      </c>
      <c r="S1537" t="s">
        <v>37</v>
      </c>
      <c r="T1537" s="5" t="s">
        <v>48</v>
      </c>
      <c r="U1537" t="s">
        <v>5792</v>
      </c>
      <c r="V1537" t="s">
        <v>5789</v>
      </c>
      <c r="W1537">
        <v>65</v>
      </c>
      <c r="X1537" t="s">
        <v>374</v>
      </c>
      <c r="Y1537" t="str">
        <f>VLOOKUP(C1537,'[1]DBS_KPY Sorumlular'!A:C,2,FALSE)</f>
        <v>Kadir TOPÇU</v>
      </c>
      <c r="Z1537" t="str">
        <f>VLOOKUP(C1537,'[1]DBS_KPY Sorumlular'!A:C,3,FALSE)</f>
        <v>Erkan AKDOĞAN</v>
      </c>
      <c r="AA1537" t="str">
        <f>VLOOKUP(K1537,[1]!Tablo3[#Data],2,FALSE)</f>
        <v>Tayfun VİÇE</v>
      </c>
    </row>
    <row r="1538" spans="1:27" x14ac:dyDescent="0.25">
      <c r="A1538">
        <v>2864</v>
      </c>
      <c r="B1538" t="s">
        <v>1419</v>
      </c>
      <c r="C1538" t="s">
        <v>1674</v>
      </c>
      <c r="D1538" t="s">
        <v>1675</v>
      </c>
      <c r="F1538" t="s">
        <v>52</v>
      </c>
      <c r="G1538" t="s">
        <v>67</v>
      </c>
      <c r="H1538" t="s">
        <v>5793</v>
      </c>
      <c r="I1538" s="4"/>
      <c r="J1538" t="s">
        <v>5794</v>
      </c>
      <c r="K1538" t="s">
        <v>1550</v>
      </c>
      <c r="L1538" s="5"/>
      <c r="M1538" s="5"/>
      <c r="N1538" t="s">
        <v>35</v>
      </c>
      <c r="O1538" t="s">
        <v>5795</v>
      </c>
      <c r="S1538" t="s">
        <v>230</v>
      </c>
      <c r="T1538" s="5" t="s">
        <v>48</v>
      </c>
      <c r="U1538" t="s">
        <v>5796</v>
      </c>
      <c r="V1538" t="s">
        <v>5793</v>
      </c>
      <c r="W1538">
        <v>103</v>
      </c>
      <c r="X1538" t="s">
        <v>353</v>
      </c>
      <c r="Y1538" t="str">
        <f>VLOOKUP(C1538,'[1]DBS_KPY Sorumlular'!A:C,2,FALSE)</f>
        <v>Kadir TOPÇU</v>
      </c>
      <c r="Z1538" t="str">
        <f>VLOOKUP(C1538,'[1]DBS_KPY Sorumlular'!A:C,3,FALSE)</f>
        <v>Erkan AKDOĞAN</v>
      </c>
      <c r="AA1538" t="str">
        <f>VLOOKUP(K1538,[1]!Tablo3[#Data],2,FALSE)</f>
        <v>Kadir TOPÇU</v>
      </c>
    </row>
    <row r="1539" spans="1:27" x14ac:dyDescent="0.25">
      <c r="A1539">
        <v>2865</v>
      </c>
      <c r="B1539" t="s">
        <v>1419</v>
      </c>
      <c r="C1539" t="s">
        <v>1674</v>
      </c>
      <c r="D1539" t="s">
        <v>1675</v>
      </c>
      <c r="F1539" t="s">
        <v>52</v>
      </c>
      <c r="G1539" t="s">
        <v>67</v>
      </c>
      <c r="H1539" t="s">
        <v>5797</v>
      </c>
      <c r="I1539" s="4"/>
      <c r="J1539" t="s">
        <v>5798</v>
      </c>
      <c r="K1539" t="s">
        <v>226</v>
      </c>
      <c r="L1539" s="5"/>
      <c r="M1539" s="5"/>
      <c r="N1539" t="s">
        <v>35</v>
      </c>
      <c r="O1539" t="s">
        <v>5799</v>
      </c>
      <c r="S1539" t="s">
        <v>230</v>
      </c>
      <c r="T1539" s="5" t="s">
        <v>48</v>
      </c>
      <c r="U1539" t="s">
        <v>5800</v>
      </c>
      <c r="V1539" t="s">
        <v>5797</v>
      </c>
      <c r="W1539">
        <v>65</v>
      </c>
      <c r="X1539" t="s">
        <v>374</v>
      </c>
      <c r="Y1539" t="str">
        <f>VLOOKUP(C1539,'[1]DBS_KPY Sorumlular'!A:C,2,FALSE)</f>
        <v>Kadir TOPÇU</v>
      </c>
      <c r="Z1539" t="str">
        <f>VLOOKUP(C1539,'[1]DBS_KPY Sorumlular'!A:C,3,FALSE)</f>
        <v>Erkan AKDOĞAN</v>
      </c>
      <c r="AA1539" t="str">
        <f>VLOOKUP(K1539,[1]!Tablo3[#Data],2,FALSE)</f>
        <v>Kadir TOPÇU</v>
      </c>
    </row>
    <row r="1540" spans="1:27" x14ac:dyDescent="0.25">
      <c r="A1540">
        <v>2866</v>
      </c>
      <c r="B1540" t="s">
        <v>1419</v>
      </c>
      <c r="C1540" t="s">
        <v>1674</v>
      </c>
      <c r="D1540" t="s">
        <v>1675</v>
      </c>
      <c r="F1540" t="s">
        <v>66</v>
      </c>
      <c r="G1540" t="s">
        <v>67</v>
      </c>
      <c r="H1540" t="s">
        <v>5801</v>
      </c>
      <c r="I1540" s="4"/>
      <c r="J1540" t="s">
        <v>5802</v>
      </c>
      <c r="K1540" t="s">
        <v>1471</v>
      </c>
      <c r="L1540" s="5"/>
      <c r="M1540" s="5"/>
      <c r="N1540" t="s">
        <v>35</v>
      </c>
      <c r="O1540" t="s">
        <v>5803</v>
      </c>
      <c r="S1540" t="s">
        <v>37</v>
      </c>
      <c r="T1540" s="5" t="s">
        <v>48</v>
      </c>
      <c r="U1540" t="s">
        <v>5804</v>
      </c>
      <c r="V1540" t="s">
        <v>5801</v>
      </c>
      <c r="W1540">
        <v>90</v>
      </c>
      <c r="X1540" t="s">
        <v>1851</v>
      </c>
      <c r="Y1540" t="str">
        <f>VLOOKUP(C1540,'[1]DBS_KPY Sorumlular'!A:C,2,FALSE)</f>
        <v>Kadir TOPÇU</v>
      </c>
      <c r="Z1540" t="str">
        <f>VLOOKUP(C1540,'[1]DBS_KPY Sorumlular'!A:C,3,FALSE)</f>
        <v>Erkan AKDOĞAN</v>
      </c>
      <c r="AA1540" t="str">
        <f>VLOOKUP(K1540,[1]!Tablo3[#Data],2,FALSE)</f>
        <v>Tayfun VİÇE</v>
      </c>
    </row>
    <row r="1541" spans="1:27" x14ac:dyDescent="0.25">
      <c r="A1541">
        <v>2867</v>
      </c>
      <c r="B1541" t="s">
        <v>1419</v>
      </c>
      <c r="C1541" t="s">
        <v>1674</v>
      </c>
      <c r="D1541" t="s">
        <v>1675</v>
      </c>
      <c r="F1541" t="s">
        <v>52</v>
      </c>
      <c r="G1541" t="s">
        <v>67</v>
      </c>
      <c r="H1541" t="s">
        <v>5805</v>
      </c>
      <c r="I1541" s="4"/>
      <c r="J1541" t="s">
        <v>5806</v>
      </c>
      <c r="K1541" t="s">
        <v>280</v>
      </c>
      <c r="L1541" s="5"/>
      <c r="M1541" s="5"/>
      <c r="N1541" t="s">
        <v>35</v>
      </c>
      <c r="O1541" t="s">
        <v>5807</v>
      </c>
      <c r="S1541" t="s">
        <v>57</v>
      </c>
      <c r="T1541" s="5" t="s">
        <v>48</v>
      </c>
      <c r="U1541" t="s">
        <v>5808</v>
      </c>
      <c r="V1541" t="s">
        <v>5805</v>
      </c>
      <c r="W1541">
        <v>65</v>
      </c>
      <c r="X1541" t="s">
        <v>374</v>
      </c>
      <c r="Y1541" t="str">
        <f>VLOOKUP(C1541,'[1]DBS_KPY Sorumlular'!A:C,2,FALSE)</f>
        <v>Kadir TOPÇU</v>
      </c>
      <c r="Z1541" t="str">
        <f>VLOOKUP(C1541,'[1]DBS_KPY Sorumlular'!A:C,3,FALSE)</f>
        <v>Erkan AKDOĞAN</v>
      </c>
      <c r="AA1541" t="str">
        <f>VLOOKUP(K1541,[1]!Tablo3[#Data],2,FALSE)</f>
        <v>Erkan AKDOĞAN</v>
      </c>
    </row>
    <row r="1542" spans="1:27" x14ac:dyDescent="0.25">
      <c r="A1542">
        <v>2868</v>
      </c>
      <c r="B1542" t="s">
        <v>1419</v>
      </c>
      <c r="C1542" t="s">
        <v>1674</v>
      </c>
      <c r="D1542" t="s">
        <v>1675</v>
      </c>
      <c r="F1542" t="s">
        <v>66</v>
      </c>
      <c r="G1542" t="s">
        <v>67</v>
      </c>
      <c r="H1542" t="s">
        <v>5809</v>
      </c>
      <c r="I1542" s="4"/>
      <c r="J1542" t="s">
        <v>5810</v>
      </c>
      <c r="K1542" t="s">
        <v>181</v>
      </c>
      <c r="L1542" s="5"/>
      <c r="M1542" s="5"/>
      <c r="N1542" t="s">
        <v>35</v>
      </c>
      <c r="O1542" t="s">
        <v>5811</v>
      </c>
      <c r="S1542" t="s">
        <v>57</v>
      </c>
      <c r="T1542" s="5" t="s">
        <v>48</v>
      </c>
      <c r="U1542" t="s">
        <v>5812</v>
      </c>
      <c r="V1542" t="s">
        <v>5809</v>
      </c>
      <c r="W1542">
        <v>208</v>
      </c>
      <c r="X1542" t="s">
        <v>594</v>
      </c>
      <c r="Y1542" t="str">
        <f>VLOOKUP(C1542,'[1]DBS_KPY Sorumlular'!A:C,2,FALSE)</f>
        <v>Kadir TOPÇU</v>
      </c>
      <c r="Z1542" t="str">
        <f>VLOOKUP(C1542,'[1]DBS_KPY Sorumlular'!A:C,3,FALSE)</f>
        <v>Erkan AKDOĞAN</v>
      </c>
      <c r="AA1542" t="str">
        <f>VLOOKUP(K1542,[1]!Tablo3[#Data],2,FALSE)</f>
        <v>Erkan AKDOĞAN</v>
      </c>
    </row>
    <row r="1543" spans="1:27" x14ac:dyDescent="0.25">
      <c r="A1543">
        <v>2869</v>
      </c>
      <c r="B1543" t="s">
        <v>1419</v>
      </c>
      <c r="C1543" t="s">
        <v>1674</v>
      </c>
      <c r="D1543" t="s">
        <v>1675</v>
      </c>
      <c r="F1543" t="s">
        <v>439</v>
      </c>
      <c r="G1543" t="s">
        <v>291</v>
      </c>
      <c r="H1543" t="s">
        <v>5813</v>
      </c>
      <c r="I1543" s="4"/>
      <c r="J1543" t="s">
        <v>5814</v>
      </c>
      <c r="K1543" t="s">
        <v>364</v>
      </c>
      <c r="L1543" s="5"/>
      <c r="M1543" s="5"/>
      <c r="N1543" t="s">
        <v>35</v>
      </c>
      <c r="O1543" t="s">
        <v>5815</v>
      </c>
      <c r="S1543" t="s">
        <v>230</v>
      </c>
      <c r="T1543" s="5" t="s">
        <v>48</v>
      </c>
      <c r="U1543" t="s">
        <v>5816</v>
      </c>
      <c r="V1543" t="s">
        <v>5813</v>
      </c>
      <c r="W1543">
        <v>77</v>
      </c>
      <c r="X1543" t="s">
        <v>3223</v>
      </c>
      <c r="Y1543" t="str">
        <f>VLOOKUP(C1543,'[1]DBS_KPY Sorumlular'!A:C,2,FALSE)</f>
        <v>Kadir TOPÇU</v>
      </c>
      <c r="Z1543" t="str">
        <f>VLOOKUP(C1543,'[1]DBS_KPY Sorumlular'!A:C,3,FALSE)</f>
        <v>Erkan AKDOĞAN</v>
      </c>
      <c r="AA1543" t="str">
        <f>VLOOKUP(K1543,[1]!Tablo3[#Data],2,FALSE)</f>
        <v>Kadir TOPÇU</v>
      </c>
    </row>
    <row r="1544" spans="1:27" x14ac:dyDescent="0.25">
      <c r="A1544">
        <v>2870</v>
      </c>
      <c r="B1544" t="s">
        <v>1419</v>
      </c>
      <c r="C1544" t="s">
        <v>1674</v>
      </c>
      <c r="D1544" t="s">
        <v>1675</v>
      </c>
      <c r="F1544" t="s">
        <v>439</v>
      </c>
      <c r="G1544" t="s">
        <v>291</v>
      </c>
      <c r="H1544" t="s">
        <v>5817</v>
      </c>
      <c r="I1544" s="4"/>
      <c r="J1544" t="s">
        <v>5818</v>
      </c>
      <c r="K1544" t="s">
        <v>226</v>
      </c>
      <c r="L1544" s="5"/>
      <c r="M1544" s="5"/>
      <c r="N1544" t="s">
        <v>35</v>
      </c>
      <c r="O1544" t="s">
        <v>5819</v>
      </c>
      <c r="S1544" t="s">
        <v>230</v>
      </c>
      <c r="T1544" s="5" t="s">
        <v>48</v>
      </c>
      <c r="U1544" t="s">
        <v>5820</v>
      </c>
      <c r="V1544" t="s">
        <v>5817</v>
      </c>
      <c r="W1544">
        <v>148</v>
      </c>
      <c r="X1544" t="s">
        <v>368</v>
      </c>
      <c r="Y1544" t="str">
        <f>VLOOKUP(C1544,'[1]DBS_KPY Sorumlular'!A:C,2,FALSE)</f>
        <v>Kadir TOPÇU</v>
      </c>
      <c r="Z1544" t="str">
        <f>VLOOKUP(C1544,'[1]DBS_KPY Sorumlular'!A:C,3,FALSE)</f>
        <v>Erkan AKDOĞAN</v>
      </c>
      <c r="AA1544" t="str">
        <f>VLOOKUP(K1544,[1]!Tablo3[#Data],2,FALSE)</f>
        <v>Kadir TOPÇU</v>
      </c>
    </row>
    <row r="1545" spans="1:27" x14ac:dyDescent="0.25">
      <c r="A1545">
        <v>2871</v>
      </c>
      <c r="B1545" t="s">
        <v>1419</v>
      </c>
      <c r="C1545" t="s">
        <v>1674</v>
      </c>
      <c r="D1545" t="s">
        <v>1675</v>
      </c>
      <c r="F1545" t="s">
        <v>439</v>
      </c>
      <c r="G1545" t="s">
        <v>291</v>
      </c>
      <c r="H1545" t="s">
        <v>5821</v>
      </c>
      <c r="I1545" s="4"/>
      <c r="J1545" t="s">
        <v>5822</v>
      </c>
      <c r="K1545" t="s">
        <v>926</v>
      </c>
      <c r="L1545" s="5"/>
      <c r="M1545" s="5"/>
      <c r="N1545" t="s">
        <v>35</v>
      </c>
      <c r="O1545" t="s">
        <v>5823</v>
      </c>
      <c r="S1545" t="s">
        <v>230</v>
      </c>
      <c r="T1545" s="5" t="s">
        <v>48</v>
      </c>
      <c r="U1545" t="s">
        <v>5824</v>
      </c>
      <c r="V1545" t="s">
        <v>5821</v>
      </c>
      <c r="W1545">
        <v>148</v>
      </c>
      <c r="X1545" t="s">
        <v>368</v>
      </c>
      <c r="Y1545" t="str">
        <f>VLOOKUP(C1545,'[1]DBS_KPY Sorumlular'!A:C,2,FALSE)</f>
        <v>Kadir TOPÇU</v>
      </c>
      <c r="Z1545" t="str">
        <f>VLOOKUP(C1545,'[1]DBS_KPY Sorumlular'!A:C,3,FALSE)</f>
        <v>Erkan AKDOĞAN</v>
      </c>
      <c r="AA1545" t="str">
        <f>VLOOKUP(K1545,[1]!Tablo3[#Data],2,FALSE)</f>
        <v>Kadir TOPÇU</v>
      </c>
    </row>
    <row r="1546" spans="1:27" x14ac:dyDescent="0.25">
      <c r="A1546">
        <v>2872</v>
      </c>
      <c r="B1546" t="s">
        <v>1419</v>
      </c>
      <c r="C1546" t="s">
        <v>1674</v>
      </c>
      <c r="D1546" t="s">
        <v>1675</v>
      </c>
      <c r="F1546" t="s">
        <v>66</v>
      </c>
      <c r="G1546" t="s">
        <v>67</v>
      </c>
      <c r="H1546" t="s">
        <v>5825</v>
      </c>
      <c r="I1546" s="4"/>
      <c r="J1546" t="s">
        <v>5826</v>
      </c>
      <c r="K1546" t="s">
        <v>926</v>
      </c>
      <c r="L1546" s="5" t="s">
        <v>5827</v>
      </c>
      <c r="M1546" s="5"/>
      <c r="N1546" t="s">
        <v>739</v>
      </c>
      <c r="O1546" t="s">
        <v>5828</v>
      </c>
      <c r="S1546" t="s">
        <v>230</v>
      </c>
      <c r="T1546" s="5" t="s">
        <v>48</v>
      </c>
      <c r="U1546" t="s">
        <v>5829</v>
      </c>
      <c r="V1546" t="s">
        <v>5825</v>
      </c>
      <c r="W1546">
        <v>90</v>
      </c>
      <c r="X1546" t="s">
        <v>1851</v>
      </c>
      <c r="Y1546" t="str">
        <f>VLOOKUP(C1546,'[1]DBS_KPY Sorumlular'!A:C,2,FALSE)</f>
        <v>Kadir TOPÇU</v>
      </c>
      <c r="Z1546" t="str">
        <f>VLOOKUP(C1546,'[1]DBS_KPY Sorumlular'!A:C,3,FALSE)</f>
        <v>Erkan AKDOĞAN</v>
      </c>
      <c r="AA1546" t="str">
        <f>VLOOKUP(K1546,[1]!Tablo3[#Data],2,FALSE)</f>
        <v>Kadir TOPÇU</v>
      </c>
    </row>
    <row r="1547" spans="1:27" x14ac:dyDescent="0.25">
      <c r="A1547">
        <v>2873</v>
      </c>
      <c r="B1547" t="s">
        <v>1419</v>
      </c>
      <c r="C1547" t="s">
        <v>1674</v>
      </c>
      <c r="D1547" t="s">
        <v>1675</v>
      </c>
      <c r="F1547" t="s">
        <v>439</v>
      </c>
      <c r="G1547" t="s">
        <v>291</v>
      </c>
      <c r="H1547" t="s">
        <v>5830</v>
      </c>
      <c r="I1547" s="4"/>
      <c r="J1547" t="s">
        <v>5831</v>
      </c>
      <c r="K1547" t="s">
        <v>926</v>
      </c>
      <c r="L1547" s="5"/>
      <c r="M1547" s="5"/>
      <c r="N1547" t="s">
        <v>35</v>
      </c>
      <c r="O1547" t="s">
        <v>5832</v>
      </c>
      <c r="S1547" t="s">
        <v>230</v>
      </c>
      <c r="T1547" s="5" t="s">
        <v>48</v>
      </c>
      <c r="U1547" t="s">
        <v>5833</v>
      </c>
      <c r="V1547" t="s">
        <v>5830</v>
      </c>
      <c r="W1547">
        <v>148</v>
      </c>
      <c r="X1547" t="s">
        <v>368</v>
      </c>
      <c r="Y1547" t="str">
        <f>VLOOKUP(C1547,'[1]DBS_KPY Sorumlular'!A:C,2,FALSE)</f>
        <v>Kadir TOPÇU</v>
      </c>
      <c r="Z1547" t="str">
        <f>VLOOKUP(C1547,'[1]DBS_KPY Sorumlular'!A:C,3,FALSE)</f>
        <v>Erkan AKDOĞAN</v>
      </c>
      <c r="AA1547" t="str">
        <f>VLOOKUP(K1547,[1]!Tablo3[#Data],2,FALSE)</f>
        <v>Kadir TOPÇU</v>
      </c>
    </row>
    <row r="1548" spans="1:27" x14ac:dyDescent="0.25">
      <c r="A1548">
        <v>2874</v>
      </c>
      <c r="B1548" t="s">
        <v>1419</v>
      </c>
      <c r="C1548" t="s">
        <v>1674</v>
      </c>
      <c r="D1548" t="s">
        <v>1675</v>
      </c>
      <c r="F1548" t="s">
        <v>439</v>
      </c>
      <c r="G1548" t="s">
        <v>291</v>
      </c>
      <c r="H1548" t="s">
        <v>5834</v>
      </c>
      <c r="I1548" s="4"/>
      <c r="J1548" t="s">
        <v>5835</v>
      </c>
      <c r="K1548" t="s">
        <v>364</v>
      </c>
      <c r="L1548" s="5"/>
      <c r="M1548" s="5"/>
      <c r="N1548" t="s">
        <v>35</v>
      </c>
      <c r="O1548" t="s">
        <v>5836</v>
      </c>
      <c r="S1548" t="s">
        <v>230</v>
      </c>
      <c r="T1548" s="5" t="s">
        <v>48</v>
      </c>
      <c r="U1548" t="s">
        <v>5837</v>
      </c>
      <c r="V1548" t="s">
        <v>5834</v>
      </c>
      <c r="W1548">
        <v>148</v>
      </c>
      <c r="X1548" t="s">
        <v>368</v>
      </c>
      <c r="Y1548" t="str">
        <f>VLOOKUP(C1548,'[1]DBS_KPY Sorumlular'!A:C,2,FALSE)</f>
        <v>Kadir TOPÇU</v>
      </c>
      <c r="Z1548" t="str">
        <f>VLOOKUP(C1548,'[1]DBS_KPY Sorumlular'!A:C,3,FALSE)</f>
        <v>Erkan AKDOĞAN</v>
      </c>
      <c r="AA1548" t="str">
        <f>VLOOKUP(K1548,[1]!Tablo3[#Data],2,FALSE)</f>
        <v>Kadir TOPÇU</v>
      </c>
    </row>
    <row r="1549" spans="1:27" x14ac:dyDescent="0.25">
      <c r="A1549">
        <v>2875</v>
      </c>
      <c r="B1549" t="s">
        <v>1419</v>
      </c>
      <c r="C1549" t="s">
        <v>1674</v>
      </c>
      <c r="D1549" t="s">
        <v>1675</v>
      </c>
      <c r="F1549" t="s">
        <v>439</v>
      </c>
      <c r="G1549" t="s">
        <v>291</v>
      </c>
      <c r="H1549" t="s">
        <v>5838</v>
      </c>
      <c r="I1549" s="4"/>
      <c r="J1549" t="s">
        <v>5839</v>
      </c>
      <c r="K1549" t="s">
        <v>678</v>
      </c>
      <c r="L1549" s="5"/>
      <c r="M1549" s="5"/>
      <c r="N1549" t="s">
        <v>35</v>
      </c>
      <c r="O1549" t="s">
        <v>5840</v>
      </c>
      <c r="S1549" t="s">
        <v>230</v>
      </c>
      <c r="T1549" s="5" t="s">
        <v>48</v>
      </c>
      <c r="U1549" t="s">
        <v>5841</v>
      </c>
      <c r="V1549" t="s">
        <v>5838</v>
      </c>
      <c r="W1549">
        <v>148</v>
      </c>
      <c r="X1549" t="s">
        <v>368</v>
      </c>
      <c r="Y1549" t="str">
        <f>VLOOKUP(C1549,'[1]DBS_KPY Sorumlular'!A:C,2,FALSE)</f>
        <v>Kadir TOPÇU</v>
      </c>
      <c r="Z1549" t="str">
        <f>VLOOKUP(C1549,'[1]DBS_KPY Sorumlular'!A:C,3,FALSE)</f>
        <v>Erkan AKDOĞAN</v>
      </c>
      <c r="AA1549" t="str">
        <f>VLOOKUP(K1549,[1]!Tablo3[#Data],2,FALSE)</f>
        <v>Kadir TOPÇU</v>
      </c>
    </row>
    <row r="1550" spans="1:27" x14ac:dyDescent="0.25">
      <c r="A1550">
        <v>2900</v>
      </c>
      <c r="B1550" t="s">
        <v>27</v>
      </c>
      <c r="C1550" t="s">
        <v>893</v>
      </c>
      <c r="D1550" t="s">
        <v>4391</v>
      </c>
      <c r="G1550" t="s">
        <v>30</v>
      </c>
      <c r="H1550" t="s">
        <v>5842</v>
      </c>
      <c r="I1550" s="4">
        <v>44347.875</v>
      </c>
      <c r="J1550" t="s">
        <v>5843</v>
      </c>
      <c r="K1550" t="s">
        <v>1398</v>
      </c>
      <c r="L1550" s="5"/>
      <c r="M1550" s="5"/>
      <c r="N1550" t="s">
        <v>82</v>
      </c>
      <c r="O1550" t="s">
        <v>5844</v>
      </c>
      <c r="R1550">
        <v>1</v>
      </c>
      <c r="T1550" s="5" t="s">
        <v>38</v>
      </c>
      <c r="W1550">
        <v>184</v>
      </c>
      <c r="X1550" t="s">
        <v>901</v>
      </c>
      <c r="Y1550" t="str">
        <f>VLOOKUP(C1550,'[1]DBS_KPY Sorumlular'!A:C,2,FALSE)</f>
        <v>Seyithan İŞİK</v>
      </c>
      <c r="Z1550" t="str">
        <f>VLOOKUP(C1550,'[1]DBS_KPY Sorumlular'!A:C,3,FALSE)</f>
        <v>Korhan KÖROĞLU</v>
      </c>
      <c r="AA1550" t="str">
        <f>VLOOKUP(K1550,[1]!Tablo3[#Data],2,FALSE)</f>
        <v>Tayfun VİÇE</v>
      </c>
    </row>
    <row r="1551" spans="1:27" x14ac:dyDescent="0.25">
      <c r="A1551">
        <v>2901</v>
      </c>
      <c r="B1551" t="s">
        <v>27</v>
      </c>
      <c r="C1551" t="s">
        <v>893</v>
      </c>
      <c r="D1551" t="s">
        <v>4391</v>
      </c>
      <c r="G1551" t="s">
        <v>30</v>
      </c>
      <c r="H1551" t="s">
        <v>5845</v>
      </c>
      <c r="I1551" s="4">
        <v>45077.875</v>
      </c>
      <c r="J1551" t="s">
        <v>5846</v>
      </c>
      <c r="K1551" t="s">
        <v>1398</v>
      </c>
      <c r="L1551" s="5"/>
      <c r="M1551" s="5"/>
      <c r="N1551" t="s">
        <v>82</v>
      </c>
      <c r="O1551" t="s">
        <v>5844</v>
      </c>
      <c r="R1551">
        <v>1</v>
      </c>
      <c r="T1551" s="5" t="s">
        <v>38</v>
      </c>
      <c r="W1551">
        <v>184</v>
      </c>
      <c r="X1551" t="s">
        <v>901</v>
      </c>
      <c r="Y1551" t="str">
        <f>VLOOKUP(C1551,'[1]DBS_KPY Sorumlular'!A:C,2,FALSE)</f>
        <v>Seyithan İŞİK</v>
      </c>
      <c r="Z1551" t="str">
        <f>VLOOKUP(C1551,'[1]DBS_KPY Sorumlular'!A:C,3,FALSE)</f>
        <v>Korhan KÖROĞLU</v>
      </c>
      <c r="AA1551" t="str">
        <f>VLOOKUP(K1551,[1]!Tablo3[#Data],2,FALSE)</f>
        <v>Tayfun VİÇE</v>
      </c>
    </row>
    <row r="1552" spans="1:27" x14ac:dyDescent="0.25">
      <c r="A1552">
        <v>2902</v>
      </c>
      <c r="B1552" t="s">
        <v>27</v>
      </c>
      <c r="C1552" t="s">
        <v>893</v>
      </c>
      <c r="D1552" t="s">
        <v>4391</v>
      </c>
      <c r="G1552" t="s">
        <v>30</v>
      </c>
      <c r="H1552" t="s">
        <v>5847</v>
      </c>
      <c r="I1552" s="4">
        <v>45443.875</v>
      </c>
      <c r="J1552" t="s">
        <v>5848</v>
      </c>
      <c r="K1552" t="s">
        <v>1398</v>
      </c>
      <c r="L1552" s="5"/>
      <c r="M1552" s="5"/>
      <c r="N1552" t="s">
        <v>82</v>
      </c>
      <c r="O1552" t="s">
        <v>5849</v>
      </c>
      <c r="R1552">
        <v>1</v>
      </c>
      <c r="T1552" s="5" t="s">
        <v>38</v>
      </c>
      <c r="W1552">
        <v>184</v>
      </c>
      <c r="X1552" t="s">
        <v>901</v>
      </c>
      <c r="Y1552" t="str">
        <f>VLOOKUP(C1552,'[1]DBS_KPY Sorumlular'!A:C,2,FALSE)</f>
        <v>Seyithan İŞİK</v>
      </c>
      <c r="Z1552" t="str">
        <f>VLOOKUP(C1552,'[1]DBS_KPY Sorumlular'!A:C,3,FALSE)</f>
        <v>Korhan KÖROĞLU</v>
      </c>
      <c r="AA1552" t="str">
        <f>VLOOKUP(K1552,[1]!Tablo3[#Data],2,FALSE)</f>
        <v>Tayfun VİÇE</v>
      </c>
    </row>
    <row r="1553" spans="1:27" x14ac:dyDescent="0.25">
      <c r="A1553">
        <v>2903</v>
      </c>
      <c r="B1553" t="s">
        <v>27</v>
      </c>
      <c r="C1553" t="s">
        <v>843</v>
      </c>
      <c r="D1553" t="s">
        <v>1601</v>
      </c>
      <c r="G1553" t="s">
        <v>291</v>
      </c>
      <c r="H1553" t="s">
        <v>5850</v>
      </c>
      <c r="I1553" s="4">
        <v>44712.875</v>
      </c>
      <c r="J1553" t="s">
        <v>5851</v>
      </c>
      <c r="K1553" t="s">
        <v>1360</v>
      </c>
      <c r="L1553" s="5"/>
      <c r="M1553" s="5"/>
      <c r="N1553" t="s">
        <v>82</v>
      </c>
      <c r="O1553" t="s">
        <v>5852</v>
      </c>
      <c r="R1553">
        <v>1</v>
      </c>
      <c r="T1553" s="5" t="s">
        <v>38</v>
      </c>
      <c r="W1553">
        <v>23</v>
      </c>
      <c r="X1553" t="s">
        <v>295</v>
      </c>
      <c r="Y1553" t="str">
        <f>VLOOKUP(C1553,'[1]DBS_KPY Sorumlular'!A:C,2,FALSE)</f>
        <v>Sinan ERDAŞ</v>
      </c>
      <c r="Z1553" t="str">
        <f>VLOOKUP(C1553,'[1]DBS_KPY Sorumlular'!A:C,3,FALSE)</f>
        <v>Ayşegül AKGÜL</v>
      </c>
      <c r="AA1553" t="str">
        <f>VLOOKUP(K1553,[1]!Tablo3[#Data],2,FALSE)</f>
        <v>Kadir TOPÇU</v>
      </c>
    </row>
    <row r="1554" spans="1:27" x14ac:dyDescent="0.25">
      <c r="A1554">
        <v>2904</v>
      </c>
      <c r="B1554" t="s">
        <v>27</v>
      </c>
      <c r="C1554" t="s">
        <v>1046</v>
      </c>
      <c r="D1554" t="s">
        <v>1047</v>
      </c>
      <c r="G1554" t="s">
        <v>43</v>
      </c>
      <c r="H1554" t="s">
        <v>5853</v>
      </c>
      <c r="I1554" s="4">
        <v>43982.875</v>
      </c>
      <c r="K1554" t="s">
        <v>33</v>
      </c>
      <c r="L1554" s="5"/>
      <c r="M1554" s="5"/>
      <c r="N1554" t="s">
        <v>82</v>
      </c>
      <c r="O1554" t="s">
        <v>5854</v>
      </c>
      <c r="R1554">
        <v>1</v>
      </c>
      <c r="T1554" s="5" t="s">
        <v>38</v>
      </c>
      <c r="W1554">
        <v>62</v>
      </c>
      <c r="X1554" t="s">
        <v>680</v>
      </c>
      <c r="Y1554" t="str">
        <f>VLOOKUP(C1554,'[1]DBS_KPY Sorumlular'!A:C,2,FALSE)</f>
        <v>Ayşegül AKGÜL</v>
      </c>
      <c r="Z1554" t="str">
        <f>VLOOKUP(C1554,'[1]DBS_KPY Sorumlular'!A:C,3,FALSE)</f>
        <v>Sinan ERDAŞ</v>
      </c>
      <c r="AA1554" t="str">
        <f>VLOOKUP(K1554,[1]!Tablo3[#Data],2,FALSE)</f>
        <v>Tayfun VİÇE</v>
      </c>
    </row>
    <row r="1555" spans="1:27" x14ac:dyDescent="0.25">
      <c r="A1555">
        <v>2905</v>
      </c>
      <c r="B1555" t="s">
        <v>27</v>
      </c>
      <c r="C1555" t="s">
        <v>1046</v>
      </c>
      <c r="D1555" t="s">
        <v>1047</v>
      </c>
      <c r="G1555" t="s">
        <v>43</v>
      </c>
      <c r="H1555" t="s">
        <v>5855</v>
      </c>
      <c r="I1555" s="4">
        <v>45443.875</v>
      </c>
      <c r="K1555" t="s">
        <v>54</v>
      </c>
      <c r="L1555" s="5"/>
      <c r="M1555" s="5"/>
      <c r="N1555" t="s">
        <v>82</v>
      </c>
      <c r="O1555" t="s">
        <v>5856</v>
      </c>
      <c r="R1555">
        <v>1</v>
      </c>
      <c r="T1555" s="5" t="s">
        <v>38</v>
      </c>
      <c r="W1555">
        <v>114</v>
      </c>
      <c r="X1555" t="s">
        <v>136</v>
      </c>
      <c r="Y1555" t="str">
        <f>VLOOKUP(C1555,'[1]DBS_KPY Sorumlular'!A:C,2,FALSE)</f>
        <v>Ayşegül AKGÜL</v>
      </c>
      <c r="Z1555" t="str">
        <f>VLOOKUP(C1555,'[1]DBS_KPY Sorumlular'!A:C,3,FALSE)</f>
        <v>Sinan ERDAŞ</v>
      </c>
      <c r="AA1555" t="str">
        <f>VLOOKUP(K1555,[1]!Tablo3[#Data],2,FALSE)</f>
        <v>Erkan AKDOĞAN</v>
      </c>
    </row>
    <row r="1556" spans="1:27" x14ac:dyDescent="0.25">
      <c r="A1556">
        <v>2906</v>
      </c>
      <c r="B1556" t="s">
        <v>27</v>
      </c>
      <c r="C1556" t="s">
        <v>1046</v>
      </c>
      <c r="D1556" t="s">
        <v>1047</v>
      </c>
      <c r="G1556" t="s">
        <v>43</v>
      </c>
      <c r="H1556" t="s">
        <v>5857</v>
      </c>
      <c r="I1556" s="4">
        <v>45443.875</v>
      </c>
      <c r="K1556" t="s">
        <v>54</v>
      </c>
      <c r="L1556" s="5"/>
      <c r="M1556" s="5"/>
      <c r="N1556" t="s">
        <v>82</v>
      </c>
      <c r="O1556" t="s">
        <v>5858</v>
      </c>
      <c r="R1556">
        <v>1</v>
      </c>
      <c r="T1556" s="5" t="s">
        <v>38</v>
      </c>
      <c r="W1556">
        <v>16</v>
      </c>
      <c r="X1556" t="s">
        <v>5859</v>
      </c>
      <c r="Y1556" t="str">
        <f>VLOOKUP(C1556,'[1]DBS_KPY Sorumlular'!A:C,2,FALSE)</f>
        <v>Ayşegül AKGÜL</v>
      </c>
      <c r="Z1556" t="str">
        <f>VLOOKUP(C1556,'[1]DBS_KPY Sorumlular'!A:C,3,FALSE)</f>
        <v>Sinan ERDAŞ</v>
      </c>
      <c r="AA1556" t="str">
        <f>VLOOKUP(K1556,[1]!Tablo3[#Data],2,FALSE)</f>
        <v>Erkan AKDOĞAN</v>
      </c>
    </row>
    <row r="1557" spans="1:27" x14ac:dyDescent="0.25">
      <c r="A1557">
        <v>2907</v>
      </c>
      <c r="B1557" t="s">
        <v>27</v>
      </c>
      <c r="C1557" t="s">
        <v>1046</v>
      </c>
      <c r="D1557" t="s">
        <v>1047</v>
      </c>
      <c r="G1557" t="s">
        <v>43</v>
      </c>
      <c r="H1557" t="s">
        <v>5860</v>
      </c>
      <c r="I1557" s="4">
        <v>45443.875</v>
      </c>
      <c r="K1557" t="s">
        <v>98</v>
      </c>
      <c r="L1557" s="5"/>
      <c r="M1557" s="5"/>
      <c r="N1557" t="s">
        <v>82</v>
      </c>
      <c r="O1557" t="s">
        <v>5861</v>
      </c>
      <c r="R1557">
        <v>1</v>
      </c>
      <c r="T1557" s="5" t="s">
        <v>38</v>
      </c>
      <c r="W1557">
        <v>149</v>
      </c>
      <c r="X1557" t="s">
        <v>1015</v>
      </c>
      <c r="Y1557" t="str">
        <f>VLOOKUP(C1557,'[1]DBS_KPY Sorumlular'!A:C,2,FALSE)</f>
        <v>Ayşegül AKGÜL</v>
      </c>
      <c r="Z1557" t="str">
        <f>VLOOKUP(C1557,'[1]DBS_KPY Sorumlular'!A:C,3,FALSE)</f>
        <v>Sinan ERDAŞ</v>
      </c>
      <c r="AA1557" t="str">
        <f>VLOOKUP(K1557,[1]!Tablo3[#Data],2,FALSE)</f>
        <v>Tayfun VİÇE</v>
      </c>
    </row>
    <row r="1558" spans="1:27" x14ac:dyDescent="0.25">
      <c r="A1558">
        <v>2908</v>
      </c>
      <c r="B1558" t="s">
        <v>27</v>
      </c>
      <c r="C1558" t="s">
        <v>1046</v>
      </c>
      <c r="D1558" t="s">
        <v>1047</v>
      </c>
      <c r="G1558" t="s">
        <v>43</v>
      </c>
      <c r="H1558" t="s">
        <v>5862</v>
      </c>
      <c r="I1558" s="4">
        <v>45443.875</v>
      </c>
      <c r="K1558" t="s">
        <v>98</v>
      </c>
      <c r="L1558" s="5"/>
      <c r="M1558" s="5"/>
      <c r="N1558" t="s">
        <v>82</v>
      </c>
      <c r="O1558" t="s">
        <v>5863</v>
      </c>
      <c r="R1558">
        <v>1</v>
      </c>
      <c r="T1558" s="5" t="s">
        <v>38</v>
      </c>
      <c r="W1558">
        <v>70</v>
      </c>
      <c r="X1558" t="s">
        <v>711</v>
      </c>
      <c r="Y1558" t="str">
        <f>VLOOKUP(C1558,'[1]DBS_KPY Sorumlular'!A:C,2,FALSE)</f>
        <v>Ayşegül AKGÜL</v>
      </c>
      <c r="Z1558" t="str">
        <f>VLOOKUP(C1558,'[1]DBS_KPY Sorumlular'!A:C,3,FALSE)</f>
        <v>Sinan ERDAŞ</v>
      </c>
      <c r="AA1558" t="str">
        <f>VLOOKUP(K1558,[1]!Tablo3[#Data],2,FALSE)</f>
        <v>Tayfun VİÇE</v>
      </c>
    </row>
    <row r="1559" spans="1:27" x14ac:dyDescent="0.25">
      <c r="A1559">
        <v>2909</v>
      </c>
      <c r="B1559" t="s">
        <v>27</v>
      </c>
      <c r="C1559" t="s">
        <v>1046</v>
      </c>
      <c r="D1559" t="s">
        <v>1047</v>
      </c>
      <c r="G1559" t="s">
        <v>43</v>
      </c>
      <c r="H1559" t="s">
        <v>5864</v>
      </c>
      <c r="I1559" s="4">
        <v>45077.875</v>
      </c>
      <c r="K1559" t="s">
        <v>152</v>
      </c>
      <c r="L1559" s="5"/>
      <c r="M1559" s="5"/>
      <c r="N1559" t="s">
        <v>82</v>
      </c>
      <c r="O1559" t="s">
        <v>5865</v>
      </c>
      <c r="R1559">
        <v>1</v>
      </c>
      <c r="T1559" s="5" t="s">
        <v>38</v>
      </c>
      <c r="W1559">
        <v>16</v>
      </c>
      <c r="X1559" t="s">
        <v>5859</v>
      </c>
      <c r="Y1559" t="str">
        <f>VLOOKUP(C1559,'[1]DBS_KPY Sorumlular'!A:C,2,FALSE)</f>
        <v>Ayşegül AKGÜL</v>
      </c>
      <c r="Z1559" t="str">
        <f>VLOOKUP(C1559,'[1]DBS_KPY Sorumlular'!A:C,3,FALSE)</f>
        <v>Sinan ERDAŞ</v>
      </c>
      <c r="AA1559" t="str">
        <f>VLOOKUP(K1559,[1]!Tablo3[#Data],2,FALSE)</f>
        <v>Erkan AKDOĞAN</v>
      </c>
    </row>
    <row r="1560" spans="1:27" x14ac:dyDescent="0.25">
      <c r="A1560">
        <v>2910</v>
      </c>
      <c r="B1560" t="s">
        <v>27</v>
      </c>
      <c r="C1560" t="s">
        <v>1046</v>
      </c>
      <c r="D1560" t="s">
        <v>1047</v>
      </c>
      <c r="G1560" t="s">
        <v>43</v>
      </c>
      <c r="H1560" t="s">
        <v>150</v>
      </c>
      <c r="I1560" s="4">
        <v>45443.875</v>
      </c>
      <c r="K1560" t="s">
        <v>152</v>
      </c>
      <c r="L1560" s="5"/>
      <c r="M1560" s="5"/>
      <c r="N1560" t="s">
        <v>82</v>
      </c>
      <c r="O1560" t="s">
        <v>5866</v>
      </c>
      <c r="R1560">
        <v>1</v>
      </c>
      <c r="T1560" s="5" t="s">
        <v>38</v>
      </c>
      <c r="W1560">
        <v>175</v>
      </c>
      <c r="X1560" t="s">
        <v>155</v>
      </c>
      <c r="Y1560" t="str">
        <f>VLOOKUP(C1560,'[1]DBS_KPY Sorumlular'!A:C,2,FALSE)</f>
        <v>Ayşegül AKGÜL</v>
      </c>
      <c r="Z1560" t="str">
        <f>VLOOKUP(C1560,'[1]DBS_KPY Sorumlular'!A:C,3,FALSE)</f>
        <v>Sinan ERDAŞ</v>
      </c>
      <c r="AA1560" t="str">
        <f>VLOOKUP(K1560,[1]!Tablo3[#Data],2,FALSE)</f>
        <v>Erkan AKDOĞAN</v>
      </c>
    </row>
    <row r="1561" spans="1:27" x14ac:dyDescent="0.25">
      <c r="A1561">
        <v>2911</v>
      </c>
      <c r="B1561" t="s">
        <v>27</v>
      </c>
      <c r="C1561" t="s">
        <v>1046</v>
      </c>
      <c r="D1561" t="s">
        <v>1047</v>
      </c>
      <c r="G1561" t="s">
        <v>43</v>
      </c>
      <c r="H1561" t="s">
        <v>5867</v>
      </c>
      <c r="I1561" s="4">
        <v>44347.875</v>
      </c>
      <c r="K1561" t="s">
        <v>181</v>
      </c>
      <c r="L1561" s="5"/>
      <c r="M1561" s="5"/>
      <c r="N1561" t="s">
        <v>82</v>
      </c>
      <c r="O1561" t="s">
        <v>5868</v>
      </c>
      <c r="R1561">
        <v>1</v>
      </c>
      <c r="T1561" s="5" t="s">
        <v>38</v>
      </c>
      <c r="W1561">
        <v>147</v>
      </c>
      <c r="X1561" t="s">
        <v>1180</v>
      </c>
      <c r="Y1561" t="str">
        <f>VLOOKUP(C1561,'[1]DBS_KPY Sorumlular'!A:C,2,FALSE)</f>
        <v>Ayşegül AKGÜL</v>
      </c>
      <c r="Z1561" t="str">
        <f>VLOOKUP(C1561,'[1]DBS_KPY Sorumlular'!A:C,3,FALSE)</f>
        <v>Sinan ERDAŞ</v>
      </c>
      <c r="AA1561" t="str">
        <f>VLOOKUP(K1561,[1]!Tablo3[#Data],2,FALSE)</f>
        <v>Erkan AKDOĞAN</v>
      </c>
    </row>
    <row r="1562" spans="1:27" x14ac:dyDescent="0.25">
      <c r="A1562">
        <v>2912</v>
      </c>
      <c r="B1562" t="s">
        <v>27</v>
      </c>
      <c r="C1562" t="s">
        <v>1046</v>
      </c>
      <c r="D1562" t="s">
        <v>1047</v>
      </c>
      <c r="G1562" t="s">
        <v>43</v>
      </c>
      <c r="H1562" t="s">
        <v>5869</v>
      </c>
      <c r="I1562" s="4">
        <v>44712.875</v>
      </c>
      <c r="K1562" t="s">
        <v>181</v>
      </c>
      <c r="L1562" s="5"/>
      <c r="M1562" s="5"/>
      <c r="N1562" t="s">
        <v>82</v>
      </c>
      <c r="O1562" t="s">
        <v>5870</v>
      </c>
      <c r="R1562">
        <v>1</v>
      </c>
      <c r="T1562" s="5" t="s">
        <v>38</v>
      </c>
      <c r="W1562">
        <v>16</v>
      </c>
      <c r="X1562" t="s">
        <v>5859</v>
      </c>
      <c r="Y1562" t="str">
        <f>VLOOKUP(C1562,'[1]DBS_KPY Sorumlular'!A:C,2,FALSE)</f>
        <v>Ayşegül AKGÜL</v>
      </c>
      <c r="Z1562" t="str">
        <f>VLOOKUP(C1562,'[1]DBS_KPY Sorumlular'!A:C,3,FALSE)</f>
        <v>Sinan ERDAŞ</v>
      </c>
      <c r="AA1562" t="str">
        <f>VLOOKUP(K1562,[1]!Tablo3[#Data],2,FALSE)</f>
        <v>Erkan AKDOĞAN</v>
      </c>
    </row>
    <row r="1563" spans="1:27" x14ac:dyDescent="0.25">
      <c r="A1563">
        <v>2913</v>
      </c>
      <c r="B1563" t="s">
        <v>27</v>
      </c>
      <c r="C1563" t="s">
        <v>1046</v>
      </c>
      <c r="D1563" t="s">
        <v>1047</v>
      </c>
      <c r="G1563" t="s">
        <v>43</v>
      </c>
      <c r="H1563" t="s">
        <v>5871</v>
      </c>
      <c r="I1563" s="4">
        <v>43616.875</v>
      </c>
      <c r="K1563" t="s">
        <v>232</v>
      </c>
      <c r="L1563" s="5"/>
      <c r="M1563" s="5"/>
      <c r="N1563" t="s">
        <v>82</v>
      </c>
      <c r="O1563" t="s">
        <v>5872</v>
      </c>
      <c r="R1563">
        <v>1</v>
      </c>
      <c r="T1563" s="5" t="s">
        <v>38</v>
      </c>
      <c r="W1563">
        <v>74</v>
      </c>
      <c r="X1563" t="s">
        <v>234</v>
      </c>
      <c r="Y1563" t="str">
        <f>VLOOKUP(C1563,'[1]DBS_KPY Sorumlular'!A:C,2,FALSE)</f>
        <v>Ayşegül AKGÜL</v>
      </c>
      <c r="Z1563" t="str">
        <f>VLOOKUP(C1563,'[1]DBS_KPY Sorumlular'!A:C,3,FALSE)</f>
        <v>Sinan ERDAŞ</v>
      </c>
      <c r="AA1563" t="str">
        <f>VLOOKUP(K1563,[1]!Tablo3[#Data],2,FALSE)</f>
        <v>Erkan AKDOĞAN</v>
      </c>
    </row>
    <row r="1564" spans="1:27" x14ac:dyDescent="0.25">
      <c r="A1564">
        <v>2914</v>
      </c>
      <c r="B1564" t="s">
        <v>27</v>
      </c>
      <c r="C1564" t="s">
        <v>1046</v>
      </c>
      <c r="D1564" t="s">
        <v>1047</v>
      </c>
      <c r="G1564" t="s">
        <v>43</v>
      </c>
      <c r="H1564" t="s">
        <v>5873</v>
      </c>
      <c r="I1564" s="4">
        <v>43616.875</v>
      </c>
      <c r="K1564" t="s">
        <v>217</v>
      </c>
      <c r="L1564" s="5"/>
      <c r="M1564" s="5"/>
      <c r="N1564" t="s">
        <v>82</v>
      </c>
      <c r="O1564" t="s">
        <v>5874</v>
      </c>
      <c r="R1564">
        <v>1</v>
      </c>
      <c r="T1564" s="5" t="s">
        <v>38</v>
      </c>
      <c r="W1564">
        <v>74</v>
      </c>
      <c r="X1564" t="s">
        <v>234</v>
      </c>
      <c r="Y1564" t="str">
        <f>VLOOKUP(C1564,'[1]DBS_KPY Sorumlular'!A:C,2,FALSE)</f>
        <v>Ayşegül AKGÜL</v>
      </c>
      <c r="Z1564" t="str">
        <f>VLOOKUP(C1564,'[1]DBS_KPY Sorumlular'!A:C,3,FALSE)</f>
        <v>Sinan ERDAŞ</v>
      </c>
      <c r="AA1564" t="str">
        <f>VLOOKUP(K1564,[1]!Tablo3[#Data],2,FALSE)</f>
        <v>Erkan AKDOĞAN</v>
      </c>
    </row>
    <row r="1565" spans="1:27" x14ac:dyDescent="0.25">
      <c r="A1565">
        <v>2915</v>
      </c>
      <c r="B1565" t="s">
        <v>27</v>
      </c>
      <c r="C1565" t="s">
        <v>1046</v>
      </c>
      <c r="D1565" t="s">
        <v>1047</v>
      </c>
      <c r="G1565" t="s">
        <v>43</v>
      </c>
      <c r="H1565" t="s">
        <v>5875</v>
      </c>
      <c r="I1565" s="4">
        <v>43616.875</v>
      </c>
      <c r="K1565" t="s">
        <v>217</v>
      </c>
      <c r="L1565" s="5"/>
      <c r="M1565" s="5"/>
      <c r="N1565" t="s">
        <v>82</v>
      </c>
      <c r="O1565" t="s">
        <v>5876</v>
      </c>
      <c r="R1565">
        <v>1</v>
      </c>
      <c r="T1565" s="5" t="s">
        <v>38</v>
      </c>
      <c r="W1565">
        <v>168</v>
      </c>
      <c r="X1565" t="s">
        <v>394</v>
      </c>
      <c r="Y1565" t="str">
        <f>VLOOKUP(C1565,'[1]DBS_KPY Sorumlular'!A:C,2,FALSE)</f>
        <v>Ayşegül AKGÜL</v>
      </c>
      <c r="Z1565" t="str">
        <f>VLOOKUP(C1565,'[1]DBS_KPY Sorumlular'!A:C,3,FALSE)</f>
        <v>Sinan ERDAŞ</v>
      </c>
      <c r="AA1565" t="str">
        <f>VLOOKUP(K1565,[1]!Tablo3[#Data],2,FALSE)</f>
        <v>Erkan AKDOĞAN</v>
      </c>
    </row>
    <row r="1566" spans="1:27" x14ac:dyDescent="0.25">
      <c r="A1566">
        <v>2916</v>
      </c>
      <c r="B1566" t="s">
        <v>27</v>
      </c>
      <c r="C1566" t="s">
        <v>1046</v>
      </c>
      <c r="D1566" t="s">
        <v>1047</v>
      </c>
      <c r="G1566" t="s">
        <v>43</v>
      </c>
      <c r="H1566" t="s">
        <v>5877</v>
      </c>
      <c r="I1566" s="4">
        <v>43616.875</v>
      </c>
      <c r="K1566" t="s">
        <v>217</v>
      </c>
      <c r="L1566" s="5"/>
      <c r="M1566" s="5"/>
      <c r="N1566" t="s">
        <v>82</v>
      </c>
      <c r="O1566" t="s">
        <v>5878</v>
      </c>
      <c r="R1566">
        <v>1</v>
      </c>
      <c r="T1566" s="5" t="s">
        <v>38</v>
      </c>
      <c r="W1566">
        <v>169</v>
      </c>
      <c r="X1566" t="s">
        <v>1480</v>
      </c>
      <c r="Y1566" t="str">
        <f>VLOOKUP(C1566,'[1]DBS_KPY Sorumlular'!A:C,2,FALSE)</f>
        <v>Ayşegül AKGÜL</v>
      </c>
      <c r="Z1566" t="str">
        <f>VLOOKUP(C1566,'[1]DBS_KPY Sorumlular'!A:C,3,FALSE)</f>
        <v>Sinan ERDAŞ</v>
      </c>
      <c r="AA1566" t="str">
        <f>VLOOKUP(K1566,[1]!Tablo3[#Data],2,FALSE)</f>
        <v>Erkan AKDOĞAN</v>
      </c>
    </row>
    <row r="1567" spans="1:27" x14ac:dyDescent="0.25">
      <c r="A1567">
        <v>2917</v>
      </c>
      <c r="B1567" t="s">
        <v>27</v>
      </c>
      <c r="C1567" t="s">
        <v>1046</v>
      </c>
      <c r="D1567" t="s">
        <v>1047</v>
      </c>
      <c r="G1567" t="s">
        <v>43</v>
      </c>
      <c r="H1567" t="s">
        <v>5879</v>
      </c>
      <c r="I1567" s="4">
        <v>44347.875</v>
      </c>
      <c r="K1567" t="s">
        <v>217</v>
      </c>
      <c r="L1567" s="5"/>
      <c r="M1567" s="5"/>
      <c r="N1567" t="s">
        <v>82</v>
      </c>
      <c r="O1567" t="s">
        <v>5880</v>
      </c>
      <c r="R1567">
        <v>1</v>
      </c>
      <c r="T1567" s="5" t="s">
        <v>38</v>
      </c>
      <c r="W1567">
        <v>170</v>
      </c>
      <c r="X1567" t="s">
        <v>5881</v>
      </c>
      <c r="Y1567" t="str">
        <f>VLOOKUP(C1567,'[1]DBS_KPY Sorumlular'!A:C,2,FALSE)</f>
        <v>Ayşegül AKGÜL</v>
      </c>
      <c r="Z1567" t="str">
        <f>VLOOKUP(C1567,'[1]DBS_KPY Sorumlular'!A:C,3,FALSE)</f>
        <v>Sinan ERDAŞ</v>
      </c>
      <c r="AA1567" t="str">
        <f>VLOOKUP(K1567,[1]!Tablo3[#Data],2,FALSE)</f>
        <v>Erkan AKDOĞAN</v>
      </c>
    </row>
    <row r="1568" spans="1:27" x14ac:dyDescent="0.25">
      <c r="A1568">
        <v>2918</v>
      </c>
      <c r="B1568" t="s">
        <v>27</v>
      </c>
      <c r="C1568" t="s">
        <v>1046</v>
      </c>
      <c r="D1568" t="s">
        <v>1047</v>
      </c>
      <c r="G1568" t="s">
        <v>43</v>
      </c>
      <c r="H1568" t="s">
        <v>5882</v>
      </c>
      <c r="I1568" s="4">
        <v>44712.875</v>
      </c>
      <c r="K1568" t="s">
        <v>217</v>
      </c>
      <c r="L1568" s="5"/>
      <c r="M1568" s="5"/>
      <c r="N1568" t="s">
        <v>82</v>
      </c>
      <c r="O1568" t="s">
        <v>5883</v>
      </c>
      <c r="R1568">
        <v>1</v>
      </c>
      <c r="T1568" s="5" t="s">
        <v>38</v>
      </c>
      <c r="W1568">
        <v>241</v>
      </c>
      <c r="X1568" t="s">
        <v>3500</v>
      </c>
      <c r="Y1568" t="str">
        <f>VLOOKUP(C1568,'[1]DBS_KPY Sorumlular'!A:C,2,FALSE)</f>
        <v>Ayşegül AKGÜL</v>
      </c>
      <c r="Z1568" t="str">
        <f>VLOOKUP(C1568,'[1]DBS_KPY Sorumlular'!A:C,3,FALSE)</f>
        <v>Sinan ERDAŞ</v>
      </c>
      <c r="AA1568" t="str">
        <f>VLOOKUP(K1568,[1]!Tablo3[#Data],2,FALSE)</f>
        <v>Erkan AKDOĞAN</v>
      </c>
    </row>
    <row r="1569" spans="1:27" x14ac:dyDescent="0.25">
      <c r="A1569">
        <v>2919</v>
      </c>
      <c r="B1569" t="s">
        <v>27</v>
      </c>
      <c r="C1569" t="s">
        <v>1046</v>
      </c>
      <c r="D1569" t="s">
        <v>1047</v>
      </c>
      <c r="G1569" t="s">
        <v>43</v>
      </c>
      <c r="H1569" t="s">
        <v>5884</v>
      </c>
      <c r="I1569" s="4">
        <v>44712.875</v>
      </c>
      <c r="K1569" t="s">
        <v>217</v>
      </c>
      <c r="L1569" s="5"/>
      <c r="M1569" s="5"/>
      <c r="N1569" t="s">
        <v>82</v>
      </c>
      <c r="O1569" t="s">
        <v>5885</v>
      </c>
      <c r="R1569">
        <v>1</v>
      </c>
      <c r="T1569" s="5" t="s">
        <v>38</v>
      </c>
      <c r="W1569">
        <v>71</v>
      </c>
      <c r="X1569" t="s">
        <v>1299</v>
      </c>
      <c r="Y1569" t="str">
        <f>VLOOKUP(C1569,'[1]DBS_KPY Sorumlular'!A:C,2,FALSE)</f>
        <v>Ayşegül AKGÜL</v>
      </c>
      <c r="Z1569" t="str">
        <f>VLOOKUP(C1569,'[1]DBS_KPY Sorumlular'!A:C,3,FALSE)</f>
        <v>Sinan ERDAŞ</v>
      </c>
      <c r="AA1569" t="str">
        <f>VLOOKUP(K1569,[1]!Tablo3[#Data],2,FALSE)</f>
        <v>Erkan AKDOĞAN</v>
      </c>
    </row>
    <row r="1570" spans="1:27" x14ac:dyDescent="0.25">
      <c r="A1570">
        <v>2920</v>
      </c>
      <c r="B1570" t="s">
        <v>27</v>
      </c>
      <c r="C1570" t="s">
        <v>1046</v>
      </c>
      <c r="D1570" t="s">
        <v>1047</v>
      </c>
      <c r="G1570" t="s">
        <v>43</v>
      </c>
      <c r="H1570" t="s">
        <v>5886</v>
      </c>
      <c r="I1570" s="4">
        <v>44347.875</v>
      </c>
      <c r="K1570" t="s">
        <v>309</v>
      </c>
      <c r="L1570" s="5"/>
      <c r="M1570" s="5"/>
      <c r="N1570" t="s">
        <v>82</v>
      </c>
      <c r="O1570" t="s">
        <v>5887</v>
      </c>
      <c r="R1570">
        <v>1</v>
      </c>
      <c r="T1570" s="5" t="s">
        <v>38</v>
      </c>
      <c r="W1570">
        <v>115</v>
      </c>
      <c r="X1570" t="s">
        <v>350</v>
      </c>
      <c r="Y1570" t="str">
        <f>VLOOKUP(C1570,'[1]DBS_KPY Sorumlular'!A:C,2,FALSE)</f>
        <v>Ayşegül AKGÜL</v>
      </c>
      <c r="Z1570" t="str">
        <f>VLOOKUP(C1570,'[1]DBS_KPY Sorumlular'!A:C,3,FALSE)</f>
        <v>Sinan ERDAŞ</v>
      </c>
      <c r="AA1570" t="str">
        <f>VLOOKUP(K1570,[1]!Tablo3[#Data],2,FALSE)</f>
        <v>Erkan AKDOĞAN</v>
      </c>
    </row>
    <row r="1571" spans="1:27" x14ac:dyDescent="0.25">
      <c r="A1571">
        <v>2921</v>
      </c>
      <c r="B1571" t="s">
        <v>27</v>
      </c>
      <c r="C1571" t="s">
        <v>1046</v>
      </c>
      <c r="D1571" t="s">
        <v>1047</v>
      </c>
      <c r="G1571" t="s">
        <v>43</v>
      </c>
      <c r="H1571" t="s">
        <v>5888</v>
      </c>
      <c r="I1571" s="4">
        <v>43982.875</v>
      </c>
      <c r="K1571" t="s">
        <v>325</v>
      </c>
      <c r="L1571" s="5"/>
      <c r="M1571" s="5"/>
      <c r="N1571" t="s">
        <v>82</v>
      </c>
      <c r="O1571" t="s">
        <v>5889</v>
      </c>
      <c r="R1571">
        <v>1</v>
      </c>
      <c r="T1571" s="5" t="s">
        <v>38</v>
      </c>
      <c r="W1571">
        <v>139</v>
      </c>
      <c r="X1571" t="s">
        <v>536</v>
      </c>
      <c r="Y1571" t="str">
        <f>VLOOKUP(C1571,'[1]DBS_KPY Sorumlular'!A:C,2,FALSE)</f>
        <v>Ayşegül AKGÜL</v>
      </c>
      <c r="Z1571" t="str">
        <f>VLOOKUP(C1571,'[1]DBS_KPY Sorumlular'!A:C,3,FALSE)</f>
        <v>Sinan ERDAŞ</v>
      </c>
      <c r="AA1571" t="str">
        <f>VLOOKUP(K1571,[1]!Tablo3[#Data],2,FALSE)</f>
        <v>Kadir TOPÇU</v>
      </c>
    </row>
    <row r="1572" spans="1:27" x14ac:dyDescent="0.25">
      <c r="A1572">
        <v>2922</v>
      </c>
      <c r="B1572" t="s">
        <v>27</v>
      </c>
      <c r="C1572" t="s">
        <v>1046</v>
      </c>
      <c r="D1572" t="s">
        <v>1047</v>
      </c>
      <c r="G1572" t="s">
        <v>43</v>
      </c>
      <c r="H1572" t="s">
        <v>5890</v>
      </c>
      <c r="I1572" s="4">
        <v>45077.875</v>
      </c>
      <c r="K1572" t="s">
        <v>325</v>
      </c>
      <c r="L1572" s="5"/>
      <c r="M1572" s="5"/>
      <c r="N1572" t="s">
        <v>82</v>
      </c>
      <c r="O1572" t="s">
        <v>5891</v>
      </c>
      <c r="R1572">
        <v>1</v>
      </c>
      <c r="T1572" s="5" t="s">
        <v>38</v>
      </c>
      <c r="W1572">
        <v>139</v>
      </c>
      <c r="X1572" t="s">
        <v>536</v>
      </c>
      <c r="Y1572" t="str">
        <f>VLOOKUP(C1572,'[1]DBS_KPY Sorumlular'!A:C,2,FALSE)</f>
        <v>Ayşegül AKGÜL</v>
      </c>
      <c r="Z1572" t="str">
        <f>VLOOKUP(C1572,'[1]DBS_KPY Sorumlular'!A:C,3,FALSE)</f>
        <v>Sinan ERDAŞ</v>
      </c>
      <c r="AA1572" t="str">
        <f>VLOOKUP(K1572,[1]!Tablo3[#Data],2,FALSE)</f>
        <v>Kadir TOPÇU</v>
      </c>
    </row>
    <row r="1573" spans="1:27" x14ac:dyDescent="0.25">
      <c r="A1573">
        <v>2923</v>
      </c>
      <c r="B1573" t="s">
        <v>27</v>
      </c>
      <c r="C1573" t="s">
        <v>1046</v>
      </c>
      <c r="D1573" t="s">
        <v>1047</v>
      </c>
      <c r="G1573" t="s">
        <v>43</v>
      </c>
      <c r="H1573" t="s">
        <v>5892</v>
      </c>
      <c r="I1573" s="4">
        <v>45443.875</v>
      </c>
      <c r="K1573" t="s">
        <v>364</v>
      </c>
      <c r="L1573" s="5"/>
      <c r="M1573" s="5"/>
      <c r="N1573" t="s">
        <v>82</v>
      </c>
      <c r="O1573" t="s">
        <v>5893</v>
      </c>
      <c r="R1573">
        <v>1</v>
      </c>
      <c r="T1573" s="5" t="s">
        <v>38</v>
      </c>
      <c r="W1573">
        <v>168</v>
      </c>
      <c r="X1573" t="s">
        <v>394</v>
      </c>
      <c r="Y1573" t="str">
        <f>VLOOKUP(C1573,'[1]DBS_KPY Sorumlular'!A:C,2,FALSE)</f>
        <v>Ayşegül AKGÜL</v>
      </c>
      <c r="Z1573" t="str">
        <f>VLOOKUP(C1573,'[1]DBS_KPY Sorumlular'!A:C,3,FALSE)</f>
        <v>Sinan ERDAŞ</v>
      </c>
      <c r="AA1573" t="str">
        <f>VLOOKUP(K1573,[1]!Tablo3[#Data],2,FALSE)</f>
        <v>Kadir TOPÇU</v>
      </c>
    </row>
    <row r="1574" spans="1:27" x14ac:dyDescent="0.25">
      <c r="A1574">
        <v>2924</v>
      </c>
      <c r="B1574" t="s">
        <v>27</v>
      </c>
      <c r="C1574" t="s">
        <v>1046</v>
      </c>
      <c r="D1574" t="s">
        <v>1047</v>
      </c>
      <c r="G1574" t="s">
        <v>43</v>
      </c>
      <c r="H1574" t="s">
        <v>5894</v>
      </c>
      <c r="I1574" s="4">
        <v>45443.875</v>
      </c>
      <c r="K1574" t="s">
        <v>364</v>
      </c>
      <c r="L1574" s="5"/>
      <c r="M1574" s="5"/>
      <c r="N1574" t="s">
        <v>82</v>
      </c>
      <c r="O1574" t="s">
        <v>5895</v>
      </c>
      <c r="R1574">
        <v>1</v>
      </c>
      <c r="T1574" s="5" t="s">
        <v>38</v>
      </c>
      <c r="W1574">
        <v>162</v>
      </c>
      <c r="X1574" t="s">
        <v>918</v>
      </c>
      <c r="Y1574" t="str">
        <f>VLOOKUP(C1574,'[1]DBS_KPY Sorumlular'!A:C,2,FALSE)</f>
        <v>Ayşegül AKGÜL</v>
      </c>
      <c r="Z1574" t="str">
        <f>VLOOKUP(C1574,'[1]DBS_KPY Sorumlular'!A:C,3,FALSE)</f>
        <v>Sinan ERDAŞ</v>
      </c>
      <c r="AA1574" t="str">
        <f>VLOOKUP(K1574,[1]!Tablo3[#Data],2,FALSE)</f>
        <v>Kadir TOPÇU</v>
      </c>
    </row>
    <row r="1575" spans="1:27" x14ac:dyDescent="0.25">
      <c r="A1575">
        <v>2925</v>
      </c>
      <c r="B1575" t="s">
        <v>27</v>
      </c>
      <c r="C1575" t="s">
        <v>1046</v>
      </c>
      <c r="D1575" t="s">
        <v>1047</v>
      </c>
      <c r="G1575" t="s">
        <v>43</v>
      </c>
      <c r="H1575" t="s">
        <v>5896</v>
      </c>
      <c r="I1575" s="4">
        <v>43616.875</v>
      </c>
      <c r="K1575" t="s">
        <v>435</v>
      </c>
      <c r="L1575" s="5"/>
      <c r="M1575" s="5"/>
      <c r="N1575" t="s">
        <v>82</v>
      </c>
      <c r="O1575" t="s">
        <v>5897</v>
      </c>
      <c r="R1575">
        <v>1</v>
      </c>
      <c r="T1575" s="5" t="s">
        <v>38</v>
      </c>
      <c r="W1575">
        <v>169</v>
      </c>
      <c r="X1575" t="s">
        <v>1480</v>
      </c>
      <c r="Y1575" t="str">
        <f>VLOOKUP(C1575,'[1]DBS_KPY Sorumlular'!A:C,2,FALSE)</f>
        <v>Ayşegül AKGÜL</v>
      </c>
      <c r="Z1575" t="str">
        <f>VLOOKUP(C1575,'[1]DBS_KPY Sorumlular'!A:C,3,FALSE)</f>
        <v>Sinan ERDAŞ</v>
      </c>
      <c r="AA1575" t="str">
        <f>VLOOKUP(K1575,[1]!Tablo3[#Data],2,FALSE)</f>
        <v>Tayfun VİÇE</v>
      </c>
    </row>
    <row r="1576" spans="1:27" x14ac:dyDescent="0.25">
      <c r="A1576">
        <v>2926</v>
      </c>
      <c r="B1576" t="s">
        <v>27</v>
      </c>
      <c r="C1576" t="s">
        <v>1046</v>
      </c>
      <c r="D1576" t="s">
        <v>1047</v>
      </c>
      <c r="G1576" t="s">
        <v>43</v>
      </c>
      <c r="H1576" t="s">
        <v>5898</v>
      </c>
      <c r="I1576" s="4">
        <v>45443.875</v>
      </c>
      <c r="K1576" t="s">
        <v>435</v>
      </c>
      <c r="L1576" s="5"/>
      <c r="M1576" s="5"/>
      <c r="N1576" t="s">
        <v>82</v>
      </c>
      <c r="O1576" t="s">
        <v>5899</v>
      </c>
      <c r="R1576">
        <v>1</v>
      </c>
      <c r="T1576" s="5" t="s">
        <v>38</v>
      </c>
      <c r="W1576">
        <v>168</v>
      </c>
      <c r="X1576" t="s">
        <v>394</v>
      </c>
      <c r="Y1576" t="str">
        <f>VLOOKUP(C1576,'[1]DBS_KPY Sorumlular'!A:C,2,FALSE)</f>
        <v>Ayşegül AKGÜL</v>
      </c>
      <c r="Z1576" t="str">
        <f>VLOOKUP(C1576,'[1]DBS_KPY Sorumlular'!A:C,3,FALSE)</f>
        <v>Sinan ERDAŞ</v>
      </c>
      <c r="AA1576" t="str">
        <f>VLOOKUP(K1576,[1]!Tablo3[#Data],2,FALSE)</f>
        <v>Tayfun VİÇE</v>
      </c>
    </row>
    <row r="1577" spans="1:27" x14ac:dyDescent="0.25">
      <c r="A1577">
        <v>2927</v>
      </c>
      <c r="B1577" t="s">
        <v>27</v>
      </c>
      <c r="C1577" t="s">
        <v>1046</v>
      </c>
      <c r="D1577" t="s">
        <v>1047</v>
      </c>
      <c r="G1577" t="s">
        <v>43</v>
      </c>
      <c r="H1577" t="s">
        <v>5900</v>
      </c>
      <c r="I1577" s="4">
        <v>43616.875</v>
      </c>
      <c r="K1577" t="s">
        <v>226</v>
      </c>
      <c r="L1577" s="5"/>
      <c r="M1577" s="5"/>
      <c r="N1577" t="s">
        <v>82</v>
      </c>
      <c r="O1577" t="s">
        <v>5901</v>
      </c>
      <c r="R1577">
        <v>1</v>
      </c>
      <c r="T1577" s="5" t="s">
        <v>38</v>
      </c>
      <c r="W1577">
        <v>40</v>
      </c>
      <c r="X1577" t="s">
        <v>1117</v>
      </c>
      <c r="Y1577" t="str">
        <f>VLOOKUP(C1577,'[1]DBS_KPY Sorumlular'!A:C,2,FALSE)</f>
        <v>Ayşegül AKGÜL</v>
      </c>
      <c r="Z1577" t="str">
        <f>VLOOKUP(C1577,'[1]DBS_KPY Sorumlular'!A:C,3,FALSE)</f>
        <v>Sinan ERDAŞ</v>
      </c>
      <c r="AA1577" t="str">
        <f>VLOOKUP(K1577,[1]!Tablo3[#Data],2,FALSE)</f>
        <v>Kadir TOPÇU</v>
      </c>
    </row>
    <row r="1578" spans="1:27" x14ac:dyDescent="0.25">
      <c r="A1578">
        <v>2928</v>
      </c>
      <c r="B1578" t="s">
        <v>27</v>
      </c>
      <c r="C1578" t="s">
        <v>1046</v>
      </c>
      <c r="D1578" t="s">
        <v>1047</v>
      </c>
      <c r="G1578" t="s">
        <v>43</v>
      </c>
      <c r="H1578" t="s">
        <v>5902</v>
      </c>
      <c r="I1578" s="4">
        <v>43982.875</v>
      </c>
      <c r="K1578" t="s">
        <v>226</v>
      </c>
      <c r="L1578" s="5"/>
      <c r="M1578" s="5"/>
      <c r="N1578" t="s">
        <v>82</v>
      </c>
      <c r="O1578" t="s">
        <v>5903</v>
      </c>
      <c r="R1578">
        <v>1</v>
      </c>
      <c r="T1578" s="5" t="s">
        <v>38</v>
      </c>
      <c r="W1578">
        <v>116</v>
      </c>
      <c r="X1578" t="s">
        <v>3651</v>
      </c>
      <c r="Y1578" t="str">
        <f>VLOOKUP(C1578,'[1]DBS_KPY Sorumlular'!A:C,2,FALSE)</f>
        <v>Ayşegül AKGÜL</v>
      </c>
      <c r="Z1578" t="str">
        <f>VLOOKUP(C1578,'[1]DBS_KPY Sorumlular'!A:C,3,FALSE)</f>
        <v>Sinan ERDAŞ</v>
      </c>
      <c r="AA1578" t="str">
        <f>VLOOKUP(K1578,[1]!Tablo3[#Data],2,FALSE)</f>
        <v>Kadir TOPÇU</v>
      </c>
    </row>
    <row r="1579" spans="1:27" x14ac:dyDescent="0.25">
      <c r="A1579">
        <v>2929</v>
      </c>
      <c r="B1579" t="s">
        <v>27</v>
      </c>
      <c r="C1579" t="s">
        <v>1046</v>
      </c>
      <c r="D1579" t="s">
        <v>1047</v>
      </c>
      <c r="G1579" t="s">
        <v>43</v>
      </c>
      <c r="H1579" t="s">
        <v>5904</v>
      </c>
      <c r="I1579" s="4">
        <v>44712.875</v>
      </c>
      <c r="K1579" t="s">
        <v>226</v>
      </c>
      <c r="L1579" s="5"/>
      <c r="M1579" s="5"/>
      <c r="N1579" t="s">
        <v>82</v>
      </c>
      <c r="O1579" t="s">
        <v>5905</v>
      </c>
      <c r="R1579">
        <v>1</v>
      </c>
      <c r="T1579" s="5" t="s">
        <v>38</v>
      </c>
      <c r="W1579">
        <v>14</v>
      </c>
      <c r="X1579" t="s">
        <v>5906</v>
      </c>
      <c r="Y1579" t="str">
        <f>VLOOKUP(C1579,'[1]DBS_KPY Sorumlular'!A:C,2,FALSE)</f>
        <v>Ayşegül AKGÜL</v>
      </c>
      <c r="Z1579" t="str">
        <f>VLOOKUP(C1579,'[1]DBS_KPY Sorumlular'!A:C,3,FALSE)</f>
        <v>Sinan ERDAŞ</v>
      </c>
      <c r="AA1579" t="str">
        <f>VLOOKUP(K1579,[1]!Tablo3[#Data],2,FALSE)</f>
        <v>Kadir TOPÇU</v>
      </c>
    </row>
    <row r="1580" spans="1:27" x14ac:dyDescent="0.25">
      <c r="A1580">
        <v>2930</v>
      </c>
      <c r="B1580" t="s">
        <v>27</v>
      </c>
      <c r="C1580" t="s">
        <v>1046</v>
      </c>
      <c r="D1580" t="s">
        <v>1047</v>
      </c>
      <c r="G1580" t="s">
        <v>43</v>
      </c>
      <c r="H1580" t="s">
        <v>5907</v>
      </c>
      <c r="I1580" s="4">
        <v>45443.875</v>
      </c>
      <c r="K1580" t="s">
        <v>226</v>
      </c>
      <c r="L1580" s="5"/>
      <c r="M1580" s="5"/>
      <c r="N1580" t="s">
        <v>82</v>
      </c>
      <c r="O1580" t="s">
        <v>5908</v>
      </c>
      <c r="R1580">
        <v>1</v>
      </c>
      <c r="T1580" s="5" t="s">
        <v>38</v>
      </c>
      <c r="W1580">
        <v>175</v>
      </c>
      <c r="X1580" t="s">
        <v>155</v>
      </c>
      <c r="Y1580" t="str">
        <f>VLOOKUP(C1580,'[1]DBS_KPY Sorumlular'!A:C,2,FALSE)</f>
        <v>Ayşegül AKGÜL</v>
      </c>
      <c r="Z1580" t="str">
        <f>VLOOKUP(C1580,'[1]DBS_KPY Sorumlular'!A:C,3,FALSE)</f>
        <v>Sinan ERDAŞ</v>
      </c>
      <c r="AA1580" t="str">
        <f>VLOOKUP(K1580,[1]!Tablo3[#Data],2,FALSE)</f>
        <v>Kadir TOPÇU</v>
      </c>
    </row>
    <row r="1581" spans="1:27" x14ac:dyDescent="0.25">
      <c r="A1581">
        <v>2931</v>
      </c>
      <c r="B1581" t="s">
        <v>27</v>
      </c>
      <c r="C1581" t="s">
        <v>1046</v>
      </c>
      <c r="D1581" t="s">
        <v>1047</v>
      </c>
      <c r="G1581" t="s">
        <v>43</v>
      </c>
      <c r="H1581" t="s">
        <v>5909</v>
      </c>
      <c r="I1581" s="4">
        <v>45443.875</v>
      </c>
      <c r="K1581" t="s">
        <v>534</v>
      </c>
      <c r="L1581" s="5"/>
      <c r="M1581" s="5"/>
      <c r="N1581" t="s">
        <v>82</v>
      </c>
      <c r="O1581" t="s">
        <v>5910</v>
      </c>
      <c r="R1581">
        <v>1</v>
      </c>
      <c r="T1581" s="5" t="s">
        <v>38</v>
      </c>
      <c r="W1581">
        <v>172</v>
      </c>
      <c r="X1581" t="s">
        <v>240</v>
      </c>
      <c r="Y1581" t="str">
        <f>VLOOKUP(C1581,'[1]DBS_KPY Sorumlular'!A:C,2,FALSE)</f>
        <v>Ayşegül AKGÜL</v>
      </c>
      <c r="Z1581" t="str">
        <f>VLOOKUP(C1581,'[1]DBS_KPY Sorumlular'!A:C,3,FALSE)</f>
        <v>Sinan ERDAŞ</v>
      </c>
      <c r="AA1581" t="str">
        <f>VLOOKUP(K1581,[1]!Tablo3[#Data],2,FALSE)</f>
        <v>Erkan AKDOĞAN</v>
      </c>
    </row>
    <row r="1582" spans="1:27" x14ac:dyDescent="0.25">
      <c r="A1582">
        <v>2932</v>
      </c>
      <c r="B1582" t="s">
        <v>27</v>
      </c>
      <c r="C1582" t="s">
        <v>1046</v>
      </c>
      <c r="D1582" t="s">
        <v>1047</v>
      </c>
      <c r="G1582" t="s">
        <v>43</v>
      </c>
      <c r="H1582" t="s">
        <v>5911</v>
      </c>
      <c r="I1582" s="4">
        <v>45443.875</v>
      </c>
      <c r="K1582" t="s">
        <v>568</v>
      </c>
      <c r="L1582" s="5"/>
      <c r="M1582" s="5"/>
      <c r="N1582" t="s">
        <v>82</v>
      </c>
      <c r="O1582" t="s">
        <v>5912</v>
      </c>
      <c r="R1582">
        <v>1</v>
      </c>
      <c r="T1582" s="5" t="s">
        <v>38</v>
      </c>
      <c r="W1582">
        <v>16</v>
      </c>
      <c r="X1582" t="s">
        <v>5859</v>
      </c>
      <c r="Y1582" t="str">
        <f>VLOOKUP(C1582,'[1]DBS_KPY Sorumlular'!A:C,2,FALSE)</f>
        <v>Ayşegül AKGÜL</v>
      </c>
      <c r="Z1582" t="str">
        <f>VLOOKUP(C1582,'[1]DBS_KPY Sorumlular'!A:C,3,FALSE)</f>
        <v>Sinan ERDAŞ</v>
      </c>
      <c r="AA1582" t="str">
        <f>VLOOKUP(K1582,[1]!Tablo3[#Data],2,FALSE)</f>
        <v>Erkan AKDOĞAN</v>
      </c>
    </row>
    <row r="1583" spans="1:27" x14ac:dyDescent="0.25">
      <c r="A1583">
        <v>2933</v>
      </c>
      <c r="B1583" t="s">
        <v>27</v>
      </c>
      <c r="C1583" t="s">
        <v>1046</v>
      </c>
      <c r="D1583" t="s">
        <v>1047</v>
      </c>
      <c r="G1583" t="s">
        <v>43</v>
      </c>
      <c r="H1583" t="s">
        <v>5913</v>
      </c>
      <c r="I1583" s="4">
        <v>44347.875</v>
      </c>
      <c r="K1583" t="s">
        <v>611</v>
      </c>
      <c r="L1583" s="5"/>
      <c r="M1583" s="5"/>
      <c r="N1583" t="s">
        <v>82</v>
      </c>
      <c r="O1583" t="s">
        <v>5914</v>
      </c>
      <c r="R1583">
        <v>1</v>
      </c>
      <c r="T1583" s="5" t="s">
        <v>38</v>
      </c>
      <c r="W1583">
        <v>115</v>
      </c>
      <c r="X1583" t="s">
        <v>350</v>
      </c>
      <c r="Y1583" t="str">
        <f>VLOOKUP(C1583,'[1]DBS_KPY Sorumlular'!A:C,2,FALSE)</f>
        <v>Ayşegül AKGÜL</v>
      </c>
      <c r="Z1583" t="str">
        <f>VLOOKUP(C1583,'[1]DBS_KPY Sorumlular'!A:C,3,FALSE)</f>
        <v>Sinan ERDAŞ</v>
      </c>
      <c r="AA1583" t="str">
        <f>VLOOKUP(K1583,[1]!Tablo3[#Data],2,FALSE)</f>
        <v>Kadir TOPÇU</v>
      </c>
    </row>
    <row r="1584" spans="1:27" x14ac:dyDescent="0.25">
      <c r="A1584">
        <v>2934</v>
      </c>
      <c r="B1584" t="s">
        <v>27</v>
      </c>
      <c r="C1584" t="s">
        <v>1046</v>
      </c>
      <c r="D1584" t="s">
        <v>1047</v>
      </c>
      <c r="G1584" t="s">
        <v>43</v>
      </c>
      <c r="H1584" t="s">
        <v>5915</v>
      </c>
      <c r="I1584" s="4">
        <v>45443.875</v>
      </c>
      <c r="K1584" t="s">
        <v>611</v>
      </c>
      <c r="L1584" s="5"/>
      <c r="M1584" s="5"/>
      <c r="N1584" t="s">
        <v>82</v>
      </c>
      <c r="O1584" t="s">
        <v>5916</v>
      </c>
      <c r="R1584">
        <v>1</v>
      </c>
      <c r="T1584" s="5" t="s">
        <v>38</v>
      </c>
      <c r="W1584">
        <v>169</v>
      </c>
      <c r="X1584" t="s">
        <v>1480</v>
      </c>
      <c r="Y1584" t="str">
        <f>VLOOKUP(C1584,'[1]DBS_KPY Sorumlular'!A:C,2,FALSE)</f>
        <v>Ayşegül AKGÜL</v>
      </c>
      <c r="Z1584" t="str">
        <f>VLOOKUP(C1584,'[1]DBS_KPY Sorumlular'!A:C,3,FALSE)</f>
        <v>Sinan ERDAŞ</v>
      </c>
      <c r="AA1584" t="str">
        <f>VLOOKUP(K1584,[1]!Tablo3[#Data],2,FALSE)</f>
        <v>Kadir TOPÇU</v>
      </c>
    </row>
    <row r="1585" spans="1:27" x14ac:dyDescent="0.25">
      <c r="A1585">
        <v>2935</v>
      </c>
      <c r="B1585" t="s">
        <v>27</v>
      </c>
      <c r="C1585" t="s">
        <v>1046</v>
      </c>
      <c r="D1585" t="s">
        <v>1047</v>
      </c>
      <c r="G1585" t="s">
        <v>43</v>
      </c>
      <c r="H1585" t="s">
        <v>5917</v>
      </c>
      <c r="I1585" s="4">
        <v>43616.875</v>
      </c>
      <c r="K1585" t="s">
        <v>678</v>
      </c>
      <c r="L1585" s="5"/>
      <c r="M1585" s="5"/>
      <c r="N1585" t="s">
        <v>82</v>
      </c>
      <c r="O1585" t="s">
        <v>5918</v>
      </c>
      <c r="R1585">
        <v>1</v>
      </c>
      <c r="T1585" s="5" t="s">
        <v>38</v>
      </c>
      <c r="W1585">
        <v>71</v>
      </c>
      <c r="X1585" t="s">
        <v>1299</v>
      </c>
      <c r="Y1585" t="str">
        <f>VLOOKUP(C1585,'[1]DBS_KPY Sorumlular'!A:C,2,FALSE)</f>
        <v>Ayşegül AKGÜL</v>
      </c>
      <c r="Z1585" t="str">
        <f>VLOOKUP(C1585,'[1]DBS_KPY Sorumlular'!A:C,3,FALSE)</f>
        <v>Sinan ERDAŞ</v>
      </c>
      <c r="AA1585" t="str">
        <f>VLOOKUP(K1585,[1]!Tablo3[#Data],2,FALSE)</f>
        <v>Kadir TOPÇU</v>
      </c>
    </row>
    <row r="1586" spans="1:27" x14ac:dyDescent="0.25">
      <c r="A1586">
        <v>2936</v>
      </c>
      <c r="B1586" t="s">
        <v>27</v>
      </c>
      <c r="C1586" t="s">
        <v>1046</v>
      </c>
      <c r="D1586" t="s">
        <v>1047</v>
      </c>
      <c r="G1586" t="s">
        <v>43</v>
      </c>
      <c r="H1586" t="s">
        <v>5919</v>
      </c>
      <c r="I1586" s="4">
        <v>43616.875</v>
      </c>
      <c r="K1586" t="s">
        <v>678</v>
      </c>
      <c r="L1586" s="5"/>
      <c r="M1586" s="5"/>
      <c r="N1586" t="s">
        <v>82</v>
      </c>
      <c r="O1586" t="s">
        <v>5920</v>
      </c>
      <c r="R1586">
        <v>1</v>
      </c>
      <c r="T1586" s="5" t="s">
        <v>38</v>
      </c>
      <c r="W1586">
        <v>71</v>
      </c>
      <c r="X1586" t="s">
        <v>1299</v>
      </c>
      <c r="Y1586" t="str">
        <f>VLOOKUP(C1586,'[1]DBS_KPY Sorumlular'!A:C,2,FALSE)</f>
        <v>Ayşegül AKGÜL</v>
      </c>
      <c r="Z1586" t="str">
        <f>VLOOKUP(C1586,'[1]DBS_KPY Sorumlular'!A:C,3,FALSE)</f>
        <v>Sinan ERDAŞ</v>
      </c>
      <c r="AA1586" t="str">
        <f>VLOOKUP(K1586,[1]!Tablo3[#Data],2,FALSE)</f>
        <v>Kadir TOPÇU</v>
      </c>
    </row>
    <row r="1587" spans="1:27" x14ac:dyDescent="0.25">
      <c r="A1587">
        <v>2937</v>
      </c>
      <c r="B1587" t="s">
        <v>27</v>
      </c>
      <c r="C1587" t="s">
        <v>1046</v>
      </c>
      <c r="D1587" t="s">
        <v>1047</v>
      </c>
      <c r="G1587" t="s">
        <v>43</v>
      </c>
      <c r="H1587" t="s">
        <v>5921</v>
      </c>
      <c r="I1587" s="4">
        <v>43616.875</v>
      </c>
      <c r="K1587" t="s">
        <v>743</v>
      </c>
      <c r="L1587" s="5"/>
      <c r="M1587" s="5"/>
      <c r="N1587" t="s">
        <v>82</v>
      </c>
      <c r="O1587" t="s">
        <v>5922</v>
      </c>
      <c r="R1587">
        <v>1</v>
      </c>
      <c r="T1587" s="5" t="s">
        <v>38</v>
      </c>
      <c r="W1587">
        <v>149</v>
      </c>
      <c r="X1587" t="s">
        <v>1015</v>
      </c>
      <c r="Y1587" t="str">
        <f>VLOOKUP(C1587,'[1]DBS_KPY Sorumlular'!A:C,2,FALSE)</f>
        <v>Ayşegül AKGÜL</v>
      </c>
      <c r="Z1587" t="str">
        <f>VLOOKUP(C1587,'[1]DBS_KPY Sorumlular'!A:C,3,FALSE)</f>
        <v>Sinan ERDAŞ</v>
      </c>
      <c r="AA1587" t="str">
        <f>VLOOKUP(K1587,[1]!Tablo3[#Data],2,FALSE)</f>
        <v>Kadir TOPÇU</v>
      </c>
    </row>
    <row r="1588" spans="1:27" x14ac:dyDescent="0.25">
      <c r="A1588">
        <v>2938</v>
      </c>
      <c r="B1588" t="s">
        <v>27</v>
      </c>
      <c r="C1588" t="s">
        <v>1046</v>
      </c>
      <c r="D1588" t="s">
        <v>1047</v>
      </c>
      <c r="G1588" t="s">
        <v>43</v>
      </c>
      <c r="H1588" t="s">
        <v>5923</v>
      </c>
      <c r="I1588" s="4">
        <v>43982.875</v>
      </c>
      <c r="K1588" t="s">
        <v>743</v>
      </c>
      <c r="L1588" s="5"/>
      <c r="M1588" s="5"/>
      <c r="N1588" t="s">
        <v>82</v>
      </c>
      <c r="O1588" t="s">
        <v>5924</v>
      </c>
      <c r="R1588">
        <v>1</v>
      </c>
      <c r="T1588" s="5" t="s">
        <v>38</v>
      </c>
      <c r="W1588">
        <v>72</v>
      </c>
      <c r="X1588" t="s">
        <v>341</v>
      </c>
      <c r="Y1588" t="str">
        <f>VLOOKUP(C1588,'[1]DBS_KPY Sorumlular'!A:C,2,FALSE)</f>
        <v>Ayşegül AKGÜL</v>
      </c>
      <c r="Z1588" t="str">
        <f>VLOOKUP(C1588,'[1]DBS_KPY Sorumlular'!A:C,3,FALSE)</f>
        <v>Sinan ERDAŞ</v>
      </c>
      <c r="AA1588" t="str">
        <f>VLOOKUP(K1588,[1]!Tablo3[#Data],2,FALSE)</f>
        <v>Kadir TOPÇU</v>
      </c>
    </row>
    <row r="1589" spans="1:27" x14ac:dyDescent="0.25">
      <c r="A1589">
        <v>2939</v>
      </c>
      <c r="B1589" t="s">
        <v>27</v>
      </c>
      <c r="C1589" t="s">
        <v>1046</v>
      </c>
      <c r="D1589" t="s">
        <v>1047</v>
      </c>
      <c r="G1589" t="s">
        <v>43</v>
      </c>
      <c r="H1589" t="s">
        <v>5925</v>
      </c>
      <c r="I1589" s="4">
        <v>44347.875</v>
      </c>
      <c r="K1589" t="s">
        <v>743</v>
      </c>
      <c r="L1589" s="5"/>
      <c r="M1589" s="5"/>
      <c r="N1589" t="s">
        <v>82</v>
      </c>
      <c r="O1589" t="s">
        <v>5926</v>
      </c>
      <c r="R1589">
        <v>1</v>
      </c>
      <c r="T1589" s="5" t="s">
        <v>38</v>
      </c>
      <c r="W1589">
        <v>71</v>
      </c>
      <c r="X1589" t="s">
        <v>1299</v>
      </c>
      <c r="Y1589" t="str">
        <f>VLOOKUP(C1589,'[1]DBS_KPY Sorumlular'!A:C,2,FALSE)</f>
        <v>Ayşegül AKGÜL</v>
      </c>
      <c r="Z1589" t="str">
        <f>VLOOKUP(C1589,'[1]DBS_KPY Sorumlular'!A:C,3,FALSE)</f>
        <v>Sinan ERDAŞ</v>
      </c>
      <c r="AA1589" t="str">
        <f>VLOOKUP(K1589,[1]!Tablo3[#Data],2,FALSE)</f>
        <v>Kadir TOPÇU</v>
      </c>
    </row>
    <row r="1590" spans="1:27" x14ac:dyDescent="0.25">
      <c r="A1590">
        <v>2940</v>
      </c>
      <c r="B1590" t="s">
        <v>27</v>
      </c>
      <c r="C1590" t="s">
        <v>1046</v>
      </c>
      <c r="D1590" t="s">
        <v>1047</v>
      </c>
      <c r="G1590" t="s">
        <v>43</v>
      </c>
      <c r="H1590" t="s">
        <v>5927</v>
      </c>
      <c r="I1590" s="4">
        <v>44712.875</v>
      </c>
      <c r="K1590" t="s">
        <v>743</v>
      </c>
      <c r="L1590" s="5"/>
      <c r="M1590" s="5"/>
      <c r="N1590" t="s">
        <v>82</v>
      </c>
      <c r="O1590" t="s">
        <v>5928</v>
      </c>
      <c r="R1590">
        <v>1</v>
      </c>
      <c r="T1590" s="5" t="s">
        <v>38</v>
      </c>
      <c r="W1590">
        <v>16</v>
      </c>
      <c r="X1590" t="s">
        <v>5859</v>
      </c>
      <c r="Y1590" t="str">
        <f>VLOOKUP(C1590,'[1]DBS_KPY Sorumlular'!A:C,2,FALSE)</f>
        <v>Ayşegül AKGÜL</v>
      </c>
      <c r="Z1590" t="str">
        <f>VLOOKUP(C1590,'[1]DBS_KPY Sorumlular'!A:C,3,FALSE)</f>
        <v>Sinan ERDAŞ</v>
      </c>
      <c r="AA1590" t="str">
        <f>VLOOKUP(K1590,[1]!Tablo3[#Data],2,FALSE)</f>
        <v>Kadir TOPÇU</v>
      </c>
    </row>
    <row r="1591" spans="1:27" x14ac:dyDescent="0.25">
      <c r="A1591">
        <v>2941</v>
      </c>
      <c r="B1591" t="s">
        <v>27</v>
      </c>
      <c r="C1591" t="s">
        <v>1046</v>
      </c>
      <c r="D1591" t="s">
        <v>1047</v>
      </c>
      <c r="G1591" t="s">
        <v>43</v>
      </c>
      <c r="H1591" t="s">
        <v>5929</v>
      </c>
      <c r="I1591" s="4">
        <v>45077.875</v>
      </c>
      <c r="K1591" t="s">
        <v>678</v>
      </c>
      <c r="L1591" s="5"/>
      <c r="M1591" s="5"/>
      <c r="N1591" t="s">
        <v>82</v>
      </c>
      <c r="O1591" t="s">
        <v>5930</v>
      </c>
      <c r="R1591">
        <v>1</v>
      </c>
      <c r="T1591" s="5" t="s">
        <v>38</v>
      </c>
      <c r="W1591">
        <v>168</v>
      </c>
      <c r="X1591" t="s">
        <v>394</v>
      </c>
      <c r="Y1591" t="str">
        <f>VLOOKUP(C1591,'[1]DBS_KPY Sorumlular'!A:C,2,FALSE)</f>
        <v>Ayşegül AKGÜL</v>
      </c>
      <c r="Z1591" t="str">
        <f>VLOOKUP(C1591,'[1]DBS_KPY Sorumlular'!A:C,3,FALSE)</f>
        <v>Sinan ERDAŞ</v>
      </c>
      <c r="AA1591" t="str">
        <f>VLOOKUP(K1591,[1]!Tablo3[#Data],2,FALSE)</f>
        <v>Kadir TOPÇU</v>
      </c>
    </row>
    <row r="1592" spans="1:27" x14ac:dyDescent="0.25">
      <c r="A1592">
        <v>2942</v>
      </c>
      <c r="B1592" t="s">
        <v>27</v>
      </c>
      <c r="C1592" t="s">
        <v>1046</v>
      </c>
      <c r="D1592" t="s">
        <v>1047</v>
      </c>
      <c r="G1592" t="s">
        <v>43</v>
      </c>
      <c r="H1592" t="s">
        <v>5931</v>
      </c>
      <c r="I1592" s="4">
        <v>45077.875</v>
      </c>
      <c r="K1592" t="s">
        <v>743</v>
      </c>
      <c r="L1592" s="5"/>
      <c r="M1592" s="5"/>
      <c r="N1592" t="s">
        <v>82</v>
      </c>
      <c r="O1592" t="s">
        <v>5932</v>
      </c>
      <c r="R1592">
        <v>1</v>
      </c>
      <c r="T1592" s="5" t="s">
        <v>38</v>
      </c>
      <c r="W1592">
        <v>16</v>
      </c>
      <c r="X1592" t="s">
        <v>5859</v>
      </c>
      <c r="Y1592" t="str">
        <f>VLOOKUP(C1592,'[1]DBS_KPY Sorumlular'!A:C,2,FALSE)</f>
        <v>Ayşegül AKGÜL</v>
      </c>
      <c r="Z1592" t="str">
        <f>VLOOKUP(C1592,'[1]DBS_KPY Sorumlular'!A:C,3,FALSE)</f>
        <v>Sinan ERDAŞ</v>
      </c>
      <c r="AA1592" t="str">
        <f>VLOOKUP(K1592,[1]!Tablo3[#Data],2,FALSE)</f>
        <v>Kadir TOPÇU</v>
      </c>
    </row>
    <row r="1593" spans="1:27" x14ac:dyDescent="0.25">
      <c r="A1593">
        <v>2943</v>
      </c>
      <c r="B1593" t="s">
        <v>27</v>
      </c>
      <c r="C1593" t="s">
        <v>1046</v>
      </c>
      <c r="D1593" t="s">
        <v>1047</v>
      </c>
      <c r="G1593" t="s">
        <v>43</v>
      </c>
      <c r="H1593" t="s">
        <v>5933</v>
      </c>
      <c r="I1593" s="4">
        <v>45443.875</v>
      </c>
      <c r="K1593" t="s">
        <v>743</v>
      </c>
      <c r="L1593" s="5"/>
      <c r="M1593" s="5"/>
      <c r="N1593" t="s">
        <v>82</v>
      </c>
      <c r="O1593" t="s">
        <v>5934</v>
      </c>
      <c r="R1593">
        <v>1</v>
      </c>
      <c r="T1593" s="5" t="s">
        <v>38</v>
      </c>
      <c r="W1593">
        <v>169</v>
      </c>
      <c r="X1593" t="s">
        <v>1480</v>
      </c>
      <c r="Y1593" t="str">
        <f>VLOOKUP(C1593,'[1]DBS_KPY Sorumlular'!A:C,2,FALSE)</f>
        <v>Ayşegül AKGÜL</v>
      </c>
      <c r="Z1593" t="str">
        <f>VLOOKUP(C1593,'[1]DBS_KPY Sorumlular'!A:C,3,FALSE)</f>
        <v>Sinan ERDAŞ</v>
      </c>
      <c r="AA1593" t="str">
        <f>VLOOKUP(K1593,[1]!Tablo3[#Data],2,FALSE)</f>
        <v>Kadir TOPÇU</v>
      </c>
    </row>
    <row r="1594" spans="1:27" x14ac:dyDescent="0.25">
      <c r="A1594">
        <v>2944</v>
      </c>
      <c r="B1594" t="s">
        <v>27</v>
      </c>
      <c r="C1594" t="s">
        <v>1046</v>
      </c>
      <c r="D1594" t="s">
        <v>1047</v>
      </c>
      <c r="G1594" t="s">
        <v>43</v>
      </c>
      <c r="H1594" t="s">
        <v>5935</v>
      </c>
      <c r="I1594" s="4">
        <v>45443.875</v>
      </c>
      <c r="K1594" t="s">
        <v>743</v>
      </c>
      <c r="L1594" s="5"/>
      <c r="M1594" s="5"/>
      <c r="N1594" t="s">
        <v>82</v>
      </c>
      <c r="O1594" t="s">
        <v>5936</v>
      </c>
      <c r="R1594">
        <v>1</v>
      </c>
      <c r="T1594" s="5" t="s">
        <v>38</v>
      </c>
      <c r="W1594">
        <v>168</v>
      </c>
      <c r="X1594" t="s">
        <v>394</v>
      </c>
      <c r="Y1594" t="str">
        <f>VLOOKUP(C1594,'[1]DBS_KPY Sorumlular'!A:C,2,FALSE)</f>
        <v>Ayşegül AKGÜL</v>
      </c>
      <c r="Z1594" t="str">
        <f>VLOOKUP(C1594,'[1]DBS_KPY Sorumlular'!A:C,3,FALSE)</f>
        <v>Sinan ERDAŞ</v>
      </c>
      <c r="AA1594" t="str">
        <f>VLOOKUP(K1594,[1]!Tablo3[#Data],2,FALSE)</f>
        <v>Kadir TOPÇU</v>
      </c>
    </row>
    <row r="1595" spans="1:27" x14ac:dyDescent="0.25">
      <c r="A1595">
        <v>2945</v>
      </c>
      <c r="B1595" t="s">
        <v>27</v>
      </c>
      <c r="C1595" t="s">
        <v>1046</v>
      </c>
      <c r="D1595" t="s">
        <v>1047</v>
      </c>
      <c r="G1595" t="s">
        <v>43</v>
      </c>
      <c r="H1595" t="s">
        <v>5937</v>
      </c>
      <c r="I1595" s="4">
        <v>45443.875</v>
      </c>
      <c r="K1595" t="s">
        <v>743</v>
      </c>
      <c r="L1595" s="5"/>
      <c r="M1595" s="5"/>
      <c r="N1595" t="s">
        <v>82</v>
      </c>
      <c r="O1595" t="s">
        <v>5938</v>
      </c>
      <c r="R1595">
        <v>1</v>
      </c>
      <c r="T1595" s="5" t="s">
        <v>38</v>
      </c>
      <c r="W1595">
        <v>149</v>
      </c>
      <c r="X1595" t="s">
        <v>1015</v>
      </c>
      <c r="Y1595" t="str">
        <f>VLOOKUP(C1595,'[1]DBS_KPY Sorumlular'!A:C,2,FALSE)</f>
        <v>Ayşegül AKGÜL</v>
      </c>
      <c r="Z1595" t="str">
        <f>VLOOKUP(C1595,'[1]DBS_KPY Sorumlular'!A:C,3,FALSE)</f>
        <v>Sinan ERDAŞ</v>
      </c>
      <c r="AA1595" t="str">
        <f>VLOOKUP(K1595,[1]!Tablo3[#Data],2,FALSE)</f>
        <v>Kadir TOPÇU</v>
      </c>
    </row>
    <row r="1596" spans="1:27" x14ac:dyDescent="0.25">
      <c r="A1596">
        <v>2946</v>
      </c>
      <c r="B1596" t="s">
        <v>27</v>
      </c>
      <c r="C1596" t="s">
        <v>1046</v>
      </c>
      <c r="D1596" t="s">
        <v>1047</v>
      </c>
      <c r="G1596" t="s">
        <v>43</v>
      </c>
      <c r="H1596" t="s">
        <v>5939</v>
      </c>
      <c r="I1596" s="4">
        <v>43616.875</v>
      </c>
      <c r="K1596" t="s">
        <v>914</v>
      </c>
      <c r="L1596" s="5"/>
      <c r="M1596" s="5"/>
      <c r="N1596" t="s">
        <v>82</v>
      </c>
      <c r="O1596" t="s">
        <v>5940</v>
      </c>
      <c r="R1596">
        <v>1</v>
      </c>
      <c r="T1596" s="5" t="s">
        <v>38</v>
      </c>
      <c r="W1596">
        <v>169</v>
      </c>
      <c r="X1596" t="s">
        <v>1480</v>
      </c>
      <c r="Y1596" t="str">
        <f>VLOOKUP(C1596,'[1]DBS_KPY Sorumlular'!A:C,2,FALSE)</f>
        <v>Ayşegül AKGÜL</v>
      </c>
      <c r="Z1596" t="str">
        <f>VLOOKUP(C1596,'[1]DBS_KPY Sorumlular'!A:C,3,FALSE)</f>
        <v>Sinan ERDAŞ</v>
      </c>
      <c r="AA1596" t="str">
        <f>VLOOKUP(K1596,[1]!Tablo3[#Data],2,FALSE)</f>
        <v>Tayfun VİÇE</v>
      </c>
    </row>
    <row r="1597" spans="1:27" x14ac:dyDescent="0.25">
      <c r="A1597">
        <v>2947</v>
      </c>
      <c r="B1597" t="s">
        <v>27</v>
      </c>
      <c r="C1597" t="s">
        <v>1046</v>
      </c>
      <c r="D1597" t="s">
        <v>1047</v>
      </c>
      <c r="G1597" t="s">
        <v>43</v>
      </c>
      <c r="H1597" t="s">
        <v>5941</v>
      </c>
      <c r="I1597" s="4">
        <v>43616.875</v>
      </c>
      <c r="K1597" t="s">
        <v>914</v>
      </c>
      <c r="L1597" s="5"/>
      <c r="M1597" s="5"/>
      <c r="N1597" t="s">
        <v>82</v>
      </c>
      <c r="O1597" t="s">
        <v>5942</v>
      </c>
      <c r="R1597">
        <v>1</v>
      </c>
      <c r="T1597" s="5" t="s">
        <v>38</v>
      </c>
      <c r="W1597">
        <v>76</v>
      </c>
      <c r="X1597" t="s">
        <v>443</v>
      </c>
      <c r="Y1597" t="str">
        <f>VLOOKUP(C1597,'[1]DBS_KPY Sorumlular'!A:C,2,FALSE)</f>
        <v>Ayşegül AKGÜL</v>
      </c>
      <c r="Z1597" t="str">
        <f>VLOOKUP(C1597,'[1]DBS_KPY Sorumlular'!A:C,3,FALSE)</f>
        <v>Sinan ERDAŞ</v>
      </c>
      <c r="AA1597" t="str">
        <f>VLOOKUP(K1597,[1]!Tablo3[#Data],2,FALSE)</f>
        <v>Tayfun VİÇE</v>
      </c>
    </row>
    <row r="1598" spans="1:27" x14ac:dyDescent="0.25">
      <c r="A1598">
        <v>2948</v>
      </c>
      <c r="B1598" t="s">
        <v>27</v>
      </c>
      <c r="C1598" t="s">
        <v>1046</v>
      </c>
      <c r="D1598" t="s">
        <v>1047</v>
      </c>
      <c r="G1598" t="s">
        <v>43</v>
      </c>
      <c r="H1598" t="s">
        <v>5943</v>
      </c>
      <c r="I1598" s="4">
        <v>43616.875</v>
      </c>
      <c r="K1598" t="s">
        <v>914</v>
      </c>
      <c r="L1598" s="5"/>
      <c r="M1598" s="5"/>
      <c r="N1598" t="s">
        <v>82</v>
      </c>
      <c r="O1598" t="s">
        <v>5944</v>
      </c>
      <c r="R1598">
        <v>1</v>
      </c>
      <c r="T1598" s="5" t="s">
        <v>38</v>
      </c>
      <c r="W1598">
        <v>71</v>
      </c>
      <c r="X1598" t="s">
        <v>1299</v>
      </c>
      <c r="Y1598" t="str">
        <f>VLOOKUP(C1598,'[1]DBS_KPY Sorumlular'!A:C,2,FALSE)</f>
        <v>Ayşegül AKGÜL</v>
      </c>
      <c r="Z1598" t="str">
        <f>VLOOKUP(C1598,'[1]DBS_KPY Sorumlular'!A:C,3,FALSE)</f>
        <v>Sinan ERDAŞ</v>
      </c>
      <c r="AA1598" t="str">
        <f>VLOOKUP(K1598,[1]!Tablo3[#Data],2,FALSE)</f>
        <v>Tayfun VİÇE</v>
      </c>
    </row>
    <row r="1599" spans="1:27" x14ac:dyDescent="0.25">
      <c r="A1599">
        <v>2949</v>
      </c>
      <c r="B1599" t="s">
        <v>27</v>
      </c>
      <c r="C1599" t="s">
        <v>1046</v>
      </c>
      <c r="D1599" t="s">
        <v>1047</v>
      </c>
      <c r="G1599" t="s">
        <v>43</v>
      </c>
      <c r="H1599" t="s">
        <v>5945</v>
      </c>
      <c r="I1599" s="4">
        <v>45443.875</v>
      </c>
      <c r="K1599" t="s">
        <v>914</v>
      </c>
      <c r="L1599" s="5"/>
      <c r="M1599" s="5"/>
      <c r="N1599" t="s">
        <v>82</v>
      </c>
      <c r="O1599" t="s">
        <v>5946</v>
      </c>
      <c r="R1599">
        <v>1</v>
      </c>
      <c r="T1599" s="5" t="s">
        <v>38</v>
      </c>
      <c r="W1599">
        <v>209</v>
      </c>
      <c r="X1599" t="s">
        <v>5947</v>
      </c>
      <c r="Y1599" t="str">
        <f>VLOOKUP(C1599,'[1]DBS_KPY Sorumlular'!A:C,2,FALSE)</f>
        <v>Ayşegül AKGÜL</v>
      </c>
      <c r="Z1599" t="str">
        <f>VLOOKUP(C1599,'[1]DBS_KPY Sorumlular'!A:C,3,FALSE)</f>
        <v>Sinan ERDAŞ</v>
      </c>
      <c r="AA1599" t="str">
        <f>VLOOKUP(K1599,[1]!Tablo3[#Data],2,FALSE)</f>
        <v>Tayfun VİÇE</v>
      </c>
    </row>
    <row r="1600" spans="1:27" x14ac:dyDescent="0.25">
      <c r="A1600">
        <v>2950</v>
      </c>
      <c r="B1600" t="s">
        <v>27</v>
      </c>
      <c r="C1600" t="s">
        <v>1046</v>
      </c>
      <c r="D1600" t="s">
        <v>1047</v>
      </c>
      <c r="G1600" t="s">
        <v>43</v>
      </c>
      <c r="H1600" t="s">
        <v>5948</v>
      </c>
      <c r="I1600" s="4">
        <v>43616.875</v>
      </c>
      <c r="K1600" t="s">
        <v>1029</v>
      </c>
      <c r="L1600" s="5"/>
      <c r="M1600" s="5"/>
      <c r="N1600" t="s">
        <v>82</v>
      </c>
      <c r="O1600" t="s">
        <v>5949</v>
      </c>
      <c r="R1600">
        <v>1</v>
      </c>
      <c r="T1600" s="5" t="s">
        <v>38</v>
      </c>
      <c r="W1600">
        <v>74</v>
      </c>
      <c r="X1600" t="s">
        <v>234</v>
      </c>
      <c r="Y1600" t="str">
        <f>VLOOKUP(C1600,'[1]DBS_KPY Sorumlular'!A:C,2,FALSE)</f>
        <v>Ayşegül AKGÜL</v>
      </c>
      <c r="Z1600" t="str">
        <f>VLOOKUP(C1600,'[1]DBS_KPY Sorumlular'!A:C,3,FALSE)</f>
        <v>Sinan ERDAŞ</v>
      </c>
      <c r="AA1600" t="str">
        <f>VLOOKUP(K1600,[1]!Tablo3[#Data],2,FALSE)</f>
        <v>Tayfun VİÇE</v>
      </c>
    </row>
    <row r="1601" spans="1:27" x14ac:dyDescent="0.25">
      <c r="A1601">
        <v>2951</v>
      </c>
      <c r="B1601" t="s">
        <v>27</v>
      </c>
      <c r="C1601" t="s">
        <v>1046</v>
      </c>
      <c r="D1601" t="s">
        <v>1047</v>
      </c>
      <c r="G1601" t="s">
        <v>43</v>
      </c>
      <c r="H1601" t="s">
        <v>5950</v>
      </c>
      <c r="I1601" s="4">
        <v>45443.875</v>
      </c>
      <c r="K1601" t="s">
        <v>1029</v>
      </c>
      <c r="L1601" s="5"/>
      <c r="M1601" s="5"/>
      <c r="N1601" t="s">
        <v>82</v>
      </c>
      <c r="O1601" t="s">
        <v>5951</v>
      </c>
      <c r="R1601">
        <v>1</v>
      </c>
      <c r="T1601" s="5" t="s">
        <v>38</v>
      </c>
      <c r="W1601">
        <v>155</v>
      </c>
      <c r="X1601" t="s">
        <v>5952</v>
      </c>
      <c r="Y1601" t="str">
        <f>VLOOKUP(C1601,'[1]DBS_KPY Sorumlular'!A:C,2,FALSE)</f>
        <v>Ayşegül AKGÜL</v>
      </c>
      <c r="Z1601" t="str">
        <f>VLOOKUP(C1601,'[1]DBS_KPY Sorumlular'!A:C,3,FALSE)</f>
        <v>Sinan ERDAŞ</v>
      </c>
      <c r="AA1601" t="str">
        <f>VLOOKUP(K1601,[1]!Tablo3[#Data],2,FALSE)</f>
        <v>Tayfun VİÇE</v>
      </c>
    </row>
    <row r="1602" spans="1:27" x14ac:dyDescent="0.25">
      <c r="A1602">
        <v>2952</v>
      </c>
      <c r="B1602" t="s">
        <v>27</v>
      </c>
      <c r="C1602" t="s">
        <v>1046</v>
      </c>
      <c r="D1602" t="s">
        <v>1047</v>
      </c>
      <c r="G1602" t="s">
        <v>43</v>
      </c>
      <c r="H1602" t="s">
        <v>5953</v>
      </c>
      <c r="I1602" s="4">
        <v>43616.875</v>
      </c>
      <c r="K1602" t="s">
        <v>280</v>
      </c>
      <c r="L1602" s="5"/>
      <c r="M1602" s="5"/>
      <c r="N1602" t="s">
        <v>82</v>
      </c>
      <c r="O1602" t="s">
        <v>5954</v>
      </c>
      <c r="R1602">
        <v>1</v>
      </c>
      <c r="T1602" s="5" t="s">
        <v>38</v>
      </c>
      <c r="W1602">
        <v>74</v>
      </c>
      <c r="X1602" t="s">
        <v>234</v>
      </c>
      <c r="Y1602" t="str">
        <f>VLOOKUP(C1602,'[1]DBS_KPY Sorumlular'!A:C,2,FALSE)</f>
        <v>Ayşegül AKGÜL</v>
      </c>
      <c r="Z1602" t="str">
        <f>VLOOKUP(C1602,'[1]DBS_KPY Sorumlular'!A:C,3,FALSE)</f>
        <v>Sinan ERDAŞ</v>
      </c>
      <c r="AA1602" t="str">
        <f>VLOOKUP(K1602,[1]!Tablo3[#Data],2,FALSE)</f>
        <v>Erkan AKDOĞAN</v>
      </c>
    </row>
    <row r="1603" spans="1:27" x14ac:dyDescent="0.25">
      <c r="A1603">
        <v>2953</v>
      </c>
      <c r="B1603" t="s">
        <v>27</v>
      </c>
      <c r="C1603" t="s">
        <v>1046</v>
      </c>
      <c r="D1603" t="s">
        <v>1047</v>
      </c>
      <c r="G1603" t="s">
        <v>43</v>
      </c>
      <c r="H1603" t="s">
        <v>5955</v>
      </c>
      <c r="I1603" s="4">
        <v>45077.875</v>
      </c>
      <c r="K1603" t="s">
        <v>280</v>
      </c>
      <c r="L1603" s="5"/>
      <c r="M1603" s="5"/>
      <c r="N1603" t="s">
        <v>82</v>
      </c>
      <c r="O1603" t="s">
        <v>5956</v>
      </c>
      <c r="R1603">
        <v>1</v>
      </c>
      <c r="T1603" s="5" t="s">
        <v>38</v>
      </c>
      <c r="W1603">
        <v>172</v>
      </c>
      <c r="X1603" t="s">
        <v>240</v>
      </c>
      <c r="Y1603" t="str">
        <f>VLOOKUP(C1603,'[1]DBS_KPY Sorumlular'!A:C,2,FALSE)</f>
        <v>Ayşegül AKGÜL</v>
      </c>
      <c r="Z1603" t="str">
        <f>VLOOKUP(C1603,'[1]DBS_KPY Sorumlular'!A:C,3,FALSE)</f>
        <v>Sinan ERDAŞ</v>
      </c>
      <c r="AA1603" t="str">
        <f>VLOOKUP(K1603,[1]!Tablo3[#Data],2,FALSE)</f>
        <v>Erkan AKDOĞAN</v>
      </c>
    </row>
    <row r="1604" spans="1:27" x14ac:dyDescent="0.25">
      <c r="A1604">
        <v>2954</v>
      </c>
      <c r="B1604" t="s">
        <v>27</v>
      </c>
      <c r="C1604" t="s">
        <v>1046</v>
      </c>
      <c r="D1604" t="s">
        <v>1047</v>
      </c>
      <c r="G1604" t="s">
        <v>43</v>
      </c>
      <c r="H1604" t="s">
        <v>5957</v>
      </c>
      <c r="I1604" s="4">
        <v>45077.875</v>
      </c>
      <c r="K1604" t="s">
        <v>280</v>
      </c>
      <c r="L1604" s="5"/>
      <c r="M1604" s="5"/>
      <c r="N1604" t="s">
        <v>82</v>
      </c>
      <c r="O1604" t="s">
        <v>5958</v>
      </c>
      <c r="R1604">
        <v>1</v>
      </c>
      <c r="T1604" s="5" t="s">
        <v>38</v>
      </c>
      <c r="W1604">
        <v>170</v>
      </c>
      <c r="X1604" t="s">
        <v>5881</v>
      </c>
      <c r="Y1604" t="str">
        <f>VLOOKUP(C1604,'[1]DBS_KPY Sorumlular'!A:C,2,FALSE)</f>
        <v>Ayşegül AKGÜL</v>
      </c>
      <c r="Z1604" t="str">
        <f>VLOOKUP(C1604,'[1]DBS_KPY Sorumlular'!A:C,3,FALSE)</f>
        <v>Sinan ERDAŞ</v>
      </c>
      <c r="AA1604" t="str">
        <f>VLOOKUP(K1604,[1]!Tablo3[#Data],2,FALSE)</f>
        <v>Erkan AKDOĞAN</v>
      </c>
    </row>
    <row r="1605" spans="1:27" x14ac:dyDescent="0.25">
      <c r="A1605">
        <v>2955</v>
      </c>
      <c r="B1605" t="s">
        <v>27</v>
      </c>
      <c r="C1605" t="s">
        <v>1046</v>
      </c>
      <c r="D1605" t="s">
        <v>1047</v>
      </c>
      <c r="G1605" t="s">
        <v>43</v>
      </c>
      <c r="H1605" t="s">
        <v>5959</v>
      </c>
      <c r="I1605" s="4">
        <v>45077.875</v>
      </c>
      <c r="K1605" t="s">
        <v>280</v>
      </c>
      <c r="L1605" s="5"/>
      <c r="M1605" s="5"/>
      <c r="N1605" t="s">
        <v>82</v>
      </c>
      <c r="O1605" t="s">
        <v>5960</v>
      </c>
      <c r="R1605">
        <v>1</v>
      </c>
      <c r="T1605" s="5" t="s">
        <v>38</v>
      </c>
      <c r="W1605">
        <v>16</v>
      </c>
      <c r="X1605" t="s">
        <v>5859</v>
      </c>
      <c r="Y1605" t="str">
        <f>VLOOKUP(C1605,'[1]DBS_KPY Sorumlular'!A:C,2,FALSE)</f>
        <v>Ayşegül AKGÜL</v>
      </c>
      <c r="Z1605" t="str">
        <f>VLOOKUP(C1605,'[1]DBS_KPY Sorumlular'!A:C,3,FALSE)</f>
        <v>Sinan ERDAŞ</v>
      </c>
      <c r="AA1605" t="str">
        <f>VLOOKUP(K1605,[1]!Tablo3[#Data],2,FALSE)</f>
        <v>Erkan AKDOĞAN</v>
      </c>
    </row>
    <row r="1606" spans="1:27" x14ac:dyDescent="0.25">
      <c r="A1606">
        <v>2956</v>
      </c>
      <c r="B1606" t="s">
        <v>27</v>
      </c>
      <c r="C1606" t="s">
        <v>1046</v>
      </c>
      <c r="D1606" t="s">
        <v>1047</v>
      </c>
      <c r="G1606" t="s">
        <v>43</v>
      </c>
      <c r="H1606" t="s">
        <v>5961</v>
      </c>
      <c r="I1606" s="4">
        <v>43616.875</v>
      </c>
      <c r="K1606" t="s">
        <v>1157</v>
      </c>
      <c r="L1606" s="5"/>
      <c r="M1606" s="5"/>
      <c r="N1606" t="s">
        <v>82</v>
      </c>
      <c r="O1606" t="s">
        <v>5962</v>
      </c>
      <c r="R1606">
        <v>1</v>
      </c>
      <c r="T1606" s="5" t="s">
        <v>38</v>
      </c>
      <c r="W1606">
        <v>169</v>
      </c>
      <c r="X1606" t="s">
        <v>1480</v>
      </c>
      <c r="Y1606" t="str">
        <f>VLOOKUP(C1606,'[1]DBS_KPY Sorumlular'!A:C,2,FALSE)</f>
        <v>Ayşegül AKGÜL</v>
      </c>
      <c r="Z1606" t="str">
        <f>VLOOKUP(C1606,'[1]DBS_KPY Sorumlular'!A:C,3,FALSE)</f>
        <v>Sinan ERDAŞ</v>
      </c>
      <c r="AA1606" t="str">
        <f>VLOOKUP(K1606,[1]!Tablo3[#Data],2,FALSE)</f>
        <v>Tayfun VİÇE</v>
      </c>
    </row>
    <row r="1607" spans="1:27" x14ac:dyDescent="0.25">
      <c r="A1607">
        <v>2957</v>
      </c>
      <c r="B1607" t="s">
        <v>27</v>
      </c>
      <c r="C1607" t="s">
        <v>1046</v>
      </c>
      <c r="D1607" t="s">
        <v>1047</v>
      </c>
      <c r="G1607" t="s">
        <v>43</v>
      </c>
      <c r="H1607" t="s">
        <v>5963</v>
      </c>
      <c r="I1607" s="4">
        <v>43982.875</v>
      </c>
      <c r="K1607" t="s">
        <v>1157</v>
      </c>
      <c r="L1607" s="5"/>
      <c r="M1607" s="5"/>
      <c r="N1607" t="s">
        <v>82</v>
      </c>
      <c r="O1607" t="s">
        <v>5964</v>
      </c>
      <c r="R1607">
        <v>1</v>
      </c>
      <c r="T1607" s="5" t="s">
        <v>38</v>
      </c>
      <c r="W1607">
        <v>57</v>
      </c>
      <c r="X1607" t="s">
        <v>5965</v>
      </c>
      <c r="Y1607" t="str">
        <f>VLOOKUP(C1607,'[1]DBS_KPY Sorumlular'!A:C,2,FALSE)</f>
        <v>Ayşegül AKGÜL</v>
      </c>
      <c r="Z1607" t="str">
        <f>VLOOKUP(C1607,'[1]DBS_KPY Sorumlular'!A:C,3,FALSE)</f>
        <v>Sinan ERDAŞ</v>
      </c>
      <c r="AA1607" t="str">
        <f>VLOOKUP(K1607,[1]!Tablo3[#Data],2,FALSE)</f>
        <v>Tayfun VİÇE</v>
      </c>
    </row>
    <row r="1608" spans="1:27" x14ac:dyDescent="0.25">
      <c r="A1608">
        <v>2958</v>
      </c>
      <c r="B1608" t="s">
        <v>27</v>
      </c>
      <c r="C1608" t="s">
        <v>1046</v>
      </c>
      <c r="D1608" t="s">
        <v>1047</v>
      </c>
      <c r="G1608" t="s">
        <v>43</v>
      </c>
      <c r="H1608" t="s">
        <v>5966</v>
      </c>
      <c r="I1608" s="4">
        <v>44347.875</v>
      </c>
      <c r="K1608" t="s">
        <v>1157</v>
      </c>
      <c r="L1608" s="5"/>
      <c r="M1608" s="5"/>
      <c r="N1608" t="s">
        <v>82</v>
      </c>
      <c r="O1608" t="s">
        <v>5967</v>
      </c>
      <c r="R1608">
        <v>1</v>
      </c>
      <c r="T1608" s="5" t="s">
        <v>38</v>
      </c>
      <c r="W1608">
        <v>71</v>
      </c>
      <c r="X1608" t="s">
        <v>1299</v>
      </c>
      <c r="Y1608" t="str">
        <f>VLOOKUP(C1608,'[1]DBS_KPY Sorumlular'!A:C,2,FALSE)</f>
        <v>Ayşegül AKGÜL</v>
      </c>
      <c r="Z1608" t="str">
        <f>VLOOKUP(C1608,'[1]DBS_KPY Sorumlular'!A:C,3,FALSE)</f>
        <v>Sinan ERDAŞ</v>
      </c>
      <c r="AA1608" t="str">
        <f>VLOOKUP(K1608,[1]!Tablo3[#Data],2,FALSE)</f>
        <v>Tayfun VİÇE</v>
      </c>
    </row>
    <row r="1609" spans="1:27" x14ac:dyDescent="0.25">
      <c r="A1609">
        <v>2959</v>
      </c>
      <c r="B1609" t="s">
        <v>27</v>
      </c>
      <c r="C1609" t="s">
        <v>1046</v>
      </c>
      <c r="D1609" t="s">
        <v>1047</v>
      </c>
      <c r="G1609" t="s">
        <v>43</v>
      </c>
      <c r="H1609" t="s">
        <v>5968</v>
      </c>
      <c r="I1609" s="4">
        <v>43616.875</v>
      </c>
      <c r="K1609" t="s">
        <v>1106</v>
      </c>
      <c r="L1609" s="5"/>
      <c r="M1609" s="5"/>
      <c r="N1609" t="s">
        <v>82</v>
      </c>
      <c r="O1609" t="s">
        <v>5969</v>
      </c>
      <c r="R1609">
        <v>1</v>
      </c>
      <c r="T1609" s="5" t="s">
        <v>38</v>
      </c>
      <c r="W1609">
        <v>169</v>
      </c>
      <c r="X1609" t="s">
        <v>1480</v>
      </c>
      <c r="Y1609" t="str">
        <f>VLOOKUP(C1609,'[1]DBS_KPY Sorumlular'!A:C,2,FALSE)</f>
        <v>Ayşegül AKGÜL</v>
      </c>
      <c r="Z1609" t="str">
        <f>VLOOKUP(C1609,'[1]DBS_KPY Sorumlular'!A:C,3,FALSE)</f>
        <v>Sinan ERDAŞ</v>
      </c>
      <c r="AA1609" t="str">
        <f>VLOOKUP(K1609,[1]!Tablo3[#Data],2,FALSE)</f>
        <v>Tayfun VİÇE</v>
      </c>
    </row>
    <row r="1610" spans="1:27" x14ac:dyDescent="0.25">
      <c r="A1610">
        <v>2960</v>
      </c>
      <c r="B1610" t="s">
        <v>27</v>
      </c>
      <c r="C1610" t="s">
        <v>1046</v>
      </c>
      <c r="D1610" t="s">
        <v>1047</v>
      </c>
      <c r="G1610" t="s">
        <v>43</v>
      </c>
      <c r="H1610" t="s">
        <v>5970</v>
      </c>
      <c r="I1610" s="4">
        <v>43982.875</v>
      </c>
      <c r="K1610" t="s">
        <v>1106</v>
      </c>
      <c r="L1610" s="5"/>
      <c r="M1610" s="5"/>
      <c r="N1610" t="s">
        <v>82</v>
      </c>
      <c r="O1610" t="s">
        <v>5971</v>
      </c>
      <c r="R1610">
        <v>1</v>
      </c>
      <c r="T1610" s="5" t="s">
        <v>38</v>
      </c>
      <c r="W1610">
        <v>57</v>
      </c>
      <c r="X1610" t="s">
        <v>5965</v>
      </c>
      <c r="Y1610" t="str">
        <f>VLOOKUP(C1610,'[1]DBS_KPY Sorumlular'!A:C,2,FALSE)</f>
        <v>Ayşegül AKGÜL</v>
      </c>
      <c r="Z1610" t="str">
        <f>VLOOKUP(C1610,'[1]DBS_KPY Sorumlular'!A:C,3,FALSE)</f>
        <v>Sinan ERDAŞ</v>
      </c>
      <c r="AA1610" t="str">
        <f>VLOOKUP(K1610,[1]!Tablo3[#Data],2,FALSE)</f>
        <v>Tayfun VİÇE</v>
      </c>
    </row>
    <row r="1611" spans="1:27" x14ac:dyDescent="0.25">
      <c r="A1611">
        <v>2961</v>
      </c>
      <c r="B1611" t="s">
        <v>27</v>
      </c>
      <c r="C1611" t="s">
        <v>1046</v>
      </c>
      <c r="D1611" t="s">
        <v>1047</v>
      </c>
      <c r="G1611" t="s">
        <v>43</v>
      </c>
      <c r="H1611" t="s">
        <v>5972</v>
      </c>
      <c r="I1611" s="4">
        <v>45443.875</v>
      </c>
      <c r="K1611" t="s">
        <v>1106</v>
      </c>
      <c r="L1611" s="5"/>
      <c r="M1611" s="5"/>
      <c r="N1611" t="s">
        <v>82</v>
      </c>
      <c r="O1611" t="s">
        <v>5973</v>
      </c>
      <c r="R1611">
        <v>1</v>
      </c>
      <c r="T1611" s="5" t="s">
        <v>38</v>
      </c>
      <c r="W1611">
        <v>16</v>
      </c>
      <c r="X1611" t="s">
        <v>5859</v>
      </c>
      <c r="Y1611" t="str">
        <f>VLOOKUP(C1611,'[1]DBS_KPY Sorumlular'!A:C,2,FALSE)</f>
        <v>Ayşegül AKGÜL</v>
      </c>
      <c r="Z1611" t="str">
        <f>VLOOKUP(C1611,'[1]DBS_KPY Sorumlular'!A:C,3,FALSE)</f>
        <v>Sinan ERDAŞ</v>
      </c>
      <c r="AA1611" t="str">
        <f>VLOOKUP(K1611,[1]!Tablo3[#Data],2,FALSE)</f>
        <v>Tayfun VİÇE</v>
      </c>
    </row>
    <row r="1612" spans="1:27" x14ac:dyDescent="0.25">
      <c r="A1612">
        <v>2962</v>
      </c>
      <c r="B1612" t="s">
        <v>27</v>
      </c>
      <c r="C1612" t="s">
        <v>1046</v>
      </c>
      <c r="D1612" t="s">
        <v>1047</v>
      </c>
      <c r="G1612" t="s">
        <v>43</v>
      </c>
      <c r="H1612" t="s">
        <v>5974</v>
      </c>
      <c r="I1612" s="4">
        <v>45443.875</v>
      </c>
      <c r="K1612" t="s">
        <v>1106</v>
      </c>
      <c r="L1612" s="5"/>
      <c r="M1612" s="5"/>
      <c r="N1612" t="s">
        <v>82</v>
      </c>
      <c r="O1612" t="s">
        <v>5975</v>
      </c>
      <c r="R1612">
        <v>1</v>
      </c>
      <c r="T1612" s="5" t="s">
        <v>38</v>
      </c>
      <c r="W1612">
        <v>62</v>
      </c>
      <c r="X1612" t="s">
        <v>680</v>
      </c>
      <c r="Y1612" t="str">
        <f>VLOOKUP(C1612,'[1]DBS_KPY Sorumlular'!A:C,2,FALSE)</f>
        <v>Ayşegül AKGÜL</v>
      </c>
      <c r="Z1612" t="str">
        <f>VLOOKUP(C1612,'[1]DBS_KPY Sorumlular'!A:C,3,FALSE)</f>
        <v>Sinan ERDAŞ</v>
      </c>
      <c r="AA1612" t="str">
        <f>VLOOKUP(K1612,[1]!Tablo3[#Data],2,FALSE)</f>
        <v>Tayfun VİÇE</v>
      </c>
    </row>
    <row r="1613" spans="1:27" x14ac:dyDescent="0.25">
      <c r="A1613">
        <v>2963</v>
      </c>
      <c r="B1613" t="s">
        <v>27</v>
      </c>
      <c r="C1613" t="s">
        <v>1046</v>
      </c>
      <c r="D1613" t="s">
        <v>1047</v>
      </c>
      <c r="G1613" t="s">
        <v>43</v>
      </c>
      <c r="H1613" t="s">
        <v>5976</v>
      </c>
      <c r="I1613" s="4">
        <v>43616.875</v>
      </c>
      <c r="K1613" t="s">
        <v>926</v>
      </c>
      <c r="L1613" s="5"/>
      <c r="M1613" s="5"/>
      <c r="N1613" t="s">
        <v>82</v>
      </c>
      <c r="O1613" t="s">
        <v>5977</v>
      </c>
      <c r="R1613">
        <v>1</v>
      </c>
      <c r="T1613" s="5" t="s">
        <v>38</v>
      </c>
      <c r="W1613">
        <v>105</v>
      </c>
      <c r="X1613" t="s">
        <v>390</v>
      </c>
      <c r="Y1613" t="str">
        <f>VLOOKUP(C1613,'[1]DBS_KPY Sorumlular'!A:C,2,FALSE)</f>
        <v>Ayşegül AKGÜL</v>
      </c>
      <c r="Z1613" t="str">
        <f>VLOOKUP(C1613,'[1]DBS_KPY Sorumlular'!A:C,3,FALSE)</f>
        <v>Sinan ERDAŞ</v>
      </c>
      <c r="AA1613" t="str">
        <f>VLOOKUP(K1613,[1]!Tablo3[#Data],2,FALSE)</f>
        <v>Kadir TOPÇU</v>
      </c>
    </row>
    <row r="1614" spans="1:27" x14ac:dyDescent="0.25">
      <c r="A1614">
        <v>2964</v>
      </c>
      <c r="B1614" t="s">
        <v>27</v>
      </c>
      <c r="C1614" t="s">
        <v>1046</v>
      </c>
      <c r="D1614" t="s">
        <v>1047</v>
      </c>
      <c r="G1614" t="s">
        <v>43</v>
      </c>
      <c r="H1614" t="s">
        <v>5978</v>
      </c>
      <c r="I1614" s="4">
        <v>43616.875</v>
      </c>
      <c r="K1614" t="s">
        <v>926</v>
      </c>
      <c r="L1614" s="5"/>
      <c r="M1614" s="5"/>
      <c r="N1614" t="s">
        <v>82</v>
      </c>
      <c r="O1614" t="s">
        <v>5979</v>
      </c>
      <c r="R1614">
        <v>1</v>
      </c>
      <c r="T1614" s="5" t="s">
        <v>38</v>
      </c>
      <c r="W1614">
        <v>52</v>
      </c>
      <c r="X1614" t="s">
        <v>3153</v>
      </c>
      <c r="Y1614" t="str">
        <f>VLOOKUP(C1614,'[1]DBS_KPY Sorumlular'!A:C,2,FALSE)</f>
        <v>Ayşegül AKGÜL</v>
      </c>
      <c r="Z1614" t="str">
        <f>VLOOKUP(C1614,'[1]DBS_KPY Sorumlular'!A:C,3,FALSE)</f>
        <v>Sinan ERDAŞ</v>
      </c>
      <c r="AA1614" t="str">
        <f>VLOOKUP(K1614,[1]!Tablo3[#Data],2,FALSE)</f>
        <v>Kadir TOPÇU</v>
      </c>
    </row>
    <row r="1615" spans="1:27" x14ac:dyDescent="0.25">
      <c r="A1615">
        <v>2965</v>
      </c>
      <c r="B1615" t="s">
        <v>27</v>
      </c>
      <c r="C1615" t="s">
        <v>1046</v>
      </c>
      <c r="D1615" t="s">
        <v>1047</v>
      </c>
      <c r="G1615" t="s">
        <v>43</v>
      </c>
      <c r="H1615" t="s">
        <v>5980</v>
      </c>
      <c r="I1615" s="4">
        <v>43616.875</v>
      </c>
      <c r="K1615" t="s">
        <v>926</v>
      </c>
      <c r="L1615" s="5"/>
      <c r="M1615" s="5"/>
      <c r="N1615" t="s">
        <v>82</v>
      </c>
      <c r="O1615" t="s">
        <v>5981</v>
      </c>
      <c r="R1615">
        <v>1</v>
      </c>
      <c r="T1615" s="5" t="s">
        <v>38</v>
      </c>
      <c r="W1615">
        <v>105</v>
      </c>
      <c r="X1615" t="s">
        <v>390</v>
      </c>
      <c r="Y1615" t="str">
        <f>VLOOKUP(C1615,'[1]DBS_KPY Sorumlular'!A:C,2,FALSE)</f>
        <v>Ayşegül AKGÜL</v>
      </c>
      <c r="Z1615" t="str">
        <f>VLOOKUP(C1615,'[1]DBS_KPY Sorumlular'!A:C,3,FALSE)</f>
        <v>Sinan ERDAŞ</v>
      </c>
      <c r="AA1615" t="str">
        <f>VLOOKUP(K1615,[1]!Tablo3[#Data],2,FALSE)</f>
        <v>Kadir TOPÇU</v>
      </c>
    </row>
    <row r="1616" spans="1:27" x14ac:dyDescent="0.25">
      <c r="A1616">
        <v>2966</v>
      </c>
      <c r="B1616" t="s">
        <v>27</v>
      </c>
      <c r="C1616" t="s">
        <v>1046</v>
      </c>
      <c r="D1616" t="s">
        <v>1047</v>
      </c>
      <c r="G1616" t="s">
        <v>43</v>
      </c>
      <c r="H1616" t="s">
        <v>5982</v>
      </c>
      <c r="I1616" s="4">
        <v>45077.875</v>
      </c>
      <c r="K1616" t="s">
        <v>926</v>
      </c>
      <c r="L1616" s="5"/>
      <c r="M1616" s="5"/>
      <c r="N1616" t="s">
        <v>82</v>
      </c>
      <c r="O1616" t="s">
        <v>5983</v>
      </c>
      <c r="R1616">
        <v>1</v>
      </c>
      <c r="T1616" s="5" t="s">
        <v>38</v>
      </c>
      <c r="W1616">
        <v>16</v>
      </c>
      <c r="X1616" t="s">
        <v>5859</v>
      </c>
      <c r="Y1616" t="str">
        <f>VLOOKUP(C1616,'[1]DBS_KPY Sorumlular'!A:C,2,FALSE)</f>
        <v>Ayşegül AKGÜL</v>
      </c>
      <c r="Z1616" t="str">
        <f>VLOOKUP(C1616,'[1]DBS_KPY Sorumlular'!A:C,3,FALSE)</f>
        <v>Sinan ERDAŞ</v>
      </c>
      <c r="AA1616" t="str">
        <f>VLOOKUP(K1616,[1]!Tablo3[#Data],2,FALSE)</f>
        <v>Kadir TOPÇU</v>
      </c>
    </row>
    <row r="1617" spans="1:27" x14ac:dyDescent="0.25">
      <c r="A1617">
        <v>2967</v>
      </c>
      <c r="B1617" t="s">
        <v>27</v>
      </c>
      <c r="C1617" t="s">
        <v>1046</v>
      </c>
      <c r="D1617" t="s">
        <v>1047</v>
      </c>
      <c r="G1617" t="s">
        <v>43</v>
      </c>
      <c r="H1617" t="s">
        <v>5984</v>
      </c>
      <c r="I1617" s="4">
        <v>43616.875</v>
      </c>
      <c r="K1617" t="s">
        <v>1528</v>
      </c>
      <c r="L1617" s="5"/>
      <c r="M1617" s="5"/>
      <c r="N1617" t="s">
        <v>82</v>
      </c>
      <c r="O1617" t="s">
        <v>5985</v>
      </c>
      <c r="R1617">
        <v>1</v>
      </c>
      <c r="T1617" s="5" t="s">
        <v>38</v>
      </c>
      <c r="W1617">
        <v>71</v>
      </c>
      <c r="X1617" t="s">
        <v>1299</v>
      </c>
      <c r="Y1617" t="str">
        <f>VLOOKUP(C1617,'[1]DBS_KPY Sorumlular'!A:C,2,FALSE)</f>
        <v>Ayşegül AKGÜL</v>
      </c>
      <c r="Z1617" t="str">
        <f>VLOOKUP(C1617,'[1]DBS_KPY Sorumlular'!A:C,3,FALSE)</f>
        <v>Sinan ERDAŞ</v>
      </c>
      <c r="AA1617" t="str">
        <f>VLOOKUP(K1617,[1]!Tablo3[#Data],2,FALSE)</f>
        <v>Tayfun VİÇE</v>
      </c>
    </row>
    <row r="1618" spans="1:27" x14ac:dyDescent="0.25">
      <c r="A1618">
        <v>2968</v>
      </c>
      <c r="B1618" t="s">
        <v>27</v>
      </c>
      <c r="C1618" t="s">
        <v>1046</v>
      </c>
      <c r="D1618" t="s">
        <v>1047</v>
      </c>
      <c r="G1618" t="s">
        <v>43</v>
      </c>
      <c r="H1618" t="s">
        <v>5986</v>
      </c>
      <c r="I1618" s="4">
        <v>44712.875</v>
      </c>
      <c r="K1618" t="s">
        <v>1348</v>
      </c>
      <c r="L1618" s="5"/>
      <c r="M1618" s="5"/>
      <c r="N1618" t="s">
        <v>82</v>
      </c>
      <c r="O1618" t="s">
        <v>5987</v>
      </c>
      <c r="R1618">
        <v>1</v>
      </c>
      <c r="T1618" s="5" t="s">
        <v>38</v>
      </c>
      <c r="W1618">
        <v>16</v>
      </c>
      <c r="X1618" t="s">
        <v>5859</v>
      </c>
      <c r="Y1618" t="str">
        <f>VLOOKUP(C1618,'[1]DBS_KPY Sorumlular'!A:C,2,FALSE)</f>
        <v>Ayşegül AKGÜL</v>
      </c>
      <c r="Z1618" t="str">
        <f>VLOOKUP(C1618,'[1]DBS_KPY Sorumlular'!A:C,3,FALSE)</f>
        <v>Sinan ERDAŞ</v>
      </c>
      <c r="AA1618" t="str">
        <f>VLOOKUP(K1618,[1]!Tablo3[#Data],2,FALSE)</f>
        <v>Tayfun VİÇE</v>
      </c>
    </row>
    <row r="1619" spans="1:27" x14ac:dyDescent="0.25">
      <c r="A1619">
        <v>2969</v>
      </c>
      <c r="B1619" t="s">
        <v>27</v>
      </c>
      <c r="C1619" t="s">
        <v>1046</v>
      </c>
      <c r="D1619" t="s">
        <v>1047</v>
      </c>
      <c r="G1619" t="s">
        <v>43</v>
      </c>
      <c r="H1619" t="s">
        <v>5988</v>
      </c>
      <c r="I1619" s="4">
        <v>45077.875</v>
      </c>
      <c r="K1619" t="s">
        <v>1348</v>
      </c>
      <c r="L1619" s="5"/>
      <c r="M1619" s="5"/>
      <c r="N1619" t="s">
        <v>82</v>
      </c>
      <c r="O1619" t="s">
        <v>5989</v>
      </c>
      <c r="R1619">
        <v>1</v>
      </c>
      <c r="T1619" s="5" t="s">
        <v>38</v>
      </c>
      <c r="W1619">
        <v>169</v>
      </c>
      <c r="X1619" t="s">
        <v>1480</v>
      </c>
      <c r="Y1619" t="str">
        <f>VLOOKUP(C1619,'[1]DBS_KPY Sorumlular'!A:C,2,FALSE)</f>
        <v>Ayşegül AKGÜL</v>
      </c>
      <c r="Z1619" t="str">
        <f>VLOOKUP(C1619,'[1]DBS_KPY Sorumlular'!A:C,3,FALSE)</f>
        <v>Sinan ERDAŞ</v>
      </c>
      <c r="AA1619" t="str">
        <f>VLOOKUP(K1619,[1]!Tablo3[#Data],2,FALSE)</f>
        <v>Tayfun VİÇE</v>
      </c>
    </row>
    <row r="1620" spans="1:27" x14ac:dyDescent="0.25">
      <c r="A1620">
        <v>2970</v>
      </c>
      <c r="B1620" t="s">
        <v>27</v>
      </c>
      <c r="C1620" t="s">
        <v>1046</v>
      </c>
      <c r="D1620" t="s">
        <v>1047</v>
      </c>
      <c r="G1620" t="s">
        <v>43</v>
      </c>
      <c r="H1620" t="s">
        <v>5990</v>
      </c>
      <c r="I1620" s="4">
        <v>44347.875</v>
      </c>
      <c r="K1620" t="s">
        <v>1360</v>
      </c>
      <c r="L1620" s="5"/>
      <c r="M1620" s="5"/>
      <c r="N1620" t="s">
        <v>82</v>
      </c>
      <c r="O1620" t="s">
        <v>5991</v>
      </c>
      <c r="R1620">
        <v>1</v>
      </c>
      <c r="T1620" s="5" t="s">
        <v>38</v>
      </c>
      <c r="W1620">
        <v>116</v>
      </c>
      <c r="X1620" t="s">
        <v>3651</v>
      </c>
      <c r="Y1620" t="str">
        <f>VLOOKUP(C1620,'[1]DBS_KPY Sorumlular'!A:C,2,FALSE)</f>
        <v>Ayşegül AKGÜL</v>
      </c>
      <c r="Z1620" t="str">
        <f>VLOOKUP(C1620,'[1]DBS_KPY Sorumlular'!A:C,3,FALSE)</f>
        <v>Sinan ERDAŞ</v>
      </c>
      <c r="AA1620" t="str">
        <f>VLOOKUP(K1620,[1]!Tablo3[#Data],2,FALSE)</f>
        <v>Kadir TOPÇU</v>
      </c>
    </row>
    <row r="1621" spans="1:27" x14ac:dyDescent="0.25">
      <c r="A1621">
        <v>2971</v>
      </c>
      <c r="B1621" t="s">
        <v>27</v>
      </c>
      <c r="C1621" t="s">
        <v>1046</v>
      </c>
      <c r="D1621" t="s">
        <v>1047</v>
      </c>
      <c r="G1621" t="s">
        <v>43</v>
      </c>
      <c r="H1621" t="s">
        <v>5992</v>
      </c>
      <c r="I1621" s="4">
        <v>45443.875</v>
      </c>
      <c r="K1621" t="s">
        <v>1360</v>
      </c>
      <c r="L1621" s="5"/>
      <c r="M1621" s="5"/>
      <c r="N1621" t="s">
        <v>82</v>
      </c>
      <c r="O1621" t="s">
        <v>5993</v>
      </c>
      <c r="R1621">
        <v>1</v>
      </c>
      <c r="T1621" s="5" t="s">
        <v>38</v>
      </c>
      <c r="Y1621" t="str">
        <f>VLOOKUP(C1621,'[1]DBS_KPY Sorumlular'!A:C,2,FALSE)</f>
        <v>Ayşegül AKGÜL</v>
      </c>
      <c r="Z1621" t="str">
        <f>VLOOKUP(C1621,'[1]DBS_KPY Sorumlular'!A:C,3,FALSE)</f>
        <v>Sinan ERDAŞ</v>
      </c>
      <c r="AA1621" t="str">
        <f>VLOOKUP(K1621,[1]!Tablo3[#Data],2,FALSE)</f>
        <v>Kadir TOPÇU</v>
      </c>
    </row>
    <row r="1622" spans="1:27" x14ac:dyDescent="0.25">
      <c r="A1622">
        <v>2972</v>
      </c>
      <c r="B1622" t="s">
        <v>27</v>
      </c>
      <c r="C1622" t="s">
        <v>1046</v>
      </c>
      <c r="D1622" t="s">
        <v>1047</v>
      </c>
      <c r="G1622" t="s">
        <v>43</v>
      </c>
      <c r="H1622" t="s">
        <v>5994</v>
      </c>
      <c r="I1622" s="4">
        <v>43982.875</v>
      </c>
      <c r="K1622" t="s">
        <v>423</v>
      </c>
      <c r="L1622" s="5"/>
      <c r="M1622" s="5"/>
      <c r="N1622" t="s">
        <v>82</v>
      </c>
      <c r="O1622" t="s">
        <v>5995</v>
      </c>
      <c r="R1622">
        <v>1</v>
      </c>
      <c r="T1622" s="5" t="s">
        <v>38</v>
      </c>
      <c r="W1622">
        <v>74</v>
      </c>
      <c r="X1622" t="s">
        <v>234</v>
      </c>
      <c r="Y1622" t="str">
        <f>VLOOKUP(C1622,'[1]DBS_KPY Sorumlular'!A:C,2,FALSE)</f>
        <v>Ayşegül AKGÜL</v>
      </c>
      <c r="Z1622" t="str">
        <f>VLOOKUP(C1622,'[1]DBS_KPY Sorumlular'!A:C,3,FALSE)</f>
        <v>Sinan ERDAŞ</v>
      </c>
      <c r="AA1622" t="str">
        <f>VLOOKUP(K1622,[1]!Tablo3[#Data],2,FALSE)</f>
        <v>Kadir TOPÇU</v>
      </c>
    </row>
    <row r="1623" spans="1:27" x14ac:dyDescent="0.25">
      <c r="A1623">
        <v>2973</v>
      </c>
      <c r="B1623" t="s">
        <v>27</v>
      </c>
      <c r="C1623" t="s">
        <v>1046</v>
      </c>
      <c r="D1623" t="s">
        <v>1047</v>
      </c>
      <c r="G1623" t="s">
        <v>43</v>
      </c>
      <c r="H1623" t="s">
        <v>5996</v>
      </c>
      <c r="I1623" s="4">
        <v>45443.875</v>
      </c>
      <c r="K1623" t="s">
        <v>423</v>
      </c>
      <c r="L1623" s="5"/>
      <c r="M1623" s="5"/>
      <c r="N1623" t="s">
        <v>82</v>
      </c>
      <c r="O1623" t="s">
        <v>5997</v>
      </c>
      <c r="R1623">
        <v>1</v>
      </c>
      <c r="T1623" s="5" t="s">
        <v>38</v>
      </c>
      <c r="W1623">
        <v>74</v>
      </c>
      <c r="X1623" t="s">
        <v>234</v>
      </c>
      <c r="Y1623" t="str">
        <f>VLOOKUP(C1623,'[1]DBS_KPY Sorumlular'!A:C,2,FALSE)</f>
        <v>Ayşegül AKGÜL</v>
      </c>
      <c r="Z1623" t="str">
        <f>VLOOKUP(C1623,'[1]DBS_KPY Sorumlular'!A:C,3,FALSE)</f>
        <v>Sinan ERDAŞ</v>
      </c>
      <c r="AA1623" t="str">
        <f>VLOOKUP(K1623,[1]!Tablo3[#Data],2,FALSE)</f>
        <v>Kadir TOPÇU</v>
      </c>
    </row>
    <row r="1624" spans="1:27" x14ac:dyDescent="0.25">
      <c r="A1624">
        <v>2974</v>
      </c>
      <c r="B1624" t="s">
        <v>27</v>
      </c>
      <c r="C1624" t="s">
        <v>1046</v>
      </c>
      <c r="D1624" t="s">
        <v>1047</v>
      </c>
      <c r="G1624" t="s">
        <v>43</v>
      </c>
      <c r="H1624" t="s">
        <v>5998</v>
      </c>
      <c r="I1624" s="4">
        <v>43982.875</v>
      </c>
      <c r="K1624" t="s">
        <v>1471</v>
      </c>
      <c r="L1624" s="5"/>
      <c r="M1624" s="5"/>
      <c r="N1624" t="s">
        <v>82</v>
      </c>
      <c r="O1624" t="s">
        <v>5999</v>
      </c>
      <c r="R1624">
        <v>1</v>
      </c>
      <c r="T1624" s="5" t="s">
        <v>38</v>
      </c>
      <c r="W1624">
        <v>40</v>
      </c>
      <c r="X1624" t="s">
        <v>1117</v>
      </c>
      <c r="Y1624" t="str">
        <f>VLOOKUP(C1624,'[1]DBS_KPY Sorumlular'!A:C,2,FALSE)</f>
        <v>Ayşegül AKGÜL</v>
      </c>
      <c r="Z1624" t="str">
        <f>VLOOKUP(C1624,'[1]DBS_KPY Sorumlular'!A:C,3,FALSE)</f>
        <v>Sinan ERDAŞ</v>
      </c>
      <c r="AA1624" t="str">
        <f>VLOOKUP(K1624,[1]!Tablo3[#Data],2,FALSE)</f>
        <v>Tayfun VİÇE</v>
      </c>
    </row>
    <row r="1625" spans="1:27" x14ac:dyDescent="0.25">
      <c r="A1625">
        <v>2975</v>
      </c>
      <c r="B1625" t="s">
        <v>27</v>
      </c>
      <c r="C1625" t="s">
        <v>1046</v>
      </c>
      <c r="D1625" t="s">
        <v>1047</v>
      </c>
      <c r="G1625" t="s">
        <v>43</v>
      </c>
      <c r="H1625" t="s">
        <v>6000</v>
      </c>
      <c r="I1625" s="4">
        <v>45443.875</v>
      </c>
      <c r="K1625" t="s">
        <v>1471</v>
      </c>
      <c r="L1625" s="5"/>
      <c r="M1625" s="5"/>
      <c r="N1625" t="s">
        <v>82</v>
      </c>
      <c r="O1625" t="s">
        <v>6001</v>
      </c>
      <c r="R1625">
        <v>1</v>
      </c>
      <c r="T1625" s="5" t="s">
        <v>38</v>
      </c>
      <c r="W1625">
        <v>16</v>
      </c>
      <c r="X1625" t="s">
        <v>5859</v>
      </c>
      <c r="Y1625" t="str">
        <f>VLOOKUP(C1625,'[1]DBS_KPY Sorumlular'!A:C,2,FALSE)</f>
        <v>Ayşegül AKGÜL</v>
      </c>
      <c r="Z1625" t="str">
        <f>VLOOKUP(C1625,'[1]DBS_KPY Sorumlular'!A:C,3,FALSE)</f>
        <v>Sinan ERDAŞ</v>
      </c>
      <c r="AA1625" t="str">
        <f>VLOOKUP(K1625,[1]!Tablo3[#Data],2,FALSE)</f>
        <v>Tayfun VİÇE</v>
      </c>
    </row>
    <row r="1626" spans="1:27" x14ac:dyDescent="0.25">
      <c r="A1626">
        <v>2976</v>
      </c>
      <c r="B1626" t="s">
        <v>27</v>
      </c>
      <c r="C1626" t="s">
        <v>1046</v>
      </c>
      <c r="D1626" t="s">
        <v>1047</v>
      </c>
      <c r="G1626" t="s">
        <v>43</v>
      </c>
      <c r="H1626" t="s">
        <v>6002</v>
      </c>
      <c r="I1626" s="4">
        <v>45443.875</v>
      </c>
      <c r="K1626" t="s">
        <v>1471</v>
      </c>
      <c r="L1626" s="5"/>
      <c r="M1626" s="5"/>
      <c r="N1626" t="s">
        <v>82</v>
      </c>
      <c r="O1626" t="s">
        <v>6003</v>
      </c>
      <c r="R1626">
        <v>1</v>
      </c>
      <c r="T1626" s="5" t="s">
        <v>38</v>
      </c>
      <c r="W1626">
        <v>175</v>
      </c>
      <c r="X1626" t="s">
        <v>155</v>
      </c>
      <c r="Y1626" t="str">
        <f>VLOOKUP(C1626,'[1]DBS_KPY Sorumlular'!A:C,2,FALSE)</f>
        <v>Ayşegül AKGÜL</v>
      </c>
      <c r="Z1626" t="str">
        <f>VLOOKUP(C1626,'[1]DBS_KPY Sorumlular'!A:C,3,FALSE)</f>
        <v>Sinan ERDAŞ</v>
      </c>
      <c r="AA1626" t="str">
        <f>VLOOKUP(K1626,[1]!Tablo3[#Data],2,FALSE)</f>
        <v>Tayfun VİÇE</v>
      </c>
    </row>
    <row r="1627" spans="1:27" x14ac:dyDescent="0.25">
      <c r="A1627">
        <v>2977</v>
      </c>
      <c r="B1627" t="s">
        <v>27</v>
      </c>
      <c r="C1627" t="s">
        <v>1046</v>
      </c>
      <c r="D1627" t="s">
        <v>1047</v>
      </c>
      <c r="G1627" t="s">
        <v>43</v>
      </c>
      <c r="H1627" t="s">
        <v>6004</v>
      </c>
      <c r="I1627" s="4">
        <v>43616.875</v>
      </c>
      <c r="K1627" t="s">
        <v>143</v>
      </c>
      <c r="L1627" s="5"/>
      <c r="M1627" s="5"/>
      <c r="N1627" t="s">
        <v>82</v>
      </c>
      <c r="O1627" t="s">
        <v>6005</v>
      </c>
      <c r="R1627">
        <v>1</v>
      </c>
      <c r="T1627" s="5" t="s">
        <v>38</v>
      </c>
      <c r="W1627">
        <v>84</v>
      </c>
      <c r="X1627" t="s">
        <v>1161</v>
      </c>
      <c r="Y1627" t="str">
        <f>VLOOKUP(C1627,'[1]DBS_KPY Sorumlular'!A:C,2,FALSE)</f>
        <v>Ayşegül AKGÜL</v>
      </c>
      <c r="Z1627" t="str">
        <f>VLOOKUP(C1627,'[1]DBS_KPY Sorumlular'!A:C,3,FALSE)</f>
        <v>Sinan ERDAŞ</v>
      </c>
      <c r="AA1627" t="str">
        <f>VLOOKUP(K1627,[1]!Tablo3[#Data],2,FALSE)</f>
        <v>Tayfun VİÇE</v>
      </c>
    </row>
    <row r="1628" spans="1:27" x14ac:dyDescent="0.25">
      <c r="A1628">
        <v>2978</v>
      </c>
      <c r="B1628" t="s">
        <v>27</v>
      </c>
      <c r="C1628" t="s">
        <v>1046</v>
      </c>
      <c r="D1628" t="s">
        <v>1047</v>
      </c>
      <c r="G1628" t="s">
        <v>43</v>
      </c>
      <c r="H1628" t="s">
        <v>6006</v>
      </c>
      <c r="I1628" s="4">
        <v>43982.875</v>
      </c>
      <c r="K1628" t="s">
        <v>143</v>
      </c>
      <c r="L1628" s="5"/>
      <c r="M1628" s="5"/>
      <c r="N1628" t="s">
        <v>82</v>
      </c>
      <c r="O1628" t="s">
        <v>6007</v>
      </c>
      <c r="R1628">
        <v>1</v>
      </c>
      <c r="T1628" s="5" t="s">
        <v>38</v>
      </c>
      <c r="W1628">
        <v>74</v>
      </c>
      <c r="X1628" t="s">
        <v>234</v>
      </c>
      <c r="Y1628" t="str">
        <f>VLOOKUP(C1628,'[1]DBS_KPY Sorumlular'!A:C,2,FALSE)</f>
        <v>Ayşegül AKGÜL</v>
      </c>
      <c r="Z1628" t="str">
        <f>VLOOKUP(C1628,'[1]DBS_KPY Sorumlular'!A:C,3,FALSE)</f>
        <v>Sinan ERDAŞ</v>
      </c>
      <c r="AA1628" t="str">
        <f>VLOOKUP(K1628,[1]!Tablo3[#Data],2,FALSE)</f>
        <v>Tayfun VİÇE</v>
      </c>
    </row>
    <row r="1629" spans="1:27" x14ac:dyDescent="0.25">
      <c r="A1629">
        <v>2979</v>
      </c>
      <c r="B1629" t="s">
        <v>27</v>
      </c>
      <c r="C1629" t="s">
        <v>1046</v>
      </c>
      <c r="D1629" t="s">
        <v>1047</v>
      </c>
      <c r="G1629" t="s">
        <v>43</v>
      </c>
      <c r="H1629" t="s">
        <v>6008</v>
      </c>
      <c r="I1629" s="4">
        <v>44347.875</v>
      </c>
      <c r="K1629" t="s">
        <v>143</v>
      </c>
      <c r="L1629" s="5"/>
      <c r="M1629" s="5"/>
      <c r="N1629" t="s">
        <v>82</v>
      </c>
      <c r="O1629" t="s">
        <v>6009</v>
      </c>
      <c r="R1629">
        <v>1</v>
      </c>
      <c r="T1629" s="5" t="s">
        <v>38</v>
      </c>
      <c r="Y1629" t="str">
        <f>VLOOKUP(C1629,'[1]DBS_KPY Sorumlular'!A:C,2,FALSE)</f>
        <v>Ayşegül AKGÜL</v>
      </c>
      <c r="Z1629" t="str">
        <f>VLOOKUP(C1629,'[1]DBS_KPY Sorumlular'!A:C,3,FALSE)</f>
        <v>Sinan ERDAŞ</v>
      </c>
      <c r="AA1629" t="str">
        <f>VLOOKUP(K1629,[1]!Tablo3[#Data],2,FALSE)</f>
        <v>Tayfun VİÇE</v>
      </c>
    </row>
    <row r="1630" spans="1:27" x14ac:dyDescent="0.25">
      <c r="A1630">
        <v>2980</v>
      </c>
      <c r="B1630" t="s">
        <v>27</v>
      </c>
      <c r="C1630" t="s">
        <v>1046</v>
      </c>
      <c r="D1630" t="s">
        <v>1047</v>
      </c>
      <c r="G1630" t="s">
        <v>43</v>
      </c>
      <c r="H1630" t="s">
        <v>6010</v>
      </c>
      <c r="I1630" s="4">
        <v>44712.875</v>
      </c>
      <c r="K1630" t="s">
        <v>143</v>
      </c>
      <c r="L1630" s="5"/>
      <c r="M1630" s="5"/>
      <c r="N1630" t="s">
        <v>82</v>
      </c>
      <c r="O1630" t="s">
        <v>6011</v>
      </c>
      <c r="R1630">
        <v>1</v>
      </c>
      <c r="T1630" s="5" t="s">
        <v>38</v>
      </c>
      <c r="W1630">
        <v>169</v>
      </c>
      <c r="X1630" t="s">
        <v>1480</v>
      </c>
      <c r="Y1630" t="str">
        <f>VLOOKUP(C1630,'[1]DBS_KPY Sorumlular'!A:C,2,FALSE)</f>
        <v>Ayşegül AKGÜL</v>
      </c>
      <c r="Z1630" t="str">
        <f>VLOOKUP(C1630,'[1]DBS_KPY Sorumlular'!A:C,3,FALSE)</f>
        <v>Sinan ERDAŞ</v>
      </c>
      <c r="AA1630" t="str">
        <f>VLOOKUP(K1630,[1]!Tablo3[#Data],2,FALSE)</f>
        <v>Tayfun VİÇE</v>
      </c>
    </row>
    <row r="1631" spans="1:27" x14ac:dyDescent="0.25">
      <c r="A1631">
        <v>2981</v>
      </c>
      <c r="B1631" t="s">
        <v>27</v>
      </c>
      <c r="C1631" t="s">
        <v>1046</v>
      </c>
      <c r="D1631" t="s">
        <v>1047</v>
      </c>
      <c r="G1631" t="s">
        <v>43</v>
      </c>
      <c r="H1631" t="s">
        <v>6012</v>
      </c>
      <c r="I1631" s="4">
        <v>44712.875</v>
      </c>
      <c r="K1631" t="s">
        <v>143</v>
      </c>
      <c r="L1631" s="5"/>
      <c r="M1631" s="5"/>
      <c r="N1631" t="s">
        <v>82</v>
      </c>
      <c r="O1631" t="s">
        <v>6013</v>
      </c>
      <c r="R1631">
        <v>1</v>
      </c>
      <c r="T1631" s="5" t="s">
        <v>38</v>
      </c>
      <c r="W1631">
        <v>16</v>
      </c>
      <c r="X1631" t="s">
        <v>5859</v>
      </c>
      <c r="Y1631" t="str">
        <f>VLOOKUP(C1631,'[1]DBS_KPY Sorumlular'!A:C,2,FALSE)</f>
        <v>Ayşegül AKGÜL</v>
      </c>
      <c r="Z1631" t="str">
        <f>VLOOKUP(C1631,'[1]DBS_KPY Sorumlular'!A:C,3,FALSE)</f>
        <v>Sinan ERDAŞ</v>
      </c>
      <c r="AA1631" t="str">
        <f>VLOOKUP(K1631,[1]!Tablo3[#Data],2,FALSE)</f>
        <v>Tayfun VİÇE</v>
      </c>
    </row>
    <row r="1632" spans="1:27" x14ac:dyDescent="0.25">
      <c r="A1632">
        <v>2982</v>
      </c>
      <c r="B1632" t="s">
        <v>27</v>
      </c>
      <c r="C1632" t="s">
        <v>1046</v>
      </c>
      <c r="D1632" t="s">
        <v>1047</v>
      </c>
      <c r="G1632" t="s">
        <v>43</v>
      </c>
      <c r="H1632" t="s">
        <v>6014</v>
      </c>
      <c r="I1632" s="4">
        <v>43982.875</v>
      </c>
      <c r="K1632" t="s">
        <v>1528</v>
      </c>
      <c r="L1632" s="5"/>
      <c r="M1632" s="5"/>
      <c r="N1632" t="s">
        <v>82</v>
      </c>
      <c r="O1632" t="s">
        <v>6015</v>
      </c>
      <c r="R1632">
        <v>1</v>
      </c>
      <c r="T1632" s="5" t="s">
        <v>38</v>
      </c>
      <c r="W1632">
        <v>105</v>
      </c>
      <c r="X1632" t="s">
        <v>390</v>
      </c>
      <c r="Y1632" t="str">
        <f>VLOOKUP(C1632,'[1]DBS_KPY Sorumlular'!A:C,2,FALSE)</f>
        <v>Ayşegül AKGÜL</v>
      </c>
      <c r="Z1632" t="str">
        <f>VLOOKUP(C1632,'[1]DBS_KPY Sorumlular'!A:C,3,FALSE)</f>
        <v>Sinan ERDAŞ</v>
      </c>
      <c r="AA1632" t="str">
        <f>VLOOKUP(K1632,[1]!Tablo3[#Data],2,FALSE)</f>
        <v>Tayfun VİÇE</v>
      </c>
    </row>
    <row r="1633" spans="1:27" x14ac:dyDescent="0.25">
      <c r="A1633">
        <v>2983</v>
      </c>
      <c r="B1633" t="s">
        <v>27</v>
      </c>
      <c r="C1633" t="s">
        <v>1046</v>
      </c>
      <c r="D1633" t="s">
        <v>1047</v>
      </c>
      <c r="G1633" t="s">
        <v>43</v>
      </c>
      <c r="H1633" t="s">
        <v>6016</v>
      </c>
      <c r="I1633" s="4">
        <v>43982.875</v>
      </c>
      <c r="K1633" t="s">
        <v>1528</v>
      </c>
      <c r="L1633" s="5"/>
      <c r="M1633" s="5"/>
      <c r="N1633" t="s">
        <v>82</v>
      </c>
      <c r="O1633" t="s">
        <v>6017</v>
      </c>
      <c r="R1633">
        <v>1</v>
      </c>
      <c r="T1633" s="5" t="s">
        <v>38</v>
      </c>
      <c r="W1633">
        <v>14</v>
      </c>
      <c r="X1633" t="s">
        <v>5906</v>
      </c>
      <c r="Y1633" t="str">
        <f>VLOOKUP(C1633,'[1]DBS_KPY Sorumlular'!A:C,2,FALSE)</f>
        <v>Ayşegül AKGÜL</v>
      </c>
      <c r="Z1633" t="str">
        <f>VLOOKUP(C1633,'[1]DBS_KPY Sorumlular'!A:C,3,FALSE)</f>
        <v>Sinan ERDAŞ</v>
      </c>
      <c r="AA1633" t="str">
        <f>VLOOKUP(K1633,[1]!Tablo3[#Data],2,FALSE)</f>
        <v>Tayfun VİÇE</v>
      </c>
    </row>
    <row r="1634" spans="1:27" x14ac:dyDescent="0.25">
      <c r="A1634">
        <v>2984</v>
      </c>
      <c r="B1634" t="s">
        <v>27</v>
      </c>
      <c r="C1634" t="s">
        <v>1046</v>
      </c>
      <c r="D1634" t="s">
        <v>1047</v>
      </c>
      <c r="G1634" t="s">
        <v>43</v>
      </c>
      <c r="H1634" t="s">
        <v>6018</v>
      </c>
      <c r="I1634" s="4">
        <v>44712.875</v>
      </c>
      <c r="K1634" t="s">
        <v>1528</v>
      </c>
      <c r="L1634" s="5"/>
      <c r="M1634" s="5"/>
      <c r="N1634" t="s">
        <v>82</v>
      </c>
      <c r="O1634" t="s">
        <v>6019</v>
      </c>
      <c r="R1634">
        <v>1</v>
      </c>
      <c r="T1634" s="5" t="s">
        <v>38</v>
      </c>
      <c r="W1634">
        <v>16</v>
      </c>
      <c r="X1634" t="s">
        <v>5859</v>
      </c>
      <c r="Y1634" t="str">
        <f>VLOOKUP(C1634,'[1]DBS_KPY Sorumlular'!A:C,2,FALSE)</f>
        <v>Ayşegül AKGÜL</v>
      </c>
      <c r="Z1634" t="str">
        <f>VLOOKUP(C1634,'[1]DBS_KPY Sorumlular'!A:C,3,FALSE)</f>
        <v>Sinan ERDAŞ</v>
      </c>
      <c r="AA1634" t="str">
        <f>VLOOKUP(K1634,[1]!Tablo3[#Data],2,FALSE)</f>
        <v>Tayfun VİÇE</v>
      </c>
    </row>
    <row r="1635" spans="1:27" x14ac:dyDescent="0.25">
      <c r="A1635">
        <v>2985</v>
      </c>
      <c r="B1635" t="s">
        <v>27</v>
      </c>
      <c r="C1635" t="s">
        <v>1046</v>
      </c>
      <c r="D1635" t="s">
        <v>1047</v>
      </c>
      <c r="G1635" t="s">
        <v>43</v>
      </c>
      <c r="H1635" t="s">
        <v>6020</v>
      </c>
      <c r="I1635" s="4">
        <v>45443.875</v>
      </c>
      <c r="K1635" t="s">
        <v>1528</v>
      </c>
      <c r="L1635" s="5"/>
      <c r="M1635" s="5"/>
      <c r="N1635" t="s">
        <v>82</v>
      </c>
      <c r="O1635" t="s">
        <v>6021</v>
      </c>
      <c r="R1635">
        <v>1</v>
      </c>
      <c r="T1635" s="5" t="s">
        <v>38</v>
      </c>
      <c r="W1635">
        <v>168</v>
      </c>
      <c r="X1635" t="s">
        <v>394</v>
      </c>
      <c r="Y1635" t="str">
        <f>VLOOKUP(C1635,'[1]DBS_KPY Sorumlular'!A:C,2,FALSE)</f>
        <v>Ayşegül AKGÜL</v>
      </c>
      <c r="Z1635" t="str">
        <f>VLOOKUP(C1635,'[1]DBS_KPY Sorumlular'!A:C,3,FALSE)</f>
        <v>Sinan ERDAŞ</v>
      </c>
      <c r="AA1635" t="str">
        <f>VLOOKUP(K1635,[1]!Tablo3[#Data],2,FALSE)</f>
        <v>Tayfun VİÇE</v>
      </c>
    </row>
    <row r="1636" spans="1:27" x14ac:dyDescent="0.25">
      <c r="A1636">
        <v>2986</v>
      </c>
      <c r="B1636" t="s">
        <v>27</v>
      </c>
      <c r="C1636" t="s">
        <v>1046</v>
      </c>
      <c r="D1636" t="s">
        <v>1047</v>
      </c>
      <c r="G1636" t="s">
        <v>43</v>
      </c>
      <c r="H1636" t="s">
        <v>6022</v>
      </c>
      <c r="I1636" s="4">
        <v>43982.875</v>
      </c>
      <c r="K1636" t="s">
        <v>1550</v>
      </c>
      <c r="L1636" s="5"/>
      <c r="M1636" s="5"/>
      <c r="N1636" t="s">
        <v>82</v>
      </c>
      <c r="O1636" t="s">
        <v>6023</v>
      </c>
      <c r="R1636">
        <v>1</v>
      </c>
      <c r="T1636" s="5" t="s">
        <v>38</v>
      </c>
      <c r="W1636">
        <v>131</v>
      </c>
      <c r="X1636" t="s">
        <v>61</v>
      </c>
      <c r="Y1636" t="str">
        <f>VLOOKUP(C1636,'[1]DBS_KPY Sorumlular'!A:C,2,FALSE)</f>
        <v>Ayşegül AKGÜL</v>
      </c>
      <c r="Z1636" t="str">
        <f>VLOOKUP(C1636,'[1]DBS_KPY Sorumlular'!A:C,3,FALSE)</f>
        <v>Sinan ERDAŞ</v>
      </c>
      <c r="AA1636" t="str">
        <f>VLOOKUP(K1636,[1]!Tablo3[#Data],2,FALSE)</f>
        <v>Kadir TOPÇU</v>
      </c>
    </row>
    <row r="1637" spans="1:27" x14ac:dyDescent="0.25">
      <c r="A1637">
        <v>2987</v>
      </c>
      <c r="B1637" t="s">
        <v>27</v>
      </c>
      <c r="C1637" t="s">
        <v>1046</v>
      </c>
      <c r="D1637" t="s">
        <v>1047</v>
      </c>
      <c r="G1637" t="s">
        <v>43</v>
      </c>
      <c r="H1637" t="s">
        <v>6024</v>
      </c>
      <c r="I1637" s="4">
        <v>45443.875</v>
      </c>
      <c r="K1637" t="s">
        <v>1550</v>
      </c>
      <c r="L1637" s="5"/>
      <c r="M1637" s="5"/>
      <c r="N1637" t="s">
        <v>82</v>
      </c>
      <c r="O1637" t="s">
        <v>6025</v>
      </c>
      <c r="R1637">
        <v>1</v>
      </c>
      <c r="T1637" s="5" t="s">
        <v>38</v>
      </c>
      <c r="W1637">
        <v>38</v>
      </c>
      <c r="X1637" t="s">
        <v>165</v>
      </c>
      <c r="Y1637" t="str">
        <f>VLOOKUP(C1637,'[1]DBS_KPY Sorumlular'!A:C,2,FALSE)</f>
        <v>Ayşegül AKGÜL</v>
      </c>
      <c r="Z1637" t="str">
        <f>VLOOKUP(C1637,'[1]DBS_KPY Sorumlular'!A:C,3,FALSE)</f>
        <v>Sinan ERDAŞ</v>
      </c>
      <c r="AA1637" t="str">
        <f>VLOOKUP(K1637,[1]!Tablo3[#Data],2,FALSE)</f>
        <v>Kadir TOPÇU</v>
      </c>
    </row>
    <row r="1638" spans="1:27" x14ac:dyDescent="0.25">
      <c r="A1638">
        <v>2988</v>
      </c>
      <c r="B1638" t="s">
        <v>27</v>
      </c>
      <c r="C1638" t="s">
        <v>1046</v>
      </c>
      <c r="D1638" t="s">
        <v>1047</v>
      </c>
      <c r="G1638" t="s">
        <v>43</v>
      </c>
      <c r="H1638" t="s">
        <v>6026</v>
      </c>
      <c r="I1638" s="4">
        <v>45443.875</v>
      </c>
      <c r="K1638" t="s">
        <v>1528</v>
      </c>
      <c r="L1638" s="5"/>
      <c r="M1638" s="5"/>
      <c r="N1638" t="s">
        <v>82</v>
      </c>
      <c r="O1638" t="s">
        <v>6027</v>
      </c>
      <c r="R1638">
        <v>1</v>
      </c>
      <c r="T1638" s="5" t="s">
        <v>38</v>
      </c>
      <c r="W1638">
        <v>168</v>
      </c>
      <c r="X1638" t="s">
        <v>394</v>
      </c>
      <c r="Y1638" t="str">
        <f>VLOOKUP(C1638,'[1]DBS_KPY Sorumlular'!A:C,2,FALSE)</f>
        <v>Ayşegül AKGÜL</v>
      </c>
      <c r="Z1638" t="str">
        <f>VLOOKUP(C1638,'[1]DBS_KPY Sorumlular'!A:C,3,FALSE)</f>
        <v>Sinan ERDAŞ</v>
      </c>
      <c r="AA1638" t="str">
        <f>VLOOKUP(K1638,[1]!Tablo3[#Data],2,FALSE)</f>
        <v>Tayfun VİÇE</v>
      </c>
    </row>
    <row r="1639" spans="1:27" x14ac:dyDescent="0.25">
      <c r="A1639">
        <v>2989</v>
      </c>
      <c r="B1639" t="s">
        <v>27</v>
      </c>
      <c r="C1639" t="s">
        <v>6028</v>
      </c>
      <c r="D1639" t="s">
        <v>6029</v>
      </c>
      <c r="G1639" t="s">
        <v>43</v>
      </c>
      <c r="H1639" t="s">
        <v>6030</v>
      </c>
      <c r="I1639" s="4">
        <v>44712.875</v>
      </c>
      <c r="J1639" t="s">
        <v>6031</v>
      </c>
      <c r="K1639" t="s">
        <v>898</v>
      </c>
      <c r="L1639" s="5"/>
      <c r="M1639" s="5"/>
      <c r="N1639" t="s">
        <v>82</v>
      </c>
      <c r="O1639" t="s">
        <v>6032</v>
      </c>
      <c r="R1639">
        <v>1</v>
      </c>
      <c r="T1639" s="5" t="s">
        <v>38</v>
      </c>
      <c r="W1639">
        <v>72</v>
      </c>
      <c r="X1639" t="s">
        <v>341</v>
      </c>
      <c r="Y1639" t="str">
        <f>VLOOKUP(C1639,'[1]DBS_KPY Sorumlular'!A:C,2,FALSE)</f>
        <v>Esra DOLAN</v>
      </c>
      <c r="Z1639" t="str">
        <f>VLOOKUP(C1639,'[1]DBS_KPY Sorumlular'!A:C,3,FALSE)</f>
        <v>Esra DOLAN</v>
      </c>
      <c r="AA1639" t="str">
        <f>VLOOKUP(K1639,[1]!Tablo3[#Data],2,FALSE)</f>
        <v>Erkan AKDOĞAN</v>
      </c>
    </row>
    <row r="1640" spans="1:27" x14ac:dyDescent="0.25">
      <c r="A1640">
        <v>2990</v>
      </c>
      <c r="B1640" t="s">
        <v>27</v>
      </c>
      <c r="C1640" t="s">
        <v>4329</v>
      </c>
      <c r="D1640" t="s">
        <v>4330</v>
      </c>
      <c r="G1640" t="s">
        <v>96</v>
      </c>
      <c r="H1640" t="s">
        <v>6033</v>
      </c>
      <c r="I1640" s="4">
        <v>45077.875</v>
      </c>
      <c r="J1640" t="s">
        <v>6034</v>
      </c>
      <c r="K1640" t="s">
        <v>309</v>
      </c>
      <c r="L1640" s="5"/>
      <c r="M1640" s="5"/>
      <c r="N1640" t="s">
        <v>82</v>
      </c>
      <c r="O1640" t="s">
        <v>6035</v>
      </c>
      <c r="R1640">
        <v>1</v>
      </c>
      <c r="T1640" s="5" t="s">
        <v>38</v>
      </c>
      <c r="W1640">
        <v>68</v>
      </c>
      <c r="X1640" t="s">
        <v>51</v>
      </c>
      <c r="Y1640" t="str">
        <f>VLOOKUP(C1640,'[1]DBS_KPY Sorumlular'!A:C,2,FALSE)</f>
        <v>Esra DOLAN</v>
      </c>
      <c r="Z1640" t="str">
        <f>VLOOKUP(C1640,'[1]DBS_KPY Sorumlular'!A:C,3,FALSE)</f>
        <v>Mustafa AYDIN</v>
      </c>
      <c r="AA1640" t="str">
        <f>VLOOKUP(K1640,[1]!Tablo3[#Data],2,FALSE)</f>
        <v>Erkan AKDOĞAN</v>
      </c>
    </row>
    <row r="1641" spans="1:27" x14ac:dyDescent="0.25">
      <c r="A1641">
        <v>2991</v>
      </c>
      <c r="B1641" t="s">
        <v>27</v>
      </c>
      <c r="C1641" t="s">
        <v>893</v>
      </c>
      <c r="D1641" t="s">
        <v>902</v>
      </c>
      <c r="G1641" t="s">
        <v>30</v>
      </c>
      <c r="H1641" t="s">
        <v>6036</v>
      </c>
      <c r="I1641" s="4">
        <v>44804.875</v>
      </c>
      <c r="J1641" t="s">
        <v>6037</v>
      </c>
      <c r="K1641" t="s">
        <v>364</v>
      </c>
      <c r="L1641" s="5"/>
      <c r="M1641" s="5"/>
      <c r="N1641" t="s">
        <v>82</v>
      </c>
      <c r="O1641" t="s">
        <v>6038</v>
      </c>
      <c r="R1641">
        <v>1</v>
      </c>
      <c r="T1641" s="5" t="s">
        <v>38</v>
      </c>
      <c r="W1641">
        <v>55</v>
      </c>
      <c r="X1641" t="s">
        <v>907</v>
      </c>
      <c r="Y1641" t="str">
        <f>VLOOKUP(C1641,'[1]DBS_KPY Sorumlular'!A:C,2,FALSE)</f>
        <v>Seyithan İŞİK</v>
      </c>
      <c r="Z1641" t="str">
        <f>VLOOKUP(C1641,'[1]DBS_KPY Sorumlular'!A:C,3,FALSE)</f>
        <v>Korhan KÖROĞLU</v>
      </c>
      <c r="AA1641" t="str">
        <f>VLOOKUP(K1641,[1]!Tablo3[#Data],2,FALSE)</f>
        <v>Kadir TOPÇU</v>
      </c>
    </row>
    <row r="1642" spans="1:27" x14ac:dyDescent="0.25">
      <c r="A1642">
        <v>2992</v>
      </c>
      <c r="B1642" t="s">
        <v>27</v>
      </c>
      <c r="C1642" t="s">
        <v>893</v>
      </c>
      <c r="D1642" t="s">
        <v>6039</v>
      </c>
      <c r="G1642" t="s">
        <v>30</v>
      </c>
      <c r="H1642" t="s">
        <v>6040</v>
      </c>
      <c r="I1642" s="4">
        <v>45442.875</v>
      </c>
      <c r="J1642" t="s">
        <v>6041</v>
      </c>
      <c r="K1642" t="s">
        <v>435</v>
      </c>
      <c r="L1642" s="5" t="s">
        <v>6042</v>
      </c>
      <c r="M1642" s="5" t="s">
        <v>6043</v>
      </c>
      <c r="N1642" t="s">
        <v>82</v>
      </c>
      <c r="O1642" t="s">
        <v>6044</v>
      </c>
      <c r="R1642">
        <v>1</v>
      </c>
      <c r="T1642" s="5" t="s">
        <v>38</v>
      </c>
      <c r="W1642">
        <v>33</v>
      </c>
      <c r="X1642" t="s">
        <v>276</v>
      </c>
      <c r="Y1642" t="str">
        <f>VLOOKUP(C1642,'[1]DBS_KPY Sorumlular'!A:C,2,FALSE)</f>
        <v>Seyithan İŞİK</v>
      </c>
      <c r="Z1642" t="str">
        <f>VLOOKUP(C1642,'[1]DBS_KPY Sorumlular'!A:C,3,FALSE)</f>
        <v>Korhan KÖROĞLU</v>
      </c>
      <c r="AA1642" t="str">
        <f>VLOOKUP(K1642,[1]!Tablo3[#Data],2,FALSE)</f>
        <v>Tayfun VİÇE</v>
      </c>
    </row>
    <row r="1643" spans="1:27" x14ac:dyDescent="0.25">
      <c r="A1643">
        <v>2993</v>
      </c>
      <c r="B1643" t="s">
        <v>27</v>
      </c>
      <c r="C1643" t="s">
        <v>893</v>
      </c>
      <c r="D1643" t="s">
        <v>902</v>
      </c>
      <c r="G1643" t="s">
        <v>30</v>
      </c>
      <c r="H1643" t="s">
        <v>6045</v>
      </c>
      <c r="I1643" s="4">
        <v>44716.875</v>
      </c>
      <c r="J1643" t="s">
        <v>6046</v>
      </c>
      <c r="K1643" t="s">
        <v>459</v>
      </c>
      <c r="L1643" s="5"/>
      <c r="M1643" s="5"/>
      <c r="N1643" t="s">
        <v>82</v>
      </c>
      <c r="O1643" t="s">
        <v>6047</v>
      </c>
      <c r="R1643">
        <v>1</v>
      </c>
      <c r="T1643" s="5" t="s">
        <v>38</v>
      </c>
      <c r="W1643">
        <v>184</v>
      </c>
      <c r="X1643" t="s">
        <v>901</v>
      </c>
      <c r="Y1643" t="str">
        <f>VLOOKUP(C1643,'[1]DBS_KPY Sorumlular'!A:C,2,FALSE)</f>
        <v>Seyithan İŞİK</v>
      </c>
      <c r="Z1643" t="str">
        <f>VLOOKUP(C1643,'[1]DBS_KPY Sorumlular'!A:C,3,FALSE)</f>
        <v>Korhan KÖROĞLU</v>
      </c>
      <c r="AA1643" t="str">
        <f>VLOOKUP(K1643,[1]!Tablo3[#Data],2,FALSE)</f>
        <v>Erkan AKDOĞAN</v>
      </c>
    </row>
    <row r="1644" spans="1:27" x14ac:dyDescent="0.25">
      <c r="A1644">
        <v>2994</v>
      </c>
      <c r="B1644" t="s">
        <v>27</v>
      </c>
      <c r="C1644" t="s">
        <v>893</v>
      </c>
      <c r="D1644" t="s">
        <v>4391</v>
      </c>
      <c r="G1644" t="s">
        <v>30</v>
      </c>
      <c r="H1644" t="s">
        <v>6048</v>
      </c>
      <c r="I1644" s="4">
        <v>44347.875</v>
      </c>
      <c r="J1644" t="s">
        <v>6049</v>
      </c>
      <c r="K1644" t="s">
        <v>678</v>
      </c>
      <c r="L1644" s="5"/>
      <c r="M1644" s="5"/>
      <c r="N1644" t="s">
        <v>82</v>
      </c>
      <c r="O1644" t="s">
        <v>6050</v>
      </c>
      <c r="R1644">
        <v>1</v>
      </c>
      <c r="T1644" s="5" t="s">
        <v>38</v>
      </c>
      <c r="W1644">
        <v>184</v>
      </c>
      <c r="X1644" t="s">
        <v>901</v>
      </c>
      <c r="Y1644" t="str">
        <f>VLOOKUP(C1644,'[1]DBS_KPY Sorumlular'!A:C,2,FALSE)</f>
        <v>Seyithan İŞİK</v>
      </c>
      <c r="Z1644" t="str">
        <f>VLOOKUP(C1644,'[1]DBS_KPY Sorumlular'!A:C,3,FALSE)</f>
        <v>Korhan KÖROĞLU</v>
      </c>
      <c r="AA1644" t="str">
        <f>VLOOKUP(K1644,[1]!Tablo3[#Data],2,FALSE)</f>
        <v>Kadir TOPÇU</v>
      </c>
    </row>
    <row r="1645" spans="1:27" x14ac:dyDescent="0.25">
      <c r="A1645">
        <v>2995</v>
      </c>
      <c r="B1645" t="s">
        <v>27</v>
      </c>
      <c r="C1645" t="s">
        <v>893</v>
      </c>
      <c r="D1645" t="s">
        <v>4391</v>
      </c>
      <c r="G1645" t="s">
        <v>30</v>
      </c>
      <c r="H1645" t="s">
        <v>6051</v>
      </c>
      <c r="I1645" s="4">
        <v>44347.875</v>
      </c>
      <c r="J1645" t="s">
        <v>6052</v>
      </c>
      <c r="K1645" t="s">
        <v>678</v>
      </c>
      <c r="L1645" s="5"/>
      <c r="M1645" s="5"/>
      <c r="N1645" t="s">
        <v>82</v>
      </c>
      <c r="O1645" t="s">
        <v>6053</v>
      </c>
      <c r="R1645">
        <v>1</v>
      </c>
      <c r="T1645" s="5" t="s">
        <v>38</v>
      </c>
      <c r="W1645">
        <v>184</v>
      </c>
      <c r="X1645" t="s">
        <v>901</v>
      </c>
      <c r="Y1645" t="str">
        <f>VLOOKUP(C1645,'[1]DBS_KPY Sorumlular'!A:C,2,FALSE)</f>
        <v>Seyithan İŞİK</v>
      </c>
      <c r="Z1645" t="str">
        <f>VLOOKUP(C1645,'[1]DBS_KPY Sorumlular'!A:C,3,FALSE)</f>
        <v>Korhan KÖROĞLU</v>
      </c>
      <c r="AA1645" t="str">
        <f>VLOOKUP(K1645,[1]!Tablo3[#Data],2,FALSE)</f>
        <v>Kadir TOPÇU</v>
      </c>
    </row>
    <row r="1646" spans="1:27" x14ac:dyDescent="0.25">
      <c r="A1646">
        <v>2996</v>
      </c>
      <c r="B1646" t="s">
        <v>27</v>
      </c>
      <c r="C1646" t="s">
        <v>893</v>
      </c>
      <c r="D1646" t="s">
        <v>6039</v>
      </c>
      <c r="G1646" t="s">
        <v>30</v>
      </c>
      <c r="H1646" t="s">
        <v>6054</v>
      </c>
      <c r="I1646" s="4">
        <v>43982.875</v>
      </c>
      <c r="J1646" t="s">
        <v>6055</v>
      </c>
      <c r="K1646" t="s">
        <v>743</v>
      </c>
      <c r="L1646" s="5"/>
      <c r="M1646" s="5" t="s">
        <v>6056</v>
      </c>
      <c r="N1646" t="s">
        <v>82</v>
      </c>
      <c r="O1646" t="s">
        <v>6057</v>
      </c>
      <c r="R1646">
        <v>1</v>
      </c>
      <c r="T1646" s="5" t="s">
        <v>38</v>
      </c>
      <c r="W1646">
        <v>184</v>
      </c>
      <c r="X1646" t="s">
        <v>901</v>
      </c>
      <c r="Y1646" t="str">
        <f>VLOOKUP(C1646,'[1]DBS_KPY Sorumlular'!A:C,2,FALSE)</f>
        <v>Seyithan İŞİK</v>
      </c>
      <c r="Z1646" t="str">
        <f>VLOOKUP(C1646,'[1]DBS_KPY Sorumlular'!A:C,3,FALSE)</f>
        <v>Korhan KÖROĞLU</v>
      </c>
      <c r="AA1646" t="str">
        <f>VLOOKUP(K1646,[1]!Tablo3[#Data],2,FALSE)</f>
        <v>Kadir TOPÇU</v>
      </c>
    </row>
    <row r="1647" spans="1:27" x14ac:dyDescent="0.25">
      <c r="A1647">
        <v>2997</v>
      </c>
      <c r="B1647" t="s">
        <v>27</v>
      </c>
      <c r="C1647" t="s">
        <v>893</v>
      </c>
      <c r="D1647" t="s">
        <v>902</v>
      </c>
      <c r="G1647" t="s">
        <v>30</v>
      </c>
      <c r="H1647" t="s">
        <v>6058</v>
      </c>
      <c r="I1647" s="4">
        <v>45169.875</v>
      </c>
      <c r="J1647" t="s">
        <v>6059</v>
      </c>
      <c r="K1647" t="s">
        <v>1029</v>
      </c>
      <c r="L1647" s="5"/>
      <c r="M1647" s="5"/>
      <c r="N1647" t="s">
        <v>82</v>
      </c>
      <c r="O1647" t="s">
        <v>6060</v>
      </c>
      <c r="R1647">
        <v>1</v>
      </c>
      <c r="T1647" s="5" t="s">
        <v>38</v>
      </c>
      <c r="W1647">
        <v>55</v>
      </c>
      <c r="X1647" t="s">
        <v>907</v>
      </c>
      <c r="Y1647" t="str">
        <f>VLOOKUP(C1647,'[1]DBS_KPY Sorumlular'!A:C,2,FALSE)</f>
        <v>Seyithan İŞİK</v>
      </c>
      <c r="Z1647" t="str">
        <f>VLOOKUP(C1647,'[1]DBS_KPY Sorumlular'!A:C,3,FALSE)</f>
        <v>Korhan KÖROĞLU</v>
      </c>
      <c r="AA1647" t="str">
        <f>VLOOKUP(K1647,[1]!Tablo3[#Data],2,FALSE)</f>
        <v>Tayfun VİÇE</v>
      </c>
    </row>
    <row r="1648" spans="1:27" x14ac:dyDescent="0.25">
      <c r="A1648">
        <v>2998</v>
      </c>
      <c r="B1648" t="s">
        <v>27</v>
      </c>
      <c r="C1648" t="s">
        <v>893</v>
      </c>
      <c r="D1648" t="s">
        <v>4391</v>
      </c>
      <c r="G1648" t="s">
        <v>30</v>
      </c>
      <c r="H1648" t="s">
        <v>6061</v>
      </c>
      <c r="I1648" s="4">
        <v>43982.875</v>
      </c>
      <c r="J1648" t="s">
        <v>6062</v>
      </c>
      <c r="K1648" t="s">
        <v>1334</v>
      </c>
      <c r="L1648" s="5"/>
      <c r="M1648" s="5"/>
      <c r="N1648" t="s">
        <v>82</v>
      </c>
      <c r="O1648" t="s">
        <v>6063</v>
      </c>
      <c r="R1648">
        <v>1</v>
      </c>
      <c r="T1648" s="5" t="s">
        <v>38</v>
      </c>
      <c r="W1648">
        <v>184</v>
      </c>
      <c r="X1648" t="s">
        <v>901</v>
      </c>
      <c r="Y1648" t="str">
        <f>VLOOKUP(C1648,'[1]DBS_KPY Sorumlular'!A:C,2,FALSE)</f>
        <v>Seyithan İŞİK</v>
      </c>
      <c r="Z1648" t="str">
        <f>VLOOKUP(C1648,'[1]DBS_KPY Sorumlular'!A:C,3,FALSE)</f>
        <v>Korhan KÖROĞLU</v>
      </c>
      <c r="AA1648" t="str">
        <f>VLOOKUP(K1648,[1]!Tablo3[#Data],2,FALSE)</f>
        <v>Erkan AKDOĞAN</v>
      </c>
    </row>
    <row r="1649" spans="1:27" x14ac:dyDescent="0.25">
      <c r="A1649">
        <v>2999</v>
      </c>
      <c r="B1649" t="s">
        <v>27</v>
      </c>
      <c r="C1649" t="s">
        <v>1046</v>
      </c>
      <c r="D1649" t="s">
        <v>1047</v>
      </c>
      <c r="G1649" t="s">
        <v>43</v>
      </c>
      <c r="H1649" t="s">
        <v>6064</v>
      </c>
      <c r="I1649" s="4">
        <v>45443.875</v>
      </c>
      <c r="K1649" t="s">
        <v>1550</v>
      </c>
      <c r="L1649" s="5"/>
      <c r="M1649" s="5"/>
      <c r="N1649" t="s">
        <v>82</v>
      </c>
      <c r="O1649" t="s">
        <v>6065</v>
      </c>
      <c r="R1649">
        <v>1</v>
      </c>
      <c r="T1649" s="5" t="s">
        <v>38</v>
      </c>
      <c r="W1649">
        <v>38</v>
      </c>
      <c r="X1649" t="s">
        <v>165</v>
      </c>
      <c r="Y1649" t="str">
        <f>VLOOKUP(C1649,'[1]DBS_KPY Sorumlular'!A:C,2,FALSE)</f>
        <v>Ayşegül AKGÜL</v>
      </c>
      <c r="Z1649" t="str">
        <f>VLOOKUP(C1649,'[1]DBS_KPY Sorumlular'!A:C,3,FALSE)</f>
        <v>Sinan ERDAŞ</v>
      </c>
      <c r="AA1649" t="str">
        <f>VLOOKUP(K1649,[1]!Tablo3[#Data],2,FALSE)</f>
        <v>Kadir TOPÇU</v>
      </c>
    </row>
    <row r="1650" spans="1:27" x14ac:dyDescent="0.25">
      <c r="A1650">
        <v>3000</v>
      </c>
      <c r="B1650" t="s">
        <v>27</v>
      </c>
      <c r="C1650" t="s">
        <v>640</v>
      </c>
      <c r="D1650" t="s">
        <v>641</v>
      </c>
      <c r="G1650" t="s">
        <v>43</v>
      </c>
      <c r="H1650" t="s">
        <v>6066</v>
      </c>
      <c r="I1650" s="4">
        <v>44712.875</v>
      </c>
      <c r="K1650" t="s">
        <v>181</v>
      </c>
      <c r="L1650" s="5"/>
      <c r="M1650" s="5"/>
      <c r="N1650" t="s">
        <v>82</v>
      </c>
      <c r="O1650" t="s">
        <v>6067</v>
      </c>
      <c r="R1650">
        <v>1</v>
      </c>
      <c r="T1650" s="5" t="s">
        <v>38</v>
      </c>
      <c r="W1650">
        <v>80</v>
      </c>
      <c r="X1650" t="s">
        <v>647</v>
      </c>
      <c r="Y1650" t="str">
        <f>VLOOKUP(C1650,'[1]DBS_KPY Sorumlular'!A:C,2,FALSE)</f>
        <v>Sinan ERDAŞ</v>
      </c>
      <c r="Z1650" t="str">
        <f>VLOOKUP(C1650,'[1]DBS_KPY Sorumlular'!A:C,3,FALSE)</f>
        <v>Ayşegül AKGÜL</v>
      </c>
      <c r="AA1650" t="str">
        <f>VLOOKUP(K1650,[1]!Tablo3[#Data],2,FALSE)</f>
        <v>Erkan AKDOĞAN</v>
      </c>
    </row>
    <row r="1651" spans="1:27" x14ac:dyDescent="0.25">
      <c r="A1651">
        <v>3001</v>
      </c>
      <c r="B1651" t="s">
        <v>27</v>
      </c>
      <c r="C1651" t="s">
        <v>640</v>
      </c>
      <c r="D1651" t="s">
        <v>641</v>
      </c>
      <c r="G1651" t="s">
        <v>43</v>
      </c>
      <c r="H1651" t="s">
        <v>6068</v>
      </c>
      <c r="I1651" s="4">
        <v>43982.875</v>
      </c>
      <c r="K1651" t="s">
        <v>325</v>
      </c>
      <c r="L1651" s="5"/>
      <c r="M1651" s="5"/>
      <c r="N1651" t="s">
        <v>82</v>
      </c>
      <c r="O1651" t="s">
        <v>6069</v>
      </c>
      <c r="R1651">
        <v>1</v>
      </c>
      <c r="T1651" s="5" t="s">
        <v>38</v>
      </c>
      <c r="W1651">
        <v>80</v>
      </c>
      <c r="X1651" t="s">
        <v>647</v>
      </c>
      <c r="Y1651" t="str">
        <f>VLOOKUP(C1651,'[1]DBS_KPY Sorumlular'!A:C,2,FALSE)</f>
        <v>Sinan ERDAŞ</v>
      </c>
      <c r="Z1651" t="str">
        <f>VLOOKUP(C1651,'[1]DBS_KPY Sorumlular'!A:C,3,FALSE)</f>
        <v>Ayşegül AKGÜL</v>
      </c>
      <c r="AA1651" t="str">
        <f>VLOOKUP(K1651,[1]!Tablo3[#Data],2,FALSE)</f>
        <v>Kadir TOPÇU</v>
      </c>
    </row>
    <row r="1652" spans="1:27" x14ac:dyDescent="0.25">
      <c r="A1652">
        <v>3002</v>
      </c>
      <c r="B1652" t="s">
        <v>27</v>
      </c>
      <c r="C1652" t="s">
        <v>640</v>
      </c>
      <c r="D1652" t="s">
        <v>641</v>
      </c>
      <c r="G1652" t="s">
        <v>43</v>
      </c>
      <c r="H1652" t="s">
        <v>6070</v>
      </c>
      <c r="I1652" s="4">
        <v>44347.875</v>
      </c>
      <c r="K1652" t="s">
        <v>568</v>
      </c>
      <c r="L1652" s="5"/>
      <c r="M1652" s="5"/>
      <c r="N1652" t="s">
        <v>82</v>
      </c>
      <c r="O1652" t="s">
        <v>6071</v>
      </c>
      <c r="R1652">
        <v>1</v>
      </c>
      <c r="T1652" s="5" t="s">
        <v>38</v>
      </c>
      <c r="W1652">
        <v>80</v>
      </c>
      <c r="X1652" t="s">
        <v>647</v>
      </c>
      <c r="Y1652" t="str">
        <f>VLOOKUP(C1652,'[1]DBS_KPY Sorumlular'!A:C,2,FALSE)</f>
        <v>Sinan ERDAŞ</v>
      </c>
      <c r="Z1652" t="str">
        <f>VLOOKUP(C1652,'[1]DBS_KPY Sorumlular'!A:C,3,FALSE)</f>
        <v>Ayşegül AKGÜL</v>
      </c>
      <c r="AA1652" t="str">
        <f>VLOOKUP(K1652,[1]!Tablo3[#Data],2,FALSE)</f>
        <v>Erkan AKDOĞAN</v>
      </c>
    </row>
    <row r="1653" spans="1:27" x14ac:dyDescent="0.25">
      <c r="A1653">
        <v>3003</v>
      </c>
      <c r="B1653" t="s">
        <v>27</v>
      </c>
      <c r="C1653" t="s">
        <v>640</v>
      </c>
      <c r="D1653" t="s">
        <v>641</v>
      </c>
      <c r="G1653" t="s">
        <v>43</v>
      </c>
      <c r="H1653" t="s">
        <v>6072</v>
      </c>
      <c r="I1653" s="4">
        <v>45077.875</v>
      </c>
      <c r="K1653" t="s">
        <v>568</v>
      </c>
      <c r="L1653" s="5"/>
      <c r="M1653" s="5"/>
      <c r="N1653" t="s">
        <v>82</v>
      </c>
      <c r="O1653" t="s">
        <v>6073</v>
      </c>
      <c r="R1653">
        <v>1</v>
      </c>
      <c r="T1653" s="5" t="s">
        <v>38</v>
      </c>
      <c r="W1653">
        <v>80</v>
      </c>
      <c r="X1653" t="s">
        <v>647</v>
      </c>
      <c r="Y1653" t="str">
        <f>VLOOKUP(C1653,'[1]DBS_KPY Sorumlular'!A:C,2,FALSE)</f>
        <v>Sinan ERDAŞ</v>
      </c>
      <c r="Z1653" t="str">
        <f>VLOOKUP(C1653,'[1]DBS_KPY Sorumlular'!A:C,3,FALSE)</f>
        <v>Ayşegül AKGÜL</v>
      </c>
      <c r="AA1653" t="str">
        <f>VLOOKUP(K1653,[1]!Tablo3[#Data],2,FALSE)</f>
        <v>Erkan AKDOĞAN</v>
      </c>
    </row>
    <row r="1654" spans="1:27" x14ac:dyDescent="0.25">
      <c r="A1654">
        <v>3004</v>
      </c>
      <c r="B1654" t="s">
        <v>27</v>
      </c>
      <c r="C1654" t="s">
        <v>640</v>
      </c>
      <c r="D1654" t="s">
        <v>641</v>
      </c>
      <c r="G1654" t="s">
        <v>43</v>
      </c>
      <c r="H1654" t="s">
        <v>6074</v>
      </c>
      <c r="I1654" s="4">
        <v>44712.875</v>
      </c>
      <c r="K1654" t="s">
        <v>743</v>
      </c>
      <c r="L1654" s="5"/>
      <c r="M1654" s="5"/>
      <c r="N1654" t="s">
        <v>82</v>
      </c>
      <c r="O1654" t="s">
        <v>6075</v>
      </c>
      <c r="R1654">
        <v>1</v>
      </c>
      <c r="T1654" s="5" t="s">
        <v>38</v>
      </c>
      <c r="W1654">
        <v>80</v>
      </c>
      <c r="X1654" t="s">
        <v>647</v>
      </c>
      <c r="Y1654" t="str">
        <f>VLOOKUP(C1654,'[1]DBS_KPY Sorumlular'!A:C,2,FALSE)</f>
        <v>Sinan ERDAŞ</v>
      </c>
      <c r="Z1654" t="str">
        <f>VLOOKUP(C1654,'[1]DBS_KPY Sorumlular'!A:C,3,FALSE)</f>
        <v>Ayşegül AKGÜL</v>
      </c>
      <c r="AA1654" t="str">
        <f>VLOOKUP(K1654,[1]!Tablo3[#Data],2,FALSE)</f>
        <v>Kadir TOPÇU</v>
      </c>
    </row>
    <row r="1655" spans="1:27" x14ac:dyDescent="0.25">
      <c r="A1655">
        <v>3005</v>
      </c>
      <c r="B1655" t="s">
        <v>27</v>
      </c>
      <c r="C1655" t="s">
        <v>640</v>
      </c>
      <c r="D1655" t="s">
        <v>641</v>
      </c>
      <c r="G1655" t="s">
        <v>43</v>
      </c>
      <c r="H1655" t="s">
        <v>6076</v>
      </c>
      <c r="I1655" s="4">
        <v>44347.875</v>
      </c>
      <c r="K1655" t="s">
        <v>898</v>
      </c>
      <c r="L1655" s="5"/>
      <c r="M1655" s="5"/>
      <c r="N1655" t="s">
        <v>82</v>
      </c>
      <c r="O1655" t="s">
        <v>6077</v>
      </c>
      <c r="R1655">
        <v>1</v>
      </c>
      <c r="T1655" s="5" t="s">
        <v>38</v>
      </c>
      <c r="W1655">
        <v>80</v>
      </c>
      <c r="X1655" t="s">
        <v>647</v>
      </c>
      <c r="Y1655" t="str">
        <f>VLOOKUP(C1655,'[1]DBS_KPY Sorumlular'!A:C,2,FALSE)</f>
        <v>Sinan ERDAŞ</v>
      </c>
      <c r="Z1655" t="str">
        <f>VLOOKUP(C1655,'[1]DBS_KPY Sorumlular'!A:C,3,FALSE)</f>
        <v>Ayşegül AKGÜL</v>
      </c>
      <c r="AA1655" t="str">
        <f>VLOOKUP(K1655,[1]!Tablo3[#Data],2,FALSE)</f>
        <v>Erkan AKDOĞAN</v>
      </c>
    </row>
    <row r="1656" spans="1:27" x14ac:dyDescent="0.25">
      <c r="A1656">
        <v>3006</v>
      </c>
      <c r="B1656" t="s">
        <v>27</v>
      </c>
      <c r="C1656" t="s">
        <v>640</v>
      </c>
      <c r="D1656" t="s">
        <v>641</v>
      </c>
      <c r="G1656" t="s">
        <v>43</v>
      </c>
      <c r="H1656" t="s">
        <v>6078</v>
      </c>
      <c r="I1656" s="4">
        <v>45443.875</v>
      </c>
      <c r="J1656" t="s">
        <v>6079</v>
      </c>
      <c r="K1656" t="s">
        <v>1002</v>
      </c>
      <c r="L1656" s="5"/>
      <c r="M1656" s="5"/>
      <c r="N1656" t="s">
        <v>82</v>
      </c>
      <c r="O1656" t="s">
        <v>6080</v>
      </c>
      <c r="R1656">
        <v>1</v>
      </c>
      <c r="T1656" s="5" t="s">
        <v>38</v>
      </c>
      <c r="W1656">
        <v>80</v>
      </c>
      <c r="X1656" t="s">
        <v>647</v>
      </c>
      <c r="Y1656" t="str">
        <f>VLOOKUP(C1656,'[1]DBS_KPY Sorumlular'!A:C,2,FALSE)</f>
        <v>Sinan ERDAŞ</v>
      </c>
      <c r="Z1656" t="str">
        <f>VLOOKUP(C1656,'[1]DBS_KPY Sorumlular'!A:C,3,FALSE)</f>
        <v>Ayşegül AKGÜL</v>
      </c>
      <c r="AA1656" t="str">
        <f>VLOOKUP(K1656,[1]!Tablo3[#Data],2,FALSE)</f>
        <v>Kadir TOPÇU</v>
      </c>
    </row>
    <row r="1657" spans="1:27" x14ac:dyDescent="0.25">
      <c r="A1657">
        <v>3007</v>
      </c>
      <c r="B1657" t="s">
        <v>27</v>
      </c>
      <c r="C1657" t="s">
        <v>640</v>
      </c>
      <c r="D1657" t="s">
        <v>641</v>
      </c>
      <c r="G1657" t="s">
        <v>43</v>
      </c>
      <c r="H1657" t="s">
        <v>6081</v>
      </c>
      <c r="I1657" s="4">
        <v>45443.875</v>
      </c>
      <c r="J1657" t="s">
        <v>6082</v>
      </c>
      <c r="K1657" t="s">
        <v>1471</v>
      </c>
      <c r="L1657" s="5"/>
      <c r="M1657" s="5"/>
      <c r="N1657" t="s">
        <v>82</v>
      </c>
      <c r="O1657" t="s">
        <v>6083</v>
      </c>
      <c r="R1657">
        <v>1</v>
      </c>
      <c r="T1657" s="5" t="s">
        <v>38</v>
      </c>
      <c r="W1657">
        <v>80</v>
      </c>
      <c r="X1657" t="s">
        <v>647</v>
      </c>
      <c r="Y1657" t="str">
        <f>VLOOKUP(C1657,'[1]DBS_KPY Sorumlular'!A:C,2,FALSE)</f>
        <v>Sinan ERDAŞ</v>
      </c>
      <c r="Z1657" t="str">
        <f>VLOOKUP(C1657,'[1]DBS_KPY Sorumlular'!A:C,3,FALSE)</f>
        <v>Ayşegül AKGÜL</v>
      </c>
      <c r="AA1657" t="str">
        <f>VLOOKUP(K1657,[1]!Tablo3[#Data],2,FALSE)</f>
        <v>Tayfun VİÇE</v>
      </c>
    </row>
    <row r="1658" spans="1:27" x14ac:dyDescent="0.25">
      <c r="A1658">
        <v>3008</v>
      </c>
      <c r="B1658" t="s">
        <v>27</v>
      </c>
      <c r="C1658" t="s">
        <v>6084</v>
      </c>
      <c r="D1658" t="s">
        <v>6085</v>
      </c>
      <c r="G1658" t="s">
        <v>43</v>
      </c>
      <c r="H1658" t="s">
        <v>6086</v>
      </c>
      <c r="I1658" s="4">
        <v>43982.875</v>
      </c>
      <c r="J1658" t="s">
        <v>6087</v>
      </c>
      <c r="K1658" t="s">
        <v>898</v>
      </c>
      <c r="L1658" s="5"/>
      <c r="M1658" s="5"/>
      <c r="N1658" t="s">
        <v>82</v>
      </c>
      <c r="O1658" t="s">
        <v>6088</v>
      </c>
      <c r="R1658">
        <v>1</v>
      </c>
      <c r="T1658" s="5" t="s">
        <v>38</v>
      </c>
      <c r="W1658">
        <v>131</v>
      </c>
      <c r="X1658" t="s">
        <v>61</v>
      </c>
      <c r="Y1658" t="str">
        <f>VLOOKUP(C1658,'[1]DBS_KPY Sorumlular'!A:C,2,FALSE)</f>
        <v>Esra DOLAN</v>
      </c>
      <c r="Z1658" t="str">
        <f>VLOOKUP(C1658,'[1]DBS_KPY Sorumlular'!A:C,3,FALSE)</f>
        <v>Esra DOLAN</v>
      </c>
      <c r="AA1658" t="str">
        <f>VLOOKUP(K1658,[1]!Tablo3[#Data],2,FALSE)</f>
        <v>Erkan AKDOĞAN</v>
      </c>
    </row>
    <row r="1659" spans="1:27" x14ac:dyDescent="0.25">
      <c r="A1659">
        <v>3009</v>
      </c>
      <c r="B1659" t="s">
        <v>27</v>
      </c>
      <c r="C1659" t="s">
        <v>6084</v>
      </c>
      <c r="D1659" t="s">
        <v>6085</v>
      </c>
      <c r="G1659" t="s">
        <v>43</v>
      </c>
      <c r="H1659" t="s">
        <v>6089</v>
      </c>
      <c r="I1659" s="4">
        <v>45077.875</v>
      </c>
      <c r="J1659" t="s">
        <v>6087</v>
      </c>
      <c r="K1659" t="s">
        <v>898</v>
      </c>
      <c r="L1659" s="5"/>
      <c r="M1659" s="5"/>
      <c r="N1659" t="s">
        <v>82</v>
      </c>
      <c r="O1659" t="s">
        <v>6090</v>
      </c>
      <c r="R1659">
        <v>1</v>
      </c>
      <c r="T1659" s="5" t="s">
        <v>38</v>
      </c>
      <c r="W1659">
        <v>131</v>
      </c>
      <c r="X1659" t="s">
        <v>61</v>
      </c>
      <c r="Y1659" t="str">
        <f>VLOOKUP(C1659,'[1]DBS_KPY Sorumlular'!A:C,2,FALSE)</f>
        <v>Esra DOLAN</v>
      </c>
      <c r="Z1659" t="str">
        <f>VLOOKUP(C1659,'[1]DBS_KPY Sorumlular'!A:C,3,FALSE)</f>
        <v>Esra DOLAN</v>
      </c>
      <c r="AA1659" t="str">
        <f>VLOOKUP(K1659,[1]!Tablo3[#Data],2,FALSE)</f>
        <v>Erkan AKDOĞAN</v>
      </c>
    </row>
    <row r="1660" spans="1:27" x14ac:dyDescent="0.25">
      <c r="A1660">
        <v>3010</v>
      </c>
      <c r="B1660" t="s">
        <v>27</v>
      </c>
      <c r="C1660" t="s">
        <v>6091</v>
      </c>
      <c r="D1660" t="s">
        <v>6092</v>
      </c>
      <c r="G1660" t="s">
        <v>43</v>
      </c>
      <c r="H1660" t="s">
        <v>6093</v>
      </c>
      <c r="I1660" s="4">
        <v>43982.875</v>
      </c>
      <c r="J1660" t="s">
        <v>6094</v>
      </c>
      <c r="K1660" t="s">
        <v>54</v>
      </c>
      <c r="L1660" s="5"/>
      <c r="M1660" s="5"/>
      <c r="N1660" t="s">
        <v>82</v>
      </c>
      <c r="O1660" t="s">
        <v>6095</v>
      </c>
      <c r="R1660">
        <v>1</v>
      </c>
      <c r="T1660" s="5" t="s">
        <v>38</v>
      </c>
      <c r="W1660">
        <v>108</v>
      </c>
      <c r="X1660" t="s">
        <v>107</v>
      </c>
      <c r="Y1660" t="str">
        <f>VLOOKUP(C1660,'[1]DBS_KPY Sorumlular'!A:C,2,FALSE)</f>
        <v>Mehmet Ali YAVUZ</v>
      </c>
      <c r="Z1660" t="str">
        <f>VLOOKUP(C1660,'[1]DBS_KPY Sorumlular'!A:C,3,FALSE)</f>
        <v>Tayfun VİÇE</v>
      </c>
      <c r="AA1660" t="str">
        <f>VLOOKUP(K1660,[1]!Tablo3[#Data],2,FALSE)</f>
        <v>Erkan AKDOĞAN</v>
      </c>
    </row>
    <row r="1661" spans="1:27" x14ac:dyDescent="0.25">
      <c r="A1661">
        <v>3011</v>
      </c>
      <c r="B1661" t="s">
        <v>27</v>
      </c>
      <c r="C1661" t="s">
        <v>6091</v>
      </c>
      <c r="D1661" t="s">
        <v>6092</v>
      </c>
      <c r="G1661" t="s">
        <v>43</v>
      </c>
      <c r="H1661" t="s">
        <v>6096</v>
      </c>
      <c r="I1661" s="4">
        <v>44712.875</v>
      </c>
      <c r="J1661" t="s">
        <v>6097</v>
      </c>
      <c r="K1661" t="s">
        <v>54</v>
      </c>
      <c r="L1661" s="5"/>
      <c r="M1661" s="5"/>
      <c r="N1661" t="s">
        <v>82</v>
      </c>
      <c r="O1661" t="s">
        <v>6098</v>
      </c>
      <c r="R1661">
        <v>1</v>
      </c>
      <c r="T1661" s="5" t="s">
        <v>38</v>
      </c>
      <c r="W1661">
        <v>271</v>
      </c>
      <c r="X1661" t="s">
        <v>6099</v>
      </c>
      <c r="Y1661" t="str">
        <f>VLOOKUP(C1661,'[1]DBS_KPY Sorumlular'!A:C,2,FALSE)</f>
        <v>Mehmet Ali YAVUZ</v>
      </c>
      <c r="Z1661" t="str">
        <f>VLOOKUP(C1661,'[1]DBS_KPY Sorumlular'!A:C,3,FALSE)</f>
        <v>Tayfun VİÇE</v>
      </c>
      <c r="AA1661" t="str">
        <f>VLOOKUP(K1661,[1]!Tablo3[#Data],2,FALSE)</f>
        <v>Erkan AKDOĞAN</v>
      </c>
    </row>
    <row r="1662" spans="1:27" x14ac:dyDescent="0.25">
      <c r="A1662">
        <v>3012</v>
      </c>
      <c r="B1662" t="s">
        <v>27</v>
      </c>
      <c r="C1662" t="s">
        <v>6091</v>
      </c>
      <c r="D1662" t="s">
        <v>6092</v>
      </c>
      <c r="G1662" t="s">
        <v>43</v>
      </c>
      <c r="H1662" t="s">
        <v>6100</v>
      </c>
      <c r="I1662" s="4">
        <v>45077.875</v>
      </c>
      <c r="J1662" t="s">
        <v>6101</v>
      </c>
      <c r="K1662" t="s">
        <v>54</v>
      </c>
      <c r="L1662" s="5"/>
      <c r="M1662" s="5"/>
      <c r="N1662" t="s">
        <v>82</v>
      </c>
      <c r="O1662" t="s">
        <v>6102</v>
      </c>
      <c r="R1662">
        <v>1</v>
      </c>
      <c r="T1662" s="5" t="s">
        <v>38</v>
      </c>
      <c r="W1662">
        <v>274</v>
      </c>
      <c r="X1662" t="s">
        <v>6103</v>
      </c>
      <c r="Y1662" t="str">
        <f>VLOOKUP(C1662,'[1]DBS_KPY Sorumlular'!A:C,2,FALSE)</f>
        <v>Mehmet Ali YAVUZ</v>
      </c>
      <c r="Z1662" t="str">
        <f>VLOOKUP(C1662,'[1]DBS_KPY Sorumlular'!A:C,3,FALSE)</f>
        <v>Tayfun VİÇE</v>
      </c>
      <c r="AA1662" t="str">
        <f>VLOOKUP(K1662,[1]!Tablo3[#Data],2,FALSE)</f>
        <v>Erkan AKDOĞAN</v>
      </c>
    </row>
    <row r="1663" spans="1:27" x14ac:dyDescent="0.25">
      <c r="A1663">
        <v>3013</v>
      </c>
      <c r="B1663" t="s">
        <v>27</v>
      </c>
      <c r="C1663" t="s">
        <v>6091</v>
      </c>
      <c r="D1663" t="s">
        <v>6092</v>
      </c>
      <c r="G1663" t="s">
        <v>43</v>
      </c>
      <c r="H1663" t="s">
        <v>6104</v>
      </c>
      <c r="I1663" s="4">
        <v>43982.875</v>
      </c>
      <c r="J1663" t="s">
        <v>6094</v>
      </c>
      <c r="K1663" t="s">
        <v>152</v>
      </c>
      <c r="L1663" s="5"/>
      <c r="M1663" s="5"/>
      <c r="N1663" t="s">
        <v>82</v>
      </c>
      <c r="O1663" t="s">
        <v>6105</v>
      </c>
      <c r="R1663">
        <v>1</v>
      </c>
      <c r="T1663" s="5" t="s">
        <v>38</v>
      </c>
      <c r="W1663">
        <v>108</v>
      </c>
      <c r="X1663" t="s">
        <v>107</v>
      </c>
      <c r="Y1663" t="str">
        <f>VLOOKUP(C1663,'[1]DBS_KPY Sorumlular'!A:C,2,FALSE)</f>
        <v>Mehmet Ali YAVUZ</v>
      </c>
      <c r="Z1663" t="str">
        <f>VLOOKUP(C1663,'[1]DBS_KPY Sorumlular'!A:C,3,FALSE)</f>
        <v>Tayfun VİÇE</v>
      </c>
      <c r="AA1663" t="str">
        <f>VLOOKUP(K1663,[1]!Tablo3[#Data],2,FALSE)</f>
        <v>Erkan AKDOĞAN</v>
      </c>
    </row>
    <row r="1664" spans="1:27" x14ac:dyDescent="0.25">
      <c r="A1664">
        <v>3014</v>
      </c>
      <c r="B1664" t="s">
        <v>27</v>
      </c>
      <c r="C1664" t="s">
        <v>6091</v>
      </c>
      <c r="D1664" t="s">
        <v>6092</v>
      </c>
      <c r="G1664" t="s">
        <v>43</v>
      </c>
      <c r="H1664" t="s">
        <v>6106</v>
      </c>
      <c r="I1664" s="4">
        <v>45077.875</v>
      </c>
      <c r="J1664" t="s">
        <v>6097</v>
      </c>
      <c r="K1664" t="s">
        <v>181</v>
      </c>
      <c r="L1664" s="5"/>
      <c r="M1664" s="5"/>
      <c r="N1664" t="s">
        <v>82</v>
      </c>
      <c r="O1664" t="s">
        <v>6107</v>
      </c>
      <c r="R1664">
        <v>1</v>
      </c>
      <c r="T1664" s="5" t="s">
        <v>38</v>
      </c>
      <c r="W1664">
        <v>82</v>
      </c>
      <c r="X1664" t="s">
        <v>1072</v>
      </c>
      <c r="Y1664" t="str">
        <f>VLOOKUP(C1664,'[1]DBS_KPY Sorumlular'!A:C,2,FALSE)</f>
        <v>Mehmet Ali YAVUZ</v>
      </c>
      <c r="Z1664" t="str">
        <f>VLOOKUP(C1664,'[1]DBS_KPY Sorumlular'!A:C,3,FALSE)</f>
        <v>Tayfun VİÇE</v>
      </c>
      <c r="AA1664" t="str">
        <f>VLOOKUP(K1664,[1]!Tablo3[#Data],2,FALSE)</f>
        <v>Erkan AKDOĞAN</v>
      </c>
    </row>
    <row r="1665" spans="1:27" x14ac:dyDescent="0.25">
      <c r="A1665">
        <v>3015</v>
      </c>
      <c r="B1665" t="s">
        <v>27</v>
      </c>
      <c r="C1665" t="s">
        <v>6091</v>
      </c>
      <c r="D1665" t="s">
        <v>6092</v>
      </c>
      <c r="G1665" t="s">
        <v>43</v>
      </c>
      <c r="H1665" t="s">
        <v>6108</v>
      </c>
      <c r="I1665" s="4">
        <v>44347.875</v>
      </c>
      <c r="J1665" t="s">
        <v>6094</v>
      </c>
      <c r="K1665" t="s">
        <v>232</v>
      </c>
      <c r="L1665" s="5"/>
      <c r="M1665" s="5"/>
      <c r="N1665" t="s">
        <v>82</v>
      </c>
      <c r="O1665" t="s">
        <v>6109</v>
      </c>
      <c r="R1665">
        <v>1</v>
      </c>
      <c r="T1665" s="5" t="s">
        <v>38</v>
      </c>
      <c r="W1665">
        <v>108</v>
      </c>
      <c r="X1665" t="s">
        <v>107</v>
      </c>
      <c r="Y1665" t="str">
        <f>VLOOKUP(C1665,'[1]DBS_KPY Sorumlular'!A:C,2,FALSE)</f>
        <v>Mehmet Ali YAVUZ</v>
      </c>
      <c r="Z1665" t="str">
        <f>VLOOKUP(C1665,'[1]DBS_KPY Sorumlular'!A:C,3,FALSE)</f>
        <v>Tayfun VİÇE</v>
      </c>
      <c r="AA1665" t="str">
        <f>VLOOKUP(K1665,[1]!Tablo3[#Data],2,FALSE)</f>
        <v>Erkan AKDOĞAN</v>
      </c>
    </row>
    <row r="1666" spans="1:27" x14ac:dyDescent="0.25">
      <c r="A1666">
        <v>3016</v>
      </c>
      <c r="B1666" t="s">
        <v>27</v>
      </c>
      <c r="C1666" t="s">
        <v>6091</v>
      </c>
      <c r="D1666" t="s">
        <v>6092</v>
      </c>
      <c r="G1666" t="s">
        <v>43</v>
      </c>
      <c r="H1666" t="s">
        <v>6110</v>
      </c>
      <c r="I1666" s="4">
        <v>44347.875</v>
      </c>
      <c r="J1666" t="s">
        <v>6097</v>
      </c>
      <c r="K1666" t="s">
        <v>232</v>
      </c>
      <c r="L1666" s="5"/>
      <c r="M1666" s="5"/>
      <c r="N1666" t="s">
        <v>82</v>
      </c>
      <c r="O1666" t="s">
        <v>6111</v>
      </c>
      <c r="R1666">
        <v>1</v>
      </c>
      <c r="T1666" s="5" t="s">
        <v>38</v>
      </c>
      <c r="W1666">
        <v>265</v>
      </c>
      <c r="X1666" t="s">
        <v>1228</v>
      </c>
      <c r="Y1666" t="str">
        <f>VLOOKUP(C1666,'[1]DBS_KPY Sorumlular'!A:C,2,FALSE)</f>
        <v>Mehmet Ali YAVUZ</v>
      </c>
      <c r="Z1666" t="str">
        <f>VLOOKUP(C1666,'[1]DBS_KPY Sorumlular'!A:C,3,FALSE)</f>
        <v>Tayfun VİÇE</v>
      </c>
      <c r="AA1666" t="str">
        <f>VLOOKUP(K1666,[1]!Tablo3[#Data],2,FALSE)</f>
        <v>Erkan AKDOĞAN</v>
      </c>
    </row>
    <row r="1667" spans="1:27" x14ac:dyDescent="0.25">
      <c r="A1667">
        <v>3017</v>
      </c>
      <c r="B1667" t="s">
        <v>27</v>
      </c>
      <c r="C1667" t="s">
        <v>6091</v>
      </c>
      <c r="D1667" t="s">
        <v>6092</v>
      </c>
      <c r="G1667" t="s">
        <v>43</v>
      </c>
      <c r="H1667" t="s">
        <v>6112</v>
      </c>
      <c r="I1667" s="4">
        <v>45077.875</v>
      </c>
      <c r="J1667" t="s">
        <v>6097</v>
      </c>
      <c r="K1667" t="s">
        <v>217</v>
      </c>
      <c r="L1667" s="5"/>
      <c r="M1667" s="5"/>
      <c r="N1667" t="s">
        <v>82</v>
      </c>
      <c r="O1667" t="s">
        <v>6113</v>
      </c>
      <c r="R1667">
        <v>1</v>
      </c>
      <c r="T1667" s="5" t="s">
        <v>38</v>
      </c>
      <c r="W1667">
        <v>82</v>
      </c>
      <c r="X1667" t="s">
        <v>1072</v>
      </c>
      <c r="Y1667" t="str">
        <f>VLOOKUP(C1667,'[1]DBS_KPY Sorumlular'!A:C,2,FALSE)</f>
        <v>Mehmet Ali YAVUZ</v>
      </c>
      <c r="Z1667" t="str">
        <f>VLOOKUP(C1667,'[1]DBS_KPY Sorumlular'!A:C,3,FALSE)</f>
        <v>Tayfun VİÇE</v>
      </c>
      <c r="AA1667" t="str">
        <f>VLOOKUP(K1667,[1]!Tablo3[#Data],2,FALSE)</f>
        <v>Erkan AKDOĞAN</v>
      </c>
    </row>
    <row r="1668" spans="1:27" x14ac:dyDescent="0.25">
      <c r="A1668">
        <v>3018</v>
      </c>
      <c r="B1668" t="s">
        <v>27</v>
      </c>
      <c r="C1668" t="s">
        <v>6091</v>
      </c>
      <c r="D1668" t="s">
        <v>6092</v>
      </c>
      <c r="G1668" t="s">
        <v>43</v>
      </c>
      <c r="H1668" t="s">
        <v>6114</v>
      </c>
      <c r="I1668" s="4">
        <v>45077.875</v>
      </c>
      <c r="J1668" t="s">
        <v>6115</v>
      </c>
      <c r="K1668" t="s">
        <v>217</v>
      </c>
      <c r="L1668" s="5"/>
      <c r="M1668" s="5"/>
      <c r="N1668" t="s">
        <v>82</v>
      </c>
      <c r="O1668" t="s">
        <v>6116</v>
      </c>
      <c r="R1668">
        <v>1</v>
      </c>
      <c r="T1668" s="5" t="s">
        <v>38</v>
      </c>
      <c r="W1668">
        <v>40</v>
      </c>
      <c r="X1668" t="s">
        <v>1117</v>
      </c>
      <c r="Y1668" t="str">
        <f>VLOOKUP(C1668,'[1]DBS_KPY Sorumlular'!A:C,2,FALSE)</f>
        <v>Mehmet Ali YAVUZ</v>
      </c>
      <c r="Z1668" t="str">
        <f>VLOOKUP(C1668,'[1]DBS_KPY Sorumlular'!A:C,3,FALSE)</f>
        <v>Tayfun VİÇE</v>
      </c>
      <c r="AA1668" t="str">
        <f>VLOOKUP(K1668,[1]!Tablo3[#Data],2,FALSE)</f>
        <v>Erkan AKDOĞAN</v>
      </c>
    </row>
    <row r="1669" spans="1:27" x14ac:dyDescent="0.25">
      <c r="A1669">
        <v>3019</v>
      </c>
      <c r="B1669" t="s">
        <v>27</v>
      </c>
      <c r="C1669" t="s">
        <v>6091</v>
      </c>
      <c r="D1669" t="s">
        <v>6092</v>
      </c>
      <c r="G1669" t="s">
        <v>43</v>
      </c>
      <c r="H1669" t="s">
        <v>6117</v>
      </c>
      <c r="I1669" s="4">
        <v>44712.875</v>
      </c>
      <c r="J1669" t="s">
        <v>6094</v>
      </c>
      <c r="K1669" t="s">
        <v>309</v>
      </c>
      <c r="L1669" s="5"/>
      <c r="M1669" s="5"/>
      <c r="N1669" t="s">
        <v>82</v>
      </c>
      <c r="O1669" t="s">
        <v>6118</v>
      </c>
      <c r="R1669">
        <v>1</v>
      </c>
      <c r="T1669" s="5" t="s">
        <v>38</v>
      </c>
      <c r="W1669">
        <v>108</v>
      </c>
      <c r="X1669" t="s">
        <v>107</v>
      </c>
      <c r="Y1669" t="str">
        <f>VLOOKUP(C1669,'[1]DBS_KPY Sorumlular'!A:C,2,FALSE)</f>
        <v>Mehmet Ali YAVUZ</v>
      </c>
      <c r="Z1669" t="str">
        <f>VLOOKUP(C1669,'[1]DBS_KPY Sorumlular'!A:C,3,FALSE)</f>
        <v>Tayfun VİÇE</v>
      </c>
      <c r="AA1669" t="str">
        <f>VLOOKUP(K1669,[1]!Tablo3[#Data],2,FALSE)</f>
        <v>Erkan AKDOĞAN</v>
      </c>
    </row>
    <row r="1670" spans="1:27" x14ac:dyDescent="0.25">
      <c r="A1670">
        <v>3020</v>
      </c>
      <c r="B1670" t="s">
        <v>27</v>
      </c>
      <c r="C1670" t="s">
        <v>6091</v>
      </c>
      <c r="D1670" t="s">
        <v>6092</v>
      </c>
      <c r="G1670" t="s">
        <v>43</v>
      </c>
      <c r="H1670" t="s">
        <v>6119</v>
      </c>
      <c r="I1670" s="4">
        <v>45077.875</v>
      </c>
      <c r="J1670" t="s">
        <v>6097</v>
      </c>
      <c r="K1670" t="s">
        <v>325</v>
      </c>
      <c r="L1670" s="5"/>
      <c r="M1670" s="5"/>
      <c r="N1670" t="s">
        <v>82</v>
      </c>
      <c r="O1670" t="s">
        <v>6120</v>
      </c>
      <c r="R1670">
        <v>1</v>
      </c>
      <c r="T1670" s="5" t="s">
        <v>38</v>
      </c>
      <c r="W1670">
        <v>277</v>
      </c>
      <c r="X1670" t="s">
        <v>6121</v>
      </c>
      <c r="Y1670" t="str">
        <f>VLOOKUP(C1670,'[1]DBS_KPY Sorumlular'!A:C,2,FALSE)</f>
        <v>Mehmet Ali YAVUZ</v>
      </c>
      <c r="Z1670" t="str">
        <f>VLOOKUP(C1670,'[1]DBS_KPY Sorumlular'!A:C,3,FALSE)</f>
        <v>Tayfun VİÇE</v>
      </c>
      <c r="AA1670" t="str">
        <f>VLOOKUP(K1670,[1]!Tablo3[#Data],2,FALSE)</f>
        <v>Kadir TOPÇU</v>
      </c>
    </row>
    <row r="1671" spans="1:27" x14ac:dyDescent="0.25">
      <c r="A1671">
        <v>3021</v>
      </c>
      <c r="B1671" t="s">
        <v>27</v>
      </c>
      <c r="C1671" t="s">
        <v>6091</v>
      </c>
      <c r="D1671" t="s">
        <v>6092</v>
      </c>
      <c r="G1671" t="s">
        <v>43</v>
      </c>
      <c r="H1671" t="s">
        <v>6122</v>
      </c>
      <c r="I1671" s="4">
        <v>43982.875</v>
      </c>
      <c r="J1671" t="s">
        <v>6094</v>
      </c>
      <c r="K1671" t="s">
        <v>459</v>
      </c>
      <c r="L1671" s="5"/>
      <c r="M1671" s="5"/>
      <c r="N1671" t="s">
        <v>82</v>
      </c>
      <c r="O1671" t="s">
        <v>6123</v>
      </c>
      <c r="R1671">
        <v>1</v>
      </c>
      <c r="T1671" s="5" t="s">
        <v>38</v>
      </c>
      <c r="W1671">
        <v>108</v>
      </c>
      <c r="X1671" t="s">
        <v>107</v>
      </c>
      <c r="Y1671" t="str">
        <f>VLOOKUP(C1671,'[1]DBS_KPY Sorumlular'!A:C,2,FALSE)</f>
        <v>Mehmet Ali YAVUZ</v>
      </c>
      <c r="Z1671" t="str">
        <f>VLOOKUP(C1671,'[1]DBS_KPY Sorumlular'!A:C,3,FALSE)</f>
        <v>Tayfun VİÇE</v>
      </c>
      <c r="AA1671" t="str">
        <f>VLOOKUP(K1671,[1]!Tablo3[#Data],2,FALSE)</f>
        <v>Erkan AKDOĞAN</v>
      </c>
    </row>
    <row r="1672" spans="1:27" x14ac:dyDescent="0.25">
      <c r="A1672">
        <v>3022</v>
      </c>
      <c r="B1672" t="s">
        <v>27</v>
      </c>
      <c r="C1672" t="s">
        <v>6091</v>
      </c>
      <c r="D1672" t="s">
        <v>6092</v>
      </c>
      <c r="G1672" t="s">
        <v>43</v>
      </c>
      <c r="H1672" t="s">
        <v>6124</v>
      </c>
      <c r="I1672" s="4">
        <v>43982.875</v>
      </c>
      <c r="J1672" t="s">
        <v>6097</v>
      </c>
      <c r="K1672" t="s">
        <v>226</v>
      </c>
      <c r="L1672" s="5"/>
      <c r="M1672" s="5"/>
      <c r="N1672" t="s">
        <v>82</v>
      </c>
      <c r="O1672" t="s">
        <v>6125</v>
      </c>
      <c r="R1672">
        <v>1</v>
      </c>
      <c r="T1672" s="5" t="s">
        <v>38</v>
      </c>
      <c r="W1672">
        <v>265</v>
      </c>
      <c r="X1672" t="s">
        <v>1228</v>
      </c>
      <c r="Y1672" t="str">
        <f>VLOOKUP(C1672,'[1]DBS_KPY Sorumlular'!A:C,2,FALSE)</f>
        <v>Mehmet Ali YAVUZ</v>
      </c>
      <c r="Z1672" t="str">
        <f>VLOOKUP(C1672,'[1]DBS_KPY Sorumlular'!A:C,3,FALSE)</f>
        <v>Tayfun VİÇE</v>
      </c>
      <c r="AA1672" t="str">
        <f>VLOOKUP(K1672,[1]!Tablo3[#Data],2,FALSE)</f>
        <v>Kadir TOPÇU</v>
      </c>
    </row>
    <row r="1673" spans="1:27" x14ac:dyDescent="0.25">
      <c r="A1673">
        <v>3023</v>
      </c>
      <c r="B1673" t="s">
        <v>27</v>
      </c>
      <c r="C1673" t="s">
        <v>6091</v>
      </c>
      <c r="D1673" t="s">
        <v>6092</v>
      </c>
      <c r="G1673" t="s">
        <v>43</v>
      </c>
      <c r="H1673" t="s">
        <v>6126</v>
      </c>
      <c r="I1673" s="4">
        <v>45443.875</v>
      </c>
      <c r="J1673" t="s">
        <v>6127</v>
      </c>
      <c r="K1673" t="s">
        <v>226</v>
      </c>
      <c r="L1673" s="5"/>
      <c r="M1673" s="5"/>
      <c r="N1673" t="s">
        <v>82</v>
      </c>
      <c r="O1673" t="s">
        <v>6128</v>
      </c>
      <c r="R1673">
        <v>1</v>
      </c>
      <c r="T1673" s="5" t="s">
        <v>38</v>
      </c>
      <c r="W1673">
        <v>276</v>
      </c>
      <c r="X1673" t="s">
        <v>6129</v>
      </c>
      <c r="Y1673" t="str">
        <f>VLOOKUP(C1673,'[1]DBS_KPY Sorumlular'!A:C,2,FALSE)</f>
        <v>Mehmet Ali YAVUZ</v>
      </c>
      <c r="Z1673" t="str">
        <f>VLOOKUP(C1673,'[1]DBS_KPY Sorumlular'!A:C,3,FALSE)</f>
        <v>Tayfun VİÇE</v>
      </c>
      <c r="AA1673" t="str">
        <f>VLOOKUP(K1673,[1]!Tablo3[#Data],2,FALSE)</f>
        <v>Kadir TOPÇU</v>
      </c>
    </row>
    <row r="1674" spans="1:27" x14ac:dyDescent="0.25">
      <c r="A1674">
        <v>3024</v>
      </c>
      <c r="B1674" t="s">
        <v>27</v>
      </c>
      <c r="C1674" t="s">
        <v>6091</v>
      </c>
      <c r="D1674" t="s">
        <v>6092</v>
      </c>
      <c r="G1674" t="s">
        <v>43</v>
      </c>
      <c r="H1674" t="s">
        <v>6130</v>
      </c>
      <c r="I1674" s="4">
        <v>45077.875</v>
      </c>
      <c r="J1674" t="s">
        <v>6097</v>
      </c>
      <c r="K1674" t="s">
        <v>586</v>
      </c>
      <c r="L1674" s="5"/>
      <c r="M1674" s="5"/>
      <c r="N1674" t="s">
        <v>82</v>
      </c>
      <c r="O1674" t="s">
        <v>6131</v>
      </c>
      <c r="R1674">
        <v>1</v>
      </c>
      <c r="T1674" s="5" t="s">
        <v>38</v>
      </c>
      <c r="W1674">
        <v>82</v>
      </c>
      <c r="X1674" t="s">
        <v>1072</v>
      </c>
      <c r="Y1674" t="str">
        <f>VLOOKUP(C1674,'[1]DBS_KPY Sorumlular'!A:C,2,FALSE)</f>
        <v>Mehmet Ali YAVUZ</v>
      </c>
      <c r="Z1674" t="str">
        <f>VLOOKUP(C1674,'[1]DBS_KPY Sorumlular'!A:C,3,FALSE)</f>
        <v>Tayfun VİÇE</v>
      </c>
      <c r="AA1674" t="str">
        <f>VLOOKUP(K1674,[1]!Tablo3[#Data],2,FALSE)</f>
        <v>Tayfun VİÇE</v>
      </c>
    </row>
    <row r="1675" spans="1:27" x14ac:dyDescent="0.25">
      <c r="A1675">
        <v>3025</v>
      </c>
      <c r="B1675" t="s">
        <v>27</v>
      </c>
      <c r="C1675" t="s">
        <v>6091</v>
      </c>
      <c r="D1675" t="s">
        <v>6092</v>
      </c>
      <c r="G1675" t="s">
        <v>43</v>
      </c>
      <c r="H1675" t="s">
        <v>6132</v>
      </c>
      <c r="I1675" s="4">
        <v>43982.875</v>
      </c>
      <c r="J1675" t="s">
        <v>6094</v>
      </c>
      <c r="K1675" t="s">
        <v>636</v>
      </c>
      <c r="L1675" s="5"/>
      <c r="M1675" s="5"/>
      <c r="N1675" t="s">
        <v>82</v>
      </c>
      <c r="O1675" t="s">
        <v>6133</v>
      </c>
      <c r="R1675">
        <v>1</v>
      </c>
      <c r="T1675" s="5" t="s">
        <v>38</v>
      </c>
      <c r="W1675">
        <v>108</v>
      </c>
      <c r="X1675" t="s">
        <v>107</v>
      </c>
      <c r="Y1675" t="str">
        <f>VLOOKUP(C1675,'[1]DBS_KPY Sorumlular'!A:C,2,FALSE)</f>
        <v>Mehmet Ali YAVUZ</v>
      </c>
      <c r="Z1675" t="str">
        <f>VLOOKUP(C1675,'[1]DBS_KPY Sorumlular'!A:C,3,FALSE)</f>
        <v>Tayfun VİÇE</v>
      </c>
      <c r="AA1675" t="str">
        <f>VLOOKUP(K1675,[1]!Tablo3[#Data],2,FALSE)</f>
        <v>Erkan AKDOĞAN</v>
      </c>
    </row>
    <row r="1676" spans="1:27" x14ac:dyDescent="0.25">
      <c r="A1676">
        <v>3026</v>
      </c>
      <c r="B1676" t="s">
        <v>27</v>
      </c>
      <c r="C1676" t="s">
        <v>6091</v>
      </c>
      <c r="D1676" t="s">
        <v>6092</v>
      </c>
      <c r="G1676" t="s">
        <v>43</v>
      </c>
      <c r="H1676" t="s">
        <v>6134</v>
      </c>
      <c r="I1676" s="4">
        <v>44712.875</v>
      </c>
      <c r="J1676" t="s">
        <v>6097</v>
      </c>
      <c r="K1676" t="s">
        <v>636</v>
      </c>
      <c r="L1676" s="5"/>
      <c r="M1676" s="5"/>
      <c r="N1676" t="s">
        <v>82</v>
      </c>
      <c r="O1676" t="s">
        <v>6135</v>
      </c>
      <c r="R1676">
        <v>1</v>
      </c>
      <c r="T1676" s="5" t="s">
        <v>38</v>
      </c>
      <c r="W1676">
        <v>271</v>
      </c>
      <c r="X1676" t="s">
        <v>6099</v>
      </c>
      <c r="Y1676" t="str">
        <f>VLOOKUP(C1676,'[1]DBS_KPY Sorumlular'!A:C,2,FALSE)</f>
        <v>Mehmet Ali YAVUZ</v>
      </c>
      <c r="Z1676" t="str">
        <f>VLOOKUP(C1676,'[1]DBS_KPY Sorumlular'!A:C,3,FALSE)</f>
        <v>Tayfun VİÇE</v>
      </c>
      <c r="AA1676" t="str">
        <f>VLOOKUP(K1676,[1]!Tablo3[#Data],2,FALSE)</f>
        <v>Erkan AKDOĞAN</v>
      </c>
    </row>
    <row r="1677" spans="1:27" x14ac:dyDescent="0.25">
      <c r="A1677">
        <v>3027</v>
      </c>
      <c r="B1677" t="s">
        <v>27</v>
      </c>
      <c r="C1677" t="s">
        <v>6091</v>
      </c>
      <c r="D1677" t="s">
        <v>6092</v>
      </c>
      <c r="G1677" t="s">
        <v>43</v>
      </c>
      <c r="H1677" t="s">
        <v>6136</v>
      </c>
      <c r="I1677" s="4">
        <v>44712.875</v>
      </c>
      <c r="J1677" t="s">
        <v>6094</v>
      </c>
      <c r="K1677" t="s">
        <v>678</v>
      </c>
      <c r="L1677" s="5"/>
      <c r="M1677" s="5"/>
      <c r="N1677" t="s">
        <v>82</v>
      </c>
      <c r="O1677" t="s">
        <v>6137</v>
      </c>
      <c r="R1677">
        <v>1</v>
      </c>
      <c r="T1677" s="5" t="s">
        <v>38</v>
      </c>
      <c r="W1677">
        <v>108</v>
      </c>
      <c r="X1677" t="s">
        <v>107</v>
      </c>
      <c r="Y1677" t="str">
        <f>VLOOKUP(C1677,'[1]DBS_KPY Sorumlular'!A:C,2,FALSE)</f>
        <v>Mehmet Ali YAVUZ</v>
      </c>
      <c r="Z1677" t="str">
        <f>VLOOKUP(C1677,'[1]DBS_KPY Sorumlular'!A:C,3,FALSE)</f>
        <v>Tayfun VİÇE</v>
      </c>
      <c r="AA1677" t="str">
        <f>VLOOKUP(K1677,[1]!Tablo3[#Data],2,FALSE)</f>
        <v>Kadir TOPÇU</v>
      </c>
    </row>
    <row r="1678" spans="1:27" x14ac:dyDescent="0.25">
      <c r="A1678">
        <v>3028</v>
      </c>
      <c r="B1678" t="s">
        <v>27</v>
      </c>
      <c r="C1678" t="s">
        <v>6091</v>
      </c>
      <c r="D1678" t="s">
        <v>6092</v>
      </c>
      <c r="G1678" t="s">
        <v>43</v>
      </c>
      <c r="H1678" t="s">
        <v>6138</v>
      </c>
      <c r="I1678" s="4">
        <v>43982.875</v>
      </c>
      <c r="J1678" t="s">
        <v>6097</v>
      </c>
      <c r="K1678" t="s">
        <v>743</v>
      </c>
      <c r="L1678" s="5"/>
      <c r="M1678" s="5"/>
      <c r="N1678" t="s">
        <v>82</v>
      </c>
      <c r="O1678" t="s">
        <v>6139</v>
      </c>
      <c r="R1678">
        <v>1</v>
      </c>
      <c r="T1678" s="5" t="s">
        <v>38</v>
      </c>
      <c r="W1678">
        <v>265</v>
      </c>
      <c r="X1678" t="s">
        <v>1228</v>
      </c>
      <c r="Y1678" t="str">
        <f>VLOOKUP(C1678,'[1]DBS_KPY Sorumlular'!A:C,2,FALSE)</f>
        <v>Mehmet Ali YAVUZ</v>
      </c>
      <c r="Z1678" t="str">
        <f>VLOOKUP(C1678,'[1]DBS_KPY Sorumlular'!A:C,3,FALSE)</f>
        <v>Tayfun VİÇE</v>
      </c>
      <c r="AA1678" t="str">
        <f>VLOOKUP(K1678,[1]!Tablo3[#Data],2,FALSE)</f>
        <v>Kadir TOPÇU</v>
      </c>
    </row>
    <row r="1679" spans="1:27" x14ac:dyDescent="0.25">
      <c r="A1679">
        <v>3029</v>
      </c>
      <c r="B1679" t="s">
        <v>27</v>
      </c>
      <c r="C1679" t="s">
        <v>6091</v>
      </c>
      <c r="D1679" t="s">
        <v>6092</v>
      </c>
      <c r="G1679" t="s">
        <v>43</v>
      </c>
      <c r="H1679" t="s">
        <v>6140</v>
      </c>
      <c r="I1679" s="4">
        <v>44712.875</v>
      </c>
      <c r="J1679" t="s">
        <v>6097</v>
      </c>
      <c r="K1679" t="s">
        <v>743</v>
      </c>
      <c r="L1679" s="5"/>
      <c r="M1679" s="5"/>
      <c r="N1679" t="s">
        <v>82</v>
      </c>
      <c r="O1679" t="s">
        <v>6141</v>
      </c>
      <c r="R1679">
        <v>1</v>
      </c>
      <c r="T1679" s="5" t="s">
        <v>38</v>
      </c>
      <c r="W1679">
        <v>265</v>
      </c>
      <c r="X1679" t="s">
        <v>1228</v>
      </c>
      <c r="Y1679" t="str">
        <f>VLOOKUP(C1679,'[1]DBS_KPY Sorumlular'!A:C,2,FALSE)</f>
        <v>Mehmet Ali YAVUZ</v>
      </c>
      <c r="Z1679" t="str">
        <f>VLOOKUP(C1679,'[1]DBS_KPY Sorumlular'!A:C,3,FALSE)</f>
        <v>Tayfun VİÇE</v>
      </c>
      <c r="AA1679" t="str">
        <f>VLOOKUP(K1679,[1]!Tablo3[#Data],2,FALSE)</f>
        <v>Kadir TOPÇU</v>
      </c>
    </row>
    <row r="1680" spans="1:27" x14ac:dyDescent="0.25">
      <c r="A1680">
        <v>3030</v>
      </c>
      <c r="B1680" t="s">
        <v>27</v>
      </c>
      <c r="C1680" t="s">
        <v>6091</v>
      </c>
      <c r="D1680" t="s">
        <v>6092</v>
      </c>
      <c r="G1680" t="s">
        <v>43</v>
      </c>
      <c r="H1680" t="s">
        <v>6142</v>
      </c>
      <c r="I1680" s="4">
        <v>45443.875</v>
      </c>
      <c r="J1680" t="s">
        <v>6097</v>
      </c>
      <c r="K1680" t="s">
        <v>743</v>
      </c>
      <c r="L1680" s="5"/>
      <c r="M1680" s="5"/>
      <c r="N1680" t="s">
        <v>82</v>
      </c>
      <c r="O1680" t="s">
        <v>6143</v>
      </c>
      <c r="R1680">
        <v>1</v>
      </c>
      <c r="T1680" s="5" t="s">
        <v>38</v>
      </c>
      <c r="W1680">
        <v>82</v>
      </c>
      <c r="X1680" t="s">
        <v>1072</v>
      </c>
      <c r="Y1680" t="str">
        <f>VLOOKUP(C1680,'[1]DBS_KPY Sorumlular'!A:C,2,FALSE)</f>
        <v>Mehmet Ali YAVUZ</v>
      </c>
      <c r="Z1680" t="str">
        <f>VLOOKUP(C1680,'[1]DBS_KPY Sorumlular'!A:C,3,FALSE)</f>
        <v>Tayfun VİÇE</v>
      </c>
      <c r="AA1680" t="str">
        <f>VLOOKUP(K1680,[1]!Tablo3[#Data],2,FALSE)</f>
        <v>Kadir TOPÇU</v>
      </c>
    </row>
    <row r="1681" spans="1:27" x14ac:dyDescent="0.25">
      <c r="A1681">
        <v>3031</v>
      </c>
      <c r="B1681" t="s">
        <v>27</v>
      </c>
      <c r="C1681" t="s">
        <v>6091</v>
      </c>
      <c r="D1681" t="s">
        <v>6092</v>
      </c>
      <c r="G1681" t="s">
        <v>43</v>
      </c>
      <c r="H1681" t="s">
        <v>6144</v>
      </c>
      <c r="I1681" s="4">
        <v>45077.875</v>
      </c>
      <c r="J1681" t="s">
        <v>6097</v>
      </c>
      <c r="K1681" t="s">
        <v>853</v>
      </c>
      <c r="L1681" s="5"/>
      <c r="M1681" s="5"/>
      <c r="N1681" t="s">
        <v>82</v>
      </c>
      <c r="O1681" t="s">
        <v>6145</v>
      </c>
      <c r="R1681">
        <v>1</v>
      </c>
      <c r="T1681" s="5" t="s">
        <v>38</v>
      </c>
      <c r="W1681">
        <v>265</v>
      </c>
      <c r="X1681" t="s">
        <v>1228</v>
      </c>
      <c r="Y1681" t="str">
        <f>VLOOKUP(C1681,'[1]DBS_KPY Sorumlular'!A:C,2,FALSE)</f>
        <v>Mehmet Ali YAVUZ</v>
      </c>
      <c r="Z1681" t="str">
        <f>VLOOKUP(C1681,'[1]DBS_KPY Sorumlular'!A:C,3,FALSE)</f>
        <v>Tayfun VİÇE</v>
      </c>
      <c r="AA1681" t="str">
        <f>VLOOKUP(K1681,[1]!Tablo3[#Data],2,FALSE)</f>
        <v>Erkan AKDOĞAN</v>
      </c>
    </row>
    <row r="1682" spans="1:27" x14ac:dyDescent="0.25">
      <c r="A1682">
        <v>3032</v>
      </c>
      <c r="B1682" t="s">
        <v>27</v>
      </c>
      <c r="C1682" t="s">
        <v>6091</v>
      </c>
      <c r="D1682" t="s">
        <v>6092</v>
      </c>
      <c r="G1682" t="s">
        <v>43</v>
      </c>
      <c r="H1682" t="s">
        <v>6146</v>
      </c>
      <c r="I1682" s="4">
        <v>43982.875</v>
      </c>
      <c r="J1682" t="s">
        <v>6094</v>
      </c>
      <c r="K1682" t="s">
        <v>1029</v>
      </c>
      <c r="L1682" s="5"/>
      <c r="M1682" s="5"/>
      <c r="N1682" t="s">
        <v>82</v>
      </c>
      <c r="O1682" t="s">
        <v>6147</v>
      </c>
      <c r="R1682">
        <v>1</v>
      </c>
      <c r="T1682" s="5" t="s">
        <v>38</v>
      </c>
      <c r="W1682">
        <v>108</v>
      </c>
      <c r="X1682" t="s">
        <v>107</v>
      </c>
      <c r="Y1682" t="str">
        <f>VLOOKUP(C1682,'[1]DBS_KPY Sorumlular'!A:C,2,FALSE)</f>
        <v>Mehmet Ali YAVUZ</v>
      </c>
      <c r="Z1682" t="str">
        <f>VLOOKUP(C1682,'[1]DBS_KPY Sorumlular'!A:C,3,FALSE)</f>
        <v>Tayfun VİÇE</v>
      </c>
      <c r="AA1682" t="str">
        <f>VLOOKUP(K1682,[1]!Tablo3[#Data],2,FALSE)</f>
        <v>Tayfun VİÇE</v>
      </c>
    </row>
    <row r="1683" spans="1:27" x14ac:dyDescent="0.25">
      <c r="A1683">
        <v>3033</v>
      </c>
      <c r="B1683" t="s">
        <v>27</v>
      </c>
      <c r="C1683" t="s">
        <v>6091</v>
      </c>
      <c r="D1683" t="s">
        <v>6092</v>
      </c>
      <c r="G1683" t="s">
        <v>43</v>
      </c>
      <c r="H1683" t="s">
        <v>6148</v>
      </c>
      <c r="I1683" s="4">
        <v>43982.875</v>
      </c>
      <c r="J1683" t="s">
        <v>6094</v>
      </c>
      <c r="K1683" t="s">
        <v>280</v>
      </c>
      <c r="L1683" s="5"/>
      <c r="M1683" s="5"/>
      <c r="N1683" t="s">
        <v>82</v>
      </c>
      <c r="O1683" t="s">
        <v>6149</v>
      </c>
      <c r="R1683">
        <v>1</v>
      </c>
      <c r="T1683" s="5" t="s">
        <v>38</v>
      </c>
      <c r="W1683">
        <v>108</v>
      </c>
      <c r="X1683" t="s">
        <v>107</v>
      </c>
      <c r="Y1683" t="str">
        <f>VLOOKUP(C1683,'[1]DBS_KPY Sorumlular'!A:C,2,FALSE)</f>
        <v>Mehmet Ali YAVUZ</v>
      </c>
      <c r="Z1683" t="str">
        <f>VLOOKUP(C1683,'[1]DBS_KPY Sorumlular'!A:C,3,FALSE)</f>
        <v>Tayfun VİÇE</v>
      </c>
      <c r="AA1683" t="str">
        <f>VLOOKUP(K1683,[1]!Tablo3[#Data],2,FALSE)</f>
        <v>Erkan AKDOĞAN</v>
      </c>
    </row>
    <row r="1684" spans="1:27" x14ac:dyDescent="0.25">
      <c r="A1684">
        <v>3034</v>
      </c>
      <c r="B1684" t="s">
        <v>27</v>
      </c>
      <c r="C1684" t="s">
        <v>6091</v>
      </c>
      <c r="D1684" t="s">
        <v>6092</v>
      </c>
      <c r="G1684" t="s">
        <v>43</v>
      </c>
      <c r="H1684" t="s">
        <v>6150</v>
      </c>
      <c r="I1684" s="4">
        <v>44347.875</v>
      </c>
      <c r="J1684" t="s">
        <v>6094</v>
      </c>
      <c r="K1684" t="s">
        <v>1157</v>
      </c>
      <c r="L1684" s="5"/>
      <c r="M1684" s="5"/>
      <c r="N1684" t="s">
        <v>82</v>
      </c>
      <c r="O1684" t="s">
        <v>6151</v>
      </c>
      <c r="R1684">
        <v>1</v>
      </c>
      <c r="T1684" s="5" t="s">
        <v>38</v>
      </c>
      <c r="W1684">
        <v>108</v>
      </c>
      <c r="X1684" t="s">
        <v>107</v>
      </c>
      <c r="Y1684" t="str">
        <f>VLOOKUP(C1684,'[1]DBS_KPY Sorumlular'!A:C,2,FALSE)</f>
        <v>Mehmet Ali YAVUZ</v>
      </c>
      <c r="Z1684" t="str">
        <f>VLOOKUP(C1684,'[1]DBS_KPY Sorumlular'!A:C,3,FALSE)</f>
        <v>Tayfun VİÇE</v>
      </c>
      <c r="AA1684" t="str">
        <f>VLOOKUP(K1684,[1]!Tablo3[#Data],2,FALSE)</f>
        <v>Tayfun VİÇE</v>
      </c>
    </row>
    <row r="1685" spans="1:27" x14ac:dyDescent="0.25">
      <c r="A1685">
        <v>3035</v>
      </c>
      <c r="B1685" t="s">
        <v>27</v>
      </c>
      <c r="C1685" t="s">
        <v>6091</v>
      </c>
      <c r="D1685" t="s">
        <v>6092</v>
      </c>
      <c r="G1685" t="s">
        <v>43</v>
      </c>
      <c r="H1685" t="s">
        <v>6152</v>
      </c>
      <c r="I1685" s="4">
        <v>44347.875</v>
      </c>
      <c r="J1685" t="s">
        <v>6094</v>
      </c>
      <c r="K1685" t="s">
        <v>1157</v>
      </c>
      <c r="L1685" s="5"/>
      <c r="M1685" s="5"/>
      <c r="N1685" t="s">
        <v>82</v>
      </c>
      <c r="O1685" t="s">
        <v>6153</v>
      </c>
      <c r="R1685">
        <v>1</v>
      </c>
      <c r="T1685" s="5" t="s">
        <v>38</v>
      </c>
      <c r="W1685">
        <v>108</v>
      </c>
      <c r="X1685" t="s">
        <v>107</v>
      </c>
      <c r="Y1685" t="str">
        <f>VLOOKUP(C1685,'[1]DBS_KPY Sorumlular'!A:C,2,FALSE)</f>
        <v>Mehmet Ali YAVUZ</v>
      </c>
      <c r="Z1685" t="str">
        <f>VLOOKUP(C1685,'[1]DBS_KPY Sorumlular'!A:C,3,FALSE)</f>
        <v>Tayfun VİÇE</v>
      </c>
      <c r="AA1685" t="str">
        <f>VLOOKUP(K1685,[1]!Tablo3[#Data],2,FALSE)</f>
        <v>Tayfun VİÇE</v>
      </c>
    </row>
    <row r="1686" spans="1:27" x14ac:dyDescent="0.25">
      <c r="A1686">
        <v>3036</v>
      </c>
      <c r="B1686" t="s">
        <v>27</v>
      </c>
      <c r="C1686" t="s">
        <v>6091</v>
      </c>
      <c r="D1686" t="s">
        <v>6092</v>
      </c>
      <c r="G1686" t="s">
        <v>43</v>
      </c>
      <c r="H1686" t="s">
        <v>6154</v>
      </c>
      <c r="I1686" s="4">
        <v>44347.875</v>
      </c>
      <c r="J1686" t="s">
        <v>6155</v>
      </c>
      <c r="K1686" t="s">
        <v>1157</v>
      </c>
      <c r="L1686" s="5"/>
      <c r="M1686" s="5"/>
      <c r="N1686" t="s">
        <v>82</v>
      </c>
      <c r="O1686" t="s">
        <v>6156</v>
      </c>
      <c r="R1686">
        <v>1</v>
      </c>
      <c r="T1686" s="5" t="s">
        <v>38</v>
      </c>
      <c r="W1686">
        <v>274</v>
      </c>
      <c r="X1686" t="s">
        <v>6103</v>
      </c>
      <c r="Y1686" t="str">
        <f>VLOOKUP(C1686,'[1]DBS_KPY Sorumlular'!A:C,2,FALSE)</f>
        <v>Mehmet Ali YAVUZ</v>
      </c>
      <c r="Z1686" t="str">
        <f>VLOOKUP(C1686,'[1]DBS_KPY Sorumlular'!A:C,3,FALSE)</f>
        <v>Tayfun VİÇE</v>
      </c>
      <c r="AA1686" t="str">
        <f>VLOOKUP(K1686,[1]!Tablo3[#Data],2,FALSE)</f>
        <v>Tayfun VİÇE</v>
      </c>
    </row>
    <row r="1687" spans="1:27" x14ac:dyDescent="0.25">
      <c r="A1687">
        <v>3037</v>
      </c>
      <c r="B1687" t="s">
        <v>27</v>
      </c>
      <c r="C1687" t="s">
        <v>6091</v>
      </c>
      <c r="D1687" t="s">
        <v>6092</v>
      </c>
      <c r="G1687" t="s">
        <v>43</v>
      </c>
      <c r="H1687" t="s">
        <v>6157</v>
      </c>
      <c r="I1687" s="4">
        <v>44712.875</v>
      </c>
      <c r="J1687" t="s">
        <v>6094</v>
      </c>
      <c r="K1687" t="s">
        <v>1157</v>
      </c>
      <c r="L1687" s="5"/>
      <c r="M1687" s="5"/>
      <c r="N1687" t="s">
        <v>82</v>
      </c>
      <c r="O1687" t="s">
        <v>6158</v>
      </c>
      <c r="R1687">
        <v>1</v>
      </c>
      <c r="T1687" s="5" t="s">
        <v>38</v>
      </c>
      <c r="W1687">
        <v>108</v>
      </c>
      <c r="X1687" t="s">
        <v>107</v>
      </c>
      <c r="Y1687" t="str">
        <f>VLOOKUP(C1687,'[1]DBS_KPY Sorumlular'!A:C,2,FALSE)</f>
        <v>Mehmet Ali YAVUZ</v>
      </c>
      <c r="Z1687" t="str">
        <f>VLOOKUP(C1687,'[1]DBS_KPY Sorumlular'!A:C,3,FALSE)</f>
        <v>Tayfun VİÇE</v>
      </c>
      <c r="AA1687" t="str">
        <f>VLOOKUP(K1687,[1]!Tablo3[#Data],2,FALSE)</f>
        <v>Tayfun VİÇE</v>
      </c>
    </row>
    <row r="1688" spans="1:27" x14ac:dyDescent="0.25">
      <c r="A1688">
        <v>3038</v>
      </c>
      <c r="B1688" t="s">
        <v>27</v>
      </c>
      <c r="C1688" t="s">
        <v>6091</v>
      </c>
      <c r="D1688" t="s">
        <v>6092</v>
      </c>
      <c r="G1688" t="s">
        <v>43</v>
      </c>
      <c r="H1688" t="s">
        <v>6159</v>
      </c>
      <c r="I1688" s="4">
        <v>45443.875</v>
      </c>
      <c r="J1688" t="s">
        <v>6097</v>
      </c>
      <c r="K1688" t="s">
        <v>1157</v>
      </c>
      <c r="L1688" s="5"/>
      <c r="M1688" s="5"/>
      <c r="N1688" t="s">
        <v>82</v>
      </c>
      <c r="O1688" t="s">
        <v>6160</v>
      </c>
      <c r="R1688">
        <v>1</v>
      </c>
      <c r="T1688" s="5" t="s">
        <v>38</v>
      </c>
      <c r="W1688">
        <v>82</v>
      </c>
      <c r="X1688" t="s">
        <v>1072</v>
      </c>
      <c r="Y1688" t="str">
        <f>VLOOKUP(C1688,'[1]DBS_KPY Sorumlular'!A:C,2,FALSE)</f>
        <v>Mehmet Ali YAVUZ</v>
      </c>
      <c r="Z1688" t="str">
        <f>VLOOKUP(C1688,'[1]DBS_KPY Sorumlular'!A:C,3,FALSE)</f>
        <v>Tayfun VİÇE</v>
      </c>
      <c r="AA1688" t="str">
        <f>VLOOKUP(K1688,[1]!Tablo3[#Data],2,FALSE)</f>
        <v>Tayfun VİÇE</v>
      </c>
    </row>
    <row r="1689" spans="1:27" x14ac:dyDescent="0.25">
      <c r="A1689">
        <v>3039</v>
      </c>
      <c r="B1689" t="s">
        <v>27</v>
      </c>
      <c r="C1689" t="s">
        <v>6091</v>
      </c>
      <c r="D1689" t="s">
        <v>6092</v>
      </c>
      <c r="G1689" t="s">
        <v>43</v>
      </c>
      <c r="H1689" t="s">
        <v>6161</v>
      </c>
      <c r="I1689" s="4">
        <v>45443.875</v>
      </c>
      <c r="J1689" t="s">
        <v>6162</v>
      </c>
      <c r="K1689" t="s">
        <v>1157</v>
      </c>
      <c r="L1689" s="5"/>
      <c r="M1689" s="5"/>
      <c r="N1689" t="s">
        <v>82</v>
      </c>
      <c r="O1689" t="s">
        <v>6163</v>
      </c>
      <c r="R1689">
        <v>1</v>
      </c>
      <c r="T1689" s="5" t="s">
        <v>38</v>
      </c>
      <c r="W1689">
        <v>274</v>
      </c>
      <c r="X1689" t="s">
        <v>6103</v>
      </c>
      <c r="Y1689" t="str">
        <f>VLOOKUP(C1689,'[1]DBS_KPY Sorumlular'!A:C,2,FALSE)</f>
        <v>Mehmet Ali YAVUZ</v>
      </c>
      <c r="Z1689" t="str">
        <f>VLOOKUP(C1689,'[1]DBS_KPY Sorumlular'!A:C,3,FALSE)</f>
        <v>Tayfun VİÇE</v>
      </c>
      <c r="AA1689" t="str">
        <f>VLOOKUP(K1689,[1]!Tablo3[#Data],2,FALSE)</f>
        <v>Tayfun VİÇE</v>
      </c>
    </row>
    <row r="1690" spans="1:27" x14ac:dyDescent="0.25">
      <c r="A1690">
        <v>3040</v>
      </c>
      <c r="B1690" t="s">
        <v>27</v>
      </c>
      <c r="C1690" t="s">
        <v>6091</v>
      </c>
      <c r="D1690" t="s">
        <v>6092</v>
      </c>
      <c r="G1690" t="s">
        <v>43</v>
      </c>
      <c r="H1690" t="s">
        <v>6164</v>
      </c>
      <c r="I1690" s="4">
        <v>43982.875</v>
      </c>
      <c r="J1690" t="s">
        <v>6094</v>
      </c>
      <c r="K1690" t="s">
        <v>1106</v>
      </c>
      <c r="L1690" s="5"/>
      <c r="M1690" s="5"/>
      <c r="N1690" t="s">
        <v>82</v>
      </c>
      <c r="O1690" t="s">
        <v>6165</v>
      </c>
      <c r="R1690">
        <v>1</v>
      </c>
      <c r="T1690" s="5" t="s">
        <v>38</v>
      </c>
      <c r="W1690">
        <v>108</v>
      </c>
      <c r="X1690" t="s">
        <v>107</v>
      </c>
      <c r="Y1690" t="str">
        <f>VLOOKUP(C1690,'[1]DBS_KPY Sorumlular'!A:C,2,FALSE)</f>
        <v>Mehmet Ali YAVUZ</v>
      </c>
      <c r="Z1690" t="str">
        <f>VLOOKUP(C1690,'[1]DBS_KPY Sorumlular'!A:C,3,FALSE)</f>
        <v>Tayfun VİÇE</v>
      </c>
      <c r="AA1690" t="str">
        <f>VLOOKUP(K1690,[1]!Tablo3[#Data],2,FALSE)</f>
        <v>Tayfun VİÇE</v>
      </c>
    </row>
    <row r="1691" spans="1:27" x14ac:dyDescent="0.25">
      <c r="A1691">
        <v>3041</v>
      </c>
      <c r="B1691" t="s">
        <v>27</v>
      </c>
      <c r="C1691" t="s">
        <v>6091</v>
      </c>
      <c r="D1691" t="s">
        <v>6092</v>
      </c>
      <c r="G1691" t="s">
        <v>43</v>
      </c>
      <c r="H1691" t="s">
        <v>6166</v>
      </c>
      <c r="I1691" s="4">
        <v>45443.875</v>
      </c>
      <c r="J1691" t="s">
        <v>6097</v>
      </c>
      <c r="K1691" t="s">
        <v>1106</v>
      </c>
      <c r="L1691" s="5"/>
      <c r="M1691" s="5"/>
      <c r="N1691" t="s">
        <v>82</v>
      </c>
      <c r="O1691" t="s">
        <v>6167</v>
      </c>
      <c r="R1691">
        <v>1</v>
      </c>
      <c r="T1691" s="5" t="s">
        <v>38</v>
      </c>
      <c r="W1691">
        <v>82</v>
      </c>
      <c r="X1691" t="s">
        <v>1072</v>
      </c>
      <c r="Y1691" t="str">
        <f>VLOOKUP(C1691,'[1]DBS_KPY Sorumlular'!A:C,2,FALSE)</f>
        <v>Mehmet Ali YAVUZ</v>
      </c>
      <c r="Z1691" t="str">
        <f>VLOOKUP(C1691,'[1]DBS_KPY Sorumlular'!A:C,3,FALSE)</f>
        <v>Tayfun VİÇE</v>
      </c>
      <c r="AA1691" t="str">
        <f>VLOOKUP(K1691,[1]!Tablo3[#Data],2,FALSE)</f>
        <v>Tayfun VİÇE</v>
      </c>
    </row>
    <row r="1692" spans="1:27" x14ac:dyDescent="0.25">
      <c r="A1692">
        <v>3042</v>
      </c>
      <c r="B1692" t="s">
        <v>27</v>
      </c>
      <c r="C1692" t="s">
        <v>6091</v>
      </c>
      <c r="D1692" t="s">
        <v>6092</v>
      </c>
      <c r="G1692" t="s">
        <v>43</v>
      </c>
      <c r="H1692" t="s">
        <v>6168</v>
      </c>
      <c r="I1692" s="4">
        <v>43982.875</v>
      </c>
      <c r="J1692" t="s">
        <v>6094</v>
      </c>
      <c r="K1692" t="s">
        <v>1221</v>
      </c>
      <c r="L1692" s="5"/>
      <c r="M1692" s="5"/>
      <c r="N1692" t="s">
        <v>82</v>
      </c>
      <c r="O1692" t="s">
        <v>6169</v>
      </c>
      <c r="R1692">
        <v>1</v>
      </c>
      <c r="T1692" s="5" t="s">
        <v>38</v>
      </c>
      <c r="W1692">
        <v>108</v>
      </c>
      <c r="X1692" t="s">
        <v>107</v>
      </c>
      <c r="Y1692" t="str">
        <f>VLOOKUP(C1692,'[1]DBS_KPY Sorumlular'!A:C,2,FALSE)</f>
        <v>Mehmet Ali YAVUZ</v>
      </c>
      <c r="Z1692" t="str">
        <f>VLOOKUP(C1692,'[1]DBS_KPY Sorumlular'!A:C,3,FALSE)</f>
        <v>Tayfun VİÇE</v>
      </c>
      <c r="AA1692" t="str">
        <f>VLOOKUP(K1692,[1]!Tablo3[#Data],2,FALSE)</f>
        <v>Tayfun VİÇE</v>
      </c>
    </row>
    <row r="1693" spans="1:27" x14ac:dyDescent="0.25">
      <c r="A1693">
        <v>3043</v>
      </c>
      <c r="B1693" t="s">
        <v>27</v>
      </c>
      <c r="C1693" t="s">
        <v>6091</v>
      </c>
      <c r="D1693" t="s">
        <v>6092</v>
      </c>
      <c r="G1693" t="s">
        <v>43</v>
      </c>
      <c r="H1693" t="s">
        <v>6170</v>
      </c>
      <c r="I1693" s="4">
        <v>44347.875</v>
      </c>
      <c r="J1693" t="s">
        <v>6094</v>
      </c>
      <c r="K1693" t="s">
        <v>1221</v>
      </c>
      <c r="L1693" s="5"/>
      <c r="M1693" s="5"/>
      <c r="N1693" t="s">
        <v>82</v>
      </c>
      <c r="O1693" t="s">
        <v>6171</v>
      </c>
      <c r="R1693">
        <v>1</v>
      </c>
      <c r="T1693" s="5" t="s">
        <v>38</v>
      </c>
      <c r="W1693">
        <v>108</v>
      </c>
      <c r="X1693" t="s">
        <v>107</v>
      </c>
      <c r="Y1693" t="str">
        <f>VLOOKUP(C1693,'[1]DBS_KPY Sorumlular'!A:C,2,FALSE)</f>
        <v>Mehmet Ali YAVUZ</v>
      </c>
      <c r="Z1693" t="str">
        <f>VLOOKUP(C1693,'[1]DBS_KPY Sorumlular'!A:C,3,FALSE)</f>
        <v>Tayfun VİÇE</v>
      </c>
      <c r="AA1693" t="str">
        <f>VLOOKUP(K1693,[1]!Tablo3[#Data],2,FALSE)</f>
        <v>Tayfun VİÇE</v>
      </c>
    </row>
    <row r="1694" spans="1:27" x14ac:dyDescent="0.25">
      <c r="A1694">
        <v>3044</v>
      </c>
      <c r="B1694" t="s">
        <v>27</v>
      </c>
      <c r="C1694" t="s">
        <v>6091</v>
      </c>
      <c r="D1694" t="s">
        <v>6092</v>
      </c>
      <c r="G1694" t="s">
        <v>43</v>
      </c>
      <c r="H1694" t="s">
        <v>6172</v>
      </c>
      <c r="I1694" s="4">
        <v>45443.875</v>
      </c>
      <c r="J1694" t="s">
        <v>6094</v>
      </c>
      <c r="K1694" t="s">
        <v>1221</v>
      </c>
      <c r="L1694" s="5"/>
      <c r="M1694" s="5"/>
      <c r="N1694" t="s">
        <v>82</v>
      </c>
      <c r="O1694" t="s">
        <v>6173</v>
      </c>
      <c r="R1694">
        <v>1</v>
      </c>
      <c r="T1694" s="5" t="s">
        <v>38</v>
      </c>
      <c r="W1694">
        <v>108</v>
      </c>
      <c r="X1694" t="s">
        <v>107</v>
      </c>
      <c r="Y1694" t="str">
        <f>VLOOKUP(C1694,'[1]DBS_KPY Sorumlular'!A:C,2,FALSE)</f>
        <v>Mehmet Ali YAVUZ</v>
      </c>
      <c r="Z1694" t="str">
        <f>VLOOKUP(C1694,'[1]DBS_KPY Sorumlular'!A:C,3,FALSE)</f>
        <v>Tayfun VİÇE</v>
      </c>
      <c r="AA1694" t="str">
        <f>VLOOKUP(K1694,[1]!Tablo3[#Data],2,FALSE)</f>
        <v>Tayfun VİÇE</v>
      </c>
    </row>
    <row r="1695" spans="1:27" x14ac:dyDescent="0.25">
      <c r="A1695">
        <v>3045</v>
      </c>
      <c r="B1695" t="s">
        <v>27</v>
      </c>
      <c r="C1695" t="s">
        <v>6091</v>
      </c>
      <c r="D1695" t="s">
        <v>6092</v>
      </c>
      <c r="G1695" t="s">
        <v>43</v>
      </c>
      <c r="H1695" t="s">
        <v>6174</v>
      </c>
      <c r="I1695" s="4">
        <v>45443.875</v>
      </c>
      <c r="J1695" t="s">
        <v>6094</v>
      </c>
      <c r="K1695" t="s">
        <v>926</v>
      </c>
      <c r="L1695" s="5"/>
      <c r="M1695" s="5"/>
      <c r="N1695" t="s">
        <v>82</v>
      </c>
      <c r="O1695" t="s">
        <v>6175</v>
      </c>
      <c r="R1695">
        <v>1</v>
      </c>
      <c r="T1695" s="5" t="s">
        <v>38</v>
      </c>
      <c r="W1695">
        <v>108</v>
      </c>
      <c r="X1695" t="s">
        <v>107</v>
      </c>
      <c r="Y1695" t="str">
        <f>VLOOKUP(C1695,'[1]DBS_KPY Sorumlular'!A:C,2,FALSE)</f>
        <v>Mehmet Ali YAVUZ</v>
      </c>
      <c r="Z1695" t="str">
        <f>VLOOKUP(C1695,'[1]DBS_KPY Sorumlular'!A:C,3,FALSE)</f>
        <v>Tayfun VİÇE</v>
      </c>
      <c r="AA1695" t="str">
        <f>VLOOKUP(K1695,[1]!Tablo3[#Data],2,FALSE)</f>
        <v>Kadir TOPÇU</v>
      </c>
    </row>
    <row r="1696" spans="1:27" x14ac:dyDescent="0.25">
      <c r="A1696">
        <v>3046</v>
      </c>
      <c r="B1696" t="s">
        <v>27</v>
      </c>
      <c r="C1696" t="s">
        <v>6091</v>
      </c>
      <c r="D1696" t="s">
        <v>6092</v>
      </c>
      <c r="G1696" t="s">
        <v>43</v>
      </c>
      <c r="H1696" t="s">
        <v>6176</v>
      </c>
      <c r="I1696" s="4">
        <v>43982.875</v>
      </c>
      <c r="J1696" t="s">
        <v>6094</v>
      </c>
      <c r="K1696" t="s">
        <v>1334</v>
      </c>
      <c r="L1696" s="5"/>
      <c r="M1696" s="5"/>
      <c r="N1696" t="s">
        <v>82</v>
      </c>
      <c r="O1696" t="s">
        <v>6177</v>
      </c>
      <c r="R1696">
        <v>1</v>
      </c>
      <c r="T1696" s="5" t="s">
        <v>38</v>
      </c>
      <c r="W1696">
        <v>108</v>
      </c>
      <c r="X1696" t="s">
        <v>107</v>
      </c>
      <c r="Y1696" t="str">
        <f>VLOOKUP(C1696,'[1]DBS_KPY Sorumlular'!A:C,2,FALSE)</f>
        <v>Mehmet Ali YAVUZ</v>
      </c>
      <c r="Z1696" t="str">
        <f>VLOOKUP(C1696,'[1]DBS_KPY Sorumlular'!A:C,3,FALSE)</f>
        <v>Tayfun VİÇE</v>
      </c>
      <c r="AA1696" t="str">
        <f>VLOOKUP(K1696,[1]!Tablo3[#Data],2,FALSE)</f>
        <v>Erkan AKDOĞAN</v>
      </c>
    </row>
    <row r="1697" spans="1:27" x14ac:dyDescent="0.25">
      <c r="A1697">
        <v>3047</v>
      </c>
      <c r="B1697" t="s">
        <v>27</v>
      </c>
      <c r="C1697" t="s">
        <v>6091</v>
      </c>
      <c r="D1697" t="s">
        <v>6092</v>
      </c>
      <c r="G1697" t="s">
        <v>43</v>
      </c>
      <c r="H1697" t="s">
        <v>6178</v>
      </c>
      <c r="I1697" s="4">
        <v>43982.875</v>
      </c>
      <c r="J1697" t="s">
        <v>6094</v>
      </c>
      <c r="K1697" t="s">
        <v>1334</v>
      </c>
      <c r="L1697" s="5"/>
      <c r="M1697" s="5"/>
      <c r="N1697" t="s">
        <v>82</v>
      </c>
      <c r="O1697" t="s">
        <v>6179</v>
      </c>
      <c r="R1697">
        <v>1</v>
      </c>
      <c r="T1697" s="5" t="s">
        <v>38</v>
      </c>
      <c r="W1697">
        <v>108</v>
      </c>
      <c r="X1697" t="s">
        <v>107</v>
      </c>
      <c r="Y1697" t="str">
        <f>VLOOKUP(C1697,'[1]DBS_KPY Sorumlular'!A:C,2,FALSE)</f>
        <v>Mehmet Ali YAVUZ</v>
      </c>
      <c r="Z1697" t="str">
        <f>VLOOKUP(C1697,'[1]DBS_KPY Sorumlular'!A:C,3,FALSE)</f>
        <v>Tayfun VİÇE</v>
      </c>
      <c r="AA1697" t="str">
        <f>VLOOKUP(K1697,[1]!Tablo3[#Data],2,FALSE)</f>
        <v>Erkan AKDOĞAN</v>
      </c>
    </row>
    <row r="1698" spans="1:27" x14ac:dyDescent="0.25">
      <c r="A1698">
        <v>3048</v>
      </c>
      <c r="B1698" t="s">
        <v>27</v>
      </c>
      <c r="C1698" t="s">
        <v>6091</v>
      </c>
      <c r="D1698" t="s">
        <v>6092</v>
      </c>
      <c r="G1698" t="s">
        <v>43</v>
      </c>
      <c r="H1698" t="s">
        <v>6180</v>
      </c>
      <c r="I1698" s="4">
        <v>44712.875</v>
      </c>
      <c r="J1698" t="s">
        <v>6094</v>
      </c>
      <c r="K1698" t="s">
        <v>1334</v>
      </c>
      <c r="L1698" s="5"/>
      <c r="M1698" s="5"/>
      <c r="N1698" t="s">
        <v>82</v>
      </c>
      <c r="O1698" t="s">
        <v>6181</v>
      </c>
      <c r="R1698">
        <v>1</v>
      </c>
      <c r="T1698" s="5" t="s">
        <v>38</v>
      </c>
      <c r="W1698">
        <v>108</v>
      </c>
      <c r="X1698" t="s">
        <v>107</v>
      </c>
      <c r="Y1698" t="str">
        <f>VLOOKUP(C1698,'[1]DBS_KPY Sorumlular'!A:C,2,FALSE)</f>
        <v>Mehmet Ali YAVUZ</v>
      </c>
      <c r="Z1698" t="str">
        <f>VLOOKUP(C1698,'[1]DBS_KPY Sorumlular'!A:C,3,FALSE)</f>
        <v>Tayfun VİÇE</v>
      </c>
      <c r="AA1698" t="str">
        <f>VLOOKUP(K1698,[1]!Tablo3[#Data],2,FALSE)</f>
        <v>Erkan AKDOĞAN</v>
      </c>
    </row>
    <row r="1699" spans="1:27" x14ac:dyDescent="0.25">
      <c r="A1699">
        <v>3049</v>
      </c>
      <c r="B1699" t="s">
        <v>27</v>
      </c>
      <c r="C1699" t="s">
        <v>6091</v>
      </c>
      <c r="D1699" t="s">
        <v>6092</v>
      </c>
      <c r="G1699" t="s">
        <v>43</v>
      </c>
      <c r="H1699" t="s">
        <v>6182</v>
      </c>
      <c r="I1699" s="4">
        <v>45443.875</v>
      </c>
      <c r="J1699" t="s">
        <v>6097</v>
      </c>
      <c r="K1699" t="s">
        <v>1334</v>
      </c>
      <c r="L1699" s="5"/>
      <c r="M1699" s="5"/>
      <c r="N1699" t="s">
        <v>82</v>
      </c>
      <c r="O1699" t="s">
        <v>6183</v>
      </c>
      <c r="R1699">
        <v>1</v>
      </c>
      <c r="T1699" s="5" t="s">
        <v>38</v>
      </c>
      <c r="W1699">
        <v>82</v>
      </c>
      <c r="X1699" t="s">
        <v>1072</v>
      </c>
      <c r="Y1699" t="str">
        <f>VLOOKUP(C1699,'[1]DBS_KPY Sorumlular'!A:C,2,FALSE)</f>
        <v>Mehmet Ali YAVUZ</v>
      </c>
      <c r="Z1699" t="str">
        <f>VLOOKUP(C1699,'[1]DBS_KPY Sorumlular'!A:C,3,FALSE)</f>
        <v>Tayfun VİÇE</v>
      </c>
      <c r="AA1699" t="str">
        <f>VLOOKUP(K1699,[1]!Tablo3[#Data],2,FALSE)</f>
        <v>Erkan AKDOĞAN</v>
      </c>
    </row>
    <row r="1700" spans="1:27" x14ac:dyDescent="0.25">
      <c r="A1700">
        <v>3050</v>
      </c>
      <c r="B1700" t="s">
        <v>27</v>
      </c>
      <c r="C1700" t="s">
        <v>6091</v>
      </c>
      <c r="D1700" t="s">
        <v>6092</v>
      </c>
      <c r="G1700" t="s">
        <v>43</v>
      </c>
      <c r="H1700" t="s">
        <v>6184</v>
      </c>
      <c r="I1700" s="4">
        <v>43982.875</v>
      </c>
      <c r="J1700" t="s">
        <v>6094</v>
      </c>
      <c r="K1700" t="s">
        <v>1348</v>
      </c>
      <c r="L1700" s="5"/>
      <c r="M1700" s="5"/>
      <c r="N1700" t="s">
        <v>82</v>
      </c>
      <c r="O1700" t="s">
        <v>6185</v>
      </c>
      <c r="R1700">
        <v>1</v>
      </c>
      <c r="T1700" s="5" t="s">
        <v>38</v>
      </c>
      <c r="W1700">
        <v>108</v>
      </c>
      <c r="X1700" t="s">
        <v>107</v>
      </c>
      <c r="Y1700" t="str">
        <f>VLOOKUP(C1700,'[1]DBS_KPY Sorumlular'!A:C,2,FALSE)</f>
        <v>Mehmet Ali YAVUZ</v>
      </c>
      <c r="Z1700" t="str">
        <f>VLOOKUP(C1700,'[1]DBS_KPY Sorumlular'!A:C,3,FALSE)</f>
        <v>Tayfun VİÇE</v>
      </c>
      <c r="AA1700" t="str">
        <f>VLOOKUP(K1700,[1]!Tablo3[#Data],2,FALSE)</f>
        <v>Tayfun VİÇE</v>
      </c>
    </row>
    <row r="1701" spans="1:27" x14ac:dyDescent="0.25">
      <c r="A1701">
        <v>3051</v>
      </c>
      <c r="B1701" t="s">
        <v>27</v>
      </c>
      <c r="C1701" t="s">
        <v>6091</v>
      </c>
      <c r="D1701" t="s">
        <v>6092</v>
      </c>
      <c r="G1701" t="s">
        <v>43</v>
      </c>
      <c r="H1701" t="s">
        <v>6186</v>
      </c>
      <c r="I1701" s="4">
        <v>45077.875</v>
      </c>
      <c r="J1701" t="s">
        <v>6162</v>
      </c>
      <c r="K1701" t="s">
        <v>1398</v>
      </c>
      <c r="L1701" s="5"/>
      <c r="M1701" s="5"/>
      <c r="N1701" t="s">
        <v>82</v>
      </c>
      <c r="O1701" t="s">
        <v>6187</v>
      </c>
      <c r="R1701">
        <v>1</v>
      </c>
      <c r="T1701" s="5" t="s">
        <v>38</v>
      </c>
      <c r="W1701">
        <v>274</v>
      </c>
      <c r="X1701" t="s">
        <v>6103</v>
      </c>
      <c r="Y1701" t="str">
        <f>VLOOKUP(C1701,'[1]DBS_KPY Sorumlular'!A:C,2,FALSE)</f>
        <v>Mehmet Ali YAVUZ</v>
      </c>
      <c r="Z1701" t="str">
        <f>VLOOKUP(C1701,'[1]DBS_KPY Sorumlular'!A:C,3,FALSE)</f>
        <v>Tayfun VİÇE</v>
      </c>
      <c r="AA1701" t="str">
        <f>VLOOKUP(K1701,[1]!Tablo3[#Data],2,FALSE)</f>
        <v>Tayfun VİÇE</v>
      </c>
    </row>
    <row r="1702" spans="1:27" x14ac:dyDescent="0.25">
      <c r="A1702">
        <v>3052</v>
      </c>
      <c r="B1702" t="s">
        <v>27</v>
      </c>
      <c r="C1702" t="s">
        <v>6091</v>
      </c>
      <c r="D1702" t="s">
        <v>6092</v>
      </c>
      <c r="G1702" t="s">
        <v>43</v>
      </c>
      <c r="H1702" t="s">
        <v>6188</v>
      </c>
      <c r="I1702" s="4">
        <v>45077.875</v>
      </c>
      <c r="J1702" t="s">
        <v>6094</v>
      </c>
      <c r="K1702" t="s">
        <v>1471</v>
      </c>
      <c r="L1702" s="5"/>
      <c r="M1702" s="5"/>
      <c r="N1702" t="s">
        <v>82</v>
      </c>
      <c r="O1702" t="s">
        <v>6189</v>
      </c>
      <c r="R1702">
        <v>1</v>
      </c>
      <c r="T1702" s="5" t="s">
        <v>38</v>
      </c>
      <c r="W1702">
        <v>108</v>
      </c>
      <c r="X1702" t="s">
        <v>107</v>
      </c>
      <c r="Y1702" t="str">
        <f>VLOOKUP(C1702,'[1]DBS_KPY Sorumlular'!A:C,2,FALSE)</f>
        <v>Mehmet Ali YAVUZ</v>
      </c>
      <c r="Z1702" t="str">
        <f>VLOOKUP(C1702,'[1]DBS_KPY Sorumlular'!A:C,3,FALSE)</f>
        <v>Tayfun VİÇE</v>
      </c>
      <c r="AA1702" t="str">
        <f>VLOOKUP(K1702,[1]!Tablo3[#Data],2,FALSE)</f>
        <v>Tayfun VİÇE</v>
      </c>
    </row>
    <row r="1703" spans="1:27" x14ac:dyDescent="0.25">
      <c r="A1703">
        <v>3053</v>
      </c>
      <c r="B1703" t="s">
        <v>27</v>
      </c>
      <c r="C1703" t="s">
        <v>6091</v>
      </c>
      <c r="D1703" t="s">
        <v>6092</v>
      </c>
      <c r="G1703" t="s">
        <v>43</v>
      </c>
      <c r="H1703" t="s">
        <v>6190</v>
      </c>
      <c r="I1703" s="4">
        <v>45077.875</v>
      </c>
      <c r="J1703" t="s">
        <v>6097</v>
      </c>
      <c r="K1703" t="s">
        <v>1471</v>
      </c>
      <c r="L1703" s="5"/>
      <c r="M1703" s="5"/>
      <c r="N1703" t="s">
        <v>82</v>
      </c>
      <c r="O1703" t="s">
        <v>6191</v>
      </c>
      <c r="R1703">
        <v>1</v>
      </c>
      <c r="T1703" s="5" t="s">
        <v>38</v>
      </c>
      <c r="W1703">
        <v>265</v>
      </c>
      <c r="X1703" t="s">
        <v>1228</v>
      </c>
      <c r="Y1703" t="str">
        <f>VLOOKUP(C1703,'[1]DBS_KPY Sorumlular'!A:C,2,FALSE)</f>
        <v>Mehmet Ali YAVUZ</v>
      </c>
      <c r="Z1703" t="str">
        <f>VLOOKUP(C1703,'[1]DBS_KPY Sorumlular'!A:C,3,FALSE)</f>
        <v>Tayfun VİÇE</v>
      </c>
      <c r="AA1703" t="str">
        <f>VLOOKUP(K1703,[1]!Tablo3[#Data],2,FALSE)</f>
        <v>Tayfun VİÇE</v>
      </c>
    </row>
    <row r="1704" spans="1:27" x14ac:dyDescent="0.25">
      <c r="A1704">
        <v>3054</v>
      </c>
      <c r="B1704" t="s">
        <v>27</v>
      </c>
      <c r="C1704" t="s">
        <v>6091</v>
      </c>
      <c r="D1704" t="s">
        <v>6092</v>
      </c>
      <c r="G1704" t="s">
        <v>43</v>
      </c>
      <c r="H1704" t="s">
        <v>6192</v>
      </c>
      <c r="I1704" s="4">
        <v>45077.875</v>
      </c>
      <c r="J1704" t="s">
        <v>6094</v>
      </c>
      <c r="K1704" t="s">
        <v>1471</v>
      </c>
      <c r="L1704" s="5"/>
      <c r="M1704" s="5"/>
      <c r="N1704" t="s">
        <v>82</v>
      </c>
      <c r="O1704" t="s">
        <v>6193</v>
      </c>
      <c r="R1704">
        <v>1</v>
      </c>
      <c r="T1704" s="5" t="s">
        <v>38</v>
      </c>
      <c r="W1704">
        <v>108</v>
      </c>
      <c r="X1704" t="s">
        <v>107</v>
      </c>
      <c r="Y1704" t="str">
        <f>VLOOKUP(C1704,'[1]DBS_KPY Sorumlular'!A:C,2,FALSE)</f>
        <v>Mehmet Ali YAVUZ</v>
      </c>
      <c r="Z1704" t="str">
        <f>VLOOKUP(C1704,'[1]DBS_KPY Sorumlular'!A:C,3,FALSE)</f>
        <v>Tayfun VİÇE</v>
      </c>
      <c r="AA1704" t="str">
        <f>VLOOKUP(K1704,[1]!Tablo3[#Data],2,FALSE)</f>
        <v>Tayfun VİÇE</v>
      </c>
    </row>
    <row r="1705" spans="1:27" x14ac:dyDescent="0.25">
      <c r="A1705">
        <v>3055</v>
      </c>
      <c r="B1705" t="s">
        <v>27</v>
      </c>
      <c r="C1705" t="s">
        <v>6091</v>
      </c>
      <c r="D1705" t="s">
        <v>6092</v>
      </c>
      <c r="G1705" t="s">
        <v>43</v>
      </c>
      <c r="H1705" t="s">
        <v>6194</v>
      </c>
      <c r="I1705" s="4">
        <v>45077.875</v>
      </c>
      <c r="J1705" t="s">
        <v>6094</v>
      </c>
      <c r="K1705" t="s">
        <v>143</v>
      </c>
      <c r="L1705" s="5"/>
      <c r="M1705" s="5"/>
      <c r="N1705" t="s">
        <v>82</v>
      </c>
      <c r="O1705" t="s">
        <v>6195</v>
      </c>
      <c r="R1705">
        <v>1</v>
      </c>
      <c r="T1705" s="5" t="s">
        <v>38</v>
      </c>
      <c r="W1705">
        <v>108</v>
      </c>
      <c r="X1705" t="s">
        <v>107</v>
      </c>
      <c r="Y1705" t="str">
        <f>VLOOKUP(C1705,'[1]DBS_KPY Sorumlular'!A:C,2,FALSE)</f>
        <v>Mehmet Ali YAVUZ</v>
      </c>
      <c r="Z1705" t="str">
        <f>VLOOKUP(C1705,'[1]DBS_KPY Sorumlular'!A:C,3,FALSE)</f>
        <v>Tayfun VİÇE</v>
      </c>
      <c r="AA1705" t="str">
        <f>VLOOKUP(K1705,[1]!Tablo3[#Data],2,FALSE)</f>
        <v>Tayfun VİÇE</v>
      </c>
    </row>
    <row r="1706" spans="1:27" x14ac:dyDescent="0.25">
      <c r="A1706">
        <v>3056</v>
      </c>
      <c r="B1706" t="s">
        <v>27</v>
      </c>
      <c r="C1706" t="s">
        <v>6091</v>
      </c>
      <c r="D1706" t="s">
        <v>6092</v>
      </c>
      <c r="G1706" t="s">
        <v>43</v>
      </c>
      <c r="H1706" t="s">
        <v>6196</v>
      </c>
      <c r="I1706" s="4">
        <v>44712.875</v>
      </c>
      <c r="J1706" t="s">
        <v>6097</v>
      </c>
      <c r="K1706" t="s">
        <v>1528</v>
      </c>
      <c r="L1706" s="5"/>
      <c r="M1706" s="5"/>
      <c r="N1706" t="s">
        <v>82</v>
      </c>
      <c r="O1706" t="s">
        <v>6197</v>
      </c>
      <c r="R1706">
        <v>1</v>
      </c>
      <c r="T1706" s="5" t="s">
        <v>38</v>
      </c>
      <c r="W1706">
        <v>271</v>
      </c>
      <c r="X1706" t="s">
        <v>6099</v>
      </c>
      <c r="Y1706" t="str">
        <f>VLOOKUP(C1706,'[1]DBS_KPY Sorumlular'!A:C,2,FALSE)</f>
        <v>Mehmet Ali YAVUZ</v>
      </c>
      <c r="Z1706" t="str">
        <f>VLOOKUP(C1706,'[1]DBS_KPY Sorumlular'!A:C,3,FALSE)</f>
        <v>Tayfun VİÇE</v>
      </c>
      <c r="AA1706" t="str">
        <f>VLOOKUP(K1706,[1]!Tablo3[#Data],2,FALSE)</f>
        <v>Tayfun VİÇE</v>
      </c>
    </row>
    <row r="1707" spans="1:27" x14ac:dyDescent="0.25">
      <c r="A1707">
        <v>3057</v>
      </c>
      <c r="B1707" t="s">
        <v>27</v>
      </c>
      <c r="C1707" t="s">
        <v>6091</v>
      </c>
      <c r="D1707" t="s">
        <v>6092</v>
      </c>
      <c r="G1707" t="s">
        <v>43</v>
      </c>
      <c r="H1707" t="s">
        <v>6198</v>
      </c>
      <c r="I1707" s="4">
        <v>44712.875</v>
      </c>
      <c r="J1707" t="s">
        <v>6097</v>
      </c>
      <c r="K1707" t="s">
        <v>1528</v>
      </c>
      <c r="L1707" s="5"/>
      <c r="M1707" s="5"/>
      <c r="N1707" t="s">
        <v>82</v>
      </c>
      <c r="O1707" t="s">
        <v>6199</v>
      </c>
      <c r="R1707">
        <v>1</v>
      </c>
      <c r="T1707" s="5" t="s">
        <v>38</v>
      </c>
      <c r="W1707">
        <v>265</v>
      </c>
      <c r="X1707" t="s">
        <v>1228</v>
      </c>
      <c r="Y1707" t="str">
        <f>VLOOKUP(C1707,'[1]DBS_KPY Sorumlular'!A:C,2,FALSE)</f>
        <v>Mehmet Ali YAVUZ</v>
      </c>
      <c r="Z1707" t="str">
        <f>VLOOKUP(C1707,'[1]DBS_KPY Sorumlular'!A:C,3,FALSE)</f>
        <v>Tayfun VİÇE</v>
      </c>
      <c r="AA1707" t="str">
        <f>VLOOKUP(K1707,[1]!Tablo3[#Data],2,FALSE)</f>
        <v>Tayfun VİÇE</v>
      </c>
    </row>
    <row r="1708" spans="1:27" x14ac:dyDescent="0.25">
      <c r="A1708">
        <v>3058</v>
      </c>
      <c r="B1708" t="s">
        <v>27</v>
      </c>
      <c r="C1708" t="s">
        <v>6091</v>
      </c>
      <c r="D1708" t="s">
        <v>6092</v>
      </c>
      <c r="G1708" t="s">
        <v>43</v>
      </c>
      <c r="H1708" t="s">
        <v>6200</v>
      </c>
      <c r="I1708" s="4">
        <v>45077.875</v>
      </c>
      <c r="J1708" t="s">
        <v>6097</v>
      </c>
      <c r="K1708" t="s">
        <v>1528</v>
      </c>
      <c r="L1708" s="5"/>
      <c r="M1708" s="5"/>
      <c r="N1708" t="s">
        <v>82</v>
      </c>
      <c r="O1708" t="s">
        <v>6201</v>
      </c>
      <c r="R1708">
        <v>1</v>
      </c>
      <c r="T1708" s="5" t="s">
        <v>38</v>
      </c>
      <c r="W1708">
        <v>82</v>
      </c>
      <c r="X1708" t="s">
        <v>1072</v>
      </c>
      <c r="Y1708" t="str">
        <f>VLOOKUP(C1708,'[1]DBS_KPY Sorumlular'!A:C,2,FALSE)</f>
        <v>Mehmet Ali YAVUZ</v>
      </c>
      <c r="Z1708" t="str">
        <f>VLOOKUP(C1708,'[1]DBS_KPY Sorumlular'!A:C,3,FALSE)</f>
        <v>Tayfun VİÇE</v>
      </c>
      <c r="AA1708" t="str">
        <f>VLOOKUP(K1708,[1]!Tablo3[#Data],2,FALSE)</f>
        <v>Tayfun VİÇE</v>
      </c>
    </row>
    <row r="1709" spans="1:27" x14ac:dyDescent="0.25">
      <c r="A1709">
        <v>3059</v>
      </c>
      <c r="B1709" t="s">
        <v>27</v>
      </c>
      <c r="C1709" t="s">
        <v>6091</v>
      </c>
      <c r="D1709" t="s">
        <v>6092</v>
      </c>
      <c r="G1709" t="s">
        <v>43</v>
      </c>
      <c r="H1709" t="s">
        <v>6202</v>
      </c>
      <c r="I1709" s="4">
        <v>45077.875</v>
      </c>
      <c r="J1709" t="s">
        <v>6094</v>
      </c>
      <c r="K1709" t="s">
        <v>1528</v>
      </c>
      <c r="L1709" s="5"/>
      <c r="M1709" s="5"/>
      <c r="N1709" t="s">
        <v>82</v>
      </c>
      <c r="O1709" t="s">
        <v>6203</v>
      </c>
      <c r="R1709">
        <v>1</v>
      </c>
      <c r="T1709" s="5" t="s">
        <v>38</v>
      </c>
      <c r="W1709">
        <v>108</v>
      </c>
      <c r="X1709" t="s">
        <v>107</v>
      </c>
      <c r="Y1709" t="str">
        <f>VLOOKUP(C1709,'[1]DBS_KPY Sorumlular'!A:C,2,FALSE)</f>
        <v>Mehmet Ali YAVUZ</v>
      </c>
      <c r="Z1709" t="str">
        <f>VLOOKUP(C1709,'[1]DBS_KPY Sorumlular'!A:C,3,FALSE)</f>
        <v>Tayfun VİÇE</v>
      </c>
      <c r="AA1709" t="str">
        <f>VLOOKUP(K1709,[1]!Tablo3[#Data],2,FALSE)</f>
        <v>Tayfun VİÇE</v>
      </c>
    </row>
    <row r="1710" spans="1:27" x14ac:dyDescent="0.25">
      <c r="A1710">
        <v>3060</v>
      </c>
      <c r="B1710" t="s">
        <v>27</v>
      </c>
      <c r="C1710" t="s">
        <v>288</v>
      </c>
      <c r="D1710" t="s">
        <v>4091</v>
      </c>
      <c r="G1710" t="s">
        <v>67</v>
      </c>
      <c r="H1710" t="s">
        <v>6204</v>
      </c>
      <c r="I1710" s="4">
        <v>45443.875</v>
      </c>
      <c r="J1710" t="s">
        <v>6205</v>
      </c>
      <c r="K1710" t="s">
        <v>1471</v>
      </c>
      <c r="L1710" s="5"/>
      <c r="M1710" s="5"/>
      <c r="N1710" t="s">
        <v>82</v>
      </c>
      <c r="O1710" t="s">
        <v>6206</v>
      </c>
      <c r="R1710">
        <v>1</v>
      </c>
      <c r="T1710" s="5" t="s">
        <v>38</v>
      </c>
      <c r="W1710">
        <v>269</v>
      </c>
      <c r="X1710" t="s">
        <v>3988</v>
      </c>
      <c r="Y1710" t="str">
        <f>VLOOKUP(C1710,'[1]DBS_KPY Sorumlular'!A:C,2,FALSE)</f>
        <v>Sinan ERDAŞ</v>
      </c>
      <c r="Z1710" t="str">
        <f>VLOOKUP(C1710,'[1]DBS_KPY Sorumlular'!A:C,3,FALSE)</f>
        <v>Ayşegül AKGÜL</v>
      </c>
      <c r="AA1710" t="str">
        <f>VLOOKUP(K1710,[1]!Tablo3[#Data],2,FALSE)</f>
        <v>Tayfun VİÇE</v>
      </c>
    </row>
    <row r="1711" spans="1:27" x14ac:dyDescent="0.25">
      <c r="A1711">
        <v>3061</v>
      </c>
      <c r="B1711" t="s">
        <v>27</v>
      </c>
      <c r="C1711" t="s">
        <v>5145</v>
      </c>
      <c r="D1711" t="s">
        <v>6207</v>
      </c>
      <c r="G1711" t="s">
        <v>291</v>
      </c>
      <c r="H1711" t="s">
        <v>6208</v>
      </c>
      <c r="I1711" s="4">
        <v>45077.875</v>
      </c>
      <c r="J1711" t="s">
        <v>6209</v>
      </c>
      <c r="K1711" t="s">
        <v>898</v>
      </c>
      <c r="L1711" s="5"/>
      <c r="M1711" s="5"/>
      <c r="N1711" t="s">
        <v>82</v>
      </c>
      <c r="O1711" t="s">
        <v>6210</v>
      </c>
      <c r="R1711">
        <v>1</v>
      </c>
      <c r="T1711" s="5" t="s">
        <v>38</v>
      </c>
      <c r="W1711">
        <v>267</v>
      </c>
      <c r="X1711" t="s">
        <v>6211</v>
      </c>
      <c r="Y1711" t="str">
        <f>VLOOKUP(C1711,'[1]DBS_KPY Sorumlular'!A:C,2,FALSE)</f>
        <v>Korhan KOROĞLU</v>
      </c>
      <c r="Z1711" t="str">
        <f>VLOOKUP(C1711,'[1]DBS_KPY Sorumlular'!A:C,3,FALSE)</f>
        <v>Seyithan İŞİK</v>
      </c>
      <c r="AA1711" t="str">
        <f>VLOOKUP(K1711,[1]!Tablo3[#Data],2,FALSE)</f>
        <v>Erkan AKDOĞAN</v>
      </c>
    </row>
    <row r="1712" spans="1:27" x14ac:dyDescent="0.25">
      <c r="A1712">
        <v>3062</v>
      </c>
      <c r="B1712" t="s">
        <v>27</v>
      </c>
      <c r="C1712" t="s">
        <v>28</v>
      </c>
      <c r="D1712" t="s">
        <v>28</v>
      </c>
      <c r="G1712" t="s">
        <v>67</v>
      </c>
      <c r="H1712" t="s">
        <v>6212</v>
      </c>
      <c r="I1712" s="4">
        <v>45077.875</v>
      </c>
      <c r="J1712" t="s">
        <v>6213</v>
      </c>
      <c r="K1712" t="s">
        <v>898</v>
      </c>
      <c r="L1712" s="5"/>
      <c r="M1712" s="5" t="s">
        <v>6214</v>
      </c>
      <c r="N1712" t="s">
        <v>82</v>
      </c>
      <c r="O1712" t="s">
        <v>6215</v>
      </c>
      <c r="R1712">
        <v>1</v>
      </c>
      <c r="T1712" s="5" t="s">
        <v>38</v>
      </c>
      <c r="W1712">
        <v>269</v>
      </c>
      <c r="X1712" t="s">
        <v>3988</v>
      </c>
      <c r="Y1712" t="str">
        <f>VLOOKUP(C1712,'[1]DBS_KPY Sorumlular'!A:C,2,FALSE)</f>
        <v>Ayşegül AKGÜL</v>
      </c>
      <c r="Z1712" t="str">
        <f>VLOOKUP(C1712,'[1]DBS_KPY Sorumlular'!A:C,3,FALSE)</f>
        <v>Sinan ERDAŞ</v>
      </c>
      <c r="AA1712" t="str">
        <f>VLOOKUP(K1712,[1]!Tablo3[#Data],2,FALSE)</f>
        <v>Erkan AKDOĞAN</v>
      </c>
    </row>
    <row r="1713" spans="1:27" x14ac:dyDescent="0.25">
      <c r="A1713">
        <v>3063</v>
      </c>
      <c r="B1713" t="s">
        <v>27</v>
      </c>
      <c r="C1713" t="s">
        <v>28</v>
      </c>
      <c r="D1713" t="s">
        <v>28</v>
      </c>
      <c r="G1713" t="s">
        <v>67</v>
      </c>
      <c r="H1713" t="s">
        <v>6216</v>
      </c>
      <c r="I1713" s="4">
        <v>45077.875</v>
      </c>
      <c r="J1713" t="s">
        <v>6217</v>
      </c>
      <c r="K1713" t="s">
        <v>898</v>
      </c>
      <c r="L1713" s="5"/>
      <c r="M1713" s="5"/>
      <c r="N1713" t="s">
        <v>82</v>
      </c>
      <c r="O1713" t="s">
        <v>6218</v>
      </c>
      <c r="R1713">
        <v>1</v>
      </c>
      <c r="T1713" s="5" t="s">
        <v>38</v>
      </c>
      <c r="W1713">
        <v>269</v>
      </c>
      <c r="X1713" t="s">
        <v>3988</v>
      </c>
      <c r="Y1713" t="str">
        <f>VLOOKUP(C1713,'[1]DBS_KPY Sorumlular'!A:C,2,FALSE)</f>
        <v>Ayşegül AKGÜL</v>
      </c>
      <c r="Z1713" t="str">
        <f>VLOOKUP(C1713,'[1]DBS_KPY Sorumlular'!A:C,3,FALSE)</f>
        <v>Sinan ERDAŞ</v>
      </c>
      <c r="AA1713" t="str">
        <f>VLOOKUP(K1713,[1]!Tablo3[#Data],2,FALSE)</f>
        <v>Erkan AKDOĞAN</v>
      </c>
    </row>
    <row r="1714" spans="1:27" x14ac:dyDescent="0.25">
      <c r="A1714">
        <v>3064</v>
      </c>
      <c r="B1714" t="s">
        <v>27</v>
      </c>
      <c r="C1714" t="s">
        <v>28</v>
      </c>
      <c r="D1714" t="s">
        <v>28</v>
      </c>
      <c r="G1714" t="s">
        <v>67</v>
      </c>
      <c r="H1714" t="s">
        <v>6219</v>
      </c>
      <c r="I1714" s="4">
        <v>45443.875</v>
      </c>
      <c r="J1714" t="s">
        <v>6220</v>
      </c>
      <c r="K1714" t="s">
        <v>898</v>
      </c>
      <c r="L1714" s="5"/>
      <c r="M1714" s="5"/>
      <c r="N1714" t="s">
        <v>82</v>
      </c>
      <c r="O1714" t="s">
        <v>6221</v>
      </c>
      <c r="R1714">
        <v>1</v>
      </c>
      <c r="T1714" s="5" t="s">
        <v>38</v>
      </c>
      <c r="W1714">
        <v>86</v>
      </c>
      <c r="X1714" t="s">
        <v>189</v>
      </c>
      <c r="Y1714" t="str">
        <f>VLOOKUP(C1714,'[1]DBS_KPY Sorumlular'!A:C,2,FALSE)</f>
        <v>Ayşegül AKGÜL</v>
      </c>
      <c r="Z1714" t="str">
        <f>VLOOKUP(C1714,'[1]DBS_KPY Sorumlular'!A:C,3,FALSE)</f>
        <v>Sinan ERDAŞ</v>
      </c>
      <c r="AA1714" t="str">
        <f>VLOOKUP(K1714,[1]!Tablo3[#Data],2,FALSE)</f>
        <v>Erkan AKDOĞAN</v>
      </c>
    </row>
    <row r="1715" spans="1:27" x14ac:dyDescent="0.25">
      <c r="A1715">
        <v>3065</v>
      </c>
      <c r="B1715" t="s">
        <v>27</v>
      </c>
      <c r="C1715" t="s">
        <v>28</v>
      </c>
      <c r="D1715" t="s">
        <v>28</v>
      </c>
      <c r="G1715" t="s">
        <v>67</v>
      </c>
      <c r="H1715" t="s">
        <v>6222</v>
      </c>
      <c r="I1715" s="4">
        <v>45062.875</v>
      </c>
      <c r="J1715" t="s">
        <v>6223</v>
      </c>
      <c r="K1715" t="s">
        <v>898</v>
      </c>
      <c r="L1715" s="5" t="s">
        <v>6224</v>
      </c>
      <c r="M1715" s="5"/>
      <c r="N1715" t="s">
        <v>82</v>
      </c>
      <c r="O1715" t="s">
        <v>6225</v>
      </c>
      <c r="R1715">
        <v>1</v>
      </c>
      <c r="T1715" s="5" t="s">
        <v>38</v>
      </c>
      <c r="W1715">
        <v>269</v>
      </c>
      <c r="X1715" t="s">
        <v>3988</v>
      </c>
      <c r="Y1715" t="str">
        <f>VLOOKUP(C1715,'[1]DBS_KPY Sorumlular'!A:C,2,FALSE)</f>
        <v>Ayşegül AKGÜL</v>
      </c>
      <c r="Z1715" t="str">
        <f>VLOOKUP(C1715,'[1]DBS_KPY Sorumlular'!A:C,3,FALSE)</f>
        <v>Sinan ERDAŞ</v>
      </c>
      <c r="AA1715" t="str">
        <f>VLOOKUP(K1715,[1]!Tablo3[#Data],2,FALSE)</f>
        <v>Erkan AKDOĞAN</v>
      </c>
    </row>
    <row r="1716" spans="1:27" x14ac:dyDescent="0.25">
      <c r="A1716">
        <v>3066</v>
      </c>
      <c r="B1716" t="s">
        <v>27</v>
      </c>
      <c r="C1716" t="s">
        <v>28</v>
      </c>
      <c r="D1716" t="s">
        <v>28</v>
      </c>
      <c r="G1716" t="s">
        <v>67</v>
      </c>
      <c r="H1716" t="s">
        <v>6226</v>
      </c>
      <c r="I1716" s="4"/>
      <c r="J1716" t="s">
        <v>6227</v>
      </c>
      <c r="K1716" t="s">
        <v>898</v>
      </c>
      <c r="L1716" s="5"/>
      <c r="M1716" s="5"/>
      <c r="N1716" t="s">
        <v>82</v>
      </c>
      <c r="O1716" t="s">
        <v>6228</v>
      </c>
      <c r="R1716">
        <v>1</v>
      </c>
      <c r="T1716" s="5" t="s">
        <v>38</v>
      </c>
      <c r="W1716">
        <v>269</v>
      </c>
      <c r="X1716" t="s">
        <v>3988</v>
      </c>
      <c r="Y1716" t="str">
        <f>VLOOKUP(C1716,'[1]DBS_KPY Sorumlular'!A:C,2,FALSE)</f>
        <v>Ayşegül AKGÜL</v>
      </c>
      <c r="Z1716" t="str">
        <f>VLOOKUP(C1716,'[1]DBS_KPY Sorumlular'!A:C,3,FALSE)</f>
        <v>Sinan ERDAŞ</v>
      </c>
      <c r="AA1716" t="str">
        <f>VLOOKUP(K1716,[1]!Tablo3[#Data],2,FALSE)</f>
        <v>Erkan AKDOĞAN</v>
      </c>
    </row>
    <row r="1717" spans="1:27" x14ac:dyDescent="0.25">
      <c r="A1717">
        <v>3067</v>
      </c>
      <c r="B1717" t="s">
        <v>27</v>
      </c>
      <c r="C1717" t="s">
        <v>73</v>
      </c>
      <c r="D1717" t="s">
        <v>73</v>
      </c>
      <c r="G1717" t="s">
        <v>30</v>
      </c>
      <c r="H1717" t="s">
        <v>6229</v>
      </c>
      <c r="I1717" s="4">
        <v>45077.875</v>
      </c>
      <c r="K1717" t="s">
        <v>568</v>
      </c>
      <c r="L1717" s="5"/>
      <c r="M1717" s="5" t="s">
        <v>6230</v>
      </c>
      <c r="N1717" t="s">
        <v>82</v>
      </c>
      <c r="O1717" t="s">
        <v>6231</v>
      </c>
      <c r="R1717">
        <v>1</v>
      </c>
      <c r="T1717" s="5" t="s">
        <v>38</v>
      </c>
      <c r="W1717">
        <v>174</v>
      </c>
      <c r="X1717" t="s">
        <v>4283</v>
      </c>
      <c r="Y1717" t="str">
        <f>VLOOKUP(C1717,'[1]DBS_KPY Sorumlular'!A:C,2,FALSE)</f>
        <v>Ayşegül AKGÜL</v>
      </c>
      <c r="Z1717" t="str">
        <f>VLOOKUP(C1717,'[1]DBS_KPY Sorumlular'!A:C,3,FALSE)</f>
        <v>Sinan ERDAŞ</v>
      </c>
      <c r="AA1717" t="str">
        <f>VLOOKUP(K1717,[1]!Tablo3[#Data],2,FALSE)</f>
        <v>Erkan AKDOĞAN</v>
      </c>
    </row>
    <row r="1718" spans="1:27" x14ac:dyDescent="0.25">
      <c r="A1718">
        <v>3068</v>
      </c>
      <c r="B1718" t="s">
        <v>27</v>
      </c>
      <c r="C1718" t="s">
        <v>73</v>
      </c>
      <c r="D1718" t="s">
        <v>73</v>
      </c>
      <c r="G1718" t="s">
        <v>30</v>
      </c>
      <c r="H1718" t="s">
        <v>6232</v>
      </c>
      <c r="I1718" s="4">
        <v>43982.875</v>
      </c>
      <c r="J1718" t="s">
        <v>6233</v>
      </c>
      <c r="K1718" t="s">
        <v>152</v>
      </c>
      <c r="L1718" s="5"/>
      <c r="M1718" s="5" t="s">
        <v>6234</v>
      </c>
      <c r="N1718" t="s">
        <v>82</v>
      </c>
      <c r="O1718" t="s">
        <v>6235</v>
      </c>
      <c r="R1718">
        <v>1</v>
      </c>
      <c r="T1718" s="5" t="s">
        <v>38</v>
      </c>
      <c r="W1718">
        <v>33</v>
      </c>
      <c r="X1718" t="s">
        <v>276</v>
      </c>
      <c r="Y1718" t="str">
        <f>VLOOKUP(C1718,'[1]DBS_KPY Sorumlular'!A:C,2,FALSE)</f>
        <v>Ayşegül AKGÜL</v>
      </c>
      <c r="Z1718" t="str">
        <f>VLOOKUP(C1718,'[1]DBS_KPY Sorumlular'!A:C,3,FALSE)</f>
        <v>Sinan ERDAŞ</v>
      </c>
      <c r="AA1718" t="str">
        <f>VLOOKUP(K1718,[1]!Tablo3[#Data],2,FALSE)</f>
        <v>Erkan AKDOĞAN</v>
      </c>
    </row>
    <row r="1719" spans="1:27" x14ac:dyDescent="0.25">
      <c r="A1719">
        <v>3069</v>
      </c>
      <c r="B1719" t="s">
        <v>27</v>
      </c>
      <c r="C1719" t="s">
        <v>73</v>
      </c>
      <c r="D1719" t="s">
        <v>73</v>
      </c>
      <c r="G1719" t="s">
        <v>30</v>
      </c>
      <c r="H1719" t="s">
        <v>6236</v>
      </c>
      <c r="I1719" s="4">
        <v>44347.875</v>
      </c>
      <c r="K1719" t="s">
        <v>1334</v>
      </c>
      <c r="L1719" s="5"/>
      <c r="M1719" s="5" t="s">
        <v>6237</v>
      </c>
      <c r="N1719" t="s">
        <v>82</v>
      </c>
      <c r="O1719" t="s">
        <v>6238</v>
      </c>
      <c r="R1719">
        <v>1</v>
      </c>
      <c r="T1719" s="5" t="s">
        <v>38</v>
      </c>
      <c r="W1719">
        <v>174</v>
      </c>
      <c r="X1719" t="s">
        <v>4283</v>
      </c>
      <c r="Y1719" t="str">
        <f>VLOOKUP(C1719,'[1]DBS_KPY Sorumlular'!A:C,2,FALSE)</f>
        <v>Ayşegül AKGÜL</v>
      </c>
      <c r="Z1719" t="str">
        <f>VLOOKUP(C1719,'[1]DBS_KPY Sorumlular'!A:C,3,FALSE)</f>
        <v>Sinan ERDAŞ</v>
      </c>
      <c r="AA1719" t="str">
        <f>VLOOKUP(K1719,[1]!Tablo3[#Data],2,FALSE)</f>
        <v>Erkan AKDOĞAN</v>
      </c>
    </row>
    <row r="1720" spans="1:27" x14ac:dyDescent="0.25">
      <c r="A1720">
        <v>3070</v>
      </c>
      <c r="B1720" t="s">
        <v>27</v>
      </c>
      <c r="C1720" t="s">
        <v>73</v>
      </c>
      <c r="D1720" t="s">
        <v>73</v>
      </c>
      <c r="G1720" t="s">
        <v>30</v>
      </c>
      <c r="H1720" t="s">
        <v>6239</v>
      </c>
      <c r="I1720" s="4">
        <v>45077.875</v>
      </c>
      <c r="J1720" t="s">
        <v>6240</v>
      </c>
      <c r="K1720" t="s">
        <v>217</v>
      </c>
      <c r="L1720" s="5"/>
      <c r="M1720" s="5" t="s">
        <v>6241</v>
      </c>
      <c r="N1720" t="s">
        <v>82</v>
      </c>
      <c r="O1720" t="s">
        <v>6242</v>
      </c>
      <c r="R1720">
        <v>1</v>
      </c>
      <c r="T1720" s="5" t="s">
        <v>38</v>
      </c>
      <c r="W1720">
        <v>33</v>
      </c>
      <c r="X1720" t="s">
        <v>276</v>
      </c>
      <c r="Y1720" t="str">
        <f>VLOOKUP(C1720,'[1]DBS_KPY Sorumlular'!A:C,2,FALSE)</f>
        <v>Ayşegül AKGÜL</v>
      </c>
      <c r="Z1720" t="str">
        <f>VLOOKUP(C1720,'[1]DBS_KPY Sorumlular'!A:C,3,FALSE)</f>
        <v>Sinan ERDAŞ</v>
      </c>
      <c r="AA1720" t="str">
        <f>VLOOKUP(K1720,[1]!Tablo3[#Data],2,FALSE)</f>
        <v>Erkan AKDOĞAN</v>
      </c>
    </row>
    <row r="1721" spans="1:27" x14ac:dyDescent="0.25">
      <c r="A1721">
        <v>3071</v>
      </c>
      <c r="B1721" t="s">
        <v>27</v>
      </c>
      <c r="C1721" t="s">
        <v>73</v>
      </c>
      <c r="D1721" t="s">
        <v>73</v>
      </c>
      <c r="G1721" t="s">
        <v>30</v>
      </c>
      <c r="H1721" t="s">
        <v>6243</v>
      </c>
      <c r="I1721" s="4">
        <v>43982.875</v>
      </c>
      <c r="K1721" t="s">
        <v>435</v>
      </c>
      <c r="L1721" s="5"/>
      <c r="M1721" s="5"/>
      <c r="N1721" t="s">
        <v>82</v>
      </c>
      <c r="O1721" t="s">
        <v>6244</v>
      </c>
      <c r="R1721">
        <v>1</v>
      </c>
      <c r="T1721" s="5" t="s">
        <v>38</v>
      </c>
      <c r="W1721">
        <v>71</v>
      </c>
      <c r="X1721" t="s">
        <v>1299</v>
      </c>
      <c r="Y1721" t="str">
        <f>VLOOKUP(C1721,'[1]DBS_KPY Sorumlular'!A:C,2,FALSE)</f>
        <v>Ayşegül AKGÜL</v>
      </c>
      <c r="Z1721" t="str">
        <f>VLOOKUP(C1721,'[1]DBS_KPY Sorumlular'!A:C,3,FALSE)</f>
        <v>Sinan ERDAŞ</v>
      </c>
      <c r="AA1721" t="str">
        <f>VLOOKUP(K1721,[1]!Tablo3[#Data],2,FALSE)</f>
        <v>Tayfun VİÇE</v>
      </c>
    </row>
    <row r="1722" spans="1:27" x14ac:dyDescent="0.25">
      <c r="A1722">
        <v>3071</v>
      </c>
      <c r="B1722" t="s">
        <v>27</v>
      </c>
      <c r="C1722" t="s">
        <v>73</v>
      </c>
      <c r="D1722" t="s">
        <v>73</v>
      </c>
      <c r="G1722" t="s">
        <v>30</v>
      </c>
      <c r="H1722" t="s">
        <v>6243</v>
      </c>
      <c r="I1722" s="4">
        <v>43982.875</v>
      </c>
      <c r="K1722" t="s">
        <v>435</v>
      </c>
      <c r="L1722" s="5"/>
      <c r="M1722" s="5"/>
      <c r="N1722" t="s">
        <v>82</v>
      </c>
      <c r="O1722" t="s">
        <v>6244</v>
      </c>
      <c r="R1722">
        <v>1</v>
      </c>
      <c r="T1722" s="5" t="s">
        <v>38</v>
      </c>
      <c r="W1722">
        <v>74</v>
      </c>
      <c r="X1722" t="s">
        <v>234</v>
      </c>
      <c r="Y1722" t="str">
        <f>VLOOKUP(C1722,'[1]DBS_KPY Sorumlular'!A:C,2,FALSE)</f>
        <v>Ayşegül AKGÜL</v>
      </c>
      <c r="Z1722" t="str">
        <f>VLOOKUP(C1722,'[1]DBS_KPY Sorumlular'!A:C,3,FALSE)</f>
        <v>Sinan ERDAŞ</v>
      </c>
      <c r="AA1722" t="str">
        <f>VLOOKUP(K1722,[1]!Tablo3[#Data],2,FALSE)</f>
        <v>Tayfun VİÇE</v>
      </c>
    </row>
    <row r="1723" spans="1:27" x14ac:dyDescent="0.25">
      <c r="A1723">
        <v>3072</v>
      </c>
      <c r="B1723" t="s">
        <v>27</v>
      </c>
      <c r="C1723" t="s">
        <v>73</v>
      </c>
      <c r="D1723" t="s">
        <v>73</v>
      </c>
      <c r="G1723" t="s">
        <v>30</v>
      </c>
      <c r="H1723" t="s">
        <v>6245</v>
      </c>
      <c r="I1723" s="4">
        <v>44712.875</v>
      </c>
      <c r="K1723" t="s">
        <v>586</v>
      </c>
      <c r="L1723" s="5"/>
      <c r="M1723" s="5" t="s">
        <v>6246</v>
      </c>
      <c r="N1723" t="s">
        <v>82</v>
      </c>
      <c r="O1723" t="s">
        <v>6247</v>
      </c>
      <c r="R1723">
        <v>1</v>
      </c>
      <c r="T1723" s="5" t="s">
        <v>38</v>
      </c>
      <c r="W1723">
        <v>173</v>
      </c>
      <c r="X1723" t="s">
        <v>2887</v>
      </c>
      <c r="Y1723" t="str">
        <f>VLOOKUP(C1723,'[1]DBS_KPY Sorumlular'!A:C,2,FALSE)</f>
        <v>Ayşegül AKGÜL</v>
      </c>
      <c r="Z1723" t="str">
        <f>VLOOKUP(C1723,'[1]DBS_KPY Sorumlular'!A:C,3,FALSE)</f>
        <v>Sinan ERDAŞ</v>
      </c>
      <c r="AA1723" t="str">
        <f>VLOOKUP(K1723,[1]!Tablo3[#Data],2,FALSE)</f>
        <v>Tayfun VİÇE</v>
      </c>
    </row>
    <row r="1724" spans="1:27" x14ac:dyDescent="0.25">
      <c r="A1724">
        <v>3073</v>
      </c>
      <c r="B1724" t="s">
        <v>27</v>
      </c>
      <c r="C1724" t="s">
        <v>73</v>
      </c>
      <c r="D1724" t="s">
        <v>73</v>
      </c>
      <c r="G1724" t="s">
        <v>30</v>
      </c>
      <c r="H1724" t="s">
        <v>6248</v>
      </c>
      <c r="I1724" s="4">
        <v>43982.875</v>
      </c>
      <c r="K1724" t="s">
        <v>586</v>
      </c>
      <c r="L1724" s="5"/>
      <c r="M1724" s="5" t="s">
        <v>6249</v>
      </c>
      <c r="N1724" t="s">
        <v>82</v>
      </c>
      <c r="O1724" t="s">
        <v>6250</v>
      </c>
      <c r="R1724">
        <v>1</v>
      </c>
      <c r="T1724" s="5" t="s">
        <v>38</v>
      </c>
      <c r="W1724">
        <v>173</v>
      </c>
      <c r="X1724" t="s">
        <v>2887</v>
      </c>
      <c r="Y1724" t="str">
        <f>VLOOKUP(C1724,'[1]DBS_KPY Sorumlular'!A:C,2,FALSE)</f>
        <v>Ayşegül AKGÜL</v>
      </c>
      <c r="Z1724" t="str">
        <f>VLOOKUP(C1724,'[1]DBS_KPY Sorumlular'!A:C,3,FALSE)</f>
        <v>Sinan ERDAŞ</v>
      </c>
      <c r="AA1724" t="str">
        <f>VLOOKUP(K1724,[1]!Tablo3[#Data],2,FALSE)</f>
        <v>Tayfun VİÇE</v>
      </c>
    </row>
    <row r="1725" spans="1:27" x14ac:dyDescent="0.25">
      <c r="A1725">
        <v>3074</v>
      </c>
      <c r="B1725" t="s">
        <v>27</v>
      </c>
      <c r="C1725" t="s">
        <v>73</v>
      </c>
      <c r="D1725" t="s">
        <v>73</v>
      </c>
      <c r="G1725" t="s">
        <v>30</v>
      </c>
      <c r="H1725" t="s">
        <v>6251</v>
      </c>
      <c r="I1725" s="4">
        <v>44712.875</v>
      </c>
      <c r="K1725" t="s">
        <v>143</v>
      </c>
      <c r="L1725" s="5"/>
      <c r="M1725" s="5" t="s">
        <v>6252</v>
      </c>
      <c r="N1725" t="s">
        <v>82</v>
      </c>
      <c r="O1725" t="s">
        <v>6253</v>
      </c>
      <c r="R1725">
        <v>1</v>
      </c>
      <c r="T1725" s="5" t="s">
        <v>38</v>
      </c>
      <c r="W1725">
        <v>278</v>
      </c>
      <c r="X1725" t="s">
        <v>6254</v>
      </c>
      <c r="Y1725" t="str">
        <f>VLOOKUP(C1725,'[1]DBS_KPY Sorumlular'!A:C,2,FALSE)</f>
        <v>Ayşegül AKGÜL</v>
      </c>
      <c r="Z1725" t="str">
        <f>VLOOKUP(C1725,'[1]DBS_KPY Sorumlular'!A:C,3,FALSE)</f>
        <v>Sinan ERDAŞ</v>
      </c>
      <c r="AA1725" t="str">
        <f>VLOOKUP(K1725,[1]!Tablo3[#Data],2,FALSE)</f>
        <v>Tayfun VİÇE</v>
      </c>
    </row>
    <row r="1726" spans="1:27" x14ac:dyDescent="0.25">
      <c r="A1726">
        <v>3075</v>
      </c>
      <c r="B1726" t="s">
        <v>27</v>
      </c>
      <c r="C1726" t="s">
        <v>73</v>
      </c>
      <c r="D1726" t="s">
        <v>73</v>
      </c>
      <c r="G1726" t="s">
        <v>30</v>
      </c>
      <c r="H1726" t="s">
        <v>6255</v>
      </c>
      <c r="I1726" s="4">
        <v>44347.875</v>
      </c>
      <c r="J1726" t="s">
        <v>6256</v>
      </c>
      <c r="K1726" t="s">
        <v>226</v>
      </c>
      <c r="L1726" s="5"/>
      <c r="M1726" s="5" t="s">
        <v>6257</v>
      </c>
      <c r="N1726" t="s">
        <v>82</v>
      </c>
      <c r="O1726" t="s">
        <v>6258</v>
      </c>
      <c r="R1726">
        <v>1</v>
      </c>
      <c r="T1726" s="5" t="s">
        <v>38</v>
      </c>
      <c r="W1726">
        <v>33</v>
      </c>
      <c r="X1726" t="s">
        <v>276</v>
      </c>
      <c r="Y1726" t="str">
        <f>VLOOKUP(C1726,'[1]DBS_KPY Sorumlular'!A:C,2,FALSE)</f>
        <v>Ayşegül AKGÜL</v>
      </c>
      <c r="Z1726" t="str">
        <f>VLOOKUP(C1726,'[1]DBS_KPY Sorumlular'!A:C,3,FALSE)</f>
        <v>Sinan ERDAŞ</v>
      </c>
      <c r="AA1726" t="str">
        <f>VLOOKUP(K1726,[1]!Tablo3[#Data],2,FALSE)</f>
        <v>Kadir TOPÇU</v>
      </c>
    </row>
    <row r="1727" spans="1:27" x14ac:dyDescent="0.25">
      <c r="A1727">
        <v>3076</v>
      </c>
      <c r="B1727" t="s">
        <v>27</v>
      </c>
      <c r="C1727" t="s">
        <v>73</v>
      </c>
      <c r="D1727" t="s">
        <v>73</v>
      </c>
      <c r="G1727" t="s">
        <v>30</v>
      </c>
      <c r="H1727" t="s">
        <v>6259</v>
      </c>
      <c r="I1727" s="4">
        <v>43982.875</v>
      </c>
      <c r="J1727" t="s">
        <v>6260</v>
      </c>
      <c r="K1727" t="s">
        <v>534</v>
      </c>
      <c r="L1727" s="5"/>
      <c r="M1727" s="5"/>
      <c r="N1727" t="s">
        <v>82</v>
      </c>
      <c r="O1727" t="s">
        <v>6261</v>
      </c>
      <c r="R1727">
        <v>1</v>
      </c>
      <c r="T1727" s="5" t="s">
        <v>38</v>
      </c>
      <c r="W1727">
        <v>33</v>
      </c>
      <c r="X1727" t="s">
        <v>276</v>
      </c>
      <c r="Y1727" t="str">
        <f>VLOOKUP(C1727,'[1]DBS_KPY Sorumlular'!A:C,2,FALSE)</f>
        <v>Ayşegül AKGÜL</v>
      </c>
      <c r="Z1727" t="str">
        <f>VLOOKUP(C1727,'[1]DBS_KPY Sorumlular'!A:C,3,FALSE)</f>
        <v>Sinan ERDAŞ</v>
      </c>
      <c r="AA1727" t="str">
        <f>VLOOKUP(K1727,[1]!Tablo3[#Data],2,FALSE)</f>
        <v>Erkan AKDOĞAN</v>
      </c>
    </row>
    <row r="1728" spans="1:27" x14ac:dyDescent="0.25">
      <c r="A1728">
        <v>3077</v>
      </c>
      <c r="B1728" t="s">
        <v>27</v>
      </c>
      <c r="C1728" t="s">
        <v>73</v>
      </c>
      <c r="D1728" t="s">
        <v>73</v>
      </c>
      <c r="G1728" t="s">
        <v>30</v>
      </c>
      <c r="H1728" t="s">
        <v>6262</v>
      </c>
      <c r="I1728" s="4">
        <v>43982.875</v>
      </c>
      <c r="K1728" t="s">
        <v>568</v>
      </c>
      <c r="L1728" s="5"/>
      <c r="M1728" s="5" t="s">
        <v>6263</v>
      </c>
      <c r="N1728" t="s">
        <v>82</v>
      </c>
      <c r="O1728" t="s">
        <v>6264</v>
      </c>
      <c r="R1728">
        <v>1</v>
      </c>
      <c r="T1728" s="5" t="s">
        <v>38</v>
      </c>
      <c r="W1728">
        <v>173</v>
      </c>
      <c r="X1728" t="s">
        <v>2887</v>
      </c>
      <c r="Y1728" t="str">
        <f>VLOOKUP(C1728,'[1]DBS_KPY Sorumlular'!A:C,2,FALSE)</f>
        <v>Ayşegül AKGÜL</v>
      </c>
      <c r="Z1728" t="str">
        <f>VLOOKUP(C1728,'[1]DBS_KPY Sorumlular'!A:C,3,FALSE)</f>
        <v>Sinan ERDAŞ</v>
      </c>
      <c r="AA1728" t="str">
        <f>VLOOKUP(K1728,[1]!Tablo3[#Data],2,FALSE)</f>
        <v>Erkan AKDOĞAN</v>
      </c>
    </row>
    <row r="1729" spans="1:27" x14ac:dyDescent="0.25">
      <c r="A1729">
        <v>3078</v>
      </c>
      <c r="B1729" t="s">
        <v>27</v>
      </c>
      <c r="C1729" t="s">
        <v>73</v>
      </c>
      <c r="D1729" t="s">
        <v>73</v>
      </c>
      <c r="G1729" t="s">
        <v>30</v>
      </c>
      <c r="H1729" t="s">
        <v>6265</v>
      </c>
      <c r="I1729" s="4">
        <v>44347.875</v>
      </c>
      <c r="K1729" t="s">
        <v>1106</v>
      </c>
      <c r="L1729" s="5"/>
      <c r="M1729" s="5"/>
      <c r="N1729" t="s">
        <v>82</v>
      </c>
      <c r="O1729" t="s">
        <v>6266</v>
      </c>
      <c r="R1729">
        <v>1</v>
      </c>
      <c r="T1729" s="5" t="s">
        <v>38</v>
      </c>
      <c r="W1729">
        <v>173</v>
      </c>
      <c r="X1729" t="s">
        <v>2887</v>
      </c>
      <c r="Y1729" t="str">
        <f>VLOOKUP(C1729,'[1]DBS_KPY Sorumlular'!A:C,2,FALSE)</f>
        <v>Ayşegül AKGÜL</v>
      </c>
      <c r="Z1729" t="str">
        <f>VLOOKUP(C1729,'[1]DBS_KPY Sorumlular'!A:C,3,FALSE)</f>
        <v>Sinan ERDAŞ</v>
      </c>
      <c r="AA1729" t="str">
        <f>VLOOKUP(K1729,[1]!Tablo3[#Data],2,FALSE)</f>
        <v>Tayfun VİÇE</v>
      </c>
    </row>
    <row r="1730" spans="1:27" x14ac:dyDescent="0.25">
      <c r="A1730">
        <v>3079</v>
      </c>
      <c r="B1730" t="s">
        <v>27</v>
      </c>
      <c r="C1730" t="s">
        <v>73</v>
      </c>
      <c r="D1730" t="s">
        <v>73</v>
      </c>
      <c r="G1730" t="s">
        <v>30</v>
      </c>
      <c r="H1730" t="s">
        <v>6267</v>
      </c>
      <c r="I1730" s="4">
        <v>43616.875</v>
      </c>
      <c r="K1730" t="s">
        <v>1348</v>
      </c>
      <c r="L1730" s="5"/>
      <c r="M1730" s="5" t="s">
        <v>6268</v>
      </c>
      <c r="N1730" t="s">
        <v>82</v>
      </c>
      <c r="O1730" t="s">
        <v>6269</v>
      </c>
      <c r="R1730">
        <v>1</v>
      </c>
      <c r="T1730" s="5" t="s">
        <v>38</v>
      </c>
      <c r="W1730">
        <v>33</v>
      </c>
      <c r="X1730" t="s">
        <v>276</v>
      </c>
      <c r="Y1730" t="str">
        <f>VLOOKUP(C1730,'[1]DBS_KPY Sorumlular'!A:C,2,FALSE)</f>
        <v>Ayşegül AKGÜL</v>
      </c>
      <c r="Z1730" t="str">
        <f>VLOOKUP(C1730,'[1]DBS_KPY Sorumlular'!A:C,3,FALSE)</f>
        <v>Sinan ERDAŞ</v>
      </c>
      <c r="AA1730" t="str">
        <f>VLOOKUP(K1730,[1]!Tablo3[#Data],2,FALSE)</f>
        <v>Tayfun VİÇE</v>
      </c>
    </row>
    <row r="1731" spans="1:27" x14ac:dyDescent="0.25">
      <c r="A1731">
        <v>3080</v>
      </c>
      <c r="B1731" t="s">
        <v>27</v>
      </c>
      <c r="C1731" t="s">
        <v>73</v>
      </c>
      <c r="D1731" t="s">
        <v>73</v>
      </c>
      <c r="G1731" t="s">
        <v>30</v>
      </c>
      <c r="H1731" t="s">
        <v>6270</v>
      </c>
      <c r="I1731" s="4">
        <v>45443.875</v>
      </c>
      <c r="J1731" t="s">
        <v>6271</v>
      </c>
      <c r="K1731" t="s">
        <v>586</v>
      </c>
      <c r="L1731" s="5"/>
      <c r="M1731" s="5" t="s">
        <v>6272</v>
      </c>
      <c r="N1731" t="s">
        <v>82</v>
      </c>
      <c r="O1731" t="s">
        <v>6273</v>
      </c>
      <c r="R1731">
        <v>1</v>
      </c>
      <c r="T1731" s="5" t="s">
        <v>38</v>
      </c>
      <c r="W1731">
        <v>33</v>
      </c>
      <c r="X1731" t="s">
        <v>276</v>
      </c>
      <c r="Y1731" t="str">
        <f>VLOOKUP(C1731,'[1]DBS_KPY Sorumlular'!A:C,2,FALSE)</f>
        <v>Ayşegül AKGÜL</v>
      </c>
      <c r="Z1731" t="str">
        <f>VLOOKUP(C1731,'[1]DBS_KPY Sorumlular'!A:C,3,FALSE)</f>
        <v>Sinan ERDAŞ</v>
      </c>
      <c r="AA1731" t="str">
        <f>VLOOKUP(K1731,[1]!Tablo3[#Data],2,FALSE)</f>
        <v>Tayfun VİÇE</v>
      </c>
    </row>
    <row r="1732" spans="1:27" x14ac:dyDescent="0.25">
      <c r="A1732">
        <v>3081</v>
      </c>
      <c r="B1732" t="s">
        <v>27</v>
      </c>
      <c r="C1732" t="s">
        <v>73</v>
      </c>
      <c r="D1732" t="s">
        <v>73</v>
      </c>
      <c r="G1732" t="s">
        <v>30</v>
      </c>
      <c r="H1732" t="s">
        <v>6274</v>
      </c>
      <c r="I1732" s="4">
        <v>43982.875</v>
      </c>
      <c r="K1732" t="s">
        <v>611</v>
      </c>
      <c r="L1732" s="5"/>
      <c r="M1732" s="5"/>
      <c r="N1732" t="s">
        <v>82</v>
      </c>
      <c r="O1732" t="s">
        <v>6275</v>
      </c>
      <c r="R1732">
        <v>1</v>
      </c>
      <c r="T1732" s="5" t="s">
        <v>38</v>
      </c>
      <c r="W1732">
        <v>68</v>
      </c>
      <c r="X1732" t="s">
        <v>51</v>
      </c>
      <c r="Y1732" t="str">
        <f>VLOOKUP(C1732,'[1]DBS_KPY Sorumlular'!A:C,2,FALSE)</f>
        <v>Ayşegül AKGÜL</v>
      </c>
      <c r="Z1732" t="str">
        <f>VLOOKUP(C1732,'[1]DBS_KPY Sorumlular'!A:C,3,FALSE)</f>
        <v>Sinan ERDAŞ</v>
      </c>
      <c r="AA1732" t="str">
        <f>VLOOKUP(K1732,[1]!Tablo3[#Data],2,FALSE)</f>
        <v>Kadir TOPÇU</v>
      </c>
    </row>
    <row r="1733" spans="1:27" x14ac:dyDescent="0.25">
      <c r="A1733">
        <v>3082</v>
      </c>
      <c r="B1733" t="s">
        <v>27</v>
      </c>
      <c r="C1733" t="s">
        <v>73</v>
      </c>
      <c r="D1733" t="s">
        <v>73</v>
      </c>
      <c r="G1733" t="s">
        <v>30</v>
      </c>
      <c r="H1733" t="s">
        <v>6276</v>
      </c>
      <c r="I1733" s="4">
        <v>44712.875</v>
      </c>
      <c r="J1733" t="s">
        <v>6277</v>
      </c>
      <c r="K1733" t="s">
        <v>678</v>
      </c>
      <c r="L1733" s="5"/>
      <c r="M1733" s="5" t="s">
        <v>6278</v>
      </c>
      <c r="N1733" t="s">
        <v>82</v>
      </c>
      <c r="O1733" t="s">
        <v>6279</v>
      </c>
      <c r="R1733">
        <v>1</v>
      </c>
      <c r="T1733" s="5" t="s">
        <v>38</v>
      </c>
      <c r="W1733">
        <v>33</v>
      </c>
      <c r="X1733" t="s">
        <v>276</v>
      </c>
      <c r="Y1733" t="str">
        <f>VLOOKUP(C1733,'[1]DBS_KPY Sorumlular'!A:C,2,FALSE)</f>
        <v>Ayşegül AKGÜL</v>
      </c>
      <c r="Z1733" t="str">
        <f>VLOOKUP(C1733,'[1]DBS_KPY Sorumlular'!A:C,3,FALSE)</f>
        <v>Sinan ERDAŞ</v>
      </c>
      <c r="AA1733" t="str">
        <f>VLOOKUP(K1733,[1]!Tablo3[#Data],2,FALSE)</f>
        <v>Kadir TOPÇU</v>
      </c>
    </row>
    <row r="1734" spans="1:27" x14ac:dyDescent="0.25">
      <c r="A1734">
        <v>3083</v>
      </c>
      <c r="B1734" t="s">
        <v>27</v>
      </c>
      <c r="C1734" t="s">
        <v>73</v>
      </c>
      <c r="D1734" t="s">
        <v>73</v>
      </c>
      <c r="G1734" t="s">
        <v>30</v>
      </c>
      <c r="H1734" t="s">
        <v>6280</v>
      </c>
      <c r="I1734" s="4">
        <v>44347.875</v>
      </c>
      <c r="J1734" t="s">
        <v>6281</v>
      </c>
      <c r="K1734" t="s">
        <v>636</v>
      </c>
      <c r="L1734" s="5"/>
      <c r="M1734" s="5"/>
      <c r="N1734" t="s">
        <v>82</v>
      </c>
      <c r="O1734" t="s">
        <v>6282</v>
      </c>
      <c r="R1734">
        <v>1</v>
      </c>
      <c r="T1734" s="5" t="s">
        <v>38</v>
      </c>
      <c r="W1734">
        <v>173</v>
      </c>
      <c r="X1734" t="s">
        <v>2887</v>
      </c>
      <c r="Y1734" t="str">
        <f>VLOOKUP(C1734,'[1]DBS_KPY Sorumlular'!A:C,2,FALSE)</f>
        <v>Ayşegül AKGÜL</v>
      </c>
      <c r="Z1734" t="str">
        <f>VLOOKUP(C1734,'[1]DBS_KPY Sorumlular'!A:C,3,FALSE)</f>
        <v>Sinan ERDAŞ</v>
      </c>
      <c r="AA1734" t="str">
        <f>VLOOKUP(K1734,[1]!Tablo3[#Data],2,FALSE)</f>
        <v>Erkan AKDOĞAN</v>
      </c>
    </row>
    <row r="1735" spans="1:27" x14ac:dyDescent="0.25">
      <c r="A1735">
        <v>3084</v>
      </c>
      <c r="B1735" t="s">
        <v>27</v>
      </c>
      <c r="C1735" t="s">
        <v>73</v>
      </c>
      <c r="D1735" t="s">
        <v>73</v>
      </c>
      <c r="G1735" t="s">
        <v>30</v>
      </c>
      <c r="H1735" t="s">
        <v>6283</v>
      </c>
      <c r="I1735" s="4">
        <v>43982.875</v>
      </c>
      <c r="K1735" t="s">
        <v>678</v>
      </c>
      <c r="L1735" s="5"/>
      <c r="M1735" s="5"/>
      <c r="N1735" t="s">
        <v>82</v>
      </c>
      <c r="O1735" t="s">
        <v>6284</v>
      </c>
      <c r="R1735">
        <v>1</v>
      </c>
      <c r="T1735" s="5" t="s">
        <v>38</v>
      </c>
      <c r="W1735">
        <v>12</v>
      </c>
      <c r="X1735" t="s">
        <v>332</v>
      </c>
      <c r="Y1735" t="str">
        <f>VLOOKUP(C1735,'[1]DBS_KPY Sorumlular'!A:C,2,FALSE)</f>
        <v>Ayşegül AKGÜL</v>
      </c>
      <c r="Z1735" t="str">
        <f>VLOOKUP(C1735,'[1]DBS_KPY Sorumlular'!A:C,3,FALSE)</f>
        <v>Sinan ERDAŞ</v>
      </c>
      <c r="AA1735" t="str">
        <f>VLOOKUP(K1735,[1]!Tablo3[#Data],2,FALSE)</f>
        <v>Kadir TOPÇU</v>
      </c>
    </row>
    <row r="1736" spans="1:27" x14ac:dyDescent="0.25">
      <c r="A1736">
        <v>3085</v>
      </c>
      <c r="B1736" t="s">
        <v>27</v>
      </c>
      <c r="C1736" t="s">
        <v>73</v>
      </c>
      <c r="D1736" t="s">
        <v>73</v>
      </c>
      <c r="G1736" t="s">
        <v>30</v>
      </c>
      <c r="H1736" t="s">
        <v>6285</v>
      </c>
      <c r="I1736" s="4">
        <v>44347.875</v>
      </c>
      <c r="K1736" t="s">
        <v>678</v>
      </c>
      <c r="L1736" s="5"/>
      <c r="M1736" s="5"/>
      <c r="N1736" t="s">
        <v>82</v>
      </c>
      <c r="O1736" t="s">
        <v>6286</v>
      </c>
      <c r="R1736">
        <v>1</v>
      </c>
      <c r="T1736" s="5" t="s">
        <v>38</v>
      </c>
      <c r="W1736">
        <v>68</v>
      </c>
      <c r="X1736" t="s">
        <v>51</v>
      </c>
      <c r="Y1736" t="str">
        <f>VLOOKUP(C1736,'[1]DBS_KPY Sorumlular'!A:C,2,FALSE)</f>
        <v>Ayşegül AKGÜL</v>
      </c>
      <c r="Z1736" t="str">
        <f>VLOOKUP(C1736,'[1]DBS_KPY Sorumlular'!A:C,3,FALSE)</f>
        <v>Sinan ERDAŞ</v>
      </c>
      <c r="AA1736" t="str">
        <f>VLOOKUP(K1736,[1]!Tablo3[#Data],2,FALSE)</f>
        <v>Kadir TOPÇU</v>
      </c>
    </row>
    <row r="1737" spans="1:27" x14ac:dyDescent="0.25">
      <c r="A1737">
        <v>3086</v>
      </c>
      <c r="B1737" t="s">
        <v>27</v>
      </c>
      <c r="C1737" t="s">
        <v>73</v>
      </c>
      <c r="D1737" t="s">
        <v>73</v>
      </c>
      <c r="G1737" t="s">
        <v>30</v>
      </c>
      <c r="H1737" t="s">
        <v>6287</v>
      </c>
      <c r="I1737" s="4">
        <v>44712.875</v>
      </c>
      <c r="J1737" t="s">
        <v>6288</v>
      </c>
      <c r="K1737" t="s">
        <v>611</v>
      </c>
      <c r="L1737" s="5"/>
      <c r="M1737" s="5" t="s">
        <v>6289</v>
      </c>
      <c r="N1737" t="s">
        <v>82</v>
      </c>
      <c r="O1737" t="s">
        <v>6290</v>
      </c>
      <c r="R1737">
        <v>1</v>
      </c>
      <c r="T1737" s="5" t="s">
        <v>38</v>
      </c>
      <c r="W1737">
        <v>33</v>
      </c>
      <c r="X1737" t="s">
        <v>276</v>
      </c>
      <c r="Y1737" t="str">
        <f>VLOOKUP(C1737,'[1]DBS_KPY Sorumlular'!A:C,2,FALSE)</f>
        <v>Ayşegül AKGÜL</v>
      </c>
      <c r="Z1737" t="str">
        <f>VLOOKUP(C1737,'[1]DBS_KPY Sorumlular'!A:C,3,FALSE)</f>
        <v>Sinan ERDAŞ</v>
      </c>
      <c r="AA1737" t="str">
        <f>VLOOKUP(K1737,[1]!Tablo3[#Data],2,FALSE)</f>
        <v>Kadir TOPÇU</v>
      </c>
    </row>
    <row r="1738" spans="1:27" x14ac:dyDescent="0.25">
      <c r="A1738">
        <v>3087</v>
      </c>
      <c r="B1738" t="s">
        <v>27</v>
      </c>
      <c r="C1738" t="s">
        <v>73</v>
      </c>
      <c r="D1738" t="s">
        <v>73</v>
      </c>
      <c r="G1738" t="s">
        <v>30</v>
      </c>
      <c r="H1738" t="s">
        <v>6291</v>
      </c>
      <c r="I1738" s="4">
        <v>43616.875</v>
      </c>
      <c r="K1738" t="s">
        <v>1334</v>
      </c>
      <c r="L1738" s="5"/>
      <c r="M1738" s="5" t="s">
        <v>6292</v>
      </c>
      <c r="N1738" t="s">
        <v>82</v>
      </c>
      <c r="O1738" t="s">
        <v>6293</v>
      </c>
      <c r="R1738">
        <v>1</v>
      </c>
      <c r="T1738" s="5" t="s">
        <v>38</v>
      </c>
      <c r="W1738">
        <v>173</v>
      </c>
      <c r="X1738" t="s">
        <v>2887</v>
      </c>
      <c r="Y1738" t="str">
        <f>VLOOKUP(C1738,'[1]DBS_KPY Sorumlular'!A:C,2,FALSE)</f>
        <v>Ayşegül AKGÜL</v>
      </c>
      <c r="Z1738" t="str">
        <f>VLOOKUP(C1738,'[1]DBS_KPY Sorumlular'!A:C,3,FALSE)</f>
        <v>Sinan ERDAŞ</v>
      </c>
      <c r="AA1738" t="str">
        <f>VLOOKUP(K1738,[1]!Tablo3[#Data],2,FALSE)</f>
        <v>Erkan AKDOĞAN</v>
      </c>
    </row>
    <row r="1739" spans="1:27" x14ac:dyDescent="0.25">
      <c r="A1739">
        <v>3088</v>
      </c>
      <c r="B1739" t="s">
        <v>27</v>
      </c>
      <c r="C1739" t="s">
        <v>73</v>
      </c>
      <c r="D1739" t="s">
        <v>73</v>
      </c>
      <c r="G1739" t="s">
        <v>30</v>
      </c>
      <c r="H1739" t="s">
        <v>6294</v>
      </c>
      <c r="I1739" s="4">
        <v>43616.875</v>
      </c>
      <c r="K1739" t="s">
        <v>1106</v>
      </c>
      <c r="L1739" s="5"/>
      <c r="M1739" s="5"/>
      <c r="N1739" t="s">
        <v>82</v>
      </c>
      <c r="O1739" t="s">
        <v>6295</v>
      </c>
      <c r="R1739">
        <v>1</v>
      </c>
      <c r="T1739" s="5" t="s">
        <v>38</v>
      </c>
      <c r="W1739">
        <v>278</v>
      </c>
      <c r="X1739" t="s">
        <v>6254</v>
      </c>
      <c r="Y1739" t="str">
        <f>VLOOKUP(C1739,'[1]DBS_KPY Sorumlular'!A:C,2,FALSE)</f>
        <v>Ayşegül AKGÜL</v>
      </c>
      <c r="Z1739" t="str">
        <f>VLOOKUP(C1739,'[1]DBS_KPY Sorumlular'!A:C,3,FALSE)</f>
        <v>Sinan ERDAŞ</v>
      </c>
      <c r="AA1739" t="str">
        <f>VLOOKUP(K1739,[1]!Tablo3[#Data],2,FALSE)</f>
        <v>Tayfun VİÇE</v>
      </c>
    </row>
    <row r="1740" spans="1:27" x14ac:dyDescent="0.25">
      <c r="A1740">
        <v>3089</v>
      </c>
      <c r="B1740" t="s">
        <v>27</v>
      </c>
      <c r="C1740" t="s">
        <v>73</v>
      </c>
      <c r="D1740" t="s">
        <v>73</v>
      </c>
      <c r="G1740" t="s">
        <v>30</v>
      </c>
      <c r="H1740" t="s">
        <v>6296</v>
      </c>
      <c r="I1740" s="4">
        <v>43616.875</v>
      </c>
      <c r="K1740" t="s">
        <v>860</v>
      </c>
      <c r="L1740" s="5"/>
      <c r="M1740" s="5"/>
      <c r="N1740" t="s">
        <v>82</v>
      </c>
      <c r="O1740" t="s">
        <v>6297</v>
      </c>
      <c r="R1740">
        <v>1</v>
      </c>
      <c r="T1740" s="5" t="s">
        <v>38</v>
      </c>
      <c r="W1740">
        <v>273</v>
      </c>
      <c r="X1740" t="s">
        <v>6298</v>
      </c>
      <c r="Y1740" t="str">
        <f>VLOOKUP(C1740,'[1]DBS_KPY Sorumlular'!A:C,2,FALSE)</f>
        <v>Ayşegül AKGÜL</v>
      </c>
      <c r="Z1740" t="str">
        <f>VLOOKUP(C1740,'[1]DBS_KPY Sorumlular'!A:C,3,FALSE)</f>
        <v>Sinan ERDAŞ</v>
      </c>
      <c r="AA1740" t="str">
        <f>VLOOKUP(K1740,[1]!Tablo3[#Data],2,FALSE)</f>
        <v>Erkan AKDOĞAN</v>
      </c>
    </row>
    <row r="1741" spans="1:27" x14ac:dyDescent="0.25">
      <c r="A1741">
        <v>3090</v>
      </c>
      <c r="B1741" t="s">
        <v>27</v>
      </c>
      <c r="C1741" t="s">
        <v>73</v>
      </c>
      <c r="D1741" t="s">
        <v>73</v>
      </c>
      <c r="G1741" t="s">
        <v>30</v>
      </c>
      <c r="H1741" t="s">
        <v>6299</v>
      </c>
      <c r="I1741" s="4">
        <v>45077.875</v>
      </c>
      <c r="K1741" t="s">
        <v>860</v>
      </c>
      <c r="L1741" s="5"/>
      <c r="M1741" s="5"/>
      <c r="N1741" t="s">
        <v>82</v>
      </c>
      <c r="O1741" t="s">
        <v>6300</v>
      </c>
      <c r="R1741">
        <v>1</v>
      </c>
      <c r="T1741" s="5" t="s">
        <v>38</v>
      </c>
      <c r="W1741">
        <v>32</v>
      </c>
      <c r="X1741" t="s">
        <v>4412</v>
      </c>
      <c r="Y1741" t="str">
        <f>VLOOKUP(C1741,'[1]DBS_KPY Sorumlular'!A:C,2,FALSE)</f>
        <v>Ayşegül AKGÜL</v>
      </c>
      <c r="Z1741" t="str">
        <f>VLOOKUP(C1741,'[1]DBS_KPY Sorumlular'!A:C,3,FALSE)</f>
        <v>Sinan ERDAŞ</v>
      </c>
      <c r="AA1741" t="str">
        <f>VLOOKUP(K1741,[1]!Tablo3[#Data],2,FALSE)</f>
        <v>Erkan AKDOĞAN</v>
      </c>
    </row>
    <row r="1742" spans="1:27" x14ac:dyDescent="0.25">
      <c r="A1742">
        <v>3091</v>
      </c>
      <c r="B1742" t="s">
        <v>27</v>
      </c>
      <c r="C1742" t="s">
        <v>73</v>
      </c>
      <c r="D1742" t="s">
        <v>73</v>
      </c>
      <c r="G1742" t="s">
        <v>30</v>
      </c>
      <c r="H1742" t="s">
        <v>6301</v>
      </c>
      <c r="I1742" s="4">
        <v>43982.875</v>
      </c>
      <c r="K1742" t="s">
        <v>678</v>
      </c>
      <c r="L1742" s="5"/>
      <c r="M1742" s="5"/>
      <c r="N1742" t="s">
        <v>82</v>
      </c>
      <c r="O1742" t="s">
        <v>6302</v>
      </c>
      <c r="R1742">
        <v>1</v>
      </c>
      <c r="T1742" s="5" t="s">
        <v>38</v>
      </c>
      <c r="W1742">
        <v>32</v>
      </c>
      <c r="X1742" t="s">
        <v>4412</v>
      </c>
      <c r="Y1742" t="str">
        <f>VLOOKUP(C1742,'[1]DBS_KPY Sorumlular'!A:C,2,FALSE)</f>
        <v>Ayşegül AKGÜL</v>
      </c>
      <c r="Z1742" t="str">
        <f>VLOOKUP(C1742,'[1]DBS_KPY Sorumlular'!A:C,3,FALSE)</f>
        <v>Sinan ERDAŞ</v>
      </c>
      <c r="AA1742" t="str">
        <f>VLOOKUP(K1742,[1]!Tablo3[#Data],2,FALSE)</f>
        <v>Kadir TOPÇU</v>
      </c>
    </row>
    <row r="1743" spans="1:27" x14ac:dyDescent="0.25">
      <c r="A1743">
        <v>3092</v>
      </c>
      <c r="B1743" t="s">
        <v>27</v>
      </c>
      <c r="C1743" t="s">
        <v>73</v>
      </c>
      <c r="D1743" t="s">
        <v>73</v>
      </c>
      <c r="G1743" t="s">
        <v>30</v>
      </c>
      <c r="H1743" t="s">
        <v>6303</v>
      </c>
      <c r="I1743" s="4">
        <v>44347.875</v>
      </c>
      <c r="K1743" t="s">
        <v>678</v>
      </c>
      <c r="L1743" s="5"/>
      <c r="M1743" s="5"/>
      <c r="N1743" t="s">
        <v>82</v>
      </c>
      <c r="O1743" t="s">
        <v>6304</v>
      </c>
      <c r="R1743">
        <v>1</v>
      </c>
      <c r="T1743" s="5" t="s">
        <v>38</v>
      </c>
      <c r="W1743">
        <v>32</v>
      </c>
      <c r="X1743" t="s">
        <v>4412</v>
      </c>
      <c r="Y1743" t="str">
        <f>VLOOKUP(C1743,'[1]DBS_KPY Sorumlular'!A:C,2,FALSE)</f>
        <v>Ayşegül AKGÜL</v>
      </c>
      <c r="Z1743" t="str">
        <f>VLOOKUP(C1743,'[1]DBS_KPY Sorumlular'!A:C,3,FALSE)</f>
        <v>Sinan ERDAŞ</v>
      </c>
      <c r="AA1743" t="str">
        <f>VLOOKUP(K1743,[1]!Tablo3[#Data],2,FALSE)</f>
        <v>Kadir TOPÇU</v>
      </c>
    </row>
    <row r="1744" spans="1:27" x14ac:dyDescent="0.25">
      <c r="A1744">
        <v>3093</v>
      </c>
      <c r="B1744" t="s">
        <v>27</v>
      </c>
      <c r="C1744" t="s">
        <v>73</v>
      </c>
      <c r="D1744" t="s">
        <v>73</v>
      </c>
      <c r="G1744" t="s">
        <v>30</v>
      </c>
      <c r="H1744" t="s">
        <v>6305</v>
      </c>
      <c r="I1744" s="4">
        <v>45443.875</v>
      </c>
      <c r="K1744" t="s">
        <v>898</v>
      </c>
      <c r="L1744" s="5"/>
      <c r="M1744" s="5"/>
      <c r="N1744" t="s">
        <v>82</v>
      </c>
      <c r="O1744" t="s">
        <v>6306</v>
      </c>
      <c r="R1744">
        <v>1</v>
      </c>
      <c r="T1744" s="5" t="s">
        <v>38</v>
      </c>
      <c r="W1744">
        <v>32</v>
      </c>
      <c r="X1744" t="s">
        <v>4412</v>
      </c>
      <c r="Y1744" t="str">
        <f>VLOOKUP(C1744,'[1]DBS_KPY Sorumlular'!A:C,2,FALSE)</f>
        <v>Ayşegül AKGÜL</v>
      </c>
      <c r="Z1744" t="str">
        <f>VLOOKUP(C1744,'[1]DBS_KPY Sorumlular'!A:C,3,FALSE)</f>
        <v>Sinan ERDAŞ</v>
      </c>
      <c r="AA1744" t="str">
        <f>VLOOKUP(K1744,[1]!Tablo3[#Data],2,FALSE)</f>
        <v>Erkan AKDOĞAN</v>
      </c>
    </row>
    <row r="1745" spans="1:27" x14ac:dyDescent="0.25">
      <c r="A1745">
        <v>3094</v>
      </c>
      <c r="B1745" t="s">
        <v>27</v>
      </c>
      <c r="C1745" t="s">
        <v>73</v>
      </c>
      <c r="D1745" t="s">
        <v>73</v>
      </c>
      <c r="G1745" t="s">
        <v>30</v>
      </c>
      <c r="H1745" t="s">
        <v>6307</v>
      </c>
      <c r="I1745" s="4">
        <v>43982.875</v>
      </c>
      <c r="K1745" t="s">
        <v>98</v>
      </c>
      <c r="L1745" s="5"/>
      <c r="M1745" s="5" t="s">
        <v>6308</v>
      </c>
      <c r="N1745" t="s">
        <v>82</v>
      </c>
      <c r="O1745" t="s">
        <v>6309</v>
      </c>
      <c r="R1745">
        <v>1</v>
      </c>
      <c r="T1745" s="5" t="s">
        <v>38</v>
      </c>
      <c r="W1745">
        <v>273</v>
      </c>
      <c r="X1745" t="s">
        <v>6298</v>
      </c>
      <c r="Y1745" t="str">
        <f>VLOOKUP(C1745,'[1]DBS_KPY Sorumlular'!A:C,2,FALSE)</f>
        <v>Ayşegül AKGÜL</v>
      </c>
      <c r="Z1745" t="str">
        <f>VLOOKUP(C1745,'[1]DBS_KPY Sorumlular'!A:C,3,FALSE)</f>
        <v>Sinan ERDAŞ</v>
      </c>
      <c r="AA1745" t="str">
        <f>VLOOKUP(K1745,[1]!Tablo3[#Data],2,FALSE)</f>
        <v>Tayfun VİÇE</v>
      </c>
    </row>
    <row r="1746" spans="1:27" x14ac:dyDescent="0.25">
      <c r="A1746">
        <v>3095</v>
      </c>
      <c r="B1746" t="s">
        <v>27</v>
      </c>
      <c r="C1746" t="s">
        <v>73</v>
      </c>
      <c r="D1746" t="s">
        <v>73</v>
      </c>
      <c r="G1746" t="s">
        <v>30</v>
      </c>
      <c r="H1746" t="s">
        <v>6310</v>
      </c>
      <c r="I1746" s="4">
        <v>43982.875</v>
      </c>
      <c r="K1746" t="s">
        <v>586</v>
      </c>
      <c r="L1746" s="5"/>
      <c r="M1746" s="5" t="s">
        <v>6311</v>
      </c>
      <c r="N1746" t="s">
        <v>82</v>
      </c>
      <c r="O1746" t="s">
        <v>6312</v>
      </c>
      <c r="R1746">
        <v>1</v>
      </c>
      <c r="T1746" s="5" t="s">
        <v>38</v>
      </c>
      <c r="Y1746" t="str">
        <f>VLOOKUP(C1746,'[1]DBS_KPY Sorumlular'!A:C,2,FALSE)</f>
        <v>Ayşegül AKGÜL</v>
      </c>
      <c r="Z1746" t="str">
        <f>VLOOKUP(C1746,'[1]DBS_KPY Sorumlular'!A:C,3,FALSE)</f>
        <v>Sinan ERDAŞ</v>
      </c>
      <c r="AA1746" t="str">
        <f>VLOOKUP(K1746,[1]!Tablo3[#Data],2,FALSE)</f>
        <v>Tayfun VİÇE</v>
      </c>
    </row>
    <row r="1747" spans="1:27" x14ac:dyDescent="0.25">
      <c r="A1747">
        <v>3096</v>
      </c>
      <c r="B1747" t="s">
        <v>27</v>
      </c>
      <c r="C1747" t="s">
        <v>73</v>
      </c>
      <c r="D1747" t="s">
        <v>73</v>
      </c>
      <c r="G1747" t="s">
        <v>30</v>
      </c>
      <c r="H1747" t="s">
        <v>6313</v>
      </c>
      <c r="I1747" s="4">
        <v>43616.875</v>
      </c>
      <c r="K1747" t="s">
        <v>1106</v>
      </c>
      <c r="L1747" s="5"/>
      <c r="M1747" s="5"/>
      <c r="N1747" t="s">
        <v>82</v>
      </c>
      <c r="O1747" t="s">
        <v>6314</v>
      </c>
      <c r="R1747">
        <v>1</v>
      </c>
      <c r="T1747" s="5" t="s">
        <v>38</v>
      </c>
      <c r="W1747">
        <v>278</v>
      </c>
      <c r="X1747" t="s">
        <v>6254</v>
      </c>
      <c r="Y1747" t="str">
        <f>VLOOKUP(C1747,'[1]DBS_KPY Sorumlular'!A:C,2,FALSE)</f>
        <v>Ayşegül AKGÜL</v>
      </c>
      <c r="Z1747" t="str">
        <f>VLOOKUP(C1747,'[1]DBS_KPY Sorumlular'!A:C,3,FALSE)</f>
        <v>Sinan ERDAŞ</v>
      </c>
      <c r="AA1747" t="str">
        <f>VLOOKUP(K1747,[1]!Tablo3[#Data],2,FALSE)</f>
        <v>Tayfun VİÇE</v>
      </c>
    </row>
    <row r="1748" spans="1:27" x14ac:dyDescent="0.25">
      <c r="A1748">
        <v>3097</v>
      </c>
      <c r="B1748" t="s">
        <v>27</v>
      </c>
      <c r="C1748" t="s">
        <v>73</v>
      </c>
      <c r="D1748" t="s">
        <v>73</v>
      </c>
      <c r="G1748" t="s">
        <v>30</v>
      </c>
      <c r="H1748" t="s">
        <v>6315</v>
      </c>
      <c r="I1748" s="4">
        <v>44712.875</v>
      </c>
      <c r="K1748" t="s">
        <v>1221</v>
      </c>
      <c r="L1748" s="5"/>
      <c r="M1748" s="5"/>
      <c r="N1748" t="s">
        <v>82</v>
      </c>
      <c r="O1748" t="s">
        <v>6316</v>
      </c>
      <c r="R1748">
        <v>1</v>
      </c>
      <c r="T1748" s="5" t="s">
        <v>38</v>
      </c>
      <c r="W1748">
        <v>68</v>
      </c>
      <c r="X1748" t="s">
        <v>51</v>
      </c>
      <c r="Y1748" t="str">
        <f>VLOOKUP(C1748,'[1]DBS_KPY Sorumlular'!A:C,2,FALSE)</f>
        <v>Ayşegül AKGÜL</v>
      </c>
      <c r="Z1748" t="str">
        <f>VLOOKUP(C1748,'[1]DBS_KPY Sorumlular'!A:C,3,FALSE)</f>
        <v>Sinan ERDAŞ</v>
      </c>
      <c r="AA1748" t="str">
        <f>VLOOKUP(K1748,[1]!Tablo3[#Data],2,FALSE)</f>
        <v>Tayfun VİÇE</v>
      </c>
    </row>
    <row r="1749" spans="1:27" x14ac:dyDescent="0.25">
      <c r="A1749">
        <v>3098</v>
      </c>
      <c r="B1749" t="s">
        <v>27</v>
      </c>
      <c r="C1749" t="s">
        <v>73</v>
      </c>
      <c r="D1749" t="s">
        <v>73</v>
      </c>
      <c r="G1749" t="s">
        <v>30</v>
      </c>
      <c r="H1749" t="s">
        <v>6317</v>
      </c>
      <c r="I1749" s="4">
        <v>43982.875</v>
      </c>
      <c r="K1749" t="s">
        <v>1334</v>
      </c>
      <c r="L1749" s="5"/>
      <c r="M1749" s="5"/>
      <c r="N1749" t="s">
        <v>82</v>
      </c>
      <c r="O1749" t="s">
        <v>6318</v>
      </c>
      <c r="R1749">
        <v>1</v>
      </c>
      <c r="T1749" s="5" t="s">
        <v>38</v>
      </c>
      <c r="W1749">
        <v>33</v>
      </c>
      <c r="X1749" t="s">
        <v>276</v>
      </c>
      <c r="Y1749" t="str">
        <f>VLOOKUP(C1749,'[1]DBS_KPY Sorumlular'!A:C,2,FALSE)</f>
        <v>Ayşegül AKGÜL</v>
      </c>
      <c r="Z1749" t="str">
        <f>VLOOKUP(C1749,'[1]DBS_KPY Sorumlular'!A:C,3,FALSE)</f>
        <v>Sinan ERDAŞ</v>
      </c>
      <c r="AA1749" t="str">
        <f>VLOOKUP(K1749,[1]!Tablo3[#Data],2,FALSE)</f>
        <v>Erkan AKDOĞAN</v>
      </c>
    </row>
    <row r="1750" spans="1:27" x14ac:dyDescent="0.25">
      <c r="A1750">
        <v>3099</v>
      </c>
      <c r="B1750" t="s">
        <v>27</v>
      </c>
      <c r="C1750" t="s">
        <v>73</v>
      </c>
      <c r="D1750" t="s">
        <v>73</v>
      </c>
      <c r="G1750" t="s">
        <v>30</v>
      </c>
      <c r="H1750" t="s">
        <v>6319</v>
      </c>
      <c r="I1750" s="4">
        <v>45443.875</v>
      </c>
      <c r="J1750" t="s">
        <v>6320</v>
      </c>
      <c r="K1750" t="s">
        <v>1334</v>
      </c>
      <c r="L1750" s="5"/>
      <c r="M1750" s="5"/>
      <c r="N1750" t="s">
        <v>82</v>
      </c>
      <c r="O1750" t="s">
        <v>6321</v>
      </c>
      <c r="R1750">
        <v>1</v>
      </c>
      <c r="T1750" s="5" t="s">
        <v>38</v>
      </c>
      <c r="W1750">
        <v>273</v>
      </c>
      <c r="X1750" t="s">
        <v>6298</v>
      </c>
      <c r="Y1750" t="str">
        <f>VLOOKUP(C1750,'[1]DBS_KPY Sorumlular'!A:C,2,FALSE)</f>
        <v>Ayşegül AKGÜL</v>
      </c>
      <c r="Z1750" t="str">
        <f>VLOOKUP(C1750,'[1]DBS_KPY Sorumlular'!A:C,3,FALSE)</f>
        <v>Sinan ERDAŞ</v>
      </c>
      <c r="AA1750" t="str">
        <f>VLOOKUP(K1750,[1]!Tablo3[#Data],2,FALSE)</f>
        <v>Erkan AKDOĞAN</v>
      </c>
    </row>
    <row r="1751" spans="1:27" x14ac:dyDescent="0.25">
      <c r="A1751">
        <v>3099</v>
      </c>
      <c r="B1751" t="s">
        <v>27</v>
      </c>
      <c r="C1751" t="s">
        <v>73</v>
      </c>
      <c r="D1751" t="s">
        <v>73</v>
      </c>
      <c r="G1751" t="s">
        <v>30</v>
      </c>
      <c r="H1751" t="s">
        <v>6319</v>
      </c>
      <c r="I1751" s="4">
        <v>45443.875</v>
      </c>
      <c r="J1751" t="s">
        <v>6320</v>
      </c>
      <c r="K1751" t="s">
        <v>1334</v>
      </c>
      <c r="L1751" s="5"/>
      <c r="M1751" s="5"/>
      <c r="N1751" t="s">
        <v>82</v>
      </c>
      <c r="O1751" t="s">
        <v>6321</v>
      </c>
      <c r="R1751">
        <v>1</v>
      </c>
      <c r="T1751" s="5" t="s">
        <v>38</v>
      </c>
      <c r="W1751">
        <v>278</v>
      </c>
      <c r="X1751" t="s">
        <v>6254</v>
      </c>
      <c r="Y1751" t="str">
        <f>VLOOKUP(C1751,'[1]DBS_KPY Sorumlular'!A:C,2,FALSE)</f>
        <v>Ayşegül AKGÜL</v>
      </c>
      <c r="Z1751" t="str">
        <f>VLOOKUP(C1751,'[1]DBS_KPY Sorumlular'!A:C,3,FALSE)</f>
        <v>Sinan ERDAŞ</v>
      </c>
      <c r="AA1751" t="str">
        <f>VLOOKUP(K1751,[1]!Tablo3[#Data],2,FALSE)</f>
        <v>Erkan AKDOĞAN</v>
      </c>
    </row>
    <row r="1752" spans="1:27" x14ac:dyDescent="0.25">
      <c r="A1752">
        <v>3100</v>
      </c>
      <c r="B1752" t="s">
        <v>27</v>
      </c>
      <c r="C1752" t="s">
        <v>73</v>
      </c>
      <c r="D1752" t="s">
        <v>73</v>
      </c>
      <c r="G1752" t="s">
        <v>30</v>
      </c>
      <c r="H1752" t="s">
        <v>6322</v>
      </c>
      <c r="I1752" s="4">
        <v>43616.875</v>
      </c>
      <c r="K1752" t="s">
        <v>1334</v>
      </c>
      <c r="L1752" s="5"/>
      <c r="M1752" s="5" t="s">
        <v>6323</v>
      </c>
      <c r="N1752" t="s">
        <v>82</v>
      </c>
      <c r="O1752" t="s">
        <v>6324</v>
      </c>
      <c r="R1752">
        <v>1</v>
      </c>
      <c r="T1752" s="5" t="s">
        <v>38</v>
      </c>
      <c r="W1752">
        <v>33</v>
      </c>
      <c r="X1752" t="s">
        <v>276</v>
      </c>
      <c r="Y1752" t="str">
        <f>VLOOKUP(C1752,'[1]DBS_KPY Sorumlular'!A:C,2,FALSE)</f>
        <v>Ayşegül AKGÜL</v>
      </c>
      <c r="Z1752" t="str">
        <f>VLOOKUP(C1752,'[1]DBS_KPY Sorumlular'!A:C,3,FALSE)</f>
        <v>Sinan ERDAŞ</v>
      </c>
      <c r="AA1752" t="str">
        <f>VLOOKUP(K1752,[1]!Tablo3[#Data],2,FALSE)</f>
        <v>Erkan AKDOĞAN</v>
      </c>
    </row>
    <row r="1753" spans="1:27" x14ac:dyDescent="0.25">
      <c r="A1753">
        <v>3101</v>
      </c>
      <c r="B1753" t="s">
        <v>27</v>
      </c>
      <c r="C1753" t="s">
        <v>73</v>
      </c>
      <c r="D1753" t="s">
        <v>73</v>
      </c>
      <c r="G1753" t="s">
        <v>30</v>
      </c>
      <c r="H1753" t="s">
        <v>6325</v>
      </c>
      <c r="I1753" s="4">
        <v>44347.875</v>
      </c>
      <c r="K1753" t="s">
        <v>1398</v>
      </c>
      <c r="L1753" s="5"/>
      <c r="M1753" s="5"/>
      <c r="N1753" t="s">
        <v>82</v>
      </c>
      <c r="O1753" t="s">
        <v>6326</v>
      </c>
      <c r="R1753">
        <v>1</v>
      </c>
      <c r="T1753" s="5" t="s">
        <v>38</v>
      </c>
      <c r="Y1753" t="str">
        <f>VLOOKUP(C1753,'[1]DBS_KPY Sorumlular'!A:C,2,FALSE)</f>
        <v>Ayşegül AKGÜL</v>
      </c>
      <c r="Z1753" t="str">
        <f>VLOOKUP(C1753,'[1]DBS_KPY Sorumlular'!A:C,3,FALSE)</f>
        <v>Sinan ERDAŞ</v>
      </c>
      <c r="AA1753" t="str">
        <f>VLOOKUP(K1753,[1]!Tablo3[#Data],2,FALSE)</f>
        <v>Tayfun VİÇE</v>
      </c>
    </row>
    <row r="1754" spans="1:27" x14ac:dyDescent="0.25">
      <c r="A1754">
        <v>3102</v>
      </c>
      <c r="B1754" t="s">
        <v>27</v>
      </c>
      <c r="C1754" t="s">
        <v>73</v>
      </c>
      <c r="D1754" t="s">
        <v>73</v>
      </c>
      <c r="G1754" t="s">
        <v>30</v>
      </c>
      <c r="H1754" t="s">
        <v>6327</v>
      </c>
      <c r="I1754" s="4">
        <v>44712.875</v>
      </c>
      <c r="K1754" t="s">
        <v>1398</v>
      </c>
      <c r="L1754" s="5"/>
      <c r="M1754" s="5" t="s">
        <v>6328</v>
      </c>
      <c r="N1754" t="s">
        <v>82</v>
      </c>
      <c r="O1754" t="s">
        <v>6329</v>
      </c>
      <c r="R1754">
        <v>1</v>
      </c>
      <c r="T1754" s="5" t="s">
        <v>38</v>
      </c>
      <c r="W1754">
        <v>33</v>
      </c>
      <c r="X1754" t="s">
        <v>276</v>
      </c>
      <c r="Y1754" t="str">
        <f>VLOOKUP(C1754,'[1]DBS_KPY Sorumlular'!A:C,2,FALSE)</f>
        <v>Ayşegül AKGÜL</v>
      </c>
      <c r="Z1754" t="str">
        <f>VLOOKUP(C1754,'[1]DBS_KPY Sorumlular'!A:C,3,FALSE)</f>
        <v>Sinan ERDAŞ</v>
      </c>
      <c r="AA1754" t="str">
        <f>VLOOKUP(K1754,[1]!Tablo3[#Data],2,FALSE)</f>
        <v>Tayfun VİÇE</v>
      </c>
    </row>
    <row r="1755" spans="1:27" x14ac:dyDescent="0.25">
      <c r="A1755">
        <v>3103</v>
      </c>
      <c r="B1755" t="s">
        <v>27</v>
      </c>
      <c r="C1755" t="s">
        <v>73</v>
      </c>
      <c r="D1755" t="s">
        <v>73</v>
      </c>
      <c r="G1755" t="s">
        <v>30</v>
      </c>
      <c r="H1755" t="s">
        <v>6330</v>
      </c>
      <c r="I1755" s="4">
        <v>45443.875</v>
      </c>
      <c r="J1755" t="s">
        <v>6331</v>
      </c>
      <c r="K1755" t="s">
        <v>1471</v>
      </c>
      <c r="L1755" s="5"/>
      <c r="M1755" s="5"/>
      <c r="N1755" t="s">
        <v>82</v>
      </c>
      <c r="O1755" t="s">
        <v>6332</v>
      </c>
      <c r="R1755">
        <v>1</v>
      </c>
      <c r="T1755" s="5" t="s">
        <v>38</v>
      </c>
      <c r="Y1755" t="str">
        <f>VLOOKUP(C1755,'[1]DBS_KPY Sorumlular'!A:C,2,FALSE)</f>
        <v>Ayşegül AKGÜL</v>
      </c>
      <c r="Z1755" t="str">
        <f>VLOOKUP(C1755,'[1]DBS_KPY Sorumlular'!A:C,3,FALSE)</f>
        <v>Sinan ERDAŞ</v>
      </c>
      <c r="AA1755" t="str">
        <f>VLOOKUP(K1755,[1]!Tablo3[#Data],2,FALSE)</f>
        <v>Tayfun VİÇE</v>
      </c>
    </row>
    <row r="1756" spans="1:27" x14ac:dyDescent="0.25">
      <c r="A1756">
        <v>3104</v>
      </c>
      <c r="B1756" t="s">
        <v>27</v>
      </c>
      <c r="C1756" t="s">
        <v>73</v>
      </c>
      <c r="D1756" t="s">
        <v>73</v>
      </c>
      <c r="G1756" t="s">
        <v>30</v>
      </c>
      <c r="H1756" t="s">
        <v>6333</v>
      </c>
      <c r="I1756" s="4">
        <v>44712.875</v>
      </c>
      <c r="K1756" t="s">
        <v>1106</v>
      </c>
      <c r="L1756" s="5"/>
      <c r="M1756" s="5" t="s">
        <v>6334</v>
      </c>
      <c r="N1756" t="s">
        <v>82</v>
      </c>
      <c r="O1756" t="s">
        <v>6335</v>
      </c>
      <c r="R1756">
        <v>1</v>
      </c>
      <c r="T1756" s="5" t="s">
        <v>38</v>
      </c>
      <c r="W1756">
        <v>33</v>
      </c>
      <c r="X1756" t="s">
        <v>276</v>
      </c>
      <c r="Y1756" t="str">
        <f>VLOOKUP(C1756,'[1]DBS_KPY Sorumlular'!A:C,2,FALSE)</f>
        <v>Ayşegül AKGÜL</v>
      </c>
      <c r="Z1756" t="str">
        <f>VLOOKUP(C1756,'[1]DBS_KPY Sorumlular'!A:C,3,FALSE)</f>
        <v>Sinan ERDAŞ</v>
      </c>
      <c r="AA1756" t="str">
        <f>VLOOKUP(K1756,[1]!Tablo3[#Data],2,FALSE)</f>
        <v>Tayfun VİÇE</v>
      </c>
    </row>
    <row r="1757" spans="1:27" x14ac:dyDescent="0.25">
      <c r="A1757">
        <v>3105</v>
      </c>
      <c r="B1757" t="s">
        <v>27</v>
      </c>
      <c r="C1757" t="s">
        <v>73</v>
      </c>
      <c r="D1757" t="s">
        <v>73</v>
      </c>
      <c r="G1757" t="s">
        <v>30</v>
      </c>
      <c r="H1757" t="s">
        <v>6336</v>
      </c>
      <c r="I1757" s="4">
        <v>44712.875</v>
      </c>
      <c r="K1757" t="s">
        <v>1528</v>
      </c>
      <c r="L1757" s="5"/>
      <c r="M1757" s="5"/>
      <c r="N1757" t="s">
        <v>82</v>
      </c>
      <c r="O1757" t="s">
        <v>6337</v>
      </c>
      <c r="R1757">
        <v>1</v>
      </c>
      <c r="T1757" s="5" t="s">
        <v>38</v>
      </c>
      <c r="W1757">
        <v>33</v>
      </c>
      <c r="X1757" t="s">
        <v>276</v>
      </c>
      <c r="Y1757" t="str">
        <f>VLOOKUP(C1757,'[1]DBS_KPY Sorumlular'!A:C,2,FALSE)</f>
        <v>Ayşegül AKGÜL</v>
      </c>
      <c r="Z1757" t="str">
        <f>VLOOKUP(C1757,'[1]DBS_KPY Sorumlular'!A:C,3,FALSE)</f>
        <v>Sinan ERDAŞ</v>
      </c>
      <c r="AA1757" t="str">
        <f>VLOOKUP(K1757,[1]!Tablo3[#Data],2,FALSE)</f>
        <v>Tayfun VİÇE</v>
      </c>
    </row>
    <row r="1758" spans="1:27" x14ac:dyDescent="0.25">
      <c r="A1758">
        <v>3106</v>
      </c>
      <c r="B1758" t="s">
        <v>27</v>
      </c>
      <c r="C1758" t="s">
        <v>73</v>
      </c>
      <c r="D1758" t="s">
        <v>73</v>
      </c>
      <c r="G1758" t="s">
        <v>30</v>
      </c>
      <c r="H1758" t="s">
        <v>6338</v>
      </c>
      <c r="I1758" s="4">
        <v>45077.875</v>
      </c>
      <c r="K1758" t="s">
        <v>1528</v>
      </c>
      <c r="L1758" s="5"/>
      <c r="M1758" s="5"/>
      <c r="N1758" t="s">
        <v>82</v>
      </c>
      <c r="O1758" t="s">
        <v>6339</v>
      </c>
      <c r="R1758">
        <v>1</v>
      </c>
      <c r="T1758" s="5" t="s">
        <v>38</v>
      </c>
      <c r="W1758">
        <v>68</v>
      </c>
      <c r="X1758" t="s">
        <v>51</v>
      </c>
      <c r="Y1758" t="str">
        <f>VLOOKUP(C1758,'[1]DBS_KPY Sorumlular'!A:C,2,FALSE)</f>
        <v>Ayşegül AKGÜL</v>
      </c>
      <c r="Z1758" t="str">
        <f>VLOOKUP(C1758,'[1]DBS_KPY Sorumlular'!A:C,3,FALSE)</f>
        <v>Sinan ERDAŞ</v>
      </c>
      <c r="AA1758" t="str">
        <f>VLOOKUP(K1758,[1]!Tablo3[#Data],2,FALSE)</f>
        <v>Tayfun VİÇE</v>
      </c>
    </row>
    <row r="1759" spans="1:27" x14ac:dyDescent="0.25">
      <c r="A1759">
        <v>3107</v>
      </c>
      <c r="B1759" t="s">
        <v>27</v>
      </c>
      <c r="C1759" t="s">
        <v>73</v>
      </c>
      <c r="D1759" t="s">
        <v>73</v>
      </c>
      <c r="G1759" t="s">
        <v>30</v>
      </c>
      <c r="H1759" t="s">
        <v>6340</v>
      </c>
      <c r="I1759" s="4">
        <v>43616.875</v>
      </c>
      <c r="K1759" t="s">
        <v>143</v>
      </c>
      <c r="L1759" s="5"/>
      <c r="M1759" s="5" t="s">
        <v>6341</v>
      </c>
      <c r="N1759" t="s">
        <v>82</v>
      </c>
      <c r="O1759" t="s">
        <v>6342</v>
      </c>
      <c r="R1759">
        <v>1</v>
      </c>
      <c r="T1759" s="5" t="s">
        <v>38</v>
      </c>
      <c r="W1759">
        <v>278</v>
      </c>
      <c r="X1759" t="s">
        <v>6254</v>
      </c>
      <c r="Y1759" t="str">
        <f>VLOOKUP(C1759,'[1]DBS_KPY Sorumlular'!A:C,2,FALSE)</f>
        <v>Ayşegül AKGÜL</v>
      </c>
      <c r="Z1759" t="str">
        <f>VLOOKUP(C1759,'[1]DBS_KPY Sorumlular'!A:C,3,FALSE)</f>
        <v>Sinan ERDAŞ</v>
      </c>
      <c r="AA1759" t="str">
        <f>VLOOKUP(K1759,[1]!Tablo3[#Data],2,FALSE)</f>
        <v>Tayfun VİÇE</v>
      </c>
    </row>
    <row r="1760" spans="1:27" x14ac:dyDescent="0.25">
      <c r="A1760">
        <v>3108</v>
      </c>
      <c r="B1760" t="s">
        <v>27</v>
      </c>
      <c r="C1760" t="s">
        <v>73</v>
      </c>
      <c r="D1760" t="s">
        <v>73</v>
      </c>
      <c r="G1760" t="s">
        <v>30</v>
      </c>
      <c r="H1760" t="s">
        <v>6343</v>
      </c>
      <c r="I1760" s="4">
        <v>45077.875</v>
      </c>
      <c r="K1760" t="s">
        <v>435</v>
      </c>
      <c r="L1760" s="5"/>
      <c r="M1760" s="5" t="s">
        <v>6344</v>
      </c>
      <c r="N1760" t="s">
        <v>82</v>
      </c>
      <c r="O1760" t="s">
        <v>6345</v>
      </c>
      <c r="R1760">
        <v>1</v>
      </c>
      <c r="T1760" s="5" t="s">
        <v>38</v>
      </c>
      <c r="W1760">
        <v>33</v>
      </c>
      <c r="X1760" t="s">
        <v>276</v>
      </c>
      <c r="Y1760" t="str">
        <f>VLOOKUP(C1760,'[1]DBS_KPY Sorumlular'!A:C,2,FALSE)</f>
        <v>Ayşegül AKGÜL</v>
      </c>
      <c r="Z1760" t="str">
        <f>VLOOKUP(C1760,'[1]DBS_KPY Sorumlular'!A:C,3,FALSE)</f>
        <v>Sinan ERDAŞ</v>
      </c>
      <c r="AA1760" t="str">
        <f>VLOOKUP(K1760,[1]!Tablo3[#Data],2,FALSE)</f>
        <v>Tayfun VİÇE</v>
      </c>
    </row>
    <row r="1761" spans="1:27" x14ac:dyDescent="0.25">
      <c r="A1761">
        <v>3109</v>
      </c>
      <c r="B1761" t="s">
        <v>27</v>
      </c>
      <c r="C1761" t="s">
        <v>73</v>
      </c>
      <c r="D1761" t="s">
        <v>73</v>
      </c>
      <c r="G1761" t="s">
        <v>30</v>
      </c>
      <c r="H1761" t="s">
        <v>6346</v>
      </c>
      <c r="I1761" s="4">
        <v>43982.875</v>
      </c>
      <c r="J1761" t="s">
        <v>6347</v>
      </c>
      <c r="K1761" t="s">
        <v>1550</v>
      </c>
      <c r="L1761" s="5"/>
      <c r="M1761" s="5"/>
      <c r="N1761" t="s">
        <v>82</v>
      </c>
      <c r="O1761" t="s">
        <v>6348</v>
      </c>
      <c r="R1761">
        <v>1</v>
      </c>
      <c r="T1761" s="5" t="s">
        <v>38</v>
      </c>
      <c r="W1761">
        <v>279</v>
      </c>
      <c r="X1761" t="s">
        <v>6349</v>
      </c>
      <c r="Y1761" t="str">
        <f>VLOOKUP(C1761,'[1]DBS_KPY Sorumlular'!A:C,2,FALSE)</f>
        <v>Ayşegül AKGÜL</v>
      </c>
      <c r="Z1761" t="str">
        <f>VLOOKUP(C1761,'[1]DBS_KPY Sorumlular'!A:C,3,FALSE)</f>
        <v>Sinan ERDAŞ</v>
      </c>
      <c r="AA1761" t="str">
        <f>VLOOKUP(K1761,[1]!Tablo3[#Data],2,FALSE)</f>
        <v>Kadir TOPÇU</v>
      </c>
    </row>
    <row r="1762" spans="1:27" x14ac:dyDescent="0.25">
      <c r="A1762">
        <v>3110</v>
      </c>
      <c r="B1762" t="s">
        <v>27</v>
      </c>
      <c r="C1762" t="s">
        <v>73</v>
      </c>
      <c r="D1762" t="s">
        <v>73</v>
      </c>
      <c r="G1762" t="s">
        <v>30</v>
      </c>
      <c r="H1762" t="s">
        <v>6350</v>
      </c>
      <c r="I1762" s="4">
        <v>44347.875</v>
      </c>
      <c r="K1762" t="s">
        <v>1550</v>
      </c>
      <c r="L1762" s="5"/>
      <c r="M1762" s="5"/>
      <c r="N1762" t="s">
        <v>82</v>
      </c>
      <c r="O1762" t="s">
        <v>6351</v>
      </c>
      <c r="R1762">
        <v>1</v>
      </c>
      <c r="T1762" s="5" t="s">
        <v>38</v>
      </c>
      <c r="W1762">
        <v>68</v>
      </c>
      <c r="X1762" t="s">
        <v>51</v>
      </c>
      <c r="Y1762" t="str">
        <f>VLOOKUP(C1762,'[1]DBS_KPY Sorumlular'!A:C,2,FALSE)</f>
        <v>Ayşegül AKGÜL</v>
      </c>
      <c r="Z1762" t="str">
        <f>VLOOKUP(C1762,'[1]DBS_KPY Sorumlular'!A:C,3,FALSE)</f>
        <v>Sinan ERDAŞ</v>
      </c>
      <c r="AA1762" t="str">
        <f>VLOOKUP(K1762,[1]!Tablo3[#Data],2,FALSE)</f>
        <v>Kadir TOPÇU</v>
      </c>
    </row>
    <row r="1763" spans="1:27" x14ac:dyDescent="0.25">
      <c r="A1763">
        <v>3111</v>
      </c>
      <c r="B1763" t="s">
        <v>27</v>
      </c>
      <c r="C1763" t="s">
        <v>73</v>
      </c>
      <c r="D1763" t="s">
        <v>73</v>
      </c>
      <c r="G1763" t="s">
        <v>30</v>
      </c>
      <c r="H1763" t="s">
        <v>6352</v>
      </c>
      <c r="I1763" s="4">
        <v>45443.875</v>
      </c>
      <c r="J1763" t="s">
        <v>6353</v>
      </c>
      <c r="K1763" t="s">
        <v>435</v>
      </c>
      <c r="L1763" s="5"/>
      <c r="M1763" s="5"/>
      <c r="N1763" t="s">
        <v>82</v>
      </c>
      <c r="O1763" t="s">
        <v>6354</v>
      </c>
      <c r="R1763">
        <v>1</v>
      </c>
      <c r="T1763" s="5" t="s">
        <v>38</v>
      </c>
      <c r="W1763">
        <v>33</v>
      </c>
      <c r="X1763" t="s">
        <v>276</v>
      </c>
      <c r="Y1763" t="str">
        <f>VLOOKUP(C1763,'[1]DBS_KPY Sorumlular'!A:C,2,FALSE)</f>
        <v>Ayşegül AKGÜL</v>
      </c>
      <c r="Z1763" t="str">
        <f>VLOOKUP(C1763,'[1]DBS_KPY Sorumlular'!A:C,3,FALSE)</f>
        <v>Sinan ERDAŞ</v>
      </c>
      <c r="AA1763" t="str">
        <f>VLOOKUP(K1763,[1]!Tablo3[#Data],2,FALSE)</f>
        <v>Tayfun VİÇE</v>
      </c>
    </row>
    <row r="1764" spans="1:27" x14ac:dyDescent="0.25">
      <c r="A1764">
        <v>3112</v>
      </c>
      <c r="B1764" t="s">
        <v>27</v>
      </c>
      <c r="C1764" t="s">
        <v>73</v>
      </c>
      <c r="D1764" t="s">
        <v>73</v>
      </c>
      <c r="G1764" t="s">
        <v>456</v>
      </c>
      <c r="H1764" t="s">
        <v>6355</v>
      </c>
      <c r="I1764" s="4">
        <v>45443.875</v>
      </c>
      <c r="J1764" t="s">
        <v>6353</v>
      </c>
      <c r="K1764" t="s">
        <v>534</v>
      </c>
      <c r="L1764" s="5"/>
      <c r="M1764" s="5"/>
      <c r="N1764" t="s">
        <v>82</v>
      </c>
      <c r="O1764" t="s">
        <v>6356</v>
      </c>
      <c r="R1764">
        <v>1</v>
      </c>
      <c r="T1764" s="5" t="s">
        <v>38</v>
      </c>
      <c r="W1764">
        <v>33</v>
      </c>
      <c r="X1764" t="s">
        <v>276</v>
      </c>
      <c r="Y1764" t="str">
        <f>VLOOKUP(C1764,'[1]DBS_KPY Sorumlular'!A:C,2,FALSE)</f>
        <v>Ayşegül AKGÜL</v>
      </c>
      <c r="Z1764" t="str">
        <f>VLOOKUP(C1764,'[1]DBS_KPY Sorumlular'!A:C,3,FALSE)</f>
        <v>Sinan ERDAŞ</v>
      </c>
      <c r="AA1764" t="str">
        <f>VLOOKUP(K1764,[1]!Tablo3[#Data],2,FALSE)</f>
        <v>Erkan AKDOĞAN</v>
      </c>
    </row>
    <row r="1765" spans="1:27" x14ac:dyDescent="0.25">
      <c r="A1765">
        <v>3113</v>
      </c>
      <c r="B1765" t="s">
        <v>27</v>
      </c>
      <c r="C1765" t="s">
        <v>288</v>
      </c>
      <c r="D1765" t="s">
        <v>6357</v>
      </c>
      <c r="G1765" t="s">
        <v>43</v>
      </c>
      <c r="H1765" t="s">
        <v>6358</v>
      </c>
      <c r="I1765" s="4">
        <v>43982.875</v>
      </c>
      <c r="K1765" t="s">
        <v>33</v>
      </c>
      <c r="L1765" s="5"/>
      <c r="M1765" s="5"/>
      <c r="N1765" t="s">
        <v>82</v>
      </c>
      <c r="O1765" t="s">
        <v>6359</v>
      </c>
      <c r="R1765">
        <v>1</v>
      </c>
      <c r="T1765" s="5" t="s">
        <v>38</v>
      </c>
      <c r="W1765">
        <v>269</v>
      </c>
      <c r="X1765" t="s">
        <v>3988</v>
      </c>
      <c r="Y1765" t="str">
        <f>VLOOKUP(C1765,'[1]DBS_KPY Sorumlular'!A:C,2,FALSE)</f>
        <v>Sinan ERDAŞ</v>
      </c>
      <c r="Z1765" t="str">
        <f>VLOOKUP(C1765,'[1]DBS_KPY Sorumlular'!A:C,3,FALSE)</f>
        <v>Ayşegül AKGÜL</v>
      </c>
      <c r="AA1765" t="str">
        <f>VLOOKUP(K1765,[1]!Tablo3[#Data],2,FALSE)</f>
        <v>Tayfun VİÇE</v>
      </c>
    </row>
    <row r="1766" spans="1:27" x14ac:dyDescent="0.25">
      <c r="A1766">
        <v>3114</v>
      </c>
      <c r="B1766" t="s">
        <v>27</v>
      </c>
      <c r="C1766" t="s">
        <v>288</v>
      </c>
      <c r="D1766" t="s">
        <v>6357</v>
      </c>
      <c r="G1766" t="s">
        <v>43</v>
      </c>
      <c r="H1766" t="s">
        <v>6360</v>
      </c>
      <c r="I1766" s="4">
        <v>43982.875</v>
      </c>
      <c r="K1766" t="s">
        <v>33</v>
      </c>
      <c r="L1766" s="5"/>
      <c r="M1766" s="5"/>
      <c r="N1766" t="s">
        <v>82</v>
      </c>
      <c r="O1766" t="s">
        <v>6361</v>
      </c>
      <c r="R1766">
        <v>1</v>
      </c>
      <c r="T1766" s="5" t="s">
        <v>38</v>
      </c>
      <c r="W1766">
        <v>269</v>
      </c>
      <c r="X1766" t="s">
        <v>3988</v>
      </c>
      <c r="Y1766" t="str">
        <f>VLOOKUP(C1766,'[1]DBS_KPY Sorumlular'!A:C,2,FALSE)</f>
        <v>Sinan ERDAŞ</v>
      </c>
      <c r="Z1766" t="str">
        <f>VLOOKUP(C1766,'[1]DBS_KPY Sorumlular'!A:C,3,FALSE)</f>
        <v>Ayşegül AKGÜL</v>
      </c>
      <c r="AA1766" t="str">
        <f>VLOOKUP(K1766,[1]!Tablo3[#Data],2,FALSE)</f>
        <v>Tayfun VİÇE</v>
      </c>
    </row>
    <row r="1767" spans="1:27" x14ac:dyDescent="0.25">
      <c r="A1767">
        <v>3115</v>
      </c>
      <c r="B1767" t="s">
        <v>27</v>
      </c>
      <c r="C1767" t="s">
        <v>288</v>
      </c>
      <c r="D1767" t="s">
        <v>6357</v>
      </c>
      <c r="G1767" t="s">
        <v>43</v>
      </c>
      <c r="H1767" t="s">
        <v>6362</v>
      </c>
      <c r="I1767" s="4">
        <v>43982.875</v>
      </c>
      <c r="K1767" t="s">
        <v>33</v>
      </c>
      <c r="L1767" s="5"/>
      <c r="M1767" s="5"/>
      <c r="N1767" t="s">
        <v>82</v>
      </c>
      <c r="O1767" t="s">
        <v>6363</v>
      </c>
      <c r="R1767">
        <v>1</v>
      </c>
      <c r="T1767" s="5" t="s">
        <v>38</v>
      </c>
      <c r="W1767">
        <v>269</v>
      </c>
      <c r="X1767" t="s">
        <v>3988</v>
      </c>
      <c r="Y1767" t="str">
        <f>VLOOKUP(C1767,'[1]DBS_KPY Sorumlular'!A:C,2,FALSE)</f>
        <v>Sinan ERDAŞ</v>
      </c>
      <c r="Z1767" t="str">
        <f>VLOOKUP(C1767,'[1]DBS_KPY Sorumlular'!A:C,3,FALSE)</f>
        <v>Ayşegül AKGÜL</v>
      </c>
      <c r="AA1767" t="str">
        <f>VLOOKUP(K1767,[1]!Tablo3[#Data],2,FALSE)</f>
        <v>Tayfun VİÇE</v>
      </c>
    </row>
    <row r="1768" spans="1:27" x14ac:dyDescent="0.25">
      <c r="A1768">
        <v>3116</v>
      </c>
      <c r="B1768" t="s">
        <v>27</v>
      </c>
      <c r="C1768" t="s">
        <v>288</v>
      </c>
      <c r="D1768" t="s">
        <v>6357</v>
      </c>
      <c r="G1768" t="s">
        <v>43</v>
      </c>
      <c r="H1768" t="s">
        <v>6364</v>
      </c>
      <c r="I1768" s="4">
        <v>43982.875</v>
      </c>
      <c r="K1768" t="s">
        <v>33</v>
      </c>
      <c r="L1768" s="5"/>
      <c r="M1768" s="5"/>
      <c r="N1768" t="s">
        <v>82</v>
      </c>
      <c r="O1768" t="s">
        <v>6365</v>
      </c>
      <c r="R1768">
        <v>1</v>
      </c>
      <c r="T1768" s="5" t="s">
        <v>38</v>
      </c>
      <c r="W1768">
        <v>269</v>
      </c>
      <c r="X1768" t="s">
        <v>3988</v>
      </c>
      <c r="Y1768" t="str">
        <f>VLOOKUP(C1768,'[1]DBS_KPY Sorumlular'!A:C,2,FALSE)</f>
        <v>Sinan ERDAŞ</v>
      </c>
      <c r="Z1768" t="str">
        <f>VLOOKUP(C1768,'[1]DBS_KPY Sorumlular'!A:C,3,FALSE)</f>
        <v>Ayşegül AKGÜL</v>
      </c>
      <c r="AA1768" t="str">
        <f>VLOOKUP(K1768,[1]!Tablo3[#Data],2,FALSE)</f>
        <v>Tayfun VİÇE</v>
      </c>
    </row>
    <row r="1769" spans="1:27" x14ac:dyDescent="0.25">
      <c r="A1769">
        <v>3117</v>
      </c>
      <c r="B1769" t="s">
        <v>27</v>
      </c>
      <c r="C1769" t="s">
        <v>288</v>
      </c>
      <c r="D1769" t="s">
        <v>6366</v>
      </c>
      <c r="G1769" t="s">
        <v>43</v>
      </c>
      <c r="H1769" t="s">
        <v>6367</v>
      </c>
      <c r="I1769" s="4">
        <v>45077.875</v>
      </c>
      <c r="J1769" t="s">
        <v>6368</v>
      </c>
      <c r="K1769" t="s">
        <v>33</v>
      </c>
      <c r="L1769" s="5"/>
      <c r="M1769" s="5"/>
      <c r="N1769" t="s">
        <v>82</v>
      </c>
      <c r="O1769" t="s">
        <v>6369</v>
      </c>
      <c r="R1769">
        <v>1</v>
      </c>
      <c r="T1769" s="5" t="s">
        <v>38</v>
      </c>
      <c r="W1769">
        <v>23</v>
      </c>
      <c r="X1769" t="s">
        <v>295</v>
      </c>
      <c r="Y1769" t="str">
        <f>VLOOKUP(C1769,'[1]DBS_KPY Sorumlular'!A:C,2,FALSE)</f>
        <v>Sinan ERDAŞ</v>
      </c>
      <c r="Z1769" t="str">
        <f>VLOOKUP(C1769,'[1]DBS_KPY Sorumlular'!A:C,3,FALSE)</f>
        <v>Ayşegül AKGÜL</v>
      </c>
      <c r="AA1769" t="str">
        <f>VLOOKUP(K1769,[1]!Tablo3[#Data],2,FALSE)</f>
        <v>Tayfun VİÇE</v>
      </c>
    </row>
    <row r="1770" spans="1:27" x14ac:dyDescent="0.25">
      <c r="A1770">
        <v>3118</v>
      </c>
      <c r="B1770" t="s">
        <v>27</v>
      </c>
      <c r="C1770" t="s">
        <v>288</v>
      </c>
      <c r="D1770" t="s">
        <v>6366</v>
      </c>
      <c r="G1770" t="s">
        <v>43</v>
      </c>
      <c r="H1770" t="s">
        <v>6370</v>
      </c>
      <c r="I1770" s="4">
        <v>45443.875</v>
      </c>
      <c r="J1770" t="s">
        <v>6370</v>
      </c>
      <c r="K1770" t="s">
        <v>33</v>
      </c>
      <c r="L1770" s="5"/>
      <c r="M1770" s="5"/>
      <c r="N1770" t="s">
        <v>82</v>
      </c>
      <c r="O1770" t="s">
        <v>6371</v>
      </c>
      <c r="R1770">
        <v>1</v>
      </c>
      <c r="T1770" s="5" t="s">
        <v>38</v>
      </c>
      <c r="W1770">
        <v>23</v>
      </c>
      <c r="X1770" t="s">
        <v>295</v>
      </c>
      <c r="Y1770" t="str">
        <f>VLOOKUP(C1770,'[1]DBS_KPY Sorumlular'!A:C,2,FALSE)</f>
        <v>Sinan ERDAŞ</v>
      </c>
      <c r="Z1770" t="str">
        <f>VLOOKUP(C1770,'[1]DBS_KPY Sorumlular'!A:C,3,FALSE)</f>
        <v>Ayşegül AKGÜL</v>
      </c>
      <c r="AA1770" t="str">
        <f>VLOOKUP(K1770,[1]!Tablo3[#Data],2,FALSE)</f>
        <v>Tayfun VİÇE</v>
      </c>
    </row>
    <row r="1771" spans="1:27" x14ac:dyDescent="0.25">
      <c r="A1771">
        <v>3119</v>
      </c>
      <c r="B1771" t="s">
        <v>27</v>
      </c>
      <c r="C1771" t="s">
        <v>288</v>
      </c>
      <c r="D1771" t="s">
        <v>2645</v>
      </c>
      <c r="G1771" t="s">
        <v>43</v>
      </c>
      <c r="H1771" t="s">
        <v>6372</v>
      </c>
      <c r="I1771" s="4">
        <v>44347.875</v>
      </c>
      <c r="J1771" t="s">
        <v>6372</v>
      </c>
      <c r="K1771" t="s">
        <v>152</v>
      </c>
      <c r="L1771" s="5"/>
      <c r="M1771" s="5"/>
      <c r="N1771" t="s">
        <v>82</v>
      </c>
      <c r="O1771" t="s">
        <v>6373</v>
      </c>
      <c r="R1771">
        <v>1</v>
      </c>
      <c r="T1771" s="5" t="s">
        <v>38</v>
      </c>
      <c r="W1771">
        <v>205</v>
      </c>
      <c r="X1771" t="s">
        <v>6374</v>
      </c>
      <c r="Y1771" t="str">
        <f>VLOOKUP(C1771,'[1]DBS_KPY Sorumlular'!A:C,2,FALSE)</f>
        <v>Sinan ERDAŞ</v>
      </c>
      <c r="Z1771" t="str">
        <f>VLOOKUP(C1771,'[1]DBS_KPY Sorumlular'!A:C,3,FALSE)</f>
        <v>Ayşegül AKGÜL</v>
      </c>
      <c r="AA1771" t="str">
        <f>VLOOKUP(K1771,[1]!Tablo3[#Data],2,FALSE)</f>
        <v>Erkan AKDOĞAN</v>
      </c>
    </row>
    <row r="1772" spans="1:27" x14ac:dyDescent="0.25">
      <c r="A1772">
        <v>3120</v>
      </c>
      <c r="B1772" t="s">
        <v>27</v>
      </c>
      <c r="C1772" t="s">
        <v>288</v>
      </c>
      <c r="D1772" t="s">
        <v>2645</v>
      </c>
      <c r="G1772" t="s">
        <v>43</v>
      </c>
      <c r="H1772" t="s">
        <v>6375</v>
      </c>
      <c r="I1772" s="4">
        <v>44347.875</v>
      </c>
      <c r="J1772" t="s">
        <v>6375</v>
      </c>
      <c r="K1772" t="s">
        <v>152</v>
      </c>
      <c r="L1772" s="5"/>
      <c r="M1772" s="5"/>
      <c r="N1772" t="s">
        <v>82</v>
      </c>
      <c r="O1772" t="s">
        <v>6376</v>
      </c>
      <c r="R1772">
        <v>1</v>
      </c>
      <c r="T1772" s="5" t="s">
        <v>38</v>
      </c>
      <c r="W1772">
        <v>205</v>
      </c>
      <c r="X1772" t="s">
        <v>6374</v>
      </c>
      <c r="Y1772" t="str">
        <f>VLOOKUP(C1772,'[1]DBS_KPY Sorumlular'!A:C,2,FALSE)</f>
        <v>Sinan ERDAŞ</v>
      </c>
      <c r="Z1772" t="str">
        <f>VLOOKUP(C1772,'[1]DBS_KPY Sorumlular'!A:C,3,FALSE)</f>
        <v>Ayşegül AKGÜL</v>
      </c>
      <c r="AA1772" t="str">
        <f>VLOOKUP(K1772,[1]!Tablo3[#Data],2,FALSE)</f>
        <v>Erkan AKDOĞAN</v>
      </c>
    </row>
    <row r="1773" spans="1:27" x14ac:dyDescent="0.25">
      <c r="A1773">
        <v>3121</v>
      </c>
      <c r="B1773" t="s">
        <v>27</v>
      </c>
      <c r="C1773" t="s">
        <v>288</v>
      </c>
      <c r="D1773" t="s">
        <v>6377</v>
      </c>
      <c r="G1773" t="s">
        <v>456</v>
      </c>
      <c r="H1773" t="s">
        <v>6378</v>
      </c>
      <c r="I1773" s="4">
        <v>45077.875</v>
      </c>
      <c r="K1773" t="s">
        <v>152</v>
      </c>
      <c r="L1773" s="5"/>
      <c r="M1773" s="5"/>
      <c r="N1773" t="s">
        <v>82</v>
      </c>
      <c r="O1773" t="s">
        <v>6379</v>
      </c>
      <c r="R1773">
        <v>1</v>
      </c>
      <c r="T1773" s="5" t="s">
        <v>38</v>
      </c>
      <c r="W1773">
        <v>91</v>
      </c>
      <c r="X1773" t="s">
        <v>101</v>
      </c>
      <c r="Y1773" t="str">
        <f>VLOOKUP(C1773,'[1]DBS_KPY Sorumlular'!A:C,2,FALSE)</f>
        <v>Sinan ERDAŞ</v>
      </c>
      <c r="Z1773" t="str">
        <f>VLOOKUP(C1773,'[1]DBS_KPY Sorumlular'!A:C,3,FALSE)</f>
        <v>Ayşegül AKGÜL</v>
      </c>
      <c r="AA1773" t="str">
        <f>VLOOKUP(K1773,[1]!Tablo3[#Data],2,FALSE)</f>
        <v>Erkan AKDOĞAN</v>
      </c>
    </row>
    <row r="1774" spans="1:27" x14ac:dyDescent="0.25">
      <c r="A1774">
        <v>3122</v>
      </c>
      <c r="B1774" t="s">
        <v>27</v>
      </c>
      <c r="C1774" t="s">
        <v>288</v>
      </c>
      <c r="D1774" t="s">
        <v>2645</v>
      </c>
      <c r="G1774" t="s">
        <v>43</v>
      </c>
      <c r="H1774" t="s">
        <v>6380</v>
      </c>
      <c r="I1774" s="4">
        <v>45077.875</v>
      </c>
      <c r="J1774" t="s">
        <v>6380</v>
      </c>
      <c r="K1774" t="s">
        <v>181</v>
      </c>
      <c r="L1774" s="5"/>
      <c r="M1774" s="5"/>
      <c r="N1774" t="s">
        <v>82</v>
      </c>
      <c r="O1774" t="s">
        <v>6381</v>
      </c>
      <c r="R1774">
        <v>1</v>
      </c>
      <c r="T1774" s="5" t="s">
        <v>38</v>
      </c>
      <c r="W1774">
        <v>205</v>
      </c>
      <c r="X1774" t="s">
        <v>6374</v>
      </c>
      <c r="Y1774" t="str">
        <f>VLOOKUP(C1774,'[1]DBS_KPY Sorumlular'!A:C,2,FALSE)</f>
        <v>Sinan ERDAŞ</v>
      </c>
      <c r="Z1774" t="str">
        <f>VLOOKUP(C1774,'[1]DBS_KPY Sorumlular'!A:C,3,FALSE)</f>
        <v>Ayşegül AKGÜL</v>
      </c>
      <c r="AA1774" t="str">
        <f>VLOOKUP(K1774,[1]!Tablo3[#Data],2,FALSE)</f>
        <v>Erkan AKDOĞAN</v>
      </c>
    </row>
    <row r="1775" spans="1:27" x14ac:dyDescent="0.25">
      <c r="A1775">
        <v>3124</v>
      </c>
      <c r="B1775" t="s">
        <v>27</v>
      </c>
      <c r="C1775" t="s">
        <v>288</v>
      </c>
      <c r="D1775" t="s">
        <v>289</v>
      </c>
      <c r="G1775" t="s">
        <v>291</v>
      </c>
      <c r="H1775" t="s">
        <v>6382</v>
      </c>
      <c r="I1775" s="4">
        <v>45620.875</v>
      </c>
      <c r="J1775" t="s">
        <v>6383</v>
      </c>
      <c r="K1775" t="s">
        <v>181</v>
      </c>
      <c r="L1775" s="5"/>
      <c r="M1775" s="5"/>
      <c r="N1775" t="s">
        <v>82</v>
      </c>
      <c r="O1775" t="s">
        <v>6384</v>
      </c>
      <c r="R1775">
        <v>1</v>
      </c>
      <c r="T1775" s="5" t="s">
        <v>38</v>
      </c>
      <c r="W1775">
        <v>23</v>
      </c>
      <c r="X1775" t="s">
        <v>295</v>
      </c>
      <c r="Y1775" t="str">
        <f>VLOOKUP(C1775,'[1]DBS_KPY Sorumlular'!A:C,2,FALSE)</f>
        <v>Sinan ERDAŞ</v>
      </c>
      <c r="Z1775" t="str">
        <f>VLOOKUP(C1775,'[1]DBS_KPY Sorumlular'!A:C,3,FALSE)</f>
        <v>Ayşegül AKGÜL</v>
      </c>
      <c r="AA1775" t="str">
        <f>VLOOKUP(K1775,[1]!Tablo3[#Data],2,FALSE)</f>
        <v>Erkan AKDOĞAN</v>
      </c>
    </row>
    <row r="1776" spans="1:27" x14ac:dyDescent="0.25">
      <c r="A1776">
        <v>3125</v>
      </c>
      <c r="B1776" t="s">
        <v>27</v>
      </c>
      <c r="C1776" t="s">
        <v>288</v>
      </c>
      <c r="D1776" t="s">
        <v>289</v>
      </c>
      <c r="G1776" t="s">
        <v>291</v>
      </c>
      <c r="H1776" t="s">
        <v>6385</v>
      </c>
      <c r="I1776" s="4">
        <v>45376.875</v>
      </c>
      <c r="J1776" t="s">
        <v>6383</v>
      </c>
      <c r="K1776" t="s">
        <v>232</v>
      </c>
      <c r="L1776" s="5"/>
      <c r="M1776" s="5"/>
      <c r="N1776" t="s">
        <v>82</v>
      </c>
      <c r="O1776" t="s">
        <v>6386</v>
      </c>
      <c r="R1776">
        <v>1</v>
      </c>
      <c r="T1776" s="5" t="s">
        <v>38</v>
      </c>
      <c r="W1776">
        <v>23</v>
      </c>
      <c r="X1776" t="s">
        <v>295</v>
      </c>
      <c r="Y1776" t="str">
        <f>VLOOKUP(C1776,'[1]DBS_KPY Sorumlular'!A:C,2,FALSE)</f>
        <v>Sinan ERDAŞ</v>
      </c>
      <c r="Z1776" t="str">
        <f>VLOOKUP(C1776,'[1]DBS_KPY Sorumlular'!A:C,3,FALSE)</f>
        <v>Ayşegül AKGÜL</v>
      </c>
      <c r="AA1776" t="str">
        <f>VLOOKUP(K1776,[1]!Tablo3[#Data],2,FALSE)</f>
        <v>Erkan AKDOĞAN</v>
      </c>
    </row>
    <row r="1777" spans="1:27" x14ac:dyDescent="0.25">
      <c r="A1777">
        <v>3126</v>
      </c>
      <c r="B1777" t="s">
        <v>27</v>
      </c>
      <c r="C1777" t="s">
        <v>288</v>
      </c>
      <c r="D1777" t="s">
        <v>289</v>
      </c>
      <c r="G1777" t="s">
        <v>43</v>
      </c>
      <c r="H1777" t="s">
        <v>6387</v>
      </c>
      <c r="I1777" s="4">
        <v>44464.875</v>
      </c>
      <c r="J1777" t="s">
        <v>6388</v>
      </c>
      <c r="K1777" t="s">
        <v>309</v>
      </c>
      <c r="L1777" s="5"/>
      <c r="M1777" s="5"/>
      <c r="N1777" t="s">
        <v>82</v>
      </c>
      <c r="O1777" t="s">
        <v>6389</v>
      </c>
      <c r="R1777">
        <v>1</v>
      </c>
      <c r="T1777" s="5" t="s">
        <v>38</v>
      </c>
      <c r="W1777">
        <v>94</v>
      </c>
      <c r="X1777" t="s">
        <v>1707</v>
      </c>
      <c r="Y1777" t="str">
        <f>VLOOKUP(C1777,'[1]DBS_KPY Sorumlular'!A:C,2,FALSE)</f>
        <v>Sinan ERDAŞ</v>
      </c>
      <c r="Z1777" t="str">
        <f>VLOOKUP(C1777,'[1]DBS_KPY Sorumlular'!A:C,3,FALSE)</f>
        <v>Ayşegül AKGÜL</v>
      </c>
      <c r="AA1777" t="str">
        <f>VLOOKUP(K1777,[1]!Tablo3[#Data],2,FALSE)</f>
        <v>Erkan AKDOĞAN</v>
      </c>
    </row>
    <row r="1778" spans="1:27" x14ac:dyDescent="0.25">
      <c r="A1778">
        <v>3127</v>
      </c>
      <c r="B1778" t="s">
        <v>27</v>
      </c>
      <c r="C1778" t="s">
        <v>288</v>
      </c>
      <c r="D1778" t="s">
        <v>2645</v>
      </c>
      <c r="G1778" t="s">
        <v>43</v>
      </c>
      <c r="H1778" t="s">
        <v>6390</v>
      </c>
      <c r="I1778" s="4">
        <v>43616.875</v>
      </c>
      <c r="J1778" t="s">
        <v>6390</v>
      </c>
      <c r="K1778" t="s">
        <v>325</v>
      </c>
      <c r="L1778" s="5"/>
      <c r="M1778" s="5"/>
      <c r="N1778" t="s">
        <v>82</v>
      </c>
      <c r="O1778" t="s">
        <v>6391</v>
      </c>
      <c r="R1778">
        <v>1</v>
      </c>
      <c r="T1778" s="5" t="s">
        <v>38</v>
      </c>
      <c r="W1778">
        <v>139</v>
      </c>
      <c r="X1778" t="s">
        <v>536</v>
      </c>
      <c r="Y1778" t="str">
        <f>VLOOKUP(C1778,'[1]DBS_KPY Sorumlular'!A:C,2,FALSE)</f>
        <v>Sinan ERDAŞ</v>
      </c>
      <c r="Z1778" t="str">
        <f>VLOOKUP(C1778,'[1]DBS_KPY Sorumlular'!A:C,3,FALSE)</f>
        <v>Ayşegül AKGÜL</v>
      </c>
      <c r="AA1778" t="str">
        <f>VLOOKUP(K1778,[1]!Tablo3[#Data],2,FALSE)</f>
        <v>Kadir TOPÇU</v>
      </c>
    </row>
    <row r="1779" spans="1:27" x14ac:dyDescent="0.25">
      <c r="A1779">
        <v>3128</v>
      </c>
      <c r="B1779" t="s">
        <v>27</v>
      </c>
      <c r="C1779" t="s">
        <v>288</v>
      </c>
      <c r="D1779" t="s">
        <v>289</v>
      </c>
      <c r="G1779" t="s">
        <v>291</v>
      </c>
      <c r="H1779" t="s">
        <v>6392</v>
      </c>
      <c r="I1779" s="4">
        <v>43464.875</v>
      </c>
      <c r="J1779" t="s">
        <v>6388</v>
      </c>
      <c r="K1779" t="s">
        <v>325</v>
      </c>
      <c r="L1779" s="5"/>
      <c r="M1779" s="5"/>
      <c r="N1779" t="s">
        <v>82</v>
      </c>
      <c r="O1779" t="s">
        <v>6393</v>
      </c>
      <c r="R1779">
        <v>1</v>
      </c>
      <c r="T1779" s="5" t="s">
        <v>38</v>
      </c>
      <c r="W1779">
        <v>94</v>
      </c>
      <c r="X1779" t="s">
        <v>1707</v>
      </c>
      <c r="Y1779" t="str">
        <f>VLOOKUP(C1779,'[1]DBS_KPY Sorumlular'!A:C,2,FALSE)</f>
        <v>Sinan ERDAŞ</v>
      </c>
      <c r="Z1779" t="str">
        <f>VLOOKUP(C1779,'[1]DBS_KPY Sorumlular'!A:C,3,FALSE)</f>
        <v>Ayşegül AKGÜL</v>
      </c>
      <c r="AA1779" t="str">
        <f>VLOOKUP(K1779,[1]!Tablo3[#Data],2,FALSE)</f>
        <v>Kadir TOPÇU</v>
      </c>
    </row>
    <row r="1780" spans="1:27" x14ac:dyDescent="0.25">
      <c r="A1780">
        <v>3129</v>
      </c>
      <c r="B1780" t="s">
        <v>27</v>
      </c>
      <c r="C1780" t="s">
        <v>288</v>
      </c>
      <c r="D1780" t="s">
        <v>2645</v>
      </c>
      <c r="G1780" t="s">
        <v>43</v>
      </c>
      <c r="H1780" t="s">
        <v>6394</v>
      </c>
      <c r="I1780" s="4">
        <v>44712.875</v>
      </c>
      <c r="J1780" t="s">
        <v>6394</v>
      </c>
      <c r="K1780" t="s">
        <v>325</v>
      </c>
      <c r="L1780" s="5"/>
      <c r="M1780" s="5"/>
      <c r="N1780" t="s">
        <v>82</v>
      </c>
      <c r="O1780" t="s">
        <v>6395</v>
      </c>
      <c r="R1780">
        <v>1</v>
      </c>
      <c r="T1780" s="5" t="s">
        <v>38</v>
      </c>
      <c r="W1780">
        <v>205</v>
      </c>
      <c r="X1780" t="s">
        <v>6374</v>
      </c>
      <c r="Y1780" t="str">
        <f>VLOOKUP(C1780,'[1]DBS_KPY Sorumlular'!A:C,2,FALSE)</f>
        <v>Sinan ERDAŞ</v>
      </c>
      <c r="Z1780" t="str">
        <f>VLOOKUP(C1780,'[1]DBS_KPY Sorumlular'!A:C,3,FALSE)</f>
        <v>Ayşegül AKGÜL</v>
      </c>
      <c r="AA1780" t="str">
        <f>VLOOKUP(K1780,[1]!Tablo3[#Data],2,FALSE)</f>
        <v>Kadir TOPÇU</v>
      </c>
    </row>
    <row r="1781" spans="1:27" x14ac:dyDescent="0.25">
      <c r="A1781">
        <v>3130</v>
      </c>
      <c r="B1781" t="s">
        <v>27</v>
      </c>
      <c r="C1781" t="s">
        <v>288</v>
      </c>
      <c r="D1781" t="s">
        <v>6396</v>
      </c>
      <c r="G1781" t="s">
        <v>456</v>
      </c>
      <c r="H1781" t="s">
        <v>6397</v>
      </c>
      <c r="I1781" s="4">
        <v>44712.875</v>
      </c>
      <c r="K1781" t="s">
        <v>364</v>
      </c>
      <c r="L1781" s="5"/>
      <c r="M1781" s="5"/>
      <c r="N1781" t="s">
        <v>82</v>
      </c>
      <c r="O1781" t="s">
        <v>6398</v>
      </c>
      <c r="R1781">
        <v>1</v>
      </c>
      <c r="T1781" s="5" t="s">
        <v>38</v>
      </c>
      <c r="W1781">
        <v>179</v>
      </c>
      <c r="X1781" t="s">
        <v>2128</v>
      </c>
      <c r="Y1781" t="str">
        <f>VLOOKUP(C1781,'[1]DBS_KPY Sorumlular'!A:C,2,FALSE)</f>
        <v>Sinan ERDAŞ</v>
      </c>
      <c r="Z1781" t="str">
        <f>VLOOKUP(C1781,'[1]DBS_KPY Sorumlular'!A:C,3,FALSE)</f>
        <v>Ayşegül AKGÜL</v>
      </c>
      <c r="AA1781" t="str">
        <f>VLOOKUP(K1781,[1]!Tablo3[#Data],2,FALSE)</f>
        <v>Kadir TOPÇU</v>
      </c>
    </row>
    <row r="1782" spans="1:27" x14ac:dyDescent="0.25">
      <c r="A1782">
        <v>3131</v>
      </c>
      <c r="B1782" t="s">
        <v>27</v>
      </c>
      <c r="C1782" t="s">
        <v>288</v>
      </c>
      <c r="D1782" t="s">
        <v>289</v>
      </c>
      <c r="G1782" t="s">
        <v>291</v>
      </c>
      <c r="H1782" t="s">
        <v>6399</v>
      </c>
      <c r="I1782" s="4">
        <v>45280.875</v>
      </c>
      <c r="J1782" t="s">
        <v>6383</v>
      </c>
      <c r="K1782" t="s">
        <v>364</v>
      </c>
      <c r="L1782" s="5"/>
      <c r="M1782" s="5"/>
      <c r="N1782" t="s">
        <v>82</v>
      </c>
      <c r="O1782" t="s">
        <v>6400</v>
      </c>
      <c r="R1782">
        <v>1</v>
      </c>
      <c r="T1782" s="5" t="s">
        <v>38</v>
      </c>
      <c r="W1782">
        <v>23</v>
      </c>
      <c r="X1782" t="s">
        <v>295</v>
      </c>
      <c r="Y1782" t="str">
        <f>VLOOKUP(C1782,'[1]DBS_KPY Sorumlular'!A:C,2,FALSE)</f>
        <v>Sinan ERDAŞ</v>
      </c>
      <c r="Z1782" t="str">
        <f>VLOOKUP(C1782,'[1]DBS_KPY Sorumlular'!A:C,3,FALSE)</f>
        <v>Ayşegül AKGÜL</v>
      </c>
      <c r="AA1782" t="str">
        <f>VLOOKUP(K1782,[1]!Tablo3[#Data],2,FALSE)</f>
        <v>Kadir TOPÇU</v>
      </c>
    </row>
    <row r="1783" spans="1:27" x14ac:dyDescent="0.25">
      <c r="A1783">
        <v>3132</v>
      </c>
      <c r="B1783" t="s">
        <v>27</v>
      </c>
      <c r="C1783" t="s">
        <v>288</v>
      </c>
      <c r="D1783" t="s">
        <v>4091</v>
      </c>
      <c r="G1783" t="s">
        <v>384</v>
      </c>
      <c r="H1783" t="s">
        <v>6401</v>
      </c>
      <c r="I1783" s="4">
        <v>45077.875</v>
      </c>
      <c r="J1783" t="s">
        <v>6402</v>
      </c>
      <c r="K1783" t="s">
        <v>364</v>
      </c>
      <c r="L1783" s="5"/>
      <c r="M1783" s="5"/>
      <c r="N1783" t="s">
        <v>82</v>
      </c>
      <c r="O1783" t="s">
        <v>6403</v>
      </c>
      <c r="R1783">
        <v>1</v>
      </c>
      <c r="T1783" s="5" t="s">
        <v>38</v>
      </c>
      <c r="W1783">
        <v>77</v>
      </c>
      <c r="X1783" t="s">
        <v>3223</v>
      </c>
      <c r="Y1783" t="str">
        <f>VLOOKUP(C1783,'[1]DBS_KPY Sorumlular'!A:C,2,FALSE)</f>
        <v>Sinan ERDAŞ</v>
      </c>
      <c r="Z1783" t="str">
        <f>VLOOKUP(C1783,'[1]DBS_KPY Sorumlular'!A:C,3,FALSE)</f>
        <v>Ayşegül AKGÜL</v>
      </c>
      <c r="AA1783" t="str">
        <f>VLOOKUP(K1783,[1]!Tablo3[#Data],2,FALSE)</f>
        <v>Kadir TOPÇU</v>
      </c>
    </row>
    <row r="1784" spans="1:27" x14ac:dyDescent="0.25">
      <c r="A1784">
        <v>3133</v>
      </c>
      <c r="B1784" t="s">
        <v>27</v>
      </c>
      <c r="C1784" t="s">
        <v>288</v>
      </c>
      <c r="D1784" t="s">
        <v>4091</v>
      </c>
      <c r="G1784" t="s">
        <v>384</v>
      </c>
      <c r="H1784" t="s">
        <v>6404</v>
      </c>
      <c r="I1784" s="4">
        <v>44712.875</v>
      </c>
      <c r="J1784" t="s">
        <v>6402</v>
      </c>
      <c r="K1784" t="s">
        <v>435</v>
      </c>
      <c r="L1784" s="5"/>
      <c r="M1784" s="5"/>
      <c r="N1784" t="s">
        <v>82</v>
      </c>
      <c r="O1784" t="s">
        <v>6405</v>
      </c>
      <c r="R1784">
        <v>1</v>
      </c>
      <c r="T1784" s="5" t="s">
        <v>38</v>
      </c>
      <c r="W1784">
        <v>77</v>
      </c>
      <c r="X1784" t="s">
        <v>3223</v>
      </c>
      <c r="Y1784" t="str">
        <f>VLOOKUP(C1784,'[1]DBS_KPY Sorumlular'!A:C,2,FALSE)</f>
        <v>Sinan ERDAŞ</v>
      </c>
      <c r="Z1784" t="str">
        <f>VLOOKUP(C1784,'[1]DBS_KPY Sorumlular'!A:C,3,FALSE)</f>
        <v>Ayşegül AKGÜL</v>
      </c>
      <c r="AA1784" t="str">
        <f>VLOOKUP(K1784,[1]!Tablo3[#Data],2,FALSE)</f>
        <v>Tayfun VİÇE</v>
      </c>
    </row>
    <row r="1785" spans="1:27" x14ac:dyDescent="0.25">
      <c r="A1785">
        <v>3134</v>
      </c>
      <c r="B1785" t="s">
        <v>27</v>
      </c>
      <c r="C1785" t="s">
        <v>288</v>
      </c>
      <c r="D1785" t="s">
        <v>289</v>
      </c>
      <c r="G1785" t="s">
        <v>291</v>
      </c>
      <c r="H1785" t="s">
        <v>6406</v>
      </c>
      <c r="I1785" s="4">
        <v>45652.875</v>
      </c>
      <c r="J1785" t="s">
        <v>6407</v>
      </c>
      <c r="K1785" t="s">
        <v>459</v>
      </c>
      <c r="L1785" s="5"/>
      <c r="M1785" s="5"/>
      <c r="N1785" t="s">
        <v>82</v>
      </c>
      <c r="O1785" t="s">
        <v>6408</v>
      </c>
      <c r="R1785">
        <v>1</v>
      </c>
      <c r="T1785" s="5" t="s">
        <v>38</v>
      </c>
      <c r="W1785">
        <v>23</v>
      </c>
      <c r="X1785" t="s">
        <v>295</v>
      </c>
      <c r="Y1785" t="str">
        <f>VLOOKUP(C1785,'[1]DBS_KPY Sorumlular'!A:C,2,FALSE)</f>
        <v>Sinan ERDAŞ</v>
      </c>
      <c r="Z1785" t="str">
        <f>VLOOKUP(C1785,'[1]DBS_KPY Sorumlular'!A:C,3,FALSE)</f>
        <v>Ayşegül AKGÜL</v>
      </c>
      <c r="AA1785" t="str">
        <f>VLOOKUP(K1785,[1]!Tablo3[#Data],2,FALSE)</f>
        <v>Erkan AKDOĞAN</v>
      </c>
    </row>
    <row r="1786" spans="1:27" x14ac:dyDescent="0.25">
      <c r="A1786">
        <v>3135</v>
      </c>
      <c r="B1786" t="s">
        <v>27</v>
      </c>
      <c r="C1786" t="s">
        <v>288</v>
      </c>
      <c r="D1786" t="s">
        <v>289</v>
      </c>
      <c r="G1786" t="s">
        <v>291</v>
      </c>
      <c r="H1786" t="s">
        <v>6409</v>
      </c>
      <c r="I1786" s="4">
        <v>44143.875</v>
      </c>
      <c r="J1786" t="s">
        <v>6388</v>
      </c>
      <c r="K1786" t="s">
        <v>226</v>
      </c>
      <c r="L1786" s="5"/>
      <c r="M1786" s="5"/>
      <c r="N1786" t="s">
        <v>82</v>
      </c>
      <c r="O1786" t="s">
        <v>6410</v>
      </c>
      <c r="R1786">
        <v>1</v>
      </c>
      <c r="T1786" s="5" t="s">
        <v>38</v>
      </c>
      <c r="W1786">
        <v>23</v>
      </c>
      <c r="X1786" t="s">
        <v>295</v>
      </c>
      <c r="Y1786" t="str">
        <f>VLOOKUP(C1786,'[1]DBS_KPY Sorumlular'!A:C,2,FALSE)</f>
        <v>Sinan ERDAŞ</v>
      </c>
      <c r="Z1786" t="str">
        <f>VLOOKUP(C1786,'[1]DBS_KPY Sorumlular'!A:C,3,FALSE)</f>
        <v>Ayşegül AKGÜL</v>
      </c>
      <c r="AA1786" t="str">
        <f>VLOOKUP(K1786,[1]!Tablo3[#Data],2,FALSE)</f>
        <v>Kadir TOPÇU</v>
      </c>
    </row>
    <row r="1787" spans="1:27" x14ac:dyDescent="0.25">
      <c r="A1787">
        <v>3136</v>
      </c>
      <c r="B1787" t="s">
        <v>27</v>
      </c>
      <c r="C1787" t="s">
        <v>288</v>
      </c>
      <c r="D1787" t="s">
        <v>6411</v>
      </c>
      <c r="G1787" t="s">
        <v>384</v>
      </c>
      <c r="H1787" t="s">
        <v>6412</v>
      </c>
      <c r="I1787" s="4">
        <v>45443.875</v>
      </c>
      <c r="J1787" t="s">
        <v>6413</v>
      </c>
      <c r="K1787" t="s">
        <v>226</v>
      </c>
      <c r="L1787" s="5"/>
      <c r="M1787" s="5"/>
      <c r="N1787" t="s">
        <v>82</v>
      </c>
      <c r="O1787" t="s">
        <v>6414</v>
      </c>
      <c r="R1787">
        <v>1</v>
      </c>
      <c r="T1787" s="5" t="s">
        <v>38</v>
      </c>
      <c r="W1787">
        <v>134</v>
      </c>
      <c r="X1787" t="s">
        <v>1577</v>
      </c>
      <c r="Y1787" t="str">
        <f>VLOOKUP(C1787,'[1]DBS_KPY Sorumlular'!A:C,2,FALSE)</f>
        <v>Sinan ERDAŞ</v>
      </c>
      <c r="Z1787" t="str">
        <f>VLOOKUP(C1787,'[1]DBS_KPY Sorumlular'!A:C,3,FALSE)</f>
        <v>Ayşegül AKGÜL</v>
      </c>
      <c r="AA1787" t="str">
        <f>VLOOKUP(K1787,[1]!Tablo3[#Data],2,FALSE)</f>
        <v>Kadir TOPÇU</v>
      </c>
    </row>
    <row r="1788" spans="1:27" x14ac:dyDescent="0.25">
      <c r="A1788">
        <v>3137</v>
      </c>
      <c r="B1788" t="s">
        <v>27</v>
      </c>
      <c r="C1788" t="s">
        <v>288</v>
      </c>
      <c r="D1788" t="s">
        <v>6396</v>
      </c>
      <c r="G1788" t="s">
        <v>456</v>
      </c>
      <c r="H1788" t="s">
        <v>6415</v>
      </c>
      <c r="I1788" s="4">
        <v>45077.875</v>
      </c>
      <c r="J1788" t="s">
        <v>6416</v>
      </c>
      <c r="K1788" t="s">
        <v>568</v>
      </c>
      <c r="L1788" s="5"/>
      <c r="M1788" s="5"/>
      <c r="N1788" t="s">
        <v>82</v>
      </c>
      <c r="O1788" t="s">
        <v>6417</v>
      </c>
      <c r="R1788">
        <v>1</v>
      </c>
      <c r="T1788" s="5" t="s">
        <v>38</v>
      </c>
      <c r="W1788">
        <v>144</v>
      </c>
      <c r="X1788" t="s">
        <v>463</v>
      </c>
      <c r="Y1788" t="str">
        <f>VLOOKUP(C1788,'[1]DBS_KPY Sorumlular'!A:C,2,FALSE)</f>
        <v>Sinan ERDAŞ</v>
      </c>
      <c r="Z1788" t="str">
        <f>VLOOKUP(C1788,'[1]DBS_KPY Sorumlular'!A:C,3,FALSE)</f>
        <v>Ayşegül AKGÜL</v>
      </c>
      <c r="AA1788" t="str">
        <f>VLOOKUP(K1788,[1]!Tablo3[#Data],2,FALSE)</f>
        <v>Erkan AKDOĞAN</v>
      </c>
    </row>
    <row r="1789" spans="1:27" x14ac:dyDescent="0.25">
      <c r="A1789">
        <v>3138</v>
      </c>
      <c r="B1789" t="s">
        <v>27</v>
      </c>
      <c r="C1789" t="s">
        <v>288</v>
      </c>
      <c r="D1789" t="s">
        <v>6418</v>
      </c>
      <c r="G1789" t="s">
        <v>43</v>
      </c>
      <c r="H1789" t="s">
        <v>6419</v>
      </c>
      <c r="I1789" s="4">
        <v>44712.875</v>
      </c>
      <c r="J1789" t="s">
        <v>6420</v>
      </c>
      <c r="K1789" t="s">
        <v>1221</v>
      </c>
      <c r="L1789" s="5"/>
      <c r="M1789" s="5"/>
      <c r="N1789" t="s">
        <v>82</v>
      </c>
      <c r="O1789" t="s">
        <v>6421</v>
      </c>
      <c r="R1789">
        <v>1</v>
      </c>
      <c r="T1789" s="5" t="s">
        <v>38</v>
      </c>
      <c r="W1789">
        <v>71</v>
      </c>
      <c r="X1789" t="s">
        <v>1299</v>
      </c>
      <c r="Y1789" t="str">
        <f>VLOOKUP(C1789,'[1]DBS_KPY Sorumlular'!A:C,2,FALSE)</f>
        <v>Sinan ERDAŞ</v>
      </c>
      <c r="Z1789" t="str">
        <f>VLOOKUP(C1789,'[1]DBS_KPY Sorumlular'!A:C,3,FALSE)</f>
        <v>Ayşegül AKGÜL</v>
      </c>
      <c r="AA1789" t="str">
        <f>VLOOKUP(K1789,[1]!Tablo3[#Data],2,FALSE)</f>
        <v>Tayfun VİÇE</v>
      </c>
    </row>
    <row r="1790" spans="1:27" x14ac:dyDescent="0.25">
      <c r="A1790">
        <v>3139</v>
      </c>
      <c r="B1790" t="s">
        <v>27</v>
      </c>
      <c r="C1790" t="s">
        <v>288</v>
      </c>
      <c r="D1790" t="s">
        <v>2645</v>
      </c>
      <c r="G1790" t="s">
        <v>43</v>
      </c>
      <c r="H1790" t="s">
        <v>6422</v>
      </c>
      <c r="I1790" s="4">
        <v>44712.875</v>
      </c>
      <c r="J1790" t="s">
        <v>6423</v>
      </c>
      <c r="K1790" t="s">
        <v>586</v>
      </c>
      <c r="L1790" s="5"/>
      <c r="M1790" s="5"/>
      <c r="N1790" t="s">
        <v>82</v>
      </c>
      <c r="O1790" t="s">
        <v>6424</v>
      </c>
      <c r="R1790">
        <v>1</v>
      </c>
      <c r="T1790" s="5" t="s">
        <v>38</v>
      </c>
      <c r="W1790">
        <v>213</v>
      </c>
      <c r="X1790" t="s">
        <v>6425</v>
      </c>
      <c r="Y1790" t="str">
        <f>VLOOKUP(C1790,'[1]DBS_KPY Sorumlular'!A:C,2,FALSE)</f>
        <v>Sinan ERDAŞ</v>
      </c>
      <c r="Z1790" t="str">
        <f>VLOOKUP(C1790,'[1]DBS_KPY Sorumlular'!A:C,3,FALSE)</f>
        <v>Ayşegül AKGÜL</v>
      </c>
      <c r="AA1790" t="str">
        <f>VLOOKUP(K1790,[1]!Tablo3[#Data],2,FALSE)</f>
        <v>Tayfun VİÇE</v>
      </c>
    </row>
    <row r="1791" spans="1:27" x14ac:dyDescent="0.25">
      <c r="A1791">
        <v>3140</v>
      </c>
      <c r="B1791" t="s">
        <v>27</v>
      </c>
      <c r="C1791" t="s">
        <v>288</v>
      </c>
      <c r="D1791" t="s">
        <v>6418</v>
      </c>
      <c r="G1791" t="s">
        <v>30</v>
      </c>
      <c r="H1791" t="s">
        <v>6426</v>
      </c>
      <c r="I1791" s="4">
        <v>44347.875</v>
      </c>
      <c r="J1791" t="s">
        <v>6427</v>
      </c>
      <c r="K1791" t="s">
        <v>636</v>
      </c>
      <c r="L1791" s="5"/>
      <c r="M1791" s="5"/>
      <c r="N1791" t="s">
        <v>82</v>
      </c>
      <c r="O1791" t="s">
        <v>6428</v>
      </c>
      <c r="R1791">
        <v>1</v>
      </c>
      <c r="T1791" s="5" t="s">
        <v>38</v>
      </c>
      <c r="W1791">
        <v>273</v>
      </c>
      <c r="X1791" t="s">
        <v>6298</v>
      </c>
      <c r="Y1791" t="str">
        <f>VLOOKUP(C1791,'[1]DBS_KPY Sorumlular'!A:C,2,FALSE)</f>
        <v>Sinan ERDAŞ</v>
      </c>
      <c r="Z1791" t="str">
        <f>VLOOKUP(C1791,'[1]DBS_KPY Sorumlular'!A:C,3,FALSE)</f>
        <v>Ayşegül AKGÜL</v>
      </c>
      <c r="AA1791" t="str">
        <f>VLOOKUP(K1791,[1]!Tablo3[#Data],2,FALSE)</f>
        <v>Erkan AKDOĞAN</v>
      </c>
    </row>
    <row r="1792" spans="1:27" x14ac:dyDescent="0.25">
      <c r="A1792">
        <v>3141</v>
      </c>
      <c r="B1792" t="s">
        <v>27</v>
      </c>
      <c r="C1792" t="s">
        <v>288</v>
      </c>
      <c r="D1792" t="s">
        <v>6418</v>
      </c>
      <c r="G1792" t="s">
        <v>30</v>
      </c>
      <c r="H1792" t="s">
        <v>6429</v>
      </c>
      <c r="I1792" s="4">
        <v>44712.875</v>
      </c>
      <c r="J1792" t="s">
        <v>6430</v>
      </c>
      <c r="K1792" t="s">
        <v>636</v>
      </c>
      <c r="L1792" s="5"/>
      <c r="M1792" s="5"/>
      <c r="N1792" t="s">
        <v>82</v>
      </c>
      <c r="O1792" t="s">
        <v>6428</v>
      </c>
      <c r="R1792">
        <v>1</v>
      </c>
      <c r="T1792" s="5" t="s">
        <v>38</v>
      </c>
      <c r="W1792">
        <v>91</v>
      </c>
      <c r="X1792" t="s">
        <v>101</v>
      </c>
      <c r="Y1792" t="str">
        <f>VLOOKUP(C1792,'[1]DBS_KPY Sorumlular'!A:C,2,FALSE)</f>
        <v>Sinan ERDAŞ</v>
      </c>
      <c r="Z1792" t="str">
        <f>VLOOKUP(C1792,'[1]DBS_KPY Sorumlular'!A:C,3,FALSE)</f>
        <v>Ayşegül AKGÜL</v>
      </c>
      <c r="AA1792" t="str">
        <f>VLOOKUP(K1792,[1]!Tablo3[#Data],2,FALSE)</f>
        <v>Erkan AKDOĞAN</v>
      </c>
    </row>
    <row r="1793" spans="1:27" x14ac:dyDescent="0.25">
      <c r="A1793">
        <v>3142</v>
      </c>
      <c r="B1793" t="s">
        <v>27</v>
      </c>
      <c r="C1793" t="s">
        <v>288</v>
      </c>
      <c r="D1793" t="s">
        <v>2645</v>
      </c>
      <c r="G1793" t="s">
        <v>43</v>
      </c>
      <c r="H1793" t="s">
        <v>6431</v>
      </c>
      <c r="I1793" s="4">
        <v>44712.875</v>
      </c>
      <c r="J1793" t="s">
        <v>6432</v>
      </c>
      <c r="K1793" t="s">
        <v>636</v>
      </c>
      <c r="L1793" s="5"/>
      <c r="M1793" s="5"/>
      <c r="N1793" t="s">
        <v>82</v>
      </c>
      <c r="O1793" t="s">
        <v>6433</v>
      </c>
      <c r="R1793">
        <v>1</v>
      </c>
      <c r="T1793" s="5" t="s">
        <v>38</v>
      </c>
      <c r="W1793">
        <v>205</v>
      </c>
      <c r="X1793" t="s">
        <v>6374</v>
      </c>
      <c r="Y1793" t="str">
        <f>VLOOKUP(C1793,'[1]DBS_KPY Sorumlular'!A:C,2,FALSE)</f>
        <v>Sinan ERDAŞ</v>
      </c>
      <c r="Z1793" t="str">
        <f>VLOOKUP(C1793,'[1]DBS_KPY Sorumlular'!A:C,3,FALSE)</f>
        <v>Ayşegül AKGÜL</v>
      </c>
      <c r="AA1793" t="str">
        <f>VLOOKUP(K1793,[1]!Tablo3[#Data],2,FALSE)</f>
        <v>Erkan AKDOĞAN</v>
      </c>
    </row>
    <row r="1794" spans="1:27" x14ac:dyDescent="0.25">
      <c r="A1794">
        <v>3143</v>
      </c>
      <c r="B1794" t="s">
        <v>27</v>
      </c>
      <c r="C1794" t="s">
        <v>288</v>
      </c>
      <c r="D1794" t="s">
        <v>6418</v>
      </c>
      <c r="G1794" t="s">
        <v>43</v>
      </c>
      <c r="H1794" t="s">
        <v>6434</v>
      </c>
      <c r="I1794" s="4">
        <v>44712.875</v>
      </c>
      <c r="J1794" t="s">
        <v>6435</v>
      </c>
      <c r="K1794" t="s">
        <v>636</v>
      </c>
      <c r="L1794" s="5"/>
      <c r="M1794" s="5"/>
      <c r="N1794" t="s">
        <v>82</v>
      </c>
      <c r="O1794" t="s">
        <v>6436</v>
      </c>
      <c r="R1794">
        <v>1</v>
      </c>
      <c r="T1794" s="5" t="s">
        <v>38</v>
      </c>
      <c r="W1794">
        <v>71</v>
      </c>
      <c r="X1794" t="s">
        <v>1299</v>
      </c>
      <c r="Y1794" t="str">
        <f>VLOOKUP(C1794,'[1]DBS_KPY Sorumlular'!A:C,2,FALSE)</f>
        <v>Sinan ERDAŞ</v>
      </c>
      <c r="Z1794" t="str">
        <f>VLOOKUP(C1794,'[1]DBS_KPY Sorumlular'!A:C,3,FALSE)</f>
        <v>Ayşegül AKGÜL</v>
      </c>
      <c r="AA1794" t="str">
        <f>VLOOKUP(K1794,[1]!Tablo3[#Data],2,FALSE)</f>
        <v>Erkan AKDOĞAN</v>
      </c>
    </row>
    <row r="1795" spans="1:27" x14ac:dyDescent="0.25">
      <c r="A1795">
        <v>3144</v>
      </c>
      <c r="B1795" t="s">
        <v>27</v>
      </c>
      <c r="C1795" t="s">
        <v>288</v>
      </c>
      <c r="D1795" t="s">
        <v>6418</v>
      </c>
      <c r="G1795" t="s">
        <v>43</v>
      </c>
      <c r="H1795" t="s">
        <v>6437</v>
      </c>
      <c r="I1795" s="4">
        <v>44712.875</v>
      </c>
      <c r="J1795" t="s">
        <v>6438</v>
      </c>
      <c r="K1795" t="s">
        <v>636</v>
      </c>
      <c r="L1795" s="5"/>
      <c r="M1795" s="5"/>
      <c r="N1795" t="s">
        <v>82</v>
      </c>
      <c r="O1795" t="s">
        <v>6439</v>
      </c>
      <c r="R1795">
        <v>1</v>
      </c>
      <c r="T1795" s="5" t="s">
        <v>38</v>
      </c>
      <c r="W1795">
        <v>273</v>
      </c>
      <c r="X1795" t="s">
        <v>6298</v>
      </c>
      <c r="Y1795" t="str">
        <f>VLOOKUP(C1795,'[1]DBS_KPY Sorumlular'!A:C,2,FALSE)</f>
        <v>Sinan ERDAŞ</v>
      </c>
      <c r="Z1795" t="str">
        <f>VLOOKUP(C1795,'[1]DBS_KPY Sorumlular'!A:C,3,FALSE)</f>
        <v>Ayşegül AKGÜL</v>
      </c>
      <c r="AA1795" t="str">
        <f>VLOOKUP(K1795,[1]!Tablo3[#Data],2,FALSE)</f>
        <v>Erkan AKDOĞAN</v>
      </c>
    </row>
    <row r="1796" spans="1:27" x14ac:dyDescent="0.25">
      <c r="A1796">
        <v>3145</v>
      </c>
      <c r="B1796" t="s">
        <v>27</v>
      </c>
      <c r="C1796" t="s">
        <v>288</v>
      </c>
      <c r="D1796" t="s">
        <v>6418</v>
      </c>
      <c r="G1796" t="s">
        <v>30</v>
      </c>
      <c r="H1796" t="s">
        <v>6440</v>
      </c>
      <c r="I1796" s="4">
        <v>45077.875</v>
      </c>
      <c r="J1796" t="s">
        <v>6441</v>
      </c>
      <c r="K1796" t="s">
        <v>636</v>
      </c>
      <c r="L1796" s="5"/>
      <c r="M1796" s="5"/>
      <c r="N1796" t="s">
        <v>82</v>
      </c>
      <c r="O1796" t="s">
        <v>6428</v>
      </c>
      <c r="R1796">
        <v>1</v>
      </c>
      <c r="T1796" s="5" t="s">
        <v>38</v>
      </c>
      <c r="W1796">
        <v>273</v>
      </c>
      <c r="X1796" t="s">
        <v>6298</v>
      </c>
      <c r="Y1796" t="str">
        <f>VLOOKUP(C1796,'[1]DBS_KPY Sorumlular'!A:C,2,FALSE)</f>
        <v>Sinan ERDAŞ</v>
      </c>
      <c r="Z1796" t="str">
        <f>VLOOKUP(C1796,'[1]DBS_KPY Sorumlular'!A:C,3,FALSE)</f>
        <v>Ayşegül AKGÜL</v>
      </c>
      <c r="AA1796" t="str">
        <f>VLOOKUP(K1796,[1]!Tablo3[#Data],2,FALSE)</f>
        <v>Erkan AKDOĞAN</v>
      </c>
    </row>
    <row r="1797" spans="1:27" x14ac:dyDescent="0.25">
      <c r="A1797">
        <v>3146</v>
      </c>
      <c r="B1797" t="s">
        <v>27</v>
      </c>
      <c r="C1797" t="s">
        <v>288</v>
      </c>
      <c r="D1797" t="s">
        <v>6418</v>
      </c>
      <c r="G1797" t="s">
        <v>43</v>
      </c>
      <c r="H1797" t="s">
        <v>6442</v>
      </c>
      <c r="I1797" s="4">
        <v>45443.875</v>
      </c>
      <c r="J1797" t="s">
        <v>6443</v>
      </c>
      <c r="K1797" t="s">
        <v>636</v>
      </c>
      <c r="L1797" s="5"/>
      <c r="M1797" s="5"/>
      <c r="N1797" t="s">
        <v>82</v>
      </c>
      <c r="O1797" t="s">
        <v>6444</v>
      </c>
      <c r="R1797">
        <v>1</v>
      </c>
      <c r="T1797" s="5" t="s">
        <v>38</v>
      </c>
      <c r="W1797">
        <v>71</v>
      </c>
      <c r="X1797" t="s">
        <v>1299</v>
      </c>
      <c r="Y1797" t="str">
        <f>VLOOKUP(C1797,'[1]DBS_KPY Sorumlular'!A:C,2,FALSE)</f>
        <v>Sinan ERDAŞ</v>
      </c>
      <c r="Z1797" t="str">
        <f>VLOOKUP(C1797,'[1]DBS_KPY Sorumlular'!A:C,3,FALSE)</f>
        <v>Ayşegül AKGÜL</v>
      </c>
      <c r="AA1797" t="str">
        <f>VLOOKUP(K1797,[1]!Tablo3[#Data],2,FALSE)</f>
        <v>Erkan AKDOĞAN</v>
      </c>
    </row>
    <row r="1798" spans="1:27" x14ac:dyDescent="0.25">
      <c r="A1798">
        <v>3147</v>
      </c>
      <c r="B1798" t="s">
        <v>27</v>
      </c>
      <c r="C1798" t="s">
        <v>288</v>
      </c>
      <c r="D1798" t="s">
        <v>2644</v>
      </c>
      <c r="E1798" t="s">
        <v>2645</v>
      </c>
      <c r="G1798" t="s">
        <v>30</v>
      </c>
      <c r="H1798" t="s">
        <v>6445</v>
      </c>
      <c r="I1798" s="4">
        <v>43982.875</v>
      </c>
      <c r="J1798" t="s">
        <v>6446</v>
      </c>
      <c r="K1798" t="s">
        <v>678</v>
      </c>
      <c r="L1798" s="5"/>
      <c r="M1798" s="5"/>
      <c r="N1798" t="s">
        <v>82</v>
      </c>
      <c r="O1798" t="s">
        <v>6447</v>
      </c>
      <c r="R1798">
        <v>1</v>
      </c>
      <c r="T1798" s="5" t="s">
        <v>38</v>
      </c>
      <c r="W1798">
        <v>94</v>
      </c>
      <c r="X1798" t="s">
        <v>1707</v>
      </c>
      <c r="Y1798" t="str">
        <f>VLOOKUP(C1798,'[1]DBS_KPY Sorumlular'!A:C,2,FALSE)</f>
        <v>Sinan ERDAŞ</v>
      </c>
      <c r="Z1798" t="str">
        <f>VLOOKUP(C1798,'[1]DBS_KPY Sorumlular'!A:C,3,FALSE)</f>
        <v>Ayşegül AKGÜL</v>
      </c>
      <c r="AA1798" t="str">
        <f>VLOOKUP(K1798,[1]!Tablo3[#Data],2,FALSE)</f>
        <v>Kadir TOPÇU</v>
      </c>
    </row>
    <row r="1799" spans="1:27" x14ac:dyDescent="0.25">
      <c r="A1799">
        <v>3148</v>
      </c>
      <c r="B1799" t="s">
        <v>27</v>
      </c>
      <c r="C1799" t="s">
        <v>288</v>
      </c>
      <c r="D1799" t="s">
        <v>2645</v>
      </c>
      <c r="G1799" t="s">
        <v>43</v>
      </c>
      <c r="H1799" t="s">
        <v>6448</v>
      </c>
      <c r="I1799" s="4">
        <v>44712.875</v>
      </c>
      <c r="J1799" t="s">
        <v>6448</v>
      </c>
      <c r="K1799" t="s">
        <v>678</v>
      </c>
      <c r="L1799" s="5"/>
      <c r="M1799" s="5"/>
      <c r="N1799" t="s">
        <v>82</v>
      </c>
      <c r="O1799" t="s">
        <v>6449</v>
      </c>
      <c r="R1799">
        <v>1</v>
      </c>
      <c r="T1799" s="5" t="s">
        <v>38</v>
      </c>
      <c r="W1799">
        <v>205</v>
      </c>
      <c r="X1799" t="s">
        <v>6374</v>
      </c>
      <c r="Y1799" t="str">
        <f>VLOOKUP(C1799,'[1]DBS_KPY Sorumlular'!A:C,2,FALSE)</f>
        <v>Sinan ERDAŞ</v>
      </c>
      <c r="Z1799" t="str">
        <f>VLOOKUP(C1799,'[1]DBS_KPY Sorumlular'!A:C,3,FALSE)</f>
        <v>Ayşegül AKGÜL</v>
      </c>
      <c r="AA1799" t="str">
        <f>VLOOKUP(K1799,[1]!Tablo3[#Data],2,FALSE)</f>
        <v>Kadir TOPÇU</v>
      </c>
    </row>
    <row r="1800" spans="1:27" x14ac:dyDescent="0.25">
      <c r="A1800">
        <v>3149</v>
      </c>
      <c r="B1800" t="s">
        <v>27</v>
      </c>
      <c r="C1800" t="s">
        <v>288</v>
      </c>
      <c r="D1800" t="s">
        <v>6396</v>
      </c>
      <c r="G1800" t="s">
        <v>456</v>
      </c>
      <c r="H1800" t="s">
        <v>6450</v>
      </c>
      <c r="I1800" s="4">
        <v>44712.875</v>
      </c>
      <c r="J1800" t="s">
        <v>6451</v>
      </c>
      <c r="K1800" t="s">
        <v>181</v>
      </c>
      <c r="L1800" s="5"/>
      <c r="M1800" s="5"/>
      <c r="N1800" t="s">
        <v>82</v>
      </c>
      <c r="O1800" t="s">
        <v>6452</v>
      </c>
      <c r="R1800">
        <v>1</v>
      </c>
      <c r="T1800" s="5" t="s">
        <v>38</v>
      </c>
      <c r="W1800">
        <v>144</v>
      </c>
      <c r="X1800" t="s">
        <v>463</v>
      </c>
      <c r="Y1800" t="str">
        <f>VLOOKUP(C1800,'[1]DBS_KPY Sorumlular'!A:C,2,FALSE)</f>
        <v>Sinan ERDAŞ</v>
      </c>
      <c r="Z1800" t="str">
        <f>VLOOKUP(C1800,'[1]DBS_KPY Sorumlular'!A:C,3,FALSE)</f>
        <v>Ayşegül AKGÜL</v>
      </c>
      <c r="AA1800" t="str">
        <f>VLOOKUP(K1800,[1]!Tablo3[#Data],2,FALSE)</f>
        <v>Erkan AKDOĞAN</v>
      </c>
    </row>
    <row r="1801" spans="1:27" x14ac:dyDescent="0.25">
      <c r="A1801">
        <v>3150</v>
      </c>
      <c r="B1801" t="s">
        <v>27</v>
      </c>
      <c r="C1801" t="s">
        <v>288</v>
      </c>
      <c r="D1801" t="s">
        <v>6396</v>
      </c>
      <c r="G1801" t="s">
        <v>456</v>
      </c>
      <c r="H1801" t="s">
        <v>6453</v>
      </c>
      <c r="I1801" s="4">
        <v>45077.875</v>
      </c>
      <c r="J1801" t="s">
        <v>6454</v>
      </c>
      <c r="K1801" t="s">
        <v>1334</v>
      </c>
      <c r="L1801" s="5"/>
      <c r="M1801" s="5"/>
      <c r="N1801" t="s">
        <v>82</v>
      </c>
      <c r="O1801" t="s">
        <v>6455</v>
      </c>
      <c r="R1801">
        <v>1</v>
      </c>
      <c r="T1801" s="5" t="s">
        <v>38</v>
      </c>
      <c r="W1801">
        <v>144</v>
      </c>
      <c r="X1801" t="s">
        <v>463</v>
      </c>
      <c r="Y1801" t="str">
        <f>VLOOKUP(C1801,'[1]DBS_KPY Sorumlular'!A:C,2,FALSE)</f>
        <v>Sinan ERDAŞ</v>
      </c>
      <c r="Z1801" t="str">
        <f>VLOOKUP(C1801,'[1]DBS_KPY Sorumlular'!A:C,3,FALSE)</f>
        <v>Ayşegül AKGÜL</v>
      </c>
      <c r="AA1801" t="str">
        <f>VLOOKUP(K1801,[1]!Tablo3[#Data],2,FALSE)</f>
        <v>Erkan AKDOĞAN</v>
      </c>
    </row>
    <row r="1802" spans="1:27" x14ac:dyDescent="0.25">
      <c r="A1802">
        <v>3151</v>
      </c>
      <c r="B1802" t="s">
        <v>27</v>
      </c>
      <c r="C1802" t="s">
        <v>288</v>
      </c>
      <c r="D1802" t="s">
        <v>6396</v>
      </c>
      <c r="G1802" t="s">
        <v>456</v>
      </c>
      <c r="H1802" t="s">
        <v>6456</v>
      </c>
      <c r="I1802" s="4">
        <v>45077.875</v>
      </c>
      <c r="J1802" t="s">
        <v>6457</v>
      </c>
      <c r="K1802" t="s">
        <v>678</v>
      </c>
      <c r="L1802" s="5"/>
      <c r="M1802" s="5"/>
      <c r="N1802" t="s">
        <v>82</v>
      </c>
      <c r="O1802" t="s">
        <v>6458</v>
      </c>
      <c r="R1802">
        <v>1</v>
      </c>
      <c r="T1802" s="5" t="s">
        <v>38</v>
      </c>
      <c r="W1802">
        <v>144</v>
      </c>
      <c r="X1802" t="s">
        <v>463</v>
      </c>
      <c r="Y1802" t="str">
        <f>VLOOKUP(C1802,'[1]DBS_KPY Sorumlular'!A:C,2,FALSE)</f>
        <v>Sinan ERDAŞ</v>
      </c>
      <c r="Z1802" t="str">
        <f>VLOOKUP(C1802,'[1]DBS_KPY Sorumlular'!A:C,3,FALSE)</f>
        <v>Ayşegül AKGÜL</v>
      </c>
      <c r="AA1802" t="str">
        <f>VLOOKUP(K1802,[1]!Tablo3[#Data],2,FALSE)</f>
        <v>Kadir TOPÇU</v>
      </c>
    </row>
    <row r="1803" spans="1:27" x14ac:dyDescent="0.25">
      <c r="A1803">
        <v>3152</v>
      </c>
      <c r="B1803" t="s">
        <v>27</v>
      </c>
      <c r="C1803" t="s">
        <v>288</v>
      </c>
      <c r="D1803" t="s">
        <v>289</v>
      </c>
      <c r="G1803" t="s">
        <v>291</v>
      </c>
      <c r="H1803" t="s">
        <v>6459</v>
      </c>
      <c r="I1803" s="4">
        <v>45622.875</v>
      </c>
      <c r="J1803" t="s">
        <v>6460</v>
      </c>
      <c r="K1803" t="s">
        <v>678</v>
      </c>
      <c r="L1803" s="5"/>
      <c r="M1803" s="5" t="s">
        <v>6461</v>
      </c>
      <c r="N1803" t="s">
        <v>82</v>
      </c>
      <c r="O1803" t="s">
        <v>6462</v>
      </c>
      <c r="R1803">
        <v>1</v>
      </c>
      <c r="T1803" s="5" t="s">
        <v>38</v>
      </c>
      <c r="W1803">
        <v>23</v>
      </c>
      <c r="X1803" t="s">
        <v>295</v>
      </c>
      <c r="Y1803" t="str">
        <f>VLOOKUP(C1803,'[1]DBS_KPY Sorumlular'!A:C,2,FALSE)</f>
        <v>Sinan ERDAŞ</v>
      </c>
      <c r="Z1803" t="str">
        <f>VLOOKUP(C1803,'[1]DBS_KPY Sorumlular'!A:C,3,FALSE)</f>
        <v>Ayşegül AKGÜL</v>
      </c>
      <c r="AA1803" t="str">
        <f>VLOOKUP(K1803,[1]!Tablo3[#Data],2,FALSE)</f>
        <v>Kadir TOPÇU</v>
      </c>
    </row>
    <row r="1804" spans="1:27" x14ac:dyDescent="0.25">
      <c r="A1804">
        <v>3153</v>
      </c>
      <c r="B1804" t="s">
        <v>27</v>
      </c>
      <c r="C1804" t="s">
        <v>288</v>
      </c>
      <c r="D1804" t="s">
        <v>2645</v>
      </c>
      <c r="G1804" t="s">
        <v>43</v>
      </c>
      <c r="H1804" t="s">
        <v>6463</v>
      </c>
      <c r="I1804" s="4">
        <v>44712.875</v>
      </c>
      <c r="J1804" t="s">
        <v>6463</v>
      </c>
      <c r="K1804" t="s">
        <v>835</v>
      </c>
      <c r="L1804" s="5"/>
      <c r="M1804" s="5"/>
      <c r="N1804" t="s">
        <v>82</v>
      </c>
      <c r="O1804" t="s">
        <v>6464</v>
      </c>
      <c r="R1804">
        <v>1</v>
      </c>
      <c r="T1804" s="5" t="s">
        <v>38</v>
      </c>
      <c r="W1804">
        <v>141</v>
      </c>
      <c r="X1804" t="s">
        <v>6465</v>
      </c>
      <c r="Y1804" t="str">
        <f>VLOOKUP(C1804,'[1]DBS_KPY Sorumlular'!A:C,2,FALSE)</f>
        <v>Sinan ERDAŞ</v>
      </c>
      <c r="Z1804" t="str">
        <f>VLOOKUP(C1804,'[1]DBS_KPY Sorumlular'!A:C,3,FALSE)</f>
        <v>Ayşegül AKGÜL</v>
      </c>
      <c r="AA1804" t="str">
        <f>VLOOKUP(K1804,[1]!Tablo3[#Data],2,FALSE)</f>
        <v>Kadir TOPÇU</v>
      </c>
    </row>
    <row r="1805" spans="1:27" x14ac:dyDescent="0.25">
      <c r="A1805">
        <v>3154</v>
      </c>
      <c r="B1805" t="s">
        <v>27</v>
      </c>
      <c r="C1805" t="s">
        <v>288</v>
      </c>
      <c r="D1805" t="s">
        <v>289</v>
      </c>
      <c r="G1805" t="s">
        <v>291</v>
      </c>
      <c r="H1805" t="s">
        <v>6466</v>
      </c>
      <c r="I1805" s="4">
        <v>45694.875</v>
      </c>
      <c r="J1805" t="s">
        <v>6383</v>
      </c>
      <c r="K1805" t="s">
        <v>853</v>
      </c>
      <c r="L1805" s="5"/>
      <c r="M1805" s="5"/>
      <c r="N1805" t="s">
        <v>82</v>
      </c>
      <c r="O1805" t="s">
        <v>6467</v>
      </c>
      <c r="R1805">
        <v>1</v>
      </c>
      <c r="T1805" s="5" t="s">
        <v>38</v>
      </c>
      <c r="W1805">
        <v>94</v>
      </c>
      <c r="X1805" t="s">
        <v>1707</v>
      </c>
      <c r="Y1805" t="str">
        <f>VLOOKUP(C1805,'[1]DBS_KPY Sorumlular'!A:C,2,FALSE)</f>
        <v>Sinan ERDAŞ</v>
      </c>
      <c r="Z1805" t="str">
        <f>VLOOKUP(C1805,'[1]DBS_KPY Sorumlular'!A:C,3,FALSE)</f>
        <v>Ayşegül AKGÜL</v>
      </c>
      <c r="AA1805" t="str">
        <f>VLOOKUP(K1805,[1]!Tablo3[#Data],2,FALSE)</f>
        <v>Erkan AKDOĞAN</v>
      </c>
    </row>
    <row r="1806" spans="1:27" x14ac:dyDescent="0.25">
      <c r="A1806">
        <v>3155</v>
      </c>
      <c r="B1806" t="s">
        <v>27</v>
      </c>
      <c r="C1806" t="s">
        <v>288</v>
      </c>
      <c r="D1806" t="s">
        <v>289</v>
      </c>
      <c r="G1806" t="s">
        <v>43</v>
      </c>
      <c r="H1806" t="s">
        <v>6468</v>
      </c>
      <c r="I1806" s="4">
        <v>44833.875</v>
      </c>
      <c r="J1806" t="s">
        <v>6383</v>
      </c>
      <c r="K1806" t="s">
        <v>860</v>
      </c>
      <c r="L1806" s="5"/>
      <c r="M1806" s="5"/>
      <c r="N1806" t="s">
        <v>82</v>
      </c>
      <c r="O1806" t="s">
        <v>6469</v>
      </c>
      <c r="R1806">
        <v>1</v>
      </c>
      <c r="T1806" s="5" t="s">
        <v>38</v>
      </c>
      <c r="W1806">
        <v>23</v>
      </c>
      <c r="X1806" t="s">
        <v>295</v>
      </c>
      <c r="Y1806" t="str">
        <f>VLOOKUP(C1806,'[1]DBS_KPY Sorumlular'!A:C,2,FALSE)</f>
        <v>Sinan ERDAŞ</v>
      </c>
      <c r="Z1806" t="str">
        <f>VLOOKUP(C1806,'[1]DBS_KPY Sorumlular'!A:C,3,FALSE)</f>
        <v>Ayşegül AKGÜL</v>
      </c>
      <c r="AA1806" t="str">
        <f>VLOOKUP(K1806,[1]!Tablo3[#Data],2,FALSE)</f>
        <v>Erkan AKDOĞAN</v>
      </c>
    </row>
    <row r="1807" spans="1:27" x14ac:dyDescent="0.25">
      <c r="A1807">
        <v>3156</v>
      </c>
      <c r="B1807" t="s">
        <v>27</v>
      </c>
      <c r="C1807" t="s">
        <v>288</v>
      </c>
      <c r="D1807" t="s">
        <v>289</v>
      </c>
      <c r="G1807" t="s">
        <v>291</v>
      </c>
      <c r="H1807" t="s">
        <v>6470</v>
      </c>
      <c r="I1807" s="4">
        <v>44840.875</v>
      </c>
      <c r="J1807" t="s">
        <v>6388</v>
      </c>
      <c r="K1807" t="s">
        <v>860</v>
      </c>
      <c r="L1807" s="5"/>
      <c r="M1807" s="5"/>
      <c r="N1807" t="s">
        <v>82</v>
      </c>
      <c r="O1807" t="s">
        <v>6471</v>
      </c>
      <c r="R1807">
        <v>1</v>
      </c>
      <c r="T1807" s="5" t="s">
        <v>38</v>
      </c>
      <c r="W1807">
        <v>94</v>
      </c>
      <c r="X1807" t="s">
        <v>1707</v>
      </c>
      <c r="Y1807" t="str">
        <f>VLOOKUP(C1807,'[1]DBS_KPY Sorumlular'!A:C,2,FALSE)</f>
        <v>Sinan ERDAŞ</v>
      </c>
      <c r="Z1807" t="str">
        <f>VLOOKUP(C1807,'[1]DBS_KPY Sorumlular'!A:C,3,FALSE)</f>
        <v>Ayşegül AKGÜL</v>
      </c>
      <c r="AA1807" t="str">
        <f>VLOOKUP(K1807,[1]!Tablo3[#Data],2,FALSE)</f>
        <v>Erkan AKDOĞAN</v>
      </c>
    </row>
    <row r="1808" spans="1:27" x14ac:dyDescent="0.25">
      <c r="A1808">
        <v>3157</v>
      </c>
      <c r="B1808" t="s">
        <v>27</v>
      </c>
      <c r="C1808" t="s">
        <v>288</v>
      </c>
      <c r="D1808" t="s">
        <v>289</v>
      </c>
      <c r="G1808" t="s">
        <v>43</v>
      </c>
      <c r="H1808" t="s">
        <v>6472</v>
      </c>
      <c r="I1808" s="4">
        <v>45164.875</v>
      </c>
      <c r="J1808" t="s">
        <v>6368</v>
      </c>
      <c r="K1808" t="s">
        <v>860</v>
      </c>
      <c r="L1808" s="5"/>
      <c r="M1808" s="5"/>
      <c r="N1808" t="s">
        <v>82</v>
      </c>
      <c r="O1808" t="s">
        <v>6473</v>
      </c>
      <c r="R1808">
        <v>1</v>
      </c>
      <c r="T1808" s="5" t="s">
        <v>38</v>
      </c>
      <c r="W1808">
        <v>23</v>
      </c>
      <c r="X1808" t="s">
        <v>295</v>
      </c>
      <c r="Y1808" t="str">
        <f>VLOOKUP(C1808,'[1]DBS_KPY Sorumlular'!A:C,2,FALSE)</f>
        <v>Sinan ERDAŞ</v>
      </c>
      <c r="Z1808" t="str">
        <f>VLOOKUP(C1808,'[1]DBS_KPY Sorumlular'!A:C,3,FALSE)</f>
        <v>Ayşegül AKGÜL</v>
      </c>
      <c r="AA1808" t="str">
        <f>VLOOKUP(K1808,[1]!Tablo3[#Data],2,FALSE)</f>
        <v>Erkan AKDOĞAN</v>
      </c>
    </row>
    <row r="1809" spans="1:27" x14ac:dyDescent="0.25">
      <c r="A1809">
        <v>3158</v>
      </c>
      <c r="B1809" t="s">
        <v>27</v>
      </c>
      <c r="C1809" t="s">
        <v>288</v>
      </c>
      <c r="D1809" t="s">
        <v>289</v>
      </c>
      <c r="G1809" t="s">
        <v>43</v>
      </c>
      <c r="H1809" t="s">
        <v>6474</v>
      </c>
      <c r="I1809" s="4">
        <v>45443.875</v>
      </c>
      <c r="J1809" t="s">
        <v>6475</v>
      </c>
      <c r="K1809" t="s">
        <v>860</v>
      </c>
      <c r="L1809" s="5"/>
      <c r="M1809" s="5"/>
      <c r="N1809" t="s">
        <v>82</v>
      </c>
      <c r="O1809" t="s">
        <v>6476</v>
      </c>
      <c r="R1809">
        <v>1</v>
      </c>
      <c r="T1809" s="5" t="s">
        <v>38</v>
      </c>
      <c r="W1809">
        <v>108</v>
      </c>
      <c r="X1809" t="s">
        <v>107</v>
      </c>
      <c r="Y1809" t="str">
        <f>VLOOKUP(C1809,'[1]DBS_KPY Sorumlular'!A:C,2,FALSE)</f>
        <v>Sinan ERDAŞ</v>
      </c>
      <c r="Z1809" t="str">
        <f>VLOOKUP(C1809,'[1]DBS_KPY Sorumlular'!A:C,3,FALSE)</f>
        <v>Ayşegül AKGÜL</v>
      </c>
      <c r="AA1809" t="str">
        <f>VLOOKUP(K1809,[1]!Tablo3[#Data],2,FALSE)</f>
        <v>Erkan AKDOĞAN</v>
      </c>
    </row>
    <row r="1810" spans="1:27" x14ac:dyDescent="0.25">
      <c r="A1810">
        <v>3159</v>
      </c>
      <c r="B1810" t="s">
        <v>27</v>
      </c>
      <c r="C1810" t="s">
        <v>288</v>
      </c>
      <c r="D1810" t="s">
        <v>2645</v>
      </c>
      <c r="G1810" t="s">
        <v>43</v>
      </c>
      <c r="H1810" t="s">
        <v>6477</v>
      </c>
      <c r="I1810" s="4">
        <v>45443.875</v>
      </c>
      <c r="J1810" t="s">
        <v>6478</v>
      </c>
      <c r="K1810" t="s">
        <v>860</v>
      </c>
      <c r="L1810" s="5"/>
      <c r="M1810" s="5"/>
      <c r="N1810" t="s">
        <v>82</v>
      </c>
      <c r="O1810" t="s">
        <v>6476</v>
      </c>
      <c r="R1810">
        <v>1</v>
      </c>
      <c r="T1810" s="5" t="s">
        <v>38</v>
      </c>
      <c r="W1810">
        <v>94</v>
      </c>
      <c r="X1810" t="s">
        <v>1707</v>
      </c>
      <c r="Y1810" t="str">
        <f>VLOOKUP(C1810,'[1]DBS_KPY Sorumlular'!A:C,2,FALSE)</f>
        <v>Sinan ERDAŞ</v>
      </c>
      <c r="Z1810" t="str">
        <f>VLOOKUP(C1810,'[1]DBS_KPY Sorumlular'!A:C,3,FALSE)</f>
        <v>Ayşegül AKGÜL</v>
      </c>
      <c r="AA1810" t="str">
        <f>VLOOKUP(K1810,[1]!Tablo3[#Data],2,FALSE)</f>
        <v>Erkan AKDOĞAN</v>
      </c>
    </row>
    <row r="1811" spans="1:27" x14ac:dyDescent="0.25">
      <c r="A1811">
        <v>3160</v>
      </c>
      <c r="B1811" t="s">
        <v>27</v>
      </c>
      <c r="C1811" t="s">
        <v>288</v>
      </c>
      <c r="D1811" t="s">
        <v>6418</v>
      </c>
      <c r="G1811" t="s">
        <v>30</v>
      </c>
      <c r="H1811" t="s">
        <v>6479</v>
      </c>
      <c r="I1811" s="4">
        <v>43616.875</v>
      </c>
      <c r="J1811" t="s">
        <v>6480</v>
      </c>
      <c r="K1811" t="s">
        <v>898</v>
      </c>
      <c r="L1811" s="5"/>
      <c r="M1811" s="5"/>
      <c r="N1811" t="s">
        <v>82</v>
      </c>
      <c r="O1811" t="s">
        <v>6481</v>
      </c>
      <c r="R1811">
        <v>1</v>
      </c>
      <c r="T1811" s="5" t="s">
        <v>38</v>
      </c>
      <c r="W1811">
        <v>273</v>
      </c>
      <c r="X1811" t="s">
        <v>6298</v>
      </c>
      <c r="Y1811" t="str">
        <f>VLOOKUP(C1811,'[1]DBS_KPY Sorumlular'!A:C,2,FALSE)</f>
        <v>Sinan ERDAŞ</v>
      </c>
      <c r="Z1811" t="str">
        <f>VLOOKUP(C1811,'[1]DBS_KPY Sorumlular'!A:C,3,FALSE)</f>
        <v>Ayşegül AKGÜL</v>
      </c>
      <c r="AA1811" t="str">
        <f>VLOOKUP(K1811,[1]!Tablo3[#Data],2,FALSE)</f>
        <v>Erkan AKDOĞAN</v>
      </c>
    </row>
    <row r="1812" spans="1:27" x14ac:dyDescent="0.25">
      <c r="A1812">
        <v>3161</v>
      </c>
      <c r="B1812" t="s">
        <v>27</v>
      </c>
      <c r="C1812" t="s">
        <v>288</v>
      </c>
      <c r="D1812" t="s">
        <v>4091</v>
      </c>
      <c r="G1812" t="s">
        <v>67</v>
      </c>
      <c r="H1812" t="s">
        <v>6482</v>
      </c>
      <c r="I1812" s="4">
        <v>44347.875</v>
      </c>
      <c r="J1812" t="s">
        <v>6483</v>
      </c>
      <c r="K1812" t="s">
        <v>898</v>
      </c>
      <c r="L1812" s="5"/>
      <c r="M1812" s="5"/>
      <c r="N1812" t="s">
        <v>82</v>
      </c>
      <c r="O1812" t="s">
        <v>6484</v>
      </c>
      <c r="R1812">
        <v>1</v>
      </c>
      <c r="T1812" s="5" t="s">
        <v>38</v>
      </c>
      <c r="W1812">
        <v>94</v>
      </c>
      <c r="X1812" t="s">
        <v>1707</v>
      </c>
      <c r="Y1812" t="str">
        <f>VLOOKUP(C1812,'[1]DBS_KPY Sorumlular'!A:C,2,FALSE)</f>
        <v>Sinan ERDAŞ</v>
      </c>
      <c r="Z1812" t="str">
        <f>VLOOKUP(C1812,'[1]DBS_KPY Sorumlular'!A:C,3,FALSE)</f>
        <v>Ayşegül AKGÜL</v>
      </c>
      <c r="AA1812" t="str">
        <f>VLOOKUP(K1812,[1]!Tablo3[#Data],2,FALSE)</f>
        <v>Erkan AKDOĞAN</v>
      </c>
    </row>
    <row r="1813" spans="1:27" x14ac:dyDescent="0.25">
      <c r="A1813">
        <v>3162</v>
      </c>
      <c r="B1813" t="s">
        <v>27</v>
      </c>
      <c r="C1813" t="s">
        <v>288</v>
      </c>
      <c r="D1813" t="s">
        <v>6418</v>
      </c>
      <c r="G1813" t="s">
        <v>43</v>
      </c>
      <c r="H1813" t="s">
        <v>6485</v>
      </c>
      <c r="I1813" s="4">
        <v>44347.875</v>
      </c>
      <c r="J1813" t="s">
        <v>6486</v>
      </c>
      <c r="K1813" t="s">
        <v>898</v>
      </c>
      <c r="L1813" s="5"/>
      <c r="M1813" s="5"/>
      <c r="N1813" t="s">
        <v>82</v>
      </c>
      <c r="O1813" t="s">
        <v>6487</v>
      </c>
      <c r="R1813">
        <v>1</v>
      </c>
      <c r="T1813" s="5" t="s">
        <v>38</v>
      </c>
      <c r="W1813">
        <v>215</v>
      </c>
      <c r="X1813" t="s">
        <v>6488</v>
      </c>
      <c r="Y1813" t="str">
        <f>VLOOKUP(C1813,'[1]DBS_KPY Sorumlular'!A:C,2,FALSE)</f>
        <v>Sinan ERDAŞ</v>
      </c>
      <c r="Z1813" t="str">
        <f>VLOOKUP(C1813,'[1]DBS_KPY Sorumlular'!A:C,3,FALSE)</f>
        <v>Ayşegül AKGÜL</v>
      </c>
      <c r="AA1813" t="str">
        <f>VLOOKUP(K1813,[1]!Tablo3[#Data],2,FALSE)</f>
        <v>Erkan AKDOĞAN</v>
      </c>
    </row>
    <row r="1814" spans="1:27" x14ac:dyDescent="0.25">
      <c r="A1814">
        <v>3163</v>
      </c>
      <c r="B1814" t="s">
        <v>27</v>
      </c>
      <c r="C1814" t="s">
        <v>288</v>
      </c>
      <c r="D1814" t="s">
        <v>4091</v>
      </c>
      <c r="G1814" t="s">
        <v>67</v>
      </c>
      <c r="H1814" t="s">
        <v>6489</v>
      </c>
      <c r="I1814" s="4">
        <v>44712.875</v>
      </c>
      <c r="J1814" t="s">
        <v>6490</v>
      </c>
      <c r="K1814" t="s">
        <v>898</v>
      </c>
      <c r="L1814" s="5"/>
      <c r="M1814" s="5"/>
      <c r="N1814" t="s">
        <v>82</v>
      </c>
      <c r="O1814" t="s">
        <v>6491</v>
      </c>
      <c r="R1814">
        <v>1</v>
      </c>
      <c r="T1814" s="5" t="s">
        <v>38</v>
      </c>
      <c r="W1814">
        <v>269</v>
      </c>
      <c r="X1814" t="s">
        <v>3988</v>
      </c>
      <c r="Y1814" t="str">
        <f>VLOOKUP(C1814,'[1]DBS_KPY Sorumlular'!A:C,2,FALSE)</f>
        <v>Sinan ERDAŞ</v>
      </c>
      <c r="Z1814" t="str">
        <f>VLOOKUP(C1814,'[1]DBS_KPY Sorumlular'!A:C,3,FALSE)</f>
        <v>Ayşegül AKGÜL</v>
      </c>
      <c r="AA1814" t="str">
        <f>VLOOKUP(K1814,[1]!Tablo3[#Data],2,FALSE)</f>
        <v>Erkan AKDOĞAN</v>
      </c>
    </row>
    <row r="1815" spans="1:27" x14ac:dyDescent="0.25">
      <c r="A1815">
        <v>3164</v>
      </c>
      <c r="B1815" t="s">
        <v>27</v>
      </c>
      <c r="C1815" t="s">
        <v>288</v>
      </c>
      <c r="D1815" t="s">
        <v>4091</v>
      </c>
      <c r="G1815" t="s">
        <v>67</v>
      </c>
      <c r="H1815" t="s">
        <v>6492</v>
      </c>
      <c r="I1815" s="4">
        <v>44712.875</v>
      </c>
      <c r="J1815" t="s">
        <v>6402</v>
      </c>
      <c r="K1815" t="s">
        <v>898</v>
      </c>
      <c r="L1815" s="5"/>
      <c r="M1815" s="5"/>
      <c r="N1815" t="s">
        <v>82</v>
      </c>
      <c r="O1815" t="s">
        <v>6493</v>
      </c>
      <c r="R1815">
        <v>1</v>
      </c>
      <c r="T1815" s="5" t="s">
        <v>38</v>
      </c>
      <c r="W1815">
        <v>94</v>
      </c>
      <c r="X1815" t="s">
        <v>1707</v>
      </c>
      <c r="Y1815" t="str">
        <f>VLOOKUP(C1815,'[1]DBS_KPY Sorumlular'!A:C,2,FALSE)</f>
        <v>Sinan ERDAŞ</v>
      </c>
      <c r="Z1815" t="str">
        <f>VLOOKUP(C1815,'[1]DBS_KPY Sorumlular'!A:C,3,FALSE)</f>
        <v>Ayşegül AKGÜL</v>
      </c>
      <c r="AA1815" t="str">
        <f>VLOOKUP(K1815,[1]!Tablo3[#Data],2,FALSE)</f>
        <v>Erkan AKDOĞAN</v>
      </c>
    </row>
    <row r="1816" spans="1:27" x14ac:dyDescent="0.25">
      <c r="A1816">
        <v>3165</v>
      </c>
      <c r="B1816" t="s">
        <v>27</v>
      </c>
      <c r="C1816" t="s">
        <v>288</v>
      </c>
      <c r="D1816" t="s">
        <v>4091</v>
      </c>
      <c r="G1816" t="s">
        <v>67</v>
      </c>
      <c r="H1816" t="s">
        <v>6494</v>
      </c>
      <c r="I1816" s="4">
        <v>44712.875</v>
      </c>
      <c r="J1816" t="s">
        <v>6495</v>
      </c>
      <c r="K1816" t="s">
        <v>898</v>
      </c>
      <c r="L1816" s="5"/>
      <c r="M1816" s="5"/>
      <c r="N1816" t="s">
        <v>82</v>
      </c>
      <c r="O1816" t="s">
        <v>6496</v>
      </c>
      <c r="R1816">
        <v>1</v>
      </c>
      <c r="T1816" s="5" t="s">
        <v>38</v>
      </c>
      <c r="W1816">
        <v>269</v>
      </c>
      <c r="X1816" t="s">
        <v>3988</v>
      </c>
      <c r="Y1816" t="str">
        <f>VLOOKUP(C1816,'[1]DBS_KPY Sorumlular'!A:C,2,FALSE)</f>
        <v>Sinan ERDAŞ</v>
      </c>
      <c r="Z1816" t="str">
        <f>VLOOKUP(C1816,'[1]DBS_KPY Sorumlular'!A:C,3,FALSE)</f>
        <v>Ayşegül AKGÜL</v>
      </c>
      <c r="AA1816" t="str">
        <f>VLOOKUP(K1816,[1]!Tablo3[#Data],2,FALSE)</f>
        <v>Erkan AKDOĞAN</v>
      </c>
    </row>
    <row r="1817" spans="1:27" x14ac:dyDescent="0.25">
      <c r="A1817">
        <v>3166</v>
      </c>
      <c r="B1817" t="s">
        <v>27</v>
      </c>
      <c r="C1817" t="s">
        <v>288</v>
      </c>
      <c r="D1817" t="s">
        <v>6418</v>
      </c>
      <c r="G1817" t="s">
        <v>30</v>
      </c>
      <c r="H1817" t="s">
        <v>6497</v>
      </c>
      <c r="I1817" s="4">
        <v>45077.875</v>
      </c>
      <c r="J1817" t="s">
        <v>6498</v>
      </c>
      <c r="K1817" t="s">
        <v>898</v>
      </c>
      <c r="L1817" s="5"/>
      <c r="M1817" s="5"/>
      <c r="N1817" t="s">
        <v>82</v>
      </c>
      <c r="O1817" t="s">
        <v>6499</v>
      </c>
      <c r="R1817">
        <v>1</v>
      </c>
      <c r="T1817" s="5" t="s">
        <v>38</v>
      </c>
      <c r="W1817">
        <v>71</v>
      </c>
      <c r="X1817" t="s">
        <v>1299</v>
      </c>
      <c r="Y1817" t="str">
        <f>VLOOKUP(C1817,'[1]DBS_KPY Sorumlular'!A:C,2,FALSE)</f>
        <v>Sinan ERDAŞ</v>
      </c>
      <c r="Z1817" t="str">
        <f>VLOOKUP(C1817,'[1]DBS_KPY Sorumlular'!A:C,3,FALSE)</f>
        <v>Ayşegül AKGÜL</v>
      </c>
      <c r="AA1817" t="str">
        <f>VLOOKUP(K1817,[1]!Tablo3[#Data],2,FALSE)</f>
        <v>Erkan AKDOĞAN</v>
      </c>
    </row>
    <row r="1818" spans="1:27" x14ac:dyDescent="0.25">
      <c r="A1818">
        <v>3167</v>
      </c>
      <c r="B1818" t="s">
        <v>27</v>
      </c>
      <c r="C1818" t="s">
        <v>288</v>
      </c>
      <c r="D1818" t="s">
        <v>4091</v>
      </c>
      <c r="G1818" t="s">
        <v>67</v>
      </c>
      <c r="H1818" t="s">
        <v>6500</v>
      </c>
      <c r="I1818" s="4">
        <v>45077.875</v>
      </c>
      <c r="J1818" t="s">
        <v>6402</v>
      </c>
      <c r="K1818" t="s">
        <v>898</v>
      </c>
      <c r="L1818" s="5"/>
      <c r="M1818" s="5"/>
      <c r="N1818" t="s">
        <v>82</v>
      </c>
      <c r="O1818" t="s">
        <v>6501</v>
      </c>
      <c r="R1818">
        <v>1</v>
      </c>
      <c r="T1818" s="5" t="s">
        <v>38</v>
      </c>
      <c r="W1818">
        <v>269</v>
      </c>
      <c r="X1818" t="s">
        <v>3988</v>
      </c>
      <c r="Y1818" t="str">
        <f>VLOOKUP(C1818,'[1]DBS_KPY Sorumlular'!A:C,2,FALSE)</f>
        <v>Sinan ERDAŞ</v>
      </c>
      <c r="Z1818" t="str">
        <f>VLOOKUP(C1818,'[1]DBS_KPY Sorumlular'!A:C,3,FALSE)</f>
        <v>Ayşegül AKGÜL</v>
      </c>
      <c r="AA1818" t="str">
        <f>VLOOKUP(K1818,[1]!Tablo3[#Data],2,FALSE)</f>
        <v>Erkan AKDOĞAN</v>
      </c>
    </row>
    <row r="1819" spans="1:27" x14ac:dyDescent="0.25">
      <c r="A1819">
        <v>3168</v>
      </c>
      <c r="B1819" t="s">
        <v>27</v>
      </c>
      <c r="C1819" t="s">
        <v>288</v>
      </c>
      <c r="D1819" t="s">
        <v>4091</v>
      </c>
      <c r="G1819" t="s">
        <v>67</v>
      </c>
      <c r="H1819" t="s">
        <v>6502</v>
      </c>
      <c r="I1819" s="4">
        <v>45443.875</v>
      </c>
      <c r="J1819" t="s">
        <v>6503</v>
      </c>
      <c r="K1819" t="s">
        <v>898</v>
      </c>
      <c r="L1819" s="5"/>
      <c r="M1819" s="5"/>
      <c r="N1819" t="s">
        <v>82</v>
      </c>
      <c r="O1819" t="s">
        <v>6504</v>
      </c>
      <c r="R1819">
        <v>1</v>
      </c>
      <c r="T1819" s="5" t="s">
        <v>38</v>
      </c>
      <c r="W1819">
        <v>269</v>
      </c>
      <c r="X1819" t="s">
        <v>3988</v>
      </c>
      <c r="Y1819" t="str">
        <f>VLOOKUP(C1819,'[1]DBS_KPY Sorumlular'!A:C,2,FALSE)</f>
        <v>Sinan ERDAŞ</v>
      </c>
      <c r="Z1819" t="str">
        <f>VLOOKUP(C1819,'[1]DBS_KPY Sorumlular'!A:C,3,FALSE)</f>
        <v>Ayşegül AKGÜL</v>
      </c>
      <c r="AA1819" t="str">
        <f>VLOOKUP(K1819,[1]!Tablo3[#Data],2,FALSE)</f>
        <v>Erkan AKDOĞAN</v>
      </c>
    </row>
    <row r="1820" spans="1:27" x14ac:dyDescent="0.25">
      <c r="A1820">
        <v>3169</v>
      </c>
      <c r="B1820" t="s">
        <v>27</v>
      </c>
      <c r="C1820" t="s">
        <v>288</v>
      </c>
      <c r="D1820" t="s">
        <v>4091</v>
      </c>
      <c r="G1820" t="s">
        <v>67</v>
      </c>
      <c r="H1820" t="s">
        <v>6505</v>
      </c>
      <c r="I1820" s="4">
        <v>45443.875</v>
      </c>
      <c r="J1820" t="s">
        <v>6506</v>
      </c>
      <c r="K1820" t="s">
        <v>898</v>
      </c>
      <c r="L1820" s="5"/>
      <c r="M1820" s="5"/>
      <c r="N1820" t="s">
        <v>82</v>
      </c>
      <c r="O1820" t="s">
        <v>6507</v>
      </c>
      <c r="R1820">
        <v>1</v>
      </c>
      <c r="T1820" s="5" t="s">
        <v>38</v>
      </c>
      <c r="W1820">
        <v>269</v>
      </c>
      <c r="X1820" t="s">
        <v>3988</v>
      </c>
      <c r="Y1820" t="str">
        <f>VLOOKUP(C1820,'[1]DBS_KPY Sorumlular'!A:C,2,FALSE)</f>
        <v>Sinan ERDAŞ</v>
      </c>
      <c r="Z1820" t="str">
        <f>VLOOKUP(C1820,'[1]DBS_KPY Sorumlular'!A:C,3,FALSE)</f>
        <v>Ayşegül AKGÜL</v>
      </c>
      <c r="AA1820" t="str">
        <f>VLOOKUP(K1820,[1]!Tablo3[#Data],2,FALSE)</f>
        <v>Erkan AKDOĞAN</v>
      </c>
    </row>
    <row r="1821" spans="1:27" x14ac:dyDescent="0.25">
      <c r="A1821">
        <v>3170</v>
      </c>
      <c r="B1821" t="s">
        <v>27</v>
      </c>
      <c r="C1821" t="s">
        <v>288</v>
      </c>
      <c r="D1821" t="s">
        <v>6418</v>
      </c>
      <c r="G1821" t="s">
        <v>30</v>
      </c>
      <c r="H1821" t="s">
        <v>6508</v>
      </c>
      <c r="I1821" s="4">
        <v>45443.875</v>
      </c>
      <c r="J1821" t="s">
        <v>6509</v>
      </c>
      <c r="K1821" t="s">
        <v>898</v>
      </c>
      <c r="L1821" s="5"/>
      <c r="M1821" s="5"/>
      <c r="N1821" t="s">
        <v>82</v>
      </c>
      <c r="O1821" t="s">
        <v>6487</v>
      </c>
      <c r="R1821">
        <v>1</v>
      </c>
      <c r="T1821" s="5" t="s">
        <v>38</v>
      </c>
      <c r="W1821">
        <v>273</v>
      </c>
      <c r="X1821" t="s">
        <v>6298</v>
      </c>
      <c r="Y1821" t="str">
        <f>VLOOKUP(C1821,'[1]DBS_KPY Sorumlular'!A:C,2,FALSE)</f>
        <v>Sinan ERDAŞ</v>
      </c>
      <c r="Z1821" t="str">
        <f>VLOOKUP(C1821,'[1]DBS_KPY Sorumlular'!A:C,3,FALSE)</f>
        <v>Ayşegül AKGÜL</v>
      </c>
      <c r="AA1821" t="str">
        <f>VLOOKUP(K1821,[1]!Tablo3[#Data],2,FALSE)</f>
        <v>Erkan AKDOĞAN</v>
      </c>
    </row>
    <row r="1822" spans="1:27" x14ac:dyDescent="0.25">
      <c r="A1822">
        <v>3171</v>
      </c>
      <c r="B1822" t="s">
        <v>27</v>
      </c>
      <c r="C1822" t="s">
        <v>288</v>
      </c>
      <c r="D1822" t="s">
        <v>6418</v>
      </c>
      <c r="G1822" t="s">
        <v>30</v>
      </c>
      <c r="H1822" t="s">
        <v>6510</v>
      </c>
      <c r="I1822" s="4">
        <v>44712.875</v>
      </c>
      <c r="J1822" t="s">
        <v>6511</v>
      </c>
      <c r="K1822" t="s">
        <v>898</v>
      </c>
      <c r="L1822" s="5"/>
      <c r="M1822" s="5" t="s">
        <v>6512</v>
      </c>
      <c r="N1822" t="s">
        <v>82</v>
      </c>
      <c r="O1822" t="s">
        <v>6487</v>
      </c>
      <c r="R1822">
        <v>1</v>
      </c>
      <c r="T1822" s="5" t="s">
        <v>38</v>
      </c>
      <c r="W1822">
        <v>215</v>
      </c>
      <c r="X1822" t="s">
        <v>6488</v>
      </c>
      <c r="Y1822" t="str">
        <f>VLOOKUP(C1822,'[1]DBS_KPY Sorumlular'!A:C,2,FALSE)</f>
        <v>Sinan ERDAŞ</v>
      </c>
      <c r="Z1822" t="str">
        <f>VLOOKUP(C1822,'[1]DBS_KPY Sorumlular'!A:C,3,FALSE)</f>
        <v>Ayşegül AKGÜL</v>
      </c>
      <c r="AA1822" t="str">
        <f>VLOOKUP(K1822,[1]!Tablo3[#Data],2,FALSE)</f>
        <v>Erkan AKDOĞAN</v>
      </c>
    </row>
    <row r="1823" spans="1:27" x14ac:dyDescent="0.25">
      <c r="A1823">
        <v>3171</v>
      </c>
      <c r="B1823" t="s">
        <v>27</v>
      </c>
      <c r="C1823" t="s">
        <v>288</v>
      </c>
      <c r="D1823" t="s">
        <v>6418</v>
      </c>
      <c r="G1823" t="s">
        <v>30</v>
      </c>
      <c r="H1823" t="s">
        <v>6510</v>
      </c>
      <c r="I1823" s="4">
        <v>44712.875</v>
      </c>
      <c r="J1823" t="s">
        <v>6511</v>
      </c>
      <c r="K1823" t="s">
        <v>898</v>
      </c>
      <c r="L1823" s="5"/>
      <c r="M1823" s="5" t="s">
        <v>6512</v>
      </c>
      <c r="N1823" t="s">
        <v>82</v>
      </c>
      <c r="O1823" t="s">
        <v>6487</v>
      </c>
      <c r="R1823">
        <v>1</v>
      </c>
      <c r="T1823" s="5" t="s">
        <v>38</v>
      </c>
      <c r="W1823">
        <v>231</v>
      </c>
      <c r="X1823" t="s">
        <v>2677</v>
      </c>
      <c r="Y1823" t="str">
        <f>VLOOKUP(C1823,'[1]DBS_KPY Sorumlular'!A:C,2,FALSE)</f>
        <v>Sinan ERDAŞ</v>
      </c>
      <c r="Z1823" t="str">
        <f>VLOOKUP(C1823,'[1]DBS_KPY Sorumlular'!A:C,3,FALSE)</f>
        <v>Ayşegül AKGÜL</v>
      </c>
      <c r="AA1823" t="str">
        <f>VLOOKUP(K1823,[1]!Tablo3[#Data],2,FALSE)</f>
        <v>Erkan AKDOĞAN</v>
      </c>
    </row>
    <row r="1824" spans="1:27" x14ac:dyDescent="0.25">
      <c r="A1824">
        <v>3172</v>
      </c>
      <c r="B1824" t="s">
        <v>27</v>
      </c>
      <c r="C1824" t="s">
        <v>288</v>
      </c>
      <c r="D1824" t="s">
        <v>6418</v>
      </c>
      <c r="G1824" t="s">
        <v>30</v>
      </c>
      <c r="H1824" t="s">
        <v>6513</v>
      </c>
      <c r="I1824" s="4">
        <v>45443.875</v>
      </c>
      <c r="J1824" t="s">
        <v>6514</v>
      </c>
      <c r="K1824" t="s">
        <v>898</v>
      </c>
      <c r="L1824" s="5"/>
      <c r="M1824" s="5" t="s">
        <v>6515</v>
      </c>
      <c r="N1824" t="s">
        <v>82</v>
      </c>
      <c r="O1824" t="s">
        <v>6487</v>
      </c>
      <c r="R1824">
        <v>1</v>
      </c>
      <c r="T1824" s="5" t="s">
        <v>38</v>
      </c>
      <c r="W1824">
        <v>273</v>
      </c>
      <c r="X1824" t="s">
        <v>6298</v>
      </c>
      <c r="Y1824" t="str">
        <f>VLOOKUP(C1824,'[1]DBS_KPY Sorumlular'!A:C,2,FALSE)</f>
        <v>Sinan ERDAŞ</v>
      </c>
      <c r="Z1824" t="str">
        <f>VLOOKUP(C1824,'[1]DBS_KPY Sorumlular'!A:C,3,FALSE)</f>
        <v>Ayşegül AKGÜL</v>
      </c>
      <c r="AA1824" t="str">
        <f>VLOOKUP(K1824,[1]!Tablo3[#Data],2,FALSE)</f>
        <v>Erkan AKDOĞAN</v>
      </c>
    </row>
    <row r="1825" spans="1:27" x14ac:dyDescent="0.25">
      <c r="A1825">
        <v>3173</v>
      </c>
      <c r="B1825" t="s">
        <v>27</v>
      </c>
      <c r="C1825" t="s">
        <v>288</v>
      </c>
      <c r="D1825" t="s">
        <v>6396</v>
      </c>
      <c r="G1825" t="s">
        <v>456</v>
      </c>
      <c r="H1825" t="s">
        <v>6516</v>
      </c>
      <c r="I1825" s="4">
        <v>45443.875</v>
      </c>
      <c r="K1825" t="s">
        <v>898</v>
      </c>
      <c r="L1825" s="5"/>
      <c r="M1825" s="5" t="s">
        <v>6515</v>
      </c>
      <c r="N1825" t="s">
        <v>82</v>
      </c>
      <c r="O1825" t="s">
        <v>6517</v>
      </c>
      <c r="R1825">
        <v>1</v>
      </c>
      <c r="T1825" s="5" t="s">
        <v>38</v>
      </c>
      <c r="W1825">
        <v>144</v>
      </c>
      <c r="X1825" t="s">
        <v>463</v>
      </c>
      <c r="Y1825" t="str">
        <f>VLOOKUP(C1825,'[1]DBS_KPY Sorumlular'!A:C,2,FALSE)</f>
        <v>Sinan ERDAŞ</v>
      </c>
      <c r="Z1825" t="str">
        <f>VLOOKUP(C1825,'[1]DBS_KPY Sorumlular'!A:C,3,FALSE)</f>
        <v>Ayşegül AKGÜL</v>
      </c>
      <c r="AA1825" t="str">
        <f>VLOOKUP(K1825,[1]!Tablo3[#Data],2,FALSE)</f>
        <v>Erkan AKDOĞAN</v>
      </c>
    </row>
    <row r="1826" spans="1:27" x14ac:dyDescent="0.25">
      <c r="A1826">
        <v>3174</v>
      </c>
      <c r="B1826" t="s">
        <v>27</v>
      </c>
      <c r="C1826" t="s">
        <v>288</v>
      </c>
      <c r="D1826" t="s">
        <v>6357</v>
      </c>
      <c r="G1826" t="s">
        <v>30</v>
      </c>
      <c r="H1826" t="s">
        <v>6518</v>
      </c>
      <c r="I1826" s="4">
        <v>45443.875</v>
      </c>
      <c r="K1826" t="s">
        <v>898</v>
      </c>
      <c r="L1826" s="5"/>
      <c r="M1826" s="5" t="s">
        <v>6515</v>
      </c>
      <c r="N1826" t="s">
        <v>82</v>
      </c>
      <c r="O1826" t="s">
        <v>6519</v>
      </c>
      <c r="R1826">
        <v>1</v>
      </c>
      <c r="T1826" s="5" t="s">
        <v>38</v>
      </c>
      <c r="W1826">
        <v>94</v>
      </c>
      <c r="X1826" t="s">
        <v>1707</v>
      </c>
      <c r="Y1826" t="str">
        <f>VLOOKUP(C1826,'[1]DBS_KPY Sorumlular'!A:C,2,FALSE)</f>
        <v>Sinan ERDAŞ</v>
      </c>
      <c r="Z1826" t="str">
        <f>VLOOKUP(C1826,'[1]DBS_KPY Sorumlular'!A:C,3,FALSE)</f>
        <v>Ayşegül AKGÜL</v>
      </c>
      <c r="AA1826" t="str">
        <f>VLOOKUP(K1826,[1]!Tablo3[#Data],2,FALSE)</f>
        <v>Erkan AKDOĞAN</v>
      </c>
    </row>
    <row r="1827" spans="1:27" x14ac:dyDescent="0.25">
      <c r="A1827">
        <v>3175</v>
      </c>
      <c r="B1827" t="s">
        <v>27</v>
      </c>
      <c r="C1827" t="s">
        <v>288</v>
      </c>
      <c r="D1827" t="s">
        <v>6411</v>
      </c>
      <c r="G1827" t="s">
        <v>43</v>
      </c>
      <c r="H1827" t="s">
        <v>6520</v>
      </c>
      <c r="I1827" s="4">
        <v>45443.875</v>
      </c>
      <c r="K1827" t="s">
        <v>898</v>
      </c>
      <c r="L1827" s="5"/>
      <c r="M1827" s="5" t="s">
        <v>6515</v>
      </c>
      <c r="N1827" t="s">
        <v>82</v>
      </c>
      <c r="O1827" t="s">
        <v>6521</v>
      </c>
      <c r="R1827">
        <v>1</v>
      </c>
      <c r="T1827" s="5" t="s">
        <v>38</v>
      </c>
      <c r="W1827">
        <v>94</v>
      </c>
      <c r="X1827" t="s">
        <v>1707</v>
      </c>
      <c r="Y1827" t="str">
        <f>VLOOKUP(C1827,'[1]DBS_KPY Sorumlular'!A:C,2,FALSE)</f>
        <v>Sinan ERDAŞ</v>
      </c>
      <c r="Z1827" t="str">
        <f>VLOOKUP(C1827,'[1]DBS_KPY Sorumlular'!A:C,3,FALSE)</f>
        <v>Ayşegül AKGÜL</v>
      </c>
      <c r="AA1827" t="str">
        <f>VLOOKUP(K1827,[1]!Tablo3[#Data],2,FALSE)</f>
        <v>Erkan AKDOĞAN</v>
      </c>
    </row>
    <row r="1828" spans="1:27" x14ac:dyDescent="0.25">
      <c r="A1828">
        <v>3176</v>
      </c>
      <c r="B1828" t="s">
        <v>27</v>
      </c>
      <c r="C1828" t="s">
        <v>288</v>
      </c>
      <c r="D1828" t="s">
        <v>2645</v>
      </c>
      <c r="G1828" t="s">
        <v>96</v>
      </c>
      <c r="H1828" t="s">
        <v>6522</v>
      </c>
      <c r="I1828" s="4">
        <v>45443.875</v>
      </c>
      <c r="K1828" t="s">
        <v>898</v>
      </c>
      <c r="L1828" s="5"/>
      <c r="M1828" s="5" t="s">
        <v>6515</v>
      </c>
      <c r="N1828" t="s">
        <v>82</v>
      </c>
      <c r="O1828" t="s">
        <v>6523</v>
      </c>
      <c r="R1828">
        <v>1</v>
      </c>
      <c r="T1828" s="5" t="s">
        <v>38</v>
      </c>
      <c r="W1828">
        <v>28</v>
      </c>
      <c r="X1828" t="s">
        <v>667</v>
      </c>
      <c r="Y1828" t="str">
        <f>VLOOKUP(C1828,'[1]DBS_KPY Sorumlular'!A:C,2,FALSE)</f>
        <v>Sinan ERDAŞ</v>
      </c>
      <c r="Z1828" t="str">
        <f>VLOOKUP(C1828,'[1]DBS_KPY Sorumlular'!A:C,3,FALSE)</f>
        <v>Ayşegül AKGÜL</v>
      </c>
      <c r="AA1828" t="str">
        <f>VLOOKUP(K1828,[1]!Tablo3[#Data],2,FALSE)</f>
        <v>Erkan AKDOĞAN</v>
      </c>
    </row>
    <row r="1829" spans="1:27" x14ac:dyDescent="0.25">
      <c r="A1829">
        <v>3177</v>
      </c>
      <c r="B1829" t="s">
        <v>27</v>
      </c>
      <c r="C1829" t="s">
        <v>288</v>
      </c>
      <c r="D1829" t="s">
        <v>6357</v>
      </c>
      <c r="G1829" t="s">
        <v>30</v>
      </c>
      <c r="H1829" t="s">
        <v>6524</v>
      </c>
      <c r="I1829" s="4">
        <v>45443.875</v>
      </c>
      <c r="K1829" t="s">
        <v>898</v>
      </c>
      <c r="L1829" s="5"/>
      <c r="M1829" s="5" t="s">
        <v>6515</v>
      </c>
      <c r="N1829" t="s">
        <v>82</v>
      </c>
      <c r="O1829" t="s">
        <v>6519</v>
      </c>
      <c r="R1829">
        <v>1</v>
      </c>
      <c r="T1829" s="5" t="s">
        <v>38</v>
      </c>
      <c r="W1829">
        <v>267</v>
      </c>
      <c r="X1829" t="s">
        <v>6211</v>
      </c>
      <c r="Y1829" t="str">
        <f>VLOOKUP(C1829,'[1]DBS_KPY Sorumlular'!A:C,2,FALSE)</f>
        <v>Sinan ERDAŞ</v>
      </c>
      <c r="Z1829" t="str">
        <f>VLOOKUP(C1829,'[1]DBS_KPY Sorumlular'!A:C,3,FALSE)</f>
        <v>Ayşegül AKGÜL</v>
      </c>
      <c r="AA1829" t="str">
        <f>VLOOKUP(K1829,[1]!Tablo3[#Data],2,FALSE)</f>
        <v>Erkan AKDOĞAN</v>
      </c>
    </row>
    <row r="1830" spans="1:27" x14ac:dyDescent="0.25">
      <c r="A1830">
        <v>3178</v>
      </c>
      <c r="B1830" t="s">
        <v>27</v>
      </c>
      <c r="C1830" t="s">
        <v>288</v>
      </c>
      <c r="D1830" t="s">
        <v>6411</v>
      </c>
      <c r="G1830" t="s">
        <v>43</v>
      </c>
      <c r="H1830" t="s">
        <v>6525</v>
      </c>
      <c r="I1830" s="4">
        <v>45443.875</v>
      </c>
      <c r="K1830" t="s">
        <v>898</v>
      </c>
      <c r="L1830" s="5"/>
      <c r="M1830" s="5" t="s">
        <v>6515</v>
      </c>
      <c r="N1830" t="s">
        <v>82</v>
      </c>
      <c r="O1830" t="s">
        <v>6521</v>
      </c>
      <c r="R1830">
        <v>1</v>
      </c>
      <c r="T1830" s="5" t="s">
        <v>38</v>
      </c>
      <c r="W1830">
        <v>94</v>
      </c>
      <c r="X1830" t="s">
        <v>1707</v>
      </c>
      <c r="Y1830" t="str">
        <f>VLOOKUP(C1830,'[1]DBS_KPY Sorumlular'!A:C,2,FALSE)</f>
        <v>Sinan ERDAŞ</v>
      </c>
      <c r="Z1830" t="str">
        <f>VLOOKUP(C1830,'[1]DBS_KPY Sorumlular'!A:C,3,FALSE)</f>
        <v>Ayşegül AKGÜL</v>
      </c>
      <c r="AA1830" t="str">
        <f>VLOOKUP(K1830,[1]!Tablo3[#Data],2,FALSE)</f>
        <v>Erkan AKDOĞAN</v>
      </c>
    </row>
    <row r="1831" spans="1:27" x14ac:dyDescent="0.25">
      <c r="A1831">
        <v>3179</v>
      </c>
      <c r="B1831" t="s">
        <v>27</v>
      </c>
      <c r="C1831" t="s">
        <v>288</v>
      </c>
      <c r="D1831" t="s">
        <v>6526</v>
      </c>
      <c r="G1831" t="s">
        <v>30</v>
      </c>
      <c r="H1831" t="s">
        <v>6527</v>
      </c>
      <c r="I1831" s="4">
        <v>45443.875</v>
      </c>
      <c r="K1831" t="s">
        <v>898</v>
      </c>
      <c r="L1831" s="5"/>
      <c r="M1831" s="5" t="s">
        <v>6515</v>
      </c>
      <c r="N1831" t="s">
        <v>82</v>
      </c>
      <c r="O1831" t="s">
        <v>6519</v>
      </c>
      <c r="R1831">
        <v>1</v>
      </c>
      <c r="T1831" s="5" t="s">
        <v>38</v>
      </c>
      <c r="W1831">
        <v>232</v>
      </c>
      <c r="X1831" t="s">
        <v>6528</v>
      </c>
      <c r="Y1831" t="str">
        <f>VLOOKUP(C1831,'[1]DBS_KPY Sorumlular'!A:C,2,FALSE)</f>
        <v>Sinan ERDAŞ</v>
      </c>
      <c r="Z1831" t="str">
        <f>VLOOKUP(C1831,'[1]DBS_KPY Sorumlular'!A:C,3,FALSE)</f>
        <v>Ayşegül AKGÜL</v>
      </c>
      <c r="AA1831" t="str">
        <f>VLOOKUP(K1831,[1]!Tablo3[#Data],2,FALSE)</f>
        <v>Erkan AKDOĞAN</v>
      </c>
    </row>
    <row r="1832" spans="1:27" x14ac:dyDescent="0.25">
      <c r="A1832">
        <v>3180</v>
      </c>
      <c r="B1832" t="s">
        <v>27</v>
      </c>
      <c r="C1832" t="s">
        <v>288</v>
      </c>
      <c r="D1832" t="s">
        <v>5455</v>
      </c>
      <c r="G1832" t="s">
        <v>96</v>
      </c>
      <c r="H1832" t="s">
        <v>6529</v>
      </c>
      <c r="I1832" s="4">
        <v>45443.875</v>
      </c>
      <c r="K1832" t="s">
        <v>898</v>
      </c>
      <c r="L1832" s="5"/>
      <c r="M1832" s="5" t="s">
        <v>6515</v>
      </c>
      <c r="N1832" t="s">
        <v>82</v>
      </c>
      <c r="O1832" t="s">
        <v>6523</v>
      </c>
      <c r="R1832">
        <v>1</v>
      </c>
      <c r="T1832" s="5" t="s">
        <v>38</v>
      </c>
      <c r="W1832">
        <v>204</v>
      </c>
      <c r="X1832" t="s">
        <v>2572</v>
      </c>
      <c r="Y1832" t="str">
        <f>VLOOKUP(C1832,'[1]DBS_KPY Sorumlular'!A:C,2,FALSE)</f>
        <v>Sinan ERDAŞ</v>
      </c>
      <c r="Z1832" t="str">
        <f>VLOOKUP(C1832,'[1]DBS_KPY Sorumlular'!A:C,3,FALSE)</f>
        <v>Ayşegül AKGÜL</v>
      </c>
      <c r="AA1832" t="str">
        <f>VLOOKUP(K1832,[1]!Tablo3[#Data],2,FALSE)</f>
        <v>Erkan AKDOĞAN</v>
      </c>
    </row>
    <row r="1833" spans="1:27" x14ac:dyDescent="0.25">
      <c r="A1833">
        <v>3181</v>
      </c>
      <c r="B1833" t="s">
        <v>27</v>
      </c>
      <c r="C1833" t="s">
        <v>288</v>
      </c>
      <c r="D1833" t="s">
        <v>5455</v>
      </c>
      <c r="G1833" t="s">
        <v>96</v>
      </c>
      <c r="H1833" t="s">
        <v>6530</v>
      </c>
      <c r="I1833" s="4">
        <v>45443.875</v>
      </c>
      <c r="K1833" t="s">
        <v>898</v>
      </c>
      <c r="L1833" s="5"/>
      <c r="M1833" s="5" t="s">
        <v>6515</v>
      </c>
      <c r="N1833" t="s">
        <v>82</v>
      </c>
      <c r="O1833" t="s">
        <v>6523</v>
      </c>
      <c r="R1833">
        <v>1</v>
      </c>
      <c r="T1833" s="5" t="s">
        <v>38</v>
      </c>
      <c r="W1833">
        <v>94</v>
      </c>
      <c r="X1833" t="s">
        <v>1707</v>
      </c>
      <c r="Y1833" t="str">
        <f>VLOOKUP(C1833,'[1]DBS_KPY Sorumlular'!A:C,2,FALSE)</f>
        <v>Sinan ERDAŞ</v>
      </c>
      <c r="Z1833" t="str">
        <f>VLOOKUP(C1833,'[1]DBS_KPY Sorumlular'!A:C,3,FALSE)</f>
        <v>Ayşegül AKGÜL</v>
      </c>
      <c r="AA1833" t="str">
        <f>VLOOKUP(K1833,[1]!Tablo3[#Data],2,FALSE)</f>
        <v>Erkan AKDOĞAN</v>
      </c>
    </row>
    <row r="1834" spans="1:27" x14ac:dyDescent="0.25">
      <c r="A1834">
        <v>3182</v>
      </c>
      <c r="B1834" t="s">
        <v>27</v>
      </c>
      <c r="C1834" t="s">
        <v>288</v>
      </c>
      <c r="D1834" t="s">
        <v>289</v>
      </c>
      <c r="G1834" t="s">
        <v>291</v>
      </c>
      <c r="H1834" t="s">
        <v>6531</v>
      </c>
      <c r="I1834" s="4">
        <v>44417.875</v>
      </c>
      <c r="J1834" t="s">
        <v>6388</v>
      </c>
      <c r="K1834" t="s">
        <v>914</v>
      </c>
      <c r="L1834" s="5"/>
      <c r="M1834" s="5"/>
      <c r="N1834" t="s">
        <v>82</v>
      </c>
      <c r="O1834" t="s">
        <v>6532</v>
      </c>
      <c r="R1834">
        <v>1</v>
      </c>
      <c r="T1834" s="5" t="s">
        <v>38</v>
      </c>
      <c r="W1834">
        <v>23</v>
      </c>
      <c r="X1834" t="s">
        <v>295</v>
      </c>
      <c r="Y1834" t="str">
        <f>VLOOKUP(C1834,'[1]DBS_KPY Sorumlular'!A:C,2,FALSE)</f>
        <v>Sinan ERDAŞ</v>
      </c>
      <c r="Z1834" t="str">
        <f>VLOOKUP(C1834,'[1]DBS_KPY Sorumlular'!A:C,3,FALSE)</f>
        <v>Ayşegül AKGÜL</v>
      </c>
      <c r="AA1834" t="str">
        <f>VLOOKUP(K1834,[1]!Tablo3[#Data],2,FALSE)</f>
        <v>Tayfun VİÇE</v>
      </c>
    </row>
    <row r="1835" spans="1:27" x14ac:dyDescent="0.25">
      <c r="A1835">
        <v>3183</v>
      </c>
      <c r="B1835" t="s">
        <v>27</v>
      </c>
      <c r="C1835" t="s">
        <v>288</v>
      </c>
      <c r="D1835" t="s">
        <v>2645</v>
      </c>
      <c r="G1835" t="s">
        <v>456</v>
      </c>
      <c r="H1835" t="s">
        <v>6533</v>
      </c>
      <c r="I1835" s="4">
        <v>44712.875</v>
      </c>
      <c r="K1835" t="s">
        <v>914</v>
      </c>
      <c r="L1835" s="5"/>
      <c r="M1835" s="5"/>
      <c r="N1835" t="s">
        <v>82</v>
      </c>
      <c r="O1835" t="s">
        <v>6534</v>
      </c>
      <c r="R1835">
        <v>1</v>
      </c>
      <c r="T1835" s="5" t="s">
        <v>38</v>
      </c>
      <c r="W1835">
        <v>144</v>
      </c>
      <c r="X1835" t="s">
        <v>463</v>
      </c>
      <c r="Y1835" t="str">
        <f>VLOOKUP(C1835,'[1]DBS_KPY Sorumlular'!A:C,2,FALSE)</f>
        <v>Sinan ERDAŞ</v>
      </c>
      <c r="Z1835" t="str">
        <f>VLOOKUP(C1835,'[1]DBS_KPY Sorumlular'!A:C,3,FALSE)</f>
        <v>Ayşegül AKGÜL</v>
      </c>
      <c r="AA1835" t="str">
        <f>VLOOKUP(K1835,[1]!Tablo3[#Data],2,FALSE)</f>
        <v>Tayfun VİÇE</v>
      </c>
    </row>
    <row r="1836" spans="1:27" x14ac:dyDescent="0.25">
      <c r="A1836">
        <v>3184</v>
      </c>
      <c r="B1836" t="s">
        <v>27</v>
      </c>
      <c r="C1836" t="s">
        <v>288</v>
      </c>
      <c r="D1836" t="s">
        <v>6366</v>
      </c>
      <c r="G1836" t="s">
        <v>384</v>
      </c>
      <c r="H1836" t="s">
        <v>6535</v>
      </c>
      <c r="I1836" s="4">
        <v>44712.875</v>
      </c>
      <c r="J1836" t="s">
        <v>6402</v>
      </c>
      <c r="K1836" t="s">
        <v>914</v>
      </c>
      <c r="L1836" s="5"/>
      <c r="M1836" s="5"/>
      <c r="N1836" t="s">
        <v>82</v>
      </c>
      <c r="O1836" t="s">
        <v>6536</v>
      </c>
      <c r="R1836">
        <v>1</v>
      </c>
      <c r="T1836" s="5" t="s">
        <v>38</v>
      </c>
      <c r="W1836">
        <v>77</v>
      </c>
      <c r="X1836" t="s">
        <v>3223</v>
      </c>
      <c r="Y1836" t="str">
        <f>VLOOKUP(C1836,'[1]DBS_KPY Sorumlular'!A:C,2,FALSE)</f>
        <v>Sinan ERDAŞ</v>
      </c>
      <c r="Z1836" t="str">
        <f>VLOOKUP(C1836,'[1]DBS_KPY Sorumlular'!A:C,3,FALSE)</f>
        <v>Ayşegül AKGÜL</v>
      </c>
      <c r="AA1836" t="str">
        <f>VLOOKUP(K1836,[1]!Tablo3[#Data],2,FALSE)</f>
        <v>Tayfun VİÇE</v>
      </c>
    </row>
    <row r="1837" spans="1:27" x14ac:dyDescent="0.25">
      <c r="A1837">
        <v>3185</v>
      </c>
      <c r="B1837" t="s">
        <v>27</v>
      </c>
      <c r="C1837" t="s">
        <v>288</v>
      </c>
      <c r="D1837" t="s">
        <v>6396</v>
      </c>
      <c r="G1837" t="s">
        <v>456</v>
      </c>
      <c r="H1837" t="s">
        <v>6537</v>
      </c>
      <c r="I1837" s="4">
        <v>45077.875</v>
      </c>
      <c r="J1837" t="s">
        <v>6538</v>
      </c>
      <c r="K1837" t="s">
        <v>914</v>
      </c>
      <c r="L1837" s="5"/>
      <c r="M1837" s="5"/>
      <c r="N1837" t="s">
        <v>82</v>
      </c>
      <c r="O1837" t="s">
        <v>6539</v>
      </c>
      <c r="R1837">
        <v>1</v>
      </c>
      <c r="T1837" s="5" t="s">
        <v>38</v>
      </c>
      <c r="W1837">
        <v>144</v>
      </c>
      <c r="X1837" t="s">
        <v>463</v>
      </c>
      <c r="Y1837" t="str">
        <f>VLOOKUP(C1837,'[1]DBS_KPY Sorumlular'!A:C,2,FALSE)</f>
        <v>Sinan ERDAŞ</v>
      </c>
      <c r="Z1837" t="str">
        <f>VLOOKUP(C1837,'[1]DBS_KPY Sorumlular'!A:C,3,FALSE)</f>
        <v>Ayşegül AKGÜL</v>
      </c>
      <c r="AA1837" t="str">
        <f>VLOOKUP(K1837,[1]!Tablo3[#Data],2,FALSE)</f>
        <v>Tayfun VİÇE</v>
      </c>
    </row>
    <row r="1838" spans="1:27" x14ac:dyDescent="0.25">
      <c r="A1838">
        <v>3186</v>
      </c>
      <c r="B1838" t="s">
        <v>27</v>
      </c>
      <c r="C1838" t="s">
        <v>288</v>
      </c>
      <c r="D1838" t="s">
        <v>289</v>
      </c>
      <c r="G1838" t="s">
        <v>291</v>
      </c>
      <c r="H1838" t="s">
        <v>6540</v>
      </c>
      <c r="I1838" s="4">
        <v>45148.875</v>
      </c>
      <c r="J1838" t="s">
        <v>6383</v>
      </c>
      <c r="K1838" t="s">
        <v>914</v>
      </c>
      <c r="L1838" s="5"/>
      <c r="M1838" s="5"/>
      <c r="N1838" t="s">
        <v>82</v>
      </c>
      <c r="O1838" t="s">
        <v>6541</v>
      </c>
      <c r="R1838">
        <v>1</v>
      </c>
      <c r="T1838" s="5" t="s">
        <v>38</v>
      </c>
      <c r="W1838">
        <v>23</v>
      </c>
      <c r="X1838" t="s">
        <v>295</v>
      </c>
      <c r="Y1838" t="str">
        <f>VLOOKUP(C1838,'[1]DBS_KPY Sorumlular'!A:C,2,FALSE)</f>
        <v>Sinan ERDAŞ</v>
      </c>
      <c r="Z1838" t="str">
        <f>VLOOKUP(C1838,'[1]DBS_KPY Sorumlular'!A:C,3,FALSE)</f>
        <v>Ayşegül AKGÜL</v>
      </c>
      <c r="AA1838" t="str">
        <f>VLOOKUP(K1838,[1]!Tablo3[#Data],2,FALSE)</f>
        <v>Tayfun VİÇE</v>
      </c>
    </row>
    <row r="1839" spans="1:27" x14ac:dyDescent="0.25">
      <c r="A1839">
        <v>3187</v>
      </c>
      <c r="B1839" t="s">
        <v>27</v>
      </c>
      <c r="C1839" t="s">
        <v>288</v>
      </c>
      <c r="D1839" t="s">
        <v>6366</v>
      </c>
      <c r="G1839" t="s">
        <v>384</v>
      </c>
      <c r="H1839" t="s">
        <v>6542</v>
      </c>
      <c r="I1839" s="4">
        <v>45077.875</v>
      </c>
      <c r="J1839" t="s">
        <v>6402</v>
      </c>
      <c r="K1839" t="s">
        <v>914</v>
      </c>
      <c r="L1839" s="5"/>
      <c r="M1839" s="5"/>
      <c r="N1839" t="s">
        <v>82</v>
      </c>
      <c r="O1839" t="s">
        <v>6543</v>
      </c>
      <c r="R1839">
        <v>1</v>
      </c>
      <c r="T1839" s="5" t="s">
        <v>38</v>
      </c>
      <c r="W1839">
        <v>77</v>
      </c>
      <c r="X1839" t="s">
        <v>3223</v>
      </c>
      <c r="Y1839" t="str">
        <f>VLOOKUP(C1839,'[1]DBS_KPY Sorumlular'!A:C,2,FALSE)</f>
        <v>Sinan ERDAŞ</v>
      </c>
      <c r="Z1839" t="str">
        <f>VLOOKUP(C1839,'[1]DBS_KPY Sorumlular'!A:C,3,FALSE)</f>
        <v>Ayşegül AKGÜL</v>
      </c>
      <c r="AA1839" t="str">
        <f>VLOOKUP(K1839,[1]!Tablo3[#Data],2,FALSE)</f>
        <v>Tayfun VİÇE</v>
      </c>
    </row>
    <row r="1840" spans="1:27" x14ac:dyDescent="0.25">
      <c r="A1840">
        <v>3188</v>
      </c>
      <c r="B1840" t="s">
        <v>27</v>
      </c>
      <c r="C1840" t="s">
        <v>288</v>
      </c>
      <c r="D1840" t="s">
        <v>2645</v>
      </c>
      <c r="G1840" t="s">
        <v>456</v>
      </c>
      <c r="H1840" t="s">
        <v>6544</v>
      </c>
      <c r="I1840" s="4">
        <v>45443.875</v>
      </c>
      <c r="J1840" t="s">
        <v>6545</v>
      </c>
      <c r="K1840" t="s">
        <v>914</v>
      </c>
      <c r="L1840" s="5"/>
      <c r="M1840" s="5"/>
      <c r="N1840" t="s">
        <v>82</v>
      </c>
      <c r="O1840" t="s">
        <v>6546</v>
      </c>
      <c r="R1840">
        <v>1</v>
      </c>
      <c r="T1840" s="5" t="s">
        <v>38</v>
      </c>
      <c r="W1840">
        <v>144</v>
      </c>
      <c r="X1840" t="s">
        <v>463</v>
      </c>
      <c r="Y1840" t="str">
        <f>VLOOKUP(C1840,'[1]DBS_KPY Sorumlular'!A:C,2,FALSE)</f>
        <v>Sinan ERDAŞ</v>
      </c>
      <c r="Z1840" t="str">
        <f>VLOOKUP(C1840,'[1]DBS_KPY Sorumlular'!A:C,3,FALSE)</f>
        <v>Ayşegül AKGÜL</v>
      </c>
      <c r="AA1840" t="str">
        <f>VLOOKUP(K1840,[1]!Tablo3[#Data],2,FALSE)</f>
        <v>Tayfun VİÇE</v>
      </c>
    </row>
    <row r="1841" spans="1:27" x14ac:dyDescent="0.25">
      <c r="A1841">
        <v>3190</v>
      </c>
      <c r="B1841" t="s">
        <v>27</v>
      </c>
      <c r="C1841" t="s">
        <v>288</v>
      </c>
      <c r="D1841" t="s">
        <v>289</v>
      </c>
      <c r="G1841" t="s">
        <v>291</v>
      </c>
      <c r="H1841" t="s">
        <v>6547</v>
      </c>
      <c r="I1841" s="4">
        <v>45491.875</v>
      </c>
      <c r="J1841" t="s">
        <v>6478</v>
      </c>
      <c r="K1841" t="s">
        <v>914</v>
      </c>
      <c r="L1841" s="5"/>
      <c r="M1841" s="5"/>
      <c r="N1841" t="s">
        <v>82</v>
      </c>
      <c r="O1841" t="s">
        <v>6548</v>
      </c>
      <c r="R1841">
        <v>1</v>
      </c>
      <c r="T1841" s="5" t="s">
        <v>38</v>
      </c>
      <c r="W1841">
        <v>23</v>
      </c>
      <c r="X1841" t="s">
        <v>295</v>
      </c>
      <c r="Y1841" t="str">
        <f>VLOOKUP(C1841,'[1]DBS_KPY Sorumlular'!A:C,2,FALSE)</f>
        <v>Sinan ERDAŞ</v>
      </c>
      <c r="Z1841" t="str">
        <f>VLOOKUP(C1841,'[1]DBS_KPY Sorumlular'!A:C,3,FALSE)</f>
        <v>Ayşegül AKGÜL</v>
      </c>
      <c r="AA1841" t="str">
        <f>VLOOKUP(K1841,[1]!Tablo3[#Data],2,FALSE)</f>
        <v>Tayfun VİÇE</v>
      </c>
    </row>
    <row r="1842" spans="1:27" x14ac:dyDescent="0.25">
      <c r="A1842">
        <v>3191</v>
      </c>
      <c r="B1842" t="s">
        <v>27</v>
      </c>
      <c r="C1842" t="s">
        <v>288</v>
      </c>
      <c r="D1842" t="s">
        <v>2645</v>
      </c>
      <c r="G1842" t="s">
        <v>456</v>
      </c>
      <c r="H1842" t="s">
        <v>6549</v>
      </c>
      <c r="I1842" s="4">
        <v>45077.875</v>
      </c>
      <c r="J1842" t="s">
        <v>6550</v>
      </c>
      <c r="K1842" t="s">
        <v>1002</v>
      </c>
      <c r="L1842" s="5"/>
      <c r="M1842" s="5"/>
      <c r="N1842" t="s">
        <v>82</v>
      </c>
      <c r="O1842" t="s">
        <v>6551</v>
      </c>
      <c r="R1842">
        <v>1</v>
      </c>
      <c r="T1842" s="5" t="s">
        <v>38</v>
      </c>
      <c r="W1842">
        <v>144</v>
      </c>
      <c r="X1842" t="s">
        <v>463</v>
      </c>
      <c r="Y1842" t="str">
        <f>VLOOKUP(C1842,'[1]DBS_KPY Sorumlular'!A:C,2,FALSE)</f>
        <v>Sinan ERDAŞ</v>
      </c>
      <c r="Z1842" t="str">
        <f>VLOOKUP(C1842,'[1]DBS_KPY Sorumlular'!A:C,3,FALSE)</f>
        <v>Ayşegül AKGÜL</v>
      </c>
      <c r="AA1842" t="str">
        <f>VLOOKUP(K1842,[1]!Tablo3[#Data],2,FALSE)</f>
        <v>Kadir TOPÇU</v>
      </c>
    </row>
    <row r="1843" spans="1:27" x14ac:dyDescent="0.25">
      <c r="A1843">
        <v>3192</v>
      </c>
      <c r="B1843" t="s">
        <v>27</v>
      </c>
      <c r="C1843" t="s">
        <v>288</v>
      </c>
      <c r="D1843" t="s">
        <v>2645</v>
      </c>
      <c r="G1843" t="s">
        <v>456</v>
      </c>
      <c r="H1843" t="s">
        <v>6552</v>
      </c>
      <c r="I1843" s="4">
        <v>45077.875</v>
      </c>
      <c r="J1843" t="s">
        <v>6553</v>
      </c>
      <c r="K1843" t="s">
        <v>1029</v>
      </c>
      <c r="L1843" s="5"/>
      <c r="M1843" s="5"/>
      <c r="N1843" t="s">
        <v>82</v>
      </c>
      <c r="O1843" t="s">
        <v>6554</v>
      </c>
      <c r="R1843">
        <v>1</v>
      </c>
      <c r="T1843" s="5" t="s">
        <v>38</v>
      </c>
      <c r="W1843">
        <v>144</v>
      </c>
      <c r="X1843" t="s">
        <v>463</v>
      </c>
      <c r="Y1843" t="str">
        <f>VLOOKUP(C1843,'[1]DBS_KPY Sorumlular'!A:C,2,FALSE)</f>
        <v>Sinan ERDAŞ</v>
      </c>
      <c r="Z1843" t="str">
        <f>VLOOKUP(C1843,'[1]DBS_KPY Sorumlular'!A:C,3,FALSE)</f>
        <v>Ayşegül AKGÜL</v>
      </c>
      <c r="AA1843" t="str">
        <f>VLOOKUP(K1843,[1]!Tablo3[#Data],2,FALSE)</f>
        <v>Tayfun VİÇE</v>
      </c>
    </row>
    <row r="1844" spans="1:27" x14ac:dyDescent="0.25">
      <c r="A1844">
        <v>3193</v>
      </c>
      <c r="B1844" t="s">
        <v>27</v>
      </c>
      <c r="C1844" t="s">
        <v>288</v>
      </c>
      <c r="D1844" t="s">
        <v>2645</v>
      </c>
      <c r="G1844" t="s">
        <v>456</v>
      </c>
      <c r="H1844" t="s">
        <v>6555</v>
      </c>
      <c r="I1844" s="4">
        <v>45077.875</v>
      </c>
      <c r="J1844" t="s">
        <v>6556</v>
      </c>
      <c r="K1844" t="s">
        <v>280</v>
      </c>
      <c r="L1844" s="5"/>
      <c r="M1844" s="5"/>
      <c r="N1844" t="s">
        <v>82</v>
      </c>
      <c r="O1844" t="s">
        <v>6557</v>
      </c>
      <c r="R1844">
        <v>1</v>
      </c>
      <c r="T1844" s="5" t="s">
        <v>38</v>
      </c>
      <c r="W1844">
        <v>144</v>
      </c>
      <c r="X1844" t="s">
        <v>463</v>
      </c>
      <c r="Y1844" t="str">
        <f>VLOOKUP(C1844,'[1]DBS_KPY Sorumlular'!A:C,2,FALSE)</f>
        <v>Sinan ERDAŞ</v>
      </c>
      <c r="Z1844" t="str">
        <f>VLOOKUP(C1844,'[1]DBS_KPY Sorumlular'!A:C,3,FALSE)</f>
        <v>Ayşegül AKGÜL</v>
      </c>
      <c r="AA1844" t="str">
        <f>VLOOKUP(K1844,[1]!Tablo3[#Data],2,FALSE)</f>
        <v>Erkan AKDOĞAN</v>
      </c>
    </row>
    <row r="1845" spans="1:27" x14ac:dyDescent="0.25">
      <c r="A1845">
        <v>3194</v>
      </c>
      <c r="B1845" t="s">
        <v>27</v>
      </c>
      <c r="C1845" t="s">
        <v>288</v>
      </c>
      <c r="D1845" t="s">
        <v>2645</v>
      </c>
      <c r="G1845" t="s">
        <v>43</v>
      </c>
      <c r="H1845" t="s">
        <v>6558</v>
      </c>
      <c r="I1845" s="4">
        <v>44712.875</v>
      </c>
      <c r="J1845" t="s">
        <v>6558</v>
      </c>
      <c r="K1845" t="s">
        <v>1157</v>
      </c>
      <c r="L1845" s="5"/>
      <c r="M1845" s="5"/>
      <c r="N1845" t="s">
        <v>82</v>
      </c>
      <c r="O1845" t="s">
        <v>6559</v>
      </c>
      <c r="R1845">
        <v>1</v>
      </c>
      <c r="T1845" s="5" t="s">
        <v>38</v>
      </c>
      <c r="W1845">
        <v>205</v>
      </c>
      <c r="X1845" t="s">
        <v>6374</v>
      </c>
      <c r="Y1845" t="str">
        <f>VLOOKUP(C1845,'[1]DBS_KPY Sorumlular'!A:C,2,FALSE)</f>
        <v>Sinan ERDAŞ</v>
      </c>
      <c r="Z1845" t="str">
        <f>VLOOKUP(C1845,'[1]DBS_KPY Sorumlular'!A:C,3,FALSE)</f>
        <v>Ayşegül AKGÜL</v>
      </c>
      <c r="AA1845" t="str">
        <f>VLOOKUP(K1845,[1]!Tablo3[#Data],2,FALSE)</f>
        <v>Tayfun VİÇE</v>
      </c>
    </row>
    <row r="1846" spans="1:27" x14ac:dyDescent="0.25">
      <c r="A1846">
        <v>3195</v>
      </c>
      <c r="B1846" t="s">
        <v>27</v>
      </c>
      <c r="C1846" t="s">
        <v>288</v>
      </c>
      <c r="D1846" t="s">
        <v>2645</v>
      </c>
      <c r="G1846" t="s">
        <v>456</v>
      </c>
      <c r="H1846" t="s">
        <v>6560</v>
      </c>
      <c r="I1846" s="4">
        <v>44712.875</v>
      </c>
      <c r="K1846" t="s">
        <v>1157</v>
      </c>
      <c r="L1846" s="5"/>
      <c r="M1846" s="5"/>
      <c r="N1846" t="s">
        <v>82</v>
      </c>
      <c r="O1846" t="s">
        <v>6561</v>
      </c>
      <c r="R1846">
        <v>1</v>
      </c>
      <c r="T1846" s="5" t="s">
        <v>38</v>
      </c>
      <c r="W1846">
        <v>144</v>
      </c>
      <c r="X1846" t="s">
        <v>463</v>
      </c>
      <c r="Y1846" t="str">
        <f>VLOOKUP(C1846,'[1]DBS_KPY Sorumlular'!A:C,2,FALSE)</f>
        <v>Sinan ERDAŞ</v>
      </c>
      <c r="Z1846" t="str">
        <f>VLOOKUP(C1846,'[1]DBS_KPY Sorumlular'!A:C,3,FALSE)</f>
        <v>Ayşegül AKGÜL</v>
      </c>
      <c r="AA1846" t="str">
        <f>VLOOKUP(K1846,[1]!Tablo3[#Data],2,FALSE)</f>
        <v>Tayfun VİÇE</v>
      </c>
    </row>
    <row r="1847" spans="1:27" x14ac:dyDescent="0.25">
      <c r="A1847">
        <v>3196</v>
      </c>
      <c r="B1847" t="s">
        <v>27</v>
      </c>
      <c r="C1847" t="s">
        <v>288</v>
      </c>
      <c r="D1847" t="s">
        <v>289</v>
      </c>
      <c r="G1847" t="s">
        <v>43</v>
      </c>
      <c r="H1847" t="s">
        <v>6562</v>
      </c>
      <c r="I1847" s="4">
        <v>43914.875</v>
      </c>
      <c r="J1847" t="s">
        <v>6388</v>
      </c>
      <c r="K1847" t="s">
        <v>1106</v>
      </c>
      <c r="L1847" s="5"/>
      <c r="M1847" s="5"/>
      <c r="N1847" t="s">
        <v>82</v>
      </c>
      <c r="O1847" t="s">
        <v>6563</v>
      </c>
      <c r="R1847">
        <v>1</v>
      </c>
      <c r="T1847" s="5" t="s">
        <v>38</v>
      </c>
      <c r="W1847">
        <v>23</v>
      </c>
      <c r="X1847" t="s">
        <v>295</v>
      </c>
      <c r="Y1847" t="str">
        <f>VLOOKUP(C1847,'[1]DBS_KPY Sorumlular'!A:C,2,FALSE)</f>
        <v>Sinan ERDAŞ</v>
      </c>
      <c r="Z1847" t="str">
        <f>VLOOKUP(C1847,'[1]DBS_KPY Sorumlular'!A:C,3,FALSE)</f>
        <v>Ayşegül AKGÜL</v>
      </c>
      <c r="AA1847" t="str">
        <f>VLOOKUP(K1847,[1]!Tablo3[#Data],2,FALSE)</f>
        <v>Tayfun VİÇE</v>
      </c>
    </row>
    <row r="1848" spans="1:27" x14ac:dyDescent="0.25">
      <c r="A1848">
        <v>3197</v>
      </c>
      <c r="B1848" t="s">
        <v>27</v>
      </c>
      <c r="C1848" t="s">
        <v>288</v>
      </c>
      <c r="D1848" t="s">
        <v>289</v>
      </c>
      <c r="G1848" t="s">
        <v>43</v>
      </c>
      <c r="H1848" t="s">
        <v>6564</v>
      </c>
      <c r="I1848" s="4">
        <v>46017.875</v>
      </c>
      <c r="J1848" t="s">
        <v>6565</v>
      </c>
      <c r="K1848" t="s">
        <v>1106</v>
      </c>
      <c r="L1848" s="5"/>
      <c r="M1848" s="5"/>
      <c r="N1848" t="s">
        <v>82</v>
      </c>
      <c r="O1848" t="s">
        <v>6566</v>
      </c>
      <c r="R1848">
        <v>1</v>
      </c>
      <c r="T1848" s="5" t="s">
        <v>38</v>
      </c>
      <c r="W1848">
        <v>23</v>
      </c>
      <c r="X1848" t="s">
        <v>295</v>
      </c>
      <c r="Y1848" t="str">
        <f>VLOOKUP(C1848,'[1]DBS_KPY Sorumlular'!A:C,2,FALSE)</f>
        <v>Sinan ERDAŞ</v>
      </c>
      <c r="Z1848" t="str">
        <f>VLOOKUP(C1848,'[1]DBS_KPY Sorumlular'!A:C,3,FALSE)</f>
        <v>Ayşegül AKGÜL</v>
      </c>
      <c r="AA1848" t="str">
        <f>VLOOKUP(K1848,[1]!Tablo3[#Data],2,FALSE)</f>
        <v>Tayfun VİÇE</v>
      </c>
    </row>
    <row r="1849" spans="1:27" x14ac:dyDescent="0.25">
      <c r="A1849">
        <v>3198</v>
      </c>
      <c r="B1849" t="s">
        <v>27</v>
      </c>
      <c r="C1849" t="s">
        <v>288</v>
      </c>
      <c r="D1849" t="s">
        <v>6418</v>
      </c>
      <c r="G1849" t="s">
        <v>43</v>
      </c>
      <c r="H1849" t="s">
        <v>6567</v>
      </c>
      <c r="I1849" s="4">
        <v>45443.875</v>
      </c>
      <c r="J1849" t="s">
        <v>6568</v>
      </c>
      <c r="K1849" t="s">
        <v>926</v>
      </c>
      <c r="L1849" s="5"/>
      <c r="M1849" s="5"/>
      <c r="N1849" t="s">
        <v>82</v>
      </c>
      <c r="O1849" t="s">
        <v>6569</v>
      </c>
      <c r="R1849">
        <v>1</v>
      </c>
      <c r="T1849" s="5" t="s">
        <v>38</v>
      </c>
      <c r="W1849">
        <v>71</v>
      </c>
      <c r="X1849" t="s">
        <v>1299</v>
      </c>
      <c r="Y1849" t="str">
        <f>VLOOKUP(C1849,'[1]DBS_KPY Sorumlular'!A:C,2,FALSE)</f>
        <v>Sinan ERDAŞ</v>
      </c>
      <c r="Z1849" t="str">
        <f>VLOOKUP(C1849,'[1]DBS_KPY Sorumlular'!A:C,3,FALSE)</f>
        <v>Ayşegül AKGÜL</v>
      </c>
      <c r="AA1849" t="str">
        <f>VLOOKUP(K1849,[1]!Tablo3[#Data],2,FALSE)</f>
        <v>Kadir TOPÇU</v>
      </c>
    </row>
    <row r="1850" spans="1:27" x14ac:dyDescent="0.25">
      <c r="A1850">
        <v>3199</v>
      </c>
      <c r="B1850" t="s">
        <v>27</v>
      </c>
      <c r="C1850" t="s">
        <v>288</v>
      </c>
      <c r="D1850" t="s">
        <v>289</v>
      </c>
      <c r="G1850" t="s">
        <v>43</v>
      </c>
      <c r="H1850" t="s">
        <v>6570</v>
      </c>
      <c r="I1850" s="4">
        <v>44280.875</v>
      </c>
      <c r="J1850" t="s">
        <v>6388</v>
      </c>
      <c r="K1850" t="s">
        <v>1334</v>
      </c>
      <c r="L1850" s="5"/>
      <c r="M1850" s="5"/>
      <c r="N1850" t="s">
        <v>82</v>
      </c>
      <c r="O1850" t="s">
        <v>6571</v>
      </c>
      <c r="R1850">
        <v>1</v>
      </c>
      <c r="T1850" s="5" t="s">
        <v>38</v>
      </c>
      <c r="W1850">
        <v>23</v>
      </c>
      <c r="X1850" t="s">
        <v>295</v>
      </c>
      <c r="Y1850" t="str">
        <f>VLOOKUP(C1850,'[1]DBS_KPY Sorumlular'!A:C,2,FALSE)</f>
        <v>Sinan ERDAŞ</v>
      </c>
      <c r="Z1850" t="str">
        <f>VLOOKUP(C1850,'[1]DBS_KPY Sorumlular'!A:C,3,FALSE)</f>
        <v>Ayşegül AKGÜL</v>
      </c>
      <c r="AA1850" t="str">
        <f>VLOOKUP(K1850,[1]!Tablo3[#Data],2,FALSE)</f>
        <v>Erkan AKDOĞAN</v>
      </c>
    </row>
    <row r="1851" spans="1:27" x14ac:dyDescent="0.25">
      <c r="A1851">
        <v>3200</v>
      </c>
      <c r="B1851" t="s">
        <v>27</v>
      </c>
      <c r="C1851" t="s">
        <v>288</v>
      </c>
      <c r="D1851" t="s">
        <v>289</v>
      </c>
      <c r="G1851" t="s">
        <v>43</v>
      </c>
      <c r="H1851" t="s">
        <v>6572</v>
      </c>
      <c r="I1851" s="4">
        <v>44280.875</v>
      </c>
      <c r="J1851" t="s">
        <v>6475</v>
      </c>
      <c r="K1851" t="s">
        <v>1334</v>
      </c>
      <c r="L1851" s="5"/>
      <c r="M1851" s="5"/>
      <c r="N1851" t="s">
        <v>82</v>
      </c>
      <c r="O1851" t="s">
        <v>6573</v>
      </c>
      <c r="R1851">
        <v>1</v>
      </c>
      <c r="T1851" s="5" t="s">
        <v>38</v>
      </c>
      <c r="W1851">
        <v>108</v>
      </c>
      <c r="X1851" t="s">
        <v>107</v>
      </c>
      <c r="Y1851" t="str">
        <f>VLOOKUP(C1851,'[1]DBS_KPY Sorumlular'!A:C,2,FALSE)</f>
        <v>Sinan ERDAŞ</v>
      </c>
      <c r="Z1851" t="str">
        <f>VLOOKUP(C1851,'[1]DBS_KPY Sorumlular'!A:C,3,FALSE)</f>
        <v>Ayşegül AKGÜL</v>
      </c>
      <c r="AA1851" t="str">
        <f>VLOOKUP(K1851,[1]!Tablo3[#Data],2,FALSE)</f>
        <v>Erkan AKDOĞAN</v>
      </c>
    </row>
    <row r="1852" spans="1:27" x14ac:dyDescent="0.25">
      <c r="A1852">
        <v>3201</v>
      </c>
      <c r="B1852" t="s">
        <v>27</v>
      </c>
      <c r="C1852" t="s">
        <v>288</v>
      </c>
      <c r="D1852" t="s">
        <v>289</v>
      </c>
      <c r="G1852" t="s">
        <v>43</v>
      </c>
      <c r="H1852" t="s">
        <v>6574</v>
      </c>
      <c r="I1852" s="4">
        <v>44718.875</v>
      </c>
      <c r="J1852" t="s">
        <v>6575</v>
      </c>
      <c r="K1852" t="s">
        <v>1334</v>
      </c>
      <c r="L1852" s="5"/>
      <c r="M1852" s="5"/>
      <c r="N1852" t="s">
        <v>82</v>
      </c>
      <c r="O1852" t="s">
        <v>6573</v>
      </c>
      <c r="R1852">
        <v>1</v>
      </c>
      <c r="T1852" s="5" t="s">
        <v>38</v>
      </c>
      <c r="W1852">
        <v>23</v>
      </c>
      <c r="X1852" t="s">
        <v>295</v>
      </c>
      <c r="Y1852" t="str">
        <f>VLOOKUP(C1852,'[1]DBS_KPY Sorumlular'!A:C,2,FALSE)</f>
        <v>Sinan ERDAŞ</v>
      </c>
      <c r="Z1852" t="str">
        <f>VLOOKUP(C1852,'[1]DBS_KPY Sorumlular'!A:C,3,FALSE)</f>
        <v>Ayşegül AKGÜL</v>
      </c>
      <c r="AA1852" t="str">
        <f>VLOOKUP(K1852,[1]!Tablo3[#Data],2,FALSE)</f>
        <v>Erkan AKDOĞAN</v>
      </c>
    </row>
    <row r="1853" spans="1:27" x14ac:dyDescent="0.25">
      <c r="A1853">
        <v>3202</v>
      </c>
      <c r="B1853" t="s">
        <v>27</v>
      </c>
      <c r="C1853" t="s">
        <v>288</v>
      </c>
      <c r="D1853" t="s">
        <v>289</v>
      </c>
      <c r="G1853" t="s">
        <v>43</v>
      </c>
      <c r="H1853" t="s">
        <v>6576</v>
      </c>
      <c r="I1853" s="4">
        <v>45288.875</v>
      </c>
      <c r="J1853" t="s">
        <v>6368</v>
      </c>
      <c r="K1853" t="s">
        <v>1334</v>
      </c>
      <c r="L1853" s="5"/>
      <c r="M1853" s="5"/>
      <c r="N1853" t="s">
        <v>82</v>
      </c>
      <c r="O1853" t="s">
        <v>6577</v>
      </c>
      <c r="R1853">
        <v>1</v>
      </c>
      <c r="T1853" s="5" t="s">
        <v>38</v>
      </c>
      <c r="W1853">
        <v>23</v>
      </c>
      <c r="X1853" t="s">
        <v>295</v>
      </c>
      <c r="Y1853" t="str">
        <f>VLOOKUP(C1853,'[1]DBS_KPY Sorumlular'!A:C,2,FALSE)</f>
        <v>Sinan ERDAŞ</v>
      </c>
      <c r="Z1853" t="str">
        <f>VLOOKUP(C1853,'[1]DBS_KPY Sorumlular'!A:C,3,FALSE)</f>
        <v>Ayşegül AKGÜL</v>
      </c>
      <c r="AA1853" t="str">
        <f>VLOOKUP(K1853,[1]!Tablo3[#Data],2,FALSE)</f>
        <v>Erkan AKDOĞAN</v>
      </c>
    </row>
    <row r="1854" spans="1:27" x14ac:dyDescent="0.25">
      <c r="A1854">
        <v>3203</v>
      </c>
      <c r="B1854" t="s">
        <v>27</v>
      </c>
      <c r="C1854" t="s">
        <v>288</v>
      </c>
      <c r="D1854" t="s">
        <v>6357</v>
      </c>
      <c r="G1854" t="s">
        <v>30</v>
      </c>
      <c r="H1854" t="s">
        <v>6578</v>
      </c>
      <c r="I1854" s="4">
        <v>45443.875</v>
      </c>
      <c r="K1854" t="s">
        <v>1334</v>
      </c>
      <c r="L1854" s="5"/>
      <c r="M1854" s="5"/>
      <c r="N1854" t="s">
        <v>82</v>
      </c>
      <c r="O1854" t="s">
        <v>6579</v>
      </c>
      <c r="R1854">
        <v>1</v>
      </c>
      <c r="T1854" s="5" t="s">
        <v>38</v>
      </c>
      <c r="W1854">
        <v>94</v>
      </c>
      <c r="X1854" t="s">
        <v>1707</v>
      </c>
      <c r="Y1854" t="str">
        <f>VLOOKUP(C1854,'[1]DBS_KPY Sorumlular'!A:C,2,FALSE)</f>
        <v>Sinan ERDAŞ</v>
      </c>
      <c r="Z1854" t="str">
        <f>VLOOKUP(C1854,'[1]DBS_KPY Sorumlular'!A:C,3,FALSE)</f>
        <v>Ayşegül AKGÜL</v>
      </c>
      <c r="AA1854" t="str">
        <f>VLOOKUP(K1854,[1]!Tablo3[#Data],2,FALSE)</f>
        <v>Erkan AKDOĞAN</v>
      </c>
    </row>
    <row r="1855" spans="1:27" x14ac:dyDescent="0.25">
      <c r="A1855">
        <v>3204</v>
      </c>
      <c r="B1855" t="s">
        <v>27</v>
      </c>
      <c r="C1855" t="s">
        <v>288</v>
      </c>
      <c r="D1855" t="s">
        <v>6396</v>
      </c>
      <c r="G1855" t="s">
        <v>456</v>
      </c>
      <c r="H1855" t="s">
        <v>6580</v>
      </c>
      <c r="I1855" s="4">
        <v>45077.875</v>
      </c>
      <c r="J1855" t="s">
        <v>6581</v>
      </c>
      <c r="K1855" t="s">
        <v>1348</v>
      </c>
      <c r="L1855" s="5"/>
      <c r="M1855" s="5"/>
      <c r="N1855" t="s">
        <v>82</v>
      </c>
      <c r="O1855" t="s">
        <v>6582</v>
      </c>
      <c r="R1855">
        <v>1</v>
      </c>
      <c r="T1855" s="5" t="s">
        <v>38</v>
      </c>
      <c r="W1855">
        <v>144</v>
      </c>
      <c r="X1855" t="s">
        <v>463</v>
      </c>
      <c r="Y1855" t="str">
        <f>VLOOKUP(C1855,'[1]DBS_KPY Sorumlular'!A:C,2,FALSE)</f>
        <v>Sinan ERDAŞ</v>
      </c>
      <c r="Z1855" t="str">
        <f>VLOOKUP(C1855,'[1]DBS_KPY Sorumlular'!A:C,3,FALSE)</f>
        <v>Ayşegül AKGÜL</v>
      </c>
      <c r="AA1855" t="str">
        <f>VLOOKUP(K1855,[1]!Tablo3[#Data],2,FALSE)</f>
        <v>Tayfun VİÇE</v>
      </c>
    </row>
    <row r="1856" spans="1:27" x14ac:dyDescent="0.25">
      <c r="A1856">
        <v>3205</v>
      </c>
      <c r="B1856" t="s">
        <v>27</v>
      </c>
      <c r="C1856" t="s">
        <v>288</v>
      </c>
      <c r="D1856" t="s">
        <v>6418</v>
      </c>
      <c r="G1856" t="s">
        <v>43</v>
      </c>
      <c r="H1856" t="s">
        <v>6583</v>
      </c>
      <c r="I1856" s="4">
        <v>43982.875</v>
      </c>
      <c r="K1856" t="s">
        <v>1360</v>
      </c>
      <c r="L1856" s="5"/>
      <c r="M1856" s="5"/>
      <c r="N1856" t="s">
        <v>82</v>
      </c>
      <c r="O1856" t="s">
        <v>6584</v>
      </c>
      <c r="R1856">
        <v>1</v>
      </c>
      <c r="T1856" s="5" t="s">
        <v>38</v>
      </c>
      <c r="W1856">
        <v>273</v>
      </c>
      <c r="X1856" t="s">
        <v>6298</v>
      </c>
      <c r="Y1856" t="str">
        <f>VLOOKUP(C1856,'[1]DBS_KPY Sorumlular'!A:C,2,FALSE)</f>
        <v>Sinan ERDAŞ</v>
      </c>
      <c r="Z1856" t="str">
        <f>VLOOKUP(C1856,'[1]DBS_KPY Sorumlular'!A:C,3,FALSE)</f>
        <v>Ayşegül AKGÜL</v>
      </c>
      <c r="AA1856" t="str">
        <f>VLOOKUP(K1856,[1]!Tablo3[#Data],2,FALSE)</f>
        <v>Kadir TOPÇU</v>
      </c>
    </row>
    <row r="1857" spans="1:27" x14ac:dyDescent="0.25">
      <c r="A1857">
        <v>3206</v>
      </c>
      <c r="B1857" t="s">
        <v>27</v>
      </c>
      <c r="C1857" t="s">
        <v>288</v>
      </c>
      <c r="D1857" t="s">
        <v>6418</v>
      </c>
      <c r="G1857" t="s">
        <v>30</v>
      </c>
      <c r="H1857" t="s">
        <v>6585</v>
      </c>
      <c r="I1857" s="4">
        <v>45443.875</v>
      </c>
      <c r="J1857" t="s">
        <v>6586</v>
      </c>
      <c r="K1857" t="s">
        <v>1360</v>
      </c>
      <c r="L1857" s="5"/>
      <c r="M1857" s="5" t="s">
        <v>6515</v>
      </c>
      <c r="N1857" t="s">
        <v>82</v>
      </c>
      <c r="O1857" t="s">
        <v>6587</v>
      </c>
      <c r="R1857">
        <v>1</v>
      </c>
      <c r="T1857" s="5" t="s">
        <v>38</v>
      </c>
      <c r="W1857">
        <v>71</v>
      </c>
      <c r="X1857" t="s">
        <v>1299</v>
      </c>
      <c r="Y1857" t="str">
        <f>VLOOKUP(C1857,'[1]DBS_KPY Sorumlular'!A:C,2,FALSE)</f>
        <v>Sinan ERDAŞ</v>
      </c>
      <c r="Z1857" t="str">
        <f>VLOOKUP(C1857,'[1]DBS_KPY Sorumlular'!A:C,3,FALSE)</f>
        <v>Ayşegül AKGÜL</v>
      </c>
      <c r="AA1857" t="str">
        <f>VLOOKUP(K1857,[1]!Tablo3[#Data],2,FALSE)</f>
        <v>Kadir TOPÇU</v>
      </c>
    </row>
    <row r="1858" spans="1:27" x14ac:dyDescent="0.25">
      <c r="A1858">
        <v>3207</v>
      </c>
      <c r="B1858" t="s">
        <v>27</v>
      </c>
      <c r="C1858" t="s">
        <v>288</v>
      </c>
      <c r="D1858" t="s">
        <v>289</v>
      </c>
      <c r="G1858" t="s">
        <v>43</v>
      </c>
      <c r="H1858" t="s">
        <v>6588</v>
      </c>
      <c r="I1858" s="4">
        <v>44712.875</v>
      </c>
      <c r="J1858" t="s">
        <v>6588</v>
      </c>
      <c r="K1858" t="s">
        <v>423</v>
      </c>
      <c r="L1858" s="5"/>
      <c r="M1858" s="5"/>
      <c r="N1858" t="s">
        <v>82</v>
      </c>
      <c r="O1858" t="s">
        <v>6589</v>
      </c>
      <c r="R1858">
        <v>1</v>
      </c>
      <c r="T1858" s="5" t="s">
        <v>38</v>
      </c>
      <c r="W1858">
        <v>205</v>
      </c>
      <c r="X1858" t="s">
        <v>6374</v>
      </c>
      <c r="Y1858" t="str">
        <f>VLOOKUP(C1858,'[1]DBS_KPY Sorumlular'!A:C,2,FALSE)</f>
        <v>Sinan ERDAŞ</v>
      </c>
      <c r="Z1858" t="str">
        <f>VLOOKUP(C1858,'[1]DBS_KPY Sorumlular'!A:C,3,FALSE)</f>
        <v>Ayşegül AKGÜL</v>
      </c>
      <c r="AA1858" t="str">
        <f>VLOOKUP(K1858,[1]!Tablo3[#Data],2,FALSE)</f>
        <v>Kadir TOPÇU</v>
      </c>
    </row>
    <row r="1859" spans="1:27" x14ac:dyDescent="0.25">
      <c r="A1859">
        <v>3208</v>
      </c>
      <c r="B1859" t="s">
        <v>27</v>
      </c>
      <c r="C1859" t="s">
        <v>288</v>
      </c>
      <c r="D1859" t="s">
        <v>289</v>
      </c>
      <c r="G1859" t="s">
        <v>43</v>
      </c>
      <c r="H1859" t="s">
        <v>6590</v>
      </c>
      <c r="I1859" s="4">
        <v>44976.875</v>
      </c>
      <c r="J1859" t="s">
        <v>6383</v>
      </c>
      <c r="K1859" t="s">
        <v>1471</v>
      </c>
      <c r="L1859" s="5"/>
      <c r="M1859" s="5"/>
      <c r="N1859" t="s">
        <v>82</v>
      </c>
      <c r="O1859" t="s">
        <v>6591</v>
      </c>
      <c r="R1859">
        <v>1</v>
      </c>
      <c r="T1859" s="5" t="s">
        <v>38</v>
      </c>
      <c r="W1859">
        <v>23</v>
      </c>
      <c r="X1859" t="s">
        <v>295</v>
      </c>
      <c r="Y1859" t="str">
        <f>VLOOKUP(C1859,'[1]DBS_KPY Sorumlular'!A:C,2,FALSE)</f>
        <v>Sinan ERDAŞ</v>
      </c>
      <c r="Z1859" t="str">
        <f>VLOOKUP(C1859,'[1]DBS_KPY Sorumlular'!A:C,3,FALSE)</f>
        <v>Ayşegül AKGÜL</v>
      </c>
      <c r="AA1859" t="str">
        <f>VLOOKUP(K1859,[1]!Tablo3[#Data],2,FALSE)</f>
        <v>Tayfun VİÇE</v>
      </c>
    </row>
    <row r="1860" spans="1:27" x14ac:dyDescent="0.25">
      <c r="A1860">
        <v>3209</v>
      </c>
      <c r="B1860" t="s">
        <v>27</v>
      </c>
      <c r="C1860" t="s">
        <v>288</v>
      </c>
      <c r="D1860" t="s">
        <v>289</v>
      </c>
      <c r="G1860" t="s">
        <v>43</v>
      </c>
      <c r="H1860" t="s">
        <v>6592</v>
      </c>
      <c r="I1860" s="4">
        <v>45273.875</v>
      </c>
      <c r="J1860" t="s">
        <v>6475</v>
      </c>
      <c r="K1860" t="s">
        <v>1471</v>
      </c>
      <c r="L1860" s="5"/>
      <c r="M1860" s="5"/>
      <c r="N1860" t="s">
        <v>82</v>
      </c>
      <c r="O1860" t="s">
        <v>6593</v>
      </c>
      <c r="R1860">
        <v>1</v>
      </c>
      <c r="T1860" s="5" t="s">
        <v>38</v>
      </c>
      <c r="W1860">
        <v>108</v>
      </c>
      <c r="X1860" t="s">
        <v>107</v>
      </c>
      <c r="Y1860" t="str">
        <f>VLOOKUP(C1860,'[1]DBS_KPY Sorumlular'!A:C,2,FALSE)</f>
        <v>Sinan ERDAŞ</v>
      </c>
      <c r="Z1860" t="str">
        <f>VLOOKUP(C1860,'[1]DBS_KPY Sorumlular'!A:C,3,FALSE)</f>
        <v>Ayşegül AKGÜL</v>
      </c>
      <c r="AA1860" t="str">
        <f>VLOOKUP(K1860,[1]!Tablo3[#Data],2,FALSE)</f>
        <v>Tayfun VİÇE</v>
      </c>
    </row>
    <row r="1861" spans="1:27" x14ac:dyDescent="0.25">
      <c r="A1861">
        <v>3210</v>
      </c>
      <c r="B1861" t="s">
        <v>27</v>
      </c>
      <c r="C1861" t="s">
        <v>288</v>
      </c>
      <c r="D1861" t="s">
        <v>289</v>
      </c>
      <c r="G1861" t="s">
        <v>43</v>
      </c>
      <c r="H1861" t="s">
        <v>6594</v>
      </c>
      <c r="I1861" s="4">
        <v>45273.875</v>
      </c>
      <c r="J1861" t="s">
        <v>6383</v>
      </c>
      <c r="K1861" t="s">
        <v>1471</v>
      </c>
      <c r="L1861" s="5"/>
      <c r="M1861" s="5"/>
      <c r="N1861" t="s">
        <v>82</v>
      </c>
      <c r="O1861" t="s">
        <v>6593</v>
      </c>
      <c r="R1861">
        <v>1</v>
      </c>
      <c r="T1861" s="5" t="s">
        <v>38</v>
      </c>
      <c r="W1861">
        <v>23</v>
      </c>
      <c r="X1861" t="s">
        <v>295</v>
      </c>
      <c r="Y1861" t="str">
        <f>VLOOKUP(C1861,'[1]DBS_KPY Sorumlular'!A:C,2,FALSE)</f>
        <v>Sinan ERDAŞ</v>
      </c>
      <c r="Z1861" t="str">
        <f>VLOOKUP(C1861,'[1]DBS_KPY Sorumlular'!A:C,3,FALSE)</f>
        <v>Ayşegül AKGÜL</v>
      </c>
      <c r="AA1861" t="str">
        <f>VLOOKUP(K1861,[1]!Tablo3[#Data],2,FALSE)</f>
        <v>Tayfun VİÇE</v>
      </c>
    </row>
    <row r="1862" spans="1:27" x14ac:dyDescent="0.25">
      <c r="A1862">
        <v>3211</v>
      </c>
      <c r="B1862" t="s">
        <v>27</v>
      </c>
      <c r="C1862" t="s">
        <v>288</v>
      </c>
      <c r="D1862" t="s">
        <v>289</v>
      </c>
      <c r="G1862" t="s">
        <v>43</v>
      </c>
      <c r="H1862" t="s">
        <v>6595</v>
      </c>
      <c r="I1862" s="4">
        <v>44712.875</v>
      </c>
      <c r="J1862" t="s">
        <v>6595</v>
      </c>
      <c r="K1862" t="s">
        <v>143</v>
      </c>
      <c r="L1862" s="5"/>
      <c r="M1862" s="5"/>
      <c r="N1862" t="s">
        <v>82</v>
      </c>
      <c r="O1862" t="s">
        <v>6596</v>
      </c>
      <c r="R1862">
        <v>1</v>
      </c>
      <c r="T1862" s="5" t="s">
        <v>38</v>
      </c>
      <c r="W1862">
        <v>205</v>
      </c>
      <c r="X1862" t="s">
        <v>6374</v>
      </c>
      <c r="Y1862" t="str">
        <f>VLOOKUP(C1862,'[1]DBS_KPY Sorumlular'!A:C,2,FALSE)</f>
        <v>Sinan ERDAŞ</v>
      </c>
      <c r="Z1862" t="str">
        <f>VLOOKUP(C1862,'[1]DBS_KPY Sorumlular'!A:C,3,FALSE)</f>
        <v>Ayşegül AKGÜL</v>
      </c>
      <c r="AA1862" t="str">
        <f>VLOOKUP(K1862,[1]!Tablo3[#Data],2,FALSE)</f>
        <v>Tayfun VİÇE</v>
      </c>
    </row>
    <row r="1863" spans="1:27" x14ac:dyDescent="0.25">
      <c r="A1863">
        <v>3212</v>
      </c>
      <c r="B1863" t="s">
        <v>27</v>
      </c>
      <c r="C1863" t="s">
        <v>288</v>
      </c>
      <c r="D1863" t="s">
        <v>6366</v>
      </c>
      <c r="G1863" t="s">
        <v>384</v>
      </c>
      <c r="H1863" t="s">
        <v>6597</v>
      </c>
      <c r="I1863" s="4">
        <v>44712.875</v>
      </c>
      <c r="J1863" t="s">
        <v>6402</v>
      </c>
      <c r="K1863" t="s">
        <v>1528</v>
      </c>
      <c r="L1863" s="5"/>
      <c r="M1863" s="5"/>
      <c r="N1863" t="s">
        <v>82</v>
      </c>
      <c r="O1863" t="s">
        <v>6598</v>
      </c>
      <c r="R1863">
        <v>1</v>
      </c>
      <c r="T1863" s="5" t="s">
        <v>38</v>
      </c>
      <c r="W1863">
        <v>224</v>
      </c>
      <c r="X1863" t="s">
        <v>6599</v>
      </c>
      <c r="Y1863" t="str">
        <f>VLOOKUP(C1863,'[1]DBS_KPY Sorumlular'!A:C,2,FALSE)</f>
        <v>Sinan ERDAŞ</v>
      </c>
      <c r="Z1863" t="str">
        <f>VLOOKUP(C1863,'[1]DBS_KPY Sorumlular'!A:C,3,FALSE)</f>
        <v>Ayşegül AKGÜL</v>
      </c>
      <c r="AA1863" t="str">
        <f>VLOOKUP(K1863,[1]!Tablo3[#Data],2,FALSE)</f>
        <v>Tayfun VİÇE</v>
      </c>
    </row>
    <row r="1864" spans="1:27" x14ac:dyDescent="0.25">
      <c r="A1864">
        <v>3213</v>
      </c>
      <c r="B1864" t="s">
        <v>27</v>
      </c>
      <c r="C1864" t="s">
        <v>288</v>
      </c>
      <c r="D1864" t="s">
        <v>6418</v>
      </c>
      <c r="G1864" t="s">
        <v>43</v>
      </c>
      <c r="H1864" t="s">
        <v>6600</v>
      </c>
      <c r="I1864" s="4">
        <v>44712.875</v>
      </c>
      <c r="J1864" t="s">
        <v>6601</v>
      </c>
      <c r="K1864" t="s">
        <v>1528</v>
      </c>
      <c r="L1864" s="5"/>
      <c r="M1864" s="5"/>
      <c r="N1864" t="s">
        <v>82</v>
      </c>
      <c r="O1864" t="s">
        <v>6602</v>
      </c>
      <c r="R1864">
        <v>1</v>
      </c>
      <c r="T1864" s="5" t="s">
        <v>38</v>
      </c>
      <c r="W1864">
        <v>71</v>
      </c>
      <c r="X1864" t="s">
        <v>1299</v>
      </c>
      <c r="Y1864" t="str">
        <f>VLOOKUP(C1864,'[1]DBS_KPY Sorumlular'!A:C,2,FALSE)</f>
        <v>Sinan ERDAŞ</v>
      </c>
      <c r="Z1864" t="str">
        <f>VLOOKUP(C1864,'[1]DBS_KPY Sorumlular'!A:C,3,FALSE)</f>
        <v>Ayşegül AKGÜL</v>
      </c>
      <c r="AA1864" t="str">
        <f>VLOOKUP(K1864,[1]!Tablo3[#Data],2,FALSE)</f>
        <v>Tayfun VİÇE</v>
      </c>
    </row>
    <row r="1865" spans="1:27" x14ac:dyDescent="0.25">
      <c r="A1865">
        <v>3214</v>
      </c>
      <c r="B1865" t="s">
        <v>27</v>
      </c>
      <c r="C1865" t="s">
        <v>288</v>
      </c>
      <c r="D1865" t="s">
        <v>6396</v>
      </c>
      <c r="G1865" t="s">
        <v>456</v>
      </c>
      <c r="H1865" t="s">
        <v>6603</v>
      </c>
      <c r="I1865" s="4">
        <v>45077.875</v>
      </c>
      <c r="J1865" t="s">
        <v>6604</v>
      </c>
      <c r="K1865" t="s">
        <v>1528</v>
      </c>
      <c r="L1865" s="5"/>
      <c r="M1865" s="5"/>
      <c r="N1865" t="s">
        <v>82</v>
      </c>
      <c r="O1865" t="s">
        <v>6605</v>
      </c>
      <c r="R1865">
        <v>1</v>
      </c>
      <c r="T1865" s="5" t="s">
        <v>38</v>
      </c>
      <c r="W1865">
        <v>144</v>
      </c>
      <c r="X1865" t="s">
        <v>463</v>
      </c>
      <c r="Y1865" t="str">
        <f>VLOOKUP(C1865,'[1]DBS_KPY Sorumlular'!A:C,2,FALSE)</f>
        <v>Sinan ERDAŞ</v>
      </c>
      <c r="Z1865" t="str">
        <f>VLOOKUP(C1865,'[1]DBS_KPY Sorumlular'!A:C,3,FALSE)</f>
        <v>Ayşegül AKGÜL</v>
      </c>
      <c r="AA1865" t="str">
        <f>VLOOKUP(K1865,[1]!Tablo3[#Data],2,FALSE)</f>
        <v>Tayfun VİÇE</v>
      </c>
    </row>
    <row r="1866" spans="1:27" x14ac:dyDescent="0.25">
      <c r="A1866">
        <v>3215</v>
      </c>
      <c r="B1866" t="s">
        <v>27</v>
      </c>
      <c r="C1866" t="s">
        <v>288</v>
      </c>
      <c r="D1866" t="s">
        <v>6396</v>
      </c>
      <c r="G1866" t="s">
        <v>456</v>
      </c>
      <c r="H1866" t="s">
        <v>6606</v>
      </c>
      <c r="I1866" s="4">
        <v>45077.875</v>
      </c>
      <c r="J1866" t="s">
        <v>6607</v>
      </c>
      <c r="K1866" t="s">
        <v>280</v>
      </c>
      <c r="L1866" s="5"/>
      <c r="M1866" s="5"/>
      <c r="N1866" t="s">
        <v>82</v>
      </c>
      <c r="O1866" t="s">
        <v>6608</v>
      </c>
      <c r="R1866">
        <v>1</v>
      </c>
      <c r="T1866" s="5" t="s">
        <v>38</v>
      </c>
      <c r="W1866">
        <v>144</v>
      </c>
      <c r="X1866" t="s">
        <v>463</v>
      </c>
      <c r="Y1866" t="str">
        <f>VLOOKUP(C1866,'[1]DBS_KPY Sorumlular'!A:C,2,FALSE)</f>
        <v>Sinan ERDAŞ</v>
      </c>
      <c r="Z1866" t="str">
        <f>VLOOKUP(C1866,'[1]DBS_KPY Sorumlular'!A:C,3,FALSE)</f>
        <v>Ayşegül AKGÜL</v>
      </c>
      <c r="AA1866" t="str">
        <f>VLOOKUP(K1866,[1]!Tablo3[#Data],2,FALSE)</f>
        <v>Erkan AKDOĞAN</v>
      </c>
    </row>
    <row r="1867" spans="1:27" x14ac:dyDescent="0.25">
      <c r="A1867">
        <v>3216</v>
      </c>
      <c r="B1867" t="s">
        <v>27</v>
      </c>
      <c r="C1867" t="s">
        <v>288</v>
      </c>
      <c r="D1867" t="s">
        <v>289</v>
      </c>
      <c r="G1867" t="s">
        <v>291</v>
      </c>
      <c r="H1867" t="s">
        <v>6609</v>
      </c>
      <c r="I1867" s="4">
        <v>44507.875</v>
      </c>
      <c r="J1867" t="s">
        <v>6388</v>
      </c>
      <c r="K1867" t="s">
        <v>1550</v>
      </c>
      <c r="L1867" s="5"/>
      <c r="M1867" s="5"/>
      <c r="N1867" t="s">
        <v>82</v>
      </c>
      <c r="O1867" t="s">
        <v>6610</v>
      </c>
      <c r="R1867">
        <v>1</v>
      </c>
      <c r="T1867" s="5" t="s">
        <v>38</v>
      </c>
      <c r="W1867">
        <v>23</v>
      </c>
      <c r="X1867" t="s">
        <v>295</v>
      </c>
      <c r="Y1867" t="str">
        <f>VLOOKUP(C1867,'[1]DBS_KPY Sorumlular'!A:C,2,FALSE)</f>
        <v>Sinan ERDAŞ</v>
      </c>
      <c r="Z1867" t="str">
        <f>VLOOKUP(C1867,'[1]DBS_KPY Sorumlular'!A:C,3,FALSE)</f>
        <v>Ayşegül AKGÜL</v>
      </c>
      <c r="AA1867" t="str">
        <f>VLOOKUP(K1867,[1]!Tablo3[#Data],2,FALSE)</f>
        <v>Kadir TOPÇU</v>
      </c>
    </row>
    <row r="1868" spans="1:27" x14ac:dyDescent="0.25">
      <c r="A1868">
        <v>3217</v>
      </c>
      <c r="B1868" t="s">
        <v>27</v>
      </c>
      <c r="C1868" t="s">
        <v>288</v>
      </c>
      <c r="D1868" t="s">
        <v>6396</v>
      </c>
      <c r="G1868" t="s">
        <v>456</v>
      </c>
      <c r="H1868" t="s">
        <v>6611</v>
      </c>
      <c r="I1868" s="4">
        <v>45077.875</v>
      </c>
      <c r="J1868" t="s">
        <v>6612</v>
      </c>
      <c r="K1868" t="s">
        <v>217</v>
      </c>
      <c r="L1868" s="5"/>
      <c r="M1868" s="5"/>
      <c r="N1868" t="s">
        <v>82</v>
      </c>
      <c r="O1868" t="s">
        <v>6613</v>
      </c>
      <c r="R1868">
        <v>1</v>
      </c>
      <c r="T1868" s="5" t="s">
        <v>38</v>
      </c>
      <c r="W1868">
        <v>144</v>
      </c>
      <c r="X1868" t="s">
        <v>463</v>
      </c>
      <c r="Y1868" t="str">
        <f>VLOOKUP(C1868,'[1]DBS_KPY Sorumlular'!A:C,2,FALSE)</f>
        <v>Sinan ERDAŞ</v>
      </c>
      <c r="Z1868" t="str">
        <f>VLOOKUP(C1868,'[1]DBS_KPY Sorumlular'!A:C,3,FALSE)</f>
        <v>Ayşegül AKGÜL</v>
      </c>
      <c r="AA1868" t="str">
        <f>VLOOKUP(K1868,[1]!Tablo3[#Data],2,FALSE)</f>
        <v>Erkan AKDOĞAN</v>
      </c>
    </row>
    <row r="1869" spans="1:27" x14ac:dyDescent="0.25">
      <c r="A1869">
        <v>3218</v>
      </c>
      <c r="B1869" t="s">
        <v>27</v>
      </c>
      <c r="C1869" t="s">
        <v>40</v>
      </c>
      <c r="D1869" t="s">
        <v>41</v>
      </c>
      <c r="G1869" t="s">
        <v>43</v>
      </c>
      <c r="H1869" t="s">
        <v>6614</v>
      </c>
      <c r="I1869" s="4">
        <v>45077.875</v>
      </c>
      <c r="K1869" t="s">
        <v>33</v>
      </c>
      <c r="L1869" s="5"/>
      <c r="M1869" s="5"/>
      <c r="N1869" t="s">
        <v>82</v>
      </c>
      <c r="O1869" t="s">
        <v>6615</v>
      </c>
      <c r="R1869">
        <v>1</v>
      </c>
      <c r="T1869" s="5" t="s">
        <v>48</v>
      </c>
      <c r="U1869" t="s">
        <v>6616</v>
      </c>
      <c r="V1869" t="s">
        <v>6617</v>
      </c>
      <c r="W1869">
        <v>30</v>
      </c>
      <c r="X1869" t="s">
        <v>327</v>
      </c>
      <c r="Y1869" t="str">
        <f>VLOOKUP(C1869,'[1]DBS_KPY Sorumlular'!A:C,2,FALSE)</f>
        <v>Mustafa AYDIN</v>
      </c>
      <c r="Z1869" t="str">
        <f>VLOOKUP(C1869,'[1]DBS_KPY Sorumlular'!A:C,3,FALSE)</f>
        <v>Esra DOLAN</v>
      </c>
      <c r="AA1869" t="str">
        <f>VLOOKUP(K1869,[1]!Tablo3[#Data],2,FALSE)</f>
        <v>Tayfun VİÇE</v>
      </c>
    </row>
    <row r="1870" spans="1:27" x14ac:dyDescent="0.25">
      <c r="A1870">
        <v>3219</v>
      </c>
      <c r="B1870" t="s">
        <v>27</v>
      </c>
      <c r="C1870" t="s">
        <v>40</v>
      </c>
      <c r="D1870" t="s">
        <v>41</v>
      </c>
      <c r="G1870" t="s">
        <v>43</v>
      </c>
      <c r="H1870" t="s">
        <v>6618</v>
      </c>
      <c r="I1870" s="4">
        <v>44347.875</v>
      </c>
      <c r="K1870" t="s">
        <v>54</v>
      </c>
      <c r="L1870" s="5"/>
      <c r="M1870" s="5"/>
      <c r="N1870" t="s">
        <v>82</v>
      </c>
      <c r="O1870" t="s">
        <v>6619</v>
      </c>
      <c r="R1870">
        <v>1</v>
      </c>
      <c r="T1870" s="5" t="s">
        <v>58</v>
      </c>
      <c r="U1870" t="s">
        <v>6620</v>
      </c>
      <c r="V1870" t="s">
        <v>6621</v>
      </c>
      <c r="W1870">
        <v>137</v>
      </c>
      <c r="X1870" t="s">
        <v>125</v>
      </c>
      <c r="Y1870" t="str">
        <f>VLOOKUP(C1870,'[1]DBS_KPY Sorumlular'!A:C,2,FALSE)</f>
        <v>Mustafa AYDIN</v>
      </c>
      <c r="Z1870" t="str">
        <f>VLOOKUP(C1870,'[1]DBS_KPY Sorumlular'!A:C,3,FALSE)</f>
        <v>Esra DOLAN</v>
      </c>
      <c r="AA1870" t="str">
        <f>VLOOKUP(K1870,[1]!Tablo3[#Data],2,FALSE)</f>
        <v>Erkan AKDOĞAN</v>
      </c>
    </row>
    <row r="1871" spans="1:27" x14ac:dyDescent="0.25">
      <c r="A1871">
        <v>3220</v>
      </c>
      <c r="B1871" t="s">
        <v>27</v>
      </c>
      <c r="C1871" t="s">
        <v>40</v>
      </c>
      <c r="D1871" t="s">
        <v>41</v>
      </c>
      <c r="G1871" t="s">
        <v>43</v>
      </c>
      <c r="H1871" t="s">
        <v>6622</v>
      </c>
      <c r="I1871" s="4">
        <v>44347.875</v>
      </c>
      <c r="K1871" t="s">
        <v>54</v>
      </c>
      <c r="L1871" s="5"/>
      <c r="M1871" s="5"/>
      <c r="N1871" t="s">
        <v>82</v>
      </c>
      <c r="O1871" t="s">
        <v>6623</v>
      </c>
      <c r="R1871">
        <v>1</v>
      </c>
      <c r="T1871" s="5"/>
      <c r="W1871">
        <v>73</v>
      </c>
      <c r="X1871" t="s">
        <v>1198</v>
      </c>
      <c r="Y1871" t="str">
        <f>VLOOKUP(C1871,'[1]DBS_KPY Sorumlular'!A:C,2,FALSE)</f>
        <v>Mustafa AYDIN</v>
      </c>
      <c r="Z1871" t="str">
        <f>VLOOKUP(C1871,'[1]DBS_KPY Sorumlular'!A:C,3,FALSE)</f>
        <v>Esra DOLAN</v>
      </c>
      <c r="AA1871" t="str">
        <f>VLOOKUP(K1871,[1]!Tablo3[#Data],2,FALSE)</f>
        <v>Erkan AKDOĞAN</v>
      </c>
    </row>
    <row r="1872" spans="1:27" x14ac:dyDescent="0.25">
      <c r="A1872">
        <v>3221</v>
      </c>
      <c r="B1872" t="s">
        <v>27</v>
      </c>
      <c r="C1872" t="s">
        <v>40</v>
      </c>
      <c r="D1872" t="s">
        <v>41</v>
      </c>
      <c r="G1872" t="s">
        <v>43</v>
      </c>
      <c r="H1872" t="s">
        <v>6624</v>
      </c>
      <c r="I1872" s="4">
        <v>44347.875</v>
      </c>
      <c r="K1872" t="s">
        <v>54</v>
      </c>
      <c r="L1872" s="5"/>
      <c r="M1872" s="5"/>
      <c r="N1872" t="s">
        <v>82</v>
      </c>
      <c r="O1872" t="s">
        <v>6625</v>
      </c>
      <c r="R1872">
        <v>1</v>
      </c>
      <c r="T1872" s="5"/>
      <c r="W1872">
        <v>73</v>
      </c>
      <c r="X1872" t="s">
        <v>1198</v>
      </c>
      <c r="Y1872" t="str">
        <f>VLOOKUP(C1872,'[1]DBS_KPY Sorumlular'!A:C,2,FALSE)</f>
        <v>Mustafa AYDIN</v>
      </c>
      <c r="Z1872" t="str">
        <f>VLOOKUP(C1872,'[1]DBS_KPY Sorumlular'!A:C,3,FALSE)</f>
        <v>Esra DOLAN</v>
      </c>
      <c r="AA1872" t="str">
        <f>VLOOKUP(K1872,[1]!Tablo3[#Data],2,FALSE)</f>
        <v>Erkan AKDOĞAN</v>
      </c>
    </row>
    <row r="1873" spans="1:27" x14ac:dyDescent="0.25">
      <c r="A1873">
        <v>3222</v>
      </c>
      <c r="B1873" t="s">
        <v>27</v>
      </c>
      <c r="C1873" t="s">
        <v>40</v>
      </c>
      <c r="D1873" t="s">
        <v>41</v>
      </c>
      <c r="G1873" t="s">
        <v>43</v>
      </c>
      <c r="H1873" t="s">
        <v>6626</v>
      </c>
      <c r="I1873" s="4">
        <v>44712.875</v>
      </c>
      <c r="K1873" t="s">
        <v>54</v>
      </c>
      <c r="L1873" s="5"/>
      <c r="M1873" s="5"/>
      <c r="N1873" t="s">
        <v>82</v>
      </c>
      <c r="O1873" t="s">
        <v>6627</v>
      </c>
      <c r="R1873">
        <v>1</v>
      </c>
      <c r="T1873" s="5"/>
      <c r="W1873">
        <v>87</v>
      </c>
      <c r="X1873" t="s">
        <v>119</v>
      </c>
      <c r="Y1873" t="str">
        <f>VLOOKUP(C1873,'[1]DBS_KPY Sorumlular'!A:C,2,FALSE)</f>
        <v>Mustafa AYDIN</v>
      </c>
      <c r="Z1873" t="str">
        <f>VLOOKUP(C1873,'[1]DBS_KPY Sorumlular'!A:C,3,FALSE)</f>
        <v>Esra DOLAN</v>
      </c>
      <c r="AA1873" t="str">
        <f>VLOOKUP(K1873,[1]!Tablo3[#Data],2,FALSE)</f>
        <v>Erkan AKDOĞAN</v>
      </c>
    </row>
    <row r="1874" spans="1:27" x14ac:dyDescent="0.25">
      <c r="A1874">
        <v>3223</v>
      </c>
      <c r="B1874" t="s">
        <v>27</v>
      </c>
      <c r="C1874" t="s">
        <v>40</v>
      </c>
      <c r="D1874" t="s">
        <v>41</v>
      </c>
      <c r="G1874" t="s">
        <v>43</v>
      </c>
      <c r="H1874" t="s">
        <v>6628</v>
      </c>
      <c r="I1874" s="4">
        <v>44712.875</v>
      </c>
      <c r="K1874" t="s">
        <v>54</v>
      </c>
      <c r="L1874" s="5"/>
      <c r="M1874" s="5"/>
      <c r="N1874" t="s">
        <v>82</v>
      </c>
      <c r="O1874" t="s">
        <v>6629</v>
      </c>
      <c r="R1874">
        <v>1</v>
      </c>
      <c r="T1874" s="5"/>
      <c r="W1874">
        <v>86</v>
      </c>
      <c r="X1874" t="s">
        <v>189</v>
      </c>
      <c r="Y1874" t="str">
        <f>VLOOKUP(C1874,'[1]DBS_KPY Sorumlular'!A:C,2,FALSE)</f>
        <v>Mustafa AYDIN</v>
      </c>
      <c r="Z1874" t="str">
        <f>VLOOKUP(C1874,'[1]DBS_KPY Sorumlular'!A:C,3,FALSE)</f>
        <v>Esra DOLAN</v>
      </c>
      <c r="AA1874" t="str">
        <f>VLOOKUP(K1874,[1]!Tablo3[#Data],2,FALSE)</f>
        <v>Erkan AKDOĞAN</v>
      </c>
    </row>
    <row r="1875" spans="1:27" x14ac:dyDescent="0.25">
      <c r="A1875">
        <v>3224</v>
      </c>
      <c r="B1875" t="s">
        <v>27</v>
      </c>
      <c r="C1875" t="s">
        <v>40</v>
      </c>
      <c r="D1875" t="s">
        <v>41</v>
      </c>
      <c r="G1875" t="s">
        <v>43</v>
      </c>
      <c r="H1875" t="s">
        <v>6630</v>
      </c>
      <c r="I1875" s="4">
        <v>44712.875</v>
      </c>
      <c r="K1875" t="s">
        <v>54</v>
      </c>
      <c r="L1875" s="5"/>
      <c r="M1875" s="5"/>
      <c r="N1875" t="s">
        <v>82</v>
      </c>
      <c r="O1875" t="s">
        <v>6631</v>
      </c>
      <c r="R1875">
        <v>1</v>
      </c>
      <c r="T1875" s="5"/>
      <c r="W1875">
        <v>68</v>
      </c>
      <c r="X1875" t="s">
        <v>51</v>
      </c>
      <c r="Y1875" t="str">
        <f>VLOOKUP(C1875,'[1]DBS_KPY Sorumlular'!A:C,2,FALSE)</f>
        <v>Mustafa AYDIN</v>
      </c>
      <c r="Z1875" t="str">
        <f>VLOOKUP(C1875,'[1]DBS_KPY Sorumlular'!A:C,3,FALSE)</f>
        <v>Esra DOLAN</v>
      </c>
      <c r="AA1875" t="str">
        <f>VLOOKUP(K1875,[1]!Tablo3[#Data],2,FALSE)</f>
        <v>Erkan AKDOĞAN</v>
      </c>
    </row>
    <row r="1876" spans="1:27" x14ac:dyDescent="0.25">
      <c r="A1876">
        <v>3225</v>
      </c>
      <c r="B1876" t="s">
        <v>27</v>
      </c>
      <c r="C1876" t="s">
        <v>40</v>
      </c>
      <c r="D1876" t="s">
        <v>41</v>
      </c>
      <c r="G1876" t="s">
        <v>43</v>
      </c>
      <c r="H1876" t="s">
        <v>6632</v>
      </c>
      <c r="I1876" s="4">
        <v>44712.875</v>
      </c>
      <c r="K1876" t="s">
        <v>54</v>
      </c>
      <c r="L1876" s="5"/>
      <c r="M1876" s="5"/>
      <c r="N1876" t="s">
        <v>82</v>
      </c>
      <c r="O1876" t="s">
        <v>6633</v>
      </c>
      <c r="R1876">
        <v>1</v>
      </c>
      <c r="T1876" s="5"/>
      <c r="W1876">
        <v>116</v>
      </c>
      <c r="X1876" t="s">
        <v>3651</v>
      </c>
      <c r="Y1876" t="str">
        <f>VLOOKUP(C1876,'[1]DBS_KPY Sorumlular'!A:C,2,FALSE)</f>
        <v>Mustafa AYDIN</v>
      </c>
      <c r="Z1876" t="str">
        <f>VLOOKUP(C1876,'[1]DBS_KPY Sorumlular'!A:C,3,FALSE)</f>
        <v>Esra DOLAN</v>
      </c>
      <c r="AA1876" t="str">
        <f>VLOOKUP(K1876,[1]!Tablo3[#Data],2,FALSE)</f>
        <v>Erkan AKDOĞAN</v>
      </c>
    </row>
    <row r="1877" spans="1:27" x14ac:dyDescent="0.25">
      <c r="A1877">
        <v>3226</v>
      </c>
      <c r="B1877" t="s">
        <v>27</v>
      </c>
      <c r="C1877" t="s">
        <v>40</v>
      </c>
      <c r="D1877" t="s">
        <v>41</v>
      </c>
      <c r="G1877" t="s">
        <v>43</v>
      </c>
      <c r="H1877" t="s">
        <v>6634</v>
      </c>
      <c r="I1877" s="4">
        <v>44712.875</v>
      </c>
      <c r="K1877" t="s">
        <v>54</v>
      </c>
      <c r="L1877" s="5"/>
      <c r="M1877" s="5"/>
      <c r="N1877" t="s">
        <v>82</v>
      </c>
      <c r="O1877" t="s">
        <v>6635</v>
      </c>
      <c r="R1877">
        <v>1</v>
      </c>
      <c r="T1877" s="5"/>
      <c r="W1877">
        <v>263</v>
      </c>
      <c r="X1877" t="s">
        <v>628</v>
      </c>
      <c r="Y1877" t="str">
        <f>VLOOKUP(C1877,'[1]DBS_KPY Sorumlular'!A:C,2,FALSE)</f>
        <v>Mustafa AYDIN</v>
      </c>
      <c r="Z1877" t="str">
        <f>VLOOKUP(C1877,'[1]DBS_KPY Sorumlular'!A:C,3,FALSE)</f>
        <v>Esra DOLAN</v>
      </c>
      <c r="AA1877" t="str">
        <f>VLOOKUP(K1877,[1]!Tablo3[#Data],2,FALSE)</f>
        <v>Erkan AKDOĞAN</v>
      </c>
    </row>
    <row r="1878" spans="1:27" x14ac:dyDescent="0.25">
      <c r="A1878">
        <v>3227</v>
      </c>
      <c r="B1878" t="s">
        <v>27</v>
      </c>
      <c r="C1878" t="s">
        <v>40</v>
      </c>
      <c r="D1878" t="s">
        <v>41</v>
      </c>
      <c r="G1878" t="s">
        <v>43</v>
      </c>
      <c r="H1878" t="s">
        <v>6636</v>
      </c>
      <c r="I1878" s="4">
        <v>44712.875</v>
      </c>
      <c r="K1878" t="s">
        <v>54</v>
      </c>
      <c r="L1878" s="5"/>
      <c r="M1878" s="5"/>
      <c r="N1878" t="s">
        <v>82</v>
      </c>
      <c r="O1878" t="s">
        <v>6635</v>
      </c>
      <c r="R1878">
        <v>1</v>
      </c>
      <c r="T1878" s="5"/>
      <c r="W1878">
        <v>108</v>
      </c>
      <c r="X1878" t="s">
        <v>107</v>
      </c>
      <c r="Y1878" t="str">
        <f>VLOOKUP(C1878,'[1]DBS_KPY Sorumlular'!A:C,2,FALSE)</f>
        <v>Mustafa AYDIN</v>
      </c>
      <c r="Z1878" t="str">
        <f>VLOOKUP(C1878,'[1]DBS_KPY Sorumlular'!A:C,3,FALSE)</f>
        <v>Esra DOLAN</v>
      </c>
      <c r="AA1878" t="str">
        <f>VLOOKUP(K1878,[1]!Tablo3[#Data],2,FALSE)</f>
        <v>Erkan AKDOĞAN</v>
      </c>
    </row>
    <row r="1879" spans="1:27" x14ac:dyDescent="0.25">
      <c r="A1879">
        <v>3228</v>
      </c>
      <c r="B1879" t="s">
        <v>27</v>
      </c>
      <c r="C1879" t="s">
        <v>40</v>
      </c>
      <c r="D1879" t="s">
        <v>41</v>
      </c>
      <c r="G1879" t="s">
        <v>43</v>
      </c>
      <c r="H1879" t="s">
        <v>6637</v>
      </c>
      <c r="I1879" s="4">
        <v>45443.875</v>
      </c>
      <c r="K1879" t="s">
        <v>54</v>
      </c>
      <c r="L1879" s="5"/>
      <c r="M1879" s="5"/>
      <c r="N1879" t="s">
        <v>82</v>
      </c>
      <c r="O1879" t="s">
        <v>6638</v>
      </c>
      <c r="R1879">
        <v>1</v>
      </c>
      <c r="T1879" s="5"/>
      <c r="W1879">
        <v>108</v>
      </c>
      <c r="X1879" t="s">
        <v>107</v>
      </c>
      <c r="Y1879" t="str">
        <f>VLOOKUP(C1879,'[1]DBS_KPY Sorumlular'!A:C,2,FALSE)</f>
        <v>Mustafa AYDIN</v>
      </c>
      <c r="Z1879" t="str">
        <f>VLOOKUP(C1879,'[1]DBS_KPY Sorumlular'!A:C,3,FALSE)</f>
        <v>Esra DOLAN</v>
      </c>
      <c r="AA1879" t="str">
        <f>VLOOKUP(K1879,[1]!Tablo3[#Data],2,FALSE)</f>
        <v>Erkan AKDOĞAN</v>
      </c>
    </row>
    <row r="1880" spans="1:27" x14ac:dyDescent="0.25">
      <c r="A1880">
        <v>3229</v>
      </c>
      <c r="B1880" t="s">
        <v>27</v>
      </c>
      <c r="C1880" t="s">
        <v>40</v>
      </c>
      <c r="D1880" t="s">
        <v>41</v>
      </c>
      <c r="G1880" t="s">
        <v>43</v>
      </c>
      <c r="H1880" t="s">
        <v>6639</v>
      </c>
      <c r="I1880" s="4">
        <v>45443.875</v>
      </c>
      <c r="K1880" t="s">
        <v>54</v>
      </c>
      <c r="L1880" s="5"/>
      <c r="M1880" s="5"/>
      <c r="N1880" t="s">
        <v>82</v>
      </c>
      <c r="O1880" t="s">
        <v>6631</v>
      </c>
      <c r="R1880">
        <v>1</v>
      </c>
      <c r="T1880" s="5"/>
      <c r="W1880">
        <v>68</v>
      </c>
      <c r="X1880" t="s">
        <v>51</v>
      </c>
      <c r="Y1880" t="str">
        <f>VLOOKUP(C1880,'[1]DBS_KPY Sorumlular'!A:C,2,FALSE)</f>
        <v>Mustafa AYDIN</v>
      </c>
      <c r="Z1880" t="str">
        <f>VLOOKUP(C1880,'[1]DBS_KPY Sorumlular'!A:C,3,FALSE)</f>
        <v>Esra DOLAN</v>
      </c>
      <c r="AA1880" t="str">
        <f>VLOOKUP(K1880,[1]!Tablo3[#Data],2,FALSE)</f>
        <v>Erkan AKDOĞAN</v>
      </c>
    </row>
    <row r="1881" spans="1:27" x14ac:dyDescent="0.25">
      <c r="A1881">
        <v>3230</v>
      </c>
      <c r="B1881" t="s">
        <v>27</v>
      </c>
      <c r="C1881" t="s">
        <v>40</v>
      </c>
      <c r="D1881" t="s">
        <v>41</v>
      </c>
      <c r="G1881" t="s">
        <v>43</v>
      </c>
      <c r="H1881" t="s">
        <v>6640</v>
      </c>
      <c r="I1881" s="4">
        <v>45443.875</v>
      </c>
      <c r="K1881" t="s">
        <v>54</v>
      </c>
      <c r="L1881" s="5"/>
      <c r="M1881" s="5"/>
      <c r="N1881" t="s">
        <v>82</v>
      </c>
      <c r="O1881" t="s">
        <v>6641</v>
      </c>
      <c r="R1881">
        <v>1</v>
      </c>
      <c r="T1881" s="5"/>
      <c r="W1881">
        <v>68</v>
      </c>
      <c r="X1881" t="s">
        <v>51</v>
      </c>
      <c r="Y1881" t="str">
        <f>VLOOKUP(C1881,'[1]DBS_KPY Sorumlular'!A:C,2,FALSE)</f>
        <v>Mustafa AYDIN</v>
      </c>
      <c r="Z1881" t="str">
        <f>VLOOKUP(C1881,'[1]DBS_KPY Sorumlular'!A:C,3,FALSE)</f>
        <v>Esra DOLAN</v>
      </c>
      <c r="AA1881" t="str">
        <f>VLOOKUP(K1881,[1]!Tablo3[#Data],2,FALSE)</f>
        <v>Erkan AKDOĞAN</v>
      </c>
    </row>
    <row r="1882" spans="1:27" x14ac:dyDescent="0.25">
      <c r="A1882">
        <v>3231</v>
      </c>
      <c r="B1882" t="s">
        <v>27</v>
      </c>
      <c r="C1882" t="s">
        <v>40</v>
      </c>
      <c r="D1882" t="s">
        <v>41</v>
      </c>
      <c r="G1882" t="s">
        <v>43</v>
      </c>
      <c r="H1882" t="s">
        <v>6642</v>
      </c>
      <c r="I1882" s="4">
        <v>43982.875</v>
      </c>
      <c r="K1882" t="s">
        <v>98</v>
      </c>
      <c r="L1882" s="5"/>
      <c r="M1882" s="5"/>
      <c r="N1882" t="s">
        <v>82</v>
      </c>
      <c r="O1882" t="s">
        <v>6643</v>
      </c>
      <c r="R1882">
        <v>1</v>
      </c>
      <c r="T1882" s="5"/>
      <c r="W1882">
        <v>30</v>
      </c>
      <c r="X1882" t="s">
        <v>327</v>
      </c>
      <c r="Y1882" t="str">
        <f>VLOOKUP(C1882,'[1]DBS_KPY Sorumlular'!A:C,2,FALSE)</f>
        <v>Mustafa AYDIN</v>
      </c>
      <c r="Z1882" t="str">
        <f>VLOOKUP(C1882,'[1]DBS_KPY Sorumlular'!A:C,3,FALSE)</f>
        <v>Esra DOLAN</v>
      </c>
      <c r="AA1882" t="str">
        <f>VLOOKUP(K1882,[1]!Tablo3[#Data],2,FALSE)</f>
        <v>Tayfun VİÇE</v>
      </c>
    </row>
    <row r="1883" spans="1:27" x14ac:dyDescent="0.25">
      <c r="A1883">
        <v>3232</v>
      </c>
      <c r="B1883" t="s">
        <v>27</v>
      </c>
      <c r="C1883" t="s">
        <v>40</v>
      </c>
      <c r="D1883" t="s">
        <v>41</v>
      </c>
      <c r="G1883" t="s">
        <v>43</v>
      </c>
      <c r="H1883" t="s">
        <v>6644</v>
      </c>
      <c r="I1883" s="4">
        <v>43982.875</v>
      </c>
      <c r="K1883" t="s">
        <v>98</v>
      </c>
      <c r="L1883" s="5"/>
      <c r="M1883" s="5"/>
      <c r="N1883" t="s">
        <v>82</v>
      </c>
      <c r="O1883" t="s">
        <v>6645</v>
      </c>
      <c r="R1883">
        <v>1</v>
      </c>
      <c r="T1883" s="5"/>
      <c r="W1883">
        <v>73</v>
      </c>
      <c r="X1883" t="s">
        <v>1198</v>
      </c>
      <c r="Y1883" t="str">
        <f>VLOOKUP(C1883,'[1]DBS_KPY Sorumlular'!A:C,2,FALSE)</f>
        <v>Mustafa AYDIN</v>
      </c>
      <c r="Z1883" t="str">
        <f>VLOOKUP(C1883,'[1]DBS_KPY Sorumlular'!A:C,3,FALSE)</f>
        <v>Esra DOLAN</v>
      </c>
      <c r="AA1883" t="str">
        <f>VLOOKUP(K1883,[1]!Tablo3[#Data],2,FALSE)</f>
        <v>Tayfun VİÇE</v>
      </c>
    </row>
    <row r="1884" spans="1:27" x14ac:dyDescent="0.25">
      <c r="A1884">
        <v>3233</v>
      </c>
      <c r="B1884" t="s">
        <v>27</v>
      </c>
      <c r="C1884" t="s">
        <v>40</v>
      </c>
      <c r="D1884" t="s">
        <v>41</v>
      </c>
      <c r="G1884" t="s">
        <v>43</v>
      </c>
      <c r="H1884" t="s">
        <v>6646</v>
      </c>
      <c r="I1884" s="4">
        <v>44347.875</v>
      </c>
      <c r="K1884" t="s">
        <v>98</v>
      </c>
      <c r="L1884" s="5"/>
      <c r="M1884" s="5"/>
      <c r="N1884" t="s">
        <v>82</v>
      </c>
      <c r="O1884" t="s">
        <v>6647</v>
      </c>
      <c r="R1884">
        <v>1</v>
      </c>
      <c r="T1884" s="5"/>
      <c r="W1884">
        <v>137</v>
      </c>
      <c r="X1884" t="s">
        <v>125</v>
      </c>
      <c r="Y1884" t="str">
        <f>VLOOKUP(C1884,'[1]DBS_KPY Sorumlular'!A:C,2,FALSE)</f>
        <v>Mustafa AYDIN</v>
      </c>
      <c r="Z1884" t="str">
        <f>VLOOKUP(C1884,'[1]DBS_KPY Sorumlular'!A:C,3,FALSE)</f>
        <v>Esra DOLAN</v>
      </c>
      <c r="AA1884" t="str">
        <f>VLOOKUP(K1884,[1]!Tablo3[#Data],2,FALSE)</f>
        <v>Tayfun VİÇE</v>
      </c>
    </row>
    <row r="1885" spans="1:27" x14ac:dyDescent="0.25">
      <c r="A1885">
        <v>3234</v>
      </c>
      <c r="B1885" t="s">
        <v>27</v>
      </c>
      <c r="C1885" t="s">
        <v>40</v>
      </c>
      <c r="D1885" t="s">
        <v>41</v>
      </c>
      <c r="G1885" t="s">
        <v>43</v>
      </c>
      <c r="H1885" t="s">
        <v>6648</v>
      </c>
      <c r="I1885" s="4">
        <v>44347.875</v>
      </c>
      <c r="K1885" t="s">
        <v>98</v>
      </c>
      <c r="L1885" s="5"/>
      <c r="M1885" s="5"/>
      <c r="N1885" t="s">
        <v>82</v>
      </c>
      <c r="O1885" t="s">
        <v>6649</v>
      </c>
      <c r="R1885">
        <v>1</v>
      </c>
      <c r="T1885" s="5"/>
      <c r="W1885">
        <v>144</v>
      </c>
      <c r="X1885" t="s">
        <v>463</v>
      </c>
      <c r="Y1885" t="str">
        <f>VLOOKUP(C1885,'[1]DBS_KPY Sorumlular'!A:C,2,FALSE)</f>
        <v>Mustafa AYDIN</v>
      </c>
      <c r="Z1885" t="str">
        <f>VLOOKUP(C1885,'[1]DBS_KPY Sorumlular'!A:C,3,FALSE)</f>
        <v>Esra DOLAN</v>
      </c>
      <c r="AA1885" t="str">
        <f>VLOOKUP(K1885,[1]!Tablo3[#Data],2,FALSE)</f>
        <v>Tayfun VİÇE</v>
      </c>
    </row>
    <row r="1886" spans="1:27" x14ac:dyDescent="0.25">
      <c r="A1886">
        <v>3235</v>
      </c>
      <c r="B1886" t="s">
        <v>27</v>
      </c>
      <c r="C1886" t="s">
        <v>40</v>
      </c>
      <c r="D1886" t="s">
        <v>41</v>
      </c>
      <c r="G1886" t="s">
        <v>30</v>
      </c>
      <c r="H1886" t="s">
        <v>6650</v>
      </c>
      <c r="I1886" s="4">
        <v>44712.875</v>
      </c>
      <c r="K1886" t="s">
        <v>98</v>
      </c>
      <c r="L1886" s="5"/>
      <c r="M1886" s="5"/>
      <c r="N1886" t="s">
        <v>82</v>
      </c>
      <c r="O1886" t="s">
        <v>6651</v>
      </c>
      <c r="R1886">
        <v>1</v>
      </c>
      <c r="T1886" s="5"/>
      <c r="W1886">
        <v>79</v>
      </c>
      <c r="X1886" t="s">
        <v>1619</v>
      </c>
      <c r="Y1886" t="str">
        <f>VLOOKUP(C1886,'[1]DBS_KPY Sorumlular'!A:C,2,FALSE)</f>
        <v>Mustafa AYDIN</v>
      </c>
      <c r="Z1886" t="str">
        <f>VLOOKUP(C1886,'[1]DBS_KPY Sorumlular'!A:C,3,FALSE)</f>
        <v>Esra DOLAN</v>
      </c>
      <c r="AA1886" t="str">
        <f>VLOOKUP(K1886,[1]!Tablo3[#Data],2,FALSE)</f>
        <v>Tayfun VİÇE</v>
      </c>
    </row>
    <row r="1887" spans="1:27" x14ac:dyDescent="0.25">
      <c r="A1887">
        <v>3236</v>
      </c>
      <c r="B1887" t="s">
        <v>27</v>
      </c>
      <c r="C1887" t="s">
        <v>40</v>
      </c>
      <c r="D1887" t="s">
        <v>41</v>
      </c>
      <c r="G1887" t="s">
        <v>43</v>
      </c>
      <c r="H1887" t="s">
        <v>6652</v>
      </c>
      <c r="I1887" s="4">
        <v>44712.875</v>
      </c>
      <c r="K1887" t="s">
        <v>98</v>
      </c>
      <c r="L1887" s="5"/>
      <c r="M1887" s="5"/>
      <c r="N1887" t="s">
        <v>82</v>
      </c>
      <c r="O1887" t="s">
        <v>6653</v>
      </c>
      <c r="R1887">
        <v>1</v>
      </c>
      <c r="T1887" s="5"/>
      <c r="W1887">
        <v>108</v>
      </c>
      <c r="X1887" t="s">
        <v>107</v>
      </c>
      <c r="Y1887" t="str">
        <f>VLOOKUP(C1887,'[1]DBS_KPY Sorumlular'!A:C,2,FALSE)</f>
        <v>Mustafa AYDIN</v>
      </c>
      <c r="Z1887" t="str">
        <f>VLOOKUP(C1887,'[1]DBS_KPY Sorumlular'!A:C,3,FALSE)</f>
        <v>Esra DOLAN</v>
      </c>
      <c r="AA1887" t="str">
        <f>VLOOKUP(K1887,[1]!Tablo3[#Data],2,FALSE)</f>
        <v>Tayfun VİÇE</v>
      </c>
    </row>
    <row r="1888" spans="1:27" x14ac:dyDescent="0.25">
      <c r="A1888">
        <v>3237</v>
      </c>
      <c r="B1888" t="s">
        <v>27</v>
      </c>
      <c r="C1888" t="s">
        <v>40</v>
      </c>
      <c r="D1888" t="s">
        <v>41</v>
      </c>
      <c r="G1888" t="s">
        <v>43</v>
      </c>
      <c r="H1888" t="s">
        <v>6654</v>
      </c>
      <c r="I1888" s="4">
        <v>45077.875</v>
      </c>
      <c r="K1888" t="s">
        <v>98</v>
      </c>
      <c r="L1888" s="5"/>
      <c r="M1888" s="5"/>
      <c r="N1888" t="s">
        <v>82</v>
      </c>
      <c r="O1888" t="s">
        <v>6655</v>
      </c>
      <c r="R1888">
        <v>1</v>
      </c>
      <c r="T1888" s="5"/>
      <c r="W1888">
        <v>108</v>
      </c>
      <c r="X1888" t="s">
        <v>107</v>
      </c>
      <c r="Y1888" t="str">
        <f>VLOOKUP(C1888,'[1]DBS_KPY Sorumlular'!A:C,2,FALSE)</f>
        <v>Mustafa AYDIN</v>
      </c>
      <c r="Z1888" t="str">
        <f>VLOOKUP(C1888,'[1]DBS_KPY Sorumlular'!A:C,3,FALSE)</f>
        <v>Esra DOLAN</v>
      </c>
      <c r="AA1888" t="str">
        <f>VLOOKUP(K1888,[1]!Tablo3[#Data],2,FALSE)</f>
        <v>Tayfun VİÇE</v>
      </c>
    </row>
    <row r="1889" spans="1:27" x14ac:dyDescent="0.25">
      <c r="A1889">
        <v>3238</v>
      </c>
      <c r="B1889" t="s">
        <v>27</v>
      </c>
      <c r="C1889" t="s">
        <v>40</v>
      </c>
      <c r="D1889" t="s">
        <v>41</v>
      </c>
      <c r="G1889" t="s">
        <v>43</v>
      </c>
      <c r="H1889" t="s">
        <v>6656</v>
      </c>
      <c r="I1889" s="4">
        <v>45443.875</v>
      </c>
      <c r="K1889" t="s">
        <v>98</v>
      </c>
      <c r="L1889" s="5"/>
      <c r="M1889" s="5"/>
      <c r="N1889" t="s">
        <v>82</v>
      </c>
      <c r="O1889" t="s">
        <v>6657</v>
      </c>
      <c r="R1889">
        <v>1</v>
      </c>
      <c r="T1889" s="5"/>
      <c r="W1889">
        <v>81</v>
      </c>
      <c r="X1889" t="s">
        <v>6658</v>
      </c>
      <c r="Y1889" t="str">
        <f>VLOOKUP(C1889,'[1]DBS_KPY Sorumlular'!A:C,2,FALSE)</f>
        <v>Mustafa AYDIN</v>
      </c>
      <c r="Z1889" t="str">
        <f>VLOOKUP(C1889,'[1]DBS_KPY Sorumlular'!A:C,3,FALSE)</f>
        <v>Esra DOLAN</v>
      </c>
      <c r="AA1889" t="str">
        <f>VLOOKUP(K1889,[1]!Tablo3[#Data],2,FALSE)</f>
        <v>Tayfun VİÇE</v>
      </c>
    </row>
    <row r="1890" spans="1:27" x14ac:dyDescent="0.25">
      <c r="A1890">
        <v>3239</v>
      </c>
      <c r="B1890" t="s">
        <v>27</v>
      </c>
      <c r="C1890" t="s">
        <v>40</v>
      </c>
      <c r="D1890" t="s">
        <v>41</v>
      </c>
      <c r="G1890" t="s">
        <v>43</v>
      </c>
      <c r="H1890" t="s">
        <v>6659</v>
      </c>
      <c r="I1890" s="4">
        <v>45443.875</v>
      </c>
      <c r="K1890" t="s">
        <v>98</v>
      </c>
      <c r="L1890" s="5"/>
      <c r="M1890" s="5"/>
      <c r="N1890" t="s">
        <v>82</v>
      </c>
      <c r="O1890" t="s">
        <v>6660</v>
      </c>
      <c r="R1890">
        <v>1</v>
      </c>
      <c r="T1890" s="5"/>
      <c r="W1890">
        <v>108</v>
      </c>
      <c r="X1890" t="s">
        <v>107</v>
      </c>
      <c r="Y1890" t="str">
        <f>VLOOKUP(C1890,'[1]DBS_KPY Sorumlular'!A:C,2,FALSE)</f>
        <v>Mustafa AYDIN</v>
      </c>
      <c r="Z1890" t="str">
        <f>VLOOKUP(C1890,'[1]DBS_KPY Sorumlular'!A:C,3,FALSE)</f>
        <v>Esra DOLAN</v>
      </c>
      <c r="AA1890" t="str">
        <f>VLOOKUP(K1890,[1]!Tablo3[#Data],2,FALSE)</f>
        <v>Tayfun VİÇE</v>
      </c>
    </row>
    <row r="1891" spans="1:27" x14ac:dyDescent="0.25">
      <c r="A1891">
        <v>3240</v>
      </c>
      <c r="B1891" t="s">
        <v>27</v>
      </c>
      <c r="C1891" t="s">
        <v>40</v>
      </c>
      <c r="D1891" t="s">
        <v>41</v>
      </c>
      <c r="G1891" t="s">
        <v>43</v>
      </c>
      <c r="H1891" t="s">
        <v>6661</v>
      </c>
      <c r="I1891" s="4">
        <v>45443.875</v>
      </c>
      <c r="K1891" t="s">
        <v>98</v>
      </c>
      <c r="L1891" s="5"/>
      <c r="M1891" s="5"/>
      <c r="N1891" t="s">
        <v>82</v>
      </c>
      <c r="O1891" t="s">
        <v>6662</v>
      </c>
      <c r="R1891">
        <v>1</v>
      </c>
      <c r="T1891" s="5"/>
      <c r="W1891">
        <v>114</v>
      </c>
      <c r="X1891" t="s">
        <v>136</v>
      </c>
      <c r="Y1891" t="str">
        <f>VLOOKUP(C1891,'[1]DBS_KPY Sorumlular'!A:C,2,FALSE)</f>
        <v>Mustafa AYDIN</v>
      </c>
      <c r="Z1891" t="str">
        <f>VLOOKUP(C1891,'[1]DBS_KPY Sorumlular'!A:C,3,FALSE)</f>
        <v>Esra DOLAN</v>
      </c>
      <c r="AA1891" t="str">
        <f>VLOOKUP(K1891,[1]!Tablo3[#Data],2,FALSE)</f>
        <v>Tayfun VİÇE</v>
      </c>
    </row>
    <row r="1892" spans="1:27" x14ac:dyDescent="0.25">
      <c r="A1892">
        <v>3241</v>
      </c>
      <c r="B1892" t="s">
        <v>27</v>
      </c>
      <c r="C1892" t="s">
        <v>40</v>
      </c>
      <c r="D1892" t="s">
        <v>41</v>
      </c>
      <c r="G1892" t="s">
        <v>43</v>
      </c>
      <c r="H1892" t="s">
        <v>6663</v>
      </c>
      <c r="I1892" s="4">
        <v>44347.875</v>
      </c>
      <c r="K1892" t="s">
        <v>152</v>
      </c>
      <c r="L1892" s="5"/>
      <c r="M1892" s="5"/>
      <c r="N1892" t="s">
        <v>82</v>
      </c>
      <c r="O1892" t="s">
        <v>6664</v>
      </c>
      <c r="R1892">
        <v>1</v>
      </c>
      <c r="T1892" s="5"/>
      <c r="W1892">
        <v>137</v>
      </c>
      <c r="X1892" t="s">
        <v>125</v>
      </c>
      <c r="Y1892" t="str">
        <f>VLOOKUP(C1892,'[1]DBS_KPY Sorumlular'!A:C,2,FALSE)</f>
        <v>Mustafa AYDIN</v>
      </c>
      <c r="Z1892" t="str">
        <f>VLOOKUP(C1892,'[1]DBS_KPY Sorumlular'!A:C,3,FALSE)</f>
        <v>Esra DOLAN</v>
      </c>
      <c r="AA1892" t="str">
        <f>VLOOKUP(K1892,[1]!Tablo3[#Data],2,FALSE)</f>
        <v>Erkan AKDOĞAN</v>
      </c>
    </row>
    <row r="1893" spans="1:27" x14ac:dyDescent="0.25">
      <c r="A1893">
        <v>3242</v>
      </c>
      <c r="B1893" t="s">
        <v>27</v>
      </c>
      <c r="C1893" t="s">
        <v>40</v>
      </c>
      <c r="D1893" t="s">
        <v>41</v>
      </c>
      <c r="G1893" t="s">
        <v>43</v>
      </c>
      <c r="H1893" t="s">
        <v>6665</v>
      </c>
      <c r="I1893" s="4">
        <v>44347.875</v>
      </c>
      <c r="K1893" t="s">
        <v>152</v>
      </c>
      <c r="L1893" s="5"/>
      <c r="M1893" s="5"/>
      <c r="N1893" t="s">
        <v>82</v>
      </c>
      <c r="O1893" t="s">
        <v>6666</v>
      </c>
      <c r="R1893">
        <v>1</v>
      </c>
      <c r="T1893" s="5"/>
      <c r="W1893">
        <v>73</v>
      </c>
      <c r="X1893" t="s">
        <v>1198</v>
      </c>
      <c r="Y1893" t="str">
        <f>VLOOKUP(C1893,'[1]DBS_KPY Sorumlular'!A:C,2,FALSE)</f>
        <v>Mustafa AYDIN</v>
      </c>
      <c r="Z1893" t="str">
        <f>VLOOKUP(C1893,'[1]DBS_KPY Sorumlular'!A:C,3,FALSE)</f>
        <v>Esra DOLAN</v>
      </c>
      <c r="AA1893" t="str">
        <f>VLOOKUP(K1893,[1]!Tablo3[#Data],2,FALSE)</f>
        <v>Erkan AKDOĞAN</v>
      </c>
    </row>
    <row r="1894" spans="1:27" x14ac:dyDescent="0.25">
      <c r="A1894">
        <v>3243</v>
      </c>
      <c r="B1894" t="s">
        <v>27</v>
      </c>
      <c r="C1894" t="s">
        <v>40</v>
      </c>
      <c r="D1894" t="s">
        <v>65</v>
      </c>
      <c r="G1894" t="s">
        <v>67</v>
      </c>
      <c r="H1894" t="s">
        <v>6667</v>
      </c>
      <c r="I1894" s="4">
        <v>44347.875</v>
      </c>
      <c r="K1894" t="s">
        <v>309</v>
      </c>
      <c r="L1894" s="5"/>
      <c r="M1894" s="5"/>
      <c r="N1894" t="s">
        <v>82</v>
      </c>
      <c r="O1894" t="s">
        <v>6668</v>
      </c>
      <c r="R1894">
        <v>1</v>
      </c>
      <c r="T1894" s="5"/>
      <c r="W1894">
        <v>208</v>
      </c>
      <c r="X1894" t="s">
        <v>594</v>
      </c>
      <c r="Y1894" t="str">
        <f>VLOOKUP(C1894,'[1]DBS_KPY Sorumlular'!A:C,2,FALSE)</f>
        <v>Mustafa AYDIN</v>
      </c>
      <c r="Z1894" t="str">
        <f>VLOOKUP(C1894,'[1]DBS_KPY Sorumlular'!A:C,3,FALSE)</f>
        <v>Esra DOLAN</v>
      </c>
      <c r="AA1894" t="str">
        <f>VLOOKUP(K1894,[1]!Tablo3[#Data],2,FALSE)</f>
        <v>Erkan AKDOĞAN</v>
      </c>
    </row>
    <row r="1895" spans="1:27" x14ac:dyDescent="0.25">
      <c r="A1895">
        <v>3244</v>
      </c>
      <c r="B1895" t="s">
        <v>27</v>
      </c>
      <c r="C1895" t="s">
        <v>40</v>
      </c>
      <c r="D1895" t="s">
        <v>41</v>
      </c>
      <c r="G1895" t="s">
        <v>43</v>
      </c>
      <c r="H1895" t="s">
        <v>6669</v>
      </c>
      <c r="I1895" s="4">
        <v>44712.875</v>
      </c>
      <c r="K1895" t="s">
        <v>152</v>
      </c>
      <c r="L1895" s="5"/>
      <c r="M1895" s="5"/>
      <c r="N1895" t="s">
        <v>82</v>
      </c>
      <c r="O1895" t="s">
        <v>6670</v>
      </c>
      <c r="R1895">
        <v>1</v>
      </c>
      <c r="T1895" s="5"/>
      <c r="W1895">
        <v>108</v>
      </c>
      <c r="X1895" t="s">
        <v>107</v>
      </c>
      <c r="Y1895" t="str">
        <f>VLOOKUP(C1895,'[1]DBS_KPY Sorumlular'!A:C,2,FALSE)</f>
        <v>Mustafa AYDIN</v>
      </c>
      <c r="Z1895" t="str">
        <f>VLOOKUP(C1895,'[1]DBS_KPY Sorumlular'!A:C,3,FALSE)</f>
        <v>Esra DOLAN</v>
      </c>
      <c r="AA1895" t="str">
        <f>VLOOKUP(K1895,[1]!Tablo3[#Data],2,FALSE)</f>
        <v>Erkan AKDOĞAN</v>
      </c>
    </row>
    <row r="1896" spans="1:27" x14ac:dyDescent="0.25">
      <c r="A1896">
        <v>3245</v>
      </c>
      <c r="B1896" t="s">
        <v>27</v>
      </c>
      <c r="C1896" t="s">
        <v>40</v>
      </c>
      <c r="D1896" t="s">
        <v>41</v>
      </c>
      <c r="G1896" t="s">
        <v>96</v>
      </c>
      <c r="H1896" t="s">
        <v>6671</v>
      </c>
      <c r="I1896" s="4">
        <v>44712.875</v>
      </c>
      <c r="K1896" t="s">
        <v>152</v>
      </c>
      <c r="L1896" s="5"/>
      <c r="M1896" s="5"/>
      <c r="N1896" t="s">
        <v>82</v>
      </c>
      <c r="O1896" t="s">
        <v>6672</v>
      </c>
      <c r="R1896">
        <v>1</v>
      </c>
      <c r="T1896" s="5"/>
      <c r="W1896">
        <v>91</v>
      </c>
      <c r="X1896" t="s">
        <v>101</v>
      </c>
      <c r="Y1896" t="str">
        <f>VLOOKUP(C1896,'[1]DBS_KPY Sorumlular'!A:C,2,FALSE)</f>
        <v>Mustafa AYDIN</v>
      </c>
      <c r="Z1896" t="str">
        <f>VLOOKUP(C1896,'[1]DBS_KPY Sorumlular'!A:C,3,FALSE)</f>
        <v>Esra DOLAN</v>
      </c>
      <c r="AA1896" t="str">
        <f>VLOOKUP(K1896,[1]!Tablo3[#Data],2,FALSE)</f>
        <v>Erkan AKDOĞAN</v>
      </c>
    </row>
    <row r="1897" spans="1:27" x14ac:dyDescent="0.25">
      <c r="A1897">
        <v>3246</v>
      </c>
      <c r="B1897" t="s">
        <v>27</v>
      </c>
      <c r="C1897" t="s">
        <v>1674</v>
      </c>
      <c r="D1897" t="s">
        <v>1675</v>
      </c>
      <c r="G1897" t="s">
        <v>67</v>
      </c>
      <c r="H1897" t="s">
        <v>6673</v>
      </c>
      <c r="I1897" s="4">
        <v>44712.875</v>
      </c>
      <c r="K1897" t="s">
        <v>459</v>
      </c>
      <c r="L1897" s="5"/>
      <c r="M1897" s="5"/>
      <c r="N1897" t="s">
        <v>82</v>
      </c>
      <c r="O1897" t="s">
        <v>6674</v>
      </c>
      <c r="R1897">
        <v>1</v>
      </c>
      <c r="T1897" s="5"/>
      <c r="W1897">
        <v>90</v>
      </c>
      <c r="X1897" t="s">
        <v>1851</v>
      </c>
      <c r="Y1897" t="str">
        <f>VLOOKUP(C1897,'[1]DBS_KPY Sorumlular'!A:C,2,FALSE)</f>
        <v>Kadir TOPÇU</v>
      </c>
      <c r="Z1897" t="str">
        <f>VLOOKUP(C1897,'[1]DBS_KPY Sorumlular'!A:C,3,FALSE)</f>
        <v>Erkan AKDOĞAN</v>
      </c>
      <c r="AA1897" t="str">
        <f>VLOOKUP(K1897,[1]!Tablo3[#Data],2,FALSE)</f>
        <v>Erkan AKDOĞAN</v>
      </c>
    </row>
    <row r="1898" spans="1:27" x14ac:dyDescent="0.25">
      <c r="A1898">
        <v>3247</v>
      </c>
      <c r="B1898" t="s">
        <v>27</v>
      </c>
      <c r="C1898" t="s">
        <v>40</v>
      </c>
      <c r="D1898" t="s">
        <v>65</v>
      </c>
      <c r="G1898" t="s">
        <v>67</v>
      </c>
      <c r="H1898" t="s">
        <v>6675</v>
      </c>
      <c r="I1898" s="4">
        <v>45077.875</v>
      </c>
      <c r="K1898" t="s">
        <v>152</v>
      </c>
      <c r="L1898" s="5"/>
      <c r="M1898" s="5"/>
      <c r="N1898" t="s">
        <v>82</v>
      </c>
      <c r="O1898" t="s">
        <v>6676</v>
      </c>
      <c r="R1898">
        <v>1</v>
      </c>
      <c r="T1898" s="5"/>
      <c r="W1898">
        <v>208</v>
      </c>
      <c r="X1898" t="s">
        <v>594</v>
      </c>
      <c r="Y1898" t="str">
        <f>VLOOKUP(C1898,'[1]DBS_KPY Sorumlular'!A:C,2,FALSE)</f>
        <v>Mustafa AYDIN</v>
      </c>
      <c r="Z1898" t="str">
        <f>VLOOKUP(C1898,'[1]DBS_KPY Sorumlular'!A:C,3,FALSE)</f>
        <v>Esra DOLAN</v>
      </c>
      <c r="AA1898" t="str">
        <f>VLOOKUP(K1898,[1]!Tablo3[#Data],2,FALSE)</f>
        <v>Erkan AKDOĞAN</v>
      </c>
    </row>
    <row r="1899" spans="1:27" x14ac:dyDescent="0.25">
      <c r="A1899">
        <v>3248</v>
      </c>
      <c r="B1899" t="s">
        <v>27</v>
      </c>
      <c r="C1899" t="s">
        <v>40</v>
      </c>
      <c r="D1899" t="s">
        <v>65</v>
      </c>
      <c r="G1899" t="s">
        <v>30</v>
      </c>
      <c r="H1899" t="s">
        <v>6677</v>
      </c>
      <c r="I1899" s="4">
        <v>45077.875</v>
      </c>
      <c r="K1899" t="s">
        <v>152</v>
      </c>
      <c r="L1899" s="5"/>
      <c r="M1899" s="5"/>
      <c r="N1899" t="s">
        <v>82</v>
      </c>
      <c r="O1899" t="s">
        <v>6678</v>
      </c>
      <c r="R1899">
        <v>1</v>
      </c>
      <c r="T1899" s="5"/>
      <c r="W1899">
        <v>79</v>
      </c>
      <c r="X1899" t="s">
        <v>1619</v>
      </c>
      <c r="Y1899" t="str">
        <f>VLOOKUP(C1899,'[1]DBS_KPY Sorumlular'!A:C,2,FALSE)</f>
        <v>Mustafa AYDIN</v>
      </c>
      <c r="Z1899" t="str">
        <f>VLOOKUP(C1899,'[1]DBS_KPY Sorumlular'!A:C,3,FALSE)</f>
        <v>Esra DOLAN</v>
      </c>
      <c r="AA1899" t="str">
        <f>VLOOKUP(K1899,[1]!Tablo3[#Data],2,FALSE)</f>
        <v>Erkan AKDOĞAN</v>
      </c>
    </row>
    <row r="1900" spans="1:27" x14ac:dyDescent="0.25">
      <c r="A1900">
        <v>3249</v>
      </c>
      <c r="B1900" t="s">
        <v>27</v>
      </c>
      <c r="C1900" t="s">
        <v>40</v>
      </c>
      <c r="D1900" t="s">
        <v>65</v>
      </c>
      <c r="G1900" t="s">
        <v>67</v>
      </c>
      <c r="H1900" t="s">
        <v>6679</v>
      </c>
      <c r="I1900" s="4">
        <v>45077.875</v>
      </c>
      <c r="K1900" t="s">
        <v>152</v>
      </c>
      <c r="L1900" s="5"/>
      <c r="M1900" s="5"/>
      <c r="N1900" t="s">
        <v>82</v>
      </c>
      <c r="O1900" t="s">
        <v>6680</v>
      </c>
      <c r="R1900">
        <v>1</v>
      </c>
      <c r="T1900" s="5"/>
      <c r="W1900">
        <v>203</v>
      </c>
      <c r="X1900" t="s">
        <v>72</v>
      </c>
      <c r="Y1900" t="str">
        <f>VLOOKUP(C1900,'[1]DBS_KPY Sorumlular'!A:C,2,FALSE)</f>
        <v>Mustafa AYDIN</v>
      </c>
      <c r="Z1900" t="str">
        <f>VLOOKUP(C1900,'[1]DBS_KPY Sorumlular'!A:C,3,FALSE)</f>
        <v>Esra DOLAN</v>
      </c>
      <c r="AA1900" t="str">
        <f>VLOOKUP(K1900,[1]!Tablo3[#Data],2,FALSE)</f>
        <v>Erkan AKDOĞAN</v>
      </c>
    </row>
    <row r="1901" spans="1:27" x14ac:dyDescent="0.25">
      <c r="A1901">
        <v>3250</v>
      </c>
      <c r="B1901" t="s">
        <v>27</v>
      </c>
      <c r="C1901" t="s">
        <v>40</v>
      </c>
      <c r="D1901" t="s">
        <v>41</v>
      </c>
      <c r="G1901" t="s">
        <v>96</v>
      </c>
      <c r="H1901" t="s">
        <v>6681</v>
      </c>
      <c r="I1901" s="4">
        <v>45443.875</v>
      </c>
      <c r="K1901" t="s">
        <v>152</v>
      </c>
      <c r="L1901" s="5"/>
      <c r="M1901" s="5"/>
      <c r="N1901" t="s">
        <v>82</v>
      </c>
      <c r="O1901" t="s">
        <v>6672</v>
      </c>
      <c r="R1901">
        <v>1</v>
      </c>
      <c r="T1901" s="5"/>
      <c r="W1901">
        <v>208</v>
      </c>
      <c r="X1901" t="s">
        <v>594</v>
      </c>
      <c r="Y1901" t="str">
        <f>VLOOKUP(C1901,'[1]DBS_KPY Sorumlular'!A:C,2,FALSE)</f>
        <v>Mustafa AYDIN</v>
      </c>
      <c r="Z1901" t="str">
        <f>VLOOKUP(C1901,'[1]DBS_KPY Sorumlular'!A:C,3,FALSE)</f>
        <v>Esra DOLAN</v>
      </c>
      <c r="AA1901" t="str">
        <f>VLOOKUP(K1901,[1]!Tablo3[#Data],2,FALSE)</f>
        <v>Erkan AKDOĞAN</v>
      </c>
    </row>
    <row r="1902" spans="1:27" x14ac:dyDescent="0.25">
      <c r="A1902">
        <v>3251</v>
      </c>
      <c r="B1902" t="s">
        <v>27</v>
      </c>
      <c r="C1902" t="s">
        <v>40</v>
      </c>
      <c r="D1902" t="s">
        <v>65</v>
      </c>
      <c r="G1902" t="s">
        <v>67</v>
      </c>
      <c r="H1902" t="s">
        <v>6682</v>
      </c>
      <c r="I1902" s="4">
        <v>45445.875</v>
      </c>
      <c r="K1902" t="s">
        <v>152</v>
      </c>
      <c r="L1902" s="5"/>
      <c r="M1902" s="5"/>
      <c r="N1902" t="s">
        <v>82</v>
      </c>
      <c r="O1902" t="s">
        <v>6683</v>
      </c>
      <c r="R1902">
        <v>1</v>
      </c>
      <c r="T1902" s="5"/>
      <c r="W1902">
        <v>208</v>
      </c>
      <c r="X1902" t="s">
        <v>594</v>
      </c>
      <c r="Y1902" t="str">
        <f>VLOOKUP(C1902,'[1]DBS_KPY Sorumlular'!A:C,2,FALSE)</f>
        <v>Mustafa AYDIN</v>
      </c>
      <c r="Z1902" t="str">
        <f>VLOOKUP(C1902,'[1]DBS_KPY Sorumlular'!A:C,3,FALSE)</f>
        <v>Esra DOLAN</v>
      </c>
      <c r="AA1902" t="str">
        <f>VLOOKUP(K1902,[1]!Tablo3[#Data],2,FALSE)</f>
        <v>Erkan AKDOĞAN</v>
      </c>
    </row>
    <row r="1903" spans="1:27" x14ac:dyDescent="0.25">
      <c r="A1903">
        <v>3253</v>
      </c>
      <c r="B1903" t="s">
        <v>27</v>
      </c>
      <c r="C1903" t="s">
        <v>40</v>
      </c>
      <c r="D1903" t="s">
        <v>41</v>
      </c>
      <c r="G1903" t="s">
        <v>43</v>
      </c>
      <c r="H1903" t="s">
        <v>6684</v>
      </c>
      <c r="I1903" s="4">
        <v>45443.875</v>
      </c>
      <c r="K1903" t="s">
        <v>152</v>
      </c>
      <c r="L1903" s="5"/>
      <c r="M1903" s="5"/>
      <c r="N1903" t="s">
        <v>82</v>
      </c>
      <c r="O1903" t="s">
        <v>6685</v>
      </c>
      <c r="R1903">
        <v>1</v>
      </c>
      <c r="T1903" s="5"/>
      <c r="W1903">
        <v>108</v>
      </c>
      <c r="X1903" t="s">
        <v>107</v>
      </c>
      <c r="Y1903" t="str">
        <f>VLOOKUP(C1903,'[1]DBS_KPY Sorumlular'!A:C,2,FALSE)</f>
        <v>Mustafa AYDIN</v>
      </c>
      <c r="Z1903" t="str">
        <f>VLOOKUP(C1903,'[1]DBS_KPY Sorumlular'!A:C,3,FALSE)</f>
        <v>Esra DOLAN</v>
      </c>
      <c r="AA1903" t="str">
        <f>VLOOKUP(K1903,[1]!Tablo3[#Data],2,FALSE)</f>
        <v>Erkan AKDOĞAN</v>
      </c>
    </row>
    <row r="1904" spans="1:27" x14ac:dyDescent="0.25">
      <c r="A1904">
        <v>3254</v>
      </c>
      <c r="B1904" t="s">
        <v>27</v>
      </c>
      <c r="C1904" t="s">
        <v>40</v>
      </c>
      <c r="D1904" t="s">
        <v>41</v>
      </c>
      <c r="G1904" t="s">
        <v>43</v>
      </c>
      <c r="H1904" t="s">
        <v>6686</v>
      </c>
      <c r="I1904" s="4">
        <v>43982.875</v>
      </c>
      <c r="K1904" t="s">
        <v>181</v>
      </c>
      <c r="L1904" s="5"/>
      <c r="M1904" s="5"/>
      <c r="N1904" t="s">
        <v>82</v>
      </c>
      <c r="O1904" t="s">
        <v>6687</v>
      </c>
      <c r="R1904">
        <v>1</v>
      </c>
      <c r="T1904" s="5"/>
      <c r="W1904">
        <v>86</v>
      </c>
      <c r="X1904" t="s">
        <v>189</v>
      </c>
      <c r="Y1904" t="str">
        <f>VLOOKUP(C1904,'[1]DBS_KPY Sorumlular'!A:C,2,FALSE)</f>
        <v>Mustafa AYDIN</v>
      </c>
      <c r="Z1904" t="str">
        <f>VLOOKUP(C1904,'[1]DBS_KPY Sorumlular'!A:C,3,FALSE)</f>
        <v>Esra DOLAN</v>
      </c>
      <c r="AA1904" t="str">
        <f>VLOOKUP(K1904,[1]!Tablo3[#Data],2,FALSE)</f>
        <v>Erkan AKDOĞAN</v>
      </c>
    </row>
    <row r="1905" spans="1:27" x14ac:dyDescent="0.25">
      <c r="A1905">
        <v>3255</v>
      </c>
      <c r="B1905" t="s">
        <v>27</v>
      </c>
      <c r="C1905" t="s">
        <v>40</v>
      </c>
      <c r="D1905" t="s">
        <v>41</v>
      </c>
      <c r="G1905" t="s">
        <v>43</v>
      </c>
      <c r="H1905" t="s">
        <v>6688</v>
      </c>
      <c r="I1905" s="4">
        <v>44347.875</v>
      </c>
      <c r="K1905" t="s">
        <v>181</v>
      </c>
      <c r="L1905" s="5"/>
      <c r="M1905" s="5"/>
      <c r="N1905" t="s">
        <v>82</v>
      </c>
      <c r="O1905" t="s">
        <v>6689</v>
      </c>
      <c r="R1905">
        <v>1</v>
      </c>
      <c r="T1905" s="5"/>
      <c r="W1905">
        <v>137</v>
      </c>
      <c r="X1905" t="s">
        <v>125</v>
      </c>
      <c r="Y1905" t="str">
        <f>VLOOKUP(C1905,'[1]DBS_KPY Sorumlular'!A:C,2,FALSE)</f>
        <v>Mustafa AYDIN</v>
      </c>
      <c r="Z1905" t="str">
        <f>VLOOKUP(C1905,'[1]DBS_KPY Sorumlular'!A:C,3,FALSE)</f>
        <v>Esra DOLAN</v>
      </c>
      <c r="AA1905" t="str">
        <f>VLOOKUP(K1905,[1]!Tablo3[#Data],2,FALSE)</f>
        <v>Erkan AKDOĞAN</v>
      </c>
    </row>
    <row r="1906" spans="1:27" x14ac:dyDescent="0.25">
      <c r="A1906">
        <v>3256</v>
      </c>
      <c r="B1906" t="s">
        <v>27</v>
      </c>
      <c r="C1906" t="s">
        <v>40</v>
      </c>
      <c r="D1906" t="s">
        <v>41</v>
      </c>
      <c r="G1906" t="s">
        <v>43</v>
      </c>
      <c r="H1906" t="s">
        <v>6690</v>
      </c>
      <c r="I1906" s="4">
        <v>44347.875</v>
      </c>
      <c r="K1906" t="s">
        <v>181</v>
      </c>
      <c r="L1906" s="5"/>
      <c r="M1906" s="5"/>
      <c r="N1906" t="s">
        <v>82</v>
      </c>
      <c r="O1906" t="s">
        <v>6691</v>
      </c>
      <c r="R1906">
        <v>1</v>
      </c>
      <c r="T1906" s="5"/>
      <c r="W1906">
        <v>86</v>
      </c>
      <c r="X1906" t="s">
        <v>189</v>
      </c>
      <c r="Y1906" t="str">
        <f>VLOOKUP(C1906,'[1]DBS_KPY Sorumlular'!A:C,2,FALSE)</f>
        <v>Mustafa AYDIN</v>
      </c>
      <c r="Z1906" t="str">
        <f>VLOOKUP(C1906,'[1]DBS_KPY Sorumlular'!A:C,3,FALSE)</f>
        <v>Esra DOLAN</v>
      </c>
      <c r="AA1906" t="str">
        <f>VLOOKUP(K1906,[1]!Tablo3[#Data],2,FALSE)</f>
        <v>Erkan AKDOĞAN</v>
      </c>
    </row>
    <row r="1907" spans="1:27" x14ac:dyDescent="0.25">
      <c r="A1907">
        <v>3257</v>
      </c>
      <c r="B1907" t="s">
        <v>27</v>
      </c>
      <c r="C1907" t="s">
        <v>40</v>
      </c>
      <c r="D1907" t="s">
        <v>41</v>
      </c>
      <c r="G1907" t="s">
        <v>96</v>
      </c>
      <c r="H1907" t="s">
        <v>6692</v>
      </c>
      <c r="I1907" s="4">
        <v>44347.875</v>
      </c>
      <c r="K1907" t="s">
        <v>181</v>
      </c>
      <c r="L1907" s="5"/>
      <c r="M1907" s="5"/>
      <c r="N1907" t="s">
        <v>82</v>
      </c>
      <c r="O1907" t="s">
        <v>6693</v>
      </c>
      <c r="R1907">
        <v>1</v>
      </c>
      <c r="T1907" s="5"/>
      <c r="W1907">
        <v>6</v>
      </c>
      <c r="X1907" t="s">
        <v>3668</v>
      </c>
      <c r="Y1907" t="str">
        <f>VLOOKUP(C1907,'[1]DBS_KPY Sorumlular'!A:C,2,FALSE)</f>
        <v>Mustafa AYDIN</v>
      </c>
      <c r="Z1907" t="str">
        <f>VLOOKUP(C1907,'[1]DBS_KPY Sorumlular'!A:C,3,FALSE)</f>
        <v>Esra DOLAN</v>
      </c>
      <c r="AA1907" t="str">
        <f>VLOOKUP(K1907,[1]!Tablo3[#Data],2,FALSE)</f>
        <v>Erkan AKDOĞAN</v>
      </c>
    </row>
    <row r="1908" spans="1:27" x14ac:dyDescent="0.25">
      <c r="A1908">
        <v>3258</v>
      </c>
      <c r="B1908" t="s">
        <v>27</v>
      </c>
      <c r="C1908" t="s">
        <v>40</v>
      </c>
      <c r="D1908" t="s">
        <v>41</v>
      </c>
      <c r="G1908" t="s">
        <v>43</v>
      </c>
      <c r="H1908" t="s">
        <v>6694</v>
      </c>
      <c r="I1908" s="4">
        <v>44347.875</v>
      </c>
      <c r="K1908" t="s">
        <v>181</v>
      </c>
      <c r="L1908" s="5"/>
      <c r="M1908" s="5"/>
      <c r="N1908" t="s">
        <v>82</v>
      </c>
      <c r="O1908" t="s">
        <v>6695</v>
      </c>
      <c r="R1908">
        <v>1</v>
      </c>
      <c r="T1908" s="5"/>
      <c r="W1908">
        <v>86</v>
      </c>
      <c r="X1908" t="s">
        <v>189</v>
      </c>
      <c r="Y1908" t="str">
        <f>VLOOKUP(C1908,'[1]DBS_KPY Sorumlular'!A:C,2,FALSE)</f>
        <v>Mustafa AYDIN</v>
      </c>
      <c r="Z1908" t="str">
        <f>VLOOKUP(C1908,'[1]DBS_KPY Sorumlular'!A:C,3,FALSE)</f>
        <v>Esra DOLAN</v>
      </c>
      <c r="AA1908" t="str">
        <f>VLOOKUP(K1908,[1]!Tablo3[#Data],2,FALSE)</f>
        <v>Erkan AKDOĞAN</v>
      </c>
    </row>
    <row r="1909" spans="1:27" x14ac:dyDescent="0.25">
      <c r="A1909">
        <v>3259</v>
      </c>
      <c r="B1909" t="s">
        <v>27</v>
      </c>
      <c r="C1909" t="s">
        <v>40</v>
      </c>
      <c r="D1909" t="s">
        <v>41</v>
      </c>
      <c r="G1909" t="s">
        <v>96</v>
      </c>
      <c r="H1909" t="s">
        <v>6696</v>
      </c>
      <c r="I1909" s="4">
        <v>44347.875</v>
      </c>
      <c r="K1909" t="s">
        <v>181</v>
      </c>
      <c r="L1909" s="5"/>
      <c r="M1909" s="5"/>
      <c r="N1909" t="s">
        <v>82</v>
      </c>
      <c r="O1909" t="s">
        <v>6697</v>
      </c>
      <c r="R1909">
        <v>1</v>
      </c>
      <c r="T1909" s="5"/>
      <c r="W1909">
        <v>91</v>
      </c>
      <c r="X1909" t="s">
        <v>101</v>
      </c>
      <c r="Y1909" t="str">
        <f>VLOOKUP(C1909,'[1]DBS_KPY Sorumlular'!A:C,2,FALSE)</f>
        <v>Mustafa AYDIN</v>
      </c>
      <c r="Z1909" t="str">
        <f>VLOOKUP(C1909,'[1]DBS_KPY Sorumlular'!A:C,3,FALSE)</f>
        <v>Esra DOLAN</v>
      </c>
      <c r="AA1909" t="str">
        <f>VLOOKUP(K1909,[1]!Tablo3[#Data],2,FALSE)</f>
        <v>Erkan AKDOĞAN</v>
      </c>
    </row>
    <row r="1910" spans="1:27" x14ac:dyDescent="0.25">
      <c r="A1910">
        <v>3260</v>
      </c>
      <c r="B1910" t="s">
        <v>27</v>
      </c>
      <c r="C1910" t="s">
        <v>40</v>
      </c>
      <c r="D1910" t="s">
        <v>41</v>
      </c>
      <c r="G1910" t="s">
        <v>43</v>
      </c>
      <c r="H1910" t="s">
        <v>6698</v>
      </c>
      <c r="I1910" s="4">
        <v>44712.875</v>
      </c>
      <c r="K1910" t="s">
        <v>181</v>
      </c>
      <c r="L1910" s="5"/>
      <c r="M1910" s="5"/>
      <c r="N1910" t="s">
        <v>82</v>
      </c>
      <c r="O1910" t="s">
        <v>6699</v>
      </c>
      <c r="R1910">
        <v>1</v>
      </c>
      <c r="T1910" s="5"/>
      <c r="W1910">
        <v>144</v>
      </c>
      <c r="X1910" t="s">
        <v>463</v>
      </c>
      <c r="Y1910" t="str">
        <f>VLOOKUP(C1910,'[1]DBS_KPY Sorumlular'!A:C,2,FALSE)</f>
        <v>Mustafa AYDIN</v>
      </c>
      <c r="Z1910" t="str">
        <f>VLOOKUP(C1910,'[1]DBS_KPY Sorumlular'!A:C,3,FALSE)</f>
        <v>Esra DOLAN</v>
      </c>
      <c r="AA1910" t="str">
        <f>VLOOKUP(K1910,[1]!Tablo3[#Data],2,FALSE)</f>
        <v>Erkan AKDOĞAN</v>
      </c>
    </row>
    <row r="1911" spans="1:27" x14ac:dyDescent="0.25">
      <c r="A1911">
        <v>3261</v>
      </c>
      <c r="B1911" t="s">
        <v>27</v>
      </c>
      <c r="C1911" t="s">
        <v>40</v>
      </c>
      <c r="D1911" t="s">
        <v>41</v>
      </c>
      <c r="G1911" t="s">
        <v>43</v>
      </c>
      <c r="H1911" t="s">
        <v>6700</v>
      </c>
      <c r="I1911" s="4">
        <v>44712.875</v>
      </c>
      <c r="K1911" t="s">
        <v>181</v>
      </c>
      <c r="L1911" s="5"/>
      <c r="M1911" s="5"/>
      <c r="N1911" t="s">
        <v>82</v>
      </c>
      <c r="O1911" t="s">
        <v>6701</v>
      </c>
      <c r="R1911">
        <v>1</v>
      </c>
      <c r="T1911" s="5"/>
      <c r="W1911">
        <v>86</v>
      </c>
      <c r="X1911" t="s">
        <v>189</v>
      </c>
      <c r="Y1911" t="str">
        <f>VLOOKUP(C1911,'[1]DBS_KPY Sorumlular'!A:C,2,FALSE)</f>
        <v>Mustafa AYDIN</v>
      </c>
      <c r="Z1911" t="str">
        <f>VLOOKUP(C1911,'[1]DBS_KPY Sorumlular'!A:C,3,FALSE)</f>
        <v>Esra DOLAN</v>
      </c>
      <c r="AA1911" t="str">
        <f>VLOOKUP(K1911,[1]!Tablo3[#Data],2,FALSE)</f>
        <v>Erkan AKDOĞAN</v>
      </c>
    </row>
    <row r="1912" spans="1:27" x14ac:dyDescent="0.25">
      <c r="A1912">
        <v>3263</v>
      </c>
      <c r="B1912" t="s">
        <v>27</v>
      </c>
      <c r="C1912" t="s">
        <v>40</v>
      </c>
      <c r="D1912" t="s">
        <v>41</v>
      </c>
      <c r="G1912" t="s">
        <v>43</v>
      </c>
      <c r="H1912" t="s">
        <v>6702</v>
      </c>
      <c r="I1912" s="4">
        <v>44712.875</v>
      </c>
      <c r="K1912" t="s">
        <v>181</v>
      </c>
      <c r="L1912" s="5"/>
      <c r="M1912" s="5"/>
      <c r="N1912" t="s">
        <v>82</v>
      </c>
      <c r="O1912" t="s">
        <v>6703</v>
      </c>
      <c r="R1912">
        <v>1</v>
      </c>
      <c r="T1912" s="5"/>
      <c r="W1912">
        <v>116</v>
      </c>
      <c r="X1912" t="s">
        <v>3651</v>
      </c>
      <c r="Y1912" t="str">
        <f>VLOOKUP(C1912,'[1]DBS_KPY Sorumlular'!A:C,2,FALSE)</f>
        <v>Mustafa AYDIN</v>
      </c>
      <c r="Z1912" t="str">
        <f>VLOOKUP(C1912,'[1]DBS_KPY Sorumlular'!A:C,3,FALSE)</f>
        <v>Esra DOLAN</v>
      </c>
      <c r="AA1912" t="str">
        <f>VLOOKUP(K1912,[1]!Tablo3[#Data],2,FALSE)</f>
        <v>Erkan AKDOĞAN</v>
      </c>
    </row>
    <row r="1913" spans="1:27" x14ac:dyDescent="0.25">
      <c r="A1913">
        <v>3264</v>
      </c>
      <c r="B1913" t="s">
        <v>27</v>
      </c>
      <c r="C1913" t="s">
        <v>40</v>
      </c>
      <c r="D1913" t="s">
        <v>41</v>
      </c>
      <c r="G1913" t="s">
        <v>43</v>
      </c>
      <c r="H1913" t="s">
        <v>6704</v>
      </c>
      <c r="I1913" s="4">
        <v>45077.875</v>
      </c>
      <c r="K1913" t="s">
        <v>181</v>
      </c>
      <c r="L1913" s="5"/>
      <c r="M1913" s="5"/>
      <c r="N1913" t="s">
        <v>82</v>
      </c>
      <c r="O1913" t="s">
        <v>6705</v>
      </c>
      <c r="R1913">
        <v>1</v>
      </c>
      <c r="T1913" s="5"/>
      <c r="W1913">
        <v>85</v>
      </c>
      <c r="X1913" t="s">
        <v>958</v>
      </c>
      <c r="Y1913" t="str">
        <f>VLOOKUP(C1913,'[1]DBS_KPY Sorumlular'!A:C,2,FALSE)</f>
        <v>Mustafa AYDIN</v>
      </c>
      <c r="Z1913" t="str">
        <f>VLOOKUP(C1913,'[1]DBS_KPY Sorumlular'!A:C,3,FALSE)</f>
        <v>Esra DOLAN</v>
      </c>
      <c r="AA1913" t="str">
        <f>VLOOKUP(K1913,[1]!Tablo3[#Data],2,FALSE)</f>
        <v>Erkan AKDOĞAN</v>
      </c>
    </row>
    <row r="1914" spans="1:27" x14ac:dyDescent="0.25">
      <c r="A1914">
        <v>3265</v>
      </c>
      <c r="B1914" t="s">
        <v>27</v>
      </c>
      <c r="C1914" t="s">
        <v>40</v>
      </c>
      <c r="D1914" t="s">
        <v>41</v>
      </c>
      <c r="G1914" t="s">
        <v>43</v>
      </c>
      <c r="H1914" t="s">
        <v>6706</v>
      </c>
      <c r="I1914" s="4">
        <v>45077.875</v>
      </c>
      <c r="K1914" t="s">
        <v>181</v>
      </c>
      <c r="L1914" s="5"/>
      <c r="M1914" s="5"/>
      <c r="N1914" t="s">
        <v>82</v>
      </c>
      <c r="O1914" t="s">
        <v>6705</v>
      </c>
      <c r="R1914">
        <v>1</v>
      </c>
      <c r="T1914" s="5"/>
      <c r="W1914">
        <v>116</v>
      </c>
      <c r="X1914" t="s">
        <v>3651</v>
      </c>
      <c r="Y1914" t="str">
        <f>VLOOKUP(C1914,'[1]DBS_KPY Sorumlular'!A:C,2,FALSE)</f>
        <v>Mustafa AYDIN</v>
      </c>
      <c r="Z1914" t="str">
        <f>VLOOKUP(C1914,'[1]DBS_KPY Sorumlular'!A:C,3,FALSE)</f>
        <v>Esra DOLAN</v>
      </c>
      <c r="AA1914" t="str">
        <f>VLOOKUP(K1914,[1]!Tablo3[#Data],2,FALSE)</f>
        <v>Erkan AKDOĞAN</v>
      </c>
    </row>
    <row r="1915" spans="1:27" x14ac:dyDescent="0.25">
      <c r="A1915">
        <v>3266</v>
      </c>
      <c r="B1915" t="s">
        <v>27</v>
      </c>
      <c r="C1915" t="s">
        <v>40</v>
      </c>
      <c r="D1915" t="s">
        <v>41</v>
      </c>
      <c r="G1915" t="s">
        <v>43</v>
      </c>
      <c r="H1915" t="s">
        <v>6707</v>
      </c>
      <c r="I1915" s="4">
        <v>45077.875</v>
      </c>
      <c r="K1915" t="s">
        <v>181</v>
      </c>
      <c r="L1915" s="5"/>
      <c r="M1915" s="5"/>
      <c r="N1915" t="s">
        <v>82</v>
      </c>
      <c r="O1915" t="s">
        <v>6708</v>
      </c>
      <c r="R1915">
        <v>1</v>
      </c>
      <c r="T1915" s="5"/>
      <c r="W1915">
        <v>86</v>
      </c>
      <c r="X1915" t="s">
        <v>189</v>
      </c>
      <c r="Y1915" t="str">
        <f>VLOOKUP(C1915,'[1]DBS_KPY Sorumlular'!A:C,2,FALSE)</f>
        <v>Mustafa AYDIN</v>
      </c>
      <c r="Z1915" t="str">
        <f>VLOOKUP(C1915,'[1]DBS_KPY Sorumlular'!A:C,3,FALSE)</f>
        <v>Esra DOLAN</v>
      </c>
      <c r="AA1915" t="str">
        <f>VLOOKUP(K1915,[1]!Tablo3[#Data],2,FALSE)</f>
        <v>Erkan AKDOĞAN</v>
      </c>
    </row>
    <row r="1916" spans="1:27" x14ac:dyDescent="0.25">
      <c r="A1916">
        <v>3267</v>
      </c>
      <c r="B1916" t="s">
        <v>27</v>
      </c>
      <c r="C1916" t="s">
        <v>40</v>
      </c>
      <c r="D1916" t="s">
        <v>41</v>
      </c>
      <c r="G1916" t="s">
        <v>43</v>
      </c>
      <c r="H1916" t="s">
        <v>6709</v>
      </c>
      <c r="I1916" s="4">
        <v>45077.875</v>
      </c>
      <c r="K1916" t="s">
        <v>181</v>
      </c>
      <c r="L1916" s="5"/>
      <c r="M1916" s="5"/>
      <c r="N1916" t="s">
        <v>82</v>
      </c>
      <c r="O1916" t="s">
        <v>6710</v>
      </c>
      <c r="R1916">
        <v>1</v>
      </c>
      <c r="T1916" s="5"/>
      <c r="W1916">
        <v>168</v>
      </c>
      <c r="X1916" t="s">
        <v>394</v>
      </c>
      <c r="Y1916" t="str">
        <f>VLOOKUP(C1916,'[1]DBS_KPY Sorumlular'!A:C,2,FALSE)</f>
        <v>Mustafa AYDIN</v>
      </c>
      <c r="Z1916" t="str">
        <f>VLOOKUP(C1916,'[1]DBS_KPY Sorumlular'!A:C,3,FALSE)</f>
        <v>Esra DOLAN</v>
      </c>
      <c r="AA1916" t="str">
        <f>VLOOKUP(K1916,[1]!Tablo3[#Data],2,FALSE)</f>
        <v>Erkan AKDOĞAN</v>
      </c>
    </row>
    <row r="1917" spans="1:27" x14ac:dyDescent="0.25">
      <c r="A1917">
        <v>3268</v>
      </c>
      <c r="B1917" t="s">
        <v>27</v>
      </c>
      <c r="C1917" t="s">
        <v>40</v>
      </c>
      <c r="D1917" t="s">
        <v>41</v>
      </c>
      <c r="G1917" t="s">
        <v>43</v>
      </c>
      <c r="H1917" t="s">
        <v>6711</v>
      </c>
      <c r="I1917" s="4">
        <v>45077.875</v>
      </c>
      <c r="K1917" t="s">
        <v>181</v>
      </c>
      <c r="L1917" s="5"/>
      <c r="M1917" s="5"/>
      <c r="N1917" t="s">
        <v>82</v>
      </c>
      <c r="O1917" t="s">
        <v>6712</v>
      </c>
      <c r="R1917">
        <v>1</v>
      </c>
      <c r="T1917" s="5"/>
      <c r="W1917">
        <v>6</v>
      </c>
      <c r="X1917" t="s">
        <v>3668</v>
      </c>
      <c r="Y1917" t="str">
        <f>VLOOKUP(C1917,'[1]DBS_KPY Sorumlular'!A:C,2,FALSE)</f>
        <v>Mustafa AYDIN</v>
      </c>
      <c r="Z1917" t="str">
        <f>VLOOKUP(C1917,'[1]DBS_KPY Sorumlular'!A:C,3,FALSE)</f>
        <v>Esra DOLAN</v>
      </c>
      <c r="AA1917" t="str">
        <f>VLOOKUP(K1917,[1]!Tablo3[#Data],2,FALSE)</f>
        <v>Erkan AKDOĞAN</v>
      </c>
    </row>
    <row r="1918" spans="1:27" x14ac:dyDescent="0.25">
      <c r="A1918">
        <v>3269</v>
      </c>
      <c r="B1918" t="s">
        <v>27</v>
      </c>
      <c r="C1918" t="s">
        <v>40</v>
      </c>
      <c r="D1918" t="s">
        <v>41</v>
      </c>
      <c r="G1918" t="s">
        <v>43</v>
      </c>
      <c r="H1918" t="s">
        <v>6713</v>
      </c>
      <c r="I1918" s="4">
        <v>45077.875</v>
      </c>
      <c r="K1918" t="s">
        <v>181</v>
      </c>
      <c r="L1918" s="5"/>
      <c r="M1918" s="5"/>
      <c r="N1918" t="s">
        <v>82</v>
      </c>
      <c r="O1918" t="s">
        <v>6705</v>
      </c>
      <c r="R1918">
        <v>1</v>
      </c>
      <c r="T1918" s="5"/>
      <c r="W1918">
        <v>108</v>
      </c>
      <c r="X1918" t="s">
        <v>107</v>
      </c>
      <c r="Y1918" t="str">
        <f>VLOOKUP(C1918,'[1]DBS_KPY Sorumlular'!A:C,2,FALSE)</f>
        <v>Mustafa AYDIN</v>
      </c>
      <c r="Z1918" t="str">
        <f>VLOOKUP(C1918,'[1]DBS_KPY Sorumlular'!A:C,3,FALSE)</f>
        <v>Esra DOLAN</v>
      </c>
      <c r="AA1918" t="str">
        <f>VLOOKUP(K1918,[1]!Tablo3[#Data],2,FALSE)</f>
        <v>Erkan AKDOĞAN</v>
      </c>
    </row>
    <row r="1919" spans="1:27" x14ac:dyDescent="0.25">
      <c r="A1919">
        <v>3270</v>
      </c>
      <c r="B1919" t="s">
        <v>27</v>
      </c>
      <c r="C1919" t="s">
        <v>40</v>
      </c>
      <c r="D1919" t="s">
        <v>41</v>
      </c>
      <c r="G1919" t="s">
        <v>96</v>
      </c>
      <c r="H1919" t="s">
        <v>6714</v>
      </c>
      <c r="I1919" s="4">
        <v>45077.875</v>
      </c>
      <c r="K1919" t="s">
        <v>181</v>
      </c>
      <c r="L1919" s="5"/>
      <c r="M1919" s="5"/>
      <c r="N1919" t="s">
        <v>82</v>
      </c>
      <c r="O1919" t="s">
        <v>6715</v>
      </c>
      <c r="R1919">
        <v>1</v>
      </c>
      <c r="T1919" s="5"/>
      <c r="W1919">
        <v>91</v>
      </c>
      <c r="X1919" t="s">
        <v>101</v>
      </c>
      <c r="Y1919" t="str">
        <f>VLOOKUP(C1919,'[1]DBS_KPY Sorumlular'!A:C,2,FALSE)</f>
        <v>Mustafa AYDIN</v>
      </c>
      <c r="Z1919" t="str">
        <f>VLOOKUP(C1919,'[1]DBS_KPY Sorumlular'!A:C,3,FALSE)</f>
        <v>Esra DOLAN</v>
      </c>
      <c r="AA1919" t="str">
        <f>VLOOKUP(K1919,[1]!Tablo3[#Data],2,FALSE)</f>
        <v>Erkan AKDOĞAN</v>
      </c>
    </row>
    <row r="1920" spans="1:27" x14ac:dyDescent="0.25">
      <c r="A1920">
        <v>3271</v>
      </c>
      <c r="B1920" t="s">
        <v>27</v>
      </c>
      <c r="C1920" t="s">
        <v>40</v>
      </c>
      <c r="D1920" t="s">
        <v>65</v>
      </c>
      <c r="G1920" t="s">
        <v>30</v>
      </c>
      <c r="H1920" t="s">
        <v>6716</v>
      </c>
      <c r="I1920" s="4">
        <v>45443.875</v>
      </c>
      <c r="K1920" t="s">
        <v>181</v>
      </c>
      <c r="L1920" s="5"/>
      <c r="M1920" s="5"/>
      <c r="N1920" t="s">
        <v>82</v>
      </c>
      <c r="O1920" t="s">
        <v>6717</v>
      </c>
      <c r="R1920">
        <v>1</v>
      </c>
      <c r="T1920" s="5"/>
      <c r="W1920">
        <v>65</v>
      </c>
      <c r="X1920" t="s">
        <v>374</v>
      </c>
      <c r="Y1920" t="str">
        <f>VLOOKUP(C1920,'[1]DBS_KPY Sorumlular'!A:C,2,FALSE)</f>
        <v>Mustafa AYDIN</v>
      </c>
      <c r="Z1920" t="str">
        <f>VLOOKUP(C1920,'[1]DBS_KPY Sorumlular'!A:C,3,FALSE)</f>
        <v>Esra DOLAN</v>
      </c>
      <c r="AA1920" t="str">
        <f>VLOOKUP(K1920,[1]!Tablo3[#Data],2,FALSE)</f>
        <v>Erkan AKDOĞAN</v>
      </c>
    </row>
    <row r="1921" spans="1:27" x14ac:dyDescent="0.25">
      <c r="A1921">
        <v>3272</v>
      </c>
      <c r="B1921" t="s">
        <v>27</v>
      </c>
      <c r="C1921" t="s">
        <v>40</v>
      </c>
      <c r="D1921" t="s">
        <v>41</v>
      </c>
      <c r="G1921" t="s">
        <v>43</v>
      </c>
      <c r="H1921" t="s">
        <v>6718</v>
      </c>
      <c r="I1921" s="4">
        <v>45443.875</v>
      </c>
      <c r="K1921" t="s">
        <v>181</v>
      </c>
      <c r="L1921" s="5"/>
      <c r="M1921" s="5"/>
      <c r="N1921" t="s">
        <v>82</v>
      </c>
      <c r="O1921" t="s">
        <v>6719</v>
      </c>
      <c r="R1921">
        <v>1</v>
      </c>
      <c r="T1921" s="5"/>
      <c r="W1921">
        <v>40</v>
      </c>
      <c r="X1921" t="s">
        <v>1117</v>
      </c>
      <c r="Y1921" t="str">
        <f>VLOOKUP(C1921,'[1]DBS_KPY Sorumlular'!A:C,2,FALSE)</f>
        <v>Mustafa AYDIN</v>
      </c>
      <c r="Z1921" t="str">
        <f>VLOOKUP(C1921,'[1]DBS_KPY Sorumlular'!A:C,3,FALSE)</f>
        <v>Esra DOLAN</v>
      </c>
      <c r="AA1921" t="str">
        <f>VLOOKUP(K1921,[1]!Tablo3[#Data],2,FALSE)</f>
        <v>Erkan AKDOĞAN</v>
      </c>
    </row>
    <row r="1922" spans="1:27" x14ac:dyDescent="0.25">
      <c r="A1922">
        <v>3273</v>
      </c>
      <c r="B1922" t="s">
        <v>27</v>
      </c>
      <c r="C1922" t="s">
        <v>40</v>
      </c>
      <c r="D1922" t="s">
        <v>41</v>
      </c>
      <c r="G1922" t="s">
        <v>43</v>
      </c>
      <c r="H1922" t="s">
        <v>6720</v>
      </c>
      <c r="I1922" s="4">
        <v>45443.875</v>
      </c>
      <c r="K1922" t="s">
        <v>181</v>
      </c>
      <c r="L1922" s="5"/>
      <c r="M1922" s="5"/>
      <c r="N1922" t="s">
        <v>82</v>
      </c>
      <c r="O1922" t="s">
        <v>6721</v>
      </c>
      <c r="R1922">
        <v>1</v>
      </c>
      <c r="T1922" s="5"/>
      <c r="W1922">
        <v>108</v>
      </c>
      <c r="X1922" t="s">
        <v>107</v>
      </c>
      <c r="Y1922" t="str">
        <f>VLOOKUP(C1922,'[1]DBS_KPY Sorumlular'!A:C,2,FALSE)</f>
        <v>Mustafa AYDIN</v>
      </c>
      <c r="Z1922" t="str">
        <f>VLOOKUP(C1922,'[1]DBS_KPY Sorumlular'!A:C,3,FALSE)</f>
        <v>Esra DOLAN</v>
      </c>
      <c r="AA1922" t="str">
        <f>VLOOKUP(K1922,[1]!Tablo3[#Data],2,FALSE)</f>
        <v>Erkan AKDOĞAN</v>
      </c>
    </row>
    <row r="1923" spans="1:27" x14ac:dyDescent="0.25">
      <c r="A1923">
        <v>3274</v>
      </c>
      <c r="B1923" t="s">
        <v>27</v>
      </c>
      <c r="C1923" t="s">
        <v>40</v>
      </c>
      <c r="D1923" t="s">
        <v>41</v>
      </c>
      <c r="G1923" t="s">
        <v>43</v>
      </c>
      <c r="H1923" t="s">
        <v>6722</v>
      </c>
      <c r="I1923" s="4">
        <v>43982.875</v>
      </c>
      <c r="K1923" t="s">
        <v>232</v>
      </c>
      <c r="L1923" s="5"/>
      <c r="M1923" s="5"/>
      <c r="N1923" t="s">
        <v>82</v>
      </c>
      <c r="O1923" t="s">
        <v>6723</v>
      </c>
      <c r="R1923">
        <v>1</v>
      </c>
      <c r="T1923" s="5"/>
      <c r="W1923">
        <v>86</v>
      </c>
      <c r="X1923" t="s">
        <v>189</v>
      </c>
      <c r="Y1923" t="str">
        <f>VLOOKUP(C1923,'[1]DBS_KPY Sorumlular'!A:C,2,FALSE)</f>
        <v>Mustafa AYDIN</v>
      </c>
      <c r="Z1923" t="str">
        <f>VLOOKUP(C1923,'[1]DBS_KPY Sorumlular'!A:C,3,FALSE)</f>
        <v>Esra DOLAN</v>
      </c>
      <c r="AA1923" t="str">
        <f>VLOOKUP(K1923,[1]!Tablo3[#Data],2,FALSE)</f>
        <v>Erkan AKDOĞAN</v>
      </c>
    </row>
    <row r="1924" spans="1:27" x14ac:dyDescent="0.25">
      <c r="A1924">
        <v>3275</v>
      </c>
      <c r="B1924" t="s">
        <v>27</v>
      </c>
      <c r="C1924" t="s">
        <v>40</v>
      </c>
      <c r="D1924" t="s">
        <v>41</v>
      </c>
      <c r="G1924" t="s">
        <v>43</v>
      </c>
      <c r="H1924" t="s">
        <v>6724</v>
      </c>
      <c r="I1924" s="4">
        <v>44347.875</v>
      </c>
      <c r="K1924" t="s">
        <v>232</v>
      </c>
      <c r="L1924" s="5"/>
      <c r="M1924" s="5"/>
      <c r="N1924" t="s">
        <v>82</v>
      </c>
      <c r="O1924" t="s">
        <v>6725</v>
      </c>
      <c r="R1924">
        <v>1</v>
      </c>
      <c r="T1924" s="5"/>
      <c r="W1924">
        <v>108</v>
      </c>
      <c r="X1924" t="s">
        <v>107</v>
      </c>
      <c r="Y1924" t="str">
        <f>VLOOKUP(C1924,'[1]DBS_KPY Sorumlular'!A:C,2,FALSE)</f>
        <v>Mustafa AYDIN</v>
      </c>
      <c r="Z1924" t="str">
        <f>VLOOKUP(C1924,'[1]DBS_KPY Sorumlular'!A:C,3,FALSE)</f>
        <v>Esra DOLAN</v>
      </c>
      <c r="AA1924" t="str">
        <f>VLOOKUP(K1924,[1]!Tablo3[#Data],2,FALSE)</f>
        <v>Erkan AKDOĞAN</v>
      </c>
    </row>
    <row r="1925" spans="1:27" x14ac:dyDescent="0.25">
      <c r="A1925">
        <v>3276</v>
      </c>
      <c r="B1925" t="s">
        <v>27</v>
      </c>
      <c r="C1925" t="s">
        <v>40</v>
      </c>
      <c r="D1925" t="s">
        <v>65</v>
      </c>
      <c r="G1925" t="s">
        <v>67</v>
      </c>
      <c r="H1925" t="s">
        <v>6726</v>
      </c>
      <c r="I1925" s="4">
        <v>44347.875</v>
      </c>
      <c r="K1925" t="s">
        <v>232</v>
      </c>
      <c r="L1925" s="5"/>
      <c r="M1925" s="5"/>
      <c r="N1925" t="s">
        <v>82</v>
      </c>
      <c r="O1925" t="s">
        <v>6727</v>
      </c>
      <c r="R1925">
        <v>1</v>
      </c>
      <c r="T1925" s="5"/>
      <c r="W1925">
        <v>104</v>
      </c>
      <c r="X1925" t="s">
        <v>703</v>
      </c>
      <c r="Y1925" t="str">
        <f>VLOOKUP(C1925,'[1]DBS_KPY Sorumlular'!A:C,2,FALSE)</f>
        <v>Mustafa AYDIN</v>
      </c>
      <c r="Z1925" t="str">
        <f>VLOOKUP(C1925,'[1]DBS_KPY Sorumlular'!A:C,3,FALSE)</f>
        <v>Esra DOLAN</v>
      </c>
      <c r="AA1925" t="str">
        <f>VLOOKUP(K1925,[1]!Tablo3[#Data],2,FALSE)</f>
        <v>Erkan AKDOĞAN</v>
      </c>
    </row>
    <row r="1926" spans="1:27" x14ac:dyDescent="0.25">
      <c r="A1926">
        <v>3277</v>
      </c>
      <c r="B1926" t="s">
        <v>27</v>
      </c>
      <c r="C1926" t="s">
        <v>40</v>
      </c>
      <c r="D1926" t="s">
        <v>41</v>
      </c>
      <c r="G1926" t="s">
        <v>43</v>
      </c>
      <c r="H1926" t="s">
        <v>6728</v>
      </c>
      <c r="I1926" s="4">
        <v>44347.875</v>
      </c>
      <c r="K1926" t="s">
        <v>232</v>
      </c>
      <c r="L1926" s="5"/>
      <c r="M1926" s="5"/>
      <c r="N1926" t="s">
        <v>82</v>
      </c>
      <c r="O1926" t="s">
        <v>6729</v>
      </c>
      <c r="R1926">
        <v>1</v>
      </c>
      <c r="T1926" s="5"/>
      <c r="W1926">
        <v>30</v>
      </c>
      <c r="X1926" t="s">
        <v>327</v>
      </c>
      <c r="Y1926" t="str">
        <f>VLOOKUP(C1926,'[1]DBS_KPY Sorumlular'!A:C,2,FALSE)</f>
        <v>Mustafa AYDIN</v>
      </c>
      <c r="Z1926" t="str">
        <f>VLOOKUP(C1926,'[1]DBS_KPY Sorumlular'!A:C,3,FALSE)</f>
        <v>Esra DOLAN</v>
      </c>
      <c r="AA1926" t="str">
        <f>VLOOKUP(K1926,[1]!Tablo3[#Data],2,FALSE)</f>
        <v>Erkan AKDOĞAN</v>
      </c>
    </row>
    <row r="1927" spans="1:27" x14ac:dyDescent="0.25">
      <c r="A1927">
        <v>3278</v>
      </c>
      <c r="B1927" t="s">
        <v>27</v>
      </c>
      <c r="C1927" t="s">
        <v>40</v>
      </c>
      <c r="D1927" t="s">
        <v>41</v>
      </c>
      <c r="G1927" t="s">
        <v>43</v>
      </c>
      <c r="H1927" t="s">
        <v>6730</v>
      </c>
      <c r="I1927" s="4">
        <v>44347.875</v>
      </c>
      <c r="K1927" t="s">
        <v>232</v>
      </c>
      <c r="L1927" s="5"/>
      <c r="M1927" s="5"/>
      <c r="N1927" t="s">
        <v>82</v>
      </c>
      <c r="O1927" t="s">
        <v>6731</v>
      </c>
      <c r="R1927">
        <v>1</v>
      </c>
      <c r="T1927" s="5"/>
      <c r="W1927">
        <v>38</v>
      </c>
      <c r="X1927" t="s">
        <v>165</v>
      </c>
      <c r="Y1927" t="str">
        <f>VLOOKUP(C1927,'[1]DBS_KPY Sorumlular'!A:C,2,FALSE)</f>
        <v>Mustafa AYDIN</v>
      </c>
      <c r="Z1927" t="str">
        <f>VLOOKUP(C1927,'[1]DBS_KPY Sorumlular'!A:C,3,FALSE)</f>
        <v>Esra DOLAN</v>
      </c>
      <c r="AA1927" t="str">
        <f>VLOOKUP(K1927,[1]!Tablo3[#Data],2,FALSE)</f>
        <v>Erkan AKDOĞAN</v>
      </c>
    </row>
    <row r="1928" spans="1:27" x14ac:dyDescent="0.25">
      <c r="A1928">
        <v>3279</v>
      </c>
      <c r="B1928" t="s">
        <v>27</v>
      </c>
      <c r="C1928" t="s">
        <v>40</v>
      </c>
      <c r="D1928" t="s">
        <v>41</v>
      </c>
      <c r="G1928" t="s">
        <v>43</v>
      </c>
      <c r="H1928" t="s">
        <v>6732</v>
      </c>
      <c r="I1928" s="4">
        <v>44347.875</v>
      </c>
      <c r="K1928" t="s">
        <v>232</v>
      </c>
      <c r="L1928" s="5"/>
      <c r="M1928" s="5"/>
      <c r="N1928" t="s">
        <v>82</v>
      </c>
      <c r="O1928" t="s">
        <v>6731</v>
      </c>
      <c r="R1928">
        <v>1</v>
      </c>
      <c r="T1928" s="5"/>
      <c r="W1928">
        <v>86</v>
      </c>
      <c r="X1928" t="s">
        <v>189</v>
      </c>
      <c r="Y1928" t="str">
        <f>VLOOKUP(C1928,'[1]DBS_KPY Sorumlular'!A:C,2,FALSE)</f>
        <v>Mustafa AYDIN</v>
      </c>
      <c r="Z1928" t="str">
        <f>VLOOKUP(C1928,'[1]DBS_KPY Sorumlular'!A:C,3,FALSE)</f>
        <v>Esra DOLAN</v>
      </c>
      <c r="AA1928" t="str">
        <f>VLOOKUP(K1928,[1]!Tablo3[#Data],2,FALSE)</f>
        <v>Erkan AKDOĞAN</v>
      </c>
    </row>
    <row r="1929" spans="1:27" x14ac:dyDescent="0.25">
      <c r="A1929">
        <v>3280</v>
      </c>
      <c r="B1929" t="s">
        <v>27</v>
      </c>
      <c r="C1929" t="s">
        <v>40</v>
      </c>
      <c r="D1929" t="s">
        <v>41</v>
      </c>
      <c r="G1929" t="s">
        <v>43</v>
      </c>
      <c r="H1929" t="s">
        <v>6733</v>
      </c>
      <c r="I1929" s="4">
        <v>44347.875</v>
      </c>
      <c r="K1929" t="s">
        <v>232</v>
      </c>
      <c r="L1929" s="5"/>
      <c r="M1929" s="5"/>
      <c r="N1929" t="s">
        <v>82</v>
      </c>
      <c r="O1929" t="s">
        <v>6734</v>
      </c>
      <c r="R1929">
        <v>1</v>
      </c>
      <c r="T1929" s="5"/>
      <c r="W1929">
        <v>86</v>
      </c>
      <c r="X1929" t="s">
        <v>189</v>
      </c>
      <c r="Y1929" t="str">
        <f>VLOOKUP(C1929,'[1]DBS_KPY Sorumlular'!A:C,2,FALSE)</f>
        <v>Mustafa AYDIN</v>
      </c>
      <c r="Z1929" t="str">
        <f>VLOOKUP(C1929,'[1]DBS_KPY Sorumlular'!A:C,3,FALSE)</f>
        <v>Esra DOLAN</v>
      </c>
      <c r="AA1929" t="str">
        <f>VLOOKUP(K1929,[1]!Tablo3[#Data],2,FALSE)</f>
        <v>Erkan AKDOĞAN</v>
      </c>
    </row>
    <row r="1930" spans="1:27" x14ac:dyDescent="0.25">
      <c r="A1930">
        <v>3281</v>
      </c>
      <c r="B1930" t="s">
        <v>27</v>
      </c>
      <c r="C1930" t="s">
        <v>40</v>
      </c>
      <c r="D1930" t="s">
        <v>41</v>
      </c>
      <c r="G1930" t="s">
        <v>43</v>
      </c>
      <c r="H1930" t="s">
        <v>6735</v>
      </c>
      <c r="I1930" s="4">
        <v>44347.875</v>
      </c>
      <c r="K1930" t="s">
        <v>232</v>
      </c>
      <c r="L1930" s="5"/>
      <c r="M1930" s="5"/>
      <c r="N1930" t="s">
        <v>82</v>
      </c>
      <c r="O1930" t="s">
        <v>6731</v>
      </c>
      <c r="R1930">
        <v>1</v>
      </c>
      <c r="T1930" s="5"/>
      <c r="W1930">
        <v>108</v>
      </c>
      <c r="X1930" t="s">
        <v>107</v>
      </c>
      <c r="Y1930" t="str">
        <f>VLOOKUP(C1930,'[1]DBS_KPY Sorumlular'!A:C,2,FALSE)</f>
        <v>Mustafa AYDIN</v>
      </c>
      <c r="Z1930" t="str">
        <f>VLOOKUP(C1930,'[1]DBS_KPY Sorumlular'!A:C,3,FALSE)</f>
        <v>Esra DOLAN</v>
      </c>
      <c r="AA1930" t="str">
        <f>VLOOKUP(K1930,[1]!Tablo3[#Data],2,FALSE)</f>
        <v>Erkan AKDOĞAN</v>
      </c>
    </row>
    <row r="1931" spans="1:27" x14ac:dyDescent="0.25">
      <c r="A1931">
        <v>3282</v>
      </c>
      <c r="B1931" t="s">
        <v>27</v>
      </c>
      <c r="C1931" t="s">
        <v>40</v>
      </c>
      <c r="D1931" t="s">
        <v>41</v>
      </c>
      <c r="G1931" t="s">
        <v>43</v>
      </c>
      <c r="H1931" t="s">
        <v>6736</v>
      </c>
      <c r="I1931" s="4">
        <v>45077.875</v>
      </c>
      <c r="K1931" t="s">
        <v>232</v>
      </c>
      <c r="L1931" s="5"/>
      <c r="M1931" s="5"/>
      <c r="N1931" t="s">
        <v>82</v>
      </c>
      <c r="O1931" t="s">
        <v>6737</v>
      </c>
      <c r="R1931">
        <v>1</v>
      </c>
      <c r="T1931" s="5"/>
      <c r="W1931">
        <v>108</v>
      </c>
      <c r="X1931" t="s">
        <v>107</v>
      </c>
      <c r="Y1931" t="str">
        <f>VLOOKUP(C1931,'[1]DBS_KPY Sorumlular'!A:C,2,FALSE)</f>
        <v>Mustafa AYDIN</v>
      </c>
      <c r="Z1931" t="str">
        <f>VLOOKUP(C1931,'[1]DBS_KPY Sorumlular'!A:C,3,FALSE)</f>
        <v>Esra DOLAN</v>
      </c>
      <c r="AA1931" t="str">
        <f>VLOOKUP(K1931,[1]!Tablo3[#Data],2,FALSE)</f>
        <v>Erkan AKDOĞAN</v>
      </c>
    </row>
    <row r="1932" spans="1:27" x14ac:dyDescent="0.25">
      <c r="A1932">
        <v>3283</v>
      </c>
      <c r="B1932" t="s">
        <v>27</v>
      </c>
      <c r="C1932" t="s">
        <v>40</v>
      </c>
      <c r="D1932" t="s">
        <v>41</v>
      </c>
      <c r="G1932" t="s">
        <v>96</v>
      </c>
      <c r="H1932" t="s">
        <v>6738</v>
      </c>
      <c r="I1932" s="4">
        <v>45443.875</v>
      </c>
      <c r="K1932" t="s">
        <v>232</v>
      </c>
      <c r="L1932" s="5"/>
      <c r="M1932" s="5"/>
      <c r="N1932" t="s">
        <v>82</v>
      </c>
      <c r="O1932" t="s">
        <v>6739</v>
      </c>
      <c r="R1932">
        <v>1</v>
      </c>
      <c r="T1932" s="5"/>
      <c r="W1932">
        <v>91</v>
      </c>
      <c r="X1932" t="s">
        <v>101</v>
      </c>
      <c r="Y1932" t="str">
        <f>VLOOKUP(C1932,'[1]DBS_KPY Sorumlular'!A:C,2,FALSE)</f>
        <v>Mustafa AYDIN</v>
      </c>
      <c r="Z1932" t="str">
        <f>VLOOKUP(C1932,'[1]DBS_KPY Sorumlular'!A:C,3,FALSE)</f>
        <v>Esra DOLAN</v>
      </c>
      <c r="AA1932" t="str">
        <f>VLOOKUP(K1932,[1]!Tablo3[#Data],2,FALSE)</f>
        <v>Erkan AKDOĞAN</v>
      </c>
    </row>
    <row r="1933" spans="1:27" x14ac:dyDescent="0.25">
      <c r="A1933">
        <v>3284</v>
      </c>
      <c r="B1933" t="s">
        <v>27</v>
      </c>
      <c r="C1933" t="s">
        <v>40</v>
      </c>
      <c r="D1933" t="s">
        <v>41</v>
      </c>
      <c r="G1933" t="s">
        <v>30</v>
      </c>
      <c r="H1933" t="s">
        <v>6740</v>
      </c>
      <c r="I1933" s="4">
        <v>45443.875</v>
      </c>
      <c r="K1933" t="s">
        <v>232</v>
      </c>
      <c r="L1933" s="5"/>
      <c r="M1933" s="5"/>
      <c r="N1933" t="s">
        <v>82</v>
      </c>
      <c r="O1933" t="s">
        <v>6741</v>
      </c>
      <c r="R1933">
        <v>1</v>
      </c>
      <c r="T1933" s="5"/>
      <c r="W1933">
        <v>89</v>
      </c>
      <c r="X1933" t="s">
        <v>1267</v>
      </c>
      <c r="Y1933" t="str">
        <f>VLOOKUP(C1933,'[1]DBS_KPY Sorumlular'!A:C,2,FALSE)</f>
        <v>Mustafa AYDIN</v>
      </c>
      <c r="Z1933" t="str">
        <f>VLOOKUP(C1933,'[1]DBS_KPY Sorumlular'!A:C,3,FALSE)</f>
        <v>Esra DOLAN</v>
      </c>
      <c r="AA1933" t="str">
        <f>VLOOKUP(K1933,[1]!Tablo3[#Data],2,FALSE)</f>
        <v>Erkan AKDOĞAN</v>
      </c>
    </row>
    <row r="1934" spans="1:27" x14ac:dyDescent="0.25">
      <c r="A1934">
        <v>3285</v>
      </c>
      <c r="B1934" t="s">
        <v>27</v>
      </c>
      <c r="C1934" t="s">
        <v>40</v>
      </c>
      <c r="D1934" t="s">
        <v>65</v>
      </c>
      <c r="G1934" t="s">
        <v>96</v>
      </c>
      <c r="H1934" t="s">
        <v>6742</v>
      </c>
      <c r="I1934" s="4">
        <v>43616.875</v>
      </c>
      <c r="K1934" t="s">
        <v>217</v>
      </c>
      <c r="L1934" s="5"/>
      <c r="M1934" s="5"/>
      <c r="N1934" t="s">
        <v>82</v>
      </c>
      <c r="O1934" t="s">
        <v>6743</v>
      </c>
      <c r="R1934">
        <v>1</v>
      </c>
      <c r="T1934" s="5"/>
      <c r="W1934">
        <v>203</v>
      </c>
      <c r="X1934" t="s">
        <v>72</v>
      </c>
      <c r="Y1934" t="str">
        <f>VLOOKUP(C1934,'[1]DBS_KPY Sorumlular'!A:C,2,FALSE)</f>
        <v>Mustafa AYDIN</v>
      </c>
      <c r="Z1934" t="str">
        <f>VLOOKUP(C1934,'[1]DBS_KPY Sorumlular'!A:C,3,FALSE)</f>
        <v>Esra DOLAN</v>
      </c>
      <c r="AA1934" t="str">
        <f>VLOOKUP(K1934,[1]!Tablo3[#Data],2,FALSE)</f>
        <v>Erkan AKDOĞAN</v>
      </c>
    </row>
    <row r="1935" spans="1:27" x14ac:dyDescent="0.25">
      <c r="A1935">
        <v>3287</v>
      </c>
      <c r="B1935" t="s">
        <v>27</v>
      </c>
      <c r="C1935" t="s">
        <v>40</v>
      </c>
      <c r="D1935" t="s">
        <v>41</v>
      </c>
      <c r="G1935" t="s">
        <v>43</v>
      </c>
      <c r="H1935" t="s">
        <v>6744</v>
      </c>
      <c r="I1935" s="4">
        <v>44347.875</v>
      </c>
      <c r="K1935" t="s">
        <v>217</v>
      </c>
      <c r="L1935" s="5"/>
      <c r="M1935" s="5"/>
      <c r="N1935" t="s">
        <v>82</v>
      </c>
      <c r="O1935" t="s">
        <v>6745</v>
      </c>
      <c r="R1935">
        <v>1</v>
      </c>
      <c r="T1935" s="5"/>
      <c r="W1935">
        <v>137</v>
      </c>
      <c r="X1935" t="s">
        <v>125</v>
      </c>
      <c r="Y1935" t="str">
        <f>VLOOKUP(C1935,'[1]DBS_KPY Sorumlular'!A:C,2,FALSE)</f>
        <v>Mustafa AYDIN</v>
      </c>
      <c r="Z1935" t="str">
        <f>VLOOKUP(C1935,'[1]DBS_KPY Sorumlular'!A:C,3,FALSE)</f>
        <v>Esra DOLAN</v>
      </c>
      <c r="AA1935" t="str">
        <f>VLOOKUP(K1935,[1]!Tablo3[#Data],2,FALSE)</f>
        <v>Erkan AKDOĞAN</v>
      </c>
    </row>
    <row r="1936" spans="1:27" x14ac:dyDescent="0.25">
      <c r="A1936">
        <v>3288</v>
      </c>
      <c r="B1936" t="s">
        <v>27</v>
      </c>
      <c r="C1936" t="s">
        <v>40</v>
      </c>
      <c r="D1936" t="s">
        <v>41</v>
      </c>
      <c r="G1936" t="s">
        <v>43</v>
      </c>
      <c r="H1936" t="s">
        <v>6746</v>
      </c>
      <c r="I1936" s="4">
        <v>44712.875</v>
      </c>
      <c r="K1936" t="s">
        <v>217</v>
      </c>
      <c r="L1936" s="5"/>
      <c r="M1936" s="5"/>
      <c r="N1936" t="s">
        <v>82</v>
      </c>
      <c r="O1936" t="s">
        <v>6747</v>
      </c>
      <c r="R1936">
        <v>1</v>
      </c>
      <c r="T1936" s="5"/>
      <c r="W1936">
        <v>6</v>
      </c>
      <c r="X1936" t="s">
        <v>3668</v>
      </c>
      <c r="Y1936" t="str">
        <f>VLOOKUP(C1936,'[1]DBS_KPY Sorumlular'!A:C,2,FALSE)</f>
        <v>Mustafa AYDIN</v>
      </c>
      <c r="Z1936" t="str">
        <f>VLOOKUP(C1936,'[1]DBS_KPY Sorumlular'!A:C,3,FALSE)</f>
        <v>Esra DOLAN</v>
      </c>
      <c r="AA1936" t="str">
        <f>VLOOKUP(K1936,[1]!Tablo3[#Data],2,FALSE)</f>
        <v>Erkan AKDOĞAN</v>
      </c>
    </row>
    <row r="1937" spans="1:27" x14ac:dyDescent="0.25">
      <c r="A1937">
        <v>3289</v>
      </c>
      <c r="B1937" t="s">
        <v>27</v>
      </c>
      <c r="C1937" t="s">
        <v>40</v>
      </c>
      <c r="D1937" t="s">
        <v>41</v>
      </c>
      <c r="G1937" t="s">
        <v>43</v>
      </c>
      <c r="H1937" t="s">
        <v>6748</v>
      </c>
      <c r="I1937" s="4">
        <v>44712.875</v>
      </c>
      <c r="K1937" t="s">
        <v>217</v>
      </c>
      <c r="L1937" s="5"/>
      <c r="M1937" s="5"/>
      <c r="N1937" t="s">
        <v>82</v>
      </c>
      <c r="O1937" t="s">
        <v>6749</v>
      </c>
      <c r="R1937">
        <v>1</v>
      </c>
      <c r="T1937" s="5"/>
      <c r="W1937">
        <v>108</v>
      </c>
      <c r="X1937" t="s">
        <v>107</v>
      </c>
      <c r="Y1937" t="str">
        <f>VLOOKUP(C1937,'[1]DBS_KPY Sorumlular'!A:C,2,FALSE)</f>
        <v>Mustafa AYDIN</v>
      </c>
      <c r="Z1937" t="str">
        <f>VLOOKUP(C1937,'[1]DBS_KPY Sorumlular'!A:C,3,FALSE)</f>
        <v>Esra DOLAN</v>
      </c>
      <c r="AA1937" t="str">
        <f>VLOOKUP(K1937,[1]!Tablo3[#Data],2,FALSE)</f>
        <v>Erkan AKDOĞAN</v>
      </c>
    </row>
    <row r="1938" spans="1:27" x14ac:dyDescent="0.25">
      <c r="A1938">
        <v>3290</v>
      </c>
      <c r="B1938" t="s">
        <v>27</v>
      </c>
      <c r="C1938" t="s">
        <v>40</v>
      </c>
      <c r="D1938" t="s">
        <v>41</v>
      </c>
      <c r="G1938" t="s">
        <v>43</v>
      </c>
      <c r="H1938" t="s">
        <v>6750</v>
      </c>
      <c r="I1938" s="4">
        <v>44712.875</v>
      </c>
      <c r="K1938" t="s">
        <v>217</v>
      </c>
      <c r="L1938" s="5"/>
      <c r="M1938" s="5"/>
      <c r="N1938" t="s">
        <v>82</v>
      </c>
      <c r="O1938" t="s">
        <v>6751</v>
      </c>
      <c r="R1938">
        <v>1</v>
      </c>
      <c r="T1938" s="5"/>
      <c r="W1938">
        <v>41</v>
      </c>
      <c r="X1938" t="s">
        <v>4834</v>
      </c>
      <c r="Y1938" t="str">
        <f>VLOOKUP(C1938,'[1]DBS_KPY Sorumlular'!A:C,2,FALSE)</f>
        <v>Mustafa AYDIN</v>
      </c>
      <c r="Z1938" t="str">
        <f>VLOOKUP(C1938,'[1]DBS_KPY Sorumlular'!A:C,3,FALSE)</f>
        <v>Esra DOLAN</v>
      </c>
      <c r="AA1938" t="str">
        <f>VLOOKUP(K1938,[1]!Tablo3[#Data],2,FALSE)</f>
        <v>Erkan AKDOĞAN</v>
      </c>
    </row>
    <row r="1939" spans="1:27" x14ac:dyDescent="0.25">
      <c r="A1939">
        <v>3291</v>
      </c>
      <c r="B1939" t="s">
        <v>27</v>
      </c>
      <c r="C1939" t="s">
        <v>40</v>
      </c>
      <c r="D1939" t="s">
        <v>41</v>
      </c>
      <c r="G1939" t="s">
        <v>43</v>
      </c>
      <c r="H1939" t="s">
        <v>6752</v>
      </c>
      <c r="I1939" s="4">
        <v>44712.875</v>
      </c>
      <c r="K1939" t="s">
        <v>217</v>
      </c>
      <c r="L1939" s="5"/>
      <c r="M1939" s="5"/>
      <c r="N1939" t="s">
        <v>82</v>
      </c>
      <c r="O1939" t="s">
        <v>6753</v>
      </c>
      <c r="R1939">
        <v>1</v>
      </c>
      <c r="T1939" s="5"/>
      <c r="W1939">
        <v>86</v>
      </c>
      <c r="X1939" t="s">
        <v>189</v>
      </c>
      <c r="Y1939" t="str">
        <f>VLOOKUP(C1939,'[1]DBS_KPY Sorumlular'!A:C,2,FALSE)</f>
        <v>Mustafa AYDIN</v>
      </c>
      <c r="Z1939" t="str">
        <f>VLOOKUP(C1939,'[1]DBS_KPY Sorumlular'!A:C,3,FALSE)</f>
        <v>Esra DOLAN</v>
      </c>
      <c r="AA1939" t="str">
        <f>VLOOKUP(K1939,[1]!Tablo3[#Data],2,FALSE)</f>
        <v>Erkan AKDOĞAN</v>
      </c>
    </row>
    <row r="1940" spans="1:27" x14ac:dyDescent="0.25">
      <c r="A1940">
        <v>3292</v>
      </c>
      <c r="B1940" t="s">
        <v>27</v>
      </c>
      <c r="C1940" t="s">
        <v>40</v>
      </c>
      <c r="D1940" t="s">
        <v>41</v>
      </c>
      <c r="G1940" t="s">
        <v>43</v>
      </c>
      <c r="H1940" t="s">
        <v>6754</v>
      </c>
      <c r="I1940" s="4">
        <v>45077.875</v>
      </c>
      <c r="K1940" t="s">
        <v>217</v>
      </c>
      <c r="L1940" s="5"/>
      <c r="M1940" s="5"/>
      <c r="N1940" t="s">
        <v>82</v>
      </c>
      <c r="O1940" t="s">
        <v>6755</v>
      </c>
      <c r="R1940">
        <v>1</v>
      </c>
      <c r="T1940" s="5"/>
      <c r="W1940">
        <v>108</v>
      </c>
      <c r="X1940" t="s">
        <v>107</v>
      </c>
      <c r="Y1940" t="str">
        <f>VLOOKUP(C1940,'[1]DBS_KPY Sorumlular'!A:C,2,FALSE)</f>
        <v>Mustafa AYDIN</v>
      </c>
      <c r="Z1940" t="str">
        <f>VLOOKUP(C1940,'[1]DBS_KPY Sorumlular'!A:C,3,FALSE)</f>
        <v>Esra DOLAN</v>
      </c>
      <c r="AA1940" t="str">
        <f>VLOOKUP(K1940,[1]!Tablo3[#Data],2,FALSE)</f>
        <v>Erkan AKDOĞAN</v>
      </c>
    </row>
    <row r="1941" spans="1:27" x14ac:dyDescent="0.25">
      <c r="A1941">
        <v>3293</v>
      </c>
      <c r="B1941" t="s">
        <v>27</v>
      </c>
      <c r="C1941" t="s">
        <v>40</v>
      </c>
      <c r="D1941" t="s">
        <v>41</v>
      </c>
      <c r="G1941" t="s">
        <v>456</v>
      </c>
      <c r="H1941" t="s">
        <v>6756</v>
      </c>
      <c r="I1941" s="4">
        <v>45077.875</v>
      </c>
      <c r="K1941" t="s">
        <v>217</v>
      </c>
      <c r="L1941" s="5"/>
      <c r="M1941" s="5"/>
      <c r="N1941" t="s">
        <v>82</v>
      </c>
      <c r="O1941" t="s">
        <v>6757</v>
      </c>
      <c r="R1941">
        <v>1</v>
      </c>
      <c r="T1941" s="5"/>
      <c r="W1941">
        <v>144</v>
      </c>
      <c r="X1941" t="s">
        <v>463</v>
      </c>
      <c r="Y1941" t="str">
        <f>VLOOKUP(C1941,'[1]DBS_KPY Sorumlular'!A:C,2,FALSE)</f>
        <v>Mustafa AYDIN</v>
      </c>
      <c r="Z1941" t="str">
        <f>VLOOKUP(C1941,'[1]DBS_KPY Sorumlular'!A:C,3,FALSE)</f>
        <v>Esra DOLAN</v>
      </c>
      <c r="AA1941" t="str">
        <f>VLOOKUP(K1941,[1]!Tablo3[#Data],2,FALSE)</f>
        <v>Erkan AKDOĞAN</v>
      </c>
    </row>
    <row r="1942" spans="1:27" x14ac:dyDescent="0.25">
      <c r="A1942">
        <v>3294</v>
      </c>
      <c r="B1942" t="s">
        <v>27</v>
      </c>
      <c r="C1942" t="s">
        <v>40</v>
      </c>
      <c r="D1942" t="s">
        <v>65</v>
      </c>
      <c r="G1942" t="s">
        <v>67</v>
      </c>
      <c r="H1942" t="s">
        <v>6758</v>
      </c>
      <c r="I1942" s="4">
        <v>45077.875</v>
      </c>
      <c r="K1942" t="s">
        <v>217</v>
      </c>
      <c r="L1942" s="5"/>
      <c r="M1942" s="5"/>
      <c r="N1942" t="s">
        <v>82</v>
      </c>
      <c r="O1942" t="s">
        <v>6759</v>
      </c>
      <c r="R1942">
        <v>1</v>
      </c>
      <c r="T1942" s="5"/>
      <c r="W1942">
        <v>203</v>
      </c>
      <c r="X1942" t="s">
        <v>72</v>
      </c>
      <c r="Y1942" t="str">
        <f>VLOOKUP(C1942,'[1]DBS_KPY Sorumlular'!A:C,2,FALSE)</f>
        <v>Mustafa AYDIN</v>
      </c>
      <c r="Z1942" t="str">
        <f>VLOOKUP(C1942,'[1]DBS_KPY Sorumlular'!A:C,3,FALSE)</f>
        <v>Esra DOLAN</v>
      </c>
      <c r="AA1942" t="str">
        <f>VLOOKUP(K1942,[1]!Tablo3[#Data],2,FALSE)</f>
        <v>Erkan AKDOĞAN</v>
      </c>
    </row>
    <row r="1943" spans="1:27" x14ac:dyDescent="0.25">
      <c r="A1943">
        <v>3295</v>
      </c>
      <c r="B1943" t="s">
        <v>27</v>
      </c>
      <c r="C1943" t="s">
        <v>40</v>
      </c>
      <c r="D1943" t="s">
        <v>41</v>
      </c>
      <c r="G1943" t="s">
        <v>96</v>
      </c>
      <c r="H1943" t="s">
        <v>6760</v>
      </c>
      <c r="I1943" s="4">
        <v>45443.875</v>
      </c>
      <c r="K1943" t="s">
        <v>217</v>
      </c>
      <c r="L1943" s="5"/>
      <c r="M1943" s="5"/>
      <c r="N1943" t="s">
        <v>82</v>
      </c>
      <c r="O1943" t="s">
        <v>6761</v>
      </c>
      <c r="R1943">
        <v>1</v>
      </c>
      <c r="T1943" s="5"/>
      <c r="W1943">
        <v>91</v>
      </c>
      <c r="X1943" t="s">
        <v>101</v>
      </c>
      <c r="Y1943" t="str">
        <f>VLOOKUP(C1943,'[1]DBS_KPY Sorumlular'!A:C,2,FALSE)</f>
        <v>Mustafa AYDIN</v>
      </c>
      <c r="Z1943" t="str">
        <f>VLOOKUP(C1943,'[1]DBS_KPY Sorumlular'!A:C,3,FALSE)</f>
        <v>Esra DOLAN</v>
      </c>
      <c r="AA1943" t="str">
        <f>VLOOKUP(K1943,[1]!Tablo3[#Data],2,FALSE)</f>
        <v>Erkan AKDOĞAN</v>
      </c>
    </row>
    <row r="1944" spans="1:27" x14ac:dyDescent="0.25">
      <c r="A1944">
        <v>3296</v>
      </c>
      <c r="B1944" t="s">
        <v>27</v>
      </c>
      <c r="C1944" t="s">
        <v>40</v>
      </c>
      <c r="D1944" t="s">
        <v>65</v>
      </c>
      <c r="G1944" t="s">
        <v>67</v>
      </c>
      <c r="H1944" t="s">
        <v>6762</v>
      </c>
      <c r="I1944" s="4">
        <v>45443.875</v>
      </c>
      <c r="K1944" t="s">
        <v>217</v>
      </c>
      <c r="L1944" s="5"/>
      <c r="M1944" s="5"/>
      <c r="N1944" t="s">
        <v>82</v>
      </c>
      <c r="O1944" t="s">
        <v>6763</v>
      </c>
      <c r="R1944">
        <v>1</v>
      </c>
      <c r="T1944" s="5"/>
      <c r="W1944">
        <v>203</v>
      </c>
      <c r="X1944" t="s">
        <v>72</v>
      </c>
      <c r="Y1944" t="str">
        <f>VLOOKUP(C1944,'[1]DBS_KPY Sorumlular'!A:C,2,FALSE)</f>
        <v>Mustafa AYDIN</v>
      </c>
      <c r="Z1944" t="str">
        <f>VLOOKUP(C1944,'[1]DBS_KPY Sorumlular'!A:C,3,FALSE)</f>
        <v>Esra DOLAN</v>
      </c>
      <c r="AA1944" t="str">
        <f>VLOOKUP(K1944,[1]!Tablo3[#Data],2,FALSE)</f>
        <v>Erkan AKDOĞAN</v>
      </c>
    </row>
    <row r="1945" spans="1:27" x14ac:dyDescent="0.25">
      <c r="A1945">
        <v>3297</v>
      </c>
      <c r="B1945" t="s">
        <v>27</v>
      </c>
      <c r="C1945" t="s">
        <v>40</v>
      </c>
      <c r="D1945" t="s">
        <v>41</v>
      </c>
      <c r="G1945" t="s">
        <v>43</v>
      </c>
      <c r="H1945" t="s">
        <v>6764</v>
      </c>
      <c r="I1945" s="4">
        <v>45443.875</v>
      </c>
      <c r="K1945" t="s">
        <v>217</v>
      </c>
      <c r="L1945" s="5"/>
      <c r="M1945" s="5"/>
      <c r="N1945" t="s">
        <v>82</v>
      </c>
      <c r="O1945" t="s">
        <v>6765</v>
      </c>
      <c r="R1945">
        <v>1</v>
      </c>
      <c r="T1945" s="5"/>
      <c r="W1945">
        <v>28</v>
      </c>
      <c r="X1945" t="s">
        <v>667</v>
      </c>
      <c r="Y1945" t="str">
        <f>VLOOKUP(C1945,'[1]DBS_KPY Sorumlular'!A:C,2,FALSE)</f>
        <v>Mustafa AYDIN</v>
      </c>
      <c r="Z1945" t="str">
        <f>VLOOKUP(C1945,'[1]DBS_KPY Sorumlular'!A:C,3,FALSE)</f>
        <v>Esra DOLAN</v>
      </c>
      <c r="AA1945" t="str">
        <f>VLOOKUP(K1945,[1]!Tablo3[#Data],2,FALSE)</f>
        <v>Erkan AKDOĞAN</v>
      </c>
    </row>
    <row r="1946" spans="1:27" x14ac:dyDescent="0.25">
      <c r="A1946">
        <v>3298</v>
      </c>
      <c r="B1946" t="s">
        <v>27</v>
      </c>
      <c r="C1946" t="s">
        <v>40</v>
      </c>
      <c r="D1946" t="s">
        <v>41</v>
      </c>
      <c r="G1946" t="s">
        <v>43</v>
      </c>
      <c r="H1946" t="s">
        <v>6766</v>
      </c>
      <c r="I1946" s="4">
        <v>45443.875</v>
      </c>
      <c r="K1946" t="s">
        <v>217</v>
      </c>
      <c r="L1946" s="5"/>
      <c r="M1946" s="5"/>
      <c r="N1946" t="s">
        <v>82</v>
      </c>
      <c r="O1946" t="s">
        <v>6767</v>
      </c>
      <c r="R1946">
        <v>1</v>
      </c>
      <c r="T1946" s="5"/>
      <c r="W1946">
        <v>108</v>
      </c>
      <c r="X1946" t="s">
        <v>107</v>
      </c>
      <c r="Y1946" t="str">
        <f>VLOOKUP(C1946,'[1]DBS_KPY Sorumlular'!A:C,2,FALSE)</f>
        <v>Mustafa AYDIN</v>
      </c>
      <c r="Z1946" t="str">
        <f>VLOOKUP(C1946,'[1]DBS_KPY Sorumlular'!A:C,3,FALSE)</f>
        <v>Esra DOLAN</v>
      </c>
      <c r="AA1946" t="str">
        <f>VLOOKUP(K1946,[1]!Tablo3[#Data],2,FALSE)</f>
        <v>Erkan AKDOĞAN</v>
      </c>
    </row>
    <row r="1947" spans="1:27" x14ac:dyDescent="0.25">
      <c r="A1947">
        <v>3299</v>
      </c>
      <c r="B1947" t="s">
        <v>27</v>
      </c>
      <c r="C1947" t="s">
        <v>40</v>
      </c>
      <c r="D1947" t="s">
        <v>41</v>
      </c>
      <c r="G1947" t="s">
        <v>96</v>
      </c>
      <c r="H1947" t="s">
        <v>6768</v>
      </c>
      <c r="I1947" s="4">
        <v>45443.875</v>
      </c>
      <c r="K1947" t="s">
        <v>217</v>
      </c>
      <c r="L1947" s="5"/>
      <c r="M1947" s="5"/>
      <c r="N1947" t="s">
        <v>82</v>
      </c>
      <c r="O1947" t="s">
        <v>6769</v>
      </c>
      <c r="R1947">
        <v>1</v>
      </c>
      <c r="T1947" s="5"/>
      <c r="W1947">
        <v>28</v>
      </c>
      <c r="X1947" t="s">
        <v>667</v>
      </c>
      <c r="Y1947" t="str">
        <f>VLOOKUP(C1947,'[1]DBS_KPY Sorumlular'!A:C,2,FALSE)</f>
        <v>Mustafa AYDIN</v>
      </c>
      <c r="Z1947" t="str">
        <f>VLOOKUP(C1947,'[1]DBS_KPY Sorumlular'!A:C,3,FALSE)</f>
        <v>Esra DOLAN</v>
      </c>
      <c r="AA1947" t="str">
        <f>VLOOKUP(K1947,[1]!Tablo3[#Data],2,FALSE)</f>
        <v>Erkan AKDOĞAN</v>
      </c>
    </row>
    <row r="1948" spans="1:27" x14ac:dyDescent="0.25">
      <c r="A1948">
        <v>3300</v>
      </c>
      <c r="B1948" t="s">
        <v>27</v>
      </c>
      <c r="C1948" t="s">
        <v>40</v>
      </c>
      <c r="D1948" t="s">
        <v>41</v>
      </c>
      <c r="G1948" t="s">
        <v>96</v>
      </c>
      <c r="H1948" t="s">
        <v>6770</v>
      </c>
      <c r="I1948" s="4">
        <v>45443.875</v>
      </c>
      <c r="K1948" t="s">
        <v>217</v>
      </c>
      <c r="L1948" s="5"/>
      <c r="M1948" s="5"/>
      <c r="N1948" t="s">
        <v>82</v>
      </c>
      <c r="O1948" t="s">
        <v>6771</v>
      </c>
      <c r="R1948">
        <v>1</v>
      </c>
      <c r="T1948" s="5"/>
      <c r="W1948">
        <v>28</v>
      </c>
      <c r="X1948" t="s">
        <v>667</v>
      </c>
      <c r="Y1948" t="str">
        <f>VLOOKUP(C1948,'[1]DBS_KPY Sorumlular'!A:C,2,FALSE)</f>
        <v>Mustafa AYDIN</v>
      </c>
      <c r="Z1948" t="str">
        <f>VLOOKUP(C1948,'[1]DBS_KPY Sorumlular'!A:C,3,FALSE)</f>
        <v>Esra DOLAN</v>
      </c>
      <c r="AA1948" t="str">
        <f>VLOOKUP(K1948,[1]!Tablo3[#Data],2,FALSE)</f>
        <v>Erkan AKDOĞAN</v>
      </c>
    </row>
    <row r="1949" spans="1:27" x14ac:dyDescent="0.25">
      <c r="A1949">
        <v>3301</v>
      </c>
      <c r="B1949" t="s">
        <v>27</v>
      </c>
      <c r="C1949" t="s">
        <v>40</v>
      </c>
      <c r="D1949" t="s">
        <v>41</v>
      </c>
      <c r="G1949" t="s">
        <v>96</v>
      </c>
      <c r="H1949" t="s">
        <v>6772</v>
      </c>
      <c r="I1949" s="4">
        <v>45443.875</v>
      </c>
      <c r="K1949" t="s">
        <v>217</v>
      </c>
      <c r="L1949" s="5"/>
      <c r="M1949" s="5"/>
      <c r="N1949" t="s">
        <v>82</v>
      </c>
      <c r="O1949" t="s">
        <v>6773</v>
      </c>
      <c r="R1949">
        <v>1</v>
      </c>
      <c r="T1949" s="5"/>
      <c r="W1949">
        <v>28</v>
      </c>
      <c r="X1949" t="s">
        <v>667</v>
      </c>
      <c r="Y1949" t="str">
        <f>VLOOKUP(C1949,'[1]DBS_KPY Sorumlular'!A:C,2,FALSE)</f>
        <v>Mustafa AYDIN</v>
      </c>
      <c r="Z1949" t="str">
        <f>VLOOKUP(C1949,'[1]DBS_KPY Sorumlular'!A:C,3,FALSE)</f>
        <v>Esra DOLAN</v>
      </c>
      <c r="AA1949" t="str">
        <f>VLOOKUP(K1949,[1]!Tablo3[#Data],2,FALSE)</f>
        <v>Erkan AKDOĞAN</v>
      </c>
    </row>
    <row r="1950" spans="1:27" x14ac:dyDescent="0.25">
      <c r="A1950">
        <v>3302</v>
      </c>
      <c r="B1950" t="s">
        <v>27</v>
      </c>
      <c r="C1950" t="s">
        <v>40</v>
      </c>
      <c r="D1950" t="s">
        <v>41</v>
      </c>
      <c r="G1950" t="s">
        <v>43</v>
      </c>
      <c r="H1950" t="s">
        <v>6774</v>
      </c>
      <c r="I1950" s="4">
        <v>43982.875</v>
      </c>
      <c r="K1950" t="s">
        <v>309</v>
      </c>
      <c r="L1950" s="5"/>
      <c r="M1950" s="5"/>
      <c r="N1950" t="s">
        <v>82</v>
      </c>
      <c r="O1950" t="s">
        <v>6775</v>
      </c>
      <c r="R1950">
        <v>1</v>
      </c>
      <c r="T1950" s="5"/>
      <c r="W1950">
        <v>211</v>
      </c>
      <c r="X1950" t="s">
        <v>1876</v>
      </c>
      <c r="Y1950" t="str">
        <f>VLOOKUP(C1950,'[1]DBS_KPY Sorumlular'!A:C,2,FALSE)</f>
        <v>Mustafa AYDIN</v>
      </c>
      <c r="Z1950" t="str">
        <f>VLOOKUP(C1950,'[1]DBS_KPY Sorumlular'!A:C,3,FALSE)</f>
        <v>Esra DOLAN</v>
      </c>
      <c r="AA1950" t="str">
        <f>VLOOKUP(K1950,[1]!Tablo3[#Data],2,FALSE)</f>
        <v>Erkan AKDOĞAN</v>
      </c>
    </row>
    <row r="1951" spans="1:27" x14ac:dyDescent="0.25">
      <c r="A1951">
        <v>3303</v>
      </c>
      <c r="B1951" t="s">
        <v>27</v>
      </c>
      <c r="C1951" t="s">
        <v>40</v>
      </c>
      <c r="D1951" t="s">
        <v>41</v>
      </c>
      <c r="G1951" t="s">
        <v>43</v>
      </c>
      <c r="H1951" t="s">
        <v>6776</v>
      </c>
      <c r="I1951" s="4">
        <v>43982.875</v>
      </c>
      <c r="K1951" t="s">
        <v>309</v>
      </c>
      <c r="L1951" s="5"/>
      <c r="M1951" s="5"/>
      <c r="N1951" t="s">
        <v>82</v>
      </c>
      <c r="O1951" t="s">
        <v>6777</v>
      </c>
      <c r="R1951">
        <v>1</v>
      </c>
      <c r="T1951" s="5"/>
      <c r="W1951">
        <v>86</v>
      </c>
      <c r="X1951" t="s">
        <v>189</v>
      </c>
      <c r="Y1951" t="str">
        <f>VLOOKUP(C1951,'[1]DBS_KPY Sorumlular'!A:C,2,FALSE)</f>
        <v>Mustafa AYDIN</v>
      </c>
      <c r="Z1951" t="str">
        <f>VLOOKUP(C1951,'[1]DBS_KPY Sorumlular'!A:C,3,FALSE)</f>
        <v>Esra DOLAN</v>
      </c>
      <c r="AA1951" t="str">
        <f>VLOOKUP(K1951,[1]!Tablo3[#Data],2,FALSE)</f>
        <v>Erkan AKDOĞAN</v>
      </c>
    </row>
    <row r="1952" spans="1:27" x14ac:dyDescent="0.25">
      <c r="A1952">
        <v>3304</v>
      </c>
      <c r="B1952" t="s">
        <v>27</v>
      </c>
      <c r="C1952" t="s">
        <v>40</v>
      </c>
      <c r="D1952" t="s">
        <v>41</v>
      </c>
      <c r="G1952" t="s">
        <v>43</v>
      </c>
      <c r="H1952" t="s">
        <v>6778</v>
      </c>
      <c r="I1952" s="4">
        <v>43982.875</v>
      </c>
      <c r="K1952" t="s">
        <v>309</v>
      </c>
      <c r="L1952" s="5"/>
      <c r="M1952" s="5"/>
      <c r="N1952" t="s">
        <v>82</v>
      </c>
      <c r="O1952" t="s">
        <v>6777</v>
      </c>
      <c r="R1952">
        <v>1</v>
      </c>
      <c r="T1952" s="5"/>
      <c r="W1952">
        <v>40</v>
      </c>
      <c r="X1952" t="s">
        <v>1117</v>
      </c>
      <c r="Y1952" t="str">
        <f>VLOOKUP(C1952,'[1]DBS_KPY Sorumlular'!A:C,2,FALSE)</f>
        <v>Mustafa AYDIN</v>
      </c>
      <c r="Z1952" t="str">
        <f>VLOOKUP(C1952,'[1]DBS_KPY Sorumlular'!A:C,3,FALSE)</f>
        <v>Esra DOLAN</v>
      </c>
      <c r="AA1952" t="str">
        <f>VLOOKUP(K1952,[1]!Tablo3[#Data],2,FALSE)</f>
        <v>Erkan AKDOĞAN</v>
      </c>
    </row>
    <row r="1953" spans="1:27" x14ac:dyDescent="0.25">
      <c r="A1953">
        <v>3305</v>
      </c>
      <c r="B1953" t="s">
        <v>27</v>
      </c>
      <c r="C1953" t="s">
        <v>40</v>
      </c>
      <c r="D1953" t="s">
        <v>41</v>
      </c>
      <c r="G1953" t="s">
        <v>43</v>
      </c>
      <c r="H1953" t="s">
        <v>6779</v>
      </c>
      <c r="I1953" s="4">
        <v>43982.875</v>
      </c>
      <c r="K1953" t="s">
        <v>309</v>
      </c>
      <c r="L1953" s="5"/>
      <c r="M1953" s="5"/>
      <c r="N1953" t="s">
        <v>82</v>
      </c>
      <c r="O1953" t="s">
        <v>6780</v>
      </c>
      <c r="R1953">
        <v>1</v>
      </c>
      <c r="T1953" s="5"/>
      <c r="W1953">
        <v>108</v>
      </c>
      <c r="X1953" t="s">
        <v>107</v>
      </c>
      <c r="Y1953" t="str">
        <f>VLOOKUP(C1953,'[1]DBS_KPY Sorumlular'!A:C,2,FALSE)</f>
        <v>Mustafa AYDIN</v>
      </c>
      <c r="Z1953" t="str">
        <f>VLOOKUP(C1953,'[1]DBS_KPY Sorumlular'!A:C,3,FALSE)</f>
        <v>Esra DOLAN</v>
      </c>
      <c r="AA1953" t="str">
        <f>VLOOKUP(K1953,[1]!Tablo3[#Data],2,FALSE)</f>
        <v>Erkan AKDOĞAN</v>
      </c>
    </row>
    <row r="1954" spans="1:27" x14ac:dyDescent="0.25">
      <c r="A1954">
        <v>3306</v>
      </c>
      <c r="B1954" t="s">
        <v>27</v>
      </c>
      <c r="C1954" t="s">
        <v>40</v>
      </c>
      <c r="D1954" t="s">
        <v>41</v>
      </c>
      <c r="G1954" t="s">
        <v>43</v>
      </c>
      <c r="H1954" t="s">
        <v>6781</v>
      </c>
      <c r="I1954" s="4">
        <v>43982.875</v>
      </c>
      <c r="K1954" t="s">
        <v>309</v>
      </c>
      <c r="L1954" s="5"/>
      <c r="M1954" s="5"/>
      <c r="N1954" t="s">
        <v>82</v>
      </c>
      <c r="O1954" t="s">
        <v>6777</v>
      </c>
      <c r="R1954">
        <v>1</v>
      </c>
      <c r="T1954" s="5"/>
      <c r="W1954">
        <v>108</v>
      </c>
      <c r="X1954" t="s">
        <v>107</v>
      </c>
      <c r="Y1954" t="str">
        <f>VLOOKUP(C1954,'[1]DBS_KPY Sorumlular'!A:C,2,FALSE)</f>
        <v>Mustafa AYDIN</v>
      </c>
      <c r="Z1954" t="str">
        <f>VLOOKUP(C1954,'[1]DBS_KPY Sorumlular'!A:C,3,FALSE)</f>
        <v>Esra DOLAN</v>
      </c>
      <c r="AA1954" t="str">
        <f>VLOOKUP(K1954,[1]!Tablo3[#Data],2,FALSE)</f>
        <v>Erkan AKDOĞAN</v>
      </c>
    </row>
    <row r="1955" spans="1:27" x14ac:dyDescent="0.25">
      <c r="A1955">
        <v>3307</v>
      </c>
      <c r="B1955" t="s">
        <v>27</v>
      </c>
      <c r="C1955" t="s">
        <v>40</v>
      </c>
      <c r="D1955" t="s">
        <v>41</v>
      </c>
      <c r="G1955" t="s">
        <v>43</v>
      </c>
      <c r="H1955" t="s">
        <v>6782</v>
      </c>
      <c r="I1955" s="4">
        <v>44347.875</v>
      </c>
      <c r="K1955" t="s">
        <v>309</v>
      </c>
      <c r="L1955" s="5"/>
      <c r="M1955" s="5"/>
      <c r="N1955" t="s">
        <v>82</v>
      </c>
      <c r="O1955" t="s">
        <v>6783</v>
      </c>
      <c r="R1955">
        <v>1</v>
      </c>
      <c r="T1955" s="5"/>
      <c r="W1955">
        <v>137</v>
      </c>
      <c r="X1955" t="s">
        <v>125</v>
      </c>
      <c r="Y1955" t="str">
        <f>VLOOKUP(C1955,'[1]DBS_KPY Sorumlular'!A:C,2,FALSE)</f>
        <v>Mustafa AYDIN</v>
      </c>
      <c r="Z1955" t="str">
        <f>VLOOKUP(C1955,'[1]DBS_KPY Sorumlular'!A:C,3,FALSE)</f>
        <v>Esra DOLAN</v>
      </c>
      <c r="AA1955" t="str">
        <f>VLOOKUP(K1955,[1]!Tablo3[#Data],2,FALSE)</f>
        <v>Erkan AKDOĞAN</v>
      </c>
    </row>
    <row r="1956" spans="1:27" x14ac:dyDescent="0.25">
      <c r="A1956">
        <v>3308</v>
      </c>
      <c r="B1956" t="s">
        <v>27</v>
      </c>
      <c r="C1956" t="s">
        <v>40</v>
      </c>
      <c r="D1956" t="s">
        <v>41</v>
      </c>
      <c r="G1956" t="s">
        <v>43</v>
      </c>
      <c r="H1956" t="s">
        <v>6784</v>
      </c>
      <c r="I1956" s="4">
        <v>44347.875</v>
      </c>
      <c r="K1956" t="s">
        <v>309</v>
      </c>
      <c r="L1956" s="5"/>
      <c r="M1956" s="5"/>
      <c r="N1956" t="s">
        <v>82</v>
      </c>
      <c r="O1956" t="s">
        <v>6783</v>
      </c>
      <c r="R1956">
        <v>1</v>
      </c>
      <c r="T1956" s="5"/>
      <c r="W1956">
        <v>137</v>
      </c>
      <c r="X1956" t="s">
        <v>125</v>
      </c>
      <c r="Y1956" t="str">
        <f>VLOOKUP(C1956,'[1]DBS_KPY Sorumlular'!A:C,2,FALSE)</f>
        <v>Mustafa AYDIN</v>
      </c>
      <c r="Z1956" t="str">
        <f>VLOOKUP(C1956,'[1]DBS_KPY Sorumlular'!A:C,3,FALSE)</f>
        <v>Esra DOLAN</v>
      </c>
      <c r="AA1956" t="str">
        <f>VLOOKUP(K1956,[1]!Tablo3[#Data],2,FALSE)</f>
        <v>Erkan AKDOĞAN</v>
      </c>
    </row>
    <row r="1957" spans="1:27" x14ac:dyDescent="0.25">
      <c r="A1957">
        <v>3309</v>
      </c>
      <c r="B1957" t="s">
        <v>27</v>
      </c>
      <c r="C1957" t="s">
        <v>40</v>
      </c>
      <c r="D1957" t="s">
        <v>41</v>
      </c>
      <c r="G1957" t="s">
        <v>30</v>
      </c>
      <c r="H1957" t="s">
        <v>6785</v>
      </c>
      <c r="I1957" s="4">
        <v>44347.875</v>
      </c>
      <c r="K1957" t="s">
        <v>309</v>
      </c>
      <c r="L1957" s="5"/>
      <c r="M1957" s="5"/>
      <c r="N1957" t="s">
        <v>82</v>
      </c>
      <c r="O1957" t="s">
        <v>6786</v>
      </c>
      <c r="R1957">
        <v>1</v>
      </c>
      <c r="T1957" s="5"/>
      <c r="W1957">
        <v>89</v>
      </c>
      <c r="X1957" t="s">
        <v>1267</v>
      </c>
      <c r="Y1957" t="str">
        <f>VLOOKUP(C1957,'[1]DBS_KPY Sorumlular'!A:C,2,FALSE)</f>
        <v>Mustafa AYDIN</v>
      </c>
      <c r="Z1957" t="str">
        <f>VLOOKUP(C1957,'[1]DBS_KPY Sorumlular'!A:C,3,FALSE)</f>
        <v>Esra DOLAN</v>
      </c>
      <c r="AA1957" t="str">
        <f>VLOOKUP(K1957,[1]!Tablo3[#Data],2,FALSE)</f>
        <v>Erkan AKDOĞAN</v>
      </c>
    </row>
    <row r="1958" spans="1:27" x14ac:dyDescent="0.25">
      <c r="A1958">
        <v>3310</v>
      </c>
      <c r="B1958" t="s">
        <v>27</v>
      </c>
      <c r="C1958" t="s">
        <v>40</v>
      </c>
      <c r="D1958" t="s">
        <v>41</v>
      </c>
      <c r="G1958" t="s">
        <v>43</v>
      </c>
      <c r="H1958" t="s">
        <v>6787</v>
      </c>
      <c r="I1958" s="4">
        <v>44347.875</v>
      </c>
      <c r="K1958" t="s">
        <v>309</v>
      </c>
      <c r="L1958" s="5"/>
      <c r="M1958" s="5"/>
      <c r="N1958" t="s">
        <v>82</v>
      </c>
      <c r="O1958" t="s">
        <v>6788</v>
      </c>
      <c r="R1958">
        <v>1</v>
      </c>
      <c r="T1958" s="5"/>
      <c r="W1958">
        <v>73</v>
      </c>
      <c r="X1958" t="s">
        <v>1198</v>
      </c>
      <c r="Y1958" t="str">
        <f>VLOOKUP(C1958,'[1]DBS_KPY Sorumlular'!A:C,2,FALSE)</f>
        <v>Mustafa AYDIN</v>
      </c>
      <c r="Z1958" t="str">
        <f>VLOOKUP(C1958,'[1]DBS_KPY Sorumlular'!A:C,3,FALSE)</f>
        <v>Esra DOLAN</v>
      </c>
      <c r="AA1958" t="str">
        <f>VLOOKUP(K1958,[1]!Tablo3[#Data],2,FALSE)</f>
        <v>Erkan AKDOĞAN</v>
      </c>
    </row>
    <row r="1959" spans="1:27" x14ac:dyDescent="0.25">
      <c r="A1959">
        <v>3311</v>
      </c>
      <c r="B1959" t="s">
        <v>27</v>
      </c>
      <c r="C1959" t="s">
        <v>40</v>
      </c>
      <c r="D1959" t="s">
        <v>65</v>
      </c>
      <c r="G1959" t="s">
        <v>67</v>
      </c>
      <c r="H1959" t="s">
        <v>6789</v>
      </c>
      <c r="I1959" s="4">
        <v>44712.875</v>
      </c>
      <c r="K1959" t="s">
        <v>309</v>
      </c>
      <c r="L1959" s="5"/>
      <c r="M1959" s="5"/>
      <c r="N1959" t="s">
        <v>82</v>
      </c>
      <c r="O1959" t="s">
        <v>6790</v>
      </c>
      <c r="R1959">
        <v>1</v>
      </c>
      <c r="T1959" s="5"/>
      <c r="W1959">
        <v>203</v>
      </c>
      <c r="X1959" t="s">
        <v>72</v>
      </c>
      <c r="Y1959" t="str">
        <f>VLOOKUP(C1959,'[1]DBS_KPY Sorumlular'!A:C,2,FALSE)</f>
        <v>Mustafa AYDIN</v>
      </c>
      <c r="Z1959" t="str">
        <f>VLOOKUP(C1959,'[1]DBS_KPY Sorumlular'!A:C,3,FALSE)</f>
        <v>Esra DOLAN</v>
      </c>
      <c r="AA1959" t="str">
        <f>VLOOKUP(K1959,[1]!Tablo3[#Data],2,FALSE)</f>
        <v>Erkan AKDOĞAN</v>
      </c>
    </row>
    <row r="1960" spans="1:27" x14ac:dyDescent="0.25">
      <c r="A1960">
        <v>3312</v>
      </c>
      <c r="B1960" t="s">
        <v>27</v>
      </c>
      <c r="C1960" t="s">
        <v>40</v>
      </c>
      <c r="D1960" t="s">
        <v>41</v>
      </c>
      <c r="G1960" t="s">
        <v>43</v>
      </c>
      <c r="H1960" t="s">
        <v>6791</v>
      </c>
      <c r="I1960" s="4">
        <v>45443.875</v>
      </c>
      <c r="K1960" t="s">
        <v>309</v>
      </c>
      <c r="L1960" s="5"/>
      <c r="M1960" s="5"/>
      <c r="N1960" t="s">
        <v>82</v>
      </c>
      <c r="O1960" t="s">
        <v>6792</v>
      </c>
      <c r="R1960">
        <v>1</v>
      </c>
      <c r="T1960" s="5"/>
      <c r="W1960">
        <v>108</v>
      </c>
      <c r="X1960" t="s">
        <v>107</v>
      </c>
      <c r="Y1960" t="str">
        <f>VLOOKUP(C1960,'[1]DBS_KPY Sorumlular'!A:C,2,FALSE)</f>
        <v>Mustafa AYDIN</v>
      </c>
      <c r="Z1960" t="str">
        <f>VLOOKUP(C1960,'[1]DBS_KPY Sorumlular'!A:C,3,FALSE)</f>
        <v>Esra DOLAN</v>
      </c>
      <c r="AA1960" t="str">
        <f>VLOOKUP(K1960,[1]!Tablo3[#Data],2,FALSE)</f>
        <v>Erkan AKDOĞAN</v>
      </c>
    </row>
    <row r="1961" spans="1:27" x14ac:dyDescent="0.25">
      <c r="A1961">
        <v>3313</v>
      </c>
      <c r="B1961" t="s">
        <v>27</v>
      </c>
      <c r="C1961" t="s">
        <v>40</v>
      </c>
      <c r="D1961" t="s">
        <v>41</v>
      </c>
      <c r="G1961" t="s">
        <v>43</v>
      </c>
      <c r="H1961" t="s">
        <v>6793</v>
      </c>
      <c r="I1961" s="4">
        <v>45443.875</v>
      </c>
      <c r="K1961" t="s">
        <v>309</v>
      </c>
      <c r="L1961" s="5"/>
      <c r="M1961" s="5"/>
      <c r="N1961" t="s">
        <v>82</v>
      </c>
      <c r="O1961" t="s">
        <v>6794</v>
      </c>
      <c r="R1961">
        <v>1</v>
      </c>
      <c r="T1961" s="5"/>
      <c r="W1961">
        <v>137</v>
      </c>
      <c r="X1961" t="s">
        <v>125</v>
      </c>
      <c r="Y1961" t="str">
        <f>VLOOKUP(C1961,'[1]DBS_KPY Sorumlular'!A:C,2,FALSE)</f>
        <v>Mustafa AYDIN</v>
      </c>
      <c r="Z1961" t="str">
        <f>VLOOKUP(C1961,'[1]DBS_KPY Sorumlular'!A:C,3,FALSE)</f>
        <v>Esra DOLAN</v>
      </c>
      <c r="AA1961" t="str">
        <f>VLOOKUP(K1961,[1]!Tablo3[#Data],2,FALSE)</f>
        <v>Erkan AKDOĞAN</v>
      </c>
    </row>
    <row r="1962" spans="1:27" x14ac:dyDescent="0.25">
      <c r="A1962">
        <v>3314</v>
      </c>
      <c r="B1962" t="s">
        <v>27</v>
      </c>
      <c r="C1962" t="s">
        <v>40</v>
      </c>
      <c r="D1962" t="s">
        <v>65</v>
      </c>
      <c r="G1962" t="s">
        <v>30</v>
      </c>
      <c r="H1962" t="s">
        <v>6795</v>
      </c>
      <c r="I1962" s="4">
        <v>45443.875</v>
      </c>
      <c r="K1962" t="s">
        <v>309</v>
      </c>
      <c r="L1962" s="5"/>
      <c r="M1962" s="5"/>
      <c r="N1962" t="s">
        <v>82</v>
      </c>
      <c r="O1962" t="s">
        <v>6796</v>
      </c>
      <c r="R1962">
        <v>1</v>
      </c>
      <c r="T1962" s="5"/>
      <c r="W1962">
        <v>79</v>
      </c>
      <c r="X1962" t="s">
        <v>1619</v>
      </c>
      <c r="Y1962" t="str">
        <f>VLOOKUP(C1962,'[1]DBS_KPY Sorumlular'!A:C,2,FALSE)</f>
        <v>Mustafa AYDIN</v>
      </c>
      <c r="Z1962" t="str">
        <f>VLOOKUP(C1962,'[1]DBS_KPY Sorumlular'!A:C,3,FALSE)</f>
        <v>Esra DOLAN</v>
      </c>
      <c r="AA1962" t="str">
        <f>VLOOKUP(K1962,[1]!Tablo3[#Data],2,FALSE)</f>
        <v>Erkan AKDOĞAN</v>
      </c>
    </row>
    <row r="1963" spans="1:27" x14ac:dyDescent="0.25">
      <c r="A1963">
        <v>3315</v>
      </c>
      <c r="B1963" t="s">
        <v>27</v>
      </c>
      <c r="C1963" t="s">
        <v>40</v>
      </c>
      <c r="D1963" t="s">
        <v>41</v>
      </c>
      <c r="G1963" t="s">
        <v>43</v>
      </c>
      <c r="H1963" t="s">
        <v>6797</v>
      </c>
      <c r="I1963" s="4">
        <v>43982.875</v>
      </c>
      <c r="K1963" t="s">
        <v>325</v>
      </c>
      <c r="L1963" s="5"/>
      <c r="M1963" s="5"/>
      <c r="N1963" t="s">
        <v>82</v>
      </c>
      <c r="O1963" t="s">
        <v>6798</v>
      </c>
      <c r="R1963">
        <v>1</v>
      </c>
      <c r="T1963" s="5"/>
      <c r="W1963">
        <v>86</v>
      </c>
      <c r="X1963" t="s">
        <v>189</v>
      </c>
      <c r="Y1963" t="str">
        <f>VLOOKUP(C1963,'[1]DBS_KPY Sorumlular'!A:C,2,FALSE)</f>
        <v>Mustafa AYDIN</v>
      </c>
      <c r="Z1963" t="str">
        <f>VLOOKUP(C1963,'[1]DBS_KPY Sorumlular'!A:C,3,FALSE)</f>
        <v>Esra DOLAN</v>
      </c>
      <c r="AA1963" t="str">
        <f>VLOOKUP(K1963,[1]!Tablo3[#Data],2,FALSE)</f>
        <v>Kadir TOPÇU</v>
      </c>
    </row>
    <row r="1964" spans="1:27" x14ac:dyDescent="0.25">
      <c r="A1964">
        <v>3316</v>
      </c>
      <c r="B1964" t="s">
        <v>27</v>
      </c>
      <c r="C1964" t="s">
        <v>40</v>
      </c>
      <c r="D1964" t="s">
        <v>41</v>
      </c>
      <c r="G1964" t="s">
        <v>43</v>
      </c>
      <c r="H1964" t="s">
        <v>6799</v>
      </c>
      <c r="I1964" s="4">
        <v>44347.875</v>
      </c>
      <c r="K1964" t="s">
        <v>325</v>
      </c>
      <c r="L1964" s="5"/>
      <c r="M1964" s="5"/>
      <c r="N1964" t="s">
        <v>82</v>
      </c>
      <c r="O1964" t="s">
        <v>6800</v>
      </c>
      <c r="R1964">
        <v>1</v>
      </c>
      <c r="T1964" s="5"/>
      <c r="W1964">
        <v>137</v>
      </c>
      <c r="X1964" t="s">
        <v>125</v>
      </c>
      <c r="Y1964" t="str">
        <f>VLOOKUP(C1964,'[1]DBS_KPY Sorumlular'!A:C,2,FALSE)</f>
        <v>Mustafa AYDIN</v>
      </c>
      <c r="Z1964" t="str">
        <f>VLOOKUP(C1964,'[1]DBS_KPY Sorumlular'!A:C,3,FALSE)</f>
        <v>Esra DOLAN</v>
      </c>
      <c r="AA1964" t="str">
        <f>VLOOKUP(K1964,[1]!Tablo3[#Data],2,FALSE)</f>
        <v>Kadir TOPÇU</v>
      </c>
    </row>
    <row r="1965" spans="1:27" x14ac:dyDescent="0.25">
      <c r="A1965">
        <v>3317</v>
      </c>
      <c r="B1965" t="s">
        <v>27</v>
      </c>
      <c r="C1965" t="s">
        <v>40</v>
      </c>
      <c r="D1965" t="s">
        <v>41</v>
      </c>
      <c r="G1965" t="s">
        <v>43</v>
      </c>
      <c r="H1965" t="s">
        <v>6801</v>
      </c>
      <c r="I1965" s="4">
        <v>44712.875</v>
      </c>
      <c r="K1965" t="s">
        <v>325</v>
      </c>
      <c r="L1965" s="5"/>
      <c r="M1965" s="5"/>
      <c r="N1965" t="s">
        <v>82</v>
      </c>
      <c r="O1965" t="s">
        <v>6802</v>
      </c>
      <c r="R1965">
        <v>1</v>
      </c>
      <c r="T1965" s="5"/>
      <c r="W1965">
        <v>74</v>
      </c>
      <c r="X1965" t="s">
        <v>234</v>
      </c>
      <c r="Y1965" t="str">
        <f>VLOOKUP(C1965,'[1]DBS_KPY Sorumlular'!A:C,2,FALSE)</f>
        <v>Mustafa AYDIN</v>
      </c>
      <c r="Z1965" t="str">
        <f>VLOOKUP(C1965,'[1]DBS_KPY Sorumlular'!A:C,3,FALSE)</f>
        <v>Esra DOLAN</v>
      </c>
      <c r="AA1965" t="str">
        <f>VLOOKUP(K1965,[1]!Tablo3[#Data],2,FALSE)</f>
        <v>Kadir TOPÇU</v>
      </c>
    </row>
    <row r="1966" spans="1:27" x14ac:dyDescent="0.25">
      <c r="A1966">
        <v>3318</v>
      </c>
      <c r="B1966" t="s">
        <v>27</v>
      </c>
      <c r="C1966" t="s">
        <v>40</v>
      </c>
      <c r="D1966" t="s">
        <v>41</v>
      </c>
      <c r="G1966" t="s">
        <v>43</v>
      </c>
      <c r="H1966" t="s">
        <v>6803</v>
      </c>
      <c r="I1966" s="4">
        <v>44712.875</v>
      </c>
      <c r="K1966" t="s">
        <v>325</v>
      </c>
      <c r="L1966" s="5"/>
      <c r="M1966" s="5"/>
      <c r="N1966" t="s">
        <v>82</v>
      </c>
      <c r="O1966" t="s">
        <v>6804</v>
      </c>
      <c r="R1966">
        <v>1</v>
      </c>
      <c r="T1966" s="5"/>
      <c r="W1966">
        <v>78</v>
      </c>
      <c r="X1966" t="s">
        <v>86</v>
      </c>
      <c r="Y1966" t="str">
        <f>VLOOKUP(C1966,'[1]DBS_KPY Sorumlular'!A:C,2,FALSE)</f>
        <v>Mustafa AYDIN</v>
      </c>
      <c r="Z1966" t="str">
        <f>VLOOKUP(C1966,'[1]DBS_KPY Sorumlular'!A:C,3,FALSE)</f>
        <v>Esra DOLAN</v>
      </c>
      <c r="AA1966" t="str">
        <f>VLOOKUP(K1966,[1]!Tablo3[#Data],2,FALSE)</f>
        <v>Kadir TOPÇU</v>
      </c>
    </row>
    <row r="1967" spans="1:27" x14ac:dyDescent="0.25">
      <c r="A1967">
        <v>3319</v>
      </c>
      <c r="B1967" t="s">
        <v>27</v>
      </c>
      <c r="C1967" t="s">
        <v>40</v>
      </c>
      <c r="D1967" t="s">
        <v>41</v>
      </c>
      <c r="G1967" t="s">
        <v>43</v>
      </c>
      <c r="H1967" t="s">
        <v>6805</v>
      </c>
      <c r="I1967" s="4">
        <v>44712.875</v>
      </c>
      <c r="K1967" t="s">
        <v>325</v>
      </c>
      <c r="L1967" s="5"/>
      <c r="M1967" s="5"/>
      <c r="N1967" t="s">
        <v>82</v>
      </c>
      <c r="O1967" t="s">
        <v>6806</v>
      </c>
      <c r="R1967">
        <v>1</v>
      </c>
      <c r="T1967" s="5"/>
      <c r="W1967">
        <v>86</v>
      </c>
      <c r="X1967" t="s">
        <v>189</v>
      </c>
      <c r="Y1967" t="str">
        <f>VLOOKUP(C1967,'[1]DBS_KPY Sorumlular'!A:C,2,FALSE)</f>
        <v>Mustafa AYDIN</v>
      </c>
      <c r="Z1967" t="str">
        <f>VLOOKUP(C1967,'[1]DBS_KPY Sorumlular'!A:C,3,FALSE)</f>
        <v>Esra DOLAN</v>
      </c>
      <c r="AA1967" t="str">
        <f>VLOOKUP(K1967,[1]!Tablo3[#Data],2,FALSE)</f>
        <v>Kadir TOPÇU</v>
      </c>
    </row>
    <row r="1968" spans="1:27" x14ac:dyDescent="0.25">
      <c r="A1968">
        <v>3320</v>
      </c>
      <c r="B1968" t="s">
        <v>27</v>
      </c>
      <c r="C1968" t="s">
        <v>40</v>
      </c>
      <c r="D1968" t="s">
        <v>41</v>
      </c>
      <c r="G1968" t="s">
        <v>43</v>
      </c>
      <c r="H1968" t="s">
        <v>6807</v>
      </c>
      <c r="I1968" s="4">
        <v>44712.875</v>
      </c>
      <c r="K1968" t="s">
        <v>325</v>
      </c>
      <c r="L1968" s="5"/>
      <c r="M1968" s="5"/>
      <c r="N1968" t="s">
        <v>82</v>
      </c>
      <c r="O1968" t="s">
        <v>6806</v>
      </c>
      <c r="R1968">
        <v>1</v>
      </c>
      <c r="T1968" s="5"/>
      <c r="W1968">
        <v>211</v>
      </c>
      <c r="X1968" t="s">
        <v>1876</v>
      </c>
      <c r="Y1968" t="str">
        <f>VLOOKUP(C1968,'[1]DBS_KPY Sorumlular'!A:C,2,FALSE)</f>
        <v>Mustafa AYDIN</v>
      </c>
      <c r="Z1968" t="str">
        <f>VLOOKUP(C1968,'[1]DBS_KPY Sorumlular'!A:C,3,FALSE)</f>
        <v>Esra DOLAN</v>
      </c>
      <c r="AA1968" t="str">
        <f>VLOOKUP(K1968,[1]!Tablo3[#Data],2,FALSE)</f>
        <v>Kadir TOPÇU</v>
      </c>
    </row>
    <row r="1969" spans="1:27" x14ac:dyDescent="0.25">
      <c r="A1969">
        <v>3321</v>
      </c>
      <c r="B1969" t="s">
        <v>27</v>
      </c>
      <c r="C1969" t="s">
        <v>40</v>
      </c>
      <c r="D1969" t="s">
        <v>41</v>
      </c>
      <c r="G1969" t="s">
        <v>43</v>
      </c>
      <c r="H1969" t="s">
        <v>6808</v>
      </c>
      <c r="I1969" s="4">
        <v>44712.875</v>
      </c>
      <c r="K1969" t="s">
        <v>325</v>
      </c>
      <c r="L1969" s="5"/>
      <c r="M1969" s="5"/>
      <c r="N1969" t="s">
        <v>82</v>
      </c>
      <c r="O1969" t="s">
        <v>6809</v>
      </c>
      <c r="R1969">
        <v>1</v>
      </c>
      <c r="T1969" s="5"/>
      <c r="W1969">
        <v>108</v>
      </c>
      <c r="X1969" t="s">
        <v>107</v>
      </c>
      <c r="Y1969" t="str">
        <f>VLOOKUP(C1969,'[1]DBS_KPY Sorumlular'!A:C,2,FALSE)</f>
        <v>Mustafa AYDIN</v>
      </c>
      <c r="Z1969" t="str">
        <f>VLOOKUP(C1969,'[1]DBS_KPY Sorumlular'!A:C,3,FALSE)</f>
        <v>Esra DOLAN</v>
      </c>
      <c r="AA1969" t="str">
        <f>VLOOKUP(K1969,[1]!Tablo3[#Data],2,FALSE)</f>
        <v>Kadir TOPÇU</v>
      </c>
    </row>
    <row r="1970" spans="1:27" x14ac:dyDescent="0.25">
      <c r="A1970">
        <v>3322</v>
      </c>
      <c r="B1970" t="s">
        <v>27</v>
      </c>
      <c r="C1970" t="s">
        <v>40</v>
      </c>
      <c r="D1970" t="s">
        <v>41</v>
      </c>
      <c r="G1970" t="s">
        <v>43</v>
      </c>
      <c r="H1970" t="s">
        <v>6810</v>
      </c>
      <c r="I1970" s="4">
        <v>44712.875</v>
      </c>
      <c r="K1970" t="s">
        <v>325</v>
      </c>
      <c r="L1970" s="5"/>
      <c r="M1970" s="5"/>
      <c r="N1970" t="s">
        <v>82</v>
      </c>
      <c r="O1970" t="s">
        <v>6811</v>
      </c>
      <c r="R1970">
        <v>1</v>
      </c>
      <c r="T1970" s="5"/>
      <c r="W1970">
        <v>265</v>
      </c>
      <c r="X1970" t="s">
        <v>1228</v>
      </c>
      <c r="Y1970" t="str">
        <f>VLOOKUP(C1970,'[1]DBS_KPY Sorumlular'!A:C,2,FALSE)</f>
        <v>Mustafa AYDIN</v>
      </c>
      <c r="Z1970" t="str">
        <f>VLOOKUP(C1970,'[1]DBS_KPY Sorumlular'!A:C,3,FALSE)</f>
        <v>Esra DOLAN</v>
      </c>
      <c r="AA1970" t="str">
        <f>VLOOKUP(K1970,[1]!Tablo3[#Data],2,FALSE)</f>
        <v>Kadir TOPÇU</v>
      </c>
    </row>
    <row r="1971" spans="1:27" x14ac:dyDescent="0.25">
      <c r="A1971">
        <v>3323</v>
      </c>
      <c r="B1971" t="s">
        <v>27</v>
      </c>
      <c r="C1971" t="s">
        <v>40</v>
      </c>
      <c r="D1971" t="s">
        <v>41</v>
      </c>
      <c r="G1971" t="s">
        <v>43</v>
      </c>
      <c r="H1971" t="s">
        <v>6812</v>
      </c>
      <c r="I1971" s="4">
        <v>45077.875</v>
      </c>
      <c r="K1971" t="s">
        <v>325</v>
      </c>
      <c r="L1971" s="5"/>
      <c r="M1971" s="5"/>
      <c r="N1971" t="s">
        <v>82</v>
      </c>
      <c r="O1971" t="s">
        <v>6813</v>
      </c>
      <c r="R1971">
        <v>1</v>
      </c>
      <c r="T1971" s="5"/>
      <c r="W1971">
        <v>116</v>
      </c>
      <c r="X1971" t="s">
        <v>3651</v>
      </c>
      <c r="Y1971" t="str">
        <f>VLOOKUP(C1971,'[1]DBS_KPY Sorumlular'!A:C,2,FALSE)</f>
        <v>Mustafa AYDIN</v>
      </c>
      <c r="Z1971" t="str">
        <f>VLOOKUP(C1971,'[1]DBS_KPY Sorumlular'!A:C,3,FALSE)</f>
        <v>Esra DOLAN</v>
      </c>
      <c r="AA1971" t="str">
        <f>VLOOKUP(K1971,[1]!Tablo3[#Data],2,FALSE)</f>
        <v>Kadir TOPÇU</v>
      </c>
    </row>
    <row r="1972" spans="1:27" x14ac:dyDescent="0.25">
      <c r="A1972">
        <v>3324</v>
      </c>
      <c r="B1972" t="s">
        <v>27</v>
      </c>
      <c r="C1972" t="s">
        <v>40</v>
      </c>
      <c r="D1972" t="s">
        <v>41</v>
      </c>
      <c r="G1972" t="s">
        <v>43</v>
      </c>
      <c r="H1972" t="s">
        <v>6814</v>
      </c>
      <c r="I1972" s="4">
        <v>45077.875</v>
      </c>
      <c r="K1972" t="s">
        <v>325</v>
      </c>
      <c r="L1972" s="5"/>
      <c r="M1972" s="5"/>
      <c r="N1972" t="s">
        <v>82</v>
      </c>
      <c r="O1972" t="s">
        <v>6815</v>
      </c>
      <c r="R1972">
        <v>1</v>
      </c>
      <c r="T1972" s="5"/>
      <c r="W1972">
        <v>108</v>
      </c>
      <c r="X1972" t="s">
        <v>107</v>
      </c>
      <c r="Y1972" t="str">
        <f>VLOOKUP(C1972,'[1]DBS_KPY Sorumlular'!A:C,2,FALSE)</f>
        <v>Mustafa AYDIN</v>
      </c>
      <c r="Z1972" t="str">
        <f>VLOOKUP(C1972,'[1]DBS_KPY Sorumlular'!A:C,3,FALSE)</f>
        <v>Esra DOLAN</v>
      </c>
      <c r="AA1972" t="str">
        <f>VLOOKUP(K1972,[1]!Tablo3[#Data],2,FALSE)</f>
        <v>Kadir TOPÇU</v>
      </c>
    </row>
    <row r="1973" spans="1:27" x14ac:dyDescent="0.25">
      <c r="A1973">
        <v>3325</v>
      </c>
      <c r="B1973" t="s">
        <v>27</v>
      </c>
      <c r="C1973" t="s">
        <v>40</v>
      </c>
      <c r="D1973" t="s">
        <v>41</v>
      </c>
      <c r="G1973" t="s">
        <v>96</v>
      </c>
      <c r="H1973" t="s">
        <v>6816</v>
      </c>
      <c r="I1973" s="4">
        <v>45443.875</v>
      </c>
      <c r="K1973" t="s">
        <v>325</v>
      </c>
      <c r="L1973" s="5"/>
      <c r="M1973" s="5"/>
      <c r="N1973" t="s">
        <v>82</v>
      </c>
      <c r="O1973" t="s">
        <v>6817</v>
      </c>
      <c r="R1973">
        <v>1</v>
      </c>
      <c r="T1973" s="5"/>
      <c r="W1973">
        <v>91</v>
      </c>
      <c r="X1973" t="s">
        <v>101</v>
      </c>
      <c r="Y1973" t="str">
        <f>VLOOKUP(C1973,'[1]DBS_KPY Sorumlular'!A:C,2,FALSE)</f>
        <v>Mustafa AYDIN</v>
      </c>
      <c r="Z1973" t="str">
        <f>VLOOKUP(C1973,'[1]DBS_KPY Sorumlular'!A:C,3,FALSE)</f>
        <v>Esra DOLAN</v>
      </c>
      <c r="AA1973" t="str">
        <f>VLOOKUP(K1973,[1]!Tablo3[#Data],2,FALSE)</f>
        <v>Kadir TOPÇU</v>
      </c>
    </row>
    <row r="1974" spans="1:27" x14ac:dyDescent="0.25">
      <c r="A1974">
        <v>3326</v>
      </c>
      <c r="B1974" t="s">
        <v>27</v>
      </c>
      <c r="C1974" t="s">
        <v>40</v>
      </c>
      <c r="D1974" t="s">
        <v>41</v>
      </c>
      <c r="G1974" t="s">
        <v>43</v>
      </c>
      <c r="H1974" t="s">
        <v>6818</v>
      </c>
      <c r="I1974" s="4">
        <v>45443.875</v>
      </c>
      <c r="K1974" t="s">
        <v>325</v>
      </c>
      <c r="L1974" s="5"/>
      <c r="M1974" s="5"/>
      <c r="N1974" t="s">
        <v>82</v>
      </c>
      <c r="O1974" t="s">
        <v>6819</v>
      </c>
      <c r="R1974">
        <v>1</v>
      </c>
      <c r="T1974" s="5"/>
      <c r="W1974">
        <v>86</v>
      </c>
      <c r="X1974" t="s">
        <v>189</v>
      </c>
      <c r="Y1974" t="str">
        <f>VLOOKUP(C1974,'[1]DBS_KPY Sorumlular'!A:C,2,FALSE)</f>
        <v>Mustafa AYDIN</v>
      </c>
      <c r="Z1974" t="str">
        <f>VLOOKUP(C1974,'[1]DBS_KPY Sorumlular'!A:C,3,FALSE)</f>
        <v>Esra DOLAN</v>
      </c>
      <c r="AA1974" t="str">
        <f>VLOOKUP(K1974,[1]!Tablo3[#Data],2,FALSE)</f>
        <v>Kadir TOPÇU</v>
      </c>
    </row>
    <row r="1975" spans="1:27" x14ac:dyDescent="0.25">
      <c r="A1975">
        <v>3327</v>
      </c>
      <c r="B1975" t="s">
        <v>27</v>
      </c>
      <c r="C1975" t="s">
        <v>40</v>
      </c>
      <c r="D1975" t="s">
        <v>41</v>
      </c>
      <c r="G1975" t="s">
        <v>43</v>
      </c>
      <c r="H1975" t="s">
        <v>6820</v>
      </c>
      <c r="I1975" s="4">
        <v>45443.875</v>
      </c>
      <c r="K1975" t="s">
        <v>325</v>
      </c>
      <c r="L1975" s="5"/>
      <c r="M1975" s="5"/>
      <c r="N1975" t="s">
        <v>82</v>
      </c>
      <c r="O1975" t="s">
        <v>6821</v>
      </c>
      <c r="R1975">
        <v>1</v>
      </c>
      <c r="T1975" s="5"/>
      <c r="W1975">
        <v>30</v>
      </c>
      <c r="X1975" t="s">
        <v>327</v>
      </c>
      <c r="Y1975" t="str">
        <f>VLOOKUP(C1975,'[1]DBS_KPY Sorumlular'!A:C,2,FALSE)</f>
        <v>Mustafa AYDIN</v>
      </c>
      <c r="Z1975" t="str">
        <f>VLOOKUP(C1975,'[1]DBS_KPY Sorumlular'!A:C,3,FALSE)</f>
        <v>Esra DOLAN</v>
      </c>
      <c r="AA1975" t="str">
        <f>VLOOKUP(K1975,[1]!Tablo3[#Data],2,FALSE)</f>
        <v>Kadir TOPÇU</v>
      </c>
    </row>
    <row r="1976" spans="1:27" x14ac:dyDescent="0.25">
      <c r="A1976">
        <v>3328</v>
      </c>
      <c r="B1976" t="s">
        <v>27</v>
      </c>
      <c r="C1976" t="s">
        <v>40</v>
      </c>
      <c r="D1976" t="s">
        <v>41</v>
      </c>
      <c r="G1976" t="s">
        <v>43</v>
      </c>
      <c r="H1976" t="s">
        <v>6822</v>
      </c>
      <c r="I1976" s="4">
        <v>44347.875</v>
      </c>
      <c r="K1976" t="s">
        <v>364</v>
      </c>
      <c r="L1976" s="5"/>
      <c r="M1976" s="5"/>
      <c r="N1976" t="s">
        <v>82</v>
      </c>
      <c r="O1976" t="s">
        <v>6823</v>
      </c>
      <c r="R1976">
        <v>1</v>
      </c>
      <c r="T1976" s="5"/>
      <c r="W1976">
        <v>258</v>
      </c>
      <c r="X1976" t="s">
        <v>1811</v>
      </c>
      <c r="Y1976" t="str">
        <f>VLOOKUP(C1976,'[1]DBS_KPY Sorumlular'!A:C,2,FALSE)</f>
        <v>Mustafa AYDIN</v>
      </c>
      <c r="Z1976" t="str">
        <f>VLOOKUP(C1976,'[1]DBS_KPY Sorumlular'!A:C,3,FALSE)</f>
        <v>Esra DOLAN</v>
      </c>
      <c r="AA1976" t="str">
        <f>VLOOKUP(K1976,[1]!Tablo3[#Data],2,FALSE)</f>
        <v>Kadir TOPÇU</v>
      </c>
    </row>
    <row r="1977" spans="1:27" x14ac:dyDescent="0.25">
      <c r="A1977">
        <v>3329</v>
      </c>
      <c r="B1977" t="s">
        <v>27</v>
      </c>
      <c r="C1977" t="s">
        <v>40</v>
      </c>
      <c r="D1977" t="s">
        <v>41</v>
      </c>
      <c r="G1977" t="s">
        <v>456</v>
      </c>
      <c r="H1977" t="s">
        <v>6824</v>
      </c>
      <c r="I1977" s="4">
        <v>44347.875</v>
      </c>
      <c r="K1977" t="s">
        <v>364</v>
      </c>
      <c r="L1977" s="5"/>
      <c r="M1977" s="5"/>
      <c r="N1977" t="s">
        <v>82</v>
      </c>
      <c r="O1977" t="s">
        <v>6825</v>
      </c>
      <c r="R1977">
        <v>1</v>
      </c>
      <c r="T1977" s="5"/>
      <c r="W1977">
        <v>144</v>
      </c>
      <c r="X1977" t="s">
        <v>463</v>
      </c>
      <c r="Y1977" t="str">
        <f>VLOOKUP(C1977,'[1]DBS_KPY Sorumlular'!A:C,2,FALSE)</f>
        <v>Mustafa AYDIN</v>
      </c>
      <c r="Z1977" t="str">
        <f>VLOOKUP(C1977,'[1]DBS_KPY Sorumlular'!A:C,3,FALSE)</f>
        <v>Esra DOLAN</v>
      </c>
      <c r="AA1977" t="str">
        <f>VLOOKUP(K1977,[1]!Tablo3[#Data],2,FALSE)</f>
        <v>Kadir TOPÇU</v>
      </c>
    </row>
    <row r="1978" spans="1:27" x14ac:dyDescent="0.25">
      <c r="A1978">
        <v>3330</v>
      </c>
      <c r="B1978" t="s">
        <v>27</v>
      </c>
      <c r="C1978" t="s">
        <v>40</v>
      </c>
      <c r="D1978" t="s">
        <v>41</v>
      </c>
      <c r="G1978" t="s">
        <v>384</v>
      </c>
      <c r="H1978" t="s">
        <v>6826</v>
      </c>
      <c r="I1978" s="4">
        <v>44347.875</v>
      </c>
      <c r="K1978" t="s">
        <v>364</v>
      </c>
      <c r="L1978" s="5"/>
      <c r="M1978" s="5"/>
      <c r="N1978" t="s">
        <v>82</v>
      </c>
      <c r="O1978" t="s">
        <v>6827</v>
      </c>
      <c r="R1978">
        <v>1</v>
      </c>
      <c r="T1978" s="5"/>
      <c r="W1978">
        <v>157</v>
      </c>
      <c r="X1978" t="s">
        <v>3495</v>
      </c>
      <c r="Y1978" t="str">
        <f>VLOOKUP(C1978,'[1]DBS_KPY Sorumlular'!A:C,2,FALSE)</f>
        <v>Mustafa AYDIN</v>
      </c>
      <c r="Z1978" t="str">
        <f>VLOOKUP(C1978,'[1]DBS_KPY Sorumlular'!A:C,3,FALSE)</f>
        <v>Esra DOLAN</v>
      </c>
      <c r="AA1978" t="str">
        <f>VLOOKUP(K1978,[1]!Tablo3[#Data],2,FALSE)</f>
        <v>Kadir TOPÇU</v>
      </c>
    </row>
    <row r="1979" spans="1:27" x14ac:dyDescent="0.25">
      <c r="A1979">
        <v>3331</v>
      </c>
      <c r="B1979" t="s">
        <v>27</v>
      </c>
      <c r="C1979" t="s">
        <v>40</v>
      </c>
      <c r="D1979" t="s">
        <v>41</v>
      </c>
      <c r="G1979" t="s">
        <v>384</v>
      </c>
      <c r="H1979" t="s">
        <v>6828</v>
      </c>
      <c r="I1979" s="4">
        <v>44347.875</v>
      </c>
      <c r="K1979" t="s">
        <v>364</v>
      </c>
      <c r="L1979" s="5"/>
      <c r="M1979" s="5"/>
      <c r="N1979" t="s">
        <v>82</v>
      </c>
      <c r="O1979" t="s">
        <v>6829</v>
      </c>
      <c r="R1979">
        <v>1</v>
      </c>
      <c r="T1979" s="5"/>
      <c r="W1979">
        <v>105</v>
      </c>
      <c r="X1979" t="s">
        <v>390</v>
      </c>
      <c r="Y1979" t="str">
        <f>VLOOKUP(C1979,'[1]DBS_KPY Sorumlular'!A:C,2,FALSE)</f>
        <v>Mustafa AYDIN</v>
      </c>
      <c r="Z1979" t="str">
        <f>VLOOKUP(C1979,'[1]DBS_KPY Sorumlular'!A:C,3,FALSE)</f>
        <v>Esra DOLAN</v>
      </c>
      <c r="AA1979" t="str">
        <f>VLOOKUP(K1979,[1]!Tablo3[#Data],2,FALSE)</f>
        <v>Kadir TOPÇU</v>
      </c>
    </row>
    <row r="1980" spans="1:27" x14ac:dyDescent="0.25">
      <c r="A1980">
        <v>3332</v>
      </c>
      <c r="B1980" t="s">
        <v>27</v>
      </c>
      <c r="C1980" t="s">
        <v>40</v>
      </c>
      <c r="D1980" t="s">
        <v>65</v>
      </c>
      <c r="G1980" t="s">
        <v>30</v>
      </c>
      <c r="H1980" t="s">
        <v>6830</v>
      </c>
      <c r="I1980" s="4">
        <v>45077.875</v>
      </c>
      <c r="K1980" t="s">
        <v>364</v>
      </c>
      <c r="L1980" s="5"/>
      <c r="M1980" s="5"/>
      <c r="N1980" t="s">
        <v>82</v>
      </c>
      <c r="O1980" t="s">
        <v>6831</v>
      </c>
      <c r="R1980">
        <v>1</v>
      </c>
      <c r="T1980" s="5"/>
      <c r="W1980">
        <v>79</v>
      </c>
      <c r="X1980" t="s">
        <v>1619</v>
      </c>
      <c r="Y1980" t="str">
        <f>VLOOKUP(C1980,'[1]DBS_KPY Sorumlular'!A:C,2,FALSE)</f>
        <v>Mustafa AYDIN</v>
      </c>
      <c r="Z1980" t="str">
        <f>VLOOKUP(C1980,'[1]DBS_KPY Sorumlular'!A:C,3,FALSE)</f>
        <v>Esra DOLAN</v>
      </c>
      <c r="AA1980" t="str">
        <f>VLOOKUP(K1980,[1]!Tablo3[#Data],2,FALSE)</f>
        <v>Kadir TOPÇU</v>
      </c>
    </row>
    <row r="1981" spans="1:27" x14ac:dyDescent="0.25">
      <c r="A1981">
        <v>3333</v>
      </c>
      <c r="B1981" t="s">
        <v>27</v>
      </c>
      <c r="C1981" t="s">
        <v>40</v>
      </c>
      <c r="D1981" t="s">
        <v>41</v>
      </c>
      <c r="G1981" t="s">
        <v>43</v>
      </c>
      <c r="H1981" t="s">
        <v>6832</v>
      </c>
      <c r="I1981" s="4">
        <v>45077.875</v>
      </c>
      <c r="K1981" t="s">
        <v>364</v>
      </c>
      <c r="L1981" s="5"/>
      <c r="M1981" s="5"/>
      <c r="N1981" t="s">
        <v>82</v>
      </c>
      <c r="O1981" t="s">
        <v>6833</v>
      </c>
      <c r="R1981">
        <v>1</v>
      </c>
      <c r="T1981" s="5"/>
      <c r="W1981">
        <v>30</v>
      </c>
      <c r="X1981" t="s">
        <v>327</v>
      </c>
      <c r="Y1981" t="str">
        <f>VLOOKUP(C1981,'[1]DBS_KPY Sorumlular'!A:C,2,FALSE)</f>
        <v>Mustafa AYDIN</v>
      </c>
      <c r="Z1981" t="str">
        <f>VLOOKUP(C1981,'[1]DBS_KPY Sorumlular'!A:C,3,FALSE)</f>
        <v>Esra DOLAN</v>
      </c>
      <c r="AA1981" t="str">
        <f>VLOOKUP(K1981,[1]!Tablo3[#Data],2,FALSE)</f>
        <v>Kadir TOPÇU</v>
      </c>
    </row>
    <row r="1982" spans="1:27" x14ac:dyDescent="0.25">
      <c r="A1982">
        <v>3334</v>
      </c>
      <c r="B1982" t="s">
        <v>27</v>
      </c>
      <c r="C1982" t="s">
        <v>40</v>
      </c>
      <c r="D1982" t="s">
        <v>41</v>
      </c>
      <c r="G1982" t="s">
        <v>43</v>
      </c>
      <c r="H1982" t="s">
        <v>6834</v>
      </c>
      <c r="I1982" s="4">
        <v>45077.875</v>
      </c>
      <c r="K1982" t="s">
        <v>364</v>
      </c>
      <c r="L1982" s="5"/>
      <c r="M1982" s="5"/>
      <c r="N1982" t="s">
        <v>82</v>
      </c>
      <c r="O1982" t="s">
        <v>6835</v>
      </c>
      <c r="R1982">
        <v>1</v>
      </c>
      <c r="T1982" s="5"/>
      <c r="W1982">
        <v>258</v>
      </c>
      <c r="X1982" t="s">
        <v>1811</v>
      </c>
      <c r="Y1982" t="str">
        <f>VLOOKUP(C1982,'[1]DBS_KPY Sorumlular'!A:C,2,FALSE)</f>
        <v>Mustafa AYDIN</v>
      </c>
      <c r="Z1982" t="str">
        <f>VLOOKUP(C1982,'[1]DBS_KPY Sorumlular'!A:C,3,FALSE)</f>
        <v>Esra DOLAN</v>
      </c>
      <c r="AA1982" t="str">
        <f>VLOOKUP(K1982,[1]!Tablo3[#Data],2,FALSE)</f>
        <v>Kadir TOPÇU</v>
      </c>
    </row>
    <row r="1983" spans="1:27" x14ac:dyDescent="0.25">
      <c r="A1983">
        <v>3335</v>
      </c>
      <c r="B1983" t="s">
        <v>27</v>
      </c>
      <c r="C1983" t="s">
        <v>40</v>
      </c>
      <c r="D1983" t="s">
        <v>41</v>
      </c>
      <c r="G1983" t="s">
        <v>456</v>
      </c>
      <c r="H1983" t="s">
        <v>6836</v>
      </c>
      <c r="I1983" s="4">
        <v>45077.875</v>
      </c>
      <c r="K1983" t="s">
        <v>364</v>
      </c>
      <c r="L1983" s="5"/>
      <c r="M1983" s="5"/>
      <c r="N1983" t="s">
        <v>82</v>
      </c>
      <c r="O1983" t="s">
        <v>6837</v>
      </c>
      <c r="R1983">
        <v>1</v>
      </c>
      <c r="T1983" s="5"/>
      <c r="W1983">
        <v>258</v>
      </c>
      <c r="X1983" t="s">
        <v>1811</v>
      </c>
      <c r="Y1983" t="str">
        <f>VLOOKUP(C1983,'[1]DBS_KPY Sorumlular'!A:C,2,FALSE)</f>
        <v>Mustafa AYDIN</v>
      </c>
      <c r="Z1983" t="str">
        <f>VLOOKUP(C1983,'[1]DBS_KPY Sorumlular'!A:C,3,FALSE)</f>
        <v>Esra DOLAN</v>
      </c>
      <c r="AA1983" t="str">
        <f>VLOOKUP(K1983,[1]!Tablo3[#Data],2,FALSE)</f>
        <v>Kadir TOPÇU</v>
      </c>
    </row>
    <row r="1984" spans="1:27" x14ac:dyDescent="0.25">
      <c r="A1984">
        <v>3336</v>
      </c>
      <c r="B1984" t="s">
        <v>27</v>
      </c>
      <c r="C1984" t="s">
        <v>40</v>
      </c>
      <c r="D1984" t="s">
        <v>65</v>
      </c>
      <c r="G1984" t="s">
        <v>67</v>
      </c>
      <c r="H1984" t="s">
        <v>6838</v>
      </c>
      <c r="I1984" s="4">
        <v>45077.875</v>
      </c>
      <c r="K1984" t="s">
        <v>364</v>
      </c>
      <c r="L1984" s="5"/>
      <c r="M1984" s="5"/>
      <c r="N1984" t="s">
        <v>82</v>
      </c>
      <c r="O1984" t="s">
        <v>6839</v>
      </c>
      <c r="R1984">
        <v>1</v>
      </c>
      <c r="T1984" s="5"/>
      <c r="W1984">
        <v>203</v>
      </c>
      <c r="X1984" t="s">
        <v>72</v>
      </c>
      <c r="Y1984" t="str">
        <f>VLOOKUP(C1984,'[1]DBS_KPY Sorumlular'!A:C,2,FALSE)</f>
        <v>Mustafa AYDIN</v>
      </c>
      <c r="Z1984" t="str">
        <f>VLOOKUP(C1984,'[1]DBS_KPY Sorumlular'!A:C,3,FALSE)</f>
        <v>Esra DOLAN</v>
      </c>
      <c r="AA1984" t="str">
        <f>VLOOKUP(K1984,[1]!Tablo3[#Data],2,FALSE)</f>
        <v>Kadir TOPÇU</v>
      </c>
    </row>
    <row r="1985" spans="1:27" x14ac:dyDescent="0.25">
      <c r="A1985">
        <v>3337</v>
      </c>
      <c r="B1985" t="s">
        <v>27</v>
      </c>
      <c r="C1985" t="s">
        <v>40</v>
      </c>
      <c r="D1985" t="s">
        <v>41</v>
      </c>
      <c r="G1985" t="s">
        <v>43</v>
      </c>
      <c r="H1985" t="s">
        <v>6840</v>
      </c>
      <c r="I1985" s="4">
        <v>45443.875</v>
      </c>
      <c r="K1985" t="s">
        <v>364</v>
      </c>
      <c r="L1985" s="5"/>
      <c r="M1985" s="5"/>
      <c r="N1985" t="s">
        <v>82</v>
      </c>
      <c r="O1985" t="s">
        <v>6841</v>
      </c>
      <c r="R1985">
        <v>1</v>
      </c>
      <c r="T1985" s="5"/>
      <c r="W1985">
        <v>258</v>
      </c>
      <c r="X1985" t="s">
        <v>1811</v>
      </c>
      <c r="Y1985" t="str">
        <f>VLOOKUP(C1985,'[1]DBS_KPY Sorumlular'!A:C,2,FALSE)</f>
        <v>Mustafa AYDIN</v>
      </c>
      <c r="Z1985" t="str">
        <f>VLOOKUP(C1985,'[1]DBS_KPY Sorumlular'!A:C,3,FALSE)</f>
        <v>Esra DOLAN</v>
      </c>
      <c r="AA1985" t="str">
        <f>VLOOKUP(K1985,[1]!Tablo3[#Data],2,FALSE)</f>
        <v>Kadir TOPÇU</v>
      </c>
    </row>
    <row r="1986" spans="1:27" x14ac:dyDescent="0.25">
      <c r="A1986">
        <v>3338</v>
      </c>
      <c r="B1986" t="s">
        <v>27</v>
      </c>
      <c r="C1986" t="s">
        <v>40</v>
      </c>
      <c r="D1986" t="s">
        <v>65</v>
      </c>
      <c r="G1986" t="s">
        <v>30</v>
      </c>
      <c r="H1986" t="s">
        <v>6842</v>
      </c>
      <c r="I1986" s="4">
        <v>43616.875</v>
      </c>
      <c r="K1986" t="s">
        <v>435</v>
      </c>
      <c r="L1986" s="5"/>
      <c r="M1986" s="5"/>
      <c r="N1986" t="s">
        <v>82</v>
      </c>
      <c r="O1986" t="s">
        <v>6843</v>
      </c>
      <c r="R1986">
        <v>1</v>
      </c>
      <c r="T1986" s="5"/>
      <c r="W1986">
        <v>65</v>
      </c>
      <c r="X1986" t="s">
        <v>374</v>
      </c>
      <c r="Y1986" t="str">
        <f>VLOOKUP(C1986,'[1]DBS_KPY Sorumlular'!A:C,2,FALSE)</f>
        <v>Mustafa AYDIN</v>
      </c>
      <c r="Z1986" t="str">
        <f>VLOOKUP(C1986,'[1]DBS_KPY Sorumlular'!A:C,3,FALSE)</f>
        <v>Esra DOLAN</v>
      </c>
      <c r="AA1986" t="str">
        <f>VLOOKUP(K1986,[1]!Tablo3[#Data],2,FALSE)</f>
        <v>Tayfun VİÇE</v>
      </c>
    </row>
    <row r="1987" spans="1:27" x14ac:dyDescent="0.25">
      <c r="A1987">
        <v>3339</v>
      </c>
      <c r="B1987" t="s">
        <v>27</v>
      </c>
      <c r="C1987" t="s">
        <v>40</v>
      </c>
      <c r="D1987" t="s">
        <v>65</v>
      </c>
      <c r="G1987" t="s">
        <v>30</v>
      </c>
      <c r="H1987" t="s">
        <v>6844</v>
      </c>
      <c r="I1987" s="4">
        <v>43982.875</v>
      </c>
      <c r="K1987" t="s">
        <v>435</v>
      </c>
      <c r="L1987" s="5"/>
      <c r="M1987" s="5"/>
      <c r="N1987" t="s">
        <v>82</v>
      </c>
      <c r="O1987" t="s">
        <v>6845</v>
      </c>
      <c r="R1987">
        <v>1</v>
      </c>
      <c r="T1987" s="5"/>
      <c r="W1987">
        <v>65</v>
      </c>
      <c r="X1987" t="s">
        <v>374</v>
      </c>
      <c r="Y1987" t="str">
        <f>VLOOKUP(C1987,'[1]DBS_KPY Sorumlular'!A:C,2,FALSE)</f>
        <v>Mustafa AYDIN</v>
      </c>
      <c r="Z1987" t="str">
        <f>VLOOKUP(C1987,'[1]DBS_KPY Sorumlular'!A:C,3,FALSE)</f>
        <v>Esra DOLAN</v>
      </c>
      <c r="AA1987" t="str">
        <f>VLOOKUP(K1987,[1]!Tablo3[#Data],2,FALSE)</f>
        <v>Tayfun VİÇE</v>
      </c>
    </row>
    <row r="1988" spans="1:27" x14ac:dyDescent="0.25">
      <c r="A1988">
        <v>3340</v>
      </c>
      <c r="B1988" t="s">
        <v>27</v>
      </c>
      <c r="C1988" t="s">
        <v>40</v>
      </c>
      <c r="D1988" t="s">
        <v>65</v>
      </c>
      <c r="G1988" t="s">
        <v>30</v>
      </c>
      <c r="H1988" t="s">
        <v>6846</v>
      </c>
      <c r="I1988" s="4">
        <v>44712.875</v>
      </c>
      <c r="K1988" t="s">
        <v>435</v>
      </c>
      <c r="L1988" s="5"/>
      <c r="M1988" s="5"/>
      <c r="N1988" t="s">
        <v>82</v>
      </c>
      <c r="O1988" t="s">
        <v>6847</v>
      </c>
      <c r="R1988">
        <v>1</v>
      </c>
      <c r="T1988" s="5"/>
      <c r="W1988">
        <v>65</v>
      </c>
      <c r="X1988" t="s">
        <v>374</v>
      </c>
      <c r="Y1988" t="str">
        <f>VLOOKUP(C1988,'[1]DBS_KPY Sorumlular'!A:C,2,FALSE)</f>
        <v>Mustafa AYDIN</v>
      </c>
      <c r="Z1988" t="str">
        <f>VLOOKUP(C1988,'[1]DBS_KPY Sorumlular'!A:C,3,FALSE)</f>
        <v>Esra DOLAN</v>
      </c>
      <c r="AA1988" t="str">
        <f>VLOOKUP(K1988,[1]!Tablo3[#Data],2,FALSE)</f>
        <v>Tayfun VİÇE</v>
      </c>
    </row>
    <row r="1989" spans="1:27" x14ac:dyDescent="0.25">
      <c r="A1989">
        <v>3341</v>
      </c>
      <c r="B1989" t="s">
        <v>27</v>
      </c>
      <c r="C1989" t="s">
        <v>40</v>
      </c>
      <c r="D1989" t="s">
        <v>65</v>
      </c>
      <c r="G1989" t="s">
        <v>67</v>
      </c>
      <c r="H1989" t="s">
        <v>6848</v>
      </c>
      <c r="I1989" s="4">
        <v>44712.875</v>
      </c>
      <c r="K1989" t="s">
        <v>435</v>
      </c>
      <c r="L1989" s="5"/>
      <c r="M1989" s="5"/>
      <c r="N1989" t="s">
        <v>82</v>
      </c>
      <c r="O1989" t="s">
        <v>6849</v>
      </c>
      <c r="R1989">
        <v>1</v>
      </c>
      <c r="T1989" s="5"/>
      <c r="W1989">
        <v>79</v>
      </c>
      <c r="X1989" t="s">
        <v>1619</v>
      </c>
      <c r="Y1989" t="str">
        <f>VLOOKUP(C1989,'[1]DBS_KPY Sorumlular'!A:C,2,FALSE)</f>
        <v>Mustafa AYDIN</v>
      </c>
      <c r="Z1989" t="str">
        <f>VLOOKUP(C1989,'[1]DBS_KPY Sorumlular'!A:C,3,FALSE)</f>
        <v>Esra DOLAN</v>
      </c>
      <c r="AA1989" t="str">
        <f>VLOOKUP(K1989,[1]!Tablo3[#Data],2,FALSE)</f>
        <v>Tayfun VİÇE</v>
      </c>
    </row>
    <row r="1990" spans="1:27" x14ac:dyDescent="0.25">
      <c r="A1990">
        <v>3342</v>
      </c>
      <c r="B1990" t="s">
        <v>27</v>
      </c>
      <c r="C1990" t="s">
        <v>40</v>
      </c>
      <c r="D1990" t="s">
        <v>65</v>
      </c>
      <c r="G1990" t="s">
        <v>67</v>
      </c>
      <c r="H1990" t="s">
        <v>6850</v>
      </c>
      <c r="I1990" s="4">
        <v>45077.875</v>
      </c>
      <c r="K1990" t="s">
        <v>435</v>
      </c>
      <c r="L1990" s="5"/>
      <c r="M1990" s="5"/>
      <c r="N1990" t="s">
        <v>82</v>
      </c>
      <c r="O1990" t="s">
        <v>6851</v>
      </c>
      <c r="R1990">
        <v>1</v>
      </c>
      <c r="T1990" s="5"/>
      <c r="W1990">
        <v>203</v>
      </c>
      <c r="X1990" t="s">
        <v>72</v>
      </c>
      <c r="Y1990" t="str">
        <f>VLOOKUP(C1990,'[1]DBS_KPY Sorumlular'!A:C,2,FALSE)</f>
        <v>Mustafa AYDIN</v>
      </c>
      <c r="Z1990" t="str">
        <f>VLOOKUP(C1990,'[1]DBS_KPY Sorumlular'!A:C,3,FALSE)</f>
        <v>Esra DOLAN</v>
      </c>
      <c r="AA1990" t="str">
        <f>VLOOKUP(K1990,[1]!Tablo3[#Data],2,FALSE)</f>
        <v>Tayfun VİÇE</v>
      </c>
    </row>
    <row r="1991" spans="1:27" x14ac:dyDescent="0.25">
      <c r="A1991">
        <v>3343</v>
      </c>
      <c r="B1991" t="s">
        <v>27</v>
      </c>
      <c r="C1991" t="s">
        <v>40</v>
      </c>
      <c r="D1991" t="s">
        <v>65</v>
      </c>
      <c r="G1991" t="s">
        <v>67</v>
      </c>
      <c r="H1991" t="s">
        <v>6852</v>
      </c>
      <c r="I1991" s="4">
        <v>45077.875</v>
      </c>
      <c r="K1991" t="s">
        <v>435</v>
      </c>
      <c r="L1991" s="5"/>
      <c r="M1991" s="5"/>
      <c r="N1991" t="s">
        <v>82</v>
      </c>
      <c r="O1991" t="s">
        <v>6853</v>
      </c>
      <c r="R1991">
        <v>1</v>
      </c>
      <c r="T1991" s="5"/>
      <c r="W1991">
        <v>104</v>
      </c>
      <c r="X1991" t="s">
        <v>703</v>
      </c>
      <c r="Y1991" t="str">
        <f>VLOOKUP(C1991,'[1]DBS_KPY Sorumlular'!A:C,2,FALSE)</f>
        <v>Mustafa AYDIN</v>
      </c>
      <c r="Z1991" t="str">
        <f>VLOOKUP(C1991,'[1]DBS_KPY Sorumlular'!A:C,3,FALSE)</f>
        <v>Esra DOLAN</v>
      </c>
      <c r="AA1991" t="str">
        <f>VLOOKUP(K1991,[1]!Tablo3[#Data],2,FALSE)</f>
        <v>Tayfun VİÇE</v>
      </c>
    </row>
    <row r="1992" spans="1:27" x14ac:dyDescent="0.25">
      <c r="A1992">
        <v>3344</v>
      </c>
      <c r="B1992" t="s">
        <v>27</v>
      </c>
      <c r="C1992" t="s">
        <v>40</v>
      </c>
      <c r="D1992" t="s">
        <v>65</v>
      </c>
      <c r="G1992" t="s">
        <v>30</v>
      </c>
      <c r="H1992" t="s">
        <v>6854</v>
      </c>
      <c r="I1992" s="4">
        <v>45625.875</v>
      </c>
      <c r="K1992" t="s">
        <v>435</v>
      </c>
      <c r="L1992" s="5"/>
      <c r="M1992" s="5"/>
      <c r="N1992" t="s">
        <v>82</v>
      </c>
      <c r="O1992" t="s">
        <v>6855</v>
      </c>
      <c r="R1992">
        <v>1</v>
      </c>
      <c r="T1992" s="5"/>
      <c r="W1992">
        <v>79</v>
      </c>
      <c r="X1992" t="s">
        <v>1619</v>
      </c>
      <c r="Y1992" t="str">
        <f>VLOOKUP(C1992,'[1]DBS_KPY Sorumlular'!A:C,2,FALSE)</f>
        <v>Mustafa AYDIN</v>
      </c>
      <c r="Z1992" t="str">
        <f>VLOOKUP(C1992,'[1]DBS_KPY Sorumlular'!A:C,3,FALSE)</f>
        <v>Esra DOLAN</v>
      </c>
      <c r="AA1992" t="str">
        <f>VLOOKUP(K1992,[1]!Tablo3[#Data],2,FALSE)</f>
        <v>Tayfun VİÇE</v>
      </c>
    </row>
    <row r="1993" spans="1:27" x14ac:dyDescent="0.25">
      <c r="A1993">
        <v>3345</v>
      </c>
      <c r="B1993" t="s">
        <v>27</v>
      </c>
      <c r="C1993" t="s">
        <v>40</v>
      </c>
      <c r="D1993" t="s">
        <v>65</v>
      </c>
      <c r="G1993" t="s">
        <v>30</v>
      </c>
      <c r="H1993" t="s">
        <v>6856</v>
      </c>
      <c r="I1993" s="4">
        <v>45443.875</v>
      </c>
      <c r="K1993" t="s">
        <v>435</v>
      </c>
      <c r="L1993" s="5"/>
      <c r="M1993" s="5"/>
      <c r="N1993" t="s">
        <v>82</v>
      </c>
      <c r="O1993" t="s">
        <v>6857</v>
      </c>
      <c r="R1993">
        <v>1</v>
      </c>
      <c r="T1993" s="5"/>
      <c r="W1993">
        <v>79</v>
      </c>
      <c r="X1993" t="s">
        <v>1619</v>
      </c>
      <c r="Y1993" t="str">
        <f>VLOOKUP(C1993,'[1]DBS_KPY Sorumlular'!A:C,2,FALSE)</f>
        <v>Mustafa AYDIN</v>
      </c>
      <c r="Z1993" t="str">
        <f>VLOOKUP(C1993,'[1]DBS_KPY Sorumlular'!A:C,3,FALSE)</f>
        <v>Esra DOLAN</v>
      </c>
      <c r="AA1993" t="str">
        <f>VLOOKUP(K1993,[1]!Tablo3[#Data],2,FALSE)</f>
        <v>Tayfun VİÇE</v>
      </c>
    </row>
    <row r="1994" spans="1:27" x14ac:dyDescent="0.25">
      <c r="A1994">
        <v>3346</v>
      </c>
      <c r="B1994" t="s">
        <v>27</v>
      </c>
      <c r="C1994" t="s">
        <v>40</v>
      </c>
      <c r="D1994" t="s">
        <v>41</v>
      </c>
      <c r="G1994" t="s">
        <v>96</v>
      </c>
      <c r="H1994" t="s">
        <v>6858</v>
      </c>
      <c r="I1994" s="4">
        <v>45443.875</v>
      </c>
      <c r="K1994" t="s">
        <v>435</v>
      </c>
      <c r="L1994" s="5"/>
      <c r="M1994" s="5"/>
      <c r="N1994" t="s">
        <v>82</v>
      </c>
      <c r="O1994" t="s">
        <v>6859</v>
      </c>
      <c r="R1994">
        <v>1</v>
      </c>
      <c r="T1994" s="5"/>
      <c r="W1994">
        <v>91</v>
      </c>
      <c r="X1994" t="s">
        <v>101</v>
      </c>
      <c r="Y1994" t="str">
        <f>VLOOKUP(C1994,'[1]DBS_KPY Sorumlular'!A:C,2,FALSE)</f>
        <v>Mustafa AYDIN</v>
      </c>
      <c r="Z1994" t="str">
        <f>VLOOKUP(C1994,'[1]DBS_KPY Sorumlular'!A:C,3,FALSE)</f>
        <v>Esra DOLAN</v>
      </c>
      <c r="AA1994" t="str">
        <f>VLOOKUP(K1994,[1]!Tablo3[#Data],2,FALSE)</f>
        <v>Tayfun VİÇE</v>
      </c>
    </row>
    <row r="1995" spans="1:27" x14ac:dyDescent="0.25">
      <c r="A1995">
        <v>3347</v>
      </c>
      <c r="B1995" t="s">
        <v>27</v>
      </c>
      <c r="C1995" t="s">
        <v>40</v>
      </c>
      <c r="D1995" t="s">
        <v>41</v>
      </c>
      <c r="G1995" t="s">
        <v>43</v>
      </c>
      <c r="H1995" t="s">
        <v>6860</v>
      </c>
      <c r="I1995" s="4">
        <v>43616.875</v>
      </c>
      <c r="K1995" t="s">
        <v>459</v>
      </c>
      <c r="L1995" s="5"/>
      <c r="M1995" s="5"/>
      <c r="N1995" t="s">
        <v>82</v>
      </c>
      <c r="O1995" t="s">
        <v>6861</v>
      </c>
      <c r="R1995">
        <v>1</v>
      </c>
      <c r="T1995" s="5"/>
      <c r="W1995">
        <v>72</v>
      </c>
      <c r="X1995" t="s">
        <v>341</v>
      </c>
      <c r="Y1995" t="str">
        <f>VLOOKUP(C1995,'[1]DBS_KPY Sorumlular'!A:C,2,FALSE)</f>
        <v>Mustafa AYDIN</v>
      </c>
      <c r="Z1995" t="str">
        <f>VLOOKUP(C1995,'[1]DBS_KPY Sorumlular'!A:C,3,FALSE)</f>
        <v>Esra DOLAN</v>
      </c>
      <c r="AA1995" t="str">
        <f>VLOOKUP(K1995,[1]!Tablo3[#Data],2,FALSE)</f>
        <v>Erkan AKDOĞAN</v>
      </c>
    </row>
    <row r="1996" spans="1:27" x14ac:dyDescent="0.25">
      <c r="A1996">
        <v>3348</v>
      </c>
      <c r="B1996" t="s">
        <v>27</v>
      </c>
      <c r="C1996" t="s">
        <v>40</v>
      </c>
      <c r="D1996" t="s">
        <v>41</v>
      </c>
      <c r="G1996" t="s">
        <v>43</v>
      </c>
      <c r="H1996" t="s">
        <v>6862</v>
      </c>
      <c r="I1996" s="4">
        <v>43616.875</v>
      </c>
      <c r="K1996" t="s">
        <v>459</v>
      </c>
      <c r="L1996" s="5"/>
      <c r="M1996" s="5"/>
      <c r="N1996" t="s">
        <v>82</v>
      </c>
      <c r="O1996" t="s">
        <v>6863</v>
      </c>
      <c r="R1996">
        <v>1</v>
      </c>
      <c r="T1996" s="5"/>
      <c r="W1996">
        <v>72</v>
      </c>
      <c r="X1996" t="s">
        <v>341</v>
      </c>
      <c r="Y1996" t="str">
        <f>VLOOKUP(C1996,'[1]DBS_KPY Sorumlular'!A:C,2,FALSE)</f>
        <v>Mustafa AYDIN</v>
      </c>
      <c r="Z1996" t="str">
        <f>VLOOKUP(C1996,'[1]DBS_KPY Sorumlular'!A:C,3,FALSE)</f>
        <v>Esra DOLAN</v>
      </c>
      <c r="AA1996" t="str">
        <f>VLOOKUP(K1996,[1]!Tablo3[#Data],2,FALSE)</f>
        <v>Erkan AKDOĞAN</v>
      </c>
    </row>
    <row r="1997" spans="1:27" x14ac:dyDescent="0.25">
      <c r="A1997">
        <v>3349</v>
      </c>
      <c r="B1997" t="s">
        <v>27</v>
      </c>
      <c r="C1997" t="s">
        <v>40</v>
      </c>
      <c r="D1997" t="s">
        <v>65</v>
      </c>
      <c r="G1997" t="s">
        <v>67</v>
      </c>
      <c r="H1997" t="s">
        <v>6864</v>
      </c>
      <c r="I1997" s="4">
        <v>43616.875</v>
      </c>
      <c r="K1997" t="s">
        <v>534</v>
      </c>
      <c r="L1997" s="5"/>
      <c r="M1997" s="5"/>
      <c r="N1997" t="s">
        <v>82</v>
      </c>
      <c r="O1997" t="s">
        <v>6865</v>
      </c>
      <c r="R1997">
        <v>1</v>
      </c>
      <c r="T1997" s="5"/>
      <c r="W1997">
        <v>203</v>
      </c>
      <c r="X1997" t="s">
        <v>72</v>
      </c>
      <c r="Y1997" t="str">
        <f>VLOOKUP(C1997,'[1]DBS_KPY Sorumlular'!A:C,2,FALSE)</f>
        <v>Mustafa AYDIN</v>
      </c>
      <c r="Z1997" t="str">
        <f>VLOOKUP(C1997,'[1]DBS_KPY Sorumlular'!A:C,3,FALSE)</f>
        <v>Esra DOLAN</v>
      </c>
      <c r="AA1997" t="str">
        <f>VLOOKUP(K1997,[1]!Tablo3[#Data],2,FALSE)</f>
        <v>Erkan AKDOĞAN</v>
      </c>
    </row>
    <row r="1998" spans="1:27" x14ac:dyDescent="0.25">
      <c r="A1998">
        <v>3350</v>
      </c>
      <c r="B1998" t="s">
        <v>27</v>
      </c>
      <c r="C1998" t="s">
        <v>40</v>
      </c>
      <c r="D1998" t="s">
        <v>41</v>
      </c>
      <c r="G1998" t="s">
        <v>43</v>
      </c>
      <c r="H1998" t="s">
        <v>6866</v>
      </c>
      <c r="I1998" s="4">
        <v>43982.875</v>
      </c>
      <c r="K1998" t="s">
        <v>459</v>
      </c>
      <c r="L1998" s="5"/>
      <c r="M1998" s="5"/>
      <c r="N1998" t="s">
        <v>82</v>
      </c>
      <c r="O1998" t="s">
        <v>6867</v>
      </c>
      <c r="R1998">
        <v>1</v>
      </c>
      <c r="T1998" s="5"/>
      <c r="W1998">
        <v>68</v>
      </c>
      <c r="X1998" t="s">
        <v>51</v>
      </c>
      <c r="Y1998" t="str">
        <f>VLOOKUP(C1998,'[1]DBS_KPY Sorumlular'!A:C,2,FALSE)</f>
        <v>Mustafa AYDIN</v>
      </c>
      <c r="Z1998" t="str">
        <f>VLOOKUP(C1998,'[1]DBS_KPY Sorumlular'!A:C,3,FALSE)</f>
        <v>Esra DOLAN</v>
      </c>
      <c r="AA1998" t="str">
        <f>VLOOKUP(K1998,[1]!Tablo3[#Data],2,FALSE)</f>
        <v>Erkan AKDOĞAN</v>
      </c>
    </row>
    <row r="1999" spans="1:27" x14ac:dyDescent="0.25">
      <c r="A1999">
        <v>3351</v>
      </c>
      <c r="B1999" t="s">
        <v>27</v>
      </c>
      <c r="C1999" t="s">
        <v>40</v>
      </c>
      <c r="D1999" t="s">
        <v>41</v>
      </c>
      <c r="G1999" t="s">
        <v>43</v>
      </c>
      <c r="H1999" t="s">
        <v>6868</v>
      </c>
      <c r="I1999" s="4">
        <v>43982.875</v>
      </c>
      <c r="K1999" t="s">
        <v>459</v>
      </c>
      <c r="L1999" s="5"/>
      <c r="M1999" s="5"/>
      <c r="N1999" t="s">
        <v>82</v>
      </c>
      <c r="O1999" t="s">
        <v>6869</v>
      </c>
      <c r="R1999">
        <v>1</v>
      </c>
      <c r="T1999" s="5"/>
      <c r="W1999">
        <v>74</v>
      </c>
      <c r="X1999" t="s">
        <v>234</v>
      </c>
      <c r="Y1999" t="str">
        <f>VLOOKUP(C1999,'[1]DBS_KPY Sorumlular'!A:C,2,FALSE)</f>
        <v>Mustafa AYDIN</v>
      </c>
      <c r="Z1999" t="str">
        <f>VLOOKUP(C1999,'[1]DBS_KPY Sorumlular'!A:C,3,FALSE)</f>
        <v>Esra DOLAN</v>
      </c>
      <c r="AA1999" t="str">
        <f>VLOOKUP(K1999,[1]!Tablo3[#Data],2,FALSE)</f>
        <v>Erkan AKDOĞAN</v>
      </c>
    </row>
    <row r="2000" spans="1:27" x14ac:dyDescent="0.25">
      <c r="A2000">
        <v>3352</v>
      </c>
      <c r="B2000" t="s">
        <v>27</v>
      </c>
      <c r="C2000" t="s">
        <v>40</v>
      </c>
      <c r="D2000" t="s">
        <v>41</v>
      </c>
      <c r="G2000" t="s">
        <v>43</v>
      </c>
      <c r="H2000" t="s">
        <v>6870</v>
      </c>
      <c r="I2000" s="4">
        <v>43982.875</v>
      </c>
      <c r="K2000" t="s">
        <v>459</v>
      </c>
      <c r="L2000" s="5"/>
      <c r="M2000" s="5"/>
      <c r="N2000" t="s">
        <v>82</v>
      </c>
      <c r="O2000" t="s">
        <v>6871</v>
      </c>
      <c r="R2000">
        <v>1</v>
      </c>
      <c r="T2000" s="5"/>
      <c r="W2000">
        <v>125</v>
      </c>
      <c r="X2000" t="s">
        <v>6872</v>
      </c>
      <c r="Y2000" t="str">
        <f>VLOOKUP(C2000,'[1]DBS_KPY Sorumlular'!A:C,2,FALSE)</f>
        <v>Mustafa AYDIN</v>
      </c>
      <c r="Z2000" t="str">
        <f>VLOOKUP(C2000,'[1]DBS_KPY Sorumlular'!A:C,3,FALSE)</f>
        <v>Esra DOLAN</v>
      </c>
      <c r="AA2000" t="str">
        <f>VLOOKUP(K2000,[1]!Tablo3[#Data],2,FALSE)</f>
        <v>Erkan AKDOĞAN</v>
      </c>
    </row>
    <row r="2001" spans="1:27" x14ac:dyDescent="0.25">
      <c r="A2001">
        <v>3353</v>
      </c>
      <c r="B2001" t="s">
        <v>27</v>
      </c>
      <c r="C2001" t="s">
        <v>40</v>
      </c>
      <c r="D2001" t="s">
        <v>41</v>
      </c>
      <c r="G2001" t="s">
        <v>43</v>
      </c>
      <c r="H2001" t="s">
        <v>6873</v>
      </c>
      <c r="I2001" s="4">
        <v>43982.875</v>
      </c>
      <c r="K2001" t="s">
        <v>459</v>
      </c>
      <c r="L2001" s="5"/>
      <c r="M2001" s="5"/>
      <c r="N2001" t="s">
        <v>82</v>
      </c>
      <c r="O2001" t="s">
        <v>6874</v>
      </c>
      <c r="R2001">
        <v>1</v>
      </c>
      <c r="T2001" s="5"/>
      <c r="W2001">
        <v>68</v>
      </c>
      <c r="X2001" t="s">
        <v>51</v>
      </c>
      <c r="Y2001" t="str">
        <f>VLOOKUP(C2001,'[1]DBS_KPY Sorumlular'!A:C,2,FALSE)</f>
        <v>Mustafa AYDIN</v>
      </c>
      <c r="Z2001" t="str">
        <f>VLOOKUP(C2001,'[1]DBS_KPY Sorumlular'!A:C,3,FALSE)</f>
        <v>Esra DOLAN</v>
      </c>
      <c r="AA2001" t="str">
        <f>VLOOKUP(K2001,[1]!Tablo3[#Data],2,FALSE)</f>
        <v>Erkan AKDOĞAN</v>
      </c>
    </row>
    <row r="2002" spans="1:27" x14ac:dyDescent="0.25">
      <c r="A2002">
        <v>3354</v>
      </c>
      <c r="B2002" t="s">
        <v>27</v>
      </c>
      <c r="C2002" t="s">
        <v>40</v>
      </c>
      <c r="D2002" t="s">
        <v>65</v>
      </c>
      <c r="G2002" t="s">
        <v>67</v>
      </c>
      <c r="H2002" t="s">
        <v>6875</v>
      </c>
      <c r="I2002" s="4">
        <v>43982.875</v>
      </c>
      <c r="K2002" t="s">
        <v>459</v>
      </c>
      <c r="L2002" s="5"/>
      <c r="M2002" s="5"/>
      <c r="N2002" t="s">
        <v>82</v>
      </c>
      <c r="O2002" t="s">
        <v>6876</v>
      </c>
      <c r="R2002">
        <v>1</v>
      </c>
      <c r="T2002" s="5"/>
      <c r="W2002">
        <v>203</v>
      </c>
      <c r="X2002" t="s">
        <v>72</v>
      </c>
      <c r="Y2002" t="str">
        <f>VLOOKUP(C2002,'[1]DBS_KPY Sorumlular'!A:C,2,FALSE)</f>
        <v>Mustafa AYDIN</v>
      </c>
      <c r="Z2002" t="str">
        <f>VLOOKUP(C2002,'[1]DBS_KPY Sorumlular'!A:C,3,FALSE)</f>
        <v>Esra DOLAN</v>
      </c>
      <c r="AA2002" t="str">
        <f>VLOOKUP(K2002,[1]!Tablo3[#Data],2,FALSE)</f>
        <v>Erkan AKDOĞAN</v>
      </c>
    </row>
    <row r="2003" spans="1:27" x14ac:dyDescent="0.25">
      <c r="A2003">
        <v>3355</v>
      </c>
      <c r="B2003" t="s">
        <v>27</v>
      </c>
      <c r="C2003" t="s">
        <v>40</v>
      </c>
      <c r="D2003" t="s">
        <v>41</v>
      </c>
      <c r="G2003" t="s">
        <v>43</v>
      </c>
      <c r="H2003" t="s">
        <v>6877</v>
      </c>
      <c r="I2003" s="4">
        <v>44347.875</v>
      </c>
      <c r="K2003" t="s">
        <v>459</v>
      </c>
      <c r="L2003" s="5"/>
      <c r="M2003" s="5"/>
      <c r="N2003" t="s">
        <v>82</v>
      </c>
      <c r="O2003" t="s">
        <v>6878</v>
      </c>
      <c r="R2003">
        <v>1</v>
      </c>
      <c r="T2003" s="5"/>
      <c r="W2003">
        <v>137</v>
      </c>
      <c r="X2003" t="s">
        <v>125</v>
      </c>
      <c r="Y2003" t="str">
        <f>VLOOKUP(C2003,'[1]DBS_KPY Sorumlular'!A:C,2,FALSE)</f>
        <v>Mustafa AYDIN</v>
      </c>
      <c r="Z2003" t="str">
        <f>VLOOKUP(C2003,'[1]DBS_KPY Sorumlular'!A:C,3,FALSE)</f>
        <v>Esra DOLAN</v>
      </c>
      <c r="AA2003" t="str">
        <f>VLOOKUP(K2003,[1]!Tablo3[#Data],2,FALSE)</f>
        <v>Erkan AKDOĞAN</v>
      </c>
    </row>
    <row r="2004" spans="1:27" x14ac:dyDescent="0.25">
      <c r="A2004">
        <v>3356</v>
      </c>
      <c r="B2004" t="s">
        <v>27</v>
      </c>
      <c r="C2004" t="s">
        <v>40</v>
      </c>
      <c r="D2004" t="s">
        <v>41</v>
      </c>
      <c r="G2004" t="s">
        <v>43</v>
      </c>
      <c r="H2004" t="s">
        <v>6879</v>
      </c>
      <c r="I2004" s="4">
        <v>44347.875</v>
      </c>
      <c r="K2004" t="s">
        <v>459</v>
      </c>
      <c r="L2004" s="5"/>
      <c r="M2004" s="5"/>
      <c r="N2004" t="s">
        <v>82</v>
      </c>
      <c r="O2004" t="s">
        <v>6880</v>
      </c>
      <c r="R2004">
        <v>1</v>
      </c>
      <c r="T2004" s="5"/>
      <c r="W2004">
        <v>68</v>
      </c>
      <c r="X2004" t="s">
        <v>51</v>
      </c>
      <c r="Y2004" t="str">
        <f>VLOOKUP(C2004,'[1]DBS_KPY Sorumlular'!A:C,2,FALSE)</f>
        <v>Mustafa AYDIN</v>
      </c>
      <c r="Z2004" t="str">
        <f>VLOOKUP(C2004,'[1]DBS_KPY Sorumlular'!A:C,3,FALSE)</f>
        <v>Esra DOLAN</v>
      </c>
      <c r="AA2004" t="str">
        <f>VLOOKUP(K2004,[1]!Tablo3[#Data],2,FALSE)</f>
        <v>Erkan AKDOĞAN</v>
      </c>
    </row>
    <row r="2005" spans="1:27" x14ac:dyDescent="0.25">
      <c r="A2005">
        <v>3357</v>
      </c>
      <c r="B2005" t="s">
        <v>27</v>
      </c>
      <c r="C2005" t="s">
        <v>40</v>
      </c>
      <c r="D2005" t="s">
        <v>41</v>
      </c>
      <c r="G2005" t="s">
        <v>456</v>
      </c>
      <c r="H2005" t="s">
        <v>6881</v>
      </c>
      <c r="I2005" s="4">
        <v>44347.875</v>
      </c>
      <c r="K2005" t="s">
        <v>459</v>
      </c>
      <c r="L2005" s="5"/>
      <c r="M2005" s="5"/>
      <c r="N2005" t="s">
        <v>82</v>
      </c>
      <c r="O2005" t="s">
        <v>6882</v>
      </c>
      <c r="R2005">
        <v>1</v>
      </c>
      <c r="T2005" s="5"/>
      <c r="W2005">
        <v>6</v>
      </c>
      <c r="X2005" t="s">
        <v>3668</v>
      </c>
      <c r="Y2005" t="str">
        <f>VLOOKUP(C2005,'[1]DBS_KPY Sorumlular'!A:C,2,FALSE)</f>
        <v>Mustafa AYDIN</v>
      </c>
      <c r="Z2005" t="str">
        <f>VLOOKUP(C2005,'[1]DBS_KPY Sorumlular'!A:C,3,FALSE)</f>
        <v>Esra DOLAN</v>
      </c>
      <c r="AA2005" t="str">
        <f>VLOOKUP(K2005,[1]!Tablo3[#Data],2,FALSE)</f>
        <v>Erkan AKDOĞAN</v>
      </c>
    </row>
    <row r="2006" spans="1:27" x14ac:dyDescent="0.25">
      <c r="A2006">
        <v>3358</v>
      </c>
      <c r="B2006" t="s">
        <v>27</v>
      </c>
      <c r="C2006" t="s">
        <v>40</v>
      </c>
      <c r="D2006" t="s">
        <v>41</v>
      </c>
      <c r="G2006" t="s">
        <v>43</v>
      </c>
      <c r="H2006" t="s">
        <v>6883</v>
      </c>
      <c r="I2006" s="4">
        <v>44712.875</v>
      </c>
      <c r="K2006" t="s">
        <v>459</v>
      </c>
      <c r="L2006" s="5"/>
      <c r="M2006" s="5"/>
      <c r="N2006" t="s">
        <v>82</v>
      </c>
      <c r="O2006" t="s">
        <v>6884</v>
      </c>
      <c r="R2006">
        <v>1</v>
      </c>
      <c r="T2006" s="5"/>
      <c r="W2006">
        <v>108</v>
      </c>
      <c r="X2006" t="s">
        <v>107</v>
      </c>
      <c r="Y2006" t="str">
        <f>VLOOKUP(C2006,'[1]DBS_KPY Sorumlular'!A:C,2,FALSE)</f>
        <v>Mustafa AYDIN</v>
      </c>
      <c r="Z2006" t="str">
        <f>VLOOKUP(C2006,'[1]DBS_KPY Sorumlular'!A:C,3,FALSE)</f>
        <v>Esra DOLAN</v>
      </c>
      <c r="AA2006" t="str">
        <f>VLOOKUP(K2006,[1]!Tablo3[#Data],2,FALSE)</f>
        <v>Erkan AKDOĞAN</v>
      </c>
    </row>
    <row r="2007" spans="1:27" x14ac:dyDescent="0.25">
      <c r="A2007">
        <v>3359</v>
      </c>
      <c r="B2007" t="s">
        <v>27</v>
      </c>
      <c r="C2007" t="s">
        <v>40</v>
      </c>
      <c r="D2007" t="s">
        <v>41</v>
      </c>
      <c r="G2007" t="s">
        <v>43</v>
      </c>
      <c r="H2007" t="s">
        <v>6885</v>
      </c>
      <c r="I2007" s="4">
        <v>44712.875</v>
      </c>
      <c r="K2007" t="s">
        <v>459</v>
      </c>
      <c r="L2007" s="5"/>
      <c r="M2007" s="5"/>
      <c r="N2007" t="s">
        <v>82</v>
      </c>
      <c r="O2007" t="s">
        <v>6886</v>
      </c>
      <c r="R2007">
        <v>1</v>
      </c>
      <c r="T2007" s="5"/>
      <c r="W2007">
        <v>137</v>
      </c>
      <c r="X2007" t="s">
        <v>125</v>
      </c>
      <c r="Y2007" t="str">
        <f>VLOOKUP(C2007,'[1]DBS_KPY Sorumlular'!A:C,2,FALSE)</f>
        <v>Mustafa AYDIN</v>
      </c>
      <c r="Z2007" t="str">
        <f>VLOOKUP(C2007,'[1]DBS_KPY Sorumlular'!A:C,3,FALSE)</f>
        <v>Esra DOLAN</v>
      </c>
      <c r="AA2007" t="str">
        <f>VLOOKUP(K2007,[1]!Tablo3[#Data],2,FALSE)</f>
        <v>Erkan AKDOĞAN</v>
      </c>
    </row>
    <row r="2008" spans="1:27" x14ac:dyDescent="0.25">
      <c r="A2008">
        <v>3360</v>
      </c>
      <c r="B2008" t="s">
        <v>27</v>
      </c>
      <c r="C2008" t="s">
        <v>40</v>
      </c>
      <c r="D2008" t="s">
        <v>41</v>
      </c>
      <c r="G2008" t="s">
        <v>43</v>
      </c>
      <c r="H2008" t="s">
        <v>6887</v>
      </c>
      <c r="I2008" s="4">
        <v>44712.875</v>
      </c>
      <c r="K2008" t="s">
        <v>459</v>
      </c>
      <c r="L2008" s="5"/>
      <c r="M2008" s="5"/>
      <c r="N2008" t="s">
        <v>82</v>
      </c>
      <c r="O2008" t="s">
        <v>6888</v>
      </c>
      <c r="R2008">
        <v>1</v>
      </c>
      <c r="T2008" s="5"/>
      <c r="W2008">
        <v>87</v>
      </c>
      <c r="X2008" t="s">
        <v>119</v>
      </c>
      <c r="Y2008" t="str">
        <f>VLOOKUP(C2008,'[1]DBS_KPY Sorumlular'!A:C,2,FALSE)</f>
        <v>Mustafa AYDIN</v>
      </c>
      <c r="Z2008" t="str">
        <f>VLOOKUP(C2008,'[1]DBS_KPY Sorumlular'!A:C,3,FALSE)</f>
        <v>Esra DOLAN</v>
      </c>
      <c r="AA2008" t="str">
        <f>VLOOKUP(K2008,[1]!Tablo3[#Data],2,FALSE)</f>
        <v>Erkan AKDOĞAN</v>
      </c>
    </row>
    <row r="2009" spans="1:27" x14ac:dyDescent="0.25">
      <c r="A2009">
        <v>3361</v>
      </c>
      <c r="B2009" t="s">
        <v>27</v>
      </c>
      <c r="C2009" t="s">
        <v>40</v>
      </c>
      <c r="D2009" t="s">
        <v>41</v>
      </c>
      <c r="G2009" t="s">
        <v>96</v>
      </c>
      <c r="H2009" t="s">
        <v>6889</v>
      </c>
      <c r="I2009" s="4">
        <v>44712.875</v>
      </c>
      <c r="K2009" t="s">
        <v>459</v>
      </c>
      <c r="L2009" s="5"/>
      <c r="M2009" s="5"/>
      <c r="N2009" t="s">
        <v>82</v>
      </c>
      <c r="O2009" t="s">
        <v>6890</v>
      </c>
      <c r="R2009">
        <v>1</v>
      </c>
      <c r="T2009" s="5"/>
      <c r="W2009">
        <v>68</v>
      </c>
      <c r="X2009" t="s">
        <v>51</v>
      </c>
      <c r="Y2009" t="str">
        <f>VLOOKUP(C2009,'[1]DBS_KPY Sorumlular'!A:C,2,FALSE)</f>
        <v>Mustafa AYDIN</v>
      </c>
      <c r="Z2009" t="str">
        <f>VLOOKUP(C2009,'[1]DBS_KPY Sorumlular'!A:C,3,FALSE)</f>
        <v>Esra DOLAN</v>
      </c>
      <c r="AA2009" t="str">
        <f>VLOOKUP(K2009,[1]!Tablo3[#Data],2,FALSE)</f>
        <v>Erkan AKDOĞAN</v>
      </c>
    </row>
    <row r="2010" spans="1:27" x14ac:dyDescent="0.25">
      <c r="A2010">
        <v>3362</v>
      </c>
      <c r="B2010" t="s">
        <v>27</v>
      </c>
      <c r="C2010" t="s">
        <v>40</v>
      </c>
      <c r="D2010" t="s">
        <v>65</v>
      </c>
      <c r="G2010" t="s">
        <v>67</v>
      </c>
      <c r="H2010" t="s">
        <v>6891</v>
      </c>
      <c r="I2010" s="4">
        <v>45077.875</v>
      </c>
      <c r="K2010" t="s">
        <v>459</v>
      </c>
      <c r="L2010" s="5"/>
      <c r="M2010" s="5"/>
      <c r="N2010" t="s">
        <v>82</v>
      </c>
      <c r="O2010" t="s">
        <v>6892</v>
      </c>
      <c r="R2010">
        <v>1</v>
      </c>
      <c r="T2010" s="5"/>
      <c r="W2010">
        <v>203</v>
      </c>
      <c r="X2010" t="s">
        <v>72</v>
      </c>
      <c r="Y2010" t="str">
        <f>VLOOKUP(C2010,'[1]DBS_KPY Sorumlular'!A:C,2,FALSE)</f>
        <v>Mustafa AYDIN</v>
      </c>
      <c r="Z2010" t="str">
        <f>VLOOKUP(C2010,'[1]DBS_KPY Sorumlular'!A:C,3,FALSE)</f>
        <v>Esra DOLAN</v>
      </c>
      <c r="AA2010" t="str">
        <f>VLOOKUP(K2010,[1]!Tablo3[#Data],2,FALSE)</f>
        <v>Erkan AKDOĞAN</v>
      </c>
    </row>
    <row r="2011" spans="1:27" x14ac:dyDescent="0.25">
      <c r="A2011">
        <v>3363</v>
      </c>
      <c r="B2011" t="s">
        <v>27</v>
      </c>
      <c r="C2011" t="s">
        <v>40</v>
      </c>
      <c r="D2011" t="s">
        <v>41</v>
      </c>
      <c r="G2011" t="s">
        <v>43</v>
      </c>
      <c r="H2011" t="s">
        <v>6893</v>
      </c>
      <c r="I2011" s="4">
        <v>45077.875</v>
      </c>
      <c r="K2011" t="s">
        <v>459</v>
      </c>
      <c r="L2011" s="5"/>
      <c r="M2011" s="5"/>
      <c r="N2011" t="s">
        <v>82</v>
      </c>
      <c r="O2011" t="s">
        <v>6894</v>
      </c>
      <c r="R2011">
        <v>1</v>
      </c>
      <c r="T2011" s="5"/>
      <c r="W2011">
        <v>86</v>
      </c>
      <c r="X2011" t="s">
        <v>189</v>
      </c>
      <c r="Y2011" t="str">
        <f>VLOOKUP(C2011,'[1]DBS_KPY Sorumlular'!A:C,2,FALSE)</f>
        <v>Mustafa AYDIN</v>
      </c>
      <c r="Z2011" t="str">
        <f>VLOOKUP(C2011,'[1]DBS_KPY Sorumlular'!A:C,3,FALSE)</f>
        <v>Esra DOLAN</v>
      </c>
      <c r="AA2011" t="str">
        <f>VLOOKUP(K2011,[1]!Tablo3[#Data],2,FALSE)</f>
        <v>Erkan AKDOĞAN</v>
      </c>
    </row>
    <row r="2012" spans="1:27" x14ac:dyDescent="0.25">
      <c r="A2012">
        <v>3364</v>
      </c>
      <c r="B2012" t="s">
        <v>27</v>
      </c>
      <c r="C2012" t="s">
        <v>40</v>
      </c>
      <c r="D2012" t="s">
        <v>41</v>
      </c>
      <c r="G2012" t="s">
        <v>43</v>
      </c>
      <c r="H2012" t="s">
        <v>6895</v>
      </c>
      <c r="I2012" s="4">
        <v>45077.875</v>
      </c>
      <c r="K2012" t="s">
        <v>459</v>
      </c>
      <c r="L2012" s="5"/>
      <c r="M2012" s="5"/>
      <c r="N2012" t="s">
        <v>82</v>
      </c>
      <c r="O2012" t="s">
        <v>6894</v>
      </c>
      <c r="R2012">
        <v>1</v>
      </c>
      <c r="T2012" s="5"/>
      <c r="W2012">
        <v>114</v>
      </c>
      <c r="X2012" t="s">
        <v>136</v>
      </c>
      <c r="Y2012" t="str">
        <f>VLOOKUP(C2012,'[1]DBS_KPY Sorumlular'!A:C,2,FALSE)</f>
        <v>Mustafa AYDIN</v>
      </c>
      <c r="Z2012" t="str">
        <f>VLOOKUP(C2012,'[1]DBS_KPY Sorumlular'!A:C,3,FALSE)</f>
        <v>Esra DOLAN</v>
      </c>
      <c r="AA2012" t="str">
        <f>VLOOKUP(K2012,[1]!Tablo3[#Data],2,FALSE)</f>
        <v>Erkan AKDOĞAN</v>
      </c>
    </row>
    <row r="2013" spans="1:27" x14ac:dyDescent="0.25">
      <c r="A2013">
        <v>3365</v>
      </c>
      <c r="B2013" t="s">
        <v>27</v>
      </c>
      <c r="C2013" t="s">
        <v>40</v>
      </c>
      <c r="D2013" t="s">
        <v>41</v>
      </c>
      <c r="G2013" t="s">
        <v>43</v>
      </c>
      <c r="H2013" t="s">
        <v>6896</v>
      </c>
      <c r="I2013" s="4">
        <v>45077.875</v>
      </c>
      <c r="K2013" t="s">
        <v>459</v>
      </c>
      <c r="L2013" s="5"/>
      <c r="M2013" s="5"/>
      <c r="N2013" t="s">
        <v>82</v>
      </c>
      <c r="O2013" t="s">
        <v>6894</v>
      </c>
      <c r="R2013">
        <v>1</v>
      </c>
      <c r="T2013" s="5"/>
      <c r="W2013">
        <v>108</v>
      </c>
      <c r="X2013" t="s">
        <v>107</v>
      </c>
      <c r="Y2013" t="str">
        <f>VLOOKUP(C2013,'[1]DBS_KPY Sorumlular'!A:C,2,FALSE)</f>
        <v>Mustafa AYDIN</v>
      </c>
      <c r="Z2013" t="str">
        <f>VLOOKUP(C2013,'[1]DBS_KPY Sorumlular'!A:C,3,FALSE)</f>
        <v>Esra DOLAN</v>
      </c>
      <c r="AA2013" t="str">
        <f>VLOOKUP(K2013,[1]!Tablo3[#Data],2,FALSE)</f>
        <v>Erkan AKDOĞAN</v>
      </c>
    </row>
    <row r="2014" spans="1:27" x14ac:dyDescent="0.25">
      <c r="A2014">
        <v>3366</v>
      </c>
      <c r="B2014" t="s">
        <v>27</v>
      </c>
      <c r="C2014" t="s">
        <v>40</v>
      </c>
      <c r="D2014" t="s">
        <v>41</v>
      </c>
      <c r="G2014" t="s">
        <v>43</v>
      </c>
      <c r="H2014" t="s">
        <v>6897</v>
      </c>
      <c r="I2014" s="4">
        <v>45077.875</v>
      </c>
      <c r="K2014" t="s">
        <v>459</v>
      </c>
      <c r="L2014" s="5"/>
      <c r="M2014" s="5"/>
      <c r="N2014" t="s">
        <v>82</v>
      </c>
      <c r="O2014" t="s">
        <v>6894</v>
      </c>
      <c r="R2014">
        <v>1</v>
      </c>
      <c r="T2014" s="5"/>
      <c r="W2014">
        <v>116</v>
      </c>
      <c r="X2014" t="s">
        <v>3651</v>
      </c>
      <c r="Y2014" t="str">
        <f>VLOOKUP(C2014,'[1]DBS_KPY Sorumlular'!A:C,2,FALSE)</f>
        <v>Mustafa AYDIN</v>
      </c>
      <c r="Z2014" t="str">
        <f>VLOOKUP(C2014,'[1]DBS_KPY Sorumlular'!A:C,3,FALSE)</f>
        <v>Esra DOLAN</v>
      </c>
      <c r="AA2014" t="str">
        <f>VLOOKUP(K2014,[1]!Tablo3[#Data],2,FALSE)</f>
        <v>Erkan AKDOĞAN</v>
      </c>
    </row>
    <row r="2015" spans="1:27" x14ac:dyDescent="0.25">
      <c r="A2015">
        <v>3367</v>
      </c>
      <c r="B2015" t="s">
        <v>27</v>
      </c>
      <c r="C2015" t="s">
        <v>40</v>
      </c>
      <c r="D2015" t="s">
        <v>41</v>
      </c>
      <c r="G2015" t="s">
        <v>67</v>
      </c>
      <c r="H2015" t="s">
        <v>6898</v>
      </c>
      <c r="I2015" s="4">
        <v>45077.875</v>
      </c>
      <c r="K2015" t="s">
        <v>459</v>
      </c>
      <c r="L2015" s="5"/>
      <c r="M2015" s="5"/>
      <c r="N2015" t="s">
        <v>82</v>
      </c>
      <c r="O2015" t="s">
        <v>6899</v>
      </c>
      <c r="R2015">
        <v>1</v>
      </c>
      <c r="T2015" s="5"/>
      <c r="W2015">
        <v>203</v>
      </c>
      <c r="X2015" t="s">
        <v>72</v>
      </c>
      <c r="Y2015" t="str">
        <f>VLOOKUP(C2015,'[1]DBS_KPY Sorumlular'!A:C,2,FALSE)</f>
        <v>Mustafa AYDIN</v>
      </c>
      <c r="Z2015" t="str">
        <f>VLOOKUP(C2015,'[1]DBS_KPY Sorumlular'!A:C,3,FALSE)</f>
        <v>Esra DOLAN</v>
      </c>
      <c r="AA2015" t="str">
        <f>VLOOKUP(K2015,[1]!Tablo3[#Data],2,FALSE)</f>
        <v>Erkan AKDOĞAN</v>
      </c>
    </row>
    <row r="2016" spans="1:27" x14ac:dyDescent="0.25">
      <c r="A2016">
        <v>3368</v>
      </c>
      <c r="B2016" t="s">
        <v>27</v>
      </c>
      <c r="C2016" t="s">
        <v>40</v>
      </c>
      <c r="D2016" t="s">
        <v>65</v>
      </c>
      <c r="G2016" t="s">
        <v>67</v>
      </c>
      <c r="H2016" t="s">
        <v>6900</v>
      </c>
      <c r="I2016" s="4">
        <v>45077.875</v>
      </c>
      <c r="K2016" t="s">
        <v>459</v>
      </c>
      <c r="L2016" s="5"/>
      <c r="M2016" s="5"/>
      <c r="N2016" t="s">
        <v>82</v>
      </c>
      <c r="O2016" t="s">
        <v>6901</v>
      </c>
      <c r="R2016">
        <v>1</v>
      </c>
      <c r="T2016" s="5"/>
      <c r="W2016">
        <v>203</v>
      </c>
      <c r="X2016" t="s">
        <v>72</v>
      </c>
      <c r="Y2016" t="str">
        <f>VLOOKUP(C2016,'[1]DBS_KPY Sorumlular'!A:C,2,FALSE)</f>
        <v>Mustafa AYDIN</v>
      </c>
      <c r="Z2016" t="str">
        <f>VLOOKUP(C2016,'[1]DBS_KPY Sorumlular'!A:C,3,FALSE)</f>
        <v>Esra DOLAN</v>
      </c>
      <c r="AA2016" t="str">
        <f>VLOOKUP(K2016,[1]!Tablo3[#Data],2,FALSE)</f>
        <v>Erkan AKDOĞAN</v>
      </c>
    </row>
    <row r="2017" spans="1:27" x14ac:dyDescent="0.25">
      <c r="A2017">
        <v>3369</v>
      </c>
      <c r="B2017" t="s">
        <v>27</v>
      </c>
      <c r="C2017" t="s">
        <v>40</v>
      </c>
      <c r="D2017" t="s">
        <v>65</v>
      </c>
      <c r="G2017" t="s">
        <v>67</v>
      </c>
      <c r="H2017" t="s">
        <v>6902</v>
      </c>
      <c r="I2017" s="4">
        <v>45077.875</v>
      </c>
      <c r="K2017" t="s">
        <v>459</v>
      </c>
      <c r="L2017" s="5"/>
      <c r="M2017" s="5"/>
      <c r="N2017" t="s">
        <v>82</v>
      </c>
      <c r="O2017" t="s">
        <v>6903</v>
      </c>
      <c r="R2017">
        <v>1</v>
      </c>
      <c r="T2017" s="5"/>
      <c r="W2017">
        <v>207</v>
      </c>
      <c r="X2017" t="s">
        <v>472</v>
      </c>
      <c r="Y2017" t="str">
        <f>VLOOKUP(C2017,'[1]DBS_KPY Sorumlular'!A:C,2,FALSE)</f>
        <v>Mustafa AYDIN</v>
      </c>
      <c r="Z2017" t="str">
        <f>VLOOKUP(C2017,'[1]DBS_KPY Sorumlular'!A:C,3,FALSE)</f>
        <v>Esra DOLAN</v>
      </c>
      <c r="AA2017" t="str">
        <f>VLOOKUP(K2017,[1]!Tablo3[#Data],2,FALSE)</f>
        <v>Erkan AKDOĞAN</v>
      </c>
    </row>
    <row r="2018" spans="1:27" x14ac:dyDescent="0.25">
      <c r="A2018">
        <v>3370</v>
      </c>
      <c r="B2018" t="s">
        <v>27</v>
      </c>
      <c r="C2018" t="s">
        <v>40</v>
      </c>
      <c r="D2018" t="s">
        <v>41</v>
      </c>
      <c r="G2018" t="s">
        <v>96</v>
      </c>
      <c r="H2018" t="s">
        <v>6904</v>
      </c>
      <c r="I2018" s="4">
        <v>45443.875</v>
      </c>
      <c r="K2018" t="s">
        <v>459</v>
      </c>
      <c r="L2018" s="5"/>
      <c r="M2018" s="5"/>
      <c r="N2018" t="s">
        <v>82</v>
      </c>
      <c r="O2018" t="s">
        <v>6905</v>
      </c>
      <c r="R2018">
        <v>1</v>
      </c>
      <c r="T2018" s="5"/>
      <c r="W2018">
        <v>91</v>
      </c>
      <c r="X2018" t="s">
        <v>101</v>
      </c>
      <c r="Y2018" t="str">
        <f>VLOOKUP(C2018,'[1]DBS_KPY Sorumlular'!A:C,2,FALSE)</f>
        <v>Mustafa AYDIN</v>
      </c>
      <c r="Z2018" t="str">
        <f>VLOOKUP(C2018,'[1]DBS_KPY Sorumlular'!A:C,3,FALSE)</f>
        <v>Esra DOLAN</v>
      </c>
      <c r="AA2018" t="str">
        <f>VLOOKUP(K2018,[1]!Tablo3[#Data],2,FALSE)</f>
        <v>Erkan AKDOĞAN</v>
      </c>
    </row>
    <row r="2019" spans="1:27" x14ac:dyDescent="0.25">
      <c r="A2019">
        <v>3371</v>
      </c>
      <c r="B2019" t="s">
        <v>27</v>
      </c>
      <c r="C2019" t="s">
        <v>40</v>
      </c>
      <c r="D2019" t="s">
        <v>65</v>
      </c>
      <c r="G2019" t="s">
        <v>67</v>
      </c>
      <c r="H2019" t="s">
        <v>6906</v>
      </c>
      <c r="I2019" s="4">
        <v>45443.875</v>
      </c>
      <c r="K2019" t="s">
        <v>459</v>
      </c>
      <c r="L2019" s="5"/>
      <c r="M2019" s="5"/>
      <c r="N2019" t="s">
        <v>82</v>
      </c>
      <c r="O2019" t="s">
        <v>6907</v>
      </c>
      <c r="R2019">
        <v>1</v>
      </c>
      <c r="T2019" s="5"/>
      <c r="W2019">
        <v>90</v>
      </c>
      <c r="X2019" t="s">
        <v>1851</v>
      </c>
      <c r="Y2019" t="str">
        <f>VLOOKUP(C2019,'[1]DBS_KPY Sorumlular'!A:C,2,FALSE)</f>
        <v>Mustafa AYDIN</v>
      </c>
      <c r="Z2019" t="str">
        <f>VLOOKUP(C2019,'[1]DBS_KPY Sorumlular'!A:C,3,FALSE)</f>
        <v>Esra DOLAN</v>
      </c>
      <c r="AA2019" t="str">
        <f>VLOOKUP(K2019,[1]!Tablo3[#Data],2,FALSE)</f>
        <v>Erkan AKDOĞAN</v>
      </c>
    </row>
    <row r="2020" spans="1:27" x14ac:dyDescent="0.25">
      <c r="A2020">
        <v>3372</v>
      </c>
      <c r="B2020" t="s">
        <v>27</v>
      </c>
      <c r="C2020" t="s">
        <v>40</v>
      </c>
      <c r="D2020" t="s">
        <v>41</v>
      </c>
      <c r="G2020" t="s">
        <v>43</v>
      </c>
      <c r="H2020" t="s">
        <v>6908</v>
      </c>
      <c r="I2020" s="4">
        <v>43616.875</v>
      </c>
      <c r="K2020" t="s">
        <v>226</v>
      </c>
      <c r="L2020" s="5"/>
      <c r="M2020" s="5"/>
      <c r="N2020" t="s">
        <v>82</v>
      </c>
      <c r="O2020" t="s">
        <v>6909</v>
      </c>
      <c r="R2020">
        <v>1</v>
      </c>
      <c r="T2020" s="5"/>
      <c r="W2020">
        <v>94</v>
      </c>
      <c r="X2020" t="s">
        <v>1707</v>
      </c>
      <c r="Y2020" t="str">
        <f>VLOOKUP(C2020,'[1]DBS_KPY Sorumlular'!A:C,2,FALSE)</f>
        <v>Mustafa AYDIN</v>
      </c>
      <c r="Z2020" t="str">
        <f>VLOOKUP(C2020,'[1]DBS_KPY Sorumlular'!A:C,3,FALSE)</f>
        <v>Esra DOLAN</v>
      </c>
      <c r="AA2020" t="str">
        <f>VLOOKUP(K2020,[1]!Tablo3[#Data],2,FALSE)</f>
        <v>Kadir TOPÇU</v>
      </c>
    </row>
    <row r="2021" spans="1:27" x14ac:dyDescent="0.25">
      <c r="A2021">
        <v>3373</v>
      </c>
      <c r="B2021" t="s">
        <v>27</v>
      </c>
      <c r="C2021" t="s">
        <v>40</v>
      </c>
      <c r="D2021" t="s">
        <v>41</v>
      </c>
      <c r="G2021" t="s">
        <v>43</v>
      </c>
      <c r="H2021" t="s">
        <v>6910</v>
      </c>
      <c r="I2021" s="4">
        <v>43982.875</v>
      </c>
      <c r="K2021" t="s">
        <v>226</v>
      </c>
      <c r="L2021" s="5"/>
      <c r="M2021" s="5"/>
      <c r="N2021" t="s">
        <v>82</v>
      </c>
      <c r="O2021" t="s">
        <v>6911</v>
      </c>
      <c r="R2021">
        <v>1</v>
      </c>
      <c r="T2021" s="5"/>
      <c r="W2021">
        <v>123</v>
      </c>
      <c r="X2021" t="s">
        <v>765</v>
      </c>
      <c r="Y2021" t="str">
        <f>VLOOKUP(C2021,'[1]DBS_KPY Sorumlular'!A:C,2,FALSE)</f>
        <v>Mustafa AYDIN</v>
      </c>
      <c r="Z2021" t="str">
        <f>VLOOKUP(C2021,'[1]DBS_KPY Sorumlular'!A:C,3,FALSE)</f>
        <v>Esra DOLAN</v>
      </c>
      <c r="AA2021" t="str">
        <f>VLOOKUP(K2021,[1]!Tablo3[#Data],2,FALSE)</f>
        <v>Kadir TOPÇU</v>
      </c>
    </row>
    <row r="2022" spans="1:27" x14ac:dyDescent="0.25">
      <c r="A2022">
        <v>3374</v>
      </c>
      <c r="B2022" t="s">
        <v>27</v>
      </c>
      <c r="C2022" t="s">
        <v>40</v>
      </c>
      <c r="D2022" t="s">
        <v>41</v>
      </c>
      <c r="G2022" t="s">
        <v>43</v>
      </c>
      <c r="H2022" t="s">
        <v>6912</v>
      </c>
      <c r="I2022" s="4">
        <v>43982.875</v>
      </c>
      <c r="K2022" t="s">
        <v>226</v>
      </c>
      <c r="L2022" s="5"/>
      <c r="M2022" s="5"/>
      <c r="N2022" t="s">
        <v>82</v>
      </c>
      <c r="O2022" t="s">
        <v>6913</v>
      </c>
      <c r="R2022">
        <v>1</v>
      </c>
      <c r="T2022" s="5"/>
      <c r="W2022">
        <v>134</v>
      </c>
      <c r="X2022" t="s">
        <v>1577</v>
      </c>
      <c r="Y2022" t="str">
        <f>VLOOKUP(C2022,'[1]DBS_KPY Sorumlular'!A:C,2,FALSE)</f>
        <v>Mustafa AYDIN</v>
      </c>
      <c r="Z2022" t="str">
        <f>VLOOKUP(C2022,'[1]DBS_KPY Sorumlular'!A:C,3,FALSE)</f>
        <v>Esra DOLAN</v>
      </c>
      <c r="AA2022" t="str">
        <f>VLOOKUP(K2022,[1]!Tablo3[#Data],2,FALSE)</f>
        <v>Kadir TOPÇU</v>
      </c>
    </row>
    <row r="2023" spans="1:27" x14ac:dyDescent="0.25">
      <c r="A2023">
        <v>3375</v>
      </c>
      <c r="B2023" t="s">
        <v>27</v>
      </c>
      <c r="C2023" t="s">
        <v>40</v>
      </c>
      <c r="D2023" t="s">
        <v>41</v>
      </c>
      <c r="G2023" t="s">
        <v>43</v>
      </c>
      <c r="H2023" t="s">
        <v>6914</v>
      </c>
      <c r="I2023" s="4">
        <v>43982.875</v>
      </c>
      <c r="K2023" t="s">
        <v>226</v>
      </c>
      <c r="L2023" s="5"/>
      <c r="M2023" s="5"/>
      <c r="N2023" t="s">
        <v>82</v>
      </c>
      <c r="O2023" t="s">
        <v>6915</v>
      </c>
      <c r="R2023">
        <v>1</v>
      </c>
      <c r="T2023" s="5"/>
      <c r="W2023">
        <v>108</v>
      </c>
      <c r="X2023" t="s">
        <v>107</v>
      </c>
      <c r="Y2023" t="str">
        <f>VLOOKUP(C2023,'[1]DBS_KPY Sorumlular'!A:C,2,FALSE)</f>
        <v>Mustafa AYDIN</v>
      </c>
      <c r="Z2023" t="str">
        <f>VLOOKUP(C2023,'[1]DBS_KPY Sorumlular'!A:C,3,FALSE)</f>
        <v>Esra DOLAN</v>
      </c>
      <c r="AA2023" t="str">
        <f>VLOOKUP(K2023,[1]!Tablo3[#Data],2,FALSE)</f>
        <v>Kadir TOPÇU</v>
      </c>
    </row>
    <row r="2024" spans="1:27" x14ac:dyDescent="0.25">
      <c r="A2024">
        <v>3376</v>
      </c>
      <c r="B2024" t="s">
        <v>27</v>
      </c>
      <c r="C2024" t="s">
        <v>40</v>
      </c>
      <c r="D2024" t="s">
        <v>41</v>
      </c>
      <c r="G2024" t="s">
        <v>43</v>
      </c>
      <c r="H2024" t="s">
        <v>6916</v>
      </c>
      <c r="I2024" s="4">
        <v>43982.875</v>
      </c>
      <c r="K2024" t="s">
        <v>226</v>
      </c>
      <c r="L2024" s="5"/>
      <c r="M2024" s="5"/>
      <c r="N2024" t="s">
        <v>82</v>
      </c>
      <c r="O2024" t="s">
        <v>6915</v>
      </c>
      <c r="R2024">
        <v>1</v>
      </c>
      <c r="T2024" s="5"/>
      <c r="W2024">
        <v>86</v>
      </c>
      <c r="X2024" t="s">
        <v>189</v>
      </c>
      <c r="Y2024" t="str">
        <f>VLOOKUP(C2024,'[1]DBS_KPY Sorumlular'!A:C,2,FALSE)</f>
        <v>Mustafa AYDIN</v>
      </c>
      <c r="Z2024" t="str">
        <f>VLOOKUP(C2024,'[1]DBS_KPY Sorumlular'!A:C,3,FALSE)</f>
        <v>Esra DOLAN</v>
      </c>
      <c r="AA2024" t="str">
        <f>VLOOKUP(K2024,[1]!Tablo3[#Data],2,FALSE)</f>
        <v>Kadir TOPÇU</v>
      </c>
    </row>
    <row r="2025" spans="1:27" x14ac:dyDescent="0.25">
      <c r="A2025">
        <v>3377</v>
      </c>
      <c r="B2025" t="s">
        <v>27</v>
      </c>
      <c r="C2025" t="s">
        <v>40</v>
      </c>
      <c r="D2025" t="s">
        <v>41</v>
      </c>
      <c r="G2025" t="s">
        <v>43</v>
      </c>
      <c r="H2025" t="s">
        <v>6917</v>
      </c>
      <c r="I2025" s="4">
        <v>43982.875</v>
      </c>
      <c r="K2025" t="s">
        <v>226</v>
      </c>
      <c r="L2025" s="5"/>
      <c r="M2025" s="5"/>
      <c r="N2025" t="s">
        <v>82</v>
      </c>
      <c r="O2025" t="s">
        <v>6915</v>
      </c>
      <c r="R2025">
        <v>1</v>
      </c>
      <c r="T2025" s="5"/>
      <c r="W2025">
        <v>85</v>
      </c>
      <c r="X2025" t="s">
        <v>958</v>
      </c>
      <c r="Y2025" t="str">
        <f>VLOOKUP(C2025,'[1]DBS_KPY Sorumlular'!A:C,2,FALSE)</f>
        <v>Mustafa AYDIN</v>
      </c>
      <c r="Z2025" t="str">
        <f>VLOOKUP(C2025,'[1]DBS_KPY Sorumlular'!A:C,3,FALSE)</f>
        <v>Esra DOLAN</v>
      </c>
      <c r="AA2025" t="str">
        <f>VLOOKUP(K2025,[1]!Tablo3[#Data],2,FALSE)</f>
        <v>Kadir TOPÇU</v>
      </c>
    </row>
    <row r="2026" spans="1:27" x14ac:dyDescent="0.25">
      <c r="A2026">
        <v>3378</v>
      </c>
      <c r="B2026" t="s">
        <v>27</v>
      </c>
      <c r="C2026" t="s">
        <v>40</v>
      </c>
      <c r="D2026" t="s">
        <v>65</v>
      </c>
      <c r="G2026" t="s">
        <v>67</v>
      </c>
      <c r="H2026" t="s">
        <v>6918</v>
      </c>
      <c r="I2026" s="4">
        <v>43982.875</v>
      </c>
      <c r="K2026" t="s">
        <v>226</v>
      </c>
      <c r="L2026" s="5"/>
      <c r="M2026" s="5"/>
      <c r="N2026" t="s">
        <v>82</v>
      </c>
      <c r="O2026" t="s">
        <v>6919</v>
      </c>
      <c r="R2026">
        <v>1</v>
      </c>
      <c r="T2026" s="5"/>
      <c r="W2026">
        <v>103</v>
      </c>
      <c r="X2026" t="s">
        <v>353</v>
      </c>
      <c r="Y2026" t="str">
        <f>VLOOKUP(C2026,'[1]DBS_KPY Sorumlular'!A:C,2,FALSE)</f>
        <v>Mustafa AYDIN</v>
      </c>
      <c r="Z2026" t="str">
        <f>VLOOKUP(C2026,'[1]DBS_KPY Sorumlular'!A:C,3,FALSE)</f>
        <v>Esra DOLAN</v>
      </c>
      <c r="AA2026" t="str">
        <f>VLOOKUP(K2026,[1]!Tablo3[#Data],2,FALSE)</f>
        <v>Kadir TOPÇU</v>
      </c>
    </row>
    <row r="2027" spans="1:27" x14ac:dyDescent="0.25">
      <c r="A2027">
        <v>3379</v>
      </c>
      <c r="B2027" t="s">
        <v>27</v>
      </c>
      <c r="C2027" t="s">
        <v>40</v>
      </c>
      <c r="D2027" t="s">
        <v>41</v>
      </c>
      <c r="G2027" t="s">
        <v>96</v>
      </c>
      <c r="H2027" t="s">
        <v>6920</v>
      </c>
      <c r="I2027" s="4">
        <v>43982.875</v>
      </c>
      <c r="K2027" t="s">
        <v>226</v>
      </c>
      <c r="L2027" s="5"/>
      <c r="M2027" s="5"/>
      <c r="N2027" t="s">
        <v>82</v>
      </c>
      <c r="O2027" t="s">
        <v>6921</v>
      </c>
      <c r="R2027">
        <v>1</v>
      </c>
      <c r="T2027" s="5"/>
      <c r="W2027">
        <v>28</v>
      </c>
      <c r="X2027" t="s">
        <v>667</v>
      </c>
      <c r="Y2027" t="str">
        <f>VLOOKUP(C2027,'[1]DBS_KPY Sorumlular'!A:C,2,FALSE)</f>
        <v>Mustafa AYDIN</v>
      </c>
      <c r="Z2027" t="str">
        <f>VLOOKUP(C2027,'[1]DBS_KPY Sorumlular'!A:C,3,FALSE)</f>
        <v>Esra DOLAN</v>
      </c>
      <c r="AA2027" t="str">
        <f>VLOOKUP(K2027,[1]!Tablo3[#Data],2,FALSE)</f>
        <v>Kadir TOPÇU</v>
      </c>
    </row>
    <row r="2028" spans="1:27" x14ac:dyDescent="0.25">
      <c r="A2028">
        <v>3380</v>
      </c>
      <c r="B2028" t="s">
        <v>27</v>
      </c>
      <c r="C2028" t="s">
        <v>40</v>
      </c>
      <c r="D2028" t="s">
        <v>65</v>
      </c>
      <c r="G2028" t="s">
        <v>30</v>
      </c>
      <c r="H2028" t="s">
        <v>6922</v>
      </c>
      <c r="I2028" s="4">
        <v>44347.875</v>
      </c>
      <c r="K2028" t="s">
        <v>226</v>
      </c>
      <c r="L2028" s="5"/>
      <c r="M2028" s="5"/>
      <c r="N2028" t="s">
        <v>82</v>
      </c>
      <c r="O2028" t="s">
        <v>6923</v>
      </c>
      <c r="R2028">
        <v>1</v>
      </c>
      <c r="T2028" s="5"/>
      <c r="W2028">
        <v>79</v>
      </c>
      <c r="X2028" t="s">
        <v>1619</v>
      </c>
      <c r="Y2028" t="str">
        <f>VLOOKUP(C2028,'[1]DBS_KPY Sorumlular'!A:C,2,FALSE)</f>
        <v>Mustafa AYDIN</v>
      </c>
      <c r="Z2028" t="str">
        <f>VLOOKUP(C2028,'[1]DBS_KPY Sorumlular'!A:C,3,FALSE)</f>
        <v>Esra DOLAN</v>
      </c>
      <c r="AA2028" t="str">
        <f>VLOOKUP(K2028,[1]!Tablo3[#Data],2,FALSE)</f>
        <v>Kadir TOPÇU</v>
      </c>
    </row>
    <row r="2029" spans="1:27" x14ac:dyDescent="0.25">
      <c r="A2029">
        <v>3381</v>
      </c>
      <c r="B2029" t="s">
        <v>27</v>
      </c>
      <c r="C2029" t="s">
        <v>40</v>
      </c>
      <c r="D2029" t="s">
        <v>41</v>
      </c>
      <c r="G2029" t="s">
        <v>43</v>
      </c>
      <c r="H2029" t="s">
        <v>6924</v>
      </c>
      <c r="I2029" s="4">
        <v>44347.875</v>
      </c>
      <c r="K2029" t="s">
        <v>226</v>
      </c>
      <c r="L2029" s="5"/>
      <c r="M2029" s="5"/>
      <c r="N2029" t="s">
        <v>82</v>
      </c>
      <c r="O2029" t="s">
        <v>6925</v>
      </c>
      <c r="R2029">
        <v>1</v>
      </c>
      <c r="T2029" s="5"/>
      <c r="W2029">
        <v>73</v>
      </c>
      <c r="X2029" t="s">
        <v>1198</v>
      </c>
      <c r="Y2029" t="str">
        <f>VLOOKUP(C2029,'[1]DBS_KPY Sorumlular'!A:C,2,FALSE)</f>
        <v>Mustafa AYDIN</v>
      </c>
      <c r="Z2029" t="str">
        <f>VLOOKUP(C2029,'[1]DBS_KPY Sorumlular'!A:C,3,FALSE)</f>
        <v>Esra DOLAN</v>
      </c>
      <c r="AA2029" t="str">
        <f>VLOOKUP(K2029,[1]!Tablo3[#Data],2,FALSE)</f>
        <v>Kadir TOPÇU</v>
      </c>
    </row>
    <row r="2030" spans="1:27" x14ac:dyDescent="0.25">
      <c r="A2030">
        <v>3382</v>
      </c>
      <c r="B2030" t="s">
        <v>27</v>
      </c>
      <c r="C2030" t="s">
        <v>40</v>
      </c>
      <c r="D2030" t="s">
        <v>41</v>
      </c>
      <c r="G2030" t="s">
        <v>43</v>
      </c>
      <c r="H2030" t="s">
        <v>6926</v>
      </c>
      <c r="I2030" s="4">
        <v>45077.875</v>
      </c>
      <c r="K2030" t="s">
        <v>226</v>
      </c>
      <c r="L2030" s="5"/>
      <c r="M2030" s="5"/>
      <c r="N2030" t="s">
        <v>82</v>
      </c>
      <c r="O2030" t="s">
        <v>6927</v>
      </c>
      <c r="R2030">
        <v>1</v>
      </c>
      <c r="T2030" s="5"/>
      <c r="W2030">
        <v>175</v>
      </c>
      <c r="X2030" t="s">
        <v>155</v>
      </c>
      <c r="Y2030" t="str">
        <f>VLOOKUP(C2030,'[1]DBS_KPY Sorumlular'!A:C,2,FALSE)</f>
        <v>Mustafa AYDIN</v>
      </c>
      <c r="Z2030" t="str">
        <f>VLOOKUP(C2030,'[1]DBS_KPY Sorumlular'!A:C,3,FALSE)</f>
        <v>Esra DOLAN</v>
      </c>
      <c r="AA2030" t="str">
        <f>VLOOKUP(K2030,[1]!Tablo3[#Data],2,FALSE)</f>
        <v>Kadir TOPÇU</v>
      </c>
    </row>
    <row r="2031" spans="1:27" x14ac:dyDescent="0.25">
      <c r="A2031">
        <v>3383</v>
      </c>
      <c r="B2031" t="s">
        <v>27</v>
      </c>
      <c r="C2031" t="s">
        <v>40</v>
      </c>
      <c r="D2031" t="s">
        <v>41</v>
      </c>
      <c r="G2031" t="s">
        <v>43</v>
      </c>
      <c r="H2031" t="s">
        <v>6928</v>
      </c>
      <c r="I2031" s="4">
        <v>45077.875</v>
      </c>
      <c r="K2031" t="s">
        <v>226</v>
      </c>
      <c r="L2031" s="5"/>
      <c r="M2031" s="5"/>
      <c r="N2031" t="s">
        <v>82</v>
      </c>
      <c r="O2031" t="s">
        <v>6929</v>
      </c>
      <c r="R2031">
        <v>1</v>
      </c>
      <c r="T2031" s="5"/>
      <c r="W2031">
        <v>86</v>
      </c>
      <c r="X2031" t="s">
        <v>189</v>
      </c>
      <c r="Y2031" t="str">
        <f>VLOOKUP(C2031,'[1]DBS_KPY Sorumlular'!A:C,2,FALSE)</f>
        <v>Mustafa AYDIN</v>
      </c>
      <c r="Z2031" t="str">
        <f>VLOOKUP(C2031,'[1]DBS_KPY Sorumlular'!A:C,3,FALSE)</f>
        <v>Esra DOLAN</v>
      </c>
      <c r="AA2031" t="str">
        <f>VLOOKUP(K2031,[1]!Tablo3[#Data],2,FALSE)</f>
        <v>Kadir TOPÇU</v>
      </c>
    </row>
    <row r="2032" spans="1:27" x14ac:dyDescent="0.25">
      <c r="A2032">
        <v>3384</v>
      </c>
      <c r="B2032" t="s">
        <v>27</v>
      </c>
      <c r="C2032" t="s">
        <v>40</v>
      </c>
      <c r="D2032" t="s">
        <v>41</v>
      </c>
      <c r="G2032" t="s">
        <v>67</v>
      </c>
      <c r="H2032" t="s">
        <v>6930</v>
      </c>
      <c r="I2032" s="4">
        <v>45077.875</v>
      </c>
      <c r="K2032" t="s">
        <v>226</v>
      </c>
      <c r="L2032" s="5"/>
      <c r="M2032" s="5"/>
      <c r="N2032" t="s">
        <v>82</v>
      </c>
      <c r="O2032" t="s">
        <v>6931</v>
      </c>
      <c r="R2032">
        <v>1</v>
      </c>
      <c r="T2032" s="5"/>
      <c r="W2032">
        <v>28</v>
      </c>
      <c r="X2032" t="s">
        <v>667</v>
      </c>
      <c r="Y2032" t="str">
        <f>VLOOKUP(C2032,'[1]DBS_KPY Sorumlular'!A:C,2,FALSE)</f>
        <v>Mustafa AYDIN</v>
      </c>
      <c r="Z2032" t="str">
        <f>VLOOKUP(C2032,'[1]DBS_KPY Sorumlular'!A:C,3,FALSE)</f>
        <v>Esra DOLAN</v>
      </c>
      <c r="AA2032" t="str">
        <f>VLOOKUP(K2032,[1]!Tablo3[#Data],2,FALSE)</f>
        <v>Kadir TOPÇU</v>
      </c>
    </row>
    <row r="2033" spans="1:27" x14ac:dyDescent="0.25">
      <c r="A2033">
        <v>3385</v>
      </c>
      <c r="B2033" t="s">
        <v>27</v>
      </c>
      <c r="C2033" t="s">
        <v>40</v>
      </c>
      <c r="D2033" t="s">
        <v>41</v>
      </c>
      <c r="G2033" t="s">
        <v>384</v>
      </c>
      <c r="H2033" t="s">
        <v>6932</v>
      </c>
      <c r="I2033" s="4">
        <v>45077.875</v>
      </c>
      <c r="K2033" t="s">
        <v>226</v>
      </c>
      <c r="L2033" s="5"/>
      <c r="M2033" s="5"/>
      <c r="N2033" t="s">
        <v>82</v>
      </c>
      <c r="O2033" t="s">
        <v>6933</v>
      </c>
      <c r="R2033">
        <v>1</v>
      </c>
      <c r="T2033" s="5"/>
      <c r="W2033">
        <v>217</v>
      </c>
      <c r="X2033" t="s">
        <v>5454</v>
      </c>
      <c r="Y2033" t="str">
        <f>VLOOKUP(C2033,'[1]DBS_KPY Sorumlular'!A:C,2,FALSE)</f>
        <v>Mustafa AYDIN</v>
      </c>
      <c r="Z2033" t="str">
        <f>VLOOKUP(C2033,'[1]DBS_KPY Sorumlular'!A:C,3,FALSE)</f>
        <v>Esra DOLAN</v>
      </c>
      <c r="AA2033" t="str">
        <f>VLOOKUP(K2033,[1]!Tablo3[#Data],2,FALSE)</f>
        <v>Kadir TOPÇU</v>
      </c>
    </row>
    <row r="2034" spans="1:27" x14ac:dyDescent="0.25">
      <c r="A2034">
        <v>3386</v>
      </c>
      <c r="B2034" t="s">
        <v>27</v>
      </c>
      <c r="C2034" t="s">
        <v>40</v>
      </c>
      <c r="D2034" t="s">
        <v>41</v>
      </c>
      <c r="G2034" t="s">
        <v>96</v>
      </c>
      <c r="H2034" t="s">
        <v>6934</v>
      </c>
      <c r="I2034" s="4">
        <v>45077.875</v>
      </c>
      <c r="K2034" t="s">
        <v>226</v>
      </c>
      <c r="L2034" s="5"/>
      <c r="M2034" s="5"/>
      <c r="N2034" t="s">
        <v>82</v>
      </c>
      <c r="O2034" t="s">
        <v>6935</v>
      </c>
      <c r="R2034">
        <v>1</v>
      </c>
      <c r="T2034" s="5"/>
      <c r="W2034">
        <v>91</v>
      </c>
      <c r="X2034" t="s">
        <v>101</v>
      </c>
      <c r="Y2034" t="str">
        <f>VLOOKUP(C2034,'[1]DBS_KPY Sorumlular'!A:C,2,FALSE)</f>
        <v>Mustafa AYDIN</v>
      </c>
      <c r="Z2034" t="str">
        <f>VLOOKUP(C2034,'[1]DBS_KPY Sorumlular'!A:C,3,FALSE)</f>
        <v>Esra DOLAN</v>
      </c>
      <c r="AA2034" t="str">
        <f>VLOOKUP(K2034,[1]!Tablo3[#Data],2,FALSE)</f>
        <v>Kadir TOPÇU</v>
      </c>
    </row>
    <row r="2035" spans="1:27" x14ac:dyDescent="0.25">
      <c r="A2035">
        <v>3387</v>
      </c>
      <c r="B2035" t="s">
        <v>27</v>
      </c>
      <c r="C2035" t="s">
        <v>40</v>
      </c>
      <c r="D2035" t="s">
        <v>65</v>
      </c>
      <c r="G2035" t="s">
        <v>67</v>
      </c>
      <c r="H2035" t="s">
        <v>6936</v>
      </c>
      <c r="I2035" s="4">
        <v>45443.875</v>
      </c>
      <c r="K2035" t="s">
        <v>226</v>
      </c>
      <c r="L2035" s="5"/>
      <c r="M2035" s="5"/>
      <c r="N2035" t="s">
        <v>82</v>
      </c>
      <c r="O2035" t="s">
        <v>6937</v>
      </c>
      <c r="R2035">
        <v>1</v>
      </c>
      <c r="T2035" s="5"/>
      <c r="W2035">
        <v>193</v>
      </c>
      <c r="X2035" t="s">
        <v>6938</v>
      </c>
      <c r="Y2035" t="str">
        <f>VLOOKUP(C2035,'[1]DBS_KPY Sorumlular'!A:C,2,FALSE)</f>
        <v>Mustafa AYDIN</v>
      </c>
      <c r="Z2035" t="str">
        <f>VLOOKUP(C2035,'[1]DBS_KPY Sorumlular'!A:C,3,FALSE)</f>
        <v>Esra DOLAN</v>
      </c>
      <c r="AA2035" t="str">
        <f>VLOOKUP(K2035,[1]!Tablo3[#Data],2,FALSE)</f>
        <v>Kadir TOPÇU</v>
      </c>
    </row>
    <row r="2036" spans="1:27" x14ac:dyDescent="0.25">
      <c r="A2036">
        <v>3388</v>
      </c>
      <c r="B2036" t="s">
        <v>27</v>
      </c>
      <c r="C2036" t="s">
        <v>40</v>
      </c>
      <c r="D2036" t="s">
        <v>65</v>
      </c>
      <c r="G2036" t="s">
        <v>67</v>
      </c>
      <c r="H2036" t="s">
        <v>6939</v>
      </c>
      <c r="I2036" s="4">
        <v>45443.875</v>
      </c>
      <c r="K2036" t="s">
        <v>226</v>
      </c>
      <c r="L2036" s="5"/>
      <c r="M2036" s="5"/>
      <c r="N2036" t="s">
        <v>82</v>
      </c>
      <c r="O2036" t="s">
        <v>6940</v>
      </c>
      <c r="R2036">
        <v>1</v>
      </c>
      <c r="T2036" s="5" t="s">
        <v>48</v>
      </c>
      <c r="U2036" t="s">
        <v>6941</v>
      </c>
      <c r="V2036" t="s">
        <v>6942</v>
      </c>
      <c r="W2036">
        <v>203</v>
      </c>
      <c r="X2036" t="s">
        <v>72</v>
      </c>
      <c r="Y2036" t="str">
        <f>VLOOKUP(C2036,'[1]DBS_KPY Sorumlular'!A:C,2,FALSE)</f>
        <v>Mustafa AYDIN</v>
      </c>
      <c r="Z2036" t="str">
        <f>VLOOKUP(C2036,'[1]DBS_KPY Sorumlular'!A:C,3,FALSE)</f>
        <v>Esra DOLAN</v>
      </c>
      <c r="AA2036" t="str">
        <f>VLOOKUP(K2036,[1]!Tablo3[#Data],2,FALSE)</f>
        <v>Kadir TOPÇU</v>
      </c>
    </row>
    <row r="2037" spans="1:27" x14ac:dyDescent="0.25">
      <c r="A2037">
        <v>3389</v>
      </c>
      <c r="B2037" t="s">
        <v>27</v>
      </c>
      <c r="C2037" t="s">
        <v>40</v>
      </c>
      <c r="D2037" t="s">
        <v>65</v>
      </c>
      <c r="G2037" t="s">
        <v>67</v>
      </c>
      <c r="H2037" t="s">
        <v>6943</v>
      </c>
      <c r="I2037" s="4">
        <v>45443.875</v>
      </c>
      <c r="K2037" t="s">
        <v>226</v>
      </c>
      <c r="L2037" s="5"/>
      <c r="M2037" s="5"/>
      <c r="N2037" t="s">
        <v>82</v>
      </c>
      <c r="O2037" t="s">
        <v>6944</v>
      </c>
      <c r="R2037">
        <v>1</v>
      </c>
      <c r="T2037" s="5"/>
      <c r="W2037">
        <v>203</v>
      </c>
      <c r="X2037" t="s">
        <v>72</v>
      </c>
      <c r="Y2037" t="str">
        <f>VLOOKUP(C2037,'[1]DBS_KPY Sorumlular'!A:C,2,FALSE)</f>
        <v>Mustafa AYDIN</v>
      </c>
      <c r="Z2037" t="str">
        <f>VLOOKUP(C2037,'[1]DBS_KPY Sorumlular'!A:C,3,FALSE)</f>
        <v>Esra DOLAN</v>
      </c>
      <c r="AA2037" t="str">
        <f>VLOOKUP(K2037,[1]!Tablo3[#Data],2,FALSE)</f>
        <v>Kadir TOPÇU</v>
      </c>
    </row>
    <row r="2038" spans="1:27" x14ac:dyDescent="0.25">
      <c r="A2038">
        <v>3390</v>
      </c>
      <c r="B2038" t="s">
        <v>27</v>
      </c>
      <c r="C2038" t="s">
        <v>40</v>
      </c>
      <c r="D2038" t="s">
        <v>41</v>
      </c>
      <c r="G2038" t="s">
        <v>67</v>
      </c>
      <c r="H2038" t="s">
        <v>6945</v>
      </c>
      <c r="I2038" s="4">
        <v>43616.875</v>
      </c>
      <c r="K2038" t="s">
        <v>534</v>
      </c>
      <c r="L2038" s="5"/>
      <c r="M2038" s="5"/>
      <c r="N2038" t="s">
        <v>82</v>
      </c>
      <c r="O2038" t="s">
        <v>6946</v>
      </c>
      <c r="R2038">
        <v>1</v>
      </c>
      <c r="T2038" s="5"/>
      <c r="W2038">
        <v>203</v>
      </c>
      <c r="X2038" t="s">
        <v>72</v>
      </c>
      <c r="Y2038" t="str">
        <f>VLOOKUP(C2038,'[1]DBS_KPY Sorumlular'!A:C,2,FALSE)</f>
        <v>Mustafa AYDIN</v>
      </c>
      <c r="Z2038" t="str">
        <f>VLOOKUP(C2038,'[1]DBS_KPY Sorumlular'!A:C,3,FALSE)</f>
        <v>Esra DOLAN</v>
      </c>
      <c r="AA2038" t="str">
        <f>VLOOKUP(K2038,[1]!Tablo3[#Data],2,FALSE)</f>
        <v>Erkan AKDOĞAN</v>
      </c>
    </row>
    <row r="2039" spans="1:27" x14ac:dyDescent="0.25">
      <c r="A2039">
        <v>3391</v>
      </c>
      <c r="B2039" t="s">
        <v>27</v>
      </c>
      <c r="C2039" t="s">
        <v>40</v>
      </c>
      <c r="D2039" t="s">
        <v>41</v>
      </c>
      <c r="G2039" t="s">
        <v>43</v>
      </c>
      <c r="H2039" t="s">
        <v>6947</v>
      </c>
      <c r="I2039" s="4">
        <v>43982.875</v>
      </c>
      <c r="K2039" t="s">
        <v>534</v>
      </c>
      <c r="L2039" s="5"/>
      <c r="M2039" s="5"/>
      <c r="N2039" t="s">
        <v>82</v>
      </c>
      <c r="O2039" t="s">
        <v>6948</v>
      </c>
      <c r="R2039">
        <v>1</v>
      </c>
      <c r="T2039" s="5"/>
      <c r="W2039">
        <v>86</v>
      </c>
      <c r="X2039" t="s">
        <v>189</v>
      </c>
      <c r="Y2039" t="str">
        <f>VLOOKUP(C2039,'[1]DBS_KPY Sorumlular'!A:C,2,FALSE)</f>
        <v>Mustafa AYDIN</v>
      </c>
      <c r="Z2039" t="str">
        <f>VLOOKUP(C2039,'[1]DBS_KPY Sorumlular'!A:C,3,FALSE)</f>
        <v>Esra DOLAN</v>
      </c>
      <c r="AA2039" t="str">
        <f>VLOOKUP(K2039,[1]!Tablo3[#Data],2,FALSE)</f>
        <v>Erkan AKDOĞAN</v>
      </c>
    </row>
    <row r="2040" spans="1:27" x14ac:dyDescent="0.25">
      <c r="A2040">
        <v>3392</v>
      </c>
      <c r="B2040" t="s">
        <v>27</v>
      </c>
      <c r="C2040" t="s">
        <v>40</v>
      </c>
      <c r="D2040" t="s">
        <v>41</v>
      </c>
      <c r="G2040" t="s">
        <v>67</v>
      </c>
      <c r="H2040" t="s">
        <v>6949</v>
      </c>
      <c r="I2040" s="4">
        <v>44347.875</v>
      </c>
      <c r="J2040" t="s">
        <v>6950</v>
      </c>
      <c r="K2040" t="s">
        <v>534</v>
      </c>
      <c r="L2040" s="5"/>
      <c r="M2040" s="5"/>
      <c r="N2040" t="s">
        <v>82</v>
      </c>
      <c r="O2040" t="s">
        <v>6951</v>
      </c>
      <c r="R2040">
        <v>1</v>
      </c>
      <c r="T2040" s="5"/>
      <c r="W2040">
        <v>203</v>
      </c>
      <c r="X2040" t="s">
        <v>72</v>
      </c>
      <c r="Y2040" t="str">
        <f>VLOOKUP(C2040,'[1]DBS_KPY Sorumlular'!A:C,2,FALSE)</f>
        <v>Mustafa AYDIN</v>
      </c>
      <c r="Z2040" t="str">
        <f>VLOOKUP(C2040,'[1]DBS_KPY Sorumlular'!A:C,3,FALSE)</f>
        <v>Esra DOLAN</v>
      </c>
      <c r="AA2040" t="str">
        <f>VLOOKUP(K2040,[1]!Tablo3[#Data],2,FALSE)</f>
        <v>Erkan AKDOĞAN</v>
      </c>
    </row>
    <row r="2041" spans="1:27" x14ac:dyDescent="0.25">
      <c r="A2041">
        <v>3393</v>
      </c>
      <c r="B2041" t="s">
        <v>27</v>
      </c>
      <c r="C2041" t="s">
        <v>40</v>
      </c>
      <c r="D2041" t="s">
        <v>41</v>
      </c>
      <c r="G2041" t="s">
        <v>43</v>
      </c>
      <c r="H2041" t="s">
        <v>6952</v>
      </c>
      <c r="I2041" s="4">
        <v>44347.875</v>
      </c>
      <c r="K2041" t="s">
        <v>534</v>
      </c>
      <c r="L2041" s="5"/>
      <c r="M2041" s="5"/>
      <c r="N2041" t="s">
        <v>82</v>
      </c>
      <c r="O2041" t="s">
        <v>6953</v>
      </c>
      <c r="R2041">
        <v>1</v>
      </c>
      <c r="T2041" s="5"/>
      <c r="W2041">
        <v>137</v>
      </c>
      <c r="X2041" t="s">
        <v>125</v>
      </c>
      <c r="Y2041" t="str">
        <f>VLOOKUP(C2041,'[1]DBS_KPY Sorumlular'!A:C,2,FALSE)</f>
        <v>Mustafa AYDIN</v>
      </c>
      <c r="Z2041" t="str">
        <f>VLOOKUP(C2041,'[1]DBS_KPY Sorumlular'!A:C,3,FALSE)</f>
        <v>Esra DOLAN</v>
      </c>
      <c r="AA2041" t="str">
        <f>VLOOKUP(K2041,[1]!Tablo3[#Data],2,FALSE)</f>
        <v>Erkan AKDOĞAN</v>
      </c>
    </row>
    <row r="2042" spans="1:27" x14ac:dyDescent="0.25">
      <c r="A2042">
        <v>3394</v>
      </c>
      <c r="B2042" t="s">
        <v>27</v>
      </c>
      <c r="C2042" t="s">
        <v>40</v>
      </c>
      <c r="D2042" t="s">
        <v>41</v>
      </c>
      <c r="G2042" t="s">
        <v>43</v>
      </c>
      <c r="H2042" t="s">
        <v>6954</v>
      </c>
      <c r="I2042" s="4">
        <v>44347.875</v>
      </c>
      <c r="K2042" t="s">
        <v>534</v>
      </c>
      <c r="L2042" s="5"/>
      <c r="M2042" s="5"/>
      <c r="N2042" t="s">
        <v>82</v>
      </c>
      <c r="O2042" t="s">
        <v>6955</v>
      </c>
      <c r="R2042">
        <v>1</v>
      </c>
      <c r="T2042" s="5"/>
      <c r="W2042">
        <v>108</v>
      </c>
      <c r="X2042" t="s">
        <v>107</v>
      </c>
      <c r="Y2042" t="str">
        <f>VLOOKUP(C2042,'[1]DBS_KPY Sorumlular'!A:C,2,FALSE)</f>
        <v>Mustafa AYDIN</v>
      </c>
      <c r="Z2042" t="str">
        <f>VLOOKUP(C2042,'[1]DBS_KPY Sorumlular'!A:C,3,FALSE)</f>
        <v>Esra DOLAN</v>
      </c>
      <c r="AA2042" t="str">
        <f>VLOOKUP(K2042,[1]!Tablo3[#Data],2,FALSE)</f>
        <v>Erkan AKDOĞAN</v>
      </c>
    </row>
    <row r="2043" spans="1:27" x14ac:dyDescent="0.25">
      <c r="A2043">
        <v>3395</v>
      </c>
      <c r="B2043" t="s">
        <v>27</v>
      </c>
      <c r="C2043" t="s">
        <v>40</v>
      </c>
      <c r="D2043" t="s">
        <v>41</v>
      </c>
      <c r="G2043" t="s">
        <v>43</v>
      </c>
      <c r="H2043" t="s">
        <v>6956</v>
      </c>
      <c r="I2043" s="4">
        <v>44712.875</v>
      </c>
      <c r="K2043" t="s">
        <v>534</v>
      </c>
      <c r="L2043" s="5"/>
      <c r="M2043" s="5"/>
      <c r="N2043" t="s">
        <v>82</v>
      </c>
      <c r="O2043" t="s">
        <v>6957</v>
      </c>
      <c r="R2043">
        <v>1</v>
      </c>
      <c r="T2043" s="5"/>
      <c r="W2043">
        <v>5</v>
      </c>
      <c r="X2043" t="s">
        <v>4528</v>
      </c>
      <c r="Y2043" t="str">
        <f>VLOOKUP(C2043,'[1]DBS_KPY Sorumlular'!A:C,2,FALSE)</f>
        <v>Mustafa AYDIN</v>
      </c>
      <c r="Z2043" t="str">
        <f>VLOOKUP(C2043,'[1]DBS_KPY Sorumlular'!A:C,3,FALSE)</f>
        <v>Esra DOLAN</v>
      </c>
      <c r="AA2043" t="str">
        <f>VLOOKUP(K2043,[1]!Tablo3[#Data],2,FALSE)</f>
        <v>Erkan AKDOĞAN</v>
      </c>
    </row>
    <row r="2044" spans="1:27" x14ac:dyDescent="0.25">
      <c r="A2044">
        <v>3396</v>
      </c>
      <c r="B2044" t="s">
        <v>27</v>
      </c>
      <c r="C2044" t="s">
        <v>40</v>
      </c>
      <c r="D2044" t="s">
        <v>41</v>
      </c>
      <c r="G2044" t="s">
        <v>96</v>
      </c>
      <c r="H2044" t="s">
        <v>6958</v>
      </c>
      <c r="I2044" s="4">
        <v>44712.875</v>
      </c>
      <c r="K2044" t="s">
        <v>534</v>
      </c>
      <c r="L2044" s="5"/>
      <c r="M2044" s="5"/>
      <c r="N2044" t="s">
        <v>82</v>
      </c>
      <c r="O2044" t="s">
        <v>6957</v>
      </c>
      <c r="R2044">
        <v>1</v>
      </c>
      <c r="T2044" s="5"/>
      <c r="W2044">
        <v>91</v>
      </c>
      <c r="X2044" t="s">
        <v>101</v>
      </c>
      <c r="Y2044" t="str">
        <f>VLOOKUP(C2044,'[1]DBS_KPY Sorumlular'!A:C,2,FALSE)</f>
        <v>Mustafa AYDIN</v>
      </c>
      <c r="Z2044" t="str">
        <f>VLOOKUP(C2044,'[1]DBS_KPY Sorumlular'!A:C,3,FALSE)</f>
        <v>Esra DOLAN</v>
      </c>
      <c r="AA2044" t="str">
        <f>VLOOKUP(K2044,[1]!Tablo3[#Data],2,FALSE)</f>
        <v>Erkan AKDOĞAN</v>
      </c>
    </row>
    <row r="2045" spans="1:27" x14ac:dyDescent="0.25">
      <c r="A2045">
        <v>3397</v>
      </c>
      <c r="B2045" t="s">
        <v>27</v>
      </c>
      <c r="C2045" t="s">
        <v>40</v>
      </c>
      <c r="D2045" t="s">
        <v>41</v>
      </c>
      <c r="G2045" t="s">
        <v>43</v>
      </c>
      <c r="H2045" t="s">
        <v>6959</v>
      </c>
      <c r="I2045" s="4">
        <v>45077.875</v>
      </c>
      <c r="K2045" t="s">
        <v>534</v>
      </c>
      <c r="L2045" s="5"/>
      <c r="M2045" s="5"/>
      <c r="N2045" t="s">
        <v>82</v>
      </c>
      <c r="O2045" t="s">
        <v>6960</v>
      </c>
      <c r="R2045">
        <v>1</v>
      </c>
      <c r="T2045" s="5"/>
      <c r="W2045">
        <v>108</v>
      </c>
      <c r="X2045" t="s">
        <v>107</v>
      </c>
      <c r="Y2045" t="str">
        <f>VLOOKUP(C2045,'[1]DBS_KPY Sorumlular'!A:C,2,FALSE)</f>
        <v>Mustafa AYDIN</v>
      </c>
      <c r="Z2045" t="str">
        <f>VLOOKUP(C2045,'[1]DBS_KPY Sorumlular'!A:C,3,FALSE)</f>
        <v>Esra DOLAN</v>
      </c>
      <c r="AA2045" t="str">
        <f>VLOOKUP(K2045,[1]!Tablo3[#Data],2,FALSE)</f>
        <v>Erkan AKDOĞAN</v>
      </c>
    </row>
    <row r="2046" spans="1:27" x14ac:dyDescent="0.25">
      <c r="A2046">
        <v>3398</v>
      </c>
      <c r="B2046" t="s">
        <v>27</v>
      </c>
      <c r="C2046" t="s">
        <v>40</v>
      </c>
      <c r="D2046" t="s">
        <v>41</v>
      </c>
      <c r="G2046" t="s">
        <v>67</v>
      </c>
      <c r="H2046" t="s">
        <v>6961</v>
      </c>
      <c r="I2046" s="4">
        <v>45077.875</v>
      </c>
      <c r="K2046" t="s">
        <v>534</v>
      </c>
      <c r="L2046" s="5"/>
      <c r="M2046" s="5"/>
      <c r="N2046" t="s">
        <v>82</v>
      </c>
      <c r="O2046" t="s">
        <v>6962</v>
      </c>
      <c r="R2046">
        <v>1</v>
      </c>
      <c r="T2046" s="5"/>
      <c r="W2046">
        <v>203</v>
      </c>
      <c r="X2046" t="s">
        <v>72</v>
      </c>
      <c r="Y2046" t="str">
        <f>VLOOKUP(C2046,'[1]DBS_KPY Sorumlular'!A:C,2,FALSE)</f>
        <v>Mustafa AYDIN</v>
      </c>
      <c r="Z2046" t="str">
        <f>VLOOKUP(C2046,'[1]DBS_KPY Sorumlular'!A:C,3,FALSE)</f>
        <v>Esra DOLAN</v>
      </c>
      <c r="AA2046" t="str">
        <f>VLOOKUP(K2046,[1]!Tablo3[#Data],2,FALSE)</f>
        <v>Erkan AKDOĞAN</v>
      </c>
    </row>
    <row r="2047" spans="1:27" x14ac:dyDescent="0.25">
      <c r="A2047">
        <v>3399</v>
      </c>
      <c r="B2047" t="s">
        <v>27</v>
      </c>
      <c r="C2047" t="s">
        <v>40</v>
      </c>
      <c r="D2047" t="s">
        <v>41</v>
      </c>
      <c r="G2047" t="s">
        <v>43</v>
      </c>
      <c r="H2047" t="s">
        <v>6963</v>
      </c>
      <c r="I2047" s="4">
        <v>45077.875</v>
      </c>
      <c r="K2047" t="s">
        <v>534</v>
      </c>
      <c r="L2047" s="5"/>
      <c r="M2047" s="5"/>
      <c r="N2047" t="s">
        <v>82</v>
      </c>
      <c r="O2047" t="s">
        <v>6964</v>
      </c>
      <c r="R2047">
        <v>1</v>
      </c>
      <c r="T2047" s="5"/>
      <c r="W2047">
        <v>108</v>
      </c>
      <c r="X2047" t="s">
        <v>107</v>
      </c>
      <c r="Y2047" t="str">
        <f>VLOOKUP(C2047,'[1]DBS_KPY Sorumlular'!A:C,2,FALSE)</f>
        <v>Mustafa AYDIN</v>
      </c>
      <c r="Z2047" t="str">
        <f>VLOOKUP(C2047,'[1]DBS_KPY Sorumlular'!A:C,3,FALSE)</f>
        <v>Esra DOLAN</v>
      </c>
      <c r="AA2047" t="str">
        <f>VLOOKUP(K2047,[1]!Tablo3[#Data],2,FALSE)</f>
        <v>Erkan AKDOĞAN</v>
      </c>
    </row>
    <row r="2048" spans="1:27" x14ac:dyDescent="0.25">
      <c r="A2048">
        <v>3400</v>
      </c>
      <c r="B2048" t="s">
        <v>27</v>
      </c>
      <c r="C2048" t="s">
        <v>40</v>
      </c>
      <c r="D2048" t="s">
        <v>41</v>
      </c>
      <c r="G2048" t="s">
        <v>67</v>
      </c>
      <c r="H2048" t="s">
        <v>6965</v>
      </c>
      <c r="I2048" s="4">
        <v>45077.875</v>
      </c>
      <c r="K2048" t="s">
        <v>534</v>
      </c>
      <c r="L2048" s="5"/>
      <c r="M2048" s="5"/>
      <c r="N2048" t="s">
        <v>82</v>
      </c>
      <c r="O2048" t="s">
        <v>6966</v>
      </c>
      <c r="R2048">
        <v>1</v>
      </c>
      <c r="T2048" s="5"/>
      <c r="W2048">
        <v>203</v>
      </c>
      <c r="X2048" t="s">
        <v>72</v>
      </c>
      <c r="Y2048" t="str">
        <f>VLOOKUP(C2048,'[1]DBS_KPY Sorumlular'!A:C,2,FALSE)</f>
        <v>Mustafa AYDIN</v>
      </c>
      <c r="Z2048" t="str">
        <f>VLOOKUP(C2048,'[1]DBS_KPY Sorumlular'!A:C,3,FALSE)</f>
        <v>Esra DOLAN</v>
      </c>
      <c r="AA2048" t="str">
        <f>VLOOKUP(K2048,[1]!Tablo3[#Data],2,FALSE)</f>
        <v>Erkan AKDOĞAN</v>
      </c>
    </row>
    <row r="2049" spans="1:27" x14ac:dyDescent="0.25">
      <c r="A2049">
        <v>3401</v>
      </c>
      <c r="B2049" t="s">
        <v>27</v>
      </c>
      <c r="C2049" t="s">
        <v>40</v>
      </c>
      <c r="D2049" t="s">
        <v>41</v>
      </c>
      <c r="G2049" t="s">
        <v>67</v>
      </c>
      <c r="H2049" t="s">
        <v>6967</v>
      </c>
      <c r="I2049" s="4">
        <v>45077.875</v>
      </c>
      <c r="K2049" t="s">
        <v>534</v>
      </c>
      <c r="L2049" s="5"/>
      <c r="M2049" s="5"/>
      <c r="N2049" t="s">
        <v>82</v>
      </c>
      <c r="O2049" t="s">
        <v>6968</v>
      </c>
      <c r="R2049">
        <v>1</v>
      </c>
      <c r="T2049" s="5"/>
      <c r="W2049">
        <v>203</v>
      </c>
      <c r="X2049" t="s">
        <v>72</v>
      </c>
      <c r="Y2049" t="str">
        <f>VLOOKUP(C2049,'[1]DBS_KPY Sorumlular'!A:C,2,FALSE)</f>
        <v>Mustafa AYDIN</v>
      </c>
      <c r="Z2049" t="str">
        <f>VLOOKUP(C2049,'[1]DBS_KPY Sorumlular'!A:C,3,FALSE)</f>
        <v>Esra DOLAN</v>
      </c>
      <c r="AA2049" t="str">
        <f>VLOOKUP(K2049,[1]!Tablo3[#Data],2,FALSE)</f>
        <v>Erkan AKDOĞAN</v>
      </c>
    </row>
    <row r="2050" spans="1:27" x14ac:dyDescent="0.25">
      <c r="A2050">
        <v>3402</v>
      </c>
      <c r="B2050" t="s">
        <v>27</v>
      </c>
      <c r="C2050" t="s">
        <v>40</v>
      </c>
      <c r="D2050" t="s">
        <v>41</v>
      </c>
      <c r="G2050" t="s">
        <v>67</v>
      </c>
      <c r="H2050" t="s">
        <v>6969</v>
      </c>
      <c r="I2050" s="4">
        <v>45443.875</v>
      </c>
      <c r="K2050" t="s">
        <v>534</v>
      </c>
      <c r="L2050" s="5"/>
      <c r="M2050" s="5"/>
      <c r="N2050" t="s">
        <v>82</v>
      </c>
      <c r="O2050" t="s">
        <v>6970</v>
      </c>
      <c r="R2050">
        <v>1</v>
      </c>
      <c r="T2050" s="5"/>
      <c r="W2050">
        <v>104</v>
      </c>
      <c r="X2050" t="s">
        <v>703</v>
      </c>
      <c r="Y2050" t="str">
        <f>VLOOKUP(C2050,'[1]DBS_KPY Sorumlular'!A:C,2,FALSE)</f>
        <v>Mustafa AYDIN</v>
      </c>
      <c r="Z2050" t="str">
        <f>VLOOKUP(C2050,'[1]DBS_KPY Sorumlular'!A:C,3,FALSE)</f>
        <v>Esra DOLAN</v>
      </c>
      <c r="AA2050" t="str">
        <f>VLOOKUP(K2050,[1]!Tablo3[#Data],2,FALSE)</f>
        <v>Erkan AKDOĞAN</v>
      </c>
    </row>
    <row r="2051" spans="1:27" x14ac:dyDescent="0.25">
      <c r="A2051">
        <v>3403</v>
      </c>
      <c r="B2051" t="s">
        <v>27</v>
      </c>
      <c r="C2051" t="s">
        <v>40</v>
      </c>
      <c r="D2051" t="s">
        <v>41</v>
      </c>
      <c r="G2051" t="s">
        <v>43</v>
      </c>
      <c r="H2051" t="s">
        <v>6971</v>
      </c>
      <c r="I2051" s="4">
        <v>44347.875</v>
      </c>
      <c r="K2051" t="s">
        <v>568</v>
      </c>
      <c r="L2051" s="5"/>
      <c r="M2051" s="5"/>
      <c r="N2051" t="s">
        <v>82</v>
      </c>
      <c r="O2051" t="s">
        <v>6972</v>
      </c>
      <c r="R2051">
        <v>1</v>
      </c>
      <c r="T2051" s="5"/>
      <c r="W2051">
        <v>137</v>
      </c>
      <c r="X2051" t="s">
        <v>125</v>
      </c>
      <c r="Y2051" t="str">
        <f>VLOOKUP(C2051,'[1]DBS_KPY Sorumlular'!A:C,2,FALSE)</f>
        <v>Mustafa AYDIN</v>
      </c>
      <c r="Z2051" t="str">
        <f>VLOOKUP(C2051,'[1]DBS_KPY Sorumlular'!A:C,3,FALSE)</f>
        <v>Esra DOLAN</v>
      </c>
      <c r="AA2051" t="str">
        <f>VLOOKUP(K2051,[1]!Tablo3[#Data],2,FALSE)</f>
        <v>Erkan AKDOĞAN</v>
      </c>
    </row>
    <row r="2052" spans="1:27" x14ac:dyDescent="0.25">
      <c r="A2052">
        <v>3404</v>
      </c>
      <c r="B2052" t="s">
        <v>27</v>
      </c>
      <c r="C2052" t="s">
        <v>40</v>
      </c>
      <c r="D2052" t="s">
        <v>41</v>
      </c>
      <c r="G2052" t="s">
        <v>43</v>
      </c>
      <c r="H2052" t="s">
        <v>6973</v>
      </c>
      <c r="I2052" s="4">
        <v>44347.875</v>
      </c>
      <c r="K2052" t="s">
        <v>568</v>
      </c>
      <c r="L2052" s="5"/>
      <c r="M2052" s="5"/>
      <c r="N2052" t="s">
        <v>82</v>
      </c>
      <c r="O2052" t="s">
        <v>6974</v>
      </c>
      <c r="R2052">
        <v>1</v>
      </c>
      <c r="T2052" s="5"/>
      <c r="W2052">
        <v>194</v>
      </c>
      <c r="X2052" t="s">
        <v>6975</v>
      </c>
      <c r="Y2052" t="str">
        <f>VLOOKUP(C2052,'[1]DBS_KPY Sorumlular'!A:C,2,FALSE)</f>
        <v>Mustafa AYDIN</v>
      </c>
      <c r="Z2052" t="str">
        <f>VLOOKUP(C2052,'[1]DBS_KPY Sorumlular'!A:C,3,FALSE)</f>
        <v>Esra DOLAN</v>
      </c>
      <c r="AA2052" t="str">
        <f>VLOOKUP(K2052,[1]!Tablo3[#Data],2,FALSE)</f>
        <v>Erkan AKDOĞAN</v>
      </c>
    </row>
    <row r="2053" spans="1:27" x14ac:dyDescent="0.25">
      <c r="A2053">
        <v>3405</v>
      </c>
      <c r="B2053" t="s">
        <v>27</v>
      </c>
      <c r="C2053" t="s">
        <v>40</v>
      </c>
      <c r="D2053" t="s">
        <v>41</v>
      </c>
      <c r="G2053" t="s">
        <v>43</v>
      </c>
      <c r="H2053" t="s">
        <v>6976</v>
      </c>
      <c r="I2053" s="4">
        <v>44347.875</v>
      </c>
      <c r="K2053" t="s">
        <v>568</v>
      </c>
      <c r="L2053" s="5"/>
      <c r="M2053" s="5"/>
      <c r="N2053" t="s">
        <v>82</v>
      </c>
      <c r="O2053" t="s">
        <v>6977</v>
      </c>
      <c r="R2053">
        <v>1</v>
      </c>
      <c r="T2053" s="5"/>
      <c r="W2053">
        <v>108</v>
      </c>
      <c r="X2053" t="s">
        <v>107</v>
      </c>
      <c r="Y2053" t="str">
        <f>VLOOKUP(C2053,'[1]DBS_KPY Sorumlular'!A:C,2,FALSE)</f>
        <v>Mustafa AYDIN</v>
      </c>
      <c r="Z2053" t="str">
        <f>VLOOKUP(C2053,'[1]DBS_KPY Sorumlular'!A:C,3,FALSE)</f>
        <v>Esra DOLAN</v>
      </c>
      <c r="AA2053" t="str">
        <f>VLOOKUP(K2053,[1]!Tablo3[#Data],2,FALSE)</f>
        <v>Erkan AKDOĞAN</v>
      </c>
    </row>
    <row r="2054" spans="1:27" x14ac:dyDescent="0.25">
      <c r="A2054">
        <v>3406</v>
      </c>
      <c r="B2054" t="s">
        <v>27</v>
      </c>
      <c r="C2054" t="s">
        <v>40</v>
      </c>
      <c r="D2054" t="s">
        <v>41</v>
      </c>
      <c r="G2054" t="s">
        <v>43</v>
      </c>
      <c r="H2054" t="s">
        <v>6978</v>
      </c>
      <c r="I2054" s="4">
        <v>43616.875</v>
      </c>
      <c r="K2054" t="s">
        <v>586</v>
      </c>
      <c r="L2054" s="5"/>
      <c r="M2054" s="5"/>
      <c r="N2054" t="s">
        <v>82</v>
      </c>
      <c r="O2054" t="s">
        <v>6979</v>
      </c>
      <c r="R2054">
        <v>1</v>
      </c>
      <c r="T2054" s="5"/>
      <c r="W2054">
        <v>114</v>
      </c>
      <c r="X2054" t="s">
        <v>136</v>
      </c>
      <c r="Y2054" t="str">
        <f>VLOOKUP(C2054,'[1]DBS_KPY Sorumlular'!A:C,2,FALSE)</f>
        <v>Mustafa AYDIN</v>
      </c>
      <c r="Z2054" t="str">
        <f>VLOOKUP(C2054,'[1]DBS_KPY Sorumlular'!A:C,3,FALSE)</f>
        <v>Esra DOLAN</v>
      </c>
      <c r="AA2054" t="str">
        <f>VLOOKUP(K2054,[1]!Tablo3[#Data],2,FALSE)</f>
        <v>Tayfun VİÇE</v>
      </c>
    </row>
    <row r="2055" spans="1:27" x14ac:dyDescent="0.25">
      <c r="A2055">
        <v>3407</v>
      </c>
      <c r="B2055" t="s">
        <v>27</v>
      </c>
      <c r="C2055" t="s">
        <v>40</v>
      </c>
      <c r="D2055" t="s">
        <v>41</v>
      </c>
      <c r="G2055" t="s">
        <v>43</v>
      </c>
      <c r="H2055" t="s">
        <v>6980</v>
      </c>
      <c r="I2055" s="4">
        <v>43616.875</v>
      </c>
      <c r="K2055" t="s">
        <v>586</v>
      </c>
      <c r="L2055" s="5"/>
      <c r="M2055" s="5"/>
      <c r="N2055" t="s">
        <v>82</v>
      </c>
      <c r="O2055" t="s">
        <v>6979</v>
      </c>
      <c r="R2055">
        <v>1</v>
      </c>
      <c r="T2055" s="5"/>
      <c r="W2055">
        <v>86</v>
      </c>
      <c r="X2055" t="s">
        <v>189</v>
      </c>
      <c r="Y2055" t="str">
        <f>VLOOKUP(C2055,'[1]DBS_KPY Sorumlular'!A:C,2,FALSE)</f>
        <v>Mustafa AYDIN</v>
      </c>
      <c r="Z2055" t="str">
        <f>VLOOKUP(C2055,'[1]DBS_KPY Sorumlular'!A:C,3,FALSE)</f>
        <v>Esra DOLAN</v>
      </c>
      <c r="AA2055" t="str">
        <f>VLOOKUP(K2055,[1]!Tablo3[#Data],2,FALSE)</f>
        <v>Tayfun VİÇE</v>
      </c>
    </row>
    <row r="2056" spans="1:27" x14ac:dyDescent="0.25">
      <c r="A2056">
        <v>3408</v>
      </c>
      <c r="B2056" t="s">
        <v>27</v>
      </c>
      <c r="C2056" t="s">
        <v>40</v>
      </c>
      <c r="D2056" t="s">
        <v>41</v>
      </c>
      <c r="G2056" t="s">
        <v>43</v>
      </c>
      <c r="H2056" t="s">
        <v>6981</v>
      </c>
      <c r="I2056" s="4">
        <v>43616.875</v>
      </c>
      <c r="K2056" t="s">
        <v>586</v>
      </c>
      <c r="L2056" s="5"/>
      <c r="M2056" s="5"/>
      <c r="N2056" t="s">
        <v>82</v>
      </c>
      <c r="O2056" t="s">
        <v>6982</v>
      </c>
      <c r="R2056">
        <v>1</v>
      </c>
      <c r="T2056" s="5"/>
      <c r="W2056">
        <v>106</v>
      </c>
      <c r="X2056" t="s">
        <v>6983</v>
      </c>
      <c r="Y2056" t="str">
        <f>VLOOKUP(C2056,'[1]DBS_KPY Sorumlular'!A:C,2,FALSE)</f>
        <v>Mustafa AYDIN</v>
      </c>
      <c r="Z2056" t="str">
        <f>VLOOKUP(C2056,'[1]DBS_KPY Sorumlular'!A:C,3,FALSE)</f>
        <v>Esra DOLAN</v>
      </c>
      <c r="AA2056" t="str">
        <f>VLOOKUP(K2056,[1]!Tablo3[#Data],2,FALSE)</f>
        <v>Tayfun VİÇE</v>
      </c>
    </row>
    <row r="2057" spans="1:27" x14ac:dyDescent="0.25">
      <c r="A2057">
        <v>3409</v>
      </c>
      <c r="B2057" t="s">
        <v>27</v>
      </c>
      <c r="C2057" t="s">
        <v>40</v>
      </c>
      <c r="D2057" t="s">
        <v>41</v>
      </c>
      <c r="G2057" t="s">
        <v>43</v>
      </c>
      <c r="H2057" t="s">
        <v>6984</v>
      </c>
      <c r="I2057" s="4">
        <v>44347.875</v>
      </c>
      <c r="K2057" t="s">
        <v>586</v>
      </c>
      <c r="L2057" s="5"/>
      <c r="M2057" s="5"/>
      <c r="N2057" t="s">
        <v>82</v>
      </c>
      <c r="O2057" t="s">
        <v>6985</v>
      </c>
      <c r="R2057">
        <v>1</v>
      </c>
      <c r="T2057" s="5"/>
      <c r="W2057">
        <v>86</v>
      </c>
      <c r="X2057" t="s">
        <v>189</v>
      </c>
      <c r="Y2057" t="str">
        <f>VLOOKUP(C2057,'[1]DBS_KPY Sorumlular'!A:C,2,FALSE)</f>
        <v>Mustafa AYDIN</v>
      </c>
      <c r="Z2057" t="str">
        <f>VLOOKUP(C2057,'[1]DBS_KPY Sorumlular'!A:C,3,FALSE)</f>
        <v>Esra DOLAN</v>
      </c>
      <c r="AA2057" t="str">
        <f>VLOOKUP(K2057,[1]!Tablo3[#Data],2,FALSE)</f>
        <v>Tayfun VİÇE</v>
      </c>
    </row>
    <row r="2058" spans="1:27" x14ac:dyDescent="0.25">
      <c r="A2058">
        <v>3410</v>
      </c>
      <c r="B2058" t="s">
        <v>27</v>
      </c>
      <c r="C2058" t="s">
        <v>40</v>
      </c>
      <c r="D2058" t="s">
        <v>41</v>
      </c>
      <c r="G2058" t="s">
        <v>43</v>
      </c>
      <c r="H2058" t="s">
        <v>6986</v>
      </c>
      <c r="I2058" s="4">
        <v>45077.875</v>
      </c>
      <c r="K2058" t="s">
        <v>586</v>
      </c>
      <c r="L2058" s="5"/>
      <c r="M2058" s="5"/>
      <c r="N2058" t="s">
        <v>82</v>
      </c>
      <c r="O2058" t="s">
        <v>6987</v>
      </c>
      <c r="R2058">
        <v>1</v>
      </c>
      <c r="T2058" s="5"/>
      <c r="W2058">
        <v>73</v>
      </c>
      <c r="X2058" t="s">
        <v>1198</v>
      </c>
      <c r="Y2058" t="str">
        <f>VLOOKUP(C2058,'[1]DBS_KPY Sorumlular'!A:C,2,FALSE)</f>
        <v>Mustafa AYDIN</v>
      </c>
      <c r="Z2058" t="str">
        <f>VLOOKUP(C2058,'[1]DBS_KPY Sorumlular'!A:C,3,FALSE)</f>
        <v>Esra DOLAN</v>
      </c>
      <c r="AA2058" t="str">
        <f>VLOOKUP(K2058,[1]!Tablo3[#Data],2,FALSE)</f>
        <v>Tayfun VİÇE</v>
      </c>
    </row>
    <row r="2059" spans="1:27" x14ac:dyDescent="0.25">
      <c r="A2059">
        <v>3411</v>
      </c>
      <c r="B2059" t="s">
        <v>27</v>
      </c>
      <c r="C2059" t="s">
        <v>40</v>
      </c>
      <c r="D2059" t="s">
        <v>41</v>
      </c>
      <c r="G2059" t="s">
        <v>67</v>
      </c>
      <c r="H2059" t="s">
        <v>6988</v>
      </c>
      <c r="I2059" s="4">
        <v>45077.875</v>
      </c>
      <c r="K2059" t="s">
        <v>586</v>
      </c>
      <c r="L2059" s="5"/>
      <c r="M2059" s="5"/>
      <c r="N2059" t="s">
        <v>82</v>
      </c>
      <c r="O2059" t="s">
        <v>6989</v>
      </c>
      <c r="R2059">
        <v>1</v>
      </c>
      <c r="T2059" s="5"/>
      <c r="W2059">
        <v>203</v>
      </c>
      <c r="X2059" t="s">
        <v>72</v>
      </c>
      <c r="Y2059" t="str">
        <f>VLOOKUP(C2059,'[1]DBS_KPY Sorumlular'!A:C,2,FALSE)</f>
        <v>Mustafa AYDIN</v>
      </c>
      <c r="Z2059" t="str">
        <f>VLOOKUP(C2059,'[1]DBS_KPY Sorumlular'!A:C,3,FALSE)</f>
        <v>Esra DOLAN</v>
      </c>
      <c r="AA2059" t="str">
        <f>VLOOKUP(K2059,[1]!Tablo3[#Data],2,FALSE)</f>
        <v>Tayfun VİÇE</v>
      </c>
    </row>
    <row r="2060" spans="1:27" x14ac:dyDescent="0.25">
      <c r="A2060">
        <v>3412</v>
      </c>
      <c r="B2060" t="s">
        <v>27</v>
      </c>
      <c r="C2060" t="s">
        <v>40</v>
      </c>
      <c r="D2060" t="s">
        <v>65</v>
      </c>
      <c r="G2060" t="s">
        <v>67</v>
      </c>
      <c r="H2060" t="s">
        <v>6990</v>
      </c>
      <c r="I2060" s="4">
        <v>45077.875</v>
      </c>
      <c r="K2060" t="s">
        <v>586</v>
      </c>
      <c r="L2060" s="5"/>
      <c r="M2060" s="5"/>
      <c r="N2060" t="s">
        <v>82</v>
      </c>
      <c r="O2060" t="s">
        <v>6991</v>
      </c>
      <c r="R2060">
        <v>1</v>
      </c>
      <c r="T2060" s="5" t="s">
        <v>48</v>
      </c>
      <c r="U2060" t="s">
        <v>6992</v>
      </c>
      <c r="V2060" t="s">
        <v>6993</v>
      </c>
      <c r="W2060">
        <v>203</v>
      </c>
      <c r="X2060" t="s">
        <v>72</v>
      </c>
      <c r="Y2060" t="str">
        <f>VLOOKUP(C2060,'[1]DBS_KPY Sorumlular'!A:C,2,FALSE)</f>
        <v>Mustafa AYDIN</v>
      </c>
      <c r="Z2060" t="str">
        <f>VLOOKUP(C2060,'[1]DBS_KPY Sorumlular'!A:C,3,FALSE)</f>
        <v>Esra DOLAN</v>
      </c>
      <c r="AA2060" t="str">
        <f>VLOOKUP(K2060,[1]!Tablo3[#Data],2,FALSE)</f>
        <v>Tayfun VİÇE</v>
      </c>
    </row>
    <row r="2061" spans="1:27" x14ac:dyDescent="0.25">
      <c r="A2061">
        <v>3413</v>
      </c>
      <c r="B2061" t="s">
        <v>27</v>
      </c>
      <c r="C2061" t="s">
        <v>40</v>
      </c>
      <c r="D2061" t="s">
        <v>41</v>
      </c>
      <c r="G2061" t="s">
        <v>43</v>
      </c>
      <c r="H2061" t="s">
        <v>6994</v>
      </c>
      <c r="I2061" s="4">
        <v>45443.875</v>
      </c>
      <c r="K2061" t="s">
        <v>586</v>
      </c>
      <c r="L2061" s="5"/>
      <c r="M2061" s="5"/>
      <c r="N2061" t="s">
        <v>82</v>
      </c>
      <c r="O2061" t="s">
        <v>6995</v>
      </c>
      <c r="R2061">
        <v>1</v>
      </c>
      <c r="T2061" s="5"/>
      <c r="W2061">
        <v>108</v>
      </c>
      <c r="X2061" t="s">
        <v>107</v>
      </c>
      <c r="Y2061" t="str">
        <f>VLOOKUP(C2061,'[1]DBS_KPY Sorumlular'!A:C,2,FALSE)</f>
        <v>Mustafa AYDIN</v>
      </c>
      <c r="Z2061" t="str">
        <f>VLOOKUP(C2061,'[1]DBS_KPY Sorumlular'!A:C,3,FALSE)</f>
        <v>Esra DOLAN</v>
      </c>
      <c r="AA2061" t="str">
        <f>VLOOKUP(K2061,[1]!Tablo3[#Data],2,FALSE)</f>
        <v>Tayfun VİÇE</v>
      </c>
    </row>
    <row r="2062" spans="1:27" x14ac:dyDescent="0.25">
      <c r="A2062">
        <v>3414</v>
      </c>
      <c r="B2062" t="s">
        <v>27</v>
      </c>
      <c r="C2062" t="s">
        <v>40</v>
      </c>
      <c r="D2062" t="s">
        <v>41</v>
      </c>
      <c r="G2062" t="s">
        <v>43</v>
      </c>
      <c r="H2062" t="s">
        <v>6996</v>
      </c>
      <c r="I2062" s="4">
        <v>45443.875</v>
      </c>
      <c r="K2062" t="s">
        <v>586</v>
      </c>
      <c r="L2062" s="5"/>
      <c r="M2062" s="5"/>
      <c r="N2062" t="s">
        <v>82</v>
      </c>
      <c r="O2062" t="s">
        <v>6997</v>
      </c>
      <c r="R2062">
        <v>1</v>
      </c>
      <c r="T2062" s="5"/>
      <c r="W2062">
        <v>265</v>
      </c>
      <c r="X2062" t="s">
        <v>1228</v>
      </c>
      <c r="Y2062" t="str">
        <f>VLOOKUP(C2062,'[1]DBS_KPY Sorumlular'!A:C,2,FALSE)</f>
        <v>Mustafa AYDIN</v>
      </c>
      <c r="Z2062" t="str">
        <f>VLOOKUP(C2062,'[1]DBS_KPY Sorumlular'!A:C,3,FALSE)</f>
        <v>Esra DOLAN</v>
      </c>
      <c r="AA2062" t="str">
        <f>VLOOKUP(K2062,[1]!Tablo3[#Data],2,FALSE)</f>
        <v>Tayfun VİÇE</v>
      </c>
    </row>
    <row r="2063" spans="1:27" x14ac:dyDescent="0.25">
      <c r="A2063">
        <v>3415</v>
      </c>
      <c r="B2063" t="s">
        <v>27</v>
      </c>
      <c r="C2063" t="s">
        <v>40</v>
      </c>
      <c r="D2063" t="s">
        <v>41</v>
      </c>
      <c r="G2063" t="s">
        <v>43</v>
      </c>
      <c r="H2063" t="s">
        <v>6998</v>
      </c>
      <c r="I2063" s="4">
        <v>45443.875</v>
      </c>
      <c r="K2063" t="s">
        <v>586</v>
      </c>
      <c r="L2063" s="5"/>
      <c r="M2063" s="5"/>
      <c r="N2063" t="s">
        <v>82</v>
      </c>
      <c r="O2063" t="s">
        <v>6999</v>
      </c>
      <c r="R2063">
        <v>1</v>
      </c>
      <c r="T2063" s="5"/>
      <c r="W2063">
        <v>80</v>
      </c>
      <c r="X2063" t="s">
        <v>647</v>
      </c>
      <c r="Y2063" t="str">
        <f>VLOOKUP(C2063,'[1]DBS_KPY Sorumlular'!A:C,2,FALSE)</f>
        <v>Mustafa AYDIN</v>
      </c>
      <c r="Z2063" t="str">
        <f>VLOOKUP(C2063,'[1]DBS_KPY Sorumlular'!A:C,3,FALSE)</f>
        <v>Esra DOLAN</v>
      </c>
      <c r="AA2063" t="str">
        <f>VLOOKUP(K2063,[1]!Tablo3[#Data],2,FALSE)</f>
        <v>Tayfun VİÇE</v>
      </c>
    </row>
    <row r="2064" spans="1:27" x14ac:dyDescent="0.25">
      <c r="A2064">
        <v>3416</v>
      </c>
      <c r="B2064" t="s">
        <v>27</v>
      </c>
      <c r="C2064" t="s">
        <v>40</v>
      </c>
      <c r="D2064" t="s">
        <v>41</v>
      </c>
      <c r="G2064" t="s">
        <v>30</v>
      </c>
      <c r="H2064" t="s">
        <v>7000</v>
      </c>
      <c r="I2064" s="4">
        <v>43982.875</v>
      </c>
      <c r="K2064" t="s">
        <v>611</v>
      </c>
      <c r="L2064" s="5"/>
      <c r="M2064" s="5"/>
      <c r="N2064" t="s">
        <v>82</v>
      </c>
      <c r="O2064" t="s">
        <v>7001</v>
      </c>
      <c r="R2064">
        <v>1</v>
      </c>
      <c r="T2064" s="5"/>
      <c r="W2064">
        <v>89</v>
      </c>
      <c r="X2064" t="s">
        <v>1267</v>
      </c>
      <c r="Y2064" t="str">
        <f>VLOOKUP(C2064,'[1]DBS_KPY Sorumlular'!A:C,2,FALSE)</f>
        <v>Mustafa AYDIN</v>
      </c>
      <c r="Z2064" t="str">
        <f>VLOOKUP(C2064,'[1]DBS_KPY Sorumlular'!A:C,3,FALSE)</f>
        <v>Esra DOLAN</v>
      </c>
      <c r="AA2064" t="str">
        <f>VLOOKUP(K2064,[1]!Tablo3[#Data],2,FALSE)</f>
        <v>Kadir TOPÇU</v>
      </c>
    </row>
    <row r="2065" spans="1:27" x14ac:dyDescent="0.25">
      <c r="A2065">
        <v>3417</v>
      </c>
      <c r="B2065" t="s">
        <v>27</v>
      </c>
      <c r="C2065" t="s">
        <v>40</v>
      </c>
      <c r="D2065" t="s">
        <v>41</v>
      </c>
      <c r="G2065" t="s">
        <v>43</v>
      </c>
      <c r="H2065" t="s">
        <v>7002</v>
      </c>
      <c r="I2065" s="4">
        <v>44347.875</v>
      </c>
      <c r="K2065" t="s">
        <v>611</v>
      </c>
      <c r="L2065" s="5"/>
      <c r="M2065" s="5"/>
      <c r="N2065" t="s">
        <v>82</v>
      </c>
      <c r="O2065" t="s">
        <v>7003</v>
      </c>
      <c r="R2065">
        <v>1</v>
      </c>
      <c r="T2065" s="5"/>
      <c r="W2065">
        <v>108</v>
      </c>
      <c r="X2065" t="s">
        <v>107</v>
      </c>
      <c r="Y2065" t="str">
        <f>VLOOKUP(C2065,'[1]DBS_KPY Sorumlular'!A:C,2,FALSE)</f>
        <v>Mustafa AYDIN</v>
      </c>
      <c r="Z2065" t="str">
        <f>VLOOKUP(C2065,'[1]DBS_KPY Sorumlular'!A:C,3,FALSE)</f>
        <v>Esra DOLAN</v>
      </c>
      <c r="AA2065" t="str">
        <f>VLOOKUP(K2065,[1]!Tablo3[#Data],2,FALSE)</f>
        <v>Kadir TOPÇU</v>
      </c>
    </row>
    <row r="2066" spans="1:27" x14ac:dyDescent="0.25">
      <c r="A2066">
        <v>3418</v>
      </c>
      <c r="B2066" t="s">
        <v>27</v>
      </c>
      <c r="C2066" t="s">
        <v>40</v>
      </c>
      <c r="D2066" t="s">
        <v>41</v>
      </c>
      <c r="G2066" t="s">
        <v>43</v>
      </c>
      <c r="H2066" t="s">
        <v>7004</v>
      </c>
      <c r="I2066" s="4">
        <v>44712.875</v>
      </c>
      <c r="K2066" t="s">
        <v>611</v>
      </c>
      <c r="L2066" s="5"/>
      <c r="M2066" s="5"/>
      <c r="N2066" t="s">
        <v>82</v>
      </c>
      <c r="O2066" t="s">
        <v>7005</v>
      </c>
      <c r="R2066">
        <v>1</v>
      </c>
      <c r="T2066" s="5"/>
      <c r="W2066">
        <v>86</v>
      </c>
      <c r="X2066" t="s">
        <v>189</v>
      </c>
      <c r="Y2066" t="str">
        <f>VLOOKUP(C2066,'[1]DBS_KPY Sorumlular'!A:C,2,FALSE)</f>
        <v>Mustafa AYDIN</v>
      </c>
      <c r="Z2066" t="str">
        <f>VLOOKUP(C2066,'[1]DBS_KPY Sorumlular'!A:C,3,FALSE)</f>
        <v>Esra DOLAN</v>
      </c>
      <c r="AA2066" t="str">
        <f>VLOOKUP(K2066,[1]!Tablo3[#Data],2,FALSE)</f>
        <v>Kadir TOPÇU</v>
      </c>
    </row>
    <row r="2067" spans="1:27" x14ac:dyDescent="0.25">
      <c r="A2067">
        <v>3419</v>
      </c>
      <c r="B2067" t="s">
        <v>27</v>
      </c>
      <c r="C2067" t="s">
        <v>40</v>
      </c>
      <c r="D2067" t="s">
        <v>41</v>
      </c>
      <c r="G2067" t="s">
        <v>43</v>
      </c>
      <c r="H2067" t="s">
        <v>7006</v>
      </c>
      <c r="I2067" s="4">
        <v>44712.875</v>
      </c>
      <c r="K2067" t="s">
        <v>611</v>
      </c>
      <c r="L2067" s="5"/>
      <c r="M2067" s="5"/>
      <c r="N2067" t="s">
        <v>82</v>
      </c>
      <c r="O2067" t="s">
        <v>7005</v>
      </c>
      <c r="R2067">
        <v>1</v>
      </c>
      <c r="T2067" s="5"/>
      <c r="W2067">
        <v>5</v>
      </c>
      <c r="X2067" t="s">
        <v>4528</v>
      </c>
      <c r="Y2067" t="str">
        <f>VLOOKUP(C2067,'[1]DBS_KPY Sorumlular'!A:C,2,FALSE)</f>
        <v>Mustafa AYDIN</v>
      </c>
      <c r="Z2067" t="str">
        <f>VLOOKUP(C2067,'[1]DBS_KPY Sorumlular'!A:C,3,FALSE)</f>
        <v>Esra DOLAN</v>
      </c>
      <c r="AA2067" t="str">
        <f>VLOOKUP(K2067,[1]!Tablo3[#Data],2,FALSE)</f>
        <v>Kadir TOPÇU</v>
      </c>
    </row>
    <row r="2068" spans="1:27" x14ac:dyDescent="0.25">
      <c r="A2068">
        <v>3420</v>
      </c>
      <c r="B2068" t="s">
        <v>27</v>
      </c>
      <c r="C2068" t="s">
        <v>40</v>
      </c>
      <c r="D2068" t="s">
        <v>41</v>
      </c>
      <c r="G2068" t="s">
        <v>43</v>
      </c>
      <c r="H2068" t="s">
        <v>7007</v>
      </c>
      <c r="I2068" s="4">
        <v>44712.875</v>
      </c>
      <c r="K2068" t="s">
        <v>611</v>
      </c>
      <c r="L2068" s="5"/>
      <c r="M2068" s="5"/>
      <c r="N2068" t="s">
        <v>82</v>
      </c>
      <c r="O2068" t="s">
        <v>7008</v>
      </c>
      <c r="R2068">
        <v>1</v>
      </c>
      <c r="T2068" s="5"/>
      <c r="W2068">
        <v>108</v>
      </c>
      <c r="X2068" t="s">
        <v>107</v>
      </c>
      <c r="Y2068" t="str">
        <f>VLOOKUP(C2068,'[1]DBS_KPY Sorumlular'!A:C,2,FALSE)</f>
        <v>Mustafa AYDIN</v>
      </c>
      <c r="Z2068" t="str">
        <f>VLOOKUP(C2068,'[1]DBS_KPY Sorumlular'!A:C,3,FALSE)</f>
        <v>Esra DOLAN</v>
      </c>
      <c r="AA2068" t="str">
        <f>VLOOKUP(K2068,[1]!Tablo3[#Data],2,FALSE)</f>
        <v>Kadir TOPÇU</v>
      </c>
    </row>
    <row r="2069" spans="1:27" x14ac:dyDescent="0.25">
      <c r="A2069">
        <v>3421</v>
      </c>
      <c r="B2069" t="s">
        <v>27</v>
      </c>
      <c r="C2069" t="s">
        <v>40</v>
      </c>
      <c r="D2069" t="s">
        <v>41</v>
      </c>
      <c r="G2069" t="s">
        <v>43</v>
      </c>
      <c r="H2069" t="s">
        <v>7009</v>
      </c>
      <c r="I2069" s="4">
        <v>45443.875</v>
      </c>
      <c r="K2069" t="s">
        <v>611</v>
      </c>
      <c r="L2069" s="5"/>
      <c r="M2069" s="5"/>
      <c r="N2069" t="s">
        <v>82</v>
      </c>
      <c r="O2069" t="s">
        <v>7010</v>
      </c>
      <c r="R2069">
        <v>1</v>
      </c>
      <c r="T2069" s="5"/>
      <c r="W2069">
        <v>74</v>
      </c>
      <c r="X2069" t="s">
        <v>234</v>
      </c>
      <c r="Y2069" t="str">
        <f>VLOOKUP(C2069,'[1]DBS_KPY Sorumlular'!A:C,2,FALSE)</f>
        <v>Mustafa AYDIN</v>
      </c>
      <c r="Z2069" t="str">
        <f>VLOOKUP(C2069,'[1]DBS_KPY Sorumlular'!A:C,3,FALSE)</f>
        <v>Esra DOLAN</v>
      </c>
      <c r="AA2069" t="str">
        <f>VLOOKUP(K2069,[1]!Tablo3[#Data],2,FALSE)</f>
        <v>Kadir TOPÇU</v>
      </c>
    </row>
    <row r="2070" spans="1:27" x14ac:dyDescent="0.25">
      <c r="A2070">
        <v>3422</v>
      </c>
      <c r="B2070" t="s">
        <v>27</v>
      </c>
      <c r="C2070" t="s">
        <v>40</v>
      </c>
      <c r="D2070" t="s">
        <v>41</v>
      </c>
      <c r="G2070" t="s">
        <v>67</v>
      </c>
      <c r="H2070" t="s">
        <v>7011</v>
      </c>
      <c r="I2070" s="4">
        <v>45443.875</v>
      </c>
      <c r="K2070" t="s">
        <v>611</v>
      </c>
      <c r="L2070" s="5"/>
      <c r="M2070" s="5"/>
      <c r="N2070" t="s">
        <v>82</v>
      </c>
      <c r="O2070" t="s">
        <v>7012</v>
      </c>
      <c r="R2070">
        <v>1</v>
      </c>
      <c r="T2070" s="5"/>
      <c r="W2070">
        <v>90</v>
      </c>
      <c r="X2070" t="s">
        <v>1851</v>
      </c>
      <c r="Y2070" t="str">
        <f>VLOOKUP(C2070,'[1]DBS_KPY Sorumlular'!A:C,2,FALSE)</f>
        <v>Mustafa AYDIN</v>
      </c>
      <c r="Z2070" t="str">
        <f>VLOOKUP(C2070,'[1]DBS_KPY Sorumlular'!A:C,3,FALSE)</f>
        <v>Esra DOLAN</v>
      </c>
      <c r="AA2070" t="str">
        <f>VLOOKUP(K2070,[1]!Tablo3[#Data],2,FALSE)</f>
        <v>Kadir TOPÇU</v>
      </c>
    </row>
    <row r="2071" spans="1:27" x14ac:dyDescent="0.25">
      <c r="A2071">
        <v>3423</v>
      </c>
      <c r="B2071" t="s">
        <v>27</v>
      </c>
      <c r="C2071" t="s">
        <v>40</v>
      </c>
      <c r="D2071" t="s">
        <v>41</v>
      </c>
      <c r="G2071" t="s">
        <v>43</v>
      </c>
      <c r="H2071" t="s">
        <v>7013</v>
      </c>
      <c r="I2071" s="4">
        <v>43982.875</v>
      </c>
      <c r="K2071" t="s">
        <v>636</v>
      </c>
      <c r="L2071" s="5"/>
      <c r="M2071" s="5"/>
      <c r="N2071" t="s">
        <v>82</v>
      </c>
      <c r="O2071" t="s">
        <v>7014</v>
      </c>
      <c r="R2071">
        <v>1</v>
      </c>
      <c r="T2071" s="5"/>
      <c r="W2071">
        <v>79</v>
      </c>
      <c r="X2071" t="s">
        <v>1619</v>
      </c>
      <c r="Y2071" t="str">
        <f>VLOOKUP(C2071,'[1]DBS_KPY Sorumlular'!A:C,2,FALSE)</f>
        <v>Mustafa AYDIN</v>
      </c>
      <c r="Z2071" t="str">
        <f>VLOOKUP(C2071,'[1]DBS_KPY Sorumlular'!A:C,3,FALSE)</f>
        <v>Esra DOLAN</v>
      </c>
      <c r="AA2071" t="str">
        <f>VLOOKUP(K2071,[1]!Tablo3[#Data],2,FALSE)</f>
        <v>Erkan AKDOĞAN</v>
      </c>
    </row>
    <row r="2072" spans="1:27" x14ac:dyDescent="0.25">
      <c r="A2072">
        <v>3424</v>
      </c>
      <c r="B2072" t="s">
        <v>27</v>
      </c>
      <c r="C2072" t="s">
        <v>40</v>
      </c>
      <c r="D2072" t="s">
        <v>41</v>
      </c>
      <c r="G2072" t="s">
        <v>43</v>
      </c>
      <c r="H2072" t="s">
        <v>7015</v>
      </c>
      <c r="I2072" s="4">
        <v>44347.875</v>
      </c>
      <c r="K2072" t="s">
        <v>636</v>
      </c>
      <c r="L2072" s="5"/>
      <c r="M2072" s="5"/>
      <c r="N2072" t="s">
        <v>82</v>
      </c>
      <c r="O2072" t="s">
        <v>7016</v>
      </c>
      <c r="R2072">
        <v>1</v>
      </c>
      <c r="T2072" s="5"/>
      <c r="W2072">
        <v>73</v>
      </c>
      <c r="X2072" t="s">
        <v>1198</v>
      </c>
      <c r="Y2072" t="str">
        <f>VLOOKUP(C2072,'[1]DBS_KPY Sorumlular'!A:C,2,FALSE)</f>
        <v>Mustafa AYDIN</v>
      </c>
      <c r="Z2072" t="str">
        <f>VLOOKUP(C2072,'[1]DBS_KPY Sorumlular'!A:C,3,FALSE)</f>
        <v>Esra DOLAN</v>
      </c>
      <c r="AA2072" t="str">
        <f>VLOOKUP(K2072,[1]!Tablo3[#Data],2,FALSE)</f>
        <v>Erkan AKDOĞAN</v>
      </c>
    </row>
    <row r="2073" spans="1:27" x14ac:dyDescent="0.25">
      <c r="A2073">
        <v>3425</v>
      </c>
      <c r="B2073" t="s">
        <v>27</v>
      </c>
      <c r="C2073" t="s">
        <v>40</v>
      </c>
      <c r="D2073" t="s">
        <v>41</v>
      </c>
      <c r="G2073" t="s">
        <v>43</v>
      </c>
      <c r="H2073" t="s">
        <v>7017</v>
      </c>
      <c r="I2073" s="4">
        <v>44347.875</v>
      </c>
      <c r="K2073" t="s">
        <v>636</v>
      </c>
      <c r="L2073" s="5"/>
      <c r="M2073" s="5"/>
      <c r="N2073" t="s">
        <v>82</v>
      </c>
      <c r="O2073" t="s">
        <v>7018</v>
      </c>
      <c r="R2073">
        <v>1</v>
      </c>
      <c r="T2073" s="5"/>
      <c r="W2073">
        <v>73</v>
      </c>
      <c r="X2073" t="s">
        <v>1198</v>
      </c>
      <c r="Y2073" t="str">
        <f>VLOOKUP(C2073,'[1]DBS_KPY Sorumlular'!A:C,2,FALSE)</f>
        <v>Mustafa AYDIN</v>
      </c>
      <c r="Z2073" t="str">
        <f>VLOOKUP(C2073,'[1]DBS_KPY Sorumlular'!A:C,3,FALSE)</f>
        <v>Esra DOLAN</v>
      </c>
      <c r="AA2073" t="str">
        <f>VLOOKUP(K2073,[1]!Tablo3[#Data],2,FALSE)</f>
        <v>Erkan AKDOĞAN</v>
      </c>
    </row>
    <row r="2074" spans="1:27" x14ac:dyDescent="0.25">
      <c r="A2074">
        <v>3426</v>
      </c>
      <c r="B2074" t="s">
        <v>27</v>
      </c>
      <c r="C2074" t="s">
        <v>40</v>
      </c>
      <c r="D2074" t="s">
        <v>41</v>
      </c>
      <c r="G2074" t="s">
        <v>67</v>
      </c>
      <c r="H2074" t="s">
        <v>7019</v>
      </c>
      <c r="I2074" s="4">
        <v>44347.875</v>
      </c>
      <c r="K2074" t="s">
        <v>636</v>
      </c>
      <c r="L2074" s="5"/>
      <c r="M2074" s="5"/>
      <c r="N2074" t="s">
        <v>82</v>
      </c>
      <c r="O2074" t="s">
        <v>7020</v>
      </c>
      <c r="R2074">
        <v>1</v>
      </c>
      <c r="T2074" s="5"/>
      <c r="W2074">
        <v>90</v>
      </c>
      <c r="X2074" t="s">
        <v>1851</v>
      </c>
      <c r="Y2074" t="str">
        <f>VLOOKUP(C2074,'[1]DBS_KPY Sorumlular'!A:C,2,FALSE)</f>
        <v>Mustafa AYDIN</v>
      </c>
      <c r="Z2074" t="str">
        <f>VLOOKUP(C2074,'[1]DBS_KPY Sorumlular'!A:C,3,FALSE)</f>
        <v>Esra DOLAN</v>
      </c>
      <c r="AA2074" t="str">
        <f>VLOOKUP(K2074,[1]!Tablo3[#Data],2,FALSE)</f>
        <v>Erkan AKDOĞAN</v>
      </c>
    </row>
    <row r="2075" spans="1:27" x14ac:dyDescent="0.25">
      <c r="A2075">
        <v>3427</v>
      </c>
      <c r="B2075" t="s">
        <v>27</v>
      </c>
      <c r="C2075" t="s">
        <v>40</v>
      </c>
      <c r="D2075" t="s">
        <v>41</v>
      </c>
      <c r="G2075" t="s">
        <v>43</v>
      </c>
      <c r="H2075" t="s">
        <v>7021</v>
      </c>
      <c r="I2075" s="4">
        <v>44347.875</v>
      </c>
      <c r="K2075" t="s">
        <v>636</v>
      </c>
      <c r="L2075" s="5"/>
      <c r="M2075" s="5"/>
      <c r="N2075" t="s">
        <v>82</v>
      </c>
      <c r="O2075" t="s">
        <v>7022</v>
      </c>
      <c r="R2075">
        <v>1</v>
      </c>
      <c r="T2075" s="5"/>
      <c r="W2075">
        <v>73</v>
      </c>
      <c r="X2075" t="s">
        <v>1198</v>
      </c>
      <c r="Y2075" t="str">
        <f>VLOOKUP(C2075,'[1]DBS_KPY Sorumlular'!A:C,2,FALSE)</f>
        <v>Mustafa AYDIN</v>
      </c>
      <c r="Z2075" t="str">
        <f>VLOOKUP(C2075,'[1]DBS_KPY Sorumlular'!A:C,3,FALSE)</f>
        <v>Esra DOLAN</v>
      </c>
      <c r="AA2075" t="str">
        <f>VLOOKUP(K2075,[1]!Tablo3[#Data],2,FALSE)</f>
        <v>Erkan AKDOĞAN</v>
      </c>
    </row>
    <row r="2076" spans="1:27" x14ac:dyDescent="0.25">
      <c r="A2076">
        <v>3428</v>
      </c>
      <c r="B2076" t="s">
        <v>27</v>
      </c>
      <c r="C2076" t="s">
        <v>40</v>
      </c>
      <c r="D2076" t="s">
        <v>41</v>
      </c>
      <c r="G2076" t="s">
        <v>43</v>
      </c>
      <c r="H2076" t="s">
        <v>7023</v>
      </c>
      <c r="I2076" s="4">
        <v>44712.875</v>
      </c>
      <c r="K2076" t="s">
        <v>636</v>
      </c>
      <c r="L2076" s="5"/>
      <c r="M2076" s="5"/>
      <c r="N2076" t="s">
        <v>82</v>
      </c>
      <c r="O2076" t="s">
        <v>7024</v>
      </c>
      <c r="R2076">
        <v>1</v>
      </c>
      <c r="T2076" s="5"/>
      <c r="W2076">
        <v>168</v>
      </c>
      <c r="X2076" t="s">
        <v>394</v>
      </c>
      <c r="Y2076" t="str">
        <f>VLOOKUP(C2076,'[1]DBS_KPY Sorumlular'!A:C,2,FALSE)</f>
        <v>Mustafa AYDIN</v>
      </c>
      <c r="Z2076" t="str">
        <f>VLOOKUP(C2076,'[1]DBS_KPY Sorumlular'!A:C,3,FALSE)</f>
        <v>Esra DOLAN</v>
      </c>
      <c r="AA2076" t="str">
        <f>VLOOKUP(K2076,[1]!Tablo3[#Data],2,FALSE)</f>
        <v>Erkan AKDOĞAN</v>
      </c>
    </row>
    <row r="2077" spans="1:27" x14ac:dyDescent="0.25">
      <c r="A2077">
        <v>3429</v>
      </c>
      <c r="B2077" t="s">
        <v>27</v>
      </c>
      <c r="C2077" t="s">
        <v>40</v>
      </c>
      <c r="D2077" t="s">
        <v>41</v>
      </c>
      <c r="G2077" t="s">
        <v>43</v>
      </c>
      <c r="H2077" t="s">
        <v>7025</v>
      </c>
      <c r="I2077" s="4">
        <v>44712.875</v>
      </c>
      <c r="K2077" t="s">
        <v>636</v>
      </c>
      <c r="L2077" s="5"/>
      <c r="M2077" s="5"/>
      <c r="N2077" t="s">
        <v>82</v>
      </c>
      <c r="O2077" t="s">
        <v>7026</v>
      </c>
      <c r="R2077">
        <v>1</v>
      </c>
      <c r="T2077" s="5"/>
      <c r="W2077">
        <v>116</v>
      </c>
      <c r="X2077" t="s">
        <v>3651</v>
      </c>
      <c r="Y2077" t="str">
        <f>VLOOKUP(C2077,'[1]DBS_KPY Sorumlular'!A:C,2,FALSE)</f>
        <v>Mustafa AYDIN</v>
      </c>
      <c r="Z2077" t="str">
        <f>VLOOKUP(C2077,'[1]DBS_KPY Sorumlular'!A:C,3,FALSE)</f>
        <v>Esra DOLAN</v>
      </c>
      <c r="AA2077" t="str">
        <f>VLOOKUP(K2077,[1]!Tablo3[#Data],2,FALSE)</f>
        <v>Erkan AKDOĞAN</v>
      </c>
    </row>
    <row r="2078" spans="1:27" x14ac:dyDescent="0.25">
      <c r="A2078">
        <v>3430</v>
      </c>
      <c r="B2078" t="s">
        <v>27</v>
      </c>
      <c r="C2078" t="s">
        <v>40</v>
      </c>
      <c r="D2078" t="s">
        <v>41</v>
      </c>
      <c r="G2078" t="s">
        <v>43</v>
      </c>
      <c r="H2078" t="s">
        <v>7027</v>
      </c>
      <c r="I2078" s="4">
        <v>44712.875</v>
      </c>
      <c r="K2078" t="s">
        <v>636</v>
      </c>
      <c r="L2078" s="5"/>
      <c r="M2078" s="5"/>
      <c r="N2078" t="s">
        <v>82</v>
      </c>
      <c r="O2078" t="s">
        <v>7028</v>
      </c>
      <c r="R2078">
        <v>1</v>
      </c>
      <c r="T2078" s="5"/>
      <c r="W2078">
        <v>191</v>
      </c>
      <c r="X2078" t="s">
        <v>3841</v>
      </c>
      <c r="Y2078" t="str">
        <f>VLOOKUP(C2078,'[1]DBS_KPY Sorumlular'!A:C,2,FALSE)</f>
        <v>Mustafa AYDIN</v>
      </c>
      <c r="Z2078" t="str">
        <f>VLOOKUP(C2078,'[1]DBS_KPY Sorumlular'!A:C,3,FALSE)</f>
        <v>Esra DOLAN</v>
      </c>
      <c r="AA2078" t="str">
        <f>VLOOKUP(K2078,[1]!Tablo3[#Data],2,FALSE)</f>
        <v>Erkan AKDOĞAN</v>
      </c>
    </row>
    <row r="2079" spans="1:27" x14ac:dyDescent="0.25">
      <c r="A2079">
        <v>3431</v>
      </c>
      <c r="B2079" t="s">
        <v>27</v>
      </c>
      <c r="C2079" t="s">
        <v>40</v>
      </c>
      <c r="D2079" t="s">
        <v>41</v>
      </c>
      <c r="G2079" t="s">
        <v>67</v>
      </c>
      <c r="H2079" t="s">
        <v>7029</v>
      </c>
      <c r="I2079" s="4">
        <v>45077.875</v>
      </c>
      <c r="K2079" t="s">
        <v>636</v>
      </c>
      <c r="L2079" s="5"/>
      <c r="M2079" s="5"/>
      <c r="N2079" t="s">
        <v>82</v>
      </c>
      <c r="O2079" t="s">
        <v>7030</v>
      </c>
      <c r="R2079">
        <v>1</v>
      </c>
      <c r="T2079" s="5"/>
      <c r="W2079">
        <v>90</v>
      </c>
      <c r="X2079" t="s">
        <v>1851</v>
      </c>
      <c r="Y2079" t="str">
        <f>VLOOKUP(C2079,'[1]DBS_KPY Sorumlular'!A:C,2,FALSE)</f>
        <v>Mustafa AYDIN</v>
      </c>
      <c r="Z2079" t="str">
        <f>VLOOKUP(C2079,'[1]DBS_KPY Sorumlular'!A:C,3,FALSE)</f>
        <v>Esra DOLAN</v>
      </c>
      <c r="AA2079" t="str">
        <f>VLOOKUP(K2079,[1]!Tablo3[#Data],2,FALSE)</f>
        <v>Erkan AKDOĞAN</v>
      </c>
    </row>
    <row r="2080" spans="1:27" x14ac:dyDescent="0.25">
      <c r="A2080">
        <v>3432</v>
      </c>
      <c r="B2080" t="s">
        <v>27</v>
      </c>
      <c r="C2080" t="s">
        <v>40</v>
      </c>
      <c r="D2080" t="s">
        <v>41</v>
      </c>
      <c r="G2080" t="s">
        <v>67</v>
      </c>
      <c r="H2080" t="s">
        <v>7031</v>
      </c>
      <c r="I2080" s="4">
        <v>45077.875</v>
      </c>
      <c r="K2080" t="s">
        <v>636</v>
      </c>
      <c r="L2080" s="5"/>
      <c r="M2080" s="5"/>
      <c r="N2080" t="s">
        <v>82</v>
      </c>
      <c r="O2080" t="s">
        <v>7032</v>
      </c>
      <c r="R2080">
        <v>1</v>
      </c>
      <c r="T2080" s="5"/>
      <c r="W2080">
        <v>203</v>
      </c>
      <c r="X2080" t="s">
        <v>72</v>
      </c>
      <c r="Y2080" t="str">
        <f>VLOOKUP(C2080,'[1]DBS_KPY Sorumlular'!A:C,2,FALSE)</f>
        <v>Mustafa AYDIN</v>
      </c>
      <c r="Z2080" t="str">
        <f>VLOOKUP(C2080,'[1]DBS_KPY Sorumlular'!A:C,3,FALSE)</f>
        <v>Esra DOLAN</v>
      </c>
      <c r="AA2080" t="str">
        <f>VLOOKUP(K2080,[1]!Tablo3[#Data],2,FALSE)</f>
        <v>Erkan AKDOĞAN</v>
      </c>
    </row>
    <row r="2081" spans="1:27" x14ac:dyDescent="0.25">
      <c r="A2081">
        <v>3433</v>
      </c>
      <c r="B2081" t="s">
        <v>27</v>
      </c>
      <c r="C2081" t="s">
        <v>40</v>
      </c>
      <c r="D2081" t="s">
        <v>41</v>
      </c>
      <c r="G2081" t="s">
        <v>30</v>
      </c>
      <c r="H2081" t="s">
        <v>7033</v>
      </c>
      <c r="I2081" s="4">
        <v>45077.875</v>
      </c>
      <c r="K2081" t="s">
        <v>636</v>
      </c>
      <c r="L2081" s="5"/>
      <c r="M2081" s="5"/>
      <c r="N2081" t="s">
        <v>82</v>
      </c>
      <c r="O2081" t="s">
        <v>7034</v>
      </c>
      <c r="R2081">
        <v>1</v>
      </c>
      <c r="T2081" s="5"/>
      <c r="W2081">
        <v>65</v>
      </c>
      <c r="X2081" t="s">
        <v>374</v>
      </c>
      <c r="Y2081" t="str">
        <f>VLOOKUP(C2081,'[1]DBS_KPY Sorumlular'!A:C,2,FALSE)</f>
        <v>Mustafa AYDIN</v>
      </c>
      <c r="Z2081" t="str">
        <f>VLOOKUP(C2081,'[1]DBS_KPY Sorumlular'!A:C,3,FALSE)</f>
        <v>Esra DOLAN</v>
      </c>
      <c r="AA2081" t="str">
        <f>VLOOKUP(K2081,[1]!Tablo3[#Data],2,FALSE)</f>
        <v>Erkan AKDOĞAN</v>
      </c>
    </row>
    <row r="2082" spans="1:27" x14ac:dyDescent="0.25">
      <c r="A2082">
        <v>3434</v>
      </c>
      <c r="B2082" t="s">
        <v>27</v>
      </c>
      <c r="C2082" t="s">
        <v>40</v>
      </c>
      <c r="D2082" t="s">
        <v>41</v>
      </c>
      <c r="G2082" t="s">
        <v>43</v>
      </c>
      <c r="H2082" t="s">
        <v>7035</v>
      </c>
      <c r="I2082" s="4">
        <v>45443.875</v>
      </c>
      <c r="K2082" t="s">
        <v>636</v>
      </c>
      <c r="L2082" s="5"/>
      <c r="M2082" s="5"/>
      <c r="N2082" t="s">
        <v>82</v>
      </c>
      <c r="O2082" t="s">
        <v>7036</v>
      </c>
      <c r="R2082">
        <v>1</v>
      </c>
      <c r="T2082" s="5"/>
      <c r="W2082">
        <v>108</v>
      </c>
      <c r="X2082" t="s">
        <v>107</v>
      </c>
      <c r="Y2082" t="str">
        <f>VLOOKUP(C2082,'[1]DBS_KPY Sorumlular'!A:C,2,FALSE)</f>
        <v>Mustafa AYDIN</v>
      </c>
      <c r="Z2082" t="str">
        <f>VLOOKUP(C2082,'[1]DBS_KPY Sorumlular'!A:C,3,FALSE)</f>
        <v>Esra DOLAN</v>
      </c>
      <c r="AA2082" t="str">
        <f>VLOOKUP(K2082,[1]!Tablo3[#Data],2,FALSE)</f>
        <v>Erkan AKDOĞAN</v>
      </c>
    </row>
    <row r="2083" spans="1:27" x14ac:dyDescent="0.25">
      <c r="A2083">
        <v>3435</v>
      </c>
      <c r="B2083" t="s">
        <v>27</v>
      </c>
      <c r="C2083" t="s">
        <v>40</v>
      </c>
      <c r="D2083" t="s">
        <v>41</v>
      </c>
      <c r="G2083" t="s">
        <v>67</v>
      </c>
      <c r="H2083" t="s">
        <v>7037</v>
      </c>
      <c r="I2083" s="4">
        <v>43982.875</v>
      </c>
      <c r="K2083" t="s">
        <v>678</v>
      </c>
      <c r="L2083" s="5"/>
      <c r="M2083" s="5"/>
      <c r="N2083" t="s">
        <v>82</v>
      </c>
      <c r="O2083" t="s">
        <v>7038</v>
      </c>
      <c r="R2083">
        <v>1</v>
      </c>
      <c r="T2083" s="5"/>
      <c r="W2083">
        <v>203</v>
      </c>
      <c r="X2083" t="s">
        <v>72</v>
      </c>
      <c r="Y2083" t="str">
        <f>VLOOKUP(C2083,'[1]DBS_KPY Sorumlular'!A:C,2,FALSE)</f>
        <v>Mustafa AYDIN</v>
      </c>
      <c r="Z2083" t="str">
        <f>VLOOKUP(C2083,'[1]DBS_KPY Sorumlular'!A:C,3,FALSE)</f>
        <v>Esra DOLAN</v>
      </c>
      <c r="AA2083" t="str">
        <f>VLOOKUP(K2083,[1]!Tablo3[#Data],2,FALSE)</f>
        <v>Kadir TOPÇU</v>
      </c>
    </row>
    <row r="2084" spans="1:27" x14ac:dyDescent="0.25">
      <c r="A2084">
        <v>3436</v>
      </c>
      <c r="B2084" t="s">
        <v>27</v>
      </c>
      <c r="C2084" t="s">
        <v>40</v>
      </c>
      <c r="D2084" t="s">
        <v>41</v>
      </c>
      <c r="G2084" t="s">
        <v>30</v>
      </c>
      <c r="H2084" t="s">
        <v>7039</v>
      </c>
      <c r="I2084" s="4">
        <v>44347.875</v>
      </c>
      <c r="K2084" t="s">
        <v>678</v>
      </c>
      <c r="L2084" s="5"/>
      <c r="M2084" s="5"/>
      <c r="N2084" t="s">
        <v>82</v>
      </c>
      <c r="O2084" t="s">
        <v>7040</v>
      </c>
      <c r="R2084">
        <v>1</v>
      </c>
      <c r="T2084" s="5"/>
      <c r="W2084">
        <v>89</v>
      </c>
      <c r="X2084" t="s">
        <v>1267</v>
      </c>
      <c r="Y2084" t="str">
        <f>VLOOKUP(C2084,'[1]DBS_KPY Sorumlular'!A:C,2,FALSE)</f>
        <v>Mustafa AYDIN</v>
      </c>
      <c r="Z2084" t="str">
        <f>VLOOKUP(C2084,'[1]DBS_KPY Sorumlular'!A:C,3,FALSE)</f>
        <v>Esra DOLAN</v>
      </c>
      <c r="AA2084" t="str">
        <f>VLOOKUP(K2084,[1]!Tablo3[#Data],2,FALSE)</f>
        <v>Kadir TOPÇU</v>
      </c>
    </row>
    <row r="2085" spans="1:27" x14ac:dyDescent="0.25">
      <c r="A2085">
        <v>3437</v>
      </c>
      <c r="B2085" t="s">
        <v>27</v>
      </c>
      <c r="C2085" t="s">
        <v>40</v>
      </c>
      <c r="D2085" t="s">
        <v>41</v>
      </c>
      <c r="G2085" t="s">
        <v>43</v>
      </c>
      <c r="H2085" t="s">
        <v>7041</v>
      </c>
      <c r="I2085" s="4">
        <v>44347.875</v>
      </c>
      <c r="K2085" t="s">
        <v>678</v>
      </c>
      <c r="L2085" s="5"/>
      <c r="M2085" s="5"/>
      <c r="N2085" t="s">
        <v>82</v>
      </c>
      <c r="O2085" t="s">
        <v>7042</v>
      </c>
      <c r="R2085">
        <v>1</v>
      </c>
      <c r="T2085" s="5"/>
      <c r="W2085">
        <v>137</v>
      </c>
      <c r="X2085" t="s">
        <v>125</v>
      </c>
      <c r="Y2085" t="str">
        <f>VLOOKUP(C2085,'[1]DBS_KPY Sorumlular'!A:C,2,FALSE)</f>
        <v>Mustafa AYDIN</v>
      </c>
      <c r="Z2085" t="str">
        <f>VLOOKUP(C2085,'[1]DBS_KPY Sorumlular'!A:C,3,FALSE)</f>
        <v>Esra DOLAN</v>
      </c>
      <c r="AA2085" t="str">
        <f>VLOOKUP(K2085,[1]!Tablo3[#Data],2,FALSE)</f>
        <v>Kadir TOPÇU</v>
      </c>
    </row>
    <row r="2086" spans="1:27" x14ac:dyDescent="0.25">
      <c r="A2086">
        <v>3438</v>
      </c>
      <c r="B2086" t="s">
        <v>27</v>
      </c>
      <c r="C2086" t="s">
        <v>40</v>
      </c>
      <c r="D2086" t="s">
        <v>41</v>
      </c>
      <c r="G2086" t="s">
        <v>30</v>
      </c>
      <c r="H2086" t="s">
        <v>7043</v>
      </c>
      <c r="I2086" s="4">
        <v>44347.875</v>
      </c>
      <c r="K2086" t="s">
        <v>678</v>
      </c>
      <c r="L2086" s="5"/>
      <c r="M2086" s="5"/>
      <c r="N2086" t="s">
        <v>82</v>
      </c>
      <c r="O2086" t="s">
        <v>7044</v>
      </c>
      <c r="R2086">
        <v>1</v>
      </c>
      <c r="T2086" s="5"/>
      <c r="W2086">
        <v>89</v>
      </c>
      <c r="X2086" t="s">
        <v>1267</v>
      </c>
      <c r="Y2086" t="str">
        <f>VLOOKUP(C2086,'[1]DBS_KPY Sorumlular'!A:C,2,FALSE)</f>
        <v>Mustafa AYDIN</v>
      </c>
      <c r="Z2086" t="str">
        <f>VLOOKUP(C2086,'[1]DBS_KPY Sorumlular'!A:C,3,FALSE)</f>
        <v>Esra DOLAN</v>
      </c>
      <c r="AA2086" t="str">
        <f>VLOOKUP(K2086,[1]!Tablo3[#Data],2,FALSE)</f>
        <v>Kadir TOPÇU</v>
      </c>
    </row>
    <row r="2087" spans="1:27" x14ac:dyDescent="0.25">
      <c r="A2087">
        <v>3439</v>
      </c>
      <c r="B2087" t="s">
        <v>27</v>
      </c>
      <c r="C2087" t="s">
        <v>40</v>
      </c>
      <c r="D2087" t="s">
        <v>41</v>
      </c>
      <c r="G2087" t="s">
        <v>43</v>
      </c>
      <c r="H2087" t="s">
        <v>7045</v>
      </c>
      <c r="I2087" s="4">
        <v>44712.875</v>
      </c>
      <c r="K2087" t="s">
        <v>678</v>
      </c>
      <c r="L2087" s="5"/>
      <c r="M2087" s="5"/>
      <c r="N2087" t="s">
        <v>82</v>
      </c>
      <c r="O2087" t="s">
        <v>7046</v>
      </c>
      <c r="R2087">
        <v>1</v>
      </c>
      <c r="T2087" s="5"/>
      <c r="W2087">
        <v>43</v>
      </c>
      <c r="X2087" t="s">
        <v>1139</v>
      </c>
      <c r="Y2087" t="str">
        <f>VLOOKUP(C2087,'[1]DBS_KPY Sorumlular'!A:C,2,FALSE)</f>
        <v>Mustafa AYDIN</v>
      </c>
      <c r="Z2087" t="str">
        <f>VLOOKUP(C2087,'[1]DBS_KPY Sorumlular'!A:C,3,FALSE)</f>
        <v>Esra DOLAN</v>
      </c>
      <c r="AA2087" t="str">
        <f>VLOOKUP(K2087,[1]!Tablo3[#Data],2,FALSE)</f>
        <v>Kadir TOPÇU</v>
      </c>
    </row>
    <row r="2088" spans="1:27" x14ac:dyDescent="0.25">
      <c r="A2088">
        <v>3440</v>
      </c>
      <c r="B2088" t="s">
        <v>27</v>
      </c>
      <c r="C2088" t="s">
        <v>40</v>
      </c>
      <c r="D2088" t="s">
        <v>41</v>
      </c>
      <c r="G2088" t="s">
        <v>30</v>
      </c>
      <c r="H2088" t="s">
        <v>7047</v>
      </c>
      <c r="I2088" s="4">
        <v>44712.875</v>
      </c>
      <c r="K2088" t="s">
        <v>678</v>
      </c>
      <c r="L2088" s="5"/>
      <c r="M2088" s="5"/>
      <c r="N2088" t="s">
        <v>82</v>
      </c>
      <c r="O2088" t="s">
        <v>7048</v>
      </c>
      <c r="R2088">
        <v>1</v>
      </c>
      <c r="T2088" s="5"/>
      <c r="W2088">
        <v>89</v>
      </c>
      <c r="X2088" t="s">
        <v>1267</v>
      </c>
      <c r="Y2088" t="str">
        <f>VLOOKUP(C2088,'[1]DBS_KPY Sorumlular'!A:C,2,FALSE)</f>
        <v>Mustafa AYDIN</v>
      </c>
      <c r="Z2088" t="str">
        <f>VLOOKUP(C2088,'[1]DBS_KPY Sorumlular'!A:C,3,FALSE)</f>
        <v>Esra DOLAN</v>
      </c>
      <c r="AA2088" t="str">
        <f>VLOOKUP(K2088,[1]!Tablo3[#Data],2,FALSE)</f>
        <v>Kadir TOPÇU</v>
      </c>
    </row>
    <row r="2089" spans="1:27" x14ac:dyDescent="0.25">
      <c r="A2089">
        <v>3441</v>
      </c>
      <c r="B2089" t="s">
        <v>27</v>
      </c>
      <c r="C2089" t="s">
        <v>40</v>
      </c>
      <c r="D2089" t="s">
        <v>41</v>
      </c>
      <c r="G2089" t="s">
        <v>67</v>
      </c>
      <c r="H2089" t="s">
        <v>7049</v>
      </c>
      <c r="I2089" s="4">
        <v>44712.875</v>
      </c>
      <c r="K2089" t="s">
        <v>678</v>
      </c>
      <c r="L2089" s="5"/>
      <c r="M2089" s="5"/>
      <c r="N2089" t="s">
        <v>82</v>
      </c>
      <c r="O2089" t="s">
        <v>7050</v>
      </c>
      <c r="R2089">
        <v>1</v>
      </c>
      <c r="T2089" s="5"/>
      <c r="W2089">
        <v>208</v>
      </c>
      <c r="X2089" t="s">
        <v>594</v>
      </c>
      <c r="Y2089" t="str">
        <f>VLOOKUP(C2089,'[1]DBS_KPY Sorumlular'!A:C,2,FALSE)</f>
        <v>Mustafa AYDIN</v>
      </c>
      <c r="Z2089" t="str">
        <f>VLOOKUP(C2089,'[1]DBS_KPY Sorumlular'!A:C,3,FALSE)</f>
        <v>Esra DOLAN</v>
      </c>
      <c r="AA2089" t="str">
        <f>VLOOKUP(K2089,[1]!Tablo3[#Data],2,FALSE)</f>
        <v>Kadir TOPÇU</v>
      </c>
    </row>
    <row r="2090" spans="1:27" x14ac:dyDescent="0.25">
      <c r="A2090">
        <v>3442</v>
      </c>
      <c r="B2090" t="s">
        <v>27</v>
      </c>
      <c r="C2090" t="s">
        <v>40</v>
      </c>
      <c r="D2090" t="s">
        <v>41</v>
      </c>
      <c r="G2090" t="s">
        <v>43</v>
      </c>
      <c r="H2090" t="s">
        <v>7051</v>
      </c>
      <c r="I2090" s="4">
        <v>45077.875</v>
      </c>
      <c r="K2090" t="s">
        <v>678</v>
      </c>
      <c r="L2090" s="5"/>
      <c r="M2090" s="5"/>
      <c r="N2090" t="s">
        <v>82</v>
      </c>
      <c r="O2090" t="s">
        <v>7052</v>
      </c>
      <c r="R2090">
        <v>1</v>
      </c>
      <c r="T2090" s="5"/>
      <c r="W2090">
        <v>210</v>
      </c>
      <c r="X2090" t="s">
        <v>7053</v>
      </c>
      <c r="Y2090" t="str">
        <f>VLOOKUP(C2090,'[1]DBS_KPY Sorumlular'!A:C,2,FALSE)</f>
        <v>Mustafa AYDIN</v>
      </c>
      <c r="Z2090" t="str">
        <f>VLOOKUP(C2090,'[1]DBS_KPY Sorumlular'!A:C,3,FALSE)</f>
        <v>Esra DOLAN</v>
      </c>
      <c r="AA2090" t="str">
        <f>VLOOKUP(K2090,[1]!Tablo3[#Data],2,FALSE)</f>
        <v>Kadir TOPÇU</v>
      </c>
    </row>
    <row r="2091" spans="1:27" x14ac:dyDescent="0.25">
      <c r="A2091">
        <v>3443</v>
      </c>
      <c r="B2091" t="s">
        <v>27</v>
      </c>
      <c r="C2091" t="s">
        <v>40</v>
      </c>
      <c r="D2091" t="s">
        <v>41</v>
      </c>
      <c r="G2091" t="s">
        <v>43</v>
      </c>
      <c r="H2091" t="s">
        <v>7054</v>
      </c>
      <c r="I2091" s="4">
        <v>45077.875</v>
      </c>
      <c r="K2091" t="s">
        <v>678</v>
      </c>
      <c r="L2091" s="5"/>
      <c r="M2091" s="5"/>
      <c r="N2091" t="s">
        <v>82</v>
      </c>
      <c r="O2091" t="s">
        <v>7055</v>
      </c>
      <c r="R2091">
        <v>1</v>
      </c>
      <c r="T2091" s="5"/>
      <c r="W2091">
        <v>86</v>
      </c>
      <c r="X2091" t="s">
        <v>189</v>
      </c>
      <c r="Y2091" t="str">
        <f>VLOOKUP(C2091,'[1]DBS_KPY Sorumlular'!A:C,2,FALSE)</f>
        <v>Mustafa AYDIN</v>
      </c>
      <c r="Z2091" t="str">
        <f>VLOOKUP(C2091,'[1]DBS_KPY Sorumlular'!A:C,3,FALSE)</f>
        <v>Esra DOLAN</v>
      </c>
      <c r="AA2091" t="str">
        <f>VLOOKUP(K2091,[1]!Tablo3[#Data],2,FALSE)</f>
        <v>Kadir TOPÇU</v>
      </c>
    </row>
    <row r="2092" spans="1:27" x14ac:dyDescent="0.25">
      <c r="A2092">
        <v>3444</v>
      </c>
      <c r="B2092" t="s">
        <v>27</v>
      </c>
      <c r="C2092" t="s">
        <v>40</v>
      </c>
      <c r="D2092" t="s">
        <v>41</v>
      </c>
      <c r="G2092" t="s">
        <v>67</v>
      </c>
      <c r="H2092" t="s">
        <v>7056</v>
      </c>
      <c r="I2092" s="4">
        <v>45077.875</v>
      </c>
      <c r="K2092" t="s">
        <v>678</v>
      </c>
      <c r="L2092" s="5"/>
      <c r="M2092" s="5"/>
      <c r="N2092" t="s">
        <v>82</v>
      </c>
      <c r="O2092" t="s">
        <v>7057</v>
      </c>
      <c r="R2092">
        <v>1</v>
      </c>
      <c r="T2092" s="5"/>
      <c r="W2092">
        <v>104</v>
      </c>
      <c r="X2092" t="s">
        <v>703</v>
      </c>
      <c r="Y2092" t="str">
        <f>VLOOKUP(C2092,'[1]DBS_KPY Sorumlular'!A:C,2,FALSE)</f>
        <v>Mustafa AYDIN</v>
      </c>
      <c r="Z2092" t="str">
        <f>VLOOKUP(C2092,'[1]DBS_KPY Sorumlular'!A:C,3,FALSE)</f>
        <v>Esra DOLAN</v>
      </c>
      <c r="AA2092" t="str">
        <f>VLOOKUP(K2092,[1]!Tablo3[#Data],2,FALSE)</f>
        <v>Kadir TOPÇU</v>
      </c>
    </row>
    <row r="2093" spans="1:27" x14ac:dyDescent="0.25">
      <c r="A2093">
        <v>3445</v>
      </c>
      <c r="B2093" t="s">
        <v>27</v>
      </c>
      <c r="C2093" t="s">
        <v>40</v>
      </c>
      <c r="D2093" t="s">
        <v>41</v>
      </c>
      <c r="G2093" t="s">
        <v>43</v>
      </c>
      <c r="H2093" t="s">
        <v>7058</v>
      </c>
      <c r="I2093" s="4">
        <v>45443.875</v>
      </c>
      <c r="K2093" t="s">
        <v>678</v>
      </c>
      <c r="L2093" s="5"/>
      <c r="M2093" s="5"/>
      <c r="N2093" t="s">
        <v>82</v>
      </c>
      <c r="O2093" t="s">
        <v>7059</v>
      </c>
      <c r="R2093">
        <v>1</v>
      </c>
      <c r="T2093" s="5"/>
      <c r="W2093">
        <v>108</v>
      </c>
      <c r="X2093" t="s">
        <v>107</v>
      </c>
      <c r="Y2093" t="str">
        <f>VLOOKUP(C2093,'[1]DBS_KPY Sorumlular'!A:C,2,FALSE)</f>
        <v>Mustafa AYDIN</v>
      </c>
      <c r="Z2093" t="str">
        <f>VLOOKUP(C2093,'[1]DBS_KPY Sorumlular'!A:C,3,FALSE)</f>
        <v>Esra DOLAN</v>
      </c>
      <c r="AA2093" t="str">
        <f>VLOOKUP(K2093,[1]!Tablo3[#Data],2,FALSE)</f>
        <v>Kadir TOPÇU</v>
      </c>
    </row>
    <row r="2094" spans="1:27" x14ac:dyDescent="0.25">
      <c r="A2094">
        <v>3446</v>
      </c>
      <c r="B2094" t="s">
        <v>27</v>
      </c>
      <c r="C2094" t="s">
        <v>40</v>
      </c>
      <c r="D2094" t="s">
        <v>41</v>
      </c>
      <c r="G2094" t="s">
        <v>456</v>
      </c>
      <c r="H2094" t="s">
        <v>7060</v>
      </c>
      <c r="I2094" s="4">
        <v>45443.875</v>
      </c>
      <c r="K2094" t="s">
        <v>678</v>
      </c>
      <c r="L2094" s="5"/>
      <c r="M2094" s="5"/>
      <c r="N2094" t="s">
        <v>82</v>
      </c>
      <c r="O2094" t="s">
        <v>7061</v>
      </c>
      <c r="R2094">
        <v>1</v>
      </c>
      <c r="T2094" s="5"/>
      <c r="W2094">
        <v>258</v>
      </c>
      <c r="X2094" t="s">
        <v>1811</v>
      </c>
      <c r="Y2094" t="str">
        <f>VLOOKUP(C2094,'[1]DBS_KPY Sorumlular'!A:C,2,FALSE)</f>
        <v>Mustafa AYDIN</v>
      </c>
      <c r="Z2094" t="str">
        <f>VLOOKUP(C2094,'[1]DBS_KPY Sorumlular'!A:C,3,FALSE)</f>
        <v>Esra DOLAN</v>
      </c>
      <c r="AA2094" t="str">
        <f>VLOOKUP(K2094,[1]!Tablo3[#Data],2,FALSE)</f>
        <v>Kadir TOPÇU</v>
      </c>
    </row>
    <row r="2095" spans="1:27" x14ac:dyDescent="0.25">
      <c r="A2095">
        <v>3447</v>
      </c>
      <c r="B2095" t="s">
        <v>27</v>
      </c>
      <c r="C2095" t="s">
        <v>40</v>
      </c>
      <c r="D2095" t="s">
        <v>41</v>
      </c>
      <c r="G2095" t="s">
        <v>43</v>
      </c>
      <c r="H2095" t="s">
        <v>7062</v>
      </c>
      <c r="I2095" s="4">
        <v>45443.875</v>
      </c>
      <c r="K2095" t="s">
        <v>678</v>
      </c>
      <c r="L2095" s="5"/>
      <c r="M2095" s="5"/>
      <c r="N2095" t="s">
        <v>82</v>
      </c>
      <c r="O2095" t="s">
        <v>7063</v>
      </c>
      <c r="R2095">
        <v>1</v>
      </c>
      <c r="T2095" s="5"/>
      <c r="W2095">
        <v>108</v>
      </c>
      <c r="X2095" t="s">
        <v>107</v>
      </c>
      <c r="Y2095" t="str">
        <f>VLOOKUP(C2095,'[1]DBS_KPY Sorumlular'!A:C,2,FALSE)</f>
        <v>Mustafa AYDIN</v>
      </c>
      <c r="Z2095" t="str">
        <f>VLOOKUP(C2095,'[1]DBS_KPY Sorumlular'!A:C,3,FALSE)</f>
        <v>Esra DOLAN</v>
      </c>
      <c r="AA2095" t="str">
        <f>VLOOKUP(K2095,[1]!Tablo3[#Data],2,FALSE)</f>
        <v>Kadir TOPÇU</v>
      </c>
    </row>
    <row r="2096" spans="1:27" x14ac:dyDescent="0.25">
      <c r="A2096">
        <v>3448</v>
      </c>
      <c r="B2096" t="s">
        <v>27</v>
      </c>
      <c r="C2096" t="s">
        <v>40</v>
      </c>
      <c r="D2096" t="s">
        <v>41</v>
      </c>
      <c r="G2096" t="s">
        <v>384</v>
      </c>
      <c r="H2096" t="s">
        <v>7064</v>
      </c>
      <c r="I2096" s="4">
        <v>43616.875</v>
      </c>
      <c r="K2096" t="s">
        <v>743</v>
      </c>
      <c r="L2096" s="5"/>
      <c r="M2096" s="5"/>
      <c r="N2096" t="s">
        <v>82</v>
      </c>
      <c r="O2096" t="s">
        <v>7065</v>
      </c>
      <c r="R2096">
        <v>1</v>
      </c>
      <c r="T2096" s="5"/>
      <c r="W2096">
        <v>196</v>
      </c>
      <c r="X2096" t="s">
        <v>7066</v>
      </c>
      <c r="Y2096" t="str">
        <f>VLOOKUP(C2096,'[1]DBS_KPY Sorumlular'!A:C,2,FALSE)</f>
        <v>Mustafa AYDIN</v>
      </c>
      <c r="Z2096" t="str">
        <f>VLOOKUP(C2096,'[1]DBS_KPY Sorumlular'!A:C,3,FALSE)</f>
        <v>Esra DOLAN</v>
      </c>
      <c r="AA2096" t="str">
        <f>VLOOKUP(K2096,[1]!Tablo3[#Data],2,FALSE)</f>
        <v>Kadir TOPÇU</v>
      </c>
    </row>
    <row r="2097" spans="1:27" x14ac:dyDescent="0.25">
      <c r="A2097">
        <v>3449</v>
      </c>
      <c r="B2097" t="s">
        <v>27</v>
      </c>
      <c r="C2097" t="s">
        <v>40</v>
      </c>
      <c r="D2097" t="s">
        <v>41</v>
      </c>
      <c r="G2097" t="s">
        <v>43</v>
      </c>
      <c r="H2097" t="s">
        <v>7067</v>
      </c>
      <c r="I2097" s="4">
        <v>43616.875</v>
      </c>
      <c r="K2097" t="s">
        <v>743</v>
      </c>
      <c r="L2097" s="5"/>
      <c r="M2097" s="5"/>
      <c r="N2097" t="s">
        <v>82</v>
      </c>
      <c r="O2097" t="s">
        <v>7068</v>
      </c>
      <c r="R2097">
        <v>1</v>
      </c>
      <c r="T2097" s="5"/>
      <c r="W2097">
        <v>79</v>
      </c>
      <c r="X2097" t="s">
        <v>1619</v>
      </c>
      <c r="Y2097" t="str">
        <f>VLOOKUP(C2097,'[1]DBS_KPY Sorumlular'!A:C,2,FALSE)</f>
        <v>Mustafa AYDIN</v>
      </c>
      <c r="Z2097" t="str">
        <f>VLOOKUP(C2097,'[1]DBS_KPY Sorumlular'!A:C,3,FALSE)</f>
        <v>Esra DOLAN</v>
      </c>
      <c r="AA2097" t="str">
        <f>VLOOKUP(K2097,[1]!Tablo3[#Data],2,FALSE)</f>
        <v>Kadir TOPÇU</v>
      </c>
    </row>
    <row r="2098" spans="1:27" x14ac:dyDescent="0.25">
      <c r="A2098">
        <v>3450</v>
      </c>
      <c r="B2098" t="s">
        <v>27</v>
      </c>
      <c r="C2098" t="s">
        <v>40</v>
      </c>
      <c r="D2098" t="s">
        <v>41</v>
      </c>
      <c r="G2098" t="s">
        <v>384</v>
      </c>
      <c r="H2098" t="s">
        <v>7069</v>
      </c>
      <c r="I2098" s="4">
        <v>43982.875</v>
      </c>
      <c r="K2098" t="s">
        <v>743</v>
      </c>
      <c r="L2098" s="5"/>
      <c r="M2098" s="5"/>
      <c r="N2098" t="s">
        <v>82</v>
      </c>
      <c r="O2098" t="s">
        <v>7070</v>
      </c>
      <c r="R2098">
        <v>1</v>
      </c>
      <c r="T2098" s="5"/>
      <c r="W2098">
        <v>196</v>
      </c>
      <c r="X2098" t="s">
        <v>7066</v>
      </c>
      <c r="Y2098" t="str">
        <f>VLOOKUP(C2098,'[1]DBS_KPY Sorumlular'!A:C,2,FALSE)</f>
        <v>Mustafa AYDIN</v>
      </c>
      <c r="Z2098" t="str">
        <f>VLOOKUP(C2098,'[1]DBS_KPY Sorumlular'!A:C,3,FALSE)</f>
        <v>Esra DOLAN</v>
      </c>
      <c r="AA2098" t="str">
        <f>VLOOKUP(K2098,[1]!Tablo3[#Data],2,FALSE)</f>
        <v>Kadir TOPÇU</v>
      </c>
    </row>
    <row r="2099" spans="1:27" x14ac:dyDescent="0.25">
      <c r="A2099">
        <v>3451</v>
      </c>
      <c r="B2099" t="s">
        <v>27</v>
      </c>
      <c r="C2099" t="s">
        <v>40</v>
      </c>
      <c r="D2099" t="s">
        <v>41</v>
      </c>
      <c r="G2099" t="s">
        <v>43</v>
      </c>
      <c r="H2099" t="s">
        <v>7071</v>
      </c>
      <c r="I2099" s="4">
        <v>43982.875</v>
      </c>
      <c r="K2099" t="s">
        <v>743</v>
      </c>
      <c r="L2099" s="5"/>
      <c r="M2099" s="5"/>
      <c r="N2099" t="s">
        <v>82</v>
      </c>
      <c r="O2099" t="s">
        <v>7072</v>
      </c>
      <c r="R2099">
        <v>1</v>
      </c>
      <c r="T2099" s="5"/>
      <c r="W2099">
        <v>122</v>
      </c>
      <c r="X2099" t="s">
        <v>7073</v>
      </c>
      <c r="Y2099" t="str">
        <f>VLOOKUP(C2099,'[1]DBS_KPY Sorumlular'!A:C,2,FALSE)</f>
        <v>Mustafa AYDIN</v>
      </c>
      <c r="Z2099" t="str">
        <f>VLOOKUP(C2099,'[1]DBS_KPY Sorumlular'!A:C,3,FALSE)</f>
        <v>Esra DOLAN</v>
      </c>
      <c r="AA2099" t="str">
        <f>VLOOKUP(K2099,[1]!Tablo3[#Data],2,FALSE)</f>
        <v>Kadir TOPÇU</v>
      </c>
    </row>
    <row r="2100" spans="1:27" x14ac:dyDescent="0.25">
      <c r="A2100">
        <v>3452</v>
      </c>
      <c r="B2100" t="s">
        <v>27</v>
      </c>
      <c r="C2100" t="s">
        <v>40</v>
      </c>
      <c r="D2100" t="s">
        <v>65</v>
      </c>
      <c r="G2100" t="s">
        <v>67</v>
      </c>
      <c r="H2100" t="s">
        <v>7074</v>
      </c>
      <c r="I2100" s="4">
        <v>43982.875</v>
      </c>
      <c r="K2100" t="s">
        <v>678</v>
      </c>
      <c r="L2100" s="5"/>
      <c r="M2100" s="5"/>
      <c r="N2100" t="s">
        <v>82</v>
      </c>
      <c r="O2100" t="s">
        <v>7075</v>
      </c>
      <c r="R2100">
        <v>1</v>
      </c>
      <c r="T2100" s="5" t="s">
        <v>48</v>
      </c>
      <c r="U2100" t="s">
        <v>7076</v>
      </c>
      <c r="V2100" t="s">
        <v>7077</v>
      </c>
      <c r="W2100">
        <v>203</v>
      </c>
      <c r="X2100" t="s">
        <v>72</v>
      </c>
      <c r="Y2100" t="str">
        <f>VLOOKUP(C2100,'[1]DBS_KPY Sorumlular'!A:C,2,FALSE)</f>
        <v>Mustafa AYDIN</v>
      </c>
      <c r="Z2100" t="str">
        <f>VLOOKUP(C2100,'[1]DBS_KPY Sorumlular'!A:C,3,FALSE)</f>
        <v>Esra DOLAN</v>
      </c>
      <c r="AA2100" t="str">
        <f>VLOOKUP(K2100,[1]!Tablo3[#Data],2,FALSE)</f>
        <v>Kadir TOPÇU</v>
      </c>
    </row>
    <row r="2101" spans="1:27" x14ac:dyDescent="0.25">
      <c r="A2101">
        <v>3453</v>
      </c>
      <c r="B2101" t="s">
        <v>27</v>
      </c>
      <c r="C2101" t="s">
        <v>40</v>
      </c>
      <c r="D2101" t="s">
        <v>41</v>
      </c>
      <c r="G2101" t="s">
        <v>384</v>
      </c>
      <c r="H2101" t="s">
        <v>7078</v>
      </c>
      <c r="I2101" s="4">
        <v>43982.875</v>
      </c>
      <c r="K2101" t="s">
        <v>678</v>
      </c>
      <c r="L2101" s="5"/>
      <c r="M2101" s="5"/>
      <c r="N2101" t="s">
        <v>82</v>
      </c>
      <c r="O2101" t="s">
        <v>7079</v>
      </c>
      <c r="R2101">
        <v>1</v>
      </c>
      <c r="T2101" s="5"/>
      <c r="W2101">
        <v>79</v>
      </c>
      <c r="X2101" t="s">
        <v>1619</v>
      </c>
      <c r="Y2101" t="str">
        <f>VLOOKUP(C2101,'[1]DBS_KPY Sorumlular'!A:C,2,FALSE)</f>
        <v>Mustafa AYDIN</v>
      </c>
      <c r="Z2101" t="str">
        <f>VLOOKUP(C2101,'[1]DBS_KPY Sorumlular'!A:C,3,FALSE)</f>
        <v>Esra DOLAN</v>
      </c>
      <c r="AA2101" t="str">
        <f>VLOOKUP(K2101,[1]!Tablo3[#Data],2,FALSE)</f>
        <v>Kadir TOPÇU</v>
      </c>
    </row>
    <row r="2102" spans="1:27" x14ac:dyDescent="0.25">
      <c r="A2102">
        <v>3454</v>
      </c>
      <c r="B2102" t="s">
        <v>27</v>
      </c>
      <c r="C2102" t="s">
        <v>40</v>
      </c>
      <c r="D2102" t="s">
        <v>41</v>
      </c>
      <c r="G2102" t="s">
        <v>384</v>
      </c>
      <c r="H2102" t="s">
        <v>7080</v>
      </c>
      <c r="I2102" s="4">
        <v>43982.875</v>
      </c>
      <c r="K2102" t="s">
        <v>743</v>
      </c>
      <c r="L2102" s="5"/>
      <c r="M2102" s="5"/>
      <c r="N2102" t="s">
        <v>82</v>
      </c>
      <c r="O2102" t="s">
        <v>7081</v>
      </c>
      <c r="R2102">
        <v>1</v>
      </c>
      <c r="T2102" s="5"/>
      <c r="W2102">
        <v>219</v>
      </c>
      <c r="X2102" t="s">
        <v>7082</v>
      </c>
      <c r="Y2102" t="str">
        <f>VLOOKUP(C2102,'[1]DBS_KPY Sorumlular'!A:C,2,FALSE)</f>
        <v>Mustafa AYDIN</v>
      </c>
      <c r="Z2102" t="str">
        <f>VLOOKUP(C2102,'[1]DBS_KPY Sorumlular'!A:C,3,FALSE)</f>
        <v>Esra DOLAN</v>
      </c>
      <c r="AA2102" t="str">
        <f>VLOOKUP(K2102,[1]!Tablo3[#Data],2,FALSE)</f>
        <v>Kadir TOPÇU</v>
      </c>
    </row>
    <row r="2103" spans="1:27" x14ac:dyDescent="0.25">
      <c r="A2103">
        <v>3455</v>
      </c>
      <c r="B2103" t="s">
        <v>27</v>
      </c>
      <c r="C2103" t="s">
        <v>40</v>
      </c>
      <c r="D2103" t="s">
        <v>41</v>
      </c>
      <c r="G2103" t="s">
        <v>384</v>
      </c>
      <c r="H2103" t="s">
        <v>7083</v>
      </c>
      <c r="I2103" s="4">
        <v>43982.875</v>
      </c>
      <c r="K2103" t="s">
        <v>743</v>
      </c>
      <c r="L2103" s="5"/>
      <c r="M2103" s="5"/>
      <c r="N2103" t="s">
        <v>82</v>
      </c>
      <c r="O2103" t="s">
        <v>7084</v>
      </c>
      <c r="R2103">
        <v>1</v>
      </c>
      <c r="T2103" s="5"/>
      <c r="W2103">
        <v>134</v>
      </c>
      <c r="X2103" t="s">
        <v>1577</v>
      </c>
      <c r="Y2103" t="str">
        <f>VLOOKUP(C2103,'[1]DBS_KPY Sorumlular'!A:C,2,FALSE)</f>
        <v>Mustafa AYDIN</v>
      </c>
      <c r="Z2103" t="str">
        <f>VLOOKUP(C2103,'[1]DBS_KPY Sorumlular'!A:C,3,FALSE)</f>
        <v>Esra DOLAN</v>
      </c>
      <c r="AA2103" t="str">
        <f>VLOOKUP(K2103,[1]!Tablo3[#Data],2,FALSE)</f>
        <v>Kadir TOPÇU</v>
      </c>
    </row>
    <row r="2104" spans="1:27" x14ac:dyDescent="0.25">
      <c r="A2104">
        <v>3456</v>
      </c>
      <c r="B2104" t="s">
        <v>27</v>
      </c>
      <c r="C2104" t="s">
        <v>40</v>
      </c>
      <c r="D2104" t="s">
        <v>41</v>
      </c>
      <c r="G2104" t="s">
        <v>96</v>
      </c>
      <c r="H2104" t="s">
        <v>7085</v>
      </c>
      <c r="I2104" s="4">
        <v>43982.875</v>
      </c>
      <c r="K2104" t="s">
        <v>743</v>
      </c>
      <c r="L2104" s="5"/>
      <c r="M2104" s="5"/>
      <c r="N2104" t="s">
        <v>82</v>
      </c>
      <c r="O2104" t="s">
        <v>7086</v>
      </c>
      <c r="R2104">
        <v>1</v>
      </c>
      <c r="T2104" s="5"/>
      <c r="W2104">
        <v>28</v>
      </c>
      <c r="X2104" t="s">
        <v>667</v>
      </c>
      <c r="Y2104" t="str">
        <f>VLOOKUP(C2104,'[1]DBS_KPY Sorumlular'!A:C,2,FALSE)</f>
        <v>Mustafa AYDIN</v>
      </c>
      <c r="Z2104" t="str">
        <f>VLOOKUP(C2104,'[1]DBS_KPY Sorumlular'!A:C,3,FALSE)</f>
        <v>Esra DOLAN</v>
      </c>
      <c r="AA2104" t="str">
        <f>VLOOKUP(K2104,[1]!Tablo3[#Data],2,FALSE)</f>
        <v>Kadir TOPÇU</v>
      </c>
    </row>
    <row r="2105" spans="1:27" x14ac:dyDescent="0.25">
      <c r="A2105">
        <v>3457</v>
      </c>
      <c r="B2105" t="s">
        <v>27</v>
      </c>
      <c r="C2105" t="s">
        <v>40</v>
      </c>
      <c r="D2105" t="s">
        <v>41</v>
      </c>
      <c r="G2105" t="s">
        <v>384</v>
      </c>
      <c r="H2105" t="s">
        <v>7087</v>
      </c>
      <c r="I2105" s="4">
        <v>43982.875</v>
      </c>
      <c r="K2105" t="s">
        <v>743</v>
      </c>
      <c r="L2105" s="5"/>
      <c r="M2105" s="5"/>
      <c r="N2105" t="s">
        <v>82</v>
      </c>
      <c r="O2105" t="s">
        <v>7088</v>
      </c>
      <c r="R2105">
        <v>1</v>
      </c>
      <c r="T2105" s="5"/>
      <c r="W2105">
        <v>246</v>
      </c>
      <c r="X2105" t="s">
        <v>7089</v>
      </c>
      <c r="Y2105" t="str">
        <f>VLOOKUP(C2105,'[1]DBS_KPY Sorumlular'!A:C,2,FALSE)</f>
        <v>Mustafa AYDIN</v>
      </c>
      <c r="Z2105" t="str">
        <f>VLOOKUP(C2105,'[1]DBS_KPY Sorumlular'!A:C,3,FALSE)</f>
        <v>Esra DOLAN</v>
      </c>
      <c r="AA2105" t="str">
        <f>VLOOKUP(K2105,[1]!Tablo3[#Data],2,FALSE)</f>
        <v>Kadir TOPÇU</v>
      </c>
    </row>
    <row r="2106" spans="1:27" x14ac:dyDescent="0.25">
      <c r="A2106">
        <v>3458</v>
      </c>
      <c r="B2106" t="s">
        <v>27</v>
      </c>
      <c r="C2106" t="s">
        <v>40</v>
      </c>
      <c r="D2106" t="s">
        <v>41</v>
      </c>
      <c r="G2106" t="s">
        <v>384</v>
      </c>
      <c r="H2106" t="s">
        <v>7090</v>
      </c>
      <c r="I2106" s="4">
        <v>43982.875</v>
      </c>
      <c r="K2106" t="s">
        <v>743</v>
      </c>
      <c r="L2106" s="5"/>
      <c r="M2106" s="5"/>
      <c r="N2106" t="s">
        <v>82</v>
      </c>
      <c r="O2106" t="s">
        <v>7091</v>
      </c>
      <c r="R2106">
        <v>1</v>
      </c>
      <c r="T2106" s="5"/>
      <c r="W2106">
        <v>124</v>
      </c>
      <c r="X2106" t="s">
        <v>7092</v>
      </c>
      <c r="Y2106" t="str">
        <f>VLOOKUP(C2106,'[1]DBS_KPY Sorumlular'!A:C,2,FALSE)</f>
        <v>Mustafa AYDIN</v>
      </c>
      <c r="Z2106" t="str">
        <f>VLOOKUP(C2106,'[1]DBS_KPY Sorumlular'!A:C,3,FALSE)</f>
        <v>Esra DOLAN</v>
      </c>
      <c r="AA2106" t="str">
        <f>VLOOKUP(K2106,[1]!Tablo3[#Data],2,FALSE)</f>
        <v>Kadir TOPÇU</v>
      </c>
    </row>
    <row r="2107" spans="1:27" x14ac:dyDescent="0.25">
      <c r="A2107">
        <v>3459</v>
      </c>
      <c r="B2107" t="s">
        <v>27</v>
      </c>
      <c r="C2107" t="s">
        <v>40</v>
      </c>
      <c r="D2107" t="s">
        <v>41</v>
      </c>
      <c r="G2107" t="s">
        <v>43</v>
      </c>
      <c r="H2107" t="s">
        <v>7093</v>
      </c>
      <c r="I2107" s="4">
        <v>43982.875</v>
      </c>
      <c r="K2107" t="s">
        <v>743</v>
      </c>
      <c r="L2107" s="5"/>
      <c r="M2107" s="5"/>
      <c r="N2107" t="s">
        <v>82</v>
      </c>
      <c r="O2107" t="s">
        <v>7094</v>
      </c>
      <c r="R2107">
        <v>1</v>
      </c>
      <c r="T2107" s="5"/>
      <c r="W2107">
        <v>171</v>
      </c>
      <c r="X2107" t="s">
        <v>1239</v>
      </c>
      <c r="Y2107" t="str">
        <f>VLOOKUP(C2107,'[1]DBS_KPY Sorumlular'!A:C,2,FALSE)</f>
        <v>Mustafa AYDIN</v>
      </c>
      <c r="Z2107" t="str">
        <f>VLOOKUP(C2107,'[1]DBS_KPY Sorumlular'!A:C,3,FALSE)</f>
        <v>Esra DOLAN</v>
      </c>
      <c r="AA2107" t="str">
        <f>VLOOKUP(K2107,[1]!Tablo3[#Data],2,FALSE)</f>
        <v>Kadir TOPÇU</v>
      </c>
    </row>
    <row r="2108" spans="1:27" x14ac:dyDescent="0.25">
      <c r="A2108">
        <v>3460</v>
      </c>
      <c r="B2108" t="s">
        <v>27</v>
      </c>
      <c r="C2108" t="s">
        <v>40</v>
      </c>
      <c r="D2108" t="s">
        <v>41</v>
      </c>
      <c r="G2108" t="s">
        <v>384</v>
      </c>
      <c r="H2108" t="s">
        <v>7095</v>
      </c>
      <c r="I2108" s="4">
        <v>44347.875</v>
      </c>
      <c r="K2108" t="s">
        <v>743</v>
      </c>
      <c r="L2108" s="5"/>
      <c r="M2108" s="5"/>
      <c r="N2108" t="s">
        <v>82</v>
      </c>
      <c r="O2108" t="s">
        <v>7096</v>
      </c>
      <c r="R2108">
        <v>1</v>
      </c>
      <c r="T2108" s="5"/>
      <c r="W2108">
        <v>123</v>
      </c>
      <c r="X2108" t="s">
        <v>765</v>
      </c>
      <c r="Y2108" t="str">
        <f>VLOOKUP(C2108,'[1]DBS_KPY Sorumlular'!A:C,2,FALSE)</f>
        <v>Mustafa AYDIN</v>
      </c>
      <c r="Z2108" t="str">
        <f>VLOOKUP(C2108,'[1]DBS_KPY Sorumlular'!A:C,3,FALSE)</f>
        <v>Esra DOLAN</v>
      </c>
      <c r="AA2108" t="str">
        <f>VLOOKUP(K2108,[1]!Tablo3[#Data],2,FALSE)</f>
        <v>Kadir TOPÇU</v>
      </c>
    </row>
    <row r="2109" spans="1:27" x14ac:dyDescent="0.25">
      <c r="A2109">
        <v>3461</v>
      </c>
      <c r="B2109" t="s">
        <v>27</v>
      </c>
      <c r="C2109" t="s">
        <v>40</v>
      </c>
      <c r="D2109" t="s">
        <v>41</v>
      </c>
      <c r="G2109" t="s">
        <v>456</v>
      </c>
      <c r="H2109" t="s">
        <v>7097</v>
      </c>
      <c r="I2109" s="4">
        <v>44347.875</v>
      </c>
      <c r="K2109" t="s">
        <v>743</v>
      </c>
      <c r="L2109" s="5"/>
      <c r="M2109" s="5"/>
      <c r="N2109" t="s">
        <v>82</v>
      </c>
      <c r="O2109" t="s">
        <v>7098</v>
      </c>
      <c r="R2109">
        <v>1</v>
      </c>
      <c r="T2109" s="5"/>
      <c r="W2109">
        <v>79</v>
      </c>
      <c r="X2109" t="s">
        <v>1619</v>
      </c>
      <c r="Y2109" t="str">
        <f>VLOOKUP(C2109,'[1]DBS_KPY Sorumlular'!A:C,2,FALSE)</f>
        <v>Mustafa AYDIN</v>
      </c>
      <c r="Z2109" t="str">
        <f>VLOOKUP(C2109,'[1]DBS_KPY Sorumlular'!A:C,3,FALSE)</f>
        <v>Esra DOLAN</v>
      </c>
      <c r="AA2109" t="str">
        <f>VLOOKUP(K2109,[1]!Tablo3[#Data],2,FALSE)</f>
        <v>Kadir TOPÇU</v>
      </c>
    </row>
    <row r="2110" spans="1:27" x14ac:dyDescent="0.25">
      <c r="A2110">
        <v>3462</v>
      </c>
      <c r="B2110" t="s">
        <v>27</v>
      </c>
      <c r="C2110" t="s">
        <v>40</v>
      </c>
      <c r="D2110" t="s">
        <v>41</v>
      </c>
      <c r="G2110" t="s">
        <v>384</v>
      </c>
      <c r="H2110" t="s">
        <v>7099</v>
      </c>
      <c r="I2110" s="4">
        <v>44347.875</v>
      </c>
      <c r="K2110" t="s">
        <v>743</v>
      </c>
      <c r="L2110" s="5"/>
      <c r="M2110" s="5"/>
      <c r="N2110" t="s">
        <v>82</v>
      </c>
      <c r="O2110" t="s">
        <v>7100</v>
      </c>
      <c r="R2110">
        <v>1</v>
      </c>
      <c r="T2110" s="5"/>
      <c r="W2110">
        <v>196</v>
      </c>
      <c r="X2110" t="s">
        <v>7066</v>
      </c>
      <c r="Y2110" t="str">
        <f>VLOOKUP(C2110,'[1]DBS_KPY Sorumlular'!A:C,2,FALSE)</f>
        <v>Mustafa AYDIN</v>
      </c>
      <c r="Z2110" t="str">
        <f>VLOOKUP(C2110,'[1]DBS_KPY Sorumlular'!A:C,3,FALSE)</f>
        <v>Esra DOLAN</v>
      </c>
      <c r="AA2110" t="str">
        <f>VLOOKUP(K2110,[1]!Tablo3[#Data],2,FALSE)</f>
        <v>Kadir TOPÇU</v>
      </c>
    </row>
    <row r="2111" spans="1:27" x14ac:dyDescent="0.25">
      <c r="A2111">
        <v>3463</v>
      </c>
      <c r="B2111" t="s">
        <v>27</v>
      </c>
      <c r="C2111" t="s">
        <v>40</v>
      </c>
      <c r="D2111" t="s">
        <v>41</v>
      </c>
      <c r="G2111" t="s">
        <v>96</v>
      </c>
      <c r="H2111" t="s">
        <v>7101</v>
      </c>
      <c r="I2111" s="4">
        <v>44712.875</v>
      </c>
      <c r="K2111" t="s">
        <v>743</v>
      </c>
      <c r="L2111" s="5"/>
      <c r="M2111" s="5"/>
      <c r="N2111" t="s">
        <v>82</v>
      </c>
      <c r="O2111" t="s">
        <v>7102</v>
      </c>
      <c r="R2111">
        <v>1</v>
      </c>
      <c r="T2111" s="5"/>
      <c r="W2111">
        <v>91</v>
      </c>
      <c r="X2111" t="s">
        <v>101</v>
      </c>
      <c r="Y2111" t="str">
        <f>VLOOKUP(C2111,'[1]DBS_KPY Sorumlular'!A:C,2,FALSE)</f>
        <v>Mustafa AYDIN</v>
      </c>
      <c r="Z2111" t="str">
        <f>VLOOKUP(C2111,'[1]DBS_KPY Sorumlular'!A:C,3,FALSE)</f>
        <v>Esra DOLAN</v>
      </c>
      <c r="AA2111" t="str">
        <f>VLOOKUP(K2111,[1]!Tablo3[#Data],2,FALSE)</f>
        <v>Kadir TOPÇU</v>
      </c>
    </row>
    <row r="2112" spans="1:27" x14ac:dyDescent="0.25">
      <c r="A2112">
        <v>3464</v>
      </c>
      <c r="B2112" t="s">
        <v>27</v>
      </c>
      <c r="C2112" t="s">
        <v>40</v>
      </c>
      <c r="D2112" t="s">
        <v>41</v>
      </c>
      <c r="G2112" t="s">
        <v>384</v>
      </c>
      <c r="H2112" t="s">
        <v>7103</v>
      </c>
      <c r="I2112" s="4">
        <v>44712.875</v>
      </c>
      <c r="K2112" t="s">
        <v>743</v>
      </c>
      <c r="L2112" s="5"/>
      <c r="M2112" s="5"/>
      <c r="N2112" t="s">
        <v>82</v>
      </c>
      <c r="O2112" t="s">
        <v>7104</v>
      </c>
      <c r="R2112">
        <v>1</v>
      </c>
      <c r="T2112" s="5"/>
      <c r="W2112">
        <v>154</v>
      </c>
      <c r="X2112" t="s">
        <v>4370</v>
      </c>
      <c r="Y2112" t="str">
        <f>VLOOKUP(C2112,'[1]DBS_KPY Sorumlular'!A:C,2,FALSE)</f>
        <v>Mustafa AYDIN</v>
      </c>
      <c r="Z2112" t="str">
        <f>VLOOKUP(C2112,'[1]DBS_KPY Sorumlular'!A:C,3,FALSE)</f>
        <v>Esra DOLAN</v>
      </c>
      <c r="AA2112" t="str">
        <f>VLOOKUP(K2112,[1]!Tablo3[#Data],2,FALSE)</f>
        <v>Kadir TOPÇU</v>
      </c>
    </row>
    <row r="2113" spans="1:27" x14ac:dyDescent="0.25">
      <c r="A2113">
        <v>3465</v>
      </c>
      <c r="B2113" t="s">
        <v>27</v>
      </c>
      <c r="C2113" t="s">
        <v>40</v>
      </c>
      <c r="D2113" t="s">
        <v>41</v>
      </c>
      <c r="G2113" t="s">
        <v>384</v>
      </c>
      <c r="H2113" t="s">
        <v>7105</v>
      </c>
      <c r="I2113" s="4">
        <v>44712.875</v>
      </c>
      <c r="K2113" t="s">
        <v>743</v>
      </c>
      <c r="L2113" s="5"/>
      <c r="M2113" s="5"/>
      <c r="N2113" t="s">
        <v>82</v>
      </c>
      <c r="O2113" t="s">
        <v>7106</v>
      </c>
      <c r="R2113">
        <v>1</v>
      </c>
      <c r="T2113" s="5"/>
      <c r="W2113">
        <v>29</v>
      </c>
      <c r="X2113" t="s">
        <v>7107</v>
      </c>
      <c r="Y2113" t="str">
        <f>VLOOKUP(C2113,'[1]DBS_KPY Sorumlular'!A:C,2,FALSE)</f>
        <v>Mustafa AYDIN</v>
      </c>
      <c r="Z2113" t="str">
        <f>VLOOKUP(C2113,'[1]DBS_KPY Sorumlular'!A:C,3,FALSE)</f>
        <v>Esra DOLAN</v>
      </c>
      <c r="AA2113" t="str">
        <f>VLOOKUP(K2113,[1]!Tablo3[#Data],2,FALSE)</f>
        <v>Kadir TOPÇU</v>
      </c>
    </row>
    <row r="2114" spans="1:27" x14ac:dyDescent="0.25">
      <c r="A2114">
        <v>3466</v>
      </c>
      <c r="B2114" t="s">
        <v>27</v>
      </c>
      <c r="C2114" t="s">
        <v>40</v>
      </c>
      <c r="D2114" t="s">
        <v>41</v>
      </c>
      <c r="G2114" t="s">
        <v>384</v>
      </c>
      <c r="H2114" t="s">
        <v>7108</v>
      </c>
      <c r="I2114" s="4">
        <v>45077.875</v>
      </c>
      <c r="K2114" t="s">
        <v>743</v>
      </c>
      <c r="L2114" s="5"/>
      <c r="M2114" s="5"/>
      <c r="N2114" t="s">
        <v>82</v>
      </c>
      <c r="O2114" t="s">
        <v>7109</v>
      </c>
      <c r="R2114">
        <v>1</v>
      </c>
      <c r="T2114" s="5"/>
      <c r="W2114">
        <v>96</v>
      </c>
      <c r="X2114" t="s">
        <v>1379</v>
      </c>
      <c r="Y2114" t="str">
        <f>VLOOKUP(C2114,'[1]DBS_KPY Sorumlular'!A:C,2,FALSE)</f>
        <v>Mustafa AYDIN</v>
      </c>
      <c r="Z2114" t="str">
        <f>VLOOKUP(C2114,'[1]DBS_KPY Sorumlular'!A:C,3,FALSE)</f>
        <v>Esra DOLAN</v>
      </c>
      <c r="AA2114" t="str">
        <f>VLOOKUP(K2114,[1]!Tablo3[#Data],2,FALSE)</f>
        <v>Kadir TOPÇU</v>
      </c>
    </row>
    <row r="2115" spans="1:27" x14ac:dyDescent="0.25">
      <c r="A2115">
        <v>3467</v>
      </c>
      <c r="B2115" t="s">
        <v>27</v>
      </c>
      <c r="C2115" t="s">
        <v>40</v>
      </c>
      <c r="D2115" t="s">
        <v>41</v>
      </c>
      <c r="G2115" t="s">
        <v>67</v>
      </c>
      <c r="H2115" t="s">
        <v>7110</v>
      </c>
      <c r="I2115" s="4">
        <v>45077.875</v>
      </c>
      <c r="K2115" t="s">
        <v>743</v>
      </c>
      <c r="L2115" s="5"/>
      <c r="M2115" s="5"/>
      <c r="N2115" t="s">
        <v>82</v>
      </c>
      <c r="O2115" t="s">
        <v>7111</v>
      </c>
      <c r="R2115">
        <v>1</v>
      </c>
      <c r="T2115" s="5"/>
      <c r="W2115">
        <v>104</v>
      </c>
      <c r="X2115" t="s">
        <v>703</v>
      </c>
      <c r="Y2115" t="str">
        <f>VLOOKUP(C2115,'[1]DBS_KPY Sorumlular'!A:C,2,FALSE)</f>
        <v>Mustafa AYDIN</v>
      </c>
      <c r="Z2115" t="str">
        <f>VLOOKUP(C2115,'[1]DBS_KPY Sorumlular'!A:C,3,FALSE)</f>
        <v>Esra DOLAN</v>
      </c>
      <c r="AA2115" t="str">
        <f>VLOOKUP(K2115,[1]!Tablo3[#Data],2,FALSE)</f>
        <v>Kadir TOPÇU</v>
      </c>
    </row>
    <row r="2116" spans="1:27" x14ac:dyDescent="0.25">
      <c r="A2116">
        <v>3468</v>
      </c>
      <c r="B2116" t="s">
        <v>27</v>
      </c>
      <c r="C2116" t="s">
        <v>40</v>
      </c>
      <c r="D2116" t="s">
        <v>41</v>
      </c>
      <c r="G2116" t="s">
        <v>67</v>
      </c>
      <c r="H2116" t="s">
        <v>7112</v>
      </c>
      <c r="I2116" s="4">
        <v>45077.875</v>
      </c>
      <c r="K2116" t="s">
        <v>743</v>
      </c>
      <c r="L2116" s="5"/>
      <c r="M2116" s="5"/>
      <c r="N2116" t="s">
        <v>82</v>
      </c>
      <c r="O2116" t="s">
        <v>7113</v>
      </c>
      <c r="R2116">
        <v>1</v>
      </c>
      <c r="T2116" s="5"/>
      <c r="W2116">
        <v>103</v>
      </c>
      <c r="X2116" t="s">
        <v>353</v>
      </c>
      <c r="Y2116" t="str">
        <f>VLOOKUP(C2116,'[1]DBS_KPY Sorumlular'!A:C,2,FALSE)</f>
        <v>Mustafa AYDIN</v>
      </c>
      <c r="Z2116" t="str">
        <f>VLOOKUP(C2116,'[1]DBS_KPY Sorumlular'!A:C,3,FALSE)</f>
        <v>Esra DOLAN</v>
      </c>
      <c r="AA2116" t="str">
        <f>VLOOKUP(K2116,[1]!Tablo3[#Data],2,FALSE)</f>
        <v>Kadir TOPÇU</v>
      </c>
    </row>
    <row r="2117" spans="1:27" x14ac:dyDescent="0.25">
      <c r="A2117">
        <v>3469</v>
      </c>
      <c r="B2117" t="s">
        <v>27</v>
      </c>
      <c r="C2117" t="s">
        <v>40</v>
      </c>
      <c r="D2117" t="s">
        <v>41</v>
      </c>
      <c r="G2117" t="s">
        <v>96</v>
      </c>
      <c r="H2117" t="s">
        <v>7114</v>
      </c>
      <c r="I2117" s="4">
        <v>45443.875</v>
      </c>
      <c r="K2117" t="s">
        <v>743</v>
      </c>
      <c r="L2117" s="5"/>
      <c r="M2117" s="5"/>
      <c r="N2117" t="s">
        <v>82</v>
      </c>
      <c r="O2117" t="s">
        <v>7115</v>
      </c>
      <c r="R2117">
        <v>1</v>
      </c>
      <c r="T2117" s="5"/>
      <c r="W2117">
        <v>91</v>
      </c>
      <c r="X2117" t="s">
        <v>101</v>
      </c>
      <c r="Y2117" t="str">
        <f>VLOOKUP(C2117,'[1]DBS_KPY Sorumlular'!A:C,2,FALSE)</f>
        <v>Mustafa AYDIN</v>
      </c>
      <c r="Z2117" t="str">
        <f>VLOOKUP(C2117,'[1]DBS_KPY Sorumlular'!A:C,3,FALSE)</f>
        <v>Esra DOLAN</v>
      </c>
      <c r="AA2117" t="str">
        <f>VLOOKUP(K2117,[1]!Tablo3[#Data],2,FALSE)</f>
        <v>Kadir TOPÇU</v>
      </c>
    </row>
    <row r="2118" spans="1:27" x14ac:dyDescent="0.25">
      <c r="A2118">
        <v>3470</v>
      </c>
      <c r="B2118" t="s">
        <v>27</v>
      </c>
      <c r="C2118" t="s">
        <v>40</v>
      </c>
      <c r="D2118" t="s">
        <v>41</v>
      </c>
      <c r="G2118" t="s">
        <v>43</v>
      </c>
      <c r="H2118" t="s">
        <v>7116</v>
      </c>
      <c r="I2118" s="4">
        <v>45443.875</v>
      </c>
      <c r="K2118" t="s">
        <v>743</v>
      </c>
      <c r="L2118" s="5"/>
      <c r="M2118" s="5"/>
      <c r="N2118" t="s">
        <v>82</v>
      </c>
      <c r="O2118" t="s">
        <v>7117</v>
      </c>
      <c r="R2118">
        <v>1</v>
      </c>
      <c r="T2118" s="5"/>
      <c r="W2118">
        <v>108</v>
      </c>
      <c r="X2118" t="s">
        <v>107</v>
      </c>
      <c r="Y2118" t="str">
        <f>VLOOKUP(C2118,'[1]DBS_KPY Sorumlular'!A:C,2,FALSE)</f>
        <v>Mustafa AYDIN</v>
      </c>
      <c r="Z2118" t="str">
        <f>VLOOKUP(C2118,'[1]DBS_KPY Sorumlular'!A:C,3,FALSE)</f>
        <v>Esra DOLAN</v>
      </c>
      <c r="AA2118" t="str">
        <f>VLOOKUP(K2118,[1]!Tablo3[#Data],2,FALSE)</f>
        <v>Kadir TOPÇU</v>
      </c>
    </row>
    <row r="2119" spans="1:27" x14ac:dyDescent="0.25">
      <c r="A2119">
        <v>3471</v>
      </c>
      <c r="B2119" t="s">
        <v>27</v>
      </c>
      <c r="C2119" t="s">
        <v>40</v>
      </c>
      <c r="D2119" t="s">
        <v>41</v>
      </c>
      <c r="G2119" t="s">
        <v>43</v>
      </c>
      <c r="H2119" t="s">
        <v>7118</v>
      </c>
      <c r="I2119" s="4">
        <v>45443.875</v>
      </c>
      <c r="K2119" t="s">
        <v>743</v>
      </c>
      <c r="L2119" s="5"/>
      <c r="M2119" s="5"/>
      <c r="N2119" t="s">
        <v>82</v>
      </c>
      <c r="O2119" t="s">
        <v>7119</v>
      </c>
      <c r="R2119">
        <v>1</v>
      </c>
      <c r="T2119" s="5"/>
      <c r="W2119">
        <v>108</v>
      </c>
      <c r="X2119" t="s">
        <v>107</v>
      </c>
      <c r="Y2119" t="str">
        <f>VLOOKUP(C2119,'[1]DBS_KPY Sorumlular'!A:C,2,FALSE)</f>
        <v>Mustafa AYDIN</v>
      </c>
      <c r="Z2119" t="str">
        <f>VLOOKUP(C2119,'[1]DBS_KPY Sorumlular'!A:C,3,FALSE)</f>
        <v>Esra DOLAN</v>
      </c>
      <c r="AA2119" t="str">
        <f>VLOOKUP(K2119,[1]!Tablo3[#Data],2,FALSE)</f>
        <v>Kadir TOPÇU</v>
      </c>
    </row>
    <row r="2120" spans="1:27" x14ac:dyDescent="0.25">
      <c r="A2120">
        <v>3472</v>
      </c>
      <c r="B2120" t="s">
        <v>27</v>
      </c>
      <c r="C2120" t="s">
        <v>40</v>
      </c>
      <c r="D2120" t="s">
        <v>41</v>
      </c>
      <c r="G2120" t="s">
        <v>43</v>
      </c>
      <c r="H2120" t="s">
        <v>7120</v>
      </c>
      <c r="I2120" s="4">
        <v>45443.875</v>
      </c>
      <c r="K2120" t="s">
        <v>743</v>
      </c>
      <c r="L2120" s="5"/>
      <c r="M2120" s="5"/>
      <c r="N2120" t="s">
        <v>82</v>
      </c>
      <c r="O2120" t="s">
        <v>7121</v>
      </c>
      <c r="R2120">
        <v>1</v>
      </c>
      <c r="T2120" s="5"/>
      <c r="W2120">
        <v>108</v>
      </c>
      <c r="X2120" t="s">
        <v>107</v>
      </c>
      <c r="Y2120" t="str">
        <f>VLOOKUP(C2120,'[1]DBS_KPY Sorumlular'!A:C,2,FALSE)</f>
        <v>Mustafa AYDIN</v>
      </c>
      <c r="Z2120" t="str">
        <f>VLOOKUP(C2120,'[1]DBS_KPY Sorumlular'!A:C,3,FALSE)</f>
        <v>Esra DOLAN</v>
      </c>
      <c r="AA2120" t="str">
        <f>VLOOKUP(K2120,[1]!Tablo3[#Data],2,FALSE)</f>
        <v>Kadir TOPÇU</v>
      </c>
    </row>
    <row r="2121" spans="1:27" x14ac:dyDescent="0.25">
      <c r="A2121">
        <v>3473</v>
      </c>
      <c r="B2121" t="s">
        <v>27</v>
      </c>
      <c r="C2121" t="s">
        <v>40</v>
      </c>
      <c r="D2121" t="s">
        <v>41</v>
      </c>
      <c r="G2121" t="s">
        <v>96</v>
      </c>
      <c r="H2121" t="s">
        <v>7122</v>
      </c>
      <c r="I2121" s="4">
        <v>45443.875</v>
      </c>
      <c r="K2121" t="s">
        <v>743</v>
      </c>
      <c r="L2121" s="5"/>
      <c r="M2121" s="5"/>
      <c r="N2121" t="s">
        <v>82</v>
      </c>
      <c r="O2121" t="s">
        <v>7123</v>
      </c>
      <c r="R2121">
        <v>1</v>
      </c>
      <c r="T2121" s="5"/>
      <c r="W2121">
        <v>28</v>
      </c>
      <c r="X2121" t="s">
        <v>667</v>
      </c>
      <c r="Y2121" t="str">
        <f>VLOOKUP(C2121,'[1]DBS_KPY Sorumlular'!A:C,2,FALSE)</f>
        <v>Mustafa AYDIN</v>
      </c>
      <c r="Z2121" t="str">
        <f>VLOOKUP(C2121,'[1]DBS_KPY Sorumlular'!A:C,3,FALSE)</f>
        <v>Esra DOLAN</v>
      </c>
      <c r="AA2121" t="str">
        <f>VLOOKUP(K2121,[1]!Tablo3[#Data],2,FALSE)</f>
        <v>Kadir TOPÇU</v>
      </c>
    </row>
    <row r="2122" spans="1:27" x14ac:dyDescent="0.25">
      <c r="A2122">
        <v>3474</v>
      </c>
      <c r="B2122" t="s">
        <v>27</v>
      </c>
      <c r="C2122" t="s">
        <v>40</v>
      </c>
      <c r="D2122" t="s">
        <v>41</v>
      </c>
      <c r="G2122" t="s">
        <v>456</v>
      </c>
      <c r="H2122" t="s">
        <v>7124</v>
      </c>
      <c r="I2122" s="4">
        <v>43982.875</v>
      </c>
      <c r="K2122" t="s">
        <v>835</v>
      </c>
      <c r="L2122" s="5"/>
      <c r="M2122" s="5"/>
      <c r="N2122" t="s">
        <v>82</v>
      </c>
      <c r="O2122" t="s">
        <v>7125</v>
      </c>
      <c r="R2122">
        <v>1</v>
      </c>
      <c r="T2122" s="5"/>
      <c r="W2122">
        <v>144</v>
      </c>
      <c r="X2122" t="s">
        <v>463</v>
      </c>
      <c r="Y2122" t="str">
        <f>VLOOKUP(C2122,'[1]DBS_KPY Sorumlular'!A:C,2,FALSE)</f>
        <v>Mustafa AYDIN</v>
      </c>
      <c r="Z2122" t="str">
        <f>VLOOKUP(C2122,'[1]DBS_KPY Sorumlular'!A:C,3,FALSE)</f>
        <v>Esra DOLAN</v>
      </c>
      <c r="AA2122" t="str">
        <f>VLOOKUP(K2122,[1]!Tablo3[#Data],2,FALSE)</f>
        <v>Kadir TOPÇU</v>
      </c>
    </row>
    <row r="2123" spans="1:27" x14ac:dyDescent="0.25">
      <c r="A2123">
        <v>3475</v>
      </c>
      <c r="B2123" t="s">
        <v>27</v>
      </c>
      <c r="C2123" t="s">
        <v>40</v>
      </c>
      <c r="D2123" t="s">
        <v>41</v>
      </c>
      <c r="G2123" t="s">
        <v>43</v>
      </c>
      <c r="H2123" t="s">
        <v>7126</v>
      </c>
      <c r="I2123" s="4">
        <v>43982.875</v>
      </c>
      <c r="K2123" t="s">
        <v>835</v>
      </c>
      <c r="L2123" s="5"/>
      <c r="M2123" s="5"/>
      <c r="N2123" t="s">
        <v>82</v>
      </c>
      <c r="O2123" t="s">
        <v>7127</v>
      </c>
      <c r="R2123">
        <v>1</v>
      </c>
      <c r="T2123" s="5"/>
      <c r="W2123">
        <v>86</v>
      </c>
      <c r="X2123" t="s">
        <v>189</v>
      </c>
      <c r="Y2123" t="str">
        <f>VLOOKUP(C2123,'[1]DBS_KPY Sorumlular'!A:C,2,FALSE)</f>
        <v>Mustafa AYDIN</v>
      </c>
      <c r="Z2123" t="str">
        <f>VLOOKUP(C2123,'[1]DBS_KPY Sorumlular'!A:C,3,FALSE)</f>
        <v>Esra DOLAN</v>
      </c>
      <c r="AA2123" t="str">
        <f>VLOOKUP(K2123,[1]!Tablo3[#Data],2,FALSE)</f>
        <v>Kadir TOPÇU</v>
      </c>
    </row>
    <row r="2124" spans="1:27" x14ac:dyDescent="0.25">
      <c r="A2124">
        <v>3476</v>
      </c>
      <c r="B2124" t="s">
        <v>27</v>
      </c>
      <c r="C2124" t="s">
        <v>40</v>
      </c>
      <c r="D2124" t="s">
        <v>41</v>
      </c>
      <c r="G2124" t="s">
        <v>43</v>
      </c>
      <c r="H2124" t="s">
        <v>7128</v>
      </c>
      <c r="I2124" s="4">
        <v>44347.875</v>
      </c>
      <c r="K2124" t="s">
        <v>835</v>
      </c>
      <c r="L2124" s="5"/>
      <c r="M2124" s="5"/>
      <c r="N2124" t="s">
        <v>82</v>
      </c>
      <c r="O2124" t="s">
        <v>7129</v>
      </c>
      <c r="R2124">
        <v>1</v>
      </c>
      <c r="T2124" s="5"/>
      <c r="W2124">
        <v>86</v>
      </c>
      <c r="X2124" t="s">
        <v>189</v>
      </c>
      <c r="Y2124" t="str">
        <f>VLOOKUP(C2124,'[1]DBS_KPY Sorumlular'!A:C,2,FALSE)</f>
        <v>Mustafa AYDIN</v>
      </c>
      <c r="Z2124" t="str">
        <f>VLOOKUP(C2124,'[1]DBS_KPY Sorumlular'!A:C,3,FALSE)</f>
        <v>Esra DOLAN</v>
      </c>
      <c r="AA2124" t="str">
        <f>VLOOKUP(K2124,[1]!Tablo3[#Data],2,FALSE)</f>
        <v>Kadir TOPÇU</v>
      </c>
    </row>
    <row r="2125" spans="1:27" x14ac:dyDescent="0.25">
      <c r="A2125">
        <v>3477</v>
      </c>
      <c r="B2125" t="s">
        <v>27</v>
      </c>
      <c r="C2125" t="s">
        <v>40</v>
      </c>
      <c r="D2125" t="s">
        <v>41</v>
      </c>
      <c r="G2125" t="s">
        <v>43</v>
      </c>
      <c r="H2125" t="s">
        <v>7130</v>
      </c>
      <c r="I2125" s="4">
        <v>44347.875</v>
      </c>
      <c r="K2125" t="s">
        <v>835</v>
      </c>
      <c r="L2125" s="5"/>
      <c r="M2125" s="5"/>
      <c r="N2125" t="s">
        <v>82</v>
      </c>
      <c r="O2125" t="s">
        <v>7131</v>
      </c>
      <c r="R2125">
        <v>1</v>
      </c>
      <c r="T2125" s="5"/>
      <c r="W2125">
        <v>114</v>
      </c>
      <c r="X2125" t="s">
        <v>136</v>
      </c>
      <c r="Y2125" t="str">
        <f>VLOOKUP(C2125,'[1]DBS_KPY Sorumlular'!A:C,2,FALSE)</f>
        <v>Mustafa AYDIN</v>
      </c>
      <c r="Z2125" t="str">
        <f>VLOOKUP(C2125,'[1]DBS_KPY Sorumlular'!A:C,3,FALSE)</f>
        <v>Esra DOLAN</v>
      </c>
      <c r="AA2125" t="str">
        <f>VLOOKUP(K2125,[1]!Tablo3[#Data],2,FALSE)</f>
        <v>Kadir TOPÇU</v>
      </c>
    </row>
    <row r="2126" spans="1:27" x14ac:dyDescent="0.25">
      <c r="A2126">
        <v>3478</v>
      </c>
      <c r="B2126" t="s">
        <v>27</v>
      </c>
      <c r="C2126" t="s">
        <v>40</v>
      </c>
      <c r="D2126" t="s">
        <v>41</v>
      </c>
      <c r="G2126" t="s">
        <v>43</v>
      </c>
      <c r="H2126" t="s">
        <v>7132</v>
      </c>
      <c r="I2126" s="4">
        <v>44347.875</v>
      </c>
      <c r="K2126" t="s">
        <v>835</v>
      </c>
      <c r="L2126" s="5"/>
      <c r="M2126" s="5"/>
      <c r="N2126" t="s">
        <v>82</v>
      </c>
      <c r="O2126" t="s">
        <v>7133</v>
      </c>
      <c r="R2126">
        <v>1</v>
      </c>
      <c r="T2126" s="5"/>
      <c r="W2126">
        <v>108</v>
      </c>
      <c r="X2126" t="s">
        <v>107</v>
      </c>
      <c r="Y2126" t="str">
        <f>VLOOKUP(C2126,'[1]DBS_KPY Sorumlular'!A:C,2,FALSE)</f>
        <v>Mustafa AYDIN</v>
      </c>
      <c r="Z2126" t="str">
        <f>VLOOKUP(C2126,'[1]DBS_KPY Sorumlular'!A:C,3,FALSE)</f>
        <v>Esra DOLAN</v>
      </c>
      <c r="AA2126" t="str">
        <f>VLOOKUP(K2126,[1]!Tablo3[#Data],2,FALSE)</f>
        <v>Kadir TOPÇU</v>
      </c>
    </row>
    <row r="2127" spans="1:27" x14ac:dyDescent="0.25">
      <c r="A2127">
        <v>3479</v>
      </c>
      <c r="B2127" t="s">
        <v>27</v>
      </c>
      <c r="C2127" t="s">
        <v>40</v>
      </c>
      <c r="D2127" t="s">
        <v>41</v>
      </c>
      <c r="G2127" t="s">
        <v>43</v>
      </c>
      <c r="H2127" t="s">
        <v>7134</v>
      </c>
      <c r="I2127" s="4">
        <v>44347.875</v>
      </c>
      <c r="K2127" t="s">
        <v>835</v>
      </c>
      <c r="L2127" s="5"/>
      <c r="M2127" s="5"/>
      <c r="N2127" t="s">
        <v>82</v>
      </c>
      <c r="O2127" t="s">
        <v>7135</v>
      </c>
      <c r="R2127">
        <v>1</v>
      </c>
      <c r="T2127" s="5"/>
      <c r="W2127">
        <v>169</v>
      </c>
      <c r="X2127" t="s">
        <v>1480</v>
      </c>
      <c r="Y2127" t="str">
        <f>VLOOKUP(C2127,'[1]DBS_KPY Sorumlular'!A:C,2,FALSE)</f>
        <v>Mustafa AYDIN</v>
      </c>
      <c r="Z2127" t="str">
        <f>VLOOKUP(C2127,'[1]DBS_KPY Sorumlular'!A:C,3,FALSE)</f>
        <v>Esra DOLAN</v>
      </c>
      <c r="AA2127" t="str">
        <f>VLOOKUP(K2127,[1]!Tablo3[#Data],2,FALSE)</f>
        <v>Kadir TOPÇU</v>
      </c>
    </row>
    <row r="2128" spans="1:27" x14ac:dyDescent="0.25">
      <c r="A2128">
        <v>3480</v>
      </c>
      <c r="B2128" t="s">
        <v>27</v>
      </c>
      <c r="C2128" t="s">
        <v>40</v>
      </c>
      <c r="D2128" t="s">
        <v>41</v>
      </c>
      <c r="G2128" t="s">
        <v>43</v>
      </c>
      <c r="H2128" t="s">
        <v>7136</v>
      </c>
      <c r="I2128" s="4">
        <v>44347.875</v>
      </c>
      <c r="K2128" t="s">
        <v>835</v>
      </c>
      <c r="L2128" s="5"/>
      <c r="M2128" s="5"/>
      <c r="N2128" t="s">
        <v>82</v>
      </c>
      <c r="O2128" t="s">
        <v>7137</v>
      </c>
      <c r="R2128">
        <v>1</v>
      </c>
      <c r="T2128" s="5"/>
      <c r="W2128">
        <v>137</v>
      </c>
      <c r="X2128" t="s">
        <v>125</v>
      </c>
      <c r="Y2128" t="str">
        <f>VLOOKUP(C2128,'[1]DBS_KPY Sorumlular'!A:C,2,FALSE)</f>
        <v>Mustafa AYDIN</v>
      </c>
      <c r="Z2128" t="str">
        <f>VLOOKUP(C2128,'[1]DBS_KPY Sorumlular'!A:C,3,FALSE)</f>
        <v>Esra DOLAN</v>
      </c>
      <c r="AA2128" t="str">
        <f>VLOOKUP(K2128,[1]!Tablo3[#Data],2,FALSE)</f>
        <v>Kadir TOPÇU</v>
      </c>
    </row>
    <row r="2129" spans="1:27" x14ac:dyDescent="0.25">
      <c r="A2129">
        <v>3481</v>
      </c>
      <c r="B2129" t="s">
        <v>27</v>
      </c>
      <c r="C2129" t="s">
        <v>40</v>
      </c>
      <c r="D2129" t="s">
        <v>41</v>
      </c>
      <c r="G2129" t="s">
        <v>43</v>
      </c>
      <c r="H2129" t="s">
        <v>7138</v>
      </c>
      <c r="I2129" s="4">
        <v>44347.875</v>
      </c>
      <c r="K2129" t="s">
        <v>835</v>
      </c>
      <c r="L2129" s="5"/>
      <c r="M2129" s="5"/>
      <c r="N2129" t="s">
        <v>82</v>
      </c>
      <c r="O2129" t="s">
        <v>7139</v>
      </c>
      <c r="R2129">
        <v>1</v>
      </c>
      <c r="T2129" s="5"/>
      <c r="W2129">
        <v>137</v>
      </c>
      <c r="X2129" t="s">
        <v>125</v>
      </c>
      <c r="Y2129" t="str">
        <f>VLOOKUP(C2129,'[1]DBS_KPY Sorumlular'!A:C,2,FALSE)</f>
        <v>Mustafa AYDIN</v>
      </c>
      <c r="Z2129" t="str">
        <f>VLOOKUP(C2129,'[1]DBS_KPY Sorumlular'!A:C,3,FALSE)</f>
        <v>Esra DOLAN</v>
      </c>
      <c r="AA2129" t="str">
        <f>VLOOKUP(K2129,[1]!Tablo3[#Data],2,FALSE)</f>
        <v>Kadir TOPÇU</v>
      </c>
    </row>
    <row r="2130" spans="1:27" x14ac:dyDescent="0.25">
      <c r="A2130">
        <v>3482</v>
      </c>
      <c r="B2130" t="s">
        <v>27</v>
      </c>
      <c r="C2130" t="s">
        <v>40</v>
      </c>
      <c r="D2130" t="s">
        <v>41</v>
      </c>
      <c r="G2130" t="s">
        <v>43</v>
      </c>
      <c r="H2130" t="s">
        <v>7140</v>
      </c>
      <c r="I2130" s="4">
        <v>44712.875</v>
      </c>
      <c r="K2130" t="s">
        <v>835</v>
      </c>
      <c r="L2130" s="5"/>
      <c r="M2130" s="5"/>
      <c r="N2130" t="s">
        <v>82</v>
      </c>
      <c r="O2130" t="s">
        <v>7141</v>
      </c>
      <c r="R2130">
        <v>1</v>
      </c>
      <c r="T2130" s="5"/>
      <c r="W2130">
        <v>108</v>
      </c>
      <c r="X2130" t="s">
        <v>107</v>
      </c>
      <c r="Y2130" t="str">
        <f>VLOOKUP(C2130,'[1]DBS_KPY Sorumlular'!A:C,2,FALSE)</f>
        <v>Mustafa AYDIN</v>
      </c>
      <c r="Z2130" t="str">
        <f>VLOOKUP(C2130,'[1]DBS_KPY Sorumlular'!A:C,3,FALSE)</f>
        <v>Esra DOLAN</v>
      </c>
      <c r="AA2130" t="str">
        <f>VLOOKUP(K2130,[1]!Tablo3[#Data],2,FALSE)</f>
        <v>Kadir TOPÇU</v>
      </c>
    </row>
    <row r="2131" spans="1:27" x14ac:dyDescent="0.25">
      <c r="A2131">
        <v>3483</v>
      </c>
      <c r="B2131" t="s">
        <v>27</v>
      </c>
      <c r="C2131" t="s">
        <v>40</v>
      </c>
      <c r="D2131" t="s">
        <v>41</v>
      </c>
      <c r="G2131" t="s">
        <v>43</v>
      </c>
      <c r="H2131" t="s">
        <v>7142</v>
      </c>
      <c r="I2131" s="4">
        <v>44712.875</v>
      </c>
      <c r="K2131" t="s">
        <v>835</v>
      </c>
      <c r="L2131" s="5"/>
      <c r="M2131" s="5"/>
      <c r="N2131" t="s">
        <v>82</v>
      </c>
      <c r="O2131" t="s">
        <v>7141</v>
      </c>
      <c r="R2131">
        <v>1</v>
      </c>
      <c r="T2131" s="5"/>
      <c r="W2131">
        <v>86</v>
      </c>
      <c r="X2131" t="s">
        <v>189</v>
      </c>
      <c r="Y2131" t="str">
        <f>VLOOKUP(C2131,'[1]DBS_KPY Sorumlular'!A:C,2,FALSE)</f>
        <v>Mustafa AYDIN</v>
      </c>
      <c r="Z2131" t="str">
        <f>VLOOKUP(C2131,'[1]DBS_KPY Sorumlular'!A:C,3,FALSE)</f>
        <v>Esra DOLAN</v>
      </c>
      <c r="AA2131" t="str">
        <f>VLOOKUP(K2131,[1]!Tablo3[#Data],2,FALSE)</f>
        <v>Kadir TOPÇU</v>
      </c>
    </row>
    <row r="2132" spans="1:27" x14ac:dyDescent="0.25">
      <c r="A2132">
        <v>3484</v>
      </c>
      <c r="B2132" t="s">
        <v>27</v>
      </c>
      <c r="C2132" t="s">
        <v>40</v>
      </c>
      <c r="D2132" t="s">
        <v>41</v>
      </c>
      <c r="G2132" t="s">
        <v>43</v>
      </c>
      <c r="H2132" t="s">
        <v>7143</v>
      </c>
      <c r="I2132" s="4">
        <v>44712.875</v>
      </c>
      <c r="K2132" t="s">
        <v>835</v>
      </c>
      <c r="L2132" s="5"/>
      <c r="M2132" s="5"/>
      <c r="N2132" t="s">
        <v>82</v>
      </c>
      <c r="O2132" t="s">
        <v>7141</v>
      </c>
      <c r="R2132">
        <v>1</v>
      </c>
      <c r="T2132" s="5"/>
      <c r="W2132">
        <v>172</v>
      </c>
      <c r="X2132" t="s">
        <v>240</v>
      </c>
      <c r="Y2132" t="str">
        <f>VLOOKUP(C2132,'[1]DBS_KPY Sorumlular'!A:C,2,FALSE)</f>
        <v>Mustafa AYDIN</v>
      </c>
      <c r="Z2132" t="str">
        <f>VLOOKUP(C2132,'[1]DBS_KPY Sorumlular'!A:C,3,FALSE)</f>
        <v>Esra DOLAN</v>
      </c>
      <c r="AA2132" t="str">
        <f>VLOOKUP(K2132,[1]!Tablo3[#Data],2,FALSE)</f>
        <v>Kadir TOPÇU</v>
      </c>
    </row>
    <row r="2133" spans="1:27" x14ac:dyDescent="0.25">
      <c r="A2133">
        <v>3485</v>
      </c>
      <c r="B2133" t="s">
        <v>27</v>
      </c>
      <c r="C2133" t="s">
        <v>40</v>
      </c>
      <c r="D2133" t="s">
        <v>41</v>
      </c>
      <c r="G2133" t="s">
        <v>43</v>
      </c>
      <c r="H2133" t="s">
        <v>7144</v>
      </c>
      <c r="I2133" s="4">
        <v>44712.875</v>
      </c>
      <c r="K2133" t="s">
        <v>835</v>
      </c>
      <c r="L2133" s="5"/>
      <c r="M2133" s="5"/>
      <c r="N2133" t="s">
        <v>82</v>
      </c>
      <c r="O2133" t="s">
        <v>7145</v>
      </c>
      <c r="R2133">
        <v>1</v>
      </c>
      <c r="T2133" s="5"/>
      <c r="W2133">
        <v>265</v>
      </c>
      <c r="X2133" t="s">
        <v>1228</v>
      </c>
      <c r="Y2133" t="str">
        <f>VLOOKUP(C2133,'[1]DBS_KPY Sorumlular'!A:C,2,FALSE)</f>
        <v>Mustafa AYDIN</v>
      </c>
      <c r="Z2133" t="str">
        <f>VLOOKUP(C2133,'[1]DBS_KPY Sorumlular'!A:C,3,FALSE)</f>
        <v>Esra DOLAN</v>
      </c>
      <c r="AA2133" t="str">
        <f>VLOOKUP(K2133,[1]!Tablo3[#Data],2,FALSE)</f>
        <v>Kadir TOPÇU</v>
      </c>
    </row>
    <row r="2134" spans="1:27" x14ac:dyDescent="0.25">
      <c r="A2134">
        <v>3486</v>
      </c>
      <c r="B2134" t="s">
        <v>27</v>
      </c>
      <c r="C2134" t="s">
        <v>40</v>
      </c>
      <c r="D2134" t="s">
        <v>41</v>
      </c>
      <c r="G2134" t="s">
        <v>456</v>
      </c>
      <c r="H2134" t="s">
        <v>7146</v>
      </c>
      <c r="I2134" s="4">
        <v>44712.875</v>
      </c>
      <c r="K2134" t="s">
        <v>835</v>
      </c>
      <c r="L2134" s="5"/>
      <c r="M2134" s="5"/>
      <c r="N2134" t="s">
        <v>82</v>
      </c>
      <c r="O2134" t="s">
        <v>7145</v>
      </c>
      <c r="R2134">
        <v>1</v>
      </c>
      <c r="T2134" s="5"/>
      <c r="W2134">
        <v>144</v>
      </c>
      <c r="X2134" t="s">
        <v>463</v>
      </c>
      <c r="Y2134" t="str">
        <f>VLOOKUP(C2134,'[1]DBS_KPY Sorumlular'!A:C,2,FALSE)</f>
        <v>Mustafa AYDIN</v>
      </c>
      <c r="Z2134" t="str">
        <f>VLOOKUP(C2134,'[1]DBS_KPY Sorumlular'!A:C,3,FALSE)</f>
        <v>Esra DOLAN</v>
      </c>
      <c r="AA2134" t="str">
        <f>VLOOKUP(K2134,[1]!Tablo3[#Data],2,FALSE)</f>
        <v>Kadir TOPÇU</v>
      </c>
    </row>
    <row r="2135" spans="1:27" x14ac:dyDescent="0.25">
      <c r="A2135">
        <v>3487</v>
      </c>
      <c r="B2135" t="s">
        <v>27</v>
      </c>
      <c r="C2135" t="s">
        <v>40</v>
      </c>
      <c r="D2135" t="s">
        <v>41</v>
      </c>
      <c r="G2135" t="s">
        <v>43</v>
      </c>
      <c r="H2135" t="s">
        <v>7147</v>
      </c>
      <c r="I2135" s="4">
        <v>44712.875</v>
      </c>
      <c r="K2135" t="s">
        <v>835</v>
      </c>
      <c r="L2135" s="5"/>
      <c r="M2135" s="5"/>
      <c r="N2135" t="s">
        <v>82</v>
      </c>
      <c r="O2135" t="s">
        <v>7148</v>
      </c>
      <c r="R2135">
        <v>1</v>
      </c>
      <c r="T2135" s="5"/>
      <c r="W2135">
        <v>86</v>
      </c>
      <c r="X2135" t="s">
        <v>189</v>
      </c>
      <c r="Y2135" t="str">
        <f>VLOOKUP(C2135,'[1]DBS_KPY Sorumlular'!A:C,2,FALSE)</f>
        <v>Mustafa AYDIN</v>
      </c>
      <c r="Z2135" t="str">
        <f>VLOOKUP(C2135,'[1]DBS_KPY Sorumlular'!A:C,3,FALSE)</f>
        <v>Esra DOLAN</v>
      </c>
      <c r="AA2135" t="str">
        <f>VLOOKUP(K2135,[1]!Tablo3[#Data],2,FALSE)</f>
        <v>Kadir TOPÇU</v>
      </c>
    </row>
    <row r="2136" spans="1:27" x14ac:dyDescent="0.25">
      <c r="A2136">
        <v>3488</v>
      </c>
      <c r="B2136" t="s">
        <v>27</v>
      </c>
      <c r="C2136" t="s">
        <v>40</v>
      </c>
      <c r="D2136" t="s">
        <v>41</v>
      </c>
      <c r="G2136" t="s">
        <v>96</v>
      </c>
      <c r="H2136" t="s">
        <v>7149</v>
      </c>
      <c r="I2136" s="4">
        <v>45443.875</v>
      </c>
      <c r="K2136" t="s">
        <v>835</v>
      </c>
      <c r="L2136" s="5"/>
      <c r="M2136" s="5"/>
      <c r="N2136" t="s">
        <v>82</v>
      </c>
      <c r="O2136" t="s">
        <v>7150</v>
      </c>
      <c r="R2136">
        <v>1</v>
      </c>
      <c r="T2136" s="5"/>
      <c r="W2136">
        <v>72</v>
      </c>
      <c r="X2136" t="s">
        <v>341</v>
      </c>
      <c r="Y2136" t="str">
        <f>VLOOKUP(C2136,'[1]DBS_KPY Sorumlular'!A:C,2,FALSE)</f>
        <v>Mustafa AYDIN</v>
      </c>
      <c r="Z2136" t="str">
        <f>VLOOKUP(C2136,'[1]DBS_KPY Sorumlular'!A:C,3,FALSE)</f>
        <v>Esra DOLAN</v>
      </c>
      <c r="AA2136" t="str">
        <f>VLOOKUP(K2136,[1]!Tablo3[#Data],2,FALSE)</f>
        <v>Kadir TOPÇU</v>
      </c>
    </row>
    <row r="2137" spans="1:27" x14ac:dyDescent="0.25">
      <c r="A2137">
        <v>3489</v>
      </c>
      <c r="B2137" t="s">
        <v>27</v>
      </c>
      <c r="C2137" t="s">
        <v>40</v>
      </c>
      <c r="D2137" t="s">
        <v>41</v>
      </c>
      <c r="G2137" t="s">
        <v>96</v>
      </c>
      <c r="H2137" t="s">
        <v>7151</v>
      </c>
      <c r="I2137" s="4">
        <v>45443.875</v>
      </c>
      <c r="K2137" t="s">
        <v>835</v>
      </c>
      <c r="L2137" s="5"/>
      <c r="M2137" s="5"/>
      <c r="N2137" t="s">
        <v>82</v>
      </c>
      <c r="O2137" t="s">
        <v>7152</v>
      </c>
      <c r="R2137">
        <v>1</v>
      </c>
      <c r="T2137" s="5"/>
      <c r="W2137">
        <v>91</v>
      </c>
      <c r="X2137" t="s">
        <v>101</v>
      </c>
      <c r="Y2137" t="str">
        <f>VLOOKUP(C2137,'[1]DBS_KPY Sorumlular'!A:C,2,FALSE)</f>
        <v>Mustafa AYDIN</v>
      </c>
      <c r="Z2137" t="str">
        <f>VLOOKUP(C2137,'[1]DBS_KPY Sorumlular'!A:C,3,FALSE)</f>
        <v>Esra DOLAN</v>
      </c>
      <c r="AA2137" t="str">
        <f>VLOOKUP(K2137,[1]!Tablo3[#Data],2,FALSE)</f>
        <v>Kadir TOPÇU</v>
      </c>
    </row>
    <row r="2138" spans="1:27" x14ac:dyDescent="0.25">
      <c r="A2138">
        <v>3490</v>
      </c>
      <c r="B2138" t="s">
        <v>27</v>
      </c>
      <c r="C2138" t="s">
        <v>40</v>
      </c>
      <c r="D2138" t="s">
        <v>41</v>
      </c>
      <c r="G2138" t="s">
        <v>43</v>
      </c>
      <c r="H2138" t="s">
        <v>7153</v>
      </c>
      <c r="I2138" s="4">
        <v>45443.875</v>
      </c>
      <c r="K2138" t="s">
        <v>835</v>
      </c>
      <c r="L2138" s="5"/>
      <c r="M2138" s="5"/>
      <c r="N2138" t="s">
        <v>82</v>
      </c>
      <c r="O2138" t="s">
        <v>7154</v>
      </c>
      <c r="R2138">
        <v>1</v>
      </c>
      <c r="T2138" s="5"/>
      <c r="W2138">
        <v>263</v>
      </c>
      <c r="X2138" t="s">
        <v>628</v>
      </c>
      <c r="Y2138" t="str">
        <f>VLOOKUP(C2138,'[1]DBS_KPY Sorumlular'!A:C,2,FALSE)</f>
        <v>Mustafa AYDIN</v>
      </c>
      <c r="Z2138" t="str">
        <f>VLOOKUP(C2138,'[1]DBS_KPY Sorumlular'!A:C,3,FALSE)</f>
        <v>Esra DOLAN</v>
      </c>
      <c r="AA2138" t="str">
        <f>VLOOKUP(K2138,[1]!Tablo3[#Data],2,FALSE)</f>
        <v>Kadir TOPÇU</v>
      </c>
    </row>
    <row r="2139" spans="1:27" x14ac:dyDescent="0.25">
      <c r="A2139">
        <v>3491</v>
      </c>
      <c r="B2139" t="s">
        <v>27</v>
      </c>
      <c r="C2139" t="s">
        <v>40</v>
      </c>
      <c r="D2139" t="s">
        <v>41</v>
      </c>
      <c r="G2139" t="s">
        <v>43</v>
      </c>
      <c r="H2139" t="s">
        <v>7155</v>
      </c>
      <c r="I2139" s="4">
        <v>45443.875</v>
      </c>
      <c r="K2139" t="s">
        <v>835</v>
      </c>
      <c r="L2139" s="5"/>
      <c r="M2139" s="5"/>
      <c r="N2139" t="s">
        <v>82</v>
      </c>
      <c r="O2139" t="s">
        <v>7154</v>
      </c>
      <c r="R2139">
        <v>1</v>
      </c>
      <c r="T2139" s="5"/>
      <c r="W2139">
        <v>108</v>
      </c>
      <c r="X2139" t="s">
        <v>107</v>
      </c>
      <c r="Y2139" t="str">
        <f>VLOOKUP(C2139,'[1]DBS_KPY Sorumlular'!A:C,2,FALSE)</f>
        <v>Mustafa AYDIN</v>
      </c>
      <c r="Z2139" t="str">
        <f>VLOOKUP(C2139,'[1]DBS_KPY Sorumlular'!A:C,3,FALSE)</f>
        <v>Esra DOLAN</v>
      </c>
      <c r="AA2139" t="str">
        <f>VLOOKUP(K2139,[1]!Tablo3[#Data],2,FALSE)</f>
        <v>Kadir TOPÇU</v>
      </c>
    </row>
    <row r="2140" spans="1:27" x14ac:dyDescent="0.25">
      <c r="A2140">
        <v>3492</v>
      </c>
      <c r="B2140" t="s">
        <v>27</v>
      </c>
      <c r="C2140" t="s">
        <v>40</v>
      </c>
      <c r="D2140" t="s">
        <v>41</v>
      </c>
      <c r="G2140" t="s">
        <v>43</v>
      </c>
      <c r="H2140" t="s">
        <v>7156</v>
      </c>
      <c r="I2140" s="4">
        <v>45443.875</v>
      </c>
      <c r="K2140" t="s">
        <v>835</v>
      </c>
      <c r="L2140" s="5"/>
      <c r="M2140" s="5"/>
      <c r="N2140" t="s">
        <v>82</v>
      </c>
      <c r="O2140" t="s">
        <v>7154</v>
      </c>
      <c r="R2140">
        <v>1</v>
      </c>
      <c r="T2140" s="5"/>
      <c r="W2140">
        <v>116</v>
      </c>
      <c r="X2140" t="s">
        <v>3651</v>
      </c>
      <c r="Y2140" t="str">
        <f>VLOOKUP(C2140,'[1]DBS_KPY Sorumlular'!A:C,2,FALSE)</f>
        <v>Mustafa AYDIN</v>
      </c>
      <c r="Z2140" t="str">
        <f>VLOOKUP(C2140,'[1]DBS_KPY Sorumlular'!A:C,3,FALSE)</f>
        <v>Esra DOLAN</v>
      </c>
      <c r="AA2140" t="str">
        <f>VLOOKUP(K2140,[1]!Tablo3[#Data],2,FALSE)</f>
        <v>Kadir TOPÇU</v>
      </c>
    </row>
    <row r="2141" spans="1:27" x14ac:dyDescent="0.25">
      <c r="A2141">
        <v>3493</v>
      </c>
      <c r="B2141" t="s">
        <v>27</v>
      </c>
      <c r="C2141" t="s">
        <v>40</v>
      </c>
      <c r="D2141" t="s">
        <v>41</v>
      </c>
      <c r="G2141" t="s">
        <v>43</v>
      </c>
      <c r="H2141" t="s">
        <v>7157</v>
      </c>
      <c r="I2141" s="4">
        <v>45443.875</v>
      </c>
      <c r="K2141" t="s">
        <v>835</v>
      </c>
      <c r="L2141" s="5"/>
      <c r="M2141" s="5"/>
      <c r="N2141" t="s">
        <v>82</v>
      </c>
      <c r="O2141" t="s">
        <v>7154</v>
      </c>
      <c r="R2141">
        <v>1</v>
      </c>
      <c r="T2141" s="5"/>
      <c r="W2141">
        <v>171</v>
      </c>
      <c r="X2141" t="s">
        <v>1239</v>
      </c>
      <c r="Y2141" t="str">
        <f>VLOOKUP(C2141,'[1]DBS_KPY Sorumlular'!A:C,2,FALSE)</f>
        <v>Mustafa AYDIN</v>
      </c>
      <c r="Z2141" t="str">
        <f>VLOOKUP(C2141,'[1]DBS_KPY Sorumlular'!A:C,3,FALSE)</f>
        <v>Esra DOLAN</v>
      </c>
      <c r="AA2141" t="str">
        <f>VLOOKUP(K2141,[1]!Tablo3[#Data],2,FALSE)</f>
        <v>Kadir TOPÇU</v>
      </c>
    </row>
    <row r="2142" spans="1:27" x14ac:dyDescent="0.25">
      <c r="A2142">
        <v>3494</v>
      </c>
      <c r="B2142" t="s">
        <v>27</v>
      </c>
      <c r="C2142" t="s">
        <v>40</v>
      </c>
      <c r="D2142" t="s">
        <v>41</v>
      </c>
      <c r="G2142" t="s">
        <v>67</v>
      </c>
      <c r="H2142" t="s">
        <v>7158</v>
      </c>
      <c r="I2142" s="4">
        <v>45443.875</v>
      </c>
      <c r="K2142" t="s">
        <v>835</v>
      </c>
      <c r="L2142" s="5"/>
      <c r="M2142" s="5"/>
      <c r="N2142" t="s">
        <v>82</v>
      </c>
      <c r="O2142" t="s">
        <v>7159</v>
      </c>
      <c r="R2142">
        <v>1</v>
      </c>
      <c r="T2142" s="5"/>
      <c r="W2142">
        <v>203</v>
      </c>
      <c r="X2142" t="s">
        <v>72</v>
      </c>
      <c r="Y2142" t="str">
        <f>VLOOKUP(C2142,'[1]DBS_KPY Sorumlular'!A:C,2,FALSE)</f>
        <v>Mustafa AYDIN</v>
      </c>
      <c r="Z2142" t="str">
        <f>VLOOKUP(C2142,'[1]DBS_KPY Sorumlular'!A:C,3,FALSE)</f>
        <v>Esra DOLAN</v>
      </c>
      <c r="AA2142" t="str">
        <f>VLOOKUP(K2142,[1]!Tablo3[#Data],2,FALSE)</f>
        <v>Kadir TOPÇU</v>
      </c>
    </row>
    <row r="2143" spans="1:27" x14ac:dyDescent="0.25">
      <c r="A2143">
        <v>3495</v>
      </c>
      <c r="B2143" t="s">
        <v>27</v>
      </c>
      <c r="C2143" t="s">
        <v>40</v>
      </c>
      <c r="D2143" t="s">
        <v>41</v>
      </c>
      <c r="G2143" t="s">
        <v>43</v>
      </c>
      <c r="H2143" t="s">
        <v>7160</v>
      </c>
      <c r="I2143" s="4">
        <v>43982.875</v>
      </c>
      <c r="K2143" t="s">
        <v>853</v>
      </c>
      <c r="L2143" s="5"/>
      <c r="M2143" s="5"/>
      <c r="N2143" t="s">
        <v>82</v>
      </c>
      <c r="O2143" t="s">
        <v>7161</v>
      </c>
      <c r="R2143">
        <v>1</v>
      </c>
      <c r="T2143" s="5"/>
      <c r="W2143">
        <v>44</v>
      </c>
      <c r="X2143" t="s">
        <v>1821</v>
      </c>
      <c r="Y2143" t="str">
        <f>VLOOKUP(C2143,'[1]DBS_KPY Sorumlular'!A:C,2,FALSE)</f>
        <v>Mustafa AYDIN</v>
      </c>
      <c r="Z2143" t="str">
        <f>VLOOKUP(C2143,'[1]DBS_KPY Sorumlular'!A:C,3,FALSE)</f>
        <v>Esra DOLAN</v>
      </c>
      <c r="AA2143" t="str">
        <f>VLOOKUP(K2143,[1]!Tablo3[#Data],2,FALSE)</f>
        <v>Erkan AKDOĞAN</v>
      </c>
    </row>
    <row r="2144" spans="1:27" x14ac:dyDescent="0.25">
      <c r="A2144">
        <v>3496</v>
      </c>
      <c r="B2144" t="s">
        <v>27</v>
      </c>
      <c r="C2144" t="s">
        <v>40</v>
      </c>
      <c r="D2144" t="s">
        <v>41</v>
      </c>
      <c r="G2144" t="s">
        <v>43</v>
      </c>
      <c r="H2144" t="s">
        <v>7162</v>
      </c>
      <c r="I2144" s="4">
        <v>43982.875</v>
      </c>
      <c r="K2144" t="s">
        <v>853</v>
      </c>
      <c r="L2144" s="5"/>
      <c r="M2144" s="5"/>
      <c r="N2144" t="s">
        <v>82</v>
      </c>
      <c r="O2144" t="s">
        <v>7161</v>
      </c>
      <c r="R2144">
        <v>1</v>
      </c>
      <c r="T2144" s="5"/>
      <c r="W2144">
        <v>108</v>
      </c>
      <c r="X2144" t="s">
        <v>107</v>
      </c>
      <c r="Y2144" t="str">
        <f>VLOOKUP(C2144,'[1]DBS_KPY Sorumlular'!A:C,2,FALSE)</f>
        <v>Mustafa AYDIN</v>
      </c>
      <c r="Z2144" t="str">
        <f>VLOOKUP(C2144,'[1]DBS_KPY Sorumlular'!A:C,3,FALSE)</f>
        <v>Esra DOLAN</v>
      </c>
      <c r="AA2144" t="str">
        <f>VLOOKUP(K2144,[1]!Tablo3[#Data],2,FALSE)</f>
        <v>Erkan AKDOĞAN</v>
      </c>
    </row>
    <row r="2145" spans="1:27" x14ac:dyDescent="0.25">
      <c r="A2145">
        <v>3497</v>
      </c>
      <c r="B2145" t="s">
        <v>27</v>
      </c>
      <c r="C2145" t="s">
        <v>40</v>
      </c>
      <c r="D2145" t="s">
        <v>41</v>
      </c>
      <c r="G2145" t="s">
        <v>43</v>
      </c>
      <c r="H2145" t="s">
        <v>7163</v>
      </c>
      <c r="I2145" s="4">
        <v>43982.875</v>
      </c>
      <c r="K2145" t="s">
        <v>853</v>
      </c>
      <c r="L2145" s="5"/>
      <c r="M2145" s="5"/>
      <c r="N2145" t="s">
        <v>82</v>
      </c>
      <c r="O2145" t="s">
        <v>7164</v>
      </c>
      <c r="R2145">
        <v>1</v>
      </c>
      <c r="T2145" s="5"/>
      <c r="W2145">
        <v>171</v>
      </c>
      <c r="X2145" t="s">
        <v>1239</v>
      </c>
      <c r="Y2145" t="str">
        <f>VLOOKUP(C2145,'[1]DBS_KPY Sorumlular'!A:C,2,FALSE)</f>
        <v>Mustafa AYDIN</v>
      </c>
      <c r="Z2145" t="str">
        <f>VLOOKUP(C2145,'[1]DBS_KPY Sorumlular'!A:C,3,FALSE)</f>
        <v>Esra DOLAN</v>
      </c>
      <c r="AA2145" t="str">
        <f>VLOOKUP(K2145,[1]!Tablo3[#Data],2,FALSE)</f>
        <v>Erkan AKDOĞAN</v>
      </c>
    </row>
    <row r="2146" spans="1:27" x14ac:dyDescent="0.25">
      <c r="A2146">
        <v>3498</v>
      </c>
      <c r="B2146" t="s">
        <v>27</v>
      </c>
      <c r="C2146" t="s">
        <v>40</v>
      </c>
      <c r="D2146" t="s">
        <v>41</v>
      </c>
      <c r="G2146" t="s">
        <v>43</v>
      </c>
      <c r="H2146" t="s">
        <v>7165</v>
      </c>
      <c r="I2146" s="4">
        <v>43982.875</v>
      </c>
      <c r="K2146" t="s">
        <v>853</v>
      </c>
      <c r="L2146" s="5"/>
      <c r="M2146" s="5"/>
      <c r="N2146" t="s">
        <v>82</v>
      </c>
      <c r="O2146" t="s">
        <v>7161</v>
      </c>
      <c r="R2146">
        <v>1</v>
      </c>
      <c r="T2146" s="5"/>
      <c r="W2146">
        <v>86</v>
      </c>
      <c r="X2146" t="s">
        <v>189</v>
      </c>
      <c r="Y2146" t="str">
        <f>VLOOKUP(C2146,'[1]DBS_KPY Sorumlular'!A:C,2,FALSE)</f>
        <v>Mustafa AYDIN</v>
      </c>
      <c r="Z2146" t="str">
        <f>VLOOKUP(C2146,'[1]DBS_KPY Sorumlular'!A:C,3,FALSE)</f>
        <v>Esra DOLAN</v>
      </c>
      <c r="AA2146" t="str">
        <f>VLOOKUP(K2146,[1]!Tablo3[#Data],2,FALSE)</f>
        <v>Erkan AKDOĞAN</v>
      </c>
    </row>
    <row r="2147" spans="1:27" x14ac:dyDescent="0.25">
      <c r="A2147">
        <v>3499</v>
      </c>
      <c r="B2147" t="s">
        <v>27</v>
      </c>
      <c r="C2147" t="s">
        <v>40</v>
      </c>
      <c r="D2147" t="s">
        <v>41</v>
      </c>
      <c r="G2147" t="s">
        <v>43</v>
      </c>
      <c r="H2147" t="s">
        <v>7166</v>
      </c>
      <c r="I2147" s="4">
        <v>44712.875</v>
      </c>
      <c r="K2147" t="s">
        <v>853</v>
      </c>
      <c r="L2147" s="5"/>
      <c r="M2147" s="5"/>
      <c r="N2147" t="s">
        <v>82</v>
      </c>
      <c r="O2147" t="s">
        <v>7167</v>
      </c>
      <c r="R2147">
        <v>1</v>
      </c>
      <c r="T2147" s="5"/>
      <c r="W2147">
        <v>108</v>
      </c>
      <c r="X2147" t="s">
        <v>107</v>
      </c>
      <c r="Y2147" t="str">
        <f>VLOOKUP(C2147,'[1]DBS_KPY Sorumlular'!A:C,2,FALSE)</f>
        <v>Mustafa AYDIN</v>
      </c>
      <c r="Z2147" t="str">
        <f>VLOOKUP(C2147,'[1]DBS_KPY Sorumlular'!A:C,3,FALSE)</f>
        <v>Esra DOLAN</v>
      </c>
      <c r="AA2147" t="str">
        <f>VLOOKUP(K2147,[1]!Tablo3[#Data],2,FALSE)</f>
        <v>Erkan AKDOĞAN</v>
      </c>
    </row>
    <row r="2148" spans="1:27" x14ac:dyDescent="0.25">
      <c r="A2148">
        <v>3500</v>
      </c>
      <c r="B2148" t="s">
        <v>27</v>
      </c>
      <c r="C2148" t="s">
        <v>40</v>
      </c>
      <c r="D2148" t="s">
        <v>41</v>
      </c>
      <c r="G2148" t="s">
        <v>96</v>
      </c>
      <c r="H2148" t="s">
        <v>7168</v>
      </c>
      <c r="I2148" s="4">
        <v>45077.875</v>
      </c>
      <c r="K2148" t="s">
        <v>853</v>
      </c>
      <c r="L2148" s="5"/>
      <c r="M2148" s="5"/>
      <c r="N2148" t="s">
        <v>82</v>
      </c>
      <c r="O2148" t="s">
        <v>7169</v>
      </c>
      <c r="R2148">
        <v>1</v>
      </c>
      <c r="T2148" s="5"/>
      <c r="W2148">
        <v>28</v>
      </c>
      <c r="X2148" t="s">
        <v>667</v>
      </c>
      <c r="Y2148" t="str">
        <f>VLOOKUP(C2148,'[1]DBS_KPY Sorumlular'!A:C,2,FALSE)</f>
        <v>Mustafa AYDIN</v>
      </c>
      <c r="Z2148" t="str">
        <f>VLOOKUP(C2148,'[1]DBS_KPY Sorumlular'!A:C,3,FALSE)</f>
        <v>Esra DOLAN</v>
      </c>
      <c r="AA2148" t="str">
        <f>VLOOKUP(K2148,[1]!Tablo3[#Data],2,FALSE)</f>
        <v>Erkan AKDOĞAN</v>
      </c>
    </row>
    <row r="2149" spans="1:27" x14ac:dyDescent="0.25">
      <c r="A2149">
        <v>3501</v>
      </c>
      <c r="B2149" t="s">
        <v>27</v>
      </c>
      <c r="C2149" t="s">
        <v>40</v>
      </c>
      <c r="D2149" t="s">
        <v>41</v>
      </c>
      <c r="G2149" t="s">
        <v>43</v>
      </c>
      <c r="H2149" t="s">
        <v>7170</v>
      </c>
      <c r="I2149" s="4">
        <v>43616.875</v>
      </c>
      <c r="K2149" t="s">
        <v>860</v>
      </c>
      <c r="L2149" s="5"/>
      <c r="M2149" s="5"/>
      <c r="N2149" t="s">
        <v>82</v>
      </c>
      <c r="O2149" t="s">
        <v>7171</v>
      </c>
      <c r="R2149">
        <v>1</v>
      </c>
      <c r="T2149" s="5"/>
      <c r="W2149">
        <v>34</v>
      </c>
      <c r="X2149" t="s">
        <v>4218</v>
      </c>
      <c r="Y2149" t="str">
        <f>VLOOKUP(C2149,'[1]DBS_KPY Sorumlular'!A:C,2,FALSE)</f>
        <v>Mustafa AYDIN</v>
      </c>
      <c r="Z2149" t="str">
        <f>VLOOKUP(C2149,'[1]DBS_KPY Sorumlular'!A:C,3,FALSE)</f>
        <v>Esra DOLAN</v>
      </c>
      <c r="AA2149" t="str">
        <f>VLOOKUP(K2149,[1]!Tablo3[#Data],2,FALSE)</f>
        <v>Erkan AKDOĞAN</v>
      </c>
    </row>
    <row r="2150" spans="1:27" x14ac:dyDescent="0.25">
      <c r="A2150">
        <v>3502</v>
      </c>
      <c r="B2150" t="s">
        <v>27</v>
      </c>
      <c r="C2150" t="s">
        <v>40</v>
      </c>
      <c r="D2150" t="s">
        <v>41</v>
      </c>
      <c r="G2150" t="s">
        <v>43</v>
      </c>
      <c r="H2150" t="s">
        <v>7172</v>
      </c>
      <c r="I2150" s="4">
        <v>43982.875</v>
      </c>
      <c r="K2150" t="s">
        <v>860</v>
      </c>
      <c r="L2150" s="5"/>
      <c r="M2150" s="5"/>
      <c r="N2150" t="s">
        <v>82</v>
      </c>
      <c r="O2150" t="s">
        <v>7173</v>
      </c>
      <c r="R2150">
        <v>1</v>
      </c>
      <c r="T2150" s="5"/>
      <c r="W2150">
        <v>34</v>
      </c>
      <c r="X2150" t="s">
        <v>4218</v>
      </c>
      <c r="Y2150" t="str">
        <f>VLOOKUP(C2150,'[1]DBS_KPY Sorumlular'!A:C,2,FALSE)</f>
        <v>Mustafa AYDIN</v>
      </c>
      <c r="Z2150" t="str">
        <f>VLOOKUP(C2150,'[1]DBS_KPY Sorumlular'!A:C,3,FALSE)</f>
        <v>Esra DOLAN</v>
      </c>
      <c r="AA2150" t="str">
        <f>VLOOKUP(K2150,[1]!Tablo3[#Data],2,FALSE)</f>
        <v>Erkan AKDOĞAN</v>
      </c>
    </row>
    <row r="2151" spans="1:27" x14ac:dyDescent="0.25">
      <c r="A2151">
        <v>3503</v>
      </c>
      <c r="B2151" t="s">
        <v>27</v>
      </c>
      <c r="C2151" t="s">
        <v>40</v>
      </c>
      <c r="D2151" t="s">
        <v>41</v>
      </c>
      <c r="G2151" t="s">
        <v>43</v>
      </c>
      <c r="H2151" t="s">
        <v>7174</v>
      </c>
      <c r="I2151" s="4">
        <v>44347.875</v>
      </c>
      <c r="K2151" t="s">
        <v>860</v>
      </c>
      <c r="L2151" s="5"/>
      <c r="M2151" s="5"/>
      <c r="N2151" t="s">
        <v>82</v>
      </c>
      <c r="O2151" t="s">
        <v>7175</v>
      </c>
      <c r="R2151">
        <v>1</v>
      </c>
      <c r="T2151" s="5"/>
      <c r="W2151">
        <v>80</v>
      </c>
      <c r="X2151" t="s">
        <v>647</v>
      </c>
      <c r="Y2151" t="str">
        <f>VLOOKUP(C2151,'[1]DBS_KPY Sorumlular'!A:C,2,FALSE)</f>
        <v>Mustafa AYDIN</v>
      </c>
      <c r="Z2151" t="str">
        <f>VLOOKUP(C2151,'[1]DBS_KPY Sorumlular'!A:C,3,FALSE)</f>
        <v>Esra DOLAN</v>
      </c>
      <c r="AA2151" t="str">
        <f>VLOOKUP(K2151,[1]!Tablo3[#Data],2,FALSE)</f>
        <v>Erkan AKDOĞAN</v>
      </c>
    </row>
    <row r="2152" spans="1:27" x14ac:dyDescent="0.25">
      <c r="A2152">
        <v>3504</v>
      </c>
      <c r="B2152" t="s">
        <v>27</v>
      </c>
      <c r="C2152" t="s">
        <v>40</v>
      </c>
      <c r="D2152" t="s">
        <v>41</v>
      </c>
      <c r="G2152" t="s">
        <v>43</v>
      </c>
      <c r="H2152" t="s">
        <v>7176</v>
      </c>
      <c r="I2152" s="4">
        <v>44347.875</v>
      </c>
      <c r="K2152" t="s">
        <v>860</v>
      </c>
      <c r="L2152" s="5"/>
      <c r="M2152" s="5"/>
      <c r="N2152" t="s">
        <v>82</v>
      </c>
      <c r="O2152" t="s">
        <v>7177</v>
      </c>
      <c r="R2152">
        <v>1</v>
      </c>
      <c r="T2152" s="5"/>
      <c r="W2152">
        <v>132</v>
      </c>
      <c r="X2152" t="s">
        <v>7178</v>
      </c>
      <c r="Y2152" t="str">
        <f>VLOOKUP(C2152,'[1]DBS_KPY Sorumlular'!A:C,2,FALSE)</f>
        <v>Mustafa AYDIN</v>
      </c>
      <c r="Z2152" t="str">
        <f>VLOOKUP(C2152,'[1]DBS_KPY Sorumlular'!A:C,3,FALSE)</f>
        <v>Esra DOLAN</v>
      </c>
      <c r="AA2152" t="str">
        <f>VLOOKUP(K2152,[1]!Tablo3[#Data],2,FALSE)</f>
        <v>Erkan AKDOĞAN</v>
      </c>
    </row>
    <row r="2153" spans="1:27" x14ac:dyDescent="0.25">
      <c r="A2153">
        <v>3505</v>
      </c>
      <c r="B2153" t="s">
        <v>27</v>
      </c>
      <c r="C2153" t="s">
        <v>40</v>
      </c>
      <c r="D2153" t="s">
        <v>41</v>
      </c>
      <c r="G2153" t="s">
        <v>43</v>
      </c>
      <c r="H2153" t="s">
        <v>7179</v>
      </c>
      <c r="I2153" s="4">
        <v>44712.875</v>
      </c>
      <c r="K2153" t="s">
        <v>860</v>
      </c>
      <c r="L2153" s="5"/>
      <c r="M2153" s="5"/>
      <c r="N2153" t="s">
        <v>82</v>
      </c>
      <c r="O2153" t="s">
        <v>7180</v>
      </c>
      <c r="R2153">
        <v>1</v>
      </c>
      <c r="T2153" s="5"/>
      <c r="W2153">
        <v>34</v>
      </c>
      <c r="X2153" t="s">
        <v>4218</v>
      </c>
      <c r="Y2153" t="str">
        <f>VLOOKUP(C2153,'[1]DBS_KPY Sorumlular'!A:C,2,FALSE)</f>
        <v>Mustafa AYDIN</v>
      </c>
      <c r="Z2153" t="str">
        <f>VLOOKUP(C2153,'[1]DBS_KPY Sorumlular'!A:C,3,FALSE)</f>
        <v>Esra DOLAN</v>
      </c>
      <c r="AA2153" t="str">
        <f>VLOOKUP(K2153,[1]!Tablo3[#Data],2,FALSE)</f>
        <v>Erkan AKDOĞAN</v>
      </c>
    </row>
    <row r="2154" spans="1:27" x14ac:dyDescent="0.25">
      <c r="A2154">
        <v>3506</v>
      </c>
      <c r="B2154" t="s">
        <v>27</v>
      </c>
      <c r="C2154" t="s">
        <v>40</v>
      </c>
      <c r="D2154" t="s">
        <v>41</v>
      </c>
      <c r="G2154" t="s">
        <v>96</v>
      </c>
      <c r="H2154" t="s">
        <v>7181</v>
      </c>
      <c r="I2154" s="4">
        <v>45077.875</v>
      </c>
      <c r="K2154" t="s">
        <v>860</v>
      </c>
      <c r="L2154" s="5"/>
      <c r="M2154" s="5"/>
      <c r="N2154" t="s">
        <v>82</v>
      </c>
      <c r="O2154" t="s">
        <v>7182</v>
      </c>
      <c r="R2154">
        <v>1</v>
      </c>
      <c r="T2154" s="5"/>
      <c r="W2154">
        <v>91</v>
      </c>
      <c r="X2154" t="s">
        <v>101</v>
      </c>
      <c r="Y2154" t="str">
        <f>VLOOKUP(C2154,'[1]DBS_KPY Sorumlular'!A:C,2,FALSE)</f>
        <v>Mustafa AYDIN</v>
      </c>
      <c r="Z2154" t="str">
        <f>VLOOKUP(C2154,'[1]DBS_KPY Sorumlular'!A:C,3,FALSE)</f>
        <v>Esra DOLAN</v>
      </c>
      <c r="AA2154" t="str">
        <f>VLOOKUP(K2154,[1]!Tablo3[#Data],2,FALSE)</f>
        <v>Erkan AKDOĞAN</v>
      </c>
    </row>
    <row r="2155" spans="1:27" x14ac:dyDescent="0.25">
      <c r="A2155">
        <v>3507</v>
      </c>
      <c r="B2155" t="s">
        <v>27</v>
      </c>
      <c r="C2155" t="s">
        <v>40</v>
      </c>
      <c r="D2155" t="s">
        <v>41</v>
      </c>
      <c r="G2155" t="s">
        <v>96</v>
      </c>
      <c r="H2155" t="s">
        <v>7183</v>
      </c>
      <c r="I2155" s="4">
        <v>45077.875</v>
      </c>
      <c r="K2155" t="s">
        <v>860</v>
      </c>
      <c r="L2155" s="5"/>
      <c r="M2155" s="5"/>
      <c r="N2155" t="s">
        <v>82</v>
      </c>
      <c r="O2155" t="s">
        <v>7184</v>
      </c>
      <c r="R2155">
        <v>1</v>
      </c>
      <c r="T2155" s="5"/>
      <c r="W2155">
        <v>91</v>
      </c>
      <c r="X2155" t="s">
        <v>101</v>
      </c>
      <c r="Y2155" t="str">
        <f>VLOOKUP(C2155,'[1]DBS_KPY Sorumlular'!A:C,2,FALSE)</f>
        <v>Mustafa AYDIN</v>
      </c>
      <c r="Z2155" t="str">
        <f>VLOOKUP(C2155,'[1]DBS_KPY Sorumlular'!A:C,3,FALSE)</f>
        <v>Esra DOLAN</v>
      </c>
      <c r="AA2155" t="str">
        <f>VLOOKUP(K2155,[1]!Tablo3[#Data],2,FALSE)</f>
        <v>Erkan AKDOĞAN</v>
      </c>
    </row>
    <row r="2156" spans="1:27" x14ac:dyDescent="0.25">
      <c r="A2156">
        <v>3508</v>
      </c>
      <c r="B2156" t="s">
        <v>27</v>
      </c>
      <c r="C2156" t="s">
        <v>40</v>
      </c>
      <c r="D2156" t="s">
        <v>41</v>
      </c>
      <c r="G2156" t="s">
        <v>43</v>
      </c>
      <c r="H2156" t="s">
        <v>7185</v>
      </c>
      <c r="I2156" s="4">
        <v>45077.875</v>
      </c>
      <c r="K2156" t="s">
        <v>860</v>
      </c>
      <c r="L2156" s="5"/>
      <c r="M2156" s="5"/>
      <c r="N2156" t="s">
        <v>82</v>
      </c>
      <c r="O2156" t="s">
        <v>7186</v>
      </c>
      <c r="R2156">
        <v>1</v>
      </c>
      <c r="T2156" s="5"/>
      <c r="W2156">
        <v>213</v>
      </c>
      <c r="X2156" t="s">
        <v>6425</v>
      </c>
      <c r="Y2156" t="str">
        <f>VLOOKUP(C2156,'[1]DBS_KPY Sorumlular'!A:C,2,FALSE)</f>
        <v>Mustafa AYDIN</v>
      </c>
      <c r="Z2156" t="str">
        <f>VLOOKUP(C2156,'[1]DBS_KPY Sorumlular'!A:C,3,FALSE)</f>
        <v>Esra DOLAN</v>
      </c>
      <c r="AA2156" t="str">
        <f>VLOOKUP(K2156,[1]!Tablo3[#Data],2,FALSE)</f>
        <v>Erkan AKDOĞAN</v>
      </c>
    </row>
    <row r="2157" spans="1:27" x14ac:dyDescent="0.25">
      <c r="A2157">
        <v>3509</v>
      </c>
      <c r="B2157" t="s">
        <v>27</v>
      </c>
      <c r="C2157" t="s">
        <v>40</v>
      </c>
      <c r="D2157" t="s">
        <v>41</v>
      </c>
      <c r="G2157" t="s">
        <v>43</v>
      </c>
      <c r="H2157" t="s">
        <v>7187</v>
      </c>
      <c r="I2157" s="4">
        <v>45443.875</v>
      </c>
      <c r="K2157" t="s">
        <v>860</v>
      </c>
      <c r="L2157" s="5"/>
      <c r="M2157" s="5"/>
      <c r="N2157" t="s">
        <v>82</v>
      </c>
      <c r="O2157" t="s">
        <v>7188</v>
      </c>
      <c r="R2157">
        <v>1</v>
      </c>
      <c r="T2157" s="5"/>
      <c r="W2157">
        <v>263</v>
      </c>
      <c r="X2157" t="s">
        <v>628</v>
      </c>
      <c r="Y2157" t="str">
        <f>VLOOKUP(C2157,'[1]DBS_KPY Sorumlular'!A:C,2,FALSE)</f>
        <v>Mustafa AYDIN</v>
      </c>
      <c r="Z2157" t="str">
        <f>VLOOKUP(C2157,'[1]DBS_KPY Sorumlular'!A:C,3,FALSE)</f>
        <v>Esra DOLAN</v>
      </c>
      <c r="AA2157" t="str">
        <f>VLOOKUP(K2157,[1]!Tablo3[#Data],2,FALSE)</f>
        <v>Erkan AKDOĞAN</v>
      </c>
    </row>
    <row r="2158" spans="1:27" x14ac:dyDescent="0.25">
      <c r="A2158">
        <v>3510</v>
      </c>
      <c r="B2158" t="s">
        <v>27</v>
      </c>
      <c r="C2158" t="s">
        <v>40</v>
      </c>
      <c r="D2158" t="s">
        <v>41</v>
      </c>
      <c r="G2158" t="s">
        <v>43</v>
      </c>
      <c r="H2158" t="s">
        <v>7189</v>
      </c>
      <c r="I2158" s="4">
        <v>45443.875</v>
      </c>
      <c r="K2158" t="s">
        <v>860</v>
      </c>
      <c r="L2158" s="5"/>
      <c r="M2158" s="5"/>
      <c r="N2158" t="s">
        <v>82</v>
      </c>
      <c r="O2158" t="s">
        <v>7177</v>
      </c>
      <c r="R2158">
        <v>1</v>
      </c>
      <c r="T2158" s="5"/>
      <c r="W2158">
        <v>132</v>
      </c>
      <c r="X2158" t="s">
        <v>7178</v>
      </c>
      <c r="Y2158" t="str">
        <f>VLOOKUP(C2158,'[1]DBS_KPY Sorumlular'!A:C,2,FALSE)</f>
        <v>Mustafa AYDIN</v>
      </c>
      <c r="Z2158" t="str">
        <f>VLOOKUP(C2158,'[1]DBS_KPY Sorumlular'!A:C,3,FALSE)</f>
        <v>Esra DOLAN</v>
      </c>
      <c r="AA2158" t="str">
        <f>VLOOKUP(K2158,[1]!Tablo3[#Data],2,FALSE)</f>
        <v>Erkan AKDOĞAN</v>
      </c>
    </row>
    <row r="2159" spans="1:27" x14ac:dyDescent="0.25">
      <c r="A2159">
        <v>3511</v>
      </c>
      <c r="B2159" t="s">
        <v>27</v>
      </c>
      <c r="C2159" t="s">
        <v>40</v>
      </c>
      <c r="D2159" t="s">
        <v>41</v>
      </c>
      <c r="G2159" t="s">
        <v>384</v>
      </c>
      <c r="H2159" t="s">
        <v>7190</v>
      </c>
      <c r="I2159" s="4">
        <v>43616.875</v>
      </c>
      <c r="K2159" t="s">
        <v>914</v>
      </c>
      <c r="L2159" s="5"/>
      <c r="M2159" s="5"/>
      <c r="N2159" t="s">
        <v>82</v>
      </c>
      <c r="O2159" t="s">
        <v>7191</v>
      </c>
      <c r="R2159">
        <v>1</v>
      </c>
      <c r="T2159" s="5"/>
      <c r="W2159">
        <v>51</v>
      </c>
      <c r="X2159" t="s">
        <v>809</v>
      </c>
      <c r="Y2159" t="str">
        <f>VLOOKUP(C2159,'[1]DBS_KPY Sorumlular'!A:C,2,FALSE)</f>
        <v>Mustafa AYDIN</v>
      </c>
      <c r="Z2159" t="str">
        <f>VLOOKUP(C2159,'[1]DBS_KPY Sorumlular'!A:C,3,FALSE)</f>
        <v>Esra DOLAN</v>
      </c>
      <c r="AA2159" t="str">
        <f>VLOOKUP(K2159,[1]!Tablo3[#Data],2,FALSE)</f>
        <v>Tayfun VİÇE</v>
      </c>
    </row>
    <row r="2160" spans="1:27" x14ac:dyDescent="0.25">
      <c r="A2160">
        <v>3512</v>
      </c>
      <c r="B2160" t="s">
        <v>27</v>
      </c>
      <c r="C2160" t="s">
        <v>40</v>
      </c>
      <c r="D2160" t="s">
        <v>41</v>
      </c>
      <c r="G2160" t="s">
        <v>43</v>
      </c>
      <c r="H2160" t="s">
        <v>7192</v>
      </c>
      <c r="I2160" s="4">
        <v>43616.875</v>
      </c>
      <c r="K2160" t="s">
        <v>914</v>
      </c>
      <c r="L2160" s="5"/>
      <c r="M2160" s="5"/>
      <c r="N2160" t="s">
        <v>82</v>
      </c>
      <c r="O2160" t="s">
        <v>7193</v>
      </c>
      <c r="R2160">
        <v>1</v>
      </c>
      <c r="T2160" s="5"/>
      <c r="W2160">
        <v>137</v>
      </c>
      <c r="X2160" t="s">
        <v>125</v>
      </c>
      <c r="Y2160" t="str">
        <f>VLOOKUP(C2160,'[1]DBS_KPY Sorumlular'!A:C,2,FALSE)</f>
        <v>Mustafa AYDIN</v>
      </c>
      <c r="Z2160" t="str">
        <f>VLOOKUP(C2160,'[1]DBS_KPY Sorumlular'!A:C,3,FALSE)</f>
        <v>Esra DOLAN</v>
      </c>
      <c r="AA2160" t="str">
        <f>VLOOKUP(K2160,[1]!Tablo3[#Data],2,FALSE)</f>
        <v>Tayfun VİÇE</v>
      </c>
    </row>
    <row r="2161" spans="1:27" x14ac:dyDescent="0.25">
      <c r="A2161">
        <v>3513</v>
      </c>
      <c r="B2161" t="s">
        <v>27</v>
      </c>
      <c r="C2161" t="s">
        <v>40</v>
      </c>
      <c r="D2161" t="s">
        <v>41</v>
      </c>
      <c r="G2161" t="s">
        <v>67</v>
      </c>
      <c r="H2161" t="s">
        <v>7194</v>
      </c>
      <c r="I2161" s="4">
        <v>43616.875</v>
      </c>
      <c r="K2161" t="s">
        <v>914</v>
      </c>
      <c r="L2161" s="5"/>
      <c r="M2161" s="5"/>
      <c r="N2161" t="s">
        <v>82</v>
      </c>
      <c r="O2161" t="s">
        <v>7195</v>
      </c>
      <c r="R2161">
        <v>1</v>
      </c>
      <c r="T2161" s="5"/>
      <c r="W2161">
        <v>104</v>
      </c>
      <c r="X2161" t="s">
        <v>703</v>
      </c>
      <c r="Y2161" t="str">
        <f>VLOOKUP(C2161,'[1]DBS_KPY Sorumlular'!A:C,2,FALSE)</f>
        <v>Mustafa AYDIN</v>
      </c>
      <c r="Z2161" t="str">
        <f>VLOOKUP(C2161,'[1]DBS_KPY Sorumlular'!A:C,3,FALSE)</f>
        <v>Esra DOLAN</v>
      </c>
      <c r="AA2161" t="str">
        <f>VLOOKUP(K2161,[1]!Tablo3[#Data],2,FALSE)</f>
        <v>Tayfun VİÇE</v>
      </c>
    </row>
    <row r="2162" spans="1:27" x14ac:dyDescent="0.25">
      <c r="A2162">
        <v>3514</v>
      </c>
      <c r="B2162" t="s">
        <v>27</v>
      </c>
      <c r="C2162" t="s">
        <v>40</v>
      </c>
      <c r="D2162" t="s">
        <v>41</v>
      </c>
      <c r="G2162" t="s">
        <v>43</v>
      </c>
      <c r="H2162" t="s">
        <v>7196</v>
      </c>
      <c r="I2162" s="4">
        <v>43982.875</v>
      </c>
      <c r="K2162" t="s">
        <v>914</v>
      </c>
      <c r="L2162" s="5"/>
      <c r="M2162" s="5"/>
      <c r="N2162" t="s">
        <v>82</v>
      </c>
      <c r="O2162" t="s">
        <v>7197</v>
      </c>
      <c r="R2162">
        <v>1</v>
      </c>
      <c r="T2162" s="5"/>
      <c r="W2162">
        <v>86</v>
      </c>
      <c r="X2162" t="s">
        <v>189</v>
      </c>
      <c r="Y2162" t="str">
        <f>VLOOKUP(C2162,'[1]DBS_KPY Sorumlular'!A:C,2,FALSE)</f>
        <v>Mustafa AYDIN</v>
      </c>
      <c r="Z2162" t="str">
        <f>VLOOKUP(C2162,'[1]DBS_KPY Sorumlular'!A:C,3,FALSE)</f>
        <v>Esra DOLAN</v>
      </c>
      <c r="AA2162" t="str">
        <f>VLOOKUP(K2162,[1]!Tablo3[#Data],2,FALSE)</f>
        <v>Tayfun VİÇE</v>
      </c>
    </row>
    <row r="2163" spans="1:27" x14ac:dyDescent="0.25">
      <c r="A2163">
        <v>3515</v>
      </c>
      <c r="B2163" t="s">
        <v>27</v>
      </c>
      <c r="C2163" t="s">
        <v>40</v>
      </c>
      <c r="D2163" t="s">
        <v>41</v>
      </c>
      <c r="G2163" t="s">
        <v>67</v>
      </c>
      <c r="H2163" t="s">
        <v>7198</v>
      </c>
      <c r="I2163" s="4">
        <v>44347.875</v>
      </c>
      <c r="K2163" t="s">
        <v>914</v>
      </c>
      <c r="L2163" s="5"/>
      <c r="M2163" s="5"/>
      <c r="N2163" t="s">
        <v>82</v>
      </c>
      <c r="O2163" t="s">
        <v>7199</v>
      </c>
      <c r="R2163">
        <v>1</v>
      </c>
      <c r="T2163" s="5"/>
      <c r="W2163">
        <v>203</v>
      </c>
      <c r="X2163" t="s">
        <v>72</v>
      </c>
      <c r="Y2163" t="str">
        <f>VLOOKUP(C2163,'[1]DBS_KPY Sorumlular'!A:C,2,FALSE)</f>
        <v>Mustafa AYDIN</v>
      </c>
      <c r="Z2163" t="str">
        <f>VLOOKUP(C2163,'[1]DBS_KPY Sorumlular'!A:C,3,FALSE)</f>
        <v>Esra DOLAN</v>
      </c>
      <c r="AA2163" t="str">
        <f>VLOOKUP(K2163,[1]!Tablo3[#Data],2,FALSE)</f>
        <v>Tayfun VİÇE</v>
      </c>
    </row>
    <row r="2164" spans="1:27" x14ac:dyDescent="0.25">
      <c r="A2164">
        <v>3516</v>
      </c>
      <c r="B2164" t="s">
        <v>27</v>
      </c>
      <c r="C2164" t="s">
        <v>40</v>
      </c>
      <c r="D2164" t="s">
        <v>41</v>
      </c>
      <c r="G2164" t="s">
        <v>43</v>
      </c>
      <c r="H2164" t="s">
        <v>7200</v>
      </c>
      <c r="I2164" s="4">
        <v>44347.875</v>
      </c>
      <c r="K2164" t="s">
        <v>914</v>
      </c>
      <c r="L2164" s="5"/>
      <c r="M2164" s="5"/>
      <c r="N2164" t="s">
        <v>82</v>
      </c>
      <c r="O2164" t="s">
        <v>7201</v>
      </c>
      <c r="R2164">
        <v>1</v>
      </c>
      <c r="T2164" s="5"/>
      <c r="W2164">
        <v>137</v>
      </c>
      <c r="X2164" t="s">
        <v>125</v>
      </c>
      <c r="Y2164" t="str">
        <f>VLOOKUP(C2164,'[1]DBS_KPY Sorumlular'!A:C,2,FALSE)</f>
        <v>Mustafa AYDIN</v>
      </c>
      <c r="Z2164" t="str">
        <f>VLOOKUP(C2164,'[1]DBS_KPY Sorumlular'!A:C,3,FALSE)</f>
        <v>Esra DOLAN</v>
      </c>
      <c r="AA2164" t="str">
        <f>VLOOKUP(K2164,[1]!Tablo3[#Data],2,FALSE)</f>
        <v>Tayfun VİÇE</v>
      </c>
    </row>
    <row r="2165" spans="1:27" x14ac:dyDescent="0.25">
      <c r="A2165">
        <v>3517</v>
      </c>
      <c r="B2165" t="s">
        <v>27</v>
      </c>
      <c r="C2165" t="s">
        <v>40</v>
      </c>
      <c r="D2165" t="s">
        <v>41</v>
      </c>
      <c r="G2165" t="s">
        <v>67</v>
      </c>
      <c r="H2165" t="s">
        <v>7202</v>
      </c>
      <c r="I2165" s="4">
        <v>44347.875</v>
      </c>
      <c r="K2165" t="s">
        <v>914</v>
      </c>
      <c r="L2165" s="5"/>
      <c r="M2165" s="5"/>
      <c r="N2165" t="s">
        <v>82</v>
      </c>
      <c r="O2165" t="s">
        <v>7203</v>
      </c>
      <c r="R2165">
        <v>1</v>
      </c>
      <c r="T2165" s="5"/>
      <c r="W2165">
        <v>104</v>
      </c>
      <c r="X2165" t="s">
        <v>703</v>
      </c>
      <c r="Y2165" t="str">
        <f>VLOOKUP(C2165,'[1]DBS_KPY Sorumlular'!A:C,2,FALSE)</f>
        <v>Mustafa AYDIN</v>
      </c>
      <c r="Z2165" t="str">
        <f>VLOOKUP(C2165,'[1]DBS_KPY Sorumlular'!A:C,3,FALSE)</f>
        <v>Esra DOLAN</v>
      </c>
      <c r="AA2165" t="str">
        <f>VLOOKUP(K2165,[1]!Tablo3[#Data],2,FALSE)</f>
        <v>Tayfun VİÇE</v>
      </c>
    </row>
    <row r="2166" spans="1:27" x14ac:dyDescent="0.25">
      <c r="A2166">
        <v>3518</v>
      </c>
      <c r="B2166" t="s">
        <v>27</v>
      </c>
      <c r="C2166" t="s">
        <v>40</v>
      </c>
      <c r="D2166" t="s">
        <v>41</v>
      </c>
      <c r="G2166" t="s">
        <v>43</v>
      </c>
      <c r="H2166" t="s">
        <v>7204</v>
      </c>
      <c r="I2166" s="4">
        <v>44347.875</v>
      </c>
      <c r="K2166" t="s">
        <v>914</v>
      </c>
      <c r="L2166" s="5"/>
      <c r="M2166" s="5"/>
      <c r="N2166" t="s">
        <v>82</v>
      </c>
      <c r="O2166" t="s">
        <v>7205</v>
      </c>
      <c r="R2166">
        <v>1</v>
      </c>
      <c r="T2166" s="5"/>
      <c r="W2166">
        <v>137</v>
      </c>
      <c r="X2166" t="s">
        <v>125</v>
      </c>
      <c r="Y2166" t="str">
        <f>VLOOKUP(C2166,'[1]DBS_KPY Sorumlular'!A:C,2,FALSE)</f>
        <v>Mustafa AYDIN</v>
      </c>
      <c r="Z2166" t="str">
        <f>VLOOKUP(C2166,'[1]DBS_KPY Sorumlular'!A:C,3,FALSE)</f>
        <v>Esra DOLAN</v>
      </c>
      <c r="AA2166" t="str">
        <f>VLOOKUP(K2166,[1]!Tablo3[#Data],2,FALSE)</f>
        <v>Tayfun VİÇE</v>
      </c>
    </row>
    <row r="2167" spans="1:27" x14ac:dyDescent="0.25">
      <c r="A2167">
        <v>3519</v>
      </c>
      <c r="B2167" t="s">
        <v>27</v>
      </c>
      <c r="C2167" t="s">
        <v>40</v>
      </c>
      <c r="D2167" t="s">
        <v>41</v>
      </c>
      <c r="G2167" t="s">
        <v>43</v>
      </c>
      <c r="H2167" t="s">
        <v>7206</v>
      </c>
      <c r="I2167" s="4">
        <v>44347.875</v>
      </c>
      <c r="K2167" t="s">
        <v>914</v>
      </c>
      <c r="L2167" s="5"/>
      <c r="M2167" s="5"/>
      <c r="N2167" t="s">
        <v>82</v>
      </c>
      <c r="O2167" t="s">
        <v>7207</v>
      </c>
      <c r="R2167">
        <v>1</v>
      </c>
      <c r="T2167" s="5"/>
      <c r="W2167">
        <v>224</v>
      </c>
      <c r="X2167" t="s">
        <v>6599</v>
      </c>
      <c r="Y2167" t="str">
        <f>VLOOKUP(C2167,'[1]DBS_KPY Sorumlular'!A:C,2,FALSE)</f>
        <v>Mustafa AYDIN</v>
      </c>
      <c r="Z2167" t="str">
        <f>VLOOKUP(C2167,'[1]DBS_KPY Sorumlular'!A:C,3,FALSE)</f>
        <v>Esra DOLAN</v>
      </c>
      <c r="AA2167" t="str">
        <f>VLOOKUP(K2167,[1]!Tablo3[#Data],2,FALSE)</f>
        <v>Tayfun VİÇE</v>
      </c>
    </row>
    <row r="2168" spans="1:27" x14ac:dyDescent="0.25">
      <c r="A2168">
        <v>3520</v>
      </c>
      <c r="B2168" t="s">
        <v>27</v>
      </c>
      <c r="C2168" t="s">
        <v>40</v>
      </c>
      <c r="D2168" t="s">
        <v>41</v>
      </c>
      <c r="G2168" t="s">
        <v>96</v>
      </c>
      <c r="H2168" t="s">
        <v>7208</v>
      </c>
      <c r="I2168" s="4">
        <v>44712.875</v>
      </c>
      <c r="K2168" t="s">
        <v>914</v>
      </c>
      <c r="L2168" s="5"/>
      <c r="M2168" s="5"/>
      <c r="N2168" t="s">
        <v>82</v>
      </c>
      <c r="O2168" t="s">
        <v>7209</v>
      </c>
      <c r="R2168">
        <v>1</v>
      </c>
      <c r="T2168" s="5"/>
      <c r="W2168">
        <v>91</v>
      </c>
      <c r="X2168" t="s">
        <v>101</v>
      </c>
      <c r="Y2168" t="str">
        <f>VLOOKUP(C2168,'[1]DBS_KPY Sorumlular'!A:C,2,FALSE)</f>
        <v>Mustafa AYDIN</v>
      </c>
      <c r="Z2168" t="str">
        <f>VLOOKUP(C2168,'[1]DBS_KPY Sorumlular'!A:C,3,FALSE)</f>
        <v>Esra DOLAN</v>
      </c>
      <c r="AA2168" t="str">
        <f>VLOOKUP(K2168,[1]!Tablo3[#Data],2,FALSE)</f>
        <v>Tayfun VİÇE</v>
      </c>
    </row>
    <row r="2169" spans="1:27" x14ac:dyDescent="0.25">
      <c r="A2169">
        <v>3521</v>
      </c>
      <c r="B2169" t="s">
        <v>27</v>
      </c>
      <c r="C2169" t="s">
        <v>40</v>
      </c>
      <c r="D2169" t="s">
        <v>41</v>
      </c>
      <c r="G2169" t="s">
        <v>67</v>
      </c>
      <c r="H2169" t="s">
        <v>7210</v>
      </c>
      <c r="I2169" s="4">
        <v>45077.875</v>
      </c>
      <c r="K2169" t="s">
        <v>914</v>
      </c>
      <c r="L2169" s="5"/>
      <c r="M2169" s="5"/>
      <c r="N2169" t="s">
        <v>82</v>
      </c>
      <c r="O2169" t="s">
        <v>7211</v>
      </c>
      <c r="R2169">
        <v>1</v>
      </c>
      <c r="T2169" s="5"/>
      <c r="W2169">
        <v>203</v>
      </c>
      <c r="X2169" t="s">
        <v>72</v>
      </c>
      <c r="Y2169" t="str">
        <f>VLOOKUP(C2169,'[1]DBS_KPY Sorumlular'!A:C,2,FALSE)</f>
        <v>Mustafa AYDIN</v>
      </c>
      <c r="Z2169" t="str">
        <f>VLOOKUP(C2169,'[1]DBS_KPY Sorumlular'!A:C,3,FALSE)</f>
        <v>Esra DOLAN</v>
      </c>
      <c r="AA2169" t="str">
        <f>VLOOKUP(K2169,[1]!Tablo3[#Data],2,FALSE)</f>
        <v>Tayfun VİÇE</v>
      </c>
    </row>
    <row r="2170" spans="1:27" x14ac:dyDescent="0.25">
      <c r="A2170">
        <v>3522</v>
      </c>
      <c r="B2170" t="s">
        <v>27</v>
      </c>
      <c r="C2170" t="s">
        <v>40</v>
      </c>
      <c r="D2170" t="s">
        <v>41</v>
      </c>
      <c r="G2170" t="s">
        <v>67</v>
      </c>
      <c r="H2170" t="s">
        <v>7212</v>
      </c>
      <c r="I2170" s="4">
        <v>45077.875</v>
      </c>
      <c r="K2170" t="s">
        <v>914</v>
      </c>
      <c r="L2170" s="5"/>
      <c r="M2170" s="5"/>
      <c r="N2170" t="s">
        <v>82</v>
      </c>
      <c r="O2170" t="s">
        <v>7213</v>
      </c>
      <c r="R2170">
        <v>1</v>
      </c>
      <c r="T2170" s="5"/>
      <c r="W2170">
        <v>104</v>
      </c>
      <c r="X2170" t="s">
        <v>703</v>
      </c>
      <c r="Y2170" t="str">
        <f>VLOOKUP(C2170,'[1]DBS_KPY Sorumlular'!A:C,2,FALSE)</f>
        <v>Mustafa AYDIN</v>
      </c>
      <c r="Z2170" t="str">
        <f>VLOOKUP(C2170,'[1]DBS_KPY Sorumlular'!A:C,3,FALSE)</f>
        <v>Esra DOLAN</v>
      </c>
      <c r="AA2170" t="str">
        <f>VLOOKUP(K2170,[1]!Tablo3[#Data],2,FALSE)</f>
        <v>Tayfun VİÇE</v>
      </c>
    </row>
    <row r="2171" spans="1:27" x14ac:dyDescent="0.25">
      <c r="A2171">
        <v>3523</v>
      </c>
      <c r="B2171" t="s">
        <v>27</v>
      </c>
      <c r="C2171" t="s">
        <v>40</v>
      </c>
      <c r="D2171" t="s">
        <v>41</v>
      </c>
      <c r="G2171" t="s">
        <v>43</v>
      </c>
      <c r="H2171" t="s">
        <v>7214</v>
      </c>
      <c r="I2171" s="4">
        <v>45077.875</v>
      </c>
      <c r="K2171" t="s">
        <v>914</v>
      </c>
      <c r="L2171" s="5"/>
      <c r="M2171" s="5"/>
      <c r="N2171" t="s">
        <v>82</v>
      </c>
      <c r="O2171" t="s">
        <v>7215</v>
      </c>
      <c r="R2171">
        <v>1</v>
      </c>
      <c r="T2171" s="5"/>
      <c r="W2171">
        <v>134</v>
      </c>
      <c r="X2171" t="s">
        <v>1577</v>
      </c>
      <c r="Y2171" t="str">
        <f>VLOOKUP(C2171,'[1]DBS_KPY Sorumlular'!A:C,2,FALSE)</f>
        <v>Mustafa AYDIN</v>
      </c>
      <c r="Z2171" t="str">
        <f>VLOOKUP(C2171,'[1]DBS_KPY Sorumlular'!A:C,3,FALSE)</f>
        <v>Esra DOLAN</v>
      </c>
      <c r="AA2171" t="str">
        <f>VLOOKUP(K2171,[1]!Tablo3[#Data],2,FALSE)</f>
        <v>Tayfun VİÇE</v>
      </c>
    </row>
    <row r="2172" spans="1:27" x14ac:dyDescent="0.25">
      <c r="A2172">
        <v>3524</v>
      </c>
      <c r="B2172" t="s">
        <v>27</v>
      </c>
      <c r="C2172" t="s">
        <v>40</v>
      </c>
      <c r="D2172" t="s">
        <v>41</v>
      </c>
      <c r="G2172" t="s">
        <v>43</v>
      </c>
      <c r="H2172" t="s">
        <v>7216</v>
      </c>
      <c r="I2172" s="4">
        <v>45077.875</v>
      </c>
      <c r="K2172" t="s">
        <v>914</v>
      </c>
      <c r="L2172" s="5"/>
      <c r="M2172" s="5"/>
      <c r="N2172" t="s">
        <v>82</v>
      </c>
      <c r="O2172" t="s">
        <v>7217</v>
      </c>
      <c r="R2172">
        <v>1</v>
      </c>
      <c r="T2172" s="5"/>
      <c r="W2172">
        <v>162</v>
      </c>
      <c r="X2172" t="s">
        <v>918</v>
      </c>
      <c r="Y2172" t="str">
        <f>VLOOKUP(C2172,'[1]DBS_KPY Sorumlular'!A:C,2,FALSE)</f>
        <v>Mustafa AYDIN</v>
      </c>
      <c r="Z2172" t="str">
        <f>VLOOKUP(C2172,'[1]DBS_KPY Sorumlular'!A:C,3,FALSE)</f>
        <v>Esra DOLAN</v>
      </c>
      <c r="AA2172" t="str">
        <f>VLOOKUP(K2172,[1]!Tablo3[#Data],2,FALSE)</f>
        <v>Tayfun VİÇE</v>
      </c>
    </row>
    <row r="2173" spans="1:27" x14ac:dyDescent="0.25">
      <c r="A2173">
        <v>3525</v>
      </c>
      <c r="B2173" t="s">
        <v>27</v>
      </c>
      <c r="C2173" t="s">
        <v>40</v>
      </c>
      <c r="D2173" t="s">
        <v>41</v>
      </c>
      <c r="G2173" t="s">
        <v>67</v>
      </c>
      <c r="H2173" t="s">
        <v>7218</v>
      </c>
      <c r="I2173" s="4">
        <v>45443.875</v>
      </c>
      <c r="K2173" t="s">
        <v>914</v>
      </c>
      <c r="L2173" s="5"/>
      <c r="M2173" s="5"/>
      <c r="N2173" t="s">
        <v>82</v>
      </c>
      <c r="O2173" t="s">
        <v>7219</v>
      </c>
      <c r="R2173">
        <v>1</v>
      </c>
      <c r="T2173" s="5"/>
      <c r="W2173">
        <v>90</v>
      </c>
      <c r="X2173" t="s">
        <v>1851</v>
      </c>
      <c r="Y2173" t="str">
        <f>VLOOKUP(C2173,'[1]DBS_KPY Sorumlular'!A:C,2,FALSE)</f>
        <v>Mustafa AYDIN</v>
      </c>
      <c r="Z2173" t="str">
        <f>VLOOKUP(C2173,'[1]DBS_KPY Sorumlular'!A:C,3,FALSE)</f>
        <v>Esra DOLAN</v>
      </c>
      <c r="AA2173" t="str">
        <f>VLOOKUP(K2173,[1]!Tablo3[#Data],2,FALSE)</f>
        <v>Tayfun VİÇE</v>
      </c>
    </row>
    <row r="2174" spans="1:27" x14ac:dyDescent="0.25">
      <c r="A2174">
        <v>3526</v>
      </c>
      <c r="B2174" t="s">
        <v>27</v>
      </c>
      <c r="C2174" t="s">
        <v>40</v>
      </c>
      <c r="D2174" t="s">
        <v>41</v>
      </c>
      <c r="G2174" t="s">
        <v>43</v>
      </c>
      <c r="H2174" t="s">
        <v>7220</v>
      </c>
      <c r="I2174" s="4">
        <v>43982.875</v>
      </c>
      <c r="K2174" t="s">
        <v>226</v>
      </c>
      <c r="L2174" s="5"/>
      <c r="M2174" s="5"/>
      <c r="N2174" t="s">
        <v>82</v>
      </c>
      <c r="O2174" t="s">
        <v>7221</v>
      </c>
      <c r="R2174">
        <v>1</v>
      </c>
      <c r="T2174" s="5"/>
      <c r="W2174">
        <v>169</v>
      </c>
      <c r="X2174" t="s">
        <v>1480</v>
      </c>
      <c r="Y2174" t="str">
        <f>VLOOKUP(C2174,'[1]DBS_KPY Sorumlular'!A:C,2,FALSE)</f>
        <v>Mustafa AYDIN</v>
      </c>
      <c r="Z2174" t="str">
        <f>VLOOKUP(C2174,'[1]DBS_KPY Sorumlular'!A:C,3,FALSE)</f>
        <v>Esra DOLAN</v>
      </c>
      <c r="AA2174" t="str">
        <f>VLOOKUP(K2174,[1]!Tablo3[#Data],2,FALSE)</f>
        <v>Kadir TOPÇU</v>
      </c>
    </row>
    <row r="2175" spans="1:27" x14ac:dyDescent="0.25">
      <c r="A2175">
        <v>3527</v>
      </c>
      <c r="B2175" t="s">
        <v>27</v>
      </c>
      <c r="C2175" t="s">
        <v>40</v>
      </c>
      <c r="D2175" t="s">
        <v>41</v>
      </c>
      <c r="G2175" t="s">
        <v>43</v>
      </c>
      <c r="H2175" t="s">
        <v>7222</v>
      </c>
      <c r="I2175" s="4">
        <v>43982.875</v>
      </c>
      <c r="K2175" t="s">
        <v>226</v>
      </c>
      <c r="L2175" s="5"/>
      <c r="M2175" s="5"/>
      <c r="N2175" t="s">
        <v>82</v>
      </c>
      <c r="O2175" t="s">
        <v>7223</v>
      </c>
      <c r="R2175">
        <v>1</v>
      </c>
      <c r="T2175" s="5"/>
      <c r="W2175">
        <v>86</v>
      </c>
      <c r="X2175" t="s">
        <v>189</v>
      </c>
      <c r="Y2175" t="str">
        <f>VLOOKUP(C2175,'[1]DBS_KPY Sorumlular'!A:C,2,FALSE)</f>
        <v>Mustafa AYDIN</v>
      </c>
      <c r="Z2175" t="str">
        <f>VLOOKUP(C2175,'[1]DBS_KPY Sorumlular'!A:C,3,FALSE)</f>
        <v>Esra DOLAN</v>
      </c>
      <c r="AA2175" t="str">
        <f>VLOOKUP(K2175,[1]!Tablo3[#Data],2,FALSE)</f>
        <v>Kadir TOPÇU</v>
      </c>
    </row>
    <row r="2176" spans="1:27" x14ac:dyDescent="0.25">
      <c r="A2176">
        <v>3528</v>
      </c>
      <c r="B2176" t="s">
        <v>27</v>
      </c>
      <c r="C2176" t="s">
        <v>40</v>
      </c>
      <c r="D2176" t="s">
        <v>41</v>
      </c>
      <c r="G2176" t="s">
        <v>43</v>
      </c>
      <c r="H2176" t="s">
        <v>7224</v>
      </c>
      <c r="I2176" s="4">
        <v>43982.875</v>
      </c>
      <c r="K2176" t="s">
        <v>1002</v>
      </c>
      <c r="L2176" s="5"/>
      <c r="M2176" s="5"/>
      <c r="N2176" t="s">
        <v>82</v>
      </c>
      <c r="O2176" t="s">
        <v>7225</v>
      </c>
      <c r="R2176">
        <v>1</v>
      </c>
      <c r="T2176" s="5"/>
      <c r="W2176">
        <v>169</v>
      </c>
      <c r="X2176" t="s">
        <v>1480</v>
      </c>
      <c r="Y2176" t="str">
        <f>VLOOKUP(C2176,'[1]DBS_KPY Sorumlular'!A:C,2,FALSE)</f>
        <v>Mustafa AYDIN</v>
      </c>
      <c r="Z2176" t="str">
        <f>VLOOKUP(C2176,'[1]DBS_KPY Sorumlular'!A:C,3,FALSE)</f>
        <v>Esra DOLAN</v>
      </c>
      <c r="AA2176" t="str">
        <f>VLOOKUP(K2176,[1]!Tablo3[#Data],2,FALSE)</f>
        <v>Kadir TOPÇU</v>
      </c>
    </row>
    <row r="2177" spans="1:27" x14ac:dyDescent="0.25">
      <c r="A2177">
        <v>3529</v>
      </c>
      <c r="B2177" t="s">
        <v>27</v>
      </c>
      <c r="C2177" t="s">
        <v>40</v>
      </c>
      <c r="D2177" t="s">
        <v>41</v>
      </c>
      <c r="G2177" t="s">
        <v>43</v>
      </c>
      <c r="H2177" t="s">
        <v>7226</v>
      </c>
      <c r="I2177" s="4">
        <v>43982.875</v>
      </c>
      <c r="K2177" t="s">
        <v>1002</v>
      </c>
      <c r="L2177" s="5"/>
      <c r="M2177" s="5"/>
      <c r="N2177" t="s">
        <v>82</v>
      </c>
      <c r="O2177" t="s">
        <v>7227</v>
      </c>
      <c r="R2177">
        <v>1</v>
      </c>
      <c r="T2177" s="5"/>
      <c r="W2177">
        <v>86</v>
      </c>
      <c r="X2177" t="s">
        <v>189</v>
      </c>
      <c r="Y2177" t="str">
        <f>VLOOKUP(C2177,'[1]DBS_KPY Sorumlular'!A:C,2,FALSE)</f>
        <v>Mustafa AYDIN</v>
      </c>
      <c r="Z2177" t="str">
        <f>VLOOKUP(C2177,'[1]DBS_KPY Sorumlular'!A:C,3,FALSE)</f>
        <v>Esra DOLAN</v>
      </c>
      <c r="AA2177" t="str">
        <f>VLOOKUP(K2177,[1]!Tablo3[#Data],2,FALSE)</f>
        <v>Kadir TOPÇU</v>
      </c>
    </row>
    <row r="2178" spans="1:27" x14ac:dyDescent="0.25">
      <c r="A2178">
        <v>3530</v>
      </c>
      <c r="B2178" t="s">
        <v>27</v>
      </c>
      <c r="C2178" t="s">
        <v>40</v>
      </c>
      <c r="D2178" t="s">
        <v>41</v>
      </c>
      <c r="G2178" t="s">
        <v>30</v>
      </c>
      <c r="H2178" t="s">
        <v>7228</v>
      </c>
      <c r="I2178" s="4">
        <v>44347.875</v>
      </c>
      <c r="K2178" t="s">
        <v>1002</v>
      </c>
      <c r="L2178" s="5"/>
      <c r="M2178" s="5"/>
      <c r="N2178" t="s">
        <v>82</v>
      </c>
      <c r="O2178" t="s">
        <v>7229</v>
      </c>
      <c r="R2178">
        <v>1</v>
      </c>
      <c r="T2178" s="5"/>
      <c r="W2178">
        <v>79</v>
      </c>
      <c r="X2178" t="s">
        <v>1619</v>
      </c>
      <c r="Y2178" t="str">
        <f>VLOOKUP(C2178,'[1]DBS_KPY Sorumlular'!A:C,2,FALSE)</f>
        <v>Mustafa AYDIN</v>
      </c>
      <c r="Z2178" t="str">
        <f>VLOOKUP(C2178,'[1]DBS_KPY Sorumlular'!A:C,3,FALSE)</f>
        <v>Esra DOLAN</v>
      </c>
      <c r="AA2178" t="str">
        <f>VLOOKUP(K2178,[1]!Tablo3[#Data],2,FALSE)</f>
        <v>Kadir TOPÇU</v>
      </c>
    </row>
    <row r="2179" spans="1:27" x14ac:dyDescent="0.25">
      <c r="A2179">
        <v>3531</v>
      </c>
      <c r="B2179" t="s">
        <v>27</v>
      </c>
      <c r="C2179" t="s">
        <v>40</v>
      </c>
      <c r="D2179" t="s">
        <v>41</v>
      </c>
      <c r="G2179" t="s">
        <v>96</v>
      </c>
      <c r="H2179" t="s">
        <v>7230</v>
      </c>
      <c r="I2179" s="4">
        <v>45077.875</v>
      </c>
      <c r="K2179" t="s">
        <v>1002</v>
      </c>
      <c r="L2179" s="5"/>
      <c r="M2179" s="5"/>
      <c r="N2179" t="s">
        <v>82</v>
      </c>
      <c r="O2179" t="s">
        <v>7231</v>
      </c>
      <c r="R2179">
        <v>1</v>
      </c>
      <c r="T2179" s="5"/>
      <c r="W2179">
        <v>91</v>
      </c>
      <c r="X2179" t="s">
        <v>101</v>
      </c>
      <c r="Y2179" t="str">
        <f>VLOOKUP(C2179,'[1]DBS_KPY Sorumlular'!A:C,2,FALSE)</f>
        <v>Mustafa AYDIN</v>
      </c>
      <c r="Z2179" t="str">
        <f>VLOOKUP(C2179,'[1]DBS_KPY Sorumlular'!A:C,3,FALSE)</f>
        <v>Esra DOLAN</v>
      </c>
      <c r="AA2179" t="str">
        <f>VLOOKUP(K2179,[1]!Tablo3[#Data],2,FALSE)</f>
        <v>Kadir TOPÇU</v>
      </c>
    </row>
    <row r="2180" spans="1:27" x14ac:dyDescent="0.25">
      <c r="A2180">
        <v>3532</v>
      </c>
      <c r="B2180" t="s">
        <v>27</v>
      </c>
      <c r="C2180" t="s">
        <v>40</v>
      </c>
      <c r="D2180" t="s">
        <v>41</v>
      </c>
      <c r="G2180" t="s">
        <v>43</v>
      </c>
      <c r="H2180" t="s">
        <v>7232</v>
      </c>
      <c r="I2180" s="4">
        <v>45077.875</v>
      </c>
      <c r="K2180" t="s">
        <v>1002</v>
      </c>
      <c r="L2180" s="5"/>
      <c r="M2180" s="5"/>
      <c r="N2180" t="s">
        <v>82</v>
      </c>
      <c r="O2180" t="s">
        <v>7233</v>
      </c>
      <c r="R2180">
        <v>1</v>
      </c>
      <c r="T2180" s="5"/>
      <c r="W2180">
        <v>73</v>
      </c>
      <c r="X2180" t="s">
        <v>1198</v>
      </c>
      <c r="Y2180" t="str">
        <f>VLOOKUP(C2180,'[1]DBS_KPY Sorumlular'!A:C,2,FALSE)</f>
        <v>Mustafa AYDIN</v>
      </c>
      <c r="Z2180" t="str">
        <f>VLOOKUP(C2180,'[1]DBS_KPY Sorumlular'!A:C,3,FALSE)</f>
        <v>Esra DOLAN</v>
      </c>
      <c r="AA2180" t="str">
        <f>VLOOKUP(K2180,[1]!Tablo3[#Data],2,FALSE)</f>
        <v>Kadir TOPÇU</v>
      </c>
    </row>
    <row r="2181" spans="1:27" x14ac:dyDescent="0.25">
      <c r="A2181">
        <v>3533</v>
      </c>
      <c r="B2181" t="s">
        <v>27</v>
      </c>
      <c r="C2181" t="s">
        <v>40</v>
      </c>
      <c r="D2181" t="s">
        <v>41</v>
      </c>
      <c r="G2181" t="s">
        <v>43</v>
      </c>
      <c r="H2181" t="s">
        <v>7234</v>
      </c>
      <c r="I2181" s="4">
        <v>45443.875</v>
      </c>
      <c r="K2181" t="s">
        <v>1002</v>
      </c>
      <c r="L2181" s="5"/>
      <c r="M2181" s="5"/>
      <c r="N2181" t="s">
        <v>82</v>
      </c>
      <c r="O2181" t="s">
        <v>7235</v>
      </c>
      <c r="R2181">
        <v>1</v>
      </c>
      <c r="T2181" s="5"/>
      <c r="W2181">
        <v>108</v>
      </c>
      <c r="X2181" t="s">
        <v>107</v>
      </c>
      <c r="Y2181" t="str">
        <f>VLOOKUP(C2181,'[1]DBS_KPY Sorumlular'!A:C,2,FALSE)</f>
        <v>Mustafa AYDIN</v>
      </c>
      <c r="Z2181" t="str">
        <f>VLOOKUP(C2181,'[1]DBS_KPY Sorumlular'!A:C,3,FALSE)</f>
        <v>Esra DOLAN</v>
      </c>
      <c r="AA2181" t="str">
        <f>VLOOKUP(K2181,[1]!Tablo3[#Data],2,FALSE)</f>
        <v>Kadir TOPÇU</v>
      </c>
    </row>
    <row r="2182" spans="1:27" x14ac:dyDescent="0.25">
      <c r="A2182">
        <v>3534</v>
      </c>
      <c r="B2182" t="s">
        <v>27</v>
      </c>
      <c r="C2182" t="s">
        <v>40</v>
      </c>
      <c r="D2182" t="s">
        <v>41</v>
      </c>
      <c r="G2182" t="s">
        <v>43</v>
      </c>
      <c r="H2182" t="s">
        <v>7236</v>
      </c>
      <c r="I2182" s="4">
        <v>45443.875</v>
      </c>
      <c r="K2182" t="s">
        <v>1002</v>
      </c>
      <c r="L2182" s="5"/>
      <c r="M2182" s="5"/>
      <c r="N2182" t="s">
        <v>82</v>
      </c>
      <c r="O2182" t="s">
        <v>7237</v>
      </c>
      <c r="R2182">
        <v>1</v>
      </c>
      <c r="T2182" s="5"/>
      <c r="W2182">
        <v>30</v>
      </c>
      <c r="X2182" t="s">
        <v>327</v>
      </c>
      <c r="Y2182" t="str">
        <f>VLOOKUP(C2182,'[1]DBS_KPY Sorumlular'!A:C,2,FALSE)</f>
        <v>Mustafa AYDIN</v>
      </c>
      <c r="Z2182" t="str">
        <f>VLOOKUP(C2182,'[1]DBS_KPY Sorumlular'!A:C,3,FALSE)</f>
        <v>Esra DOLAN</v>
      </c>
      <c r="AA2182" t="str">
        <f>VLOOKUP(K2182,[1]!Tablo3[#Data],2,FALSE)</f>
        <v>Kadir TOPÇU</v>
      </c>
    </row>
    <row r="2183" spans="1:27" x14ac:dyDescent="0.25">
      <c r="A2183">
        <v>3535</v>
      </c>
      <c r="B2183" t="s">
        <v>27</v>
      </c>
      <c r="C2183" t="s">
        <v>40</v>
      </c>
      <c r="D2183" t="s">
        <v>41</v>
      </c>
      <c r="G2183" t="s">
        <v>67</v>
      </c>
      <c r="H2183" t="s">
        <v>7238</v>
      </c>
      <c r="I2183" s="4">
        <v>43616.875</v>
      </c>
      <c r="K2183" t="s">
        <v>1029</v>
      </c>
      <c r="L2183" s="5"/>
      <c r="M2183" s="5"/>
      <c r="N2183" t="s">
        <v>82</v>
      </c>
      <c r="O2183" t="s">
        <v>7239</v>
      </c>
      <c r="R2183">
        <v>1</v>
      </c>
      <c r="T2183" s="5"/>
      <c r="W2183">
        <v>203</v>
      </c>
      <c r="X2183" t="s">
        <v>72</v>
      </c>
      <c r="Y2183" t="str">
        <f>VLOOKUP(C2183,'[1]DBS_KPY Sorumlular'!A:C,2,FALSE)</f>
        <v>Mustafa AYDIN</v>
      </c>
      <c r="Z2183" t="str">
        <f>VLOOKUP(C2183,'[1]DBS_KPY Sorumlular'!A:C,3,FALSE)</f>
        <v>Esra DOLAN</v>
      </c>
      <c r="AA2183" t="str">
        <f>VLOOKUP(K2183,[1]!Tablo3[#Data],2,FALSE)</f>
        <v>Tayfun VİÇE</v>
      </c>
    </row>
    <row r="2184" spans="1:27" x14ac:dyDescent="0.25">
      <c r="A2184">
        <v>3536</v>
      </c>
      <c r="B2184" t="s">
        <v>27</v>
      </c>
      <c r="C2184" t="s">
        <v>40</v>
      </c>
      <c r="D2184" t="s">
        <v>41</v>
      </c>
      <c r="G2184" t="s">
        <v>43</v>
      </c>
      <c r="H2184" t="s">
        <v>7240</v>
      </c>
      <c r="I2184" s="4">
        <v>44347.875</v>
      </c>
      <c r="K2184" t="s">
        <v>1029</v>
      </c>
      <c r="L2184" s="5"/>
      <c r="M2184" s="5"/>
      <c r="N2184" t="s">
        <v>82</v>
      </c>
      <c r="O2184" t="s">
        <v>7241</v>
      </c>
      <c r="R2184">
        <v>1</v>
      </c>
      <c r="T2184" s="5"/>
      <c r="W2184">
        <v>108</v>
      </c>
      <c r="X2184" t="s">
        <v>107</v>
      </c>
      <c r="Y2184" t="str">
        <f>VLOOKUP(C2184,'[1]DBS_KPY Sorumlular'!A:C,2,FALSE)</f>
        <v>Mustafa AYDIN</v>
      </c>
      <c r="Z2184" t="str">
        <f>VLOOKUP(C2184,'[1]DBS_KPY Sorumlular'!A:C,3,FALSE)</f>
        <v>Esra DOLAN</v>
      </c>
      <c r="AA2184" t="str">
        <f>VLOOKUP(K2184,[1]!Tablo3[#Data],2,FALSE)</f>
        <v>Tayfun VİÇE</v>
      </c>
    </row>
    <row r="2185" spans="1:27" x14ac:dyDescent="0.25">
      <c r="A2185">
        <v>3537</v>
      </c>
      <c r="B2185" t="s">
        <v>27</v>
      </c>
      <c r="C2185" t="s">
        <v>40</v>
      </c>
      <c r="D2185" t="s">
        <v>41</v>
      </c>
      <c r="G2185" t="s">
        <v>43</v>
      </c>
      <c r="H2185" t="s">
        <v>7242</v>
      </c>
      <c r="I2185" s="4">
        <v>44347.875</v>
      </c>
      <c r="K2185" t="s">
        <v>1029</v>
      </c>
      <c r="L2185" s="5"/>
      <c r="M2185" s="5"/>
      <c r="N2185" t="s">
        <v>82</v>
      </c>
      <c r="O2185" t="s">
        <v>7243</v>
      </c>
      <c r="R2185">
        <v>1</v>
      </c>
      <c r="T2185" s="5"/>
      <c r="W2185">
        <v>137</v>
      </c>
      <c r="X2185" t="s">
        <v>125</v>
      </c>
      <c r="Y2185" t="str">
        <f>VLOOKUP(C2185,'[1]DBS_KPY Sorumlular'!A:C,2,FALSE)</f>
        <v>Mustafa AYDIN</v>
      </c>
      <c r="Z2185" t="str">
        <f>VLOOKUP(C2185,'[1]DBS_KPY Sorumlular'!A:C,3,FALSE)</f>
        <v>Esra DOLAN</v>
      </c>
      <c r="AA2185" t="str">
        <f>VLOOKUP(K2185,[1]!Tablo3[#Data],2,FALSE)</f>
        <v>Tayfun VİÇE</v>
      </c>
    </row>
    <row r="2186" spans="1:27" x14ac:dyDescent="0.25">
      <c r="A2186">
        <v>3538</v>
      </c>
      <c r="B2186" t="s">
        <v>27</v>
      </c>
      <c r="C2186" t="s">
        <v>40</v>
      </c>
      <c r="D2186" t="s">
        <v>41</v>
      </c>
      <c r="G2186" t="s">
        <v>43</v>
      </c>
      <c r="H2186" t="s">
        <v>7244</v>
      </c>
      <c r="I2186" s="4">
        <v>44347.875</v>
      </c>
      <c r="K2186" t="s">
        <v>1029</v>
      </c>
      <c r="L2186" s="5"/>
      <c r="M2186" s="5"/>
      <c r="N2186" t="s">
        <v>82</v>
      </c>
      <c r="O2186" t="s">
        <v>7245</v>
      </c>
      <c r="R2186">
        <v>1</v>
      </c>
      <c r="T2186" s="5"/>
      <c r="W2186">
        <v>30</v>
      </c>
      <c r="X2186" t="s">
        <v>327</v>
      </c>
      <c r="Y2186" t="str">
        <f>VLOOKUP(C2186,'[1]DBS_KPY Sorumlular'!A:C,2,FALSE)</f>
        <v>Mustafa AYDIN</v>
      </c>
      <c r="Z2186" t="str">
        <f>VLOOKUP(C2186,'[1]DBS_KPY Sorumlular'!A:C,3,FALSE)</f>
        <v>Esra DOLAN</v>
      </c>
      <c r="AA2186" t="str">
        <f>VLOOKUP(K2186,[1]!Tablo3[#Data],2,FALSE)</f>
        <v>Tayfun VİÇE</v>
      </c>
    </row>
    <row r="2187" spans="1:27" x14ac:dyDescent="0.25">
      <c r="A2187">
        <v>3539</v>
      </c>
      <c r="B2187" t="s">
        <v>27</v>
      </c>
      <c r="C2187" t="s">
        <v>40</v>
      </c>
      <c r="D2187" t="s">
        <v>41</v>
      </c>
      <c r="G2187" t="s">
        <v>43</v>
      </c>
      <c r="H2187" t="s">
        <v>7246</v>
      </c>
      <c r="I2187" s="4">
        <v>44347.875</v>
      </c>
      <c r="K2187" t="s">
        <v>1029</v>
      </c>
      <c r="L2187" s="5"/>
      <c r="M2187" s="5"/>
      <c r="N2187" t="s">
        <v>82</v>
      </c>
      <c r="O2187" t="s">
        <v>7247</v>
      </c>
      <c r="R2187">
        <v>1</v>
      </c>
      <c r="T2187" s="5"/>
      <c r="W2187">
        <v>266</v>
      </c>
      <c r="X2187" t="s">
        <v>7248</v>
      </c>
      <c r="Y2187" t="str">
        <f>VLOOKUP(C2187,'[1]DBS_KPY Sorumlular'!A:C,2,FALSE)</f>
        <v>Mustafa AYDIN</v>
      </c>
      <c r="Z2187" t="str">
        <f>VLOOKUP(C2187,'[1]DBS_KPY Sorumlular'!A:C,3,FALSE)</f>
        <v>Esra DOLAN</v>
      </c>
      <c r="AA2187" t="str">
        <f>VLOOKUP(K2187,[1]!Tablo3[#Data],2,FALSE)</f>
        <v>Tayfun VİÇE</v>
      </c>
    </row>
    <row r="2188" spans="1:27" x14ac:dyDescent="0.25">
      <c r="A2188">
        <v>3540</v>
      </c>
      <c r="B2188" t="s">
        <v>27</v>
      </c>
      <c r="C2188" t="s">
        <v>40</v>
      </c>
      <c r="D2188" t="s">
        <v>41</v>
      </c>
      <c r="G2188" t="s">
        <v>43</v>
      </c>
      <c r="H2188" t="s">
        <v>7249</v>
      </c>
      <c r="I2188" s="4">
        <v>44347.875</v>
      </c>
      <c r="K2188" t="s">
        <v>1029</v>
      </c>
      <c r="L2188" s="5"/>
      <c r="M2188" s="5"/>
      <c r="N2188" t="s">
        <v>82</v>
      </c>
      <c r="O2188" t="s">
        <v>7250</v>
      </c>
      <c r="R2188">
        <v>1</v>
      </c>
      <c r="T2188" s="5"/>
      <c r="W2188">
        <v>30</v>
      </c>
      <c r="X2188" t="s">
        <v>327</v>
      </c>
      <c r="Y2188" t="str">
        <f>VLOOKUP(C2188,'[1]DBS_KPY Sorumlular'!A:C,2,FALSE)</f>
        <v>Mustafa AYDIN</v>
      </c>
      <c r="Z2188" t="str">
        <f>VLOOKUP(C2188,'[1]DBS_KPY Sorumlular'!A:C,3,FALSE)</f>
        <v>Esra DOLAN</v>
      </c>
      <c r="AA2188" t="str">
        <f>VLOOKUP(K2188,[1]!Tablo3[#Data],2,FALSE)</f>
        <v>Tayfun VİÇE</v>
      </c>
    </row>
    <row r="2189" spans="1:27" x14ac:dyDescent="0.25">
      <c r="A2189">
        <v>3541</v>
      </c>
      <c r="B2189" t="s">
        <v>27</v>
      </c>
      <c r="C2189" t="s">
        <v>40</v>
      </c>
      <c r="D2189" t="s">
        <v>41</v>
      </c>
      <c r="G2189" t="s">
        <v>43</v>
      </c>
      <c r="H2189" t="s">
        <v>7251</v>
      </c>
      <c r="I2189" s="4">
        <v>44347.875</v>
      </c>
      <c r="K2189" t="s">
        <v>1029</v>
      </c>
      <c r="L2189" s="5"/>
      <c r="M2189" s="5"/>
      <c r="N2189" t="s">
        <v>82</v>
      </c>
      <c r="O2189" t="s">
        <v>7252</v>
      </c>
      <c r="R2189">
        <v>1</v>
      </c>
      <c r="T2189" s="5"/>
      <c r="W2189">
        <v>137</v>
      </c>
      <c r="X2189" t="s">
        <v>125</v>
      </c>
      <c r="Y2189" t="str">
        <f>VLOOKUP(C2189,'[1]DBS_KPY Sorumlular'!A:C,2,FALSE)</f>
        <v>Mustafa AYDIN</v>
      </c>
      <c r="Z2189" t="str">
        <f>VLOOKUP(C2189,'[1]DBS_KPY Sorumlular'!A:C,3,FALSE)</f>
        <v>Esra DOLAN</v>
      </c>
      <c r="AA2189" t="str">
        <f>VLOOKUP(K2189,[1]!Tablo3[#Data],2,FALSE)</f>
        <v>Tayfun VİÇE</v>
      </c>
    </row>
    <row r="2190" spans="1:27" x14ac:dyDescent="0.25">
      <c r="A2190">
        <v>3542</v>
      </c>
      <c r="B2190" t="s">
        <v>27</v>
      </c>
      <c r="C2190" t="s">
        <v>40</v>
      </c>
      <c r="D2190" t="s">
        <v>41</v>
      </c>
      <c r="G2190" t="s">
        <v>43</v>
      </c>
      <c r="H2190" t="s">
        <v>7253</v>
      </c>
      <c r="I2190" s="4">
        <v>44347.875</v>
      </c>
      <c r="K2190" t="s">
        <v>1029</v>
      </c>
      <c r="L2190" s="5"/>
      <c r="M2190" s="5"/>
      <c r="N2190" t="s">
        <v>82</v>
      </c>
      <c r="O2190" t="s">
        <v>7254</v>
      </c>
      <c r="R2190">
        <v>1</v>
      </c>
      <c r="T2190" s="5"/>
      <c r="W2190">
        <v>108</v>
      </c>
      <c r="X2190" t="s">
        <v>107</v>
      </c>
      <c r="Y2190" t="str">
        <f>VLOOKUP(C2190,'[1]DBS_KPY Sorumlular'!A:C,2,FALSE)</f>
        <v>Mustafa AYDIN</v>
      </c>
      <c r="Z2190" t="str">
        <f>VLOOKUP(C2190,'[1]DBS_KPY Sorumlular'!A:C,3,FALSE)</f>
        <v>Esra DOLAN</v>
      </c>
      <c r="AA2190" t="str">
        <f>VLOOKUP(K2190,[1]!Tablo3[#Data],2,FALSE)</f>
        <v>Tayfun VİÇE</v>
      </c>
    </row>
    <row r="2191" spans="1:27" x14ac:dyDescent="0.25">
      <c r="A2191">
        <v>3543</v>
      </c>
      <c r="B2191" t="s">
        <v>27</v>
      </c>
      <c r="C2191" t="s">
        <v>40</v>
      </c>
      <c r="D2191" t="s">
        <v>41</v>
      </c>
      <c r="G2191" t="s">
        <v>96</v>
      </c>
      <c r="H2191" t="s">
        <v>7255</v>
      </c>
      <c r="I2191" s="4">
        <v>44712.875</v>
      </c>
      <c r="K2191" t="s">
        <v>1029</v>
      </c>
      <c r="L2191" s="5"/>
      <c r="M2191" s="5"/>
      <c r="N2191" t="s">
        <v>82</v>
      </c>
      <c r="O2191" t="s">
        <v>7256</v>
      </c>
      <c r="R2191">
        <v>1</v>
      </c>
      <c r="T2191" s="5"/>
      <c r="W2191">
        <v>91</v>
      </c>
      <c r="X2191" t="s">
        <v>101</v>
      </c>
      <c r="Y2191" t="str">
        <f>VLOOKUP(C2191,'[1]DBS_KPY Sorumlular'!A:C,2,FALSE)</f>
        <v>Mustafa AYDIN</v>
      </c>
      <c r="Z2191" t="str">
        <f>VLOOKUP(C2191,'[1]DBS_KPY Sorumlular'!A:C,3,FALSE)</f>
        <v>Esra DOLAN</v>
      </c>
      <c r="AA2191" t="str">
        <f>VLOOKUP(K2191,[1]!Tablo3[#Data],2,FALSE)</f>
        <v>Tayfun VİÇE</v>
      </c>
    </row>
    <row r="2192" spans="1:27" x14ac:dyDescent="0.25">
      <c r="A2192">
        <v>3544</v>
      </c>
      <c r="B2192" t="s">
        <v>27</v>
      </c>
      <c r="C2192" t="s">
        <v>40</v>
      </c>
      <c r="D2192" t="s">
        <v>41</v>
      </c>
      <c r="G2192" t="s">
        <v>96</v>
      </c>
      <c r="H2192" t="s">
        <v>7257</v>
      </c>
      <c r="I2192" s="4">
        <v>44712.875</v>
      </c>
      <c r="K2192" t="s">
        <v>1029</v>
      </c>
      <c r="L2192" s="5"/>
      <c r="M2192" s="5"/>
      <c r="N2192" t="s">
        <v>82</v>
      </c>
      <c r="O2192" t="s">
        <v>7258</v>
      </c>
      <c r="R2192">
        <v>1</v>
      </c>
      <c r="T2192" s="5"/>
      <c r="W2192">
        <v>86</v>
      </c>
      <c r="X2192" t="s">
        <v>189</v>
      </c>
      <c r="Y2192" t="str">
        <f>VLOOKUP(C2192,'[1]DBS_KPY Sorumlular'!A:C,2,FALSE)</f>
        <v>Mustafa AYDIN</v>
      </c>
      <c r="Z2192" t="str">
        <f>VLOOKUP(C2192,'[1]DBS_KPY Sorumlular'!A:C,3,FALSE)</f>
        <v>Esra DOLAN</v>
      </c>
      <c r="AA2192" t="str">
        <f>VLOOKUP(K2192,[1]!Tablo3[#Data],2,FALSE)</f>
        <v>Tayfun VİÇE</v>
      </c>
    </row>
    <row r="2193" spans="1:27" x14ac:dyDescent="0.25">
      <c r="A2193">
        <v>3545</v>
      </c>
      <c r="B2193" t="s">
        <v>27</v>
      </c>
      <c r="C2193" t="s">
        <v>40</v>
      </c>
      <c r="D2193" t="s">
        <v>41</v>
      </c>
      <c r="G2193" t="s">
        <v>43</v>
      </c>
      <c r="H2193" t="s">
        <v>7259</v>
      </c>
      <c r="I2193" s="4">
        <v>45077.875</v>
      </c>
      <c r="K2193" t="s">
        <v>1029</v>
      </c>
      <c r="L2193" s="5"/>
      <c r="M2193" s="5"/>
      <c r="N2193" t="s">
        <v>82</v>
      </c>
      <c r="O2193" t="s">
        <v>7260</v>
      </c>
      <c r="R2193">
        <v>1</v>
      </c>
      <c r="T2193" s="5"/>
      <c r="W2193">
        <v>73</v>
      </c>
      <c r="X2193" t="s">
        <v>1198</v>
      </c>
      <c r="Y2193" t="str">
        <f>VLOOKUP(C2193,'[1]DBS_KPY Sorumlular'!A:C,2,FALSE)</f>
        <v>Mustafa AYDIN</v>
      </c>
      <c r="Z2193" t="str">
        <f>VLOOKUP(C2193,'[1]DBS_KPY Sorumlular'!A:C,3,FALSE)</f>
        <v>Esra DOLAN</v>
      </c>
      <c r="AA2193" t="str">
        <f>VLOOKUP(K2193,[1]!Tablo3[#Data],2,FALSE)</f>
        <v>Tayfun VİÇE</v>
      </c>
    </row>
    <row r="2194" spans="1:27" x14ac:dyDescent="0.25">
      <c r="A2194">
        <v>3546</v>
      </c>
      <c r="B2194" t="s">
        <v>27</v>
      </c>
      <c r="C2194" t="s">
        <v>40</v>
      </c>
      <c r="D2194" t="s">
        <v>41</v>
      </c>
      <c r="G2194" t="s">
        <v>43</v>
      </c>
      <c r="H2194" t="s">
        <v>7261</v>
      </c>
      <c r="I2194" s="4">
        <v>45077.875</v>
      </c>
      <c r="K2194" t="s">
        <v>1029</v>
      </c>
      <c r="L2194" s="5"/>
      <c r="M2194" s="5"/>
      <c r="N2194" t="s">
        <v>82</v>
      </c>
      <c r="O2194" t="s">
        <v>7262</v>
      </c>
      <c r="R2194">
        <v>1</v>
      </c>
      <c r="T2194" s="5"/>
      <c r="W2194">
        <v>16</v>
      </c>
      <c r="X2194" t="s">
        <v>5859</v>
      </c>
      <c r="Y2194" t="str">
        <f>VLOOKUP(C2194,'[1]DBS_KPY Sorumlular'!A:C,2,FALSE)</f>
        <v>Mustafa AYDIN</v>
      </c>
      <c r="Z2194" t="str">
        <f>VLOOKUP(C2194,'[1]DBS_KPY Sorumlular'!A:C,3,FALSE)</f>
        <v>Esra DOLAN</v>
      </c>
      <c r="AA2194" t="str">
        <f>VLOOKUP(K2194,[1]!Tablo3[#Data],2,FALSE)</f>
        <v>Tayfun VİÇE</v>
      </c>
    </row>
    <row r="2195" spans="1:27" x14ac:dyDescent="0.25">
      <c r="A2195">
        <v>3547</v>
      </c>
      <c r="B2195" t="s">
        <v>27</v>
      </c>
      <c r="C2195" t="s">
        <v>40</v>
      </c>
      <c r="D2195" t="s">
        <v>41</v>
      </c>
      <c r="G2195" t="s">
        <v>43</v>
      </c>
      <c r="H2195" t="s">
        <v>7263</v>
      </c>
      <c r="I2195" s="4">
        <v>45077.875</v>
      </c>
      <c r="K2195" t="s">
        <v>1029</v>
      </c>
      <c r="L2195" s="5"/>
      <c r="M2195" s="5"/>
      <c r="N2195" t="s">
        <v>82</v>
      </c>
      <c r="O2195" t="s">
        <v>7264</v>
      </c>
      <c r="R2195">
        <v>1</v>
      </c>
      <c r="T2195" s="5"/>
      <c r="W2195">
        <v>6</v>
      </c>
      <c r="X2195" t="s">
        <v>3668</v>
      </c>
      <c r="Y2195" t="str">
        <f>VLOOKUP(C2195,'[1]DBS_KPY Sorumlular'!A:C,2,FALSE)</f>
        <v>Mustafa AYDIN</v>
      </c>
      <c r="Z2195" t="str">
        <f>VLOOKUP(C2195,'[1]DBS_KPY Sorumlular'!A:C,3,FALSE)</f>
        <v>Esra DOLAN</v>
      </c>
      <c r="AA2195" t="str">
        <f>VLOOKUP(K2195,[1]!Tablo3[#Data],2,FALSE)</f>
        <v>Tayfun VİÇE</v>
      </c>
    </row>
    <row r="2196" spans="1:27" x14ac:dyDescent="0.25">
      <c r="A2196">
        <v>3548</v>
      </c>
      <c r="B2196" t="s">
        <v>27</v>
      </c>
      <c r="C2196" t="s">
        <v>40</v>
      </c>
      <c r="D2196" t="s">
        <v>41</v>
      </c>
      <c r="G2196" t="s">
        <v>67</v>
      </c>
      <c r="H2196" t="s">
        <v>7265</v>
      </c>
      <c r="I2196" s="4">
        <v>45544.875</v>
      </c>
      <c r="K2196" t="s">
        <v>1029</v>
      </c>
      <c r="L2196" s="5"/>
      <c r="M2196" s="5"/>
      <c r="N2196" t="s">
        <v>82</v>
      </c>
      <c r="O2196" t="s">
        <v>7266</v>
      </c>
      <c r="R2196">
        <v>1</v>
      </c>
      <c r="T2196" s="5"/>
      <c r="W2196">
        <v>203</v>
      </c>
      <c r="X2196" t="s">
        <v>72</v>
      </c>
      <c r="Y2196" t="str">
        <f>VLOOKUP(C2196,'[1]DBS_KPY Sorumlular'!A:C,2,FALSE)</f>
        <v>Mustafa AYDIN</v>
      </c>
      <c r="Z2196" t="str">
        <f>VLOOKUP(C2196,'[1]DBS_KPY Sorumlular'!A:C,3,FALSE)</f>
        <v>Esra DOLAN</v>
      </c>
      <c r="AA2196" t="str">
        <f>VLOOKUP(K2196,[1]!Tablo3[#Data],2,FALSE)</f>
        <v>Tayfun VİÇE</v>
      </c>
    </row>
    <row r="2197" spans="1:27" x14ac:dyDescent="0.25">
      <c r="A2197">
        <v>3549</v>
      </c>
      <c r="B2197" t="s">
        <v>27</v>
      </c>
      <c r="C2197" t="s">
        <v>40</v>
      </c>
      <c r="D2197" t="s">
        <v>41</v>
      </c>
      <c r="G2197" t="s">
        <v>43</v>
      </c>
      <c r="H2197" t="s">
        <v>7267</v>
      </c>
      <c r="I2197" s="4">
        <v>44347.875</v>
      </c>
      <c r="K2197" t="s">
        <v>280</v>
      </c>
      <c r="L2197" s="5"/>
      <c r="M2197" s="5"/>
      <c r="N2197" t="s">
        <v>82</v>
      </c>
      <c r="O2197" t="s">
        <v>7268</v>
      </c>
      <c r="R2197">
        <v>1</v>
      </c>
      <c r="T2197" s="5"/>
      <c r="W2197">
        <v>108</v>
      </c>
      <c r="X2197" t="s">
        <v>107</v>
      </c>
      <c r="Y2197" t="str">
        <f>VLOOKUP(C2197,'[1]DBS_KPY Sorumlular'!A:C,2,FALSE)</f>
        <v>Mustafa AYDIN</v>
      </c>
      <c r="Z2197" t="str">
        <f>VLOOKUP(C2197,'[1]DBS_KPY Sorumlular'!A:C,3,FALSE)</f>
        <v>Esra DOLAN</v>
      </c>
      <c r="AA2197" t="str">
        <f>VLOOKUP(K2197,[1]!Tablo3[#Data],2,FALSE)</f>
        <v>Erkan AKDOĞAN</v>
      </c>
    </row>
    <row r="2198" spans="1:27" x14ac:dyDescent="0.25">
      <c r="A2198">
        <v>3550</v>
      </c>
      <c r="B2198" t="s">
        <v>27</v>
      </c>
      <c r="C2198" t="s">
        <v>40</v>
      </c>
      <c r="D2198" t="s">
        <v>41</v>
      </c>
      <c r="G2198" t="s">
        <v>43</v>
      </c>
      <c r="H2198" t="s">
        <v>7269</v>
      </c>
      <c r="I2198" s="4">
        <v>44347.875</v>
      </c>
      <c r="K2198" t="s">
        <v>280</v>
      </c>
      <c r="L2198" s="5"/>
      <c r="M2198" s="5"/>
      <c r="N2198" t="s">
        <v>82</v>
      </c>
      <c r="O2198" t="s">
        <v>7270</v>
      </c>
      <c r="R2198">
        <v>1</v>
      </c>
      <c r="T2198" s="5"/>
      <c r="W2198">
        <v>108</v>
      </c>
      <c r="X2198" t="s">
        <v>107</v>
      </c>
      <c r="Y2198" t="str">
        <f>VLOOKUP(C2198,'[1]DBS_KPY Sorumlular'!A:C,2,FALSE)</f>
        <v>Mustafa AYDIN</v>
      </c>
      <c r="Z2198" t="str">
        <f>VLOOKUP(C2198,'[1]DBS_KPY Sorumlular'!A:C,3,FALSE)</f>
        <v>Esra DOLAN</v>
      </c>
      <c r="AA2198" t="str">
        <f>VLOOKUP(K2198,[1]!Tablo3[#Data],2,FALSE)</f>
        <v>Erkan AKDOĞAN</v>
      </c>
    </row>
    <row r="2199" spans="1:27" x14ac:dyDescent="0.25">
      <c r="A2199">
        <v>3551</v>
      </c>
      <c r="B2199" t="s">
        <v>27</v>
      </c>
      <c r="C2199" t="s">
        <v>40</v>
      </c>
      <c r="D2199" t="s">
        <v>41</v>
      </c>
      <c r="G2199" t="s">
        <v>43</v>
      </c>
      <c r="H2199" t="s">
        <v>7271</v>
      </c>
      <c r="I2199" s="4">
        <v>44347.875</v>
      </c>
      <c r="K2199" t="s">
        <v>280</v>
      </c>
      <c r="L2199" s="5"/>
      <c r="M2199" s="5"/>
      <c r="N2199" t="s">
        <v>82</v>
      </c>
      <c r="O2199" t="s">
        <v>7272</v>
      </c>
      <c r="R2199">
        <v>1</v>
      </c>
      <c r="T2199" s="5"/>
      <c r="W2199">
        <v>137</v>
      </c>
      <c r="X2199" t="s">
        <v>125</v>
      </c>
      <c r="Y2199" t="str">
        <f>VLOOKUP(C2199,'[1]DBS_KPY Sorumlular'!A:C,2,FALSE)</f>
        <v>Mustafa AYDIN</v>
      </c>
      <c r="Z2199" t="str">
        <f>VLOOKUP(C2199,'[1]DBS_KPY Sorumlular'!A:C,3,FALSE)</f>
        <v>Esra DOLAN</v>
      </c>
      <c r="AA2199" t="str">
        <f>VLOOKUP(K2199,[1]!Tablo3[#Data],2,FALSE)</f>
        <v>Erkan AKDOĞAN</v>
      </c>
    </row>
    <row r="2200" spans="1:27" x14ac:dyDescent="0.25">
      <c r="A2200">
        <v>3552</v>
      </c>
      <c r="B2200" t="s">
        <v>27</v>
      </c>
      <c r="C2200" t="s">
        <v>40</v>
      </c>
      <c r="D2200" t="s">
        <v>41</v>
      </c>
      <c r="G2200" t="s">
        <v>43</v>
      </c>
      <c r="H2200" t="s">
        <v>7273</v>
      </c>
      <c r="I2200" s="4">
        <v>44347.875</v>
      </c>
      <c r="K2200" t="s">
        <v>280</v>
      </c>
      <c r="L2200" s="5"/>
      <c r="M2200" s="5"/>
      <c r="N2200" t="s">
        <v>82</v>
      </c>
      <c r="O2200" t="s">
        <v>7274</v>
      </c>
      <c r="R2200">
        <v>1</v>
      </c>
      <c r="T2200" s="5"/>
      <c r="W2200">
        <v>137</v>
      </c>
      <c r="X2200" t="s">
        <v>125</v>
      </c>
      <c r="Y2200" t="str">
        <f>VLOOKUP(C2200,'[1]DBS_KPY Sorumlular'!A:C,2,FALSE)</f>
        <v>Mustafa AYDIN</v>
      </c>
      <c r="Z2200" t="str">
        <f>VLOOKUP(C2200,'[1]DBS_KPY Sorumlular'!A:C,3,FALSE)</f>
        <v>Esra DOLAN</v>
      </c>
      <c r="AA2200" t="str">
        <f>VLOOKUP(K2200,[1]!Tablo3[#Data],2,FALSE)</f>
        <v>Erkan AKDOĞAN</v>
      </c>
    </row>
    <row r="2201" spans="1:27" x14ac:dyDescent="0.25">
      <c r="A2201">
        <v>3553</v>
      </c>
      <c r="B2201" t="s">
        <v>27</v>
      </c>
      <c r="C2201" t="s">
        <v>40</v>
      </c>
      <c r="D2201" t="s">
        <v>41</v>
      </c>
      <c r="G2201" t="s">
        <v>43</v>
      </c>
      <c r="H2201" t="s">
        <v>7275</v>
      </c>
      <c r="I2201" s="4">
        <v>44712.875</v>
      </c>
      <c r="K2201" t="s">
        <v>280</v>
      </c>
      <c r="L2201" s="5"/>
      <c r="M2201" s="5"/>
      <c r="N2201" t="s">
        <v>82</v>
      </c>
      <c r="O2201" t="s">
        <v>7276</v>
      </c>
      <c r="R2201">
        <v>1</v>
      </c>
      <c r="T2201" s="5"/>
      <c r="W2201">
        <v>86</v>
      </c>
      <c r="X2201" t="s">
        <v>189</v>
      </c>
      <c r="Y2201" t="str">
        <f>VLOOKUP(C2201,'[1]DBS_KPY Sorumlular'!A:C,2,FALSE)</f>
        <v>Mustafa AYDIN</v>
      </c>
      <c r="Z2201" t="str">
        <f>VLOOKUP(C2201,'[1]DBS_KPY Sorumlular'!A:C,3,FALSE)</f>
        <v>Esra DOLAN</v>
      </c>
      <c r="AA2201" t="str">
        <f>VLOOKUP(K2201,[1]!Tablo3[#Data],2,FALSE)</f>
        <v>Erkan AKDOĞAN</v>
      </c>
    </row>
    <row r="2202" spans="1:27" x14ac:dyDescent="0.25">
      <c r="A2202">
        <v>3554</v>
      </c>
      <c r="B2202" t="s">
        <v>27</v>
      </c>
      <c r="C2202" t="s">
        <v>40</v>
      </c>
      <c r="D2202" t="s">
        <v>41</v>
      </c>
      <c r="G2202" t="s">
        <v>96</v>
      </c>
      <c r="H2202" t="s">
        <v>7277</v>
      </c>
      <c r="I2202" s="4">
        <v>44712.875</v>
      </c>
      <c r="K2202" t="s">
        <v>280</v>
      </c>
      <c r="L2202" s="5"/>
      <c r="M2202" s="5"/>
      <c r="N2202" t="s">
        <v>82</v>
      </c>
      <c r="O2202" t="s">
        <v>7278</v>
      </c>
      <c r="R2202">
        <v>1</v>
      </c>
      <c r="T2202" s="5"/>
      <c r="W2202">
        <v>91</v>
      </c>
      <c r="X2202" t="s">
        <v>101</v>
      </c>
      <c r="Y2202" t="str">
        <f>VLOOKUP(C2202,'[1]DBS_KPY Sorumlular'!A:C,2,FALSE)</f>
        <v>Mustafa AYDIN</v>
      </c>
      <c r="Z2202" t="str">
        <f>VLOOKUP(C2202,'[1]DBS_KPY Sorumlular'!A:C,3,FALSE)</f>
        <v>Esra DOLAN</v>
      </c>
      <c r="AA2202" t="str">
        <f>VLOOKUP(K2202,[1]!Tablo3[#Data],2,FALSE)</f>
        <v>Erkan AKDOĞAN</v>
      </c>
    </row>
    <row r="2203" spans="1:27" x14ac:dyDescent="0.25">
      <c r="A2203">
        <v>3555</v>
      </c>
      <c r="B2203" t="s">
        <v>27</v>
      </c>
      <c r="C2203" t="s">
        <v>40</v>
      </c>
      <c r="D2203" t="s">
        <v>41</v>
      </c>
      <c r="G2203" t="s">
        <v>456</v>
      </c>
      <c r="H2203" t="s">
        <v>7279</v>
      </c>
      <c r="I2203" s="4">
        <v>44712.875</v>
      </c>
      <c r="K2203" t="s">
        <v>280</v>
      </c>
      <c r="L2203" s="5"/>
      <c r="M2203" s="5"/>
      <c r="N2203" t="s">
        <v>82</v>
      </c>
      <c r="O2203" t="s">
        <v>7280</v>
      </c>
      <c r="R2203">
        <v>1</v>
      </c>
      <c r="T2203" s="5"/>
      <c r="W2203">
        <v>144</v>
      </c>
      <c r="X2203" t="s">
        <v>463</v>
      </c>
      <c r="Y2203" t="str">
        <f>VLOOKUP(C2203,'[1]DBS_KPY Sorumlular'!A:C,2,FALSE)</f>
        <v>Mustafa AYDIN</v>
      </c>
      <c r="Z2203" t="str">
        <f>VLOOKUP(C2203,'[1]DBS_KPY Sorumlular'!A:C,3,FALSE)</f>
        <v>Esra DOLAN</v>
      </c>
      <c r="AA2203" t="str">
        <f>VLOOKUP(K2203,[1]!Tablo3[#Data],2,FALSE)</f>
        <v>Erkan AKDOĞAN</v>
      </c>
    </row>
    <row r="2204" spans="1:27" x14ac:dyDescent="0.25">
      <c r="A2204">
        <v>3556</v>
      </c>
      <c r="B2204" t="s">
        <v>27</v>
      </c>
      <c r="C2204" t="s">
        <v>40</v>
      </c>
      <c r="D2204" t="s">
        <v>41</v>
      </c>
      <c r="G2204" t="s">
        <v>43</v>
      </c>
      <c r="H2204" t="s">
        <v>7281</v>
      </c>
      <c r="I2204" s="4">
        <v>45077.875</v>
      </c>
      <c r="K2204" t="s">
        <v>280</v>
      </c>
      <c r="L2204" s="5"/>
      <c r="M2204" s="5"/>
      <c r="N2204" t="s">
        <v>82</v>
      </c>
      <c r="O2204" t="s">
        <v>7282</v>
      </c>
      <c r="R2204">
        <v>1</v>
      </c>
      <c r="T2204" s="5"/>
      <c r="W2204">
        <v>85</v>
      </c>
      <c r="X2204" t="s">
        <v>958</v>
      </c>
      <c r="Y2204" t="str">
        <f>VLOOKUP(C2204,'[1]DBS_KPY Sorumlular'!A:C,2,FALSE)</f>
        <v>Mustafa AYDIN</v>
      </c>
      <c r="Z2204" t="str">
        <f>VLOOKUP(C2204,'[1]DBS_KPY Sorumlular'!A:C,3,FALSE)</f>
        <v>Esra DOLAN</v>
      </c>
      <c r="AA2204" t="str">
        <f>VLOOKUP(K2204,[1]!Tablo3[#Data],2,FALSE)</f>
        <v>Erkan AKDOĞAN</v>
      </c>
    </row>
    <row r="2205" spans="1:27" x14ac:dyDescent="0.25">
      <c r="A2205">
        <v>3557</v>
      </c>
      <c r="B2205" t="s">
        <v>27</v>
      </c>
      <c r="C2205" t="s">
        <v>40</v>
      </c>
      <c r="D2205" t="s">
        <v>41</v>
      </c>
      <c r="G2205" t="s">
        <v>43</v>
      </c>
      <c r="H2205" t="s">
        <v>7283</v>
      </c>
      <c r="I2205" s="4">
        <v>45077.875</v>
      </c>
      <c r="K2205" t="s">
        <v>280</v>
      </c>
      <c r="L2205" s="5"/>
      <c r="M2205" s="5"/>
      <c r="N2205" t="s">
        <v>82</v>
      </c>
      <c r="O2205" t="s">
        <v>7284</v>
      </c>
      <c r="R2205">
        <v>1</v>
      </c>
      <c r="T2205" s="5" t="s">
        <v>58</v>
      </c>
      <c r="U2205" t="s">
        <v>867</v>
      </c>
      <c r="V2205" t="s">
        <v>868</v>
      </c>
      <c r="W2205">
        <v>73</v>
      </c>
      <c r="X2205" t="s">
        <v>1198</v>
      </c>
      <c r="Y2205" t="str">
        <f>VLOOKUP(C2205,'[1]DBS_KPY Sorumlular'!A:C,2,FALSE)</f>
        <v>Mustafa AYDIN</v>
      </c>
      <c r="Z2205" t="str">
        <f>VLOOKUP(C2205,'[1]DBS_KPY Sorumlular'!A:C,3,FALSE)</f>
        <v>Esra DOLAN</v>
      </c>
      <c r="AA2205" t="str">
        <f>VLOOKUP(K2205,[1]!Tablo3[#Data],2,FALSE)</f>
        <v>Erkan AKDOĞAN</v>
      </c>
    </row>
    <row r="2206" spans="1:27" x14ac:dyDescent="0.25">
      <c r="A2206">
        <v>3558</v>
      </c>
      <c r="B2206" t="s">
        <v>27</v>
      </c>
      <c r="C2206" t="s">
        <v>40</v>
      </c>
      <c r="D2206" t="s">
        <v>41</v>
      </c>
      <c r="G2206" t="s">
        <v>43</v>
      </c>
      <c r="H2206" t="s">
        <v>7285</v>
      </c>
      <c r="I2206" s="4">
        <v>45077.875</v>
      </c>
      <c r="K2206" t="s">
        <v>280</v>
      </c>
      <c r="L2206" s="5"/>
      <c r="M2206" s="5"/>
      <c r="N2206" t="s">
        <v>82</v>
      </c>
      <c r="O2206" t="s">
        <v>7286</v>
      </c>
      <c r="R2206">
        <v>1</v>
      </c>
      <c r="T2206" s="5"/>
      <c r="W2206">
        <v>116</v>
      </c>
      <c r="X2206" t="s">
        <v>3651</v>
      </c>
      <c r="Y2206" t="str">
        <f>VLOOKUP(C2206,'[1]DBS_KPY Sorumlular'!A:C,2,FALSE)</f>
        <v>Mustafa AYDIN</v>
      </c>
      <c r="Z2206" t="str">
        <f>VLOOKUP(C2206,'[1]DBS_KPY Sorumlular'!A:C,3,FALSE)</f>
        <v>Esra DOLAN</v>
      </c>
      <c r="AA2206" t="str">
        <f>VLOOKUP(K2206,[1]!Tablo3[#Data],2,FALSE)</f>
        <v>Erkan AKDOĞAN</v>
      </c>
    </row>
    <row r="2207" spans="1:27" x14ac:dyDescent="0.25">
      <c r="A2207">
        <v>3559</v>
      </c>
      <c r="B2207" t="s">
        <v>27</v>
      </c>
      <c r="C2207" t="s">
        <v>40</v>
      </c>
      <c r="D2207" t="s">
        <v>41</v>
      </c>
      <c r="G2207" t="s">
        <v>43</v>
      </c>
      <c r="H2207" t="s">
        <v>7287</v>
      </c>
      <c r="I2207" s="4">
        <v>45077.875</v>
      </c>
      <c r="K2207" t="s">
        <v>280</v>
      </c>
      <c r="L2207" s="5"/>
      <c r="M2207" s="5"/>
      <c r="N2207" t="s">
        <v>82</v>
      </c>
      <c r="O2207" t="s">
        <v>7288</v>
      </c>
      <c r="R2207">
        <v>1</v>
      </c>
      <c r="T2207" s="5"/>
      <c r="W2207">
        <v>85</v>
      </c>
      <c r="X2207" t="s">
        <v>958</v>
      </c>
      <c r="Y2207" t="str">
        <f>VLOOKUP(C2207,'[1]DBS_KPY Sorumlular'!A:C,2,FALSE)</f>
        <v>Mustafa AYDIN</v>
      </c>
      <c r="Z2207" t="str">
        <f>VLOOKUP(C2207,'[1]DBS_KPY Sorumlular'!A:C,3,FALSE)</f>
        <v>Esra DOLAN</v>
      </c>
      <c r="AA2207" t="str">
        <f>VLOOKUP(K2207,[1]!Tablo3[#Data],2,FALSE)</f>
        <v>Erkan AKDOĞAN</v>
      </c>
    </row>
    <row r="2208" spans="1:27" x14ac:dyDescent="0.25">
      <c r="A2208">
        <v>3560</v>
      </c>
      <c r="B2208" t="s">
        <v>27</v>
      </c>
      <c r="C2208" t="s">
        <v>40</v>
      </c>
      <c r="D2208" t="s">
        <v>41</v>
      </c>
      <c r="G2208" t="s">
        <v>43</v>
      </c>
      <c r="H2208" t="s">
        <v>7289</v>
      </c>
      <c r="I2208" s="4">
        <v>45077.875</v>
      </c>
      <c r="K2208" t="s">
        <v>280</v>
      </c>
      <c r="L2208" s="5"/>
      <c r="M2208" s="5"/>
      <c r="N2208" t="s">
        <v>82</v>
      </c>
      <c r="O2208" t="s">
        <v>7288</v>
      </c>
      <c r="R2208">
        <v>1</v>
      </c>
      <c r="T2208" s="5"/>
      <c r="W2208">
        <v>86</v>
      </c>
      <c r="X2208" t="s">
        <v>189</v>
      </c>
      <c r="Y2208" t="str">
        <f>VLOOKUP(C2208,'[1]DBS_KPY Sorumlular'!A:C,2,FALSE)</f>
        <v>Mustafa AYDIN</v>
      </c>
      <c r="Z2208" t="str">
        <f>VLOOKUP(C2208,'[1]DBS_KPY Sorumlular'!A:C,3,FALSE)</f>
        <v>Esra DOLAN</v>
      </c>
      <c r="AA2208" t="str">
        <f>VLOOKUP(K2208,[1]!Tablo3[#Data],2,FALSE)</f>
        <v>Erkan AKDOĞAN</v>
      </c>
    </row>
    <row r="2209" spans="1:27" x14ac:dyDescent="0.25">
      <c r="A2209">
        <v>3561</v>
      </c>
      <c r="B2209" t="s">
        <v>27</v>
      </c>
      <c r="C2209" t="s">
        <v>40</v>
      </c>
      <c r="D2209" t="s">
        <v>41</v>
      </c>
      <c r="G2209" t="s">
        <v>67</v>
      </c>
      <c r="H2209" t="s">
        <v>7290</v>
      </c>
      <c r="I2209" s="4">
        <v>45077.875</v>
      </c>
      <c r="K2209" t="s">
        <v>280</v>
      </c>
      <c r="L2209" s="5"/>
      <c r="M2209" s="5"/>
      <c r="N2209" t="s">
        <v>82</v>
      </c>
      <c r="O2209" t="s">
        <v>7291</v>
      </c>
      <c r="R2209">
        <v>1</v>
      </c>
      <c r="T2209" s="5"/>
      <c r="W2209">
        <v>203</v>
      </c>
      <c r="X2209" t="s">
        <v>72</v>
      </c>
      <c r="Y2209" t="str">
        <f>VLOOKUP(C2209,'[1]DBS_KPY Sorumlular'!A:C,2,FALSE)</f>
        <v>Mustafa AYDIN</v>
      </c>
      <c r="Z2209" t="str">
        <f>VLOOKUP(C2209,'[1]DBS_KPY Sorumlular'!A:C,3,FALSE)</f>
        <v>Esra DOLAN</v>
      </c>
      <c r="AA2209" t="str">
        <f>VLOOKUP(K2209,[1]!Tablo3[#Data],2,FALSE)</f>
        <v>Erkan AKDOĞAN</v>
      </c>
    </row>
    <row r="2210" spans="1:27" x14ac:dyDescent="0.25">
      <c r="A2210">
        <v>3562</v>
      </c>
      <c r="B2210" t="s">
        <v>27</v>
      </c>
      <c r="C2210" t="s">
        <v>40</v>
      </c>
      <c r="D2210" t="s">
        <v>41</v>
      </c>
      <c r="G2210" t="s">
        <v>67</v>
      </c>
      <c r="H2210" t="s">
        <v>7292</v>
      </c>
      <c r="I2210" s="4">
        <v>45077.875</v>
      </c>
      <c r="K2210" t="s">
        <v>152</v>
      </c>
      <c r="L2210" s="5"/>
      <c r="M2210" s="5"/>
      <c r="N2210" t="s">
        <v>82</v>
      </c>
      <c r="O2210" t="s">
        <v>7293</v>
      </c>
      <c r="R2210">
        <v>1</v>
      </c>
      <c r="T2210" s="5"/>
      <c r="W2210">
        <v>203</v>
      </c>
      <c r="X2210" t="s">
        <v>72</v>
      </c>
      <c r="Y2210" t="str">
        <f>VLOOKUP(C2210,'[1]DBS_KPY Sorumlular'!A:C,2,FALSE)</f>
        <v>Mustafa AYDIN</v>
      </c>
      <c r="Z2210" t="str">
        <f>VLOOKUP(C2210,'[1]DBS_KPY Sorumlular'!A:C,3,FALSE)</f>
        <v>Esra DOLAN</v>
      </c>
      <c r="AA2210" t="str">
        <f>VLOOKUP(K2210,[1]!Tablo3[#Data],2,FALSE)</f>
        <v>Erkan AKDOĞAN</v>
      </c>
    </row>
    <row r="2211" spans="1:27" x14ac:dyDescent="0.25">
      <c r="A2211">
        <v>3563</v>
      </c>
      <c r="B2211" t="s">
        <v>27</v>
      </c>
      <c r="C2211" t="s">
        <v>40</v>
      </c>
      <c r="D2211" t="s">
        <v>41</v>
      </c>
      <c r="G2211" t="s">
        <v>67</v>
      </c>
      <c r="H2211" t="s">
        <v>7294</v>
      </c>
      <c r="I2211" s="4">
        <v>45443.875</v>
      </c>
      <c r="K2211" t="s">
        <v>280</v>
      </c>
      <c r="L2211" s="5"/>
      <c r="M2211" s="5"/>
      <c r="N2211" t="s">
        <v>82</v>
      </c>
      <c r="O2211" t="s">
        <v>7295</v>
      </c>
      <c r="R2211">
        <v>1</v>
      </c>
      <c r="T2211" s="5"/>
      <c r="W2211">
        <v>203</v>
      </c>
      <c r="X2211" t="s">
        <v>72</v>
      </c>
      <c r="Y2211" t="str">
        <f>VLOOKUP(C2211,'[1]DBS_KPY Sorumlular'!A:C,2,FALSE)</f>
        <v>Mustafa AYDIN</v>
      </c>
      <c r="Z2211" t="str">
        <f>VLOOKUP(C2211,'[1]DBS_KPY Sorumlular'!A:C,3,FALSE)</f>
        <v>Esra DOLAN</v>
      </c>
      <c r="AA2211" t="str">
        <f>VLOOKUP(K2211,[1]!Tablo3[#Data],2,FALSE)</f>
        <v>Erkan AKDOĞAN</v>
      </c>
    </row>
    <row r="2212" spans="1:27" x14ac:dyDescent="0.25">
      <c r="A2212">
        <v>3564</v>
      </c>
      <c r="B2212" t="s">
        <v>27</v>
      </c>
      <c r="C2212" t="s">
        <v>40</v>
      </c>
      <c r="D2212" t="s">
        <v>41</v>
      </c>
      <c r="G2212" t="s">
        <v>43</v>
      </c>
      <c r="H2212" t="s">
        <v>7296</v>
      </c>
      <c r="I2212" s="4">
        <v>45443.875</v>
      </c>
      <c r="K2212" t="s">
        <v>280</v>
      </c>
      <c r="L2212" s="5"/>
      <c r="M2212" s="5"/>
      <c r="N2212" t="s">
        <v>82</v>
      </c>
      <c r="O2212" t="s">
        <v>7297</v>
      </c>
      <c r="R2212">
        <v>1</v>
      </c>
      <c r="T2212" s="5"/>
      <c r="W2212">
        <v>108</v>
      </c>
      <c r="X2212" t="s">
        <v>107</v>
      </c>
      <c r="Y2212" t="str">
        <f>VLOOKUP(C2212,'[1]DBS_KPY Sorumlular'!A:C,2,FALSE)</f>
        <v>Mustafa AYDIN</v>
      </c>
      <c r="Z2212" t="str">
        <f>VLOOKUP(C2212,'[1]DBS_KPY Sorumlular'!A:C,3,FALSE)</f>
        <v>Esra DOLAN</v>
      </c>
      <c r="AA2212" t="str">
        <f>VLOOKUP(K2212,[1]!Tablo3[#Data],2,FALSE)</f>
        <v>Erkan AKDOĞAN</v>
      </c>
    </row>
    <row r="2213" spans="1:27" x14ac:dyDescent="0.25">
      <c r="A2213">
        <v>3565</v>
      </c>
      <c r="B2213" t="s">
        <v>27</v>
      </c>
      <c r="C2213" t="s">
        <v>40</v>
      </c>
      <c r="D2213" t="s">
        <v>41</v>
      </c>
      <c r="G2213" t="s">
        <v>43</v>
      </c>
      <c r="H2213" t="s">
        <v>7298</v>
      </c>
      <c r="I2213" s="4">
        <v>45443.875</v>
      </c>
      <c r="K2213" t="s">
        <v>280</v>
      </c>
      <c r="L2213" s="5"/>
      <c r="M2213" s="5" t="s">
        <v>7299</v>
      </c>
      <c r="N2213" t="s">
        <v>82</v>
      </c>
      <c r="O2213" t="s">
        <v>7300</v>
      </c>
      <c r="R2213">
        <v>1</v>
      </c>
      <c r="T2213" s="5"/>
      <c r="W2213">
        <v>108</v>
      </c>
      <c r="X2213" t="s">
        <v>107</v>
      </c>
      <c r="Y2213" t="str">
        <f>VLOOKUP(C2213,'[1]DBS_KPY Sorumlular'!A:C,2,FALSE)</f>
        <v>Mustafa AYDIN</v>
      </c>
      <c r="Z2213" t="str">
        <f>VLOOKUP(C2213,'[1]DBS_KPY Sorumlular'!A:C,3,FALSE)</f>
        <v>Esra DOLAN</v>
      </c>
      <c r="AA2213" t="str">
        <f>VLOOKUP(K2213,[1]!Tablo3[#Data],2,FALSE)</f>
        <v>Erkan AKDOĞAN</v>
      </c>
    </row>
    <row r="2214" spans="1:27" x14ac:dyDescent="0.25">
      <c r="A2214">
        <v>3566</v>
      </c>
      <c r="B2214" t="s">
        <v>27</v>
      </c>
      <c r="C2214" t="s">
        <v>40</v>
      </c>
      <c r="D2214" t="s">
        <v>41</v>
      </c>
      <c r="G2214" t="s">
        <v>43</v>
      </c>
      <c r="H2214" t="s">
        <v>7301</v>
      </c>
      <c r="I2214" s="4">
        <v>43616.875</v>
      </c>
      <c r="K2214" t="s">
        <v>1157</v>
      </c>
      <c r="L2214" s="5"/>
      <c r="M2214" s="5"/>
      <c r="N2214" t="s">
        <v>82</v>
      </c>
      <c r="O2214" t="s">
        <v>7302</v>
      </c>
      <c r="R2214">
        <v>1</v>
      </c>
      <c r="T2214" s="5"/>
      <c r="W2214">
        <v>78</v>
      </c>
      <c r="X2214" t="s">
        <v>86</v>
      </c>
      <c r="Y2214" t="str">
        <f>VLOOKUP(C2214,'[1]DBS_KPY Sorumlular'!A:C,2,FALSE)</f>
        <v>Mustafa AYDIN</v>
      </c>
      <c r="Z2214" t="str">
        <f>VLOOKUP(C2214,'[1]DBS_KPY Sorumlular'!A:C,3,FALSE)</f>
        <v>Esra DOLAN</v>
      </c>
      <c r="AA2214" t="str">
        <f>VLOOKUP(K2214,[1]!Tablo3[#Data],2,FALSE)</f>
        <v>Tayfun VİÇE</v>
      </c>
    </row>
    <row r="2215" spans="1:27" x14ac:dyDescent="0.25">
      <c r="A2215">
        <v>3567</v>
      </c>
      <c r="B2215" t="s">
        <v>27</v>
      </c>
      <c r="C2215" t="s">
        <v>40</v>
      </c>
      <c r="D2215" t="s">
        <v>41</v>
      </c>
      <c r="G2215" t="s">
        <v>43</v>
      </c>
      <c r="H2215" t="s">
        <v>7303</v>
      </c>
      <c r="I2215" s="4">
        <v>43982.875</v>
      </c>
      <c r="K2215" t="s">
        <v>1157</v>
      </c>
      <c r="L2215" s="5"/>
      <c r="M2215" s="5"/>
      <c r="N2215" t="s">
        <v>82</v>
      </c>
      <c r="O2215" t="s">
        <v>7304</v>
      </c>
      <c r="R2215">
        <v>1</v>
      </c>
      <c r="T2215" s="5"/>
      <c r="W2215">
        <v>80</v>
      </c>
      <c r="X2215" t="s">
        <v>647</v>
      </c>
      <c r="Y2215" t="str">
        <f>VLOOKUP(C2215,'[1]DBS_KPY Sorumlular'!A:C,2,FALSE)</f>
        <v>Mustafa AYDIN</v>
      </c>
      <c r="Z2215" t="str">
        <f>VLOOKUP(C2215,'[1]DBS_KPY Sorumlular'!A:C,3,FALSE)</f>
        <v>Esra DOLAN</v>
      </c>
      <c r="AA2215" t="str">
        <f>VLOOKUP(K2215,[1]!Tablo3[#Data],2,FALSE)</f>
        <v>Tayfun VİÇE</v>
      </c>
    </row>
    <row r="2216" spans="1:27" x14ac:dyDescent="0.25">
      <c r="A2216">
        <v>3568</v>
      </c>
      <c r="B2216" t="s">
        <v>27</v>
      </c>
      <c r="C2216" t="s">
        <v>40</v>
      </c>
      <c r="D2216" t="s">
        <v>41</v>
      </c>
      <c r="G2216" t="s">
        <v>43</v>
      </c>
      <c r="H2216" t="s">
        <v>7305</v>
      </c>
      <c r="I2216" s="4">
        <v>44347.875</v>
      </c>
      <c r="K2216" t="s">
        <v>1157</v>
      </c>
      <c r="L2216" s="5"/>
      <c r="M2216" s="5"/>
      <c r="N2216" t="s">
        <v>82</v>
      </c>
      <c r="O2216" t="s">
        <v>7306</v>
      </c>
      <c r="R2216">
        <v>1</v>
      </c>
      <c r="T2216" s="5"/>
      <c r="W2216">
        <v>137</v>
      </c>
      <c r="X2216" t="s">
        <v>125</v>
      </c>
      <c r="Y2216" t="str">
        <f>VLOOKUP(C2216,'[1]DBS_KPY Sorumlular'!A:C,2,FALSE)</f>
        <v>Mustafa AYDIN</v>
      </c>
      <c r="Z2216" t="str">
        <f>VLOOKUP(C2216,'[1]DBS_KPY Sorumlular'!A:C,3,FALSE)</f>
        <v>Esra DOLAN</v>
      </c>
      <c r="AA2216" t="str">
        <f>VLOOKUP(K2216,[1]!Tablo3[#Data],2,FALSE)</f>
        <v>Tayfun VİÇE</v>
      </c>
    </row>
    <row r="2217" spans="1:27" x14ac:dyDescent="0.25">
      <c r="A2217">
        <v>3569</v>
      </c>
      <c r="B2217" t="s">
        <v>27</v>
      </c>
      <c r="C2217" t="s">
        <v>40</v>
      </c>
      <c r="D2217" t="s">
        <v>41</v>
      </c>
      <c r="G2217" t="s">
        <v>43</v>
      </c>
      <c r="H2217" t="s">
        <v>7307</v>
      </c>
      <c r="I2217" s="4">
        <v>44347.875</v>
      </c>
      <c r="K2217" t="s">
        <v>1157</v>
      </c>
      <c r="L2217" s="5"/>
      <c r="M2217" s="5"/>
      <c r="N2217" t="s">
        <v>82</v>
      </c>
      <c r="O2217" t="s">
        <v>7308</v>
      </c>
      <c r="R2217">
        <v>1</v>
      </c>
      <c r="T2217" s="5"/>
      <c r="W2217">
        <v>137</v>
      </c>
      <c r="X2217" t="s">
        <v>125</v>
      </c>
      <c r="Y2217" t="str">
        <f>VLOOKUP(C2217,'[1]DBS_KPY Sorumlular'!A:C,2,FALSE)</f>
        <v>Mustafa AYDIN</v>
      </c>
      <c r="Z2217" t="str">
        <f>VLOOKUP(C2217,'[1]DBS_KPY Sorumlular'!A:C,3,FALSE)</f>
        <v>Esra DOLAN</v>
      </c>
      <c r="AA2217" t="str">
        <f>VLOOKUP(K2217,[1]!Tablo3[#Data],2,FALSE)</f>
        <v>Tayfun VİÇE</v>
      </c>
    </row>
    <row r="2218" spans="1:27" x14ac:dyDescent="0.25">
      <c r="A2218">
        <v>3570</v>
      </c>
      <c r="B2218" t="s">
        <v>27</v>
      </c>
      <c r="C2218" t="s">
        <v>40</v>
      </c>
      <c r="D2218" t="s">
        <v>41</v>
      </c>
      <c r="G2218" t="s">
        <v>67</v>
      </c>
      <c r="H2218" t="s">
        <v>7309</v>
      </c>
      <c r="I2218" s="4">
        <v>44347.875</v>
      </c>
      <c r="K2218" t="s">
        <v>1157</v>
      </c>
      <c r="L2218" s="5"/>
      <c r="M2218" s="5"/>
      <c r="N2218" t="s">
        <v>82</v>
      </c>
      <c r="O2218" t="s">
        <v>7310</v>
      </c>
      <c r="R2218">
        <v>1</v>
      </c>
      <c r="T2218" s="5"/>
      <c r="W2218">
        <v>203</v>
      </c>
      <c r="X2218" t="s">
        <v>72</v>
      </c>
      <c r="Y2218" t="str">
        <f>VLOOKUP(C2218,'[1]DBS_KPY Sorumlular'!A:C,2,FALSE)</f>
        <v>Mustafa AYDIN</v>
      </c>
      <c r="Z2218" t="str">
        <f>VLOOKUP(C2218,'[1]DBS_KPY Sorumlular'!A:C,3,FALSE)</f>
        <v>Esra DOLAN</v>
      </c>
      <c r="AA2218" t="str">
        <f>VLOOKUP(K2218,[1]!Tablo3[#Data],2,FALSE)</f>
        <v>Tayfun VİÇE</v>
      </c>
    </row>
    <row r="2219" spans="1:27" x14ac:dyDescent="0.25">
      <c r="A2219">
        <v>3571</v>
      </c>
      <c r="B2219" t="s">
        <v>27</v>
      </c>
      <c r="C2219" t="s">
        <v>40</v>
      </c>
      <c r="D2219" t="s">
        <v>41</v>
      </c>
      <c r="G2219" t="s">
        <v>43</v>
      </c>
      <c r="H2219" t="s">
        <v>7311</v>
      </c>
      <c r="I2219" s="4">
        <v>44347.875</v>
      </c>
      <c r="K2219" t="s">
        <v>1157</v>
      </c>
      <c r="L2219" s="5"/>
      <c r="M2219" s="5"/>
      <c r="N2219" t="s">
        <v>82</v>
      </c>
      <c r="O2219" t="s">
        <v>7312</v>
      </c>
      <c r="R2219">
        <v>1</v>
      </c>
      <c r="T2219" s="5"/>
      <c r="W2219">
        <v>137</v>
      </c>
      <c r="X2219" t="s">
        <v>125</v>
      </c>
      <c r="Y2219" t="str">
        <f>VLOOKUP(C2219,'[1]DBS_KPY Sorumlular'!A:C,2,FALSE)</f>
        <v>Mustafa AYDIN</v>
      </c>
      <c r="Z2219" t="str">
        <f>VLOOKUP(C2219,'[1]DBS_KPY Sorumlular'!A:C,3,FALSE)</f>
        <v>Esra DOLAN</v>
      </c>
      <c r="AA2219" t="str">
        <f>VLOOKUP(K2219,[1]!Tablo3[#Data],2,FALSE)</f>
        <v>Tayfun VİÇE</v>
      </c>
    </row>
    <row r="2220" spans="1:27" x14ac:dyDescent="0.25">
      <c r="A2220">
        <v>3572</v>
      </c>
      <c r="B2220" t="s">
        <v>27</v>
      </c>
      <c r="C2220" t="s">
        <v>40</v>
      </c>
      <c r="D2220" t="s">
        <v>41</v>
      </c>
      <c r="G2220" t="s">
        <v>67</v>
      </c>
      <c r="H2220" t="s">
        <v>7313</v>
      </c>
      <c r="I2220" s="4">
        <v>44712.875</v>
      </c>
      <c r="K2220" t="s">
        <v>1157</v>
      </c>
      <c r="L2220" s="5"/>
      <c r="M2220" s="5"/>
      <c r="N2220" t="s">
        <v>82</v>
      </c>
      <c r="O2220" t="s">
        <v>7314</v>
      </c>
      <c r="R2220">
        <v>1</v>
      </c>
      <c r="T2220" s="5"/>
      <c r="W2220">
        <v>90</v>
      </c>
      <c r="X2220" t="s">
        <v>1851</v>
      </c>
      <c r="Y2220" t="str">
        <f>VLOOKUP(C2220,'[1]DBS_KPY Sorumlular'!A:C,2,FALSE)</f>
        <v>Mustafa AYDIN</v>
      </c>
      <c r="Z2220" t="str">
        <f>VLOOKUP(C2220,'[1]DBS_KPY Sorumlular'!A:C,3,FALSE)</f>
        <v>Esra DOLAN</v>
      </c>
      <c r="AA2220" t="str">
        <f>VLOOKUP(K2220,[1]!Tablo3[#Data],2,FALSE)</f>
        <v>Tayfun VİÇE</v>
      </c>
    </row>
    <row r="2221" spans="1:27" x14ac:dyDescent="0.25">
      <c r="A2221">
        <v>3573</v>
      </c>
      <c r="B2221" t="s">
        <v>27</v>
      </c>
      <c r="C2221" t="s">
        <v>40</v>
      </c>
      <c r="D2221" t="s">
        <v>41</v>
      </c>
      <c r="G2221" t="s">
        <v>43</v>
      </c>
      <c r="H2221" t="s">
        <v>7315</v>
      </c>
      <c r="I2221" s="4">
        <v>45077.875</v>
      </c>
      <c r="K2221" t="s">
        <v>1157</v>
      </c>
      <c r="L2221" s="5"/>
      <c r="M2221" s="5"/>
      <c r="N2221" t="s">
        <v>82</v>
      </c>
      <c r="O2221" t="s">
        <v>7316</v>
      </c>
      <c r="R2221">
        <v>1</v>
      </c>
      <c r="T2221" s="5"/>
      <c r="W2221">
        <v>108</v>
      </c>
      <c r="X2221" t="s">
        <v>107</v>
      </c>
      <c r="Y2221" t="str">
        <f>VLOOKUP(C2221,'[1]DBS_KPY Sorumlular'!A:C,2,FALSE)</f>
        <v>Mustafa AYDIN</v>
      </c>
      <c r="Z2221" t="str">
        <f>VLOOKUP(C2221,'[1]DBS_KPY Sorumlular'!A:C,3,FALSE)</f>
        <v>Esra DOLAN</v>
      </c>
      <c r="AA2221" t="str">
        <f>VLOOKUP(K2221,[1]!Tablo3[#Data],2,FALSE)</f>
        <v>Tayfun VİÇE</v>
      </c>
    </row>
    <row r="2222" spans="1:27" x14ac:dyDescent="0.25">
      <c r="A2222">
        <v>3574</v>
      </c>
      <c r="B2222" t="s">
        <v>27</v>
      </c>
      <c r="C2222" t="s">
        <v>40</v>
      </c>
      <c r="D2222" t="s">
        <v>41</v>
      </c>
      <c r="G2222" t="s">
        <v>67</v>
      </c>
      <c r="H2222" t="s">
        <v>7317</v>
      </c>
      <c r="I2222" s="4">
        <v>45077.875</v>
      </c>
      <c r="K2222" t="s">
        <v>1157</v>
      </c>
      <c r="L2222" s="5"/>
      <c r="M2222" s="5"/>
      <c r="N2222" t="s">
        <v>82</v>
      </c>
      <c r="O2222" t="s">
        <v>7318</v>
      </c>
      <c r="R2222">
        <v>1</v>
      </c>
      <c r="T2222" s="5"/>
      <c r="W2222">
        <v>104</v>
      </c>
      <c r="X2222" t="s">
        <v>703</v>
      </c>
      <c r="Y2222" t="str">
        <f>VLOOKUP(C2222,'[1]DBS_KPY Sorumlular'!A:C,2,FALSE)</f>
        <v>Mustafa AYDIN</v>
      </c>
      <c r="Z2222" t="str">
        <f>VLOOKUP(C2222,'[1]DBS_KPY Sorumlular'!A:C,3,FALSE)</f>
        <v>Esra DOLAN</v>
      </c>
      <c r="AA2222" t="str">
        <f>VLOOKUP(K2222,[1]!Tablo3[#Data],2,FALSE)</f>
        <v>Tayfun VİÇE</v>
      </c>
    </row>
    <row r="2223" spans="1:27" x14ac:dyDescent="0.25">
      <c r="A2223">
        <v>3575</v>
      </c>
      <c r="B2223" t="s">
        <v>27</v>
      </c>
      <c r="C2223" t="s">
        <v>40</v>
      </c>
      <c r="D2223" t="s">
        <v>41</v>
      </c>
      <c r="G2223" t="s">
        <v>43</v>
      </c>
      <c r="H2223" t="s">
        <v>7319</v>
      </c>
      <c r="I2223" s="4">
        <v>45077.875</v>
      </c>
      <c r="K2223" t="s">
        <v>1157</v>
      </c>
      <c r="L2223" s="5"/>
      <c r="M2223" s="5"/>
      <c r="N2223" t="s">
        <v>82</v>
      </c>
      <c r="O2223" t="s">
        <v>7320</v>
      </c>
      <c r="R2223">
        <v>1</v>
      </c>
      <c r="T2223" s="5"/>
      <c r="W2223">
        <v>5</v>
      </c>
      <c r="X2223" t="s">
        <v>4528</v>
      </c>
      <c r="Y2223" t="str">
        <f>VLOOKUP(C2223,'[1]DBS_KPY Sorumlular'!A:C,2,FALSE)</f>
        <v>Mustafa AYDIN</v>
      </c>
      <c r="Z2223" t="str">
        <f>VLOOKUP(C2223,'[1]DBS_KPY Sorumlular'!A:C,3,FALSE)</f>
        <v>Esra DOLAN</v>
      </c>
      <c r="AA2223" t="str">
        <f>VLOOKUP(K2223,[1]!Tablo3[#Data],2,FALSE)</f>
        <v>Tayfun VİÇE</v>
      </c>
    </row>
    <row r="2224" spans="1:27" x14ac:dyDescent="0.25">
      <c r="A2224">
        <v>3576</v>
      </c>
      <c r="B2224" t="s">
        <v>27</v>
      </c>
      <c r="C2224" t="s">
        <v>40</v>
      </c>
      <c r="D2224" t="s">
        <v>41</v>
      </c>
      <c r="G2224" t="s">
        <v>96</v>
      </c>
      <c r="H2224" t="s">
        <v>7321</v>
      </c>
      <c r="I2224" s="4">
        <v>45077.875</v>
      </c>
      <c r="K2224" t="s">
        <v>1157</v>
      </c>
      <c r="L2224" s="5"/>
      <c r="M2224" s="5"/>
      <c r="N2224" t="s">
        <v>82</v>
      </c>
      <c r="O2224" t="s">
        <v>7322</v>
      </c>
      <c r="R2224">
        <v>1</v>
      </c>
      <c r="T2224" s="5"/>
      <c r="W2224">
        <v>91</v>
      </c>
      <c r="X2224" t="s">
        <v>101</v>
      </c>
      <c r="Y2224" t="str">
        <f>VLOOKUP(C2224,'[1]DBS_KPY Sorumlular'!A:C,2,FALSE)</f>
        <v>Mustafa AYDIN</v>
      </c>
      <c r="Z2224" t="str">
        <f>VLOOKUP(C2224,'[1]DBS_KPY Sorumlular'!A:C,3,FALSE)</f>
        <v>Esra DOLAN</v>
      </c>
      <c r="AA2224" t="str">
        <f>VLOOKUP(K2224,[1]!Tablo3[#Data],2,FALSE)</f>
        <v>Tayfun VİÇE</v>
      </c>
    </row>
    <row r="2225" spans="1:27" x14ac:dyDescent="0.25">
      <c r="A2225">
        <v>3577</v>
      </c>
      <c r="B2225" t="s">
        <v>27</v>
      </c>
      <c r="C2225" t="s">
        <v>40</v>
      </c>
      <c r="D2225" t="s">
        <v>41</v>
      </c>
      <c r="G2225" t="s">
        <v>67</v>
      </c>
      <c r="H2225" t="s">
        <v>7323</v>
      </c>
      <c r="I2225" s="4">
        <v>45077.875</v>
      </c>
      <c r="K2225" t="s">
        <v>1157</v>
      </c>
      <c r="L2225" s="5"/>
      <c r="M2225" s="5"/>
      <c r="N2225" t="s">
        <v>82</v>
      </c>
      <c r="O2225" t="s">
        <v>7324</v>
      </c>
      <c r="R2225">
        <v>1</v>
      </c>
      <c r="T2225" s="5"/>
      <c r="W2225">
        <v>203</v>
      </c>
      <c r="X2225" t="s">
        <v>72</v>
      </c>
      <c r="Y2225" t="str">
        <f>VLOOKUP(C2225,'[1]DBS_KPY Sorumlular'!A:C,2,FALSE)</f>
        <v>Mustafa AYDIN</v>
      </c>
      <c r="Z2225" t="str">
        <f>VLOOKUP(C2225,'[1]DBS_KPY Sorumlular'!A:C,3,FALSE)</f>
        <v>Esra DOLAN</v>
      </c>
      <c r="AA2225" t="str">
        <f>VLOOKUP(K2225,[1]!Tablo3[#Data],2,FALSE)</f>
        <v>Tayfun VİÇE</v>
      </c>
    </row>
    <row r="2226" spans="1:27" x14ac:dyDescent="0.25">
      <c r="A2226">
        <v>3578</v>
      </c>
      <c r="B2226" t="s">
        <v>27</v>
      </c>
      <c r="C2226" t="s">
        <v>40</v>
      </c>
      <c r="D2226" t="s">
        <v>41</v>
      </c>
      <c r="G2226" t="s">
        <v>43</v>
      </c>
      <c r="H2226" t="s">
        <v>7325</v>
      </c>
      <c r="I2226" s="4">
        <v>45443.875</v>
      </c>
      <c r="K2226" t="s">
        <v>1157</v>
      </c>
      <c r="L2226" s="5"/>
      <c r="M2226" s="5"/>
      <c r="N2226" t="s">
        <v>82</v>
      </c>
      <c r="O2226" t="s">
        <v>7326</v>
      </c>
      <c r="R2226">
        <v>1</v>
      </c>
      <c r="T2226" s="5"/>
      <c r="W2226">
        <v>73</v>
      </c>
      <c r="X2226" t="s">
        <v>1198</v>
      </c>
      <c r="Y2226" t="str">
        <f>VLOOKUP(C2226,'[1]DBS_KPY Sorumlular'!A:C,2,FALSE)</f>
        <v>Mustafa AYDIN</v>
      </c>
      <c r="Z2226" t="str">
        <f>VLOOKUP(C2226,'[1]DBS_KPY Sorumlular'!A:C,3,FALSE)</f>
        <v>Esra DOLAN</v>
      </c>
      <c r="AA2226" t="str">
        <f>VLOOKUP(K2226,[1]!Tablo3[#Data],2,FALSE)</f>
        <v>Tayfun VİÇE</v>
      </c>
    </row>
    <row r="2227" spans="1:27" x14ac:dyDescent="0.25">
      <c r="A2227">
        <v>3579</v>
      </c>
      <c r="B2227" t="s">
        <v>27</v>
      </c>
      <c r="C2227" t="s">
        <v>40</v>
      </c>
      <c r="D2227" t="s">
        <v>41</v>
      </c>
      <c r="G2227" t="s">
        <v>96</v>
      </c>
      <c r="H2227" t="s">
        <v>7327</v>
      </c>
      <c r="I2227" s="4">
        <v>45443.875</v>
      </c>
      <c r="K2227" t="s">
        <v>1157</v>
      </c>
      <c r="L2227" s="5"/>
      <c r="M2227" s="5"/>
      <c r="N2227" t="s">
        <v>82</v>
      </c>
      <c r="O2227" t="s">
        <v>7328</v>
      </c>
      <c r="R2227">
        <v>1</v>
      </c>
      <c r="T2227" s="5"/>
      <c r="W2227">
        <v>91</v>
      </c>
      <c r="X2227" t="s">
        <v>101</v>
      </c>
      <c r="Y2227" t="str">
        <f>VLOOKUP(C2227,'[1]DBS_KPY Sorumlular'!A:C,2,FALSE)</f>
        <v>Mustafa AYDIN</v>
      </c>
      <c r="Z2227" t="str">
        <f>VLOOKUP(C2227,'[1]DBS_KPY Sorumlular'!A:C,3,FALSE)</f>
        <v>Esra DOLAN</v>
      </c>
      <c r="AA2227" t="str">
        <f>VLOOKUP(K2227,[1]!Tablo3[#Data],2,FALSE)</f>
        <v>Tayfun VİÇE</v>
      </c>
    </row>
    <row r="2228" spans="1:27" x14ac:dyDescent="0.25">
      <c r="A2228">
        <v>3580</v>
      </c>
      <c r="B2228" t="s">
        <v>27</v>
      </c>
      <c r="C2228" t="s">
        <v>40</v>
      </c>
      <c r="D2228" t="s">
        <v>41</v>
      </c>
      <c r="G2228" t="s">
        <v>43</v>
      </c>
      <c r="H2228" t="s">
        <v>7329</v>
      </c>
      <c r="I2228" s="4">
        <v>45443.875</v>
      </c>
      <c r="K2228" t="s">
        <v>1157</v>
      </c>
      <c r="L2228" s="5"/>
      <c r="M2228" s="5"/>
      <c r="N2228" t="s">
        <v>82</v>
      </c>
      <c r="O2228" t="s">
        <v>7330</v>
      </c>
      <c r="R2228">
        <v>1</v>
      </c>
      <c r="T2228" s="5"/>
      <c r="W2228">
        <v>263</v>
      </c>
      <c r="X2228" t="s">
        <v>628</v>
      </c>
      <c r="Y2228" t="str">
        <f>VLOOKUP(C2228,'[1]DBS_KPY Sorumlular'!A:C,2,FALSE)</f>
        <v>Mustafa AYDIN</v>
      </c>
      <c r="Z2228" t="str">
        <f>VLOOKUP(C2228,'[1]DBS_KPY Sorumlular'!A:C,3,FALSE)</f>
        <v>Esra DOLAN</v>
      </c>
      <c r="AA2228" t="str">
        <f>VLOOKUP(K2228,[1]!Tablo3[#Data],2,FALSE)</f>
        <v>Tayfun VİÇE</v>
      </c>
    </row>
    <row r="2229" spans="1:27" x14ac:dyDescent="0.25">
      <c r="A2229">
        <v>3581</v>
      </c>
      <c r="B2229" t="s">
        <v>27</v>
      </c>
      <c r="C2229" t="s">
        <v>40</v>
      </c>
      <c r="D2229" t="s">
        <v>65</v>
      </c>
      <c r="G2229" t="s">
        <v>67</v>
      </c>
      <c r="H2229" t="s">
        <v>7331</v>
      </c>
      <c r="I2229" s="4">
        <v>45443.875</v>
      </c>
      <c r="K2229" t="s">
        <v>1157</v>
      </c>
      <c r="L2229" s="5"/>
      <c r="M2229" s="5"/>
      <c r="N2229" t="s">
        <v>82</v>
      </c>
      <c r="O2229" t="s">
        <v>7332</v>
      </c>
      <c r="R2229">
        <v>1</v>
      </c>
      <c r="T2229" s="5"/>
      <c r="W2229">
        <v>203</v>
      </c>
      <c r="X2229" t="s">
        <v>72</v>
      </c>
      <c r="Y2229" t="str">
        <f>VLOOKUP(C2229,'[1]DBS_KPY Sorumlular'!A:C,2,FALSE)</f>
        <v>Mustafa AYDIN</v>
      </c>
      <c r="Z2229" t="str">
        <f>VLOOKUP(C2229,'[1]DBS_KPY Sorumlular'!A:C,3,FALSE)</f>
        <v>Esra DOLAN</v>
      </c>
      <c r="AA2229" t="str">
        <f>VLOOKUP(K2229,[1]!Tablo3[#Data],2,FALSE)</f>
        <v>Tayfun VİÇE</v>
      </c>
    </row>
    <row r="2230" spans="1:27" x14ac:dyDescent="0.25">
      <c r="A2230">
        <v>3582</v>
      </c>
      <c r="B2230" t="s">
        <v>27</v>
      </c>
      <c r="C2230" t="s">
        <v>40</v>
      </c>
      <c r="D2230" t="s">
        <v>41</v>
      </c>
      <c r="G2230" t="s">
        <v>43</v>
      </c>
      <c r="H2230" t="s">
        <v>7333</v>
      </c>
      <c r="I2230" s="4">
        <v>43616.875</v>
      </c>
      <c r="K2230" t="s">
        <v>1106</v>
      </c>
      <c r="L2230" s="5"/>
      <c r="M2230" s="5"/>
      <c r="N2230" t="s">
        <v>82</v>
      </c>
      <c r="O2230" t="s">
        <v>7334</v>
      </c>
      <c r="R2230">
        <v>1</v>
      </c>
      <c r="T2230" s="5"/>
      <c r="W2230">
        <v>72</v>
      </c>
      <c r="X2230" t="s">
        <v>341</v>
      </c>
      <c r="Y2230" t="str">
        <f>VLOOKUP(C2230,'[1]DBS_KPY Sorumlular'!A:C,2,FALSE)</f>
        <v>Mustafa AYDIN</v>
      </c>
      <c r="Z2230" t="str">
        <f>VLOOKUP(C2230,'[1]DBS_KPY Sorumlular'!A:C,3,FALSE)</f>
        <v>Esra DOLAN</v>
      </c>
      <c r="AA2230" t="str">
        <f>VLOOKUP(K2230,[1]!Tablo3[#Data],2,FALSE)</f>
        <v>Tayfun VİÇE</v>
      </c>
    </row>
    <row r="2231" spans="1:27" x14ac:dyDescent="0.25">
      <c r="A2231">
        <v>3583</v>
      </c>
      <c r="B2231" t="s">
        <v>27</v>
      </c>
      <c r="C2231" t="s">
        <v>40</v>
      </c>
      <c r="D2231" t="s">
        <v>41</v>
      </c>
      <c r="G2231" t="s">
        <v>43</v>
      </c>
      <c r="H2231" t="s">
        <v>7335</v>
      </c>
      <c r="I2231" s="4">
        <v>43982.875</v>
      </c>
      <c r="K2231" t="s">
        <v>1106</v>
      </c>
      <c r="L2231" s="5"/>
      <c r="M2231" s="5"/>
      <c r="N2231" t="s">
        <v>82</v>
      </c>
      <c r="O2231" t="s">
        <v>7336</v>
      </c>
      <c r="R2231">
        <v>1</v>
      </c>
      <c r="T2231" s="5"/>
      <c r="W2231">
        <v>137</v>
      </c>
      <c r="X2231" t="s">
        <v>125</v>
      </c>
      <c r="Y2231" t="str">
        <f>VLOOKUP(C2231,'[1]DBS_KPY Sorumlular'!A:C,2,FALSE)</f>
        <v>Mustafa AYDIN</v>
      </c>
      <c r="Z2231" t="str">
        <f>VLOOKUP(C2231,'[1]DBS_KPY Sorumlular'!A:C,3,FALSE)</f>
        <v>Esra DOLAN</v>
      </c>
      <c r="AA2231" t="str">
        <f>VLOOKUP(K2231,[1]!Tablo3[#Data],2,FALSE)</f>
        <v>Tayfun VİÇE</v>
      </c>
    </row>
    <row r="2232" spans="1:27" x14ac:dyDescent="0.25">
      <c r="A2232">
        <v>3584</v>
      </c>
      <c r="B2232" t="s">
        <v>27</v>
      </c>
      <c r="C2232" t="s">
        <v>40</v>
      </c>
      <c r="D2232" t="s">
        <v>41</v>
      </c>
      <c r="G2232" t="s">
        <v>43</v>
      </c>
      <c r="H2232" t="s">
        <v>7337</v>
      </c>
      <c r="I2232" s="4">
        <v>43982.875</v>
      </c>
      <c r="K2232" t="s">
        <v>1106</v>
      </c>
      <c r="L2232" s="5"/>
      <c r="M2232" s="5"/>
      <c r="N2232" t="s">
        <v>82</v>
      </c>
      <c r="O2232" t="s">
        <v>7338</v>
      </c>
      <c r="R2232">
        <v>1</v>
      </c>
      <c r="T2232" s="5"/>
      <c r="W2232">
        <v>137</v>
      </c>
      <c r="X2232" t="s">
        <v>125</v>
      </c>
      <c r="Y2232" t="str">
        <f>VLOOKUP(C2232,'[1]DBS_KPY Sorumlular'!A:C,2,FALSE)</f>
        <v>Mustafa AYDIN</v>
      </c>
      <c r="Z2232" t="str">
        <f>VLOOKUP(C2232,'[1]DBS_KPY Sorumlular'!A:C,3,FALSE)</f>
        <v>Esra DOLAN</v>
      </c>
      <c r="AA2232" t="str">
        <f>VLOOKUP(K2232,[1]!Tablo3[#Data],2,FALSE)</f>
        <v>Tayfun VİÇE</v>
      </c>
    </row>
    <row r="2233" spans="1:27" x14ac:dyDescent="0.25">
      <c r="A2233">
        <v>3585</v>
      </c>
      <c r="B2233" t="s">
        <v>27</v>
      </c>
      <c r="C2233" t="s">
        <v>40</v>
      </c>
      <c r="D2233" t="s">
        <v>41</v>
      </c>
      <c r="G2233" t="s">
        <v>43</v>
      </c>
      <c r="H2233" t="s">
        <v>7339</v>
      </c>
      <c r="I2233" s="4">
        <v>44347.875</v>
      </c>
      <c r="K2233" t="s">
        <v>1106</v>
      </c>
      <c r="L2233" s="5"/>
      <c r="M2233" s="5"/>
      <c r="N2233" t="s">
        <v>82</v>
      </c>
      <c r="O2233" t="s">
        <v>7340</v>
      </c>
      <c r="R2233">
        <v>1</v>
      </c>
      <c r="T2233" s="5"/>
      <c r="W2233">
        <v>86</v>
      </c>
      <c r="X2233" t="s">
        <v>189</v>
      </c>
      <c r="Y2233" t="str">
        <f>VLOOKUP(C2233,'[1]DBS_KPY Sorumlular'!A:C,2,FALSE)</f>
        <v>Mustafa AYDIN</v>
      </c>
      <c r="Z2233" t="str">
        <f>VLOOKUP(C2233,'[1]DBS_KPY Sorumlular'!A:C,3,FALSE)</f>
        <v>Esra DOLAN</v>
      </c>
      <c r="AA2233" t="str">
        <f>VLOOKUP(K2233,[1]!Tablo3[#Data],2,FALSE)</f>
        <v>Tayfun VİÇE</v>
      </c>
    </row>
    <row r="2234" spans="1:27" x14ac:dyDescent="0.25">
      <c r="A2234">
        <v>3586</v>
      </c>
      <c r="B2234" t="s">
        <v>27</v>
      </c>
      <c r="C2234" t="s">
        <v>40</v>
      </c>
      <c r="D2234" t="s">
        <v>41</v>
      </c>
      <c r="G2234" t="s">
        <v>30</v>
      </c>
      <c r="H2234" t="s">
        <v>7341</v>
      </c>
      <c r="I2234" s="4">
        <v>44712.875</v>
      </c>
      <c r="K2234" t="s">
        <v>1106</v>
      </c>
      <c r="L2234" s="5"/>
      <c r="M2234" s="5"/>
      <c r="N2234" t="s">
        <v>82</v>
      </c>
      <c r="O2234" t="s">
        <v>7342</v>
      </c>
      <c r="R2234">
        <v>1</v>
      </c>
      <c r="T2234" s="5"/>
      <c r="W2234">
        <v>79</v>
      </c>
      <c r="X2234" t="s">
        <v>1619</v>
      </c>
      <c r="Y2234" t="str">
        <f>VLOOKUP(C2234,'[1]DBS_KPY Sorumlular'!A:C,2,FALSE)</f>
        <v>Mustafa AYDIN</v>
      </c>
      <c r="Z2234" t="str">
        <f>VLOOKUP(C2234,'[1]DBS_KPY Sorumlular'!A:C,3,FALSE)</f>
        <v>Esra DOLAN</v>
      </c>
      <c r="AA2234" t="str">
        <f>VLOOKUP(K2234,[1]!Tablo3[#Data],2,FALSE)</f>
        <v>Tayfun VİÇE</v>
      </c>
    </row>
    <row r="2235" spans="1:27" x14ac:dyDescent="0.25">
      <c r="A2235">
        <v>3587</v>
      </c>
      <c r="B2235" t="s">
        <v>27</v>
      </c>
      <c r="C2235" t="s">
        <v>40</v>
      </c>
      <c r="D2235" t="s">
        <v>65</v>
      </c>
      <c r="G2235" t="s">
        <v>67</v>
      </c>
      <c r="H2235" t="s">
        <v>7343</v>
      </c>
      <c r="I2235" s="4">
        <v>44712.875</v>
      </c>
      <c r="K2235" t="s">
        <v>1106</v>
      </c>
      <c r="L2235" s="5"/>
      <c r="M2235" s="5"/>
      <c r="N2235" t="s">
        <v>82</v>
      </c>
      <c r="O2235" t="s">
        <v>7344</v>
      </c>
      <c r="R2235">
        <v>1</v>
      </c>
      <c r="T2235" s="5" t="s">
        <v>48</v>
      </c>
      <c r="U2235" t="s">
        <v>7345</v>
      </c>
      <c r="V2235" t="s">
        <v>7346</v>
      </c>
      <c r="W2235">
        <v>104</v>
      </c>
      <c r="X2235" t="s">
        <v>703</v>
      </c>
      <c r="Y2235" t="str">
        <f>VLOOKUP(C2235,'[1]DBS_KPY Sorumlular'!A:C,2,FALSE)</f>
        <v>Mustafa AYDIN</v>
      </c>
      <c r="Z2235" t="str">
        <f>VLOOKUP(C2235,'[1]DBS_KPY Sorumlular'!A:C,3,FALSE)</f>
        <v>Esra DOLAN</v>
      </c>
      <c r="AA2235" t="str">
        <f>VLOOKUP(K2235,[1]!Tablo3[#Data],2,FALSE)</f>
        <v>Tayfun VİÇE</v>
      </c>
    </row>
    <row r="2236" spans="1:27" x14ac:dyDescent="0.25">
      <c r="A2236">
        <v>3588</v>
      </c>
      <c r="B2236" t="s">
        <v>27</v>
      </c>
      <c r="C2236" t="s">
        <v>40</v>
      </c>
      <c r="D2236" t="s">
        <v>41</v>
      </c>
      <c r="G2236" t="s">
        <v>67</v>
      </c>
      <c r="H2236" t="s">
        <v>7347</v>
      </c>
      <c r="I2236" s="4">
        <v>44712.875</v>
      </c>
      <c r="K2236" t="s">
        <v>1106</v>
      </c>
      <c r="L2236" s="5"/>
      <c r="M2236" s="5"/>
      <c r="N2236" t="s">
        <v>82</v>
      </c>
      <c r="O2236" t="s">
        <v>7348</v>
      </c>
      <c r="R2236">
        <v>1</v>
      </c>
      <c r="T2236" s="5"/>
      <c r="W2236">
        <v>90</v>
      </c>
      <c r="X2236" t="s">
        <v>1851</v>
      </c>
      <c r="Y2236" t="str">
        <f>VLOOKUP(C2236,'[1]DBS_KPY Sorumlular'!A:C,2,FALSE)</f>
        <v>Mustafa AYDIN</v>
      </c>
      <c r="Z2236" t="str">
        <f>VLOOKUP(C2236,'[1]DBS_KPY Sorumlular'!A:C,3,FALSE)</f>
        <v>Esra DOLAN</v>
      </c>
      <c r="AA2236" t="str">
        <f>VLOOKUP(K2236,[1]!Tablo3[#Data],2,FALSE)</f>
        <v>Tayfun VİÇE</v>
      </c>
    </row>
    <row r="2237" spans="1:27" x14ac:dyDescent="0.25">
      <c r="A2237">
        <v>3589</v>
      </c>
      <c r="B2237" t="s">
        <v>27</v>
      </c>
      <c r="C2237" t="s">
        <v>40</v>
      </c>
      <c r="D2237" t="s">
        <v>41</v>
      </c>
      <c r="G2237" t="s">
        <v>43</v>
      </c>
      <c r="H2237" t="s">
        <v>7349</v>
      </c>
      <c r="I2237" s="4">
        <v>45077.875</v>
      </c>
      <c r="K2237" t="s">
        <v>1106</v>
      </c>
      <c r="L2237" s="5"/>
      <c r="M2237" s="5"/>
      <c r="N2237" t="s">
        <v>82</v>
      </c>
      <c r="O2237" t="s">
        <v>7350</v>
      </c>
      <c r="R2237">
        <v>1</v>
      </c>
      <c r="T2237" s="5"/>
      <c r="W2237">
        <v>108</v>
      </c>
      <c r="X2237" t="s">
        <v>107</v>
      </c>
      <c r="Y2237" t="str">
        <f>VLOOKUP(C2237,'[1]DBS_KPY Sorumlular'!A:C,2,FALSE)</f>
        <v>Mustafa AYDIN</v>
      </c>
      <c r="Z2237" t="str">
        <f>VLOOKUP(C2237,'[1]DBS_KPY Sorumlular'!A:C,3,FALSE)</f>
        <v>Esra DOLAN</v>
      </c>
      <c r="AA2237" t="str">
        <f>VLOOKUP(K2237,[1]!Tablo3[#Data],2,FALSE)</f>
        <v>Tayfun VİÇE</v>
      </c>
    </row>
    <row r="2238" spans="1:27" x14ac:dyDescent="0.25">
      <c r="A2238">
        <v>3590</v>
      </c>
      <c r="B2238" t="s">
        <v>27</v>
      </c>
      <c r="C2238" t="s">
        <v>40</v>
      </c>
      <c r="D2238" t="s">
        <v>41</v>
      </c>
      <c r="G2238" t="s">
        <v>43</v>
      </c>
      <c r="H2238" t="s">
        <v>7351</v>
      </c>
      <c r="I2238" s="4">
        <v>45077.875</v>
      </c>
      <c r="K2238" t="s">
        <v>1106</v>
      </c>
      <c r="L2238" s="5"/>
      <c r="M2238" s="5"/>
      <c r="N2238" t="s">
        <v>82</v>
      </c>
      <c r="O2238" t="s">
        <v>7352</v>
      </c>
      <c r="R2238">
        <v>1</v>
      </c>
      <c r="T2238" s="5"/>
      <c r="W2238">
        <v>108</v>
      </c>
      <c r="X2238" t="s">
        <v>107</v>
      </c>
      <c r="Y2238" t="str">
        <f>VLOOKUP(C2238,'[1]DBS_KPY Sorumlular'!A:C,2,FALSE)</f>
        <v>Mustafa AYDIN</v>
      </c>
      <c r="Z2238" t="str">
        <f>VLOOKUP(C2238,'[1]DBS_KPY Sorumlular'!A:C,3,FALSE)</f>
        <v>Esra DOLAN</v>
      </c>
      <c r="AA2238" t="str">
        <f>VLOOKUP(K2238,[1]!Tablo3[#Data],2,FALSE)</f>
        <v>Tayfun VİÇE</v>
      </c>
    </row>
    <row r="2239" spans="1:27" x14ac:dyDescent="0.25">
      <c r="A2239">
        <v>3591</v>
      </c>
      <c r="B2239" t="s">
        <v>27</v>
      </c>
      <c r="C2239" t="s">
        <v>40</v>
      </c>
      <c r="D2239" t="s">
        <v>41</v>
      </c>
      <c r="G2239" t="s">
        <v>43</v>
      </c>
      <c r="H2239" t="s">
        <v>7353</v>
      </c>
      <c r="I2239" s="4">
        <v>45077.875</v>
      </c>
      <c r="K2239" t="s">
        <v>1106</v>
      </c>
      <c r="L2239" s="5"/>
      <c r="M2239" s="5"/>
      <c r="N2239" t="s">
        <v>82</v>
      </c>
      <c r="O2239" t="s">
        <v>7354</v>
      </c>
      <c r="R2239">
        <v>1</v>
      </c>
      <c r="T2239" s="5"/>
      <c r="W2239">
        <v>73</v>
      </c>
      <c r="X2239" t="s">
        <v>1198</v>
      </c>
      <c r="Y2239" t="str">
        <f>VLOOKUP(C2239,'[1]DBS_KPY Sorumlular'!A:C,2,FALSE)</f>
        <v>Mustafa AYDIN</v>
      </c>
      <c r="Z2239" t="str">
        <f>VLOOKUP(C2239,'[1]DBS_KPY Sorumlular'!A:C,3,FALSE)</f>
        <v>Esra DOLAN</v>
      </c>
      <c r="AA2239" t="str">
        <f>VLOOKUP(K2239,[1]!Tablo3[#Data],2,FALSE)</f>
        <v>Tayfun VİÇE</v>
      </c>
    </row>
    <row r="2240" spans="1:27" x14ac:dyDescent="0.25">
      <c r="A2240">
        <v>3592</v>
      </c>
      <c r="B2240" t="s">
        <v>27</v>
      </c>
      <c r="C2240" t="s">
        <v>40</v>
      </c>
      <c r="D2240" t="s">
        <v>41</v>
      </c>
      <c r="G2240" t="s">
        <v>43</v>
      </c>
      <c r="H2240" t="s">
        <v>7355</v>
      </c>
      <c r="I2240" s="4">
        <v>45443.875</v>
      </c>
      <c r="K2240" t="s">
        <v>1106</v>
      </c>
      <c r="L2240" s="5"/>
      <c r="M2240" s="5"/>
      <c r="N2240" t="s">
        <v>82</v>
      </c>
      <c r="O2240" t="s">
        <v>7356</v>
      </c>
      <c r="R2240">
        <v>1</v>
      </c>
      <c r="T2240" s="5"/>
      <c r="W2240">
        <v>108</v>
      </c>
      <c r="X2240" t="s">
        <v>107</v>
      </c>
      <c r="Y2240" t="str">
        <f>VLOOKUP(C2240,'[1]DBS_KPY Sorumlular'!A:C,2,FALSE)</f>
        <v>Mustafa AYDIN</v>
      </c>
      <c r="Z2240" t="str">
        <f>VLOOKUP(C2240,'[1]DBS_KPY Sorumlular'!A:C,3,FALSE)</f>
        <v>Esra DOLAN</v>
      </c>
      <c r="AA2240" t="str">
        <f>VLOOKUP(K2240,[1]!Tablo3[#Data],2,FALSE)</f>
        <v>Tayfun VİÇE</v>
      </c>
    </row>
    <row r="2241" spans="1:27" x14ac:dyDescent="0.25">
      <c r="A2241">
        <v>3593</v>
      </c>
      <c r="B2241" t="s">
        <v>27</v>
      </c>
      <c r="C2241" t="s">
        <v>40</v>
      </c>
      <c r="D2241" t="s">
        <v>41</v>
      </c>
      <c r="G2241" t="s">
        <v>43</v>
      </c>
      <c r="H2241" t="s">
        <v>7357</v>
      </c>
      <c r="I2241" s="4">
        <v>45443.875</v>
      </c>
      <c r="K2241" t="s">
        <v>1106</v>
      </c>
      <c r="L2241" s="5"/>
      <c r="M2241" s="5"/>
      <c r="N2241" t="s">
        <v>82</v>
      </c>
      <c r="O2241" t="s">
        <v>7358</v>
      </c>
      <c r="R2241">
        <v>1</v>
      </c>
      <c r="T2241" s="5"/>
      <c r="W2241">
        <v>108</v>
      </c>
      <c r="X2241" t="s">
        <v>107</v>
      </c>
      <c r="Y2241" t="str">
        <f>VLOOKUP(C2241,'[1]DBS_KPY Sorumlular'!A:C,2,FALSE)</f>
        <v>Mustafa AYDIN</v>
      </c>
      <c r="Z2241" t="str">
        <f>VLOOKUP(C2241,'[1]DBS_KPY Sorumlular'!A:C,3,FALSE)</f>
        <v>Esra DOLAN</v>
      </c>
      <c r="AA2241" t="str">
        <f>VLOOKUP(K2241,[1]!Tablo3[#Data],2,FALSE)</f>
        <v>Tayfun VİÇE</v>
      </c>
    </row>
    <row r="2242" spans="1:27" x14ac:dyDescent="0.25">
      <c r="A2242">
        <v>3594</v>
      </c>
      <c r="B2242" t="s">
        <v>27</v>
      </c>
      <c r="C2242" t="s">
        <v>40</v>
      </c>
      <c r="D2242" t="s">
        <v>41</v>
      </c>
      <c r="G2242" t="s">
        <v>67</v>
      </c>
      <c r="H2242" t="s">
        <v>7359</v>
      </c>
      <c r="I2242" s="4">
        <v>43616.875</v>
      </c>
      <c r="K2242" t="s">
        <v>1221</v>
      </c>
      <c r="L2242" s="5"/>
      <c r="M2242" s="5"/>
      <c r="N2242" t="s">
        <v>82</v>
      </c>
      <c r="O2242" t="s">
        <v>7360</v>
      </c>
      <c r="R2242">
        <v>1</v>
      </c>
      <c r="T2242" s="5"/>
      <c r="W2242">
        <v>90</v>
      </c>
      <c r="X2242" t="s">
        <v>1851</v>
      </c>
      <c r="Y2242" t="str">
        <f>VLOOKUP(C2242,'[1]DBS_KPY Sorumlular'!A:C,2,FALSE)</f>
        <v>Mustafa AYDIN</v>
      </c>
      <c r="Z2242" t="str">
        <f>VLOOKUP(C2242,'[1]DBS_KPY Sorumlular'!A:C,3,FALSE)</f>
        <v>Esra DOLAN</v>
      </c>
      <c r="AA2242" t="str">
        <f>VLOOKUP(K2242,[1]!Tablo3[#Data],2,FALSE)</f>
        <v>Tayfun VİÇE</v>
      </c>
    </row>
    <row r="2243" spans="1:27" x14ac:dyDescent="0.25">
      <c r="A2243">
        <v>3595</v>
      </c>
      <c r="B2243" t="s">
        <v>27</v>
      </c>
      <c r="C2243" t="s">
        <v>40</v>
      </c>
      <c r="D2243" t="s">
        <v>41</v>
      </c>
      <c r="G2243" t="s">
        <v>43</v>
      </c>
      <c r="H2243" t="s">
        <v>7361</v>
      </c>
      <c r="I2243" s="4">
        <v>44347.875</v>
      </c>
      <c r="K2243" t="s">
        <v>1221</v>
      </c>
      <c r="L2243" s="5"/>
      <c r="M2243" s="5"/>
      <c r="N2243" t="s">
        <v>82</v>
      </c>
      <c r="O2243" t="s">
        <v>7362</v>
      </c>
      <c r="R2243">
        <v>1</v>
      </c>
      <c r="T2243" s="5"/>
      <c r="W2243">
        <v>73</v>
      </c>
      <c r="X2243" t="s">
        <v>1198</v>
      </c>
      <c r="Y2243" t="str">
        <f>VLOOKUP(C2243,'[1]DBS_KPY Sorumlular'!A:C,2,FALSE)</f>
        <v>Mustafa AYDIN</v>
      </c>
      <c r="Z2243" t="str">
        <f>VLOOKUP(C2243,'[1]DBS_KPY Sorumlular'!A:C,3,FALSE)</f>
        <v>Esra DOLAN</v>
      </c>
      <c r="AA2243" t="str">
        <f>VLOOKUP(K2243,[1]!Tablo3[#Data],2,FALSE)</f>
        <v>Tayfun VİÇE</v>
      </c>
    </row>
    <row r="2244" spans="1:27" x14ac:dyDescent="0.25">
      <c r="A2244">
        <v>3596</v>
      </c>
      <c r="B2244" t="s">
        <v>27</v>
      </c>
      <c r="C2244" t="s">
        <v>40</v>
      </c>
      <c r="D2244" t="s">
        <v>41</v>
      </c>
      <c r="G2244" t="s">
        <v>43</v>
      </c>
      <c r="H2244" t="s">
        <v>7363</v>
      </c>
      <c r="I2244" s="4">
        <v>44347.875</v>
      </c>
      <c r="K2244" t="s">
        <v>1221</v>
      </c>
      <c r="L2244" s="5"/>
      <c r="M2244" s="5"/>
      <c r="N2244" t="s">
        <v>82</v>
      </c>
      <c r="O2244" t="s">
        <v>7364</v>
      </c>
      <c r="R2244">
        <v>1</v>
      </c>
      <c r="T2244" s="5"/>
      <c r="W2244">
        <v>73</v>
      </c>
      <c r="X2244" t="s">
        <v>1198</v>
      </c>
      <c r="Y2244" t="str">
        <f>VLOOKUP(C2244,'[1]DBS_KPY Sorumlular'!A:C,2,FALSE)</f>
        <v>Mustafa AYDIN</v>
      </c>
      <c r="Z2244" t="str">
        <f>VLOOKUP(C2244,'[1]DBS_KPY Sorumlular'!A:C,3,FALSE)</f>
        <v>Esra DOLAN</v>
      </c>
      <c r="AA2244" t="str">
        <f>VLOOKUP(K2244,[1]!Tablo3[#Data],2,FALSE)</f>
        <v>Tayfun VİÇE</v>
      </c>
    </row>
    <row r="2245" spans="1:27" x14ac:dyDescent="0.25">
      <c r="A2245">
        <v>3597</v>
      </c>
      <c r="B2245" t="s">
        <v>27</v>
      </c>
      <c r="C2245" t="s">
        <v>40</v>
      </c>
      <c r="D2245" t="s">
        <v>41</v>
      </c>
      <c r="G2245" t="s">
        <v>43</v>
      </c>
      <c r="H2245" t="s">
        <v>7365</v>
      </c>
      <c r="I2245" s="4">
        <v>44347.875</v>
      </c>
      <c r="K2245" t="s">
        <v>1221</v>
      </c>
      <c r="L2245" s="5"/>
      <c r="M2245" s="5"/>
      <c r="N2245" t="s">
        <v>82</v>
      </c>
      <c r="O2245" t="s">
        <v>7366</v>
      </c>
      <c r="R2245">
        <v>1</v>
      </c>
      <c r="T2245" s="5"/>
      <c r="W2245">
        <v>108</v>
      </c>
      <c r="X2245" t="s">
        <v>107</v>
      </c>
      <c r="Y2245" t="str">
        <f>VLOOKUP(C2245,'[1]DBS_KPY Sorumlular'!A:C,2,FALSE)</f>
        <v>Mustafa AYDIN</v>
      </c>
      <c r="Z2245" t="str">
        <f>VLOOKUP(C2245,'[1]DBS_KPY Sorumlular'!A:C,3,FALSE)</f>
        <v>Esra DOLAN</v>
      </c>
      <c r="AA2245" t="str">
        <f>VLOOKUP(K2245,[1]!Tablo3[#Data],2,FALSE)</f>
        <v>Tayfun VİÇE</v>
      </c>
    </row>
    <row r="2246" spans="1:27" x14ac:dyDescent="0.25">
      <c r="A2246">
        <v>3598</v>
      </c>
      <c r="B2246" t="s">
        <v>27</v>
      </c>
      <c r="C2246" t="s">
        <v>40</v>
      </c>
      <c r="D2246" t="s">
        <v>41</v>
      </c>
      <c r="G2246" t="s">
        <v>43</v>
      </c>
      <c r="H2246" t="s">
        <v>7367</v>
      </c>
      <c r="I2246" s="4">
        <v>44712.875</v>
      </c>
      <c r="K2246" t="s">
        <v>1221</v>
      </c>
      <c r="L2246" s="5"/>
      <c r="M2246" s="5"/>
      <c r="N2246" t="s">
        <v>82</v>
      </c>
      <c r="O2246" t="s">
        <v>7368</v>
      </c>
      <c r="R2246">
        <v>1</v>
      </c>
      <c r="T2246" s="5"/>
      <c r="W2246">
        <v>30</v>
      </c>
      <c r="X2246" t="s">
        <v>327</v>
      </c>
      <c r="Y2246" t="str">
        <f>VLOOKUP(C2246,'[1]DBS_KPY Sorumlular'!A:C,2,FALSE)</f>
        <v>Mustafa AYDIN</v>
      </c>
      <c r="Z2246" t="str">
        <f>VLOOKUP(C2246,'[1]DBS_KPY Sorumlular'!A:C,3,FALSE)</f>
        <v>Esra DOLAN</v>
      </c>
      <c r="AA2246" t="str">
        <f>VLOOKUP(K2246,[1]!Tablo3[#Data],2,FALSE)</f>
        <v>Tayfun VİÇE</v>
      </c>
    </row>
    <row r="2247" spans="1:27" x14ac:dyDescent="0.25">
      <c r="A2247">
        <v>3599</v>
      </c>
      <c r="B2247" t="s">
        <v>27</v>
      </c>
      <c r="C2247" t="s">
        <v>40</v>
      </c>
      <c r="D2247" t="s">
        <v>41</v>
      </c>
      <c r="G2247" t="s">
        <v>43</v>
      </c>
      <c r="H2247" t="s">
        <v>7369</v>
      </c>
      <c r="I2247" s="4">
        <v>44712.875</v>
      </c>
      <c r="K2247" t="s">
        <v>1221</v>
      </c>
      <c r="L2247" s="5"/>
      <c r="M2247" s="5"/>
      <c r="N2247" t="s">
        <v>82</v>
      </c>
      <c r="O2247" t="s">
        <v>7370</v>
      </c>
      <c r="R2247">
        <v>1</v>
      </c>
      <c r="T2247" s="5"/>
      <c r="W2247">
        <v>73</v>
      </c>
      <c r="X2247" t="s">
        <v>1198</v>
      </c>
      <c r="Y2247" t="str">
        <f>VLOOKUP(C2247,'[1]DBS_KPY Sorumlular'!A:C,2,FALSE)</f>
        <v>Mustafa AYDIN</v>
      </c>
      <c r="Z2247" t="str">
        <f>VLOOKUP(C2247,'[1]DBS_KPY Sorumlular'!A:C,3,FALSE)</f>
        <v>Esra DOLAN</v>
      </c>
      <c r="AA2247" t="str">
        <f>VLOOKUP(K2247,[1]!Tablo3[#Data],2,FALSE)</f>
        <v>Tayfun VİÇE</v>
      </c>
    </row>
    <row r="2248" spans="1:27" x14ac:dyDescent="0.25">
      <c r="A2248">
        <v>3600</v>
      </c>
      <c r="B2248" t="s">
        <v>27</v>
      </c>
      <c r="C2248" t="s">
        <v>40</v>
      </c>
      <c r="D2248" t="s">
        <v>41</v>
      </c>
      <c r="G2248" t="s">
        <v>43</v>
      </c>
      <c r="H2248" t="s">
        <v>7371</v>
      </c>
      <c r="I2248" s="4">
        <v>45077.875</v>
      </c>
      <c r="K2248" t="s">
        <v>1221</v>
      </c>
      <c r="L2248" s="5"/>
      <c r="M2248" s="5"/>
      <c r="N2248" t="s">
        <v>82</v>
      </c>
      <c r="O2248" t="s">
        <v>7372</v>
      </c>
      <c r="R2248">
        <v>1</v>
      </c>
      <c r="T2248" s="5"/>
      <c r="W2248">
        <v>168</v>
      </c>
      <c r="X2248" t="s">
        <v>394</v>
      </c>
      <c r="Y2248" t="str">
        <f>VLOOKUP(C2248,'[1]DBS_KPY Sorumlular'!A:C,2,FALSE)</f>
        <v>Mustafa AYDIN</v>
      </c>
      <c r="Z2248" t="str">
        <f>VLOOKUP(C2248,'[1]DBS_KPY Sorumlular'!A:C,3,FALSE)</f>
        <v>Esra DOLAN</v>
      </c>
      <c r="AA2248" t="str">
        <f>VLOOKUP(K2248,[1]!Tablo3[#Data],2,FALSE)</f>
        <v>Tayfun VİÇE</v>
      </c>
    </row>
    <row r="2249" spans="1:27" x14ac:dyDescent="0.25">
      <c r="A2249">
        <v>3601</v>
      </c>
      <c r="B2249" t="s">
        <v>27</v>
      </c>
      <c r="C2249" t="s">
        <v>40</v>
      </c>
      <c r="D2249" t="s">
        <v>41</v>
      </c>
      <c r="G2249" t="s">
        <v>43</v>
      </c>
      <c r="H2249" t="s">
        <v>7373</v>
      </c>
      <c r="I2249" s="4">
        <v>45077.875</v>
      </c>
      <c r="K2249" t="s">
        <v>1221</v>
      </c>
      <c r="L2249" s="5"/>
      <c r="M2249" s="5"/>
      <c r="N2249" t="s">
        <v>82</v>
      </c>
      <c r="O2249" t="s">
        <v>7374</v>
      </c>
      <c r="R2249">
        <v>1</v>
      </c>
      <c r="T2249" s="5"/>
      <c r="W2249">
        <v>73</v>
      </c>
      <c r="X2249" t="s">
        <v>1198</v>
      </c>
      <c r="Y2249" t="str">
        <f>VLOOKUP(C2249,'[1]DBS_KPY Sorumlular'!A:C,2,FALSE)</f>
        <v>Mustafa AYDIN</v>
      </c>
      <c r="Z2249" t="str">
        <f>VLOOKUP(C2249,'[1]DBS_KPY Sorumlular'!A:C,3,FALSE)</f>
        <v>Esra DOLAN</v>
      </c>
      <c r="AA2249" t="str">
        <f>VLOOKUP(K2249,[1]!Tablo3[#Data],2,FALSE)</f>
        <v>Tayfun VİÇE</v>
      </c>
    </row>
    <row r="2250" spans="1:27" x14ac:dyDescent="0.25">
      <c r="A2250">
        <v>3602</v>
      </c>
      <c r="B2250" t="s">
        <v>27</v>
      </c>
      <c r="C2250" t="s">
        <v>40</v>
      </c>
      <c r="D2250" t="s">
        <v>41</v>
      </c>
      <c r="G2250" t="s">
        <v>43</v>
      </c>
      <c r="H2250" t="s">
        <v>7375</v>
      </c>
      <c r="I2250" s="4">
        <v>45443.875</v>
      </c>
      <c r="K2250" t="s">
        <v>1221</v>
      </c>
      <c r="L2250" s="5"/>
      <c r="M2250" s="5"/>
      <c r="N2250" t="s">
        <v>82</v>
      </c>
      <c r="O2250" t="s">
        <v>7376</v>
      </c>
      <c r="R2250">
        <v>1</v>
      </c>
      <c r="T2250" s="5"/>
      <c r="W2250">
        <v>108</v>
      </c>
      <c r="X2250" t="s">
        <v>107</v>
      </c>
      <c r="Y2250" t="str">
        <f>VLOOKUP(C2250,'[1]DBS_KPY Sorumlular'!A:C,2,FALSE)</f>
        <v>Mustafa AYDIN</v>
      </c>
      <c r="Z2250" t="str">
        <f>VLOOKUP(C2250,'[1]DBS_KPY Sorumlular'!A:C,3,FALSE)</f>
        <v>Esra DOLAN</v>
      </c>
      <c r="AA2250" t="str">
        <f>VLOOKUP(K2250,[1]!Tablo3[#Data],2,FALSE)</f>
        <v>Tayfun VİÇE</v>
      </c>
    </row>
    <row r="2251" spans="1:27" x14ac:dyDescent="0.25">
      <c r="A2251">
        <v>3603</v>
      </c>
      <c r="B2251" t="s">
        <v>27</v>
      </c>
      <c r="C2251" t="s">
        <v>40</v>
      </c>
      <c r="D2251" t="s">
        <v>41</v>
      </c>
      <c r="G2251" t="s">
        <v>30</v>
      </c>
      <c r="H2251" t="s">
        <v>7377</v>
      </c>
      <c r="I2251" s="4">
        <v>45443.875</v>
      </c>
      <c r="K2251" t="s">
        <v>1221</v>
      </c>
      <c r="L2251" s="5"/>
      <c r="M2251" s="5"/>
      <c r="N2251" t="s">
        <v>82</v>
      </c>
      <c r="O2251" t="s">
        <v>7378</v>
      </c>
      <c r="R2251">
        <v>1</v>
      </c>
      <c r="T2251" s="5"/>
      <c r="W2251">
        <v>65</v>
      </c>
      <c r="X2251" t="s">
        <v>374</v>
      </c>
      <c r="Y2251" t="str">
        <f>VLOOKUP(C2251,'[1]DBS_KPY Sorumlular'!A:C,2,FALSE)</f>
        <v>Mustafa AYDIN</v>
      </c>
      <c r="Z2251" t="str">
        <f>VLOOKUP(C2251,'[1]DBS_KPY Sorumlular'!A:C,3,FALSE)</f>
        <v>Esra DOLAN</v>
      </c>
      <c r="AA2251" t="str">
        <f>VLOOKUP(K2251,[1]!Tablo3[#Data],2,FALSE)</f>
        <v>Tayfun VİÇE</v>
      </c>
    </row>
    <row r="2252" spans="1:27" x14ac:dyDescent="0.25">
      <c r="A2252">
        <v>3604</v>
      </c>
      <c r="B2252" t="s">
        <v>27</v>
      </c>
      <c r="C2252" t="s">
        <v>40</v>
      </c>
      <c r="D2252" t="s">
        <v>41</v>
      </c>
      <c r="G2252" t="s">
        <v>67</v>
      </c>
      <c r="H2252" t="s">
        <v>7379</v>
      </c>
      <c r="I2252" s="4">
        <v>45443.875</v>
      </c>
      <c r="K2252" t="s">
        <v>1221</v>
      </c>
      <c r="L2252" s="5"/>
      <c r="M2252" s="5"/>
      <c r="N2252" t="s">
        <v>82</v>
      </c>
      <c r="O2252" t="s">
        <v>7380</v>
      </c>
      <c r="R2252">
        <v>1</v>
      </c>
      <c r="T2252" s="5"/>
      <c r="W2252">
        <v>208</v>
      </c>
      <c r="X2252" t="s">
        <v>594</v>
      </c>
      <c r="Y2252" t="str">
        <f>VLOOKUP(C2252,'[1]DBS_KPY Sorumlular'!A:C,2,FALSE)</f>
        <v>Mustafa AYDIN</v>
      </c>
      <c r="Z2252" t="str">
        <f>VLOOKUP(C2252,'[1]DBS_KPY Sorumlular'!A:C,3,FALSE)</f>
        <v>Esra DOLAN</v>
      </c>
      <c r="AA2252" t="str">
        <f>VLOOKUP(K2252,[1]!Tablo3[#Data],2,FALSE)</f>
        <v>Tayfun VİÇE</v>
      </c>
    </row>
    <row r="2253" spans="1:27" x14ac:dyDescent="0.25">
      <c r="A2253">
        <v>3605</v>
      </c>
      <c r="B2253" t="s">
        <v>27</v>
      </c>
      <c r="C2253" t="s">
        <v>40</v>
      </c>
      <c r="D2253" t="s">
        <v>41</v>
      </c>
      <c r="G2253" t="s">
        <v>384</v>
      </c>
      <c r="H2253" t="s">
        <v>7381</v>
      </c>
      <c r="I2253" s="4">
        <v>43982.875</v>
      </c>
      <c r="K2253" t="s">
        <v>926</v>
      </c>
      <c r="L2253" s="5"/>
      <c r="M2253" s="5"/>
      <c r="N2253" t="s">
        <v>82</v>
      </c>
      <c r="O2253" t="s">
        <v>7382</v>
      </c>
      <c r="R2253">
        <v>1</v>
      </c>
      <c r="T2253" s="5"/>
      <c r="W2253">
        <v>96</v>
      </c>
      <c r="X2253" t="s">
        <v>1379</v>
      </c>
      <c r="Y2253" t="str">
        <f>VLOOKUP(C2253,'[1]DBS_KPY Sorumlular'!A:C,2,FALSE)</f>
        <v>Mustafa AYDIN</v>
      </c>
      <c r="Z2253" t="str">
        <f>VLOOKUP(C2253,'[1]DBS_KPY Sorumlular'!A:C,3,FALSE)</f>
        <v>Esra DOLAN</v>
      </c>
      <c r="AA2253" t="str">
        <f>VLOOKUP(K2253,[1]!Tablo3[#Data],2,FALSE)</f>
        <v>Kadir TOPÇU</v>
      </c>
    </row>
    <row r="2254" spans="1:27" x14ac:dyDescent="0.25">
      <c r="A2254">
        <v>3606</v>
      </c>
      <c r="B2254" t="s">
        <v>27</v>
      </c>
      <c r="C2254" t="s">
        <v>40</v>
      </c>
      <c r="D2254" t="s">
        <v>41</v>
      </c>
      <c r="G2254" t="s">
        <v>456</v>
      </c>
      <c r="H2254" t="s">
        <v>7383</v>
      </c>
      <c r="I2254" s="4">
        <v>43982.875</v>
      </c>
      <c r="K2254" t="s">
        <v>926</v>
      </c>
      <c r="L2254" s="5"/>
      <c r="M2254" s="5"/>
      <c r="N2254" t="s">
        <v>82</v>
      </c>
      <c r="O2254" t="s">
        <v>7384</v>
      </c>
      <c r="R2254">
        <v>1</v>
      </c>
      <c r="T2254" s="5"/>
      <c r="W2254">
        <v>144</v>
      </c>
      <c r="X2254" t="s">
        <v>463</v>
      </c>
      <c r="Y2254" t="str">
        <f>VLOOKUP(C2254,'[1]DBS_KPY Sorumlular'!A:C,2,FALSE)</f>
        <v>Mustafa AYDIN</v>
      </c>
      <c r="Z2254" t="str">
        <f>VLOOKUP(C2254,'[1]DBS_KPY Sorumlular'!A:C,3,FALSE)</f>
        <v>Esra DOLAN</v>
      </c>
      <c r="AA2254" t="str">
        <f>VLOOKUP(K2254,[1]!Tablo3[#Data],2,FALSE)</f>
        <v>Kadir TOPÇU</v>
      </c>
    </row>
    <row r="2255" spans="1:27" x14ac:dyDescent="0.25">
      <c r="A2255">
        <v>3607</v>
      </c>
      <c r="B2255" t="s">
        <v>27</v>
      </c>
      <c r="C2255" t="s">
        <v>40</v>
      </c>
      <c r="D2255" t="s">
        <v>41</v>
      </c>
      <c r="G2255" t="s">
        <v>67</v>
      </c>
      <c r="H2255" t="s">
        <v>7385</v>
      </c>
      <c r="I2255" s="4">
        <v>44347.875</v>
      </c>
      <c r="K2255" t="s">
        <v>926</v>
      </c>
      <c r="L2255" s="5"/>
      <c r="M2255" s="5"/>
      <c r="N2255" t="s">
        <v>82</v>
      </c>
      <c r="O2255" t="s">
        <v>7386</v>
      </c>
      <c r="R2255">
        <v>1</v>
      </c>
      <c r="T2255" s="5"/>
      <c r="W2255">
        <v>202</v>
      </c>
      <c r="X2255" t="s">
        <v>1045</v>
      </c>
      <c r="Y2255" t="str">
        <f>VLOOKUP(C2255,'[1]DBS_KPY Sorumlular'!A:C,2,FALSE)</f>
        <v>Mustafa AYDIN</v>
      </c>
      <c r="Z2255" t="str">
        <f>VLOOKUP(C2255,'[1]DBS_KPY Sorumlular'!A:C,3,FALSE)</f>
        <v>Esra DOLAN</v>
      </c>
      <c r="AA2255" t="str">
        <f>VLOOKUP(K2255,[1]!Tablo3[#Data],2,FALSE)</f>
        <v>Kadir TOPÇU</v>
      </c>
    </row>
    <row r="2256" spans="1:27" x14ac:dyDescent="0.25">
      <c r="A2256">
        <v>3608</v>
      </c>
      <c r="B2256" t="s">
        <v>27</v>
      </c>
      <c r="C2256" t="s">
        <v>40</v>
      </c>
      <c r="D2256" t="s">
        <v>41</v>
      </c>
      <c r="G2256" t="s">
        <v>43</v>
      </c>
      <c r="H2256" t="s">
        <v>7387</v>
      </c>
      <c r="I2256" s="4">
        <v>44347.875</v>
      </c>
      <c r="K2256" t="s">
        <v>926</v>
      </c>
      <c r="L2256" s="5"/>
      <c r="M2256" s="5"/>
      <c r="N2256" t="s">
        <v>82</v>
      </c>
      <c r="O2256" t="s">
        <v>7388</v>
      </c>
      <c r="R2256">
        <v>1</v>
      </c>
      <c r="T2256" s="5"/>
      <c r="W2256">
        <v>73</v>
      </c>
      <c r="X2256" t="s">
        <v>1198</v>
      </c>
      <c r="Y2256" t="str">
        <f>VLOOKUP(C2256,'[1]DBS_KPY Sorumlular'!A:C,2,FALSE)</f>
        <v>Mustafa AYDIN</v>
      </c>
      <c r="Z2256" t="str">
        <f>VLOOKUP(C2256,'[1]DBS_KPY Sorumlular'!A:C,3,FALSE)</f>
        <v>Esra DOLAN</v>
      </c>
      <c r="AA2256" t="str">
        <f>VLOOKUP(K2256,[1]!Tablo3[#Data],2,FALSE)</f>
        <v>Kadir TOPÇU</v>
      </c>
    </row>
    <row r="2257" spans="1:27" x14ac:dyDescent="0.25">
      <c r="A2257">
        <v>3609</v>
      </c>
      <c r="B2257" t="s">
        <v>27</v>
      </c>
      <c r="C2257" t="s">
        <v>40</v>
      </c>
      <c r="D2257" t="s">
        <v>41</v>
      </c>
      <c r="G2257" t="s">
        <v>43</v>
      </c>
      <c r="H2257" t="s">
        <v>7389</v>
      </c>
      <c r="I2257" s="4">
        <v>44347.875</v>
      </c>
      <c r="K2257" t="s">
        <v>926</v>
      </c>
      <c r="L2257" s="5"/>
      <c r="M2257" s="5"/>
      <c r="N2257" t="s">
        <v>82</v>
      </c>
      <c r="O2257" t="s">
        <v>7390</v>
      </c>
      <c r="R2257">
        <v>1</v>
      </c>
      <c r="T2257" s="5"/>
      <c r="W2257">
        <v>137</v>
      </c>
      <c r="X2257" t="s">
        <v>125</v>
      </c>
      <c r="Y2257" t="str">
        <f>VLOOKUP(C2257,'[1]DBS_KPY Sorumlular'!A:C,2,FALSE)</f>
        <v>Mustafa AYDIN</v>
      </c>
      <c r="Z2257" t="str">
        <f>VLOOKUP(C2257,'[1]DBS_KPY Sorumlular'!A:C,3,FALSE)</f>
        <v>Esra DOLAN</v>
      </c>
      <c r="AA2257" t="str">
        <f>VLOOKUP(K2257,[1]!Tablo3[#Data],2,FALSE)</f>
        <v>Kadir TOPÇU</v>
      </c>
    </row>
    <row r="2258" spans="1:27" x14ac:dyDescent="0.25">
      <c r="A2258">
        <v>3610</v>
      </c>
      <c r="B2258" t="s">
        <v>27</v>
      </c>
      <c r="C2258" t="s">
        <v>40</v>
      </c>
      <c r="D2258" t="s">
        <v>41</v>
      </c>
      <c r="G2258" t="s">
        <v>96</v>
      </c>
      <c r="H2258" t="s">
        <v>7391</v>
      </c>
      <c r="I2258" s="4">
        <v>44712.875</v>
      </c>
      <c r="K2258" t="s">
        <v>926</v>
      </c>
      <c r="L2258" s="5"/>
      <c r="M2258" s="5"/>
      <c r="N2258" t="s">
        <v>82</v>
      </c>
      <c r="O2258" t="s">
        <v>7392</v>
      </c>
      <c r="R2258">
        <v>1</v>
      </c>
      <c r="T2258" s="5"/>
      <c r="W2258">
        <v>91</v>
      </c>
      <c r="X2258" t="s">
        <v>101</v>
      </c>
      <c r="Y2258" t="str">
        <f>VLOOKUP(C2258,'[1]DBS_KPY Sorumlular'!A:C,2,FALSE)</f>
        <v>Mustafa AYDIN</v>
      </c>
      <c r="Z2258" t="str">
        <f>VLOOKUP(C2258,'[1]DBS_KPY Sorumlular'!A:C,3,FALSE)</f>
        <v>Esra DOLAN</v>
      </c>
      <c r="AA2258" t="str">
        <f>VLOOKUP(K2258,[1]!Tablo3[#Data],2,FALSE)</f>
        <v>Kadir TOPÇU</v>
      </c>
    </row>
    <row r="2259" spans="1:27" x14ac:dyDescent="0.25">
      <c r="A2259">
        <v>3611</v>
      </c>
      <c r="B2259" t="s">
        <v>27</v>
      </c>
      <c r="C2259" t="s">
        <v>40</v>
      </c>
      <c r="D2259" t="s">
        <v>41</v>
      </c>
      <c r="G2259" t="s">
        <v>30</v>
      </c>
      <c r="H2259" t="s">
        <v>7393</v>
      </c>
      <c r="I2259" s="4">
        <v>45077.875</v>
      </c>
      <c r="K2259" t="s">
        <v>926</v>
      </c>
      <c r="L2259" s="5"/>
      <c r="M2259" s="5"/>
      <c r="N2259" t="s">
        <v>82</v>
      </c>
      <c r="O2259" t="s">
        <v>7394</v>
      </c>
      <c r="R2259">
        <v>1</v>
      </c>
      <c r="T2259" s="5"/>
      <c r="W2259">
        <v>79</v>
      </c>
      <c r="X2259" t="s">
        <v>1619</v>
      </c>
      <c r="Y2259" t="str">
        <f>VLOOKUP(C2259,'[1]DBS_KPY Sorumlular'!A:C,2,FALSE)</f>
        <v>Mustafa AYDIN</v>
      </c>
      <c r="Z2259" t="str">
        <f>VLOOKUP(C2259,'[1]DBS_KPY Sorumlular'!A:C,3,FALSE)</f>
        <v>Esra DOLAN</v>
      </c>
      <c r="AA2259" t="str">
        <f>VLOOKUP(K2259,[1]!Tablo3[#Data],2,FALSE)</f>
        <v>Kadir TOPÇU</v>
      </c>
    </row>
    <row r="2260" spans="1:27" x14ac:dyDescent="0.25">
      <c r="A2260">
        <v>3612</v>
      </c>
      <c r="B2260" t="s">
        <v>27</v>
      </c>
      <c r="C2260" t="s">
        <v>40</v>
      </c>
      <c r="D2260" t="s">
        <v>41</v>
      </c>
      <c r="G2260" t="s">
        <v>43</v>
      </c>
      <c r="H2260" t="s">
        <v>7395</v>
      </c>
      <c r="I2260" s="4">
        <v>45077.875</v>
      </c>
      <c r="K2260" t="s">
        <v>926</v>
      </c>
      <c r="L2260" s="5"/>
      <c r="M2260" s="5"/>
      <c r="N2260" t="s">
        <v>82</v>
      </c>
      <c r="O2260" t="s">
        <v>7396</v>
      </c>
      <c r="R2260">
        <v>1</v>
      </c>
      <c r="T2260" s="5"/>
      <c r="W2260">
        <v>108</v>
      </c>
      <c r="X2260" t="s">
        <v>107</v>
      </c>
      <c r="Y2260" t="str">
        <f>VLOOKUP(C2260,'[1]DBS_KPY Sorumlular'!A:C,2,FALSE)</f>
        <v>Mustafa AYDIN</v>
      </c>
      <c r="Z2260" t="str">
        <f>VLOOKUP(C2260,'[1]DBS_KPY Sorumlular'!A:C,3,FALSE)</f>
        <v>Esra DOLAN</v>
      </c>
      <c r="AA2260" t="str">
        <f>VLOOKUP(K2260,[1]!Tablo3[#Data],2,FALSE)</f>
        <v>Kadir TOPÇU</v>
      </c>
    </row>
    <row r="2261" spans="1:27" x14ac:dyDescent="0.25">
      <c r="A2261">
        <v>3613</v>
      </c>
      <c r="B2261" t="s">
        <v>27</v>
      </c>
      <c r="C2261" t="s">
        <v>40</v>
      </c>
      <c r="D2261" t="s">
        <v>41</v>
      </c>
      <c r="G2261" t="s">
        <v>96</v>
      </c>
      <c r="H2261" t="s">
        <v>7397</v>
      </c>
      <c r="I2261" s="4">
        <v>45077.875</v>
      </c>
      <c r="K2261" t="s">
        <v>926</v>
      </c>
      <c r="L2261" s="5"/>
      <c r="M2261" s="5"/>
      <c r="N2261" t="s">
        <v>82</v>
      </c>
      <c r="O2261" t="s">
        <v>7398</v>
      </c>
      <c r="R2261">
        <v>1</v>
      </c>
      <c r="T2261" s="5"/>
      <c r="W2261">
        <v>91</v>
      </c>
      <c r="X2261" t="s">
        <v>101</v>
      </c>
      <c r="Y2261" t="str">
        <f>VLOOKUP(C2261,'[1]DBS_KPY Sorumlular'!A:C,2,FALSE)</f>
        <v>Mustafa AYDIN</v>
      </c>
      <c r="Z2261" t="str">
        <f>VLOOKUP(C2261,'[1]DBS_KPY Sorumlular'!A:C,3,FALSE)</f>
        <v>Esra DOLAN</v>
      </c>
      <c r="AA2261" t="str">
        <f>VLOOKUP(K2261,[1]!Tablo3[#Data],2,FALSE)</f>
        <v>Kadir TOPÇU</v>
      </c>
    </row>
    <row r="2262" spans="1:27" x14ac:dyDescent="0.25">
      <c r="A2262">
        <v>3614</v>
      </c>
      <c r="B2262" t="s">
        <v>27</v>
      </c>
      <c r="C2262" t="s">
        <v>40</v>
      </c>
      <c r="D2262" t="s">
        <v>41</v>
      </c>
      <c r="G2262" t="s">
        <v>30</v>
      </c>
      <c r="H2262" t="s">
        <v>7399</v>
      </c>
      <c r="I2262" s="4">
        <v>45077.875</v>
      </c>
      <c r="K2262" t="s">
        <v>926</v>
      </c>
      <c r="L2262" s="5"/>
      <c r="M2262" s="5"/>
      <c r="N2262" t="s">
        <v>82</v>
      </c>
      <c r="O2262" t="s">
        <v>7400</v>
      </c>
      <c r="R2262">
        <v>1</v>
      </c>
      <c r="T2262" s="5"/>
      <c r="W2262">
        <v>79</v>
      </c>
      <c r="X2262" t="s">
        <v>1619</v>
      </c>
      <c r="Y2262" t="str">
        <f>VLOOKUP(C2262,'[1]DBS_KPY Sorumlular'!A:C,2,FALSE)</f>
        <v>Mustafa AYDIN</v>
      </c>
      <c r="Z2262" t="str">
        <f>VLOOKUP(C2262,'[1]DBS_KPY Sorumlular'!A:C,3,FALSE)</f>
        <v>Esra DOLAN</v>
      </c>
      <c r="AA2262" t="str">
        <f>VLOOKUP(K2262,[1]!Tablo3[#Data],2,FALSE)</f>
        <v>Kadir TOPÇU</v>
      </c>
    </row>
    <row r="2263" spans="1:27" x14ac:dyDescent="0.25">
      <c r="A2263">
        <v>3615</v>
      </c>
      <c r="B2263" t="s">
        <v>27</v>
      </c>
      <c r="C2263" t="s">
        <v>40</v>
      </c>
      <c r="D2263" t="s">
        <v>41</v>
      </c>
      <c r="G2263" t="s">
        <v>43</v>
      </c>
      <c r="H2263" t="s">
        <v>7401</v>
      </c>
      <c r="I2263" s="4">
        <v>45443.875</v>
      </c>
      <c r="K2263" t="s">
        <v>926</v>
      </c>
      <c r="L2263" s="5"/>
      <c r="M2263" s="5"/>
      <c r="N2263" t="s">
        <v>82</v>
      </c>
      <c r="O2263" t="s">
        <v>7402</v>
      </c>
      <c r="R2263">
        <v>1</v>
      </c>
      <c r="T2263" s="5"/>
      <c r="W2263">
        <v>148</v>
      </c>
      <c r="X2263" t="s">
        <v>368</v>
      </c>
      <c r="Y2263" t="str">
        <f>VLOOKUP(C2263,'[1]DBS_KPY Sorumlular'!A:C,2,FALSE)</f>
        <v>Mustafa AYDIN</v>
      </c>
      <c r="Z2263" t="str">
        <f>VLOOKUP(C2263,'[1]DBS_KPY Sorumlular'!A:C,3,FALSE)</f>
        <v>Esra DOLAN</v>
      </c>
      <c r="AA2263" t="str">
        <f>VLOOKUP(K2263,[1]!Tablo3[#Data],2,FALSE)</f>
        <v>Kadir TOPÇU</v>
      </c>
    </row>
    <row r="2264" spans="1:27" x14ac:dyDescent="0.25">
      <c r="A2264">
        <v>3616</v>
      </c>
      <c r="B2264" t="s">
        <v>27</v>
      </c>
      <c r="C2264" t="s">
        <v>40</v>
      </c>
      <c r="D2264" t="s">
        <v>41</v>
      </c>
      <c r="G2264" t="s">
        <v>43</v>
      </c>
      <c r="H2264" t="s">
        <v>7403</v>
      </c>
      <c r="I2264" s="4">
        <v>43616.875</v>
      </c>
      <c r="K2264" t="s">
        <v>1334</v>
      </c>
      <c r="L2264" s="5"/>
      <c r="M2264" s="5"/>
      <c r="N2264" t="s">
        <v>82</v>
      </c>
      <c r="O2264" t="s">
        <v>7404</v>
      </c>
      <c r="R2264">
        <v>1</v>
      </c>
      <c r="T2264" s="5"/>
      <c r="W2264">
        <v>80</v>
      </c>
      <c r="X2264" t="s">
        <v>647</v>
      </c>
      <c r="Y2264" t="str">
        <f>VLOOKUP(C2264,'[1]DBS_KPY Sorumlular'!A:C,2,FALSE)</f>
        <v>Mustafa AYDIN</v>
      </c>
      <c r="Z2264" t="str">
        <f>VLOOKUP(C2264,'[1]DBS_KPY Sorumlular'!A:C,3,FALSE)</f>
        <v>Esra DOLAN</v>
      </c>
      <c r="AA2264" t="str">
        <f>VLOOKUP(K2264,[1]!Tablo3[#Data],2,FALSE)</f>
        <v>Erkan AKDOĞAN</v>
      </c>
    </row>
    <row r="2265" spans="1:27" x14ac:dyDescent="0.25">
      <c r="A2265">
        <v>3617</v>
      </c>
      <c r="B2265" t="s">
        <v>27</v>
      </c>
      <c r="C2265" t="s">
        <v>40</v>
      </c>
      <c r="D2265" t="s">
        <v>41</v>
      </c>
      <c r="G2265" t="s">
        <v>67</v>
      </c>
      <c r="H2265" t="s">
        <v>7405</v>
      </c>
      <c r="I2265" s="4">
        <v>43982.875</v>
      </c>
      <c r="K2265" t="s">
        <v>1334</v>
      </c>
      <c r="L2265" s="5"/>
      <c r="M2265" s="5"/>
      <c r="N2265" t="s">
        <v>82</v>
      </c>
      <c r="O2265" t="s">
        <v>7406</v>
      </c>
      <c r="R2265">
        <v>1</v>
      </c>
      <c r="T2265" s="5"/>
      <c r="W2265">
        <v>203</v>
      </c>
      <c r="X2265" t="s">
        <v>72</v>
      </c>
      <c r="Y2265" t="str">
        <f>VLOOKUP(C2265,'[1]DBS_KPY Sorumlular'!A:C,2,FALSE)</f>
        <v>Mustafa AYDIN</v>
      </c>
      <c r="Z2265" t="str">
        <f>VLOOKUP(C2265,'[1]DBS_KPY Sorumlular'!A:C,3,FALSE)</f>
        <v>Esra DOLAN</v>
      </c>
      <c r="AA2265" t="str">
        <f>VLOOKUP(K2265,[1]!Tablo3[#Data],2,FALSE)</f>
        <v>Erkan AKDOĞAN</v>
      </c>
    </row>
    <row r="2266" spans="1:27" x14ac:dyDescent="0.25">
      <c r="A2266">
        <v>3618</v>
      </c>
      <c r="B2266" t="s">
        <v>27</v>
      </c>
      <c r="C2266" t="s">
        <v>40</v>
      </c>
      <c r="D2266" t="s">
        <v>41</v>
      </c>
      <c r="G2266" t="s">
        <v>67</v>
      </c>
      <c r="H2266" t="s">
        <v>7407</v>
      </c>
      <c r="I2266" s="4">
        <v>44347.875</v>
      </c>
      <c r="K2266" t="s">
        <v>1334</v>
      </c>
      <c r="L2266" s="5"/>
      <c r="M2266" s="5"/>
      <c r="N2266" t="s">
        <v>82</v>
      </c>
      <c r="O2266" t="s">
        <v>7408</v>
      </c>
      <c r="R2266">
        <v>1</v>
      </c>
      <c r="T2266" s="5"/>
      <c r="W2266">
        <v>203</v>
      </c>
      <c r="X2266" t="s">
        <v>72</v>
      </c>
      <c r="Y2266" t="str">
        <f>VLOOKUP(C2266,'[1]DBS_KPY Sorumlular'!A:C,2,FALSE)</f>
        <v>Mustafa AYDIN</v>
      </c>
      <c r="Z2266" t="str">
        <f>VLOOKUP(C2266,'[1]DBS_KPY Sorumlular'!A:C,3,FALSE)</f>
        <v>Esra DOLAN</v>
      </c>
      <c r="AA2266" t="str">
        <f>VLOOKUP(K2266,[1]!Tablo3[#Data],2,FALSE)</f>
        <v>Erkan AKDOĞAN</v>
      </c>
    </row>
    <row r="2267" spans="1:27" x14ac:dyDescent="0.25">
      <c r="A2267">
        <v>3619</v>
      </c>
      <c r="B2267" t="s">
        <v>27</v>
      </c>
      <c r="C2267" t="s">
        <v>40</v>
      </c>
      <c r="D2267" t="s">
        <v>41</v>
      </c>
      <c r="G2267" t="s">
        <v>43</v>
      </c>
      <c r="H2267" t="s">
        <v>7409</v>
      </c>
      <c r="I2267" s="4">
        <v>44347.875</v>
      </c>
      <c r="K2267" t="s">
        <v>1334</v>
      </c>
      <c r="L2267" s="5"/>
      <c r="M2267" s="5"/>
      <c r="N2267" t="s">
        <v>82</v>
      </c>
      <c r="O2267" t="s">
        <v>7410</v>
      </c>
      <c r="R2267">
        <v>1</v>
      </c>
      <c r="T2267" s="5"/>
      <c r="W2267">
        <v>137</v>
      </c>
      <c r="X2267" t="s">
        <v>125</v>
      </c>
      <c r="Y2267" t="str">
        <f>VLOOKUP(C2267,'[1]DBS_KPY Sorumlular'!A:C,2,FALSE)</f>
        <v>Mustafa AYDIN</v>
      </c>
      <c r="Z2267" t="str">
        <f>VLOOKUP(C2267,'[1]DBS_KPY Sorumlular'!A:C,3,FALSE)</f>
        <v>Esra DOLAN</v>
      </c>
      <c r="AA2267" t="str">
        <f>VLOOKUP(K2267,[1]!Tablo3[#Data],2,FALSE)</f>
        <v>Erkan AKDOĞAN</v>
      </c>
    </row>
    <row r="2268" spans="1:27" x14ac:dyDescent="0.25">
      <c r="A2268">
        <v>3620</v>
      </c>
      <c r="B2268" t="s">
        <v>27</v>
      </c>
      <c r="C2268" t="s">
        <v>40</v>
      </c>
      <c r="D2268" t="s">
        <v>41</v>
      </c>
      <c r="G2268" t="s">
        <v>43</v>
      </c>
      <c r="H2268" t="s">
        <v>7411</v>
      </c>
      <c r="I2268" s="4">
        <v>44347.875</v>
      </c>
      <c r="K2268" t="s">
        <v>1334</v>
      </c>
      <c r="L2268" s="5"/>
      <c r="M2268" s="5"/>
      <c r="N2268" t="s">
        <v>82</v>
      </c>
      <c r="O2268" t="s">
        <v>7412</v>
      </c>
      <c r="R2268">
        <v>1</v>
      </c>
      <c r="T2268" s="5"/>
      <c r="W2268">
        <v>137</v>
      </c>
      <c r="X2268" t="s">
        <v>125</v>
      </c>
      <c r="Y2268" t="str">
        <f>VLOOKUP(C2268,'[1]DBS_KPY Sorumlular'!A:C,2,FALSE)</f>
        <v>Mustafa AYDIN</v>
      </c>
      <c r="Z2268" t="str">
        <f>VLOOKUP(C2268,'[1]DBS_KPY Sorumlular'!A:C,3,FALSE)</f>
        <v>Esra DOLAN</v>
      </c>
      <c r="AA2268" t="str">
        <f>VLOOKUP(K2268,[1]!Tablo3[#Data],2,FALSE)</f>
        <v>Erkan AKDOĞAN</v>
      </c>
    </row>
    <row r="2269" spans="1:27" x14ac:dyDescent="0.25">
      <c r="A2269">
        <v>3621</v>
      </c>
      <c r="B2269" t="s">
        <v>27</v>
      </c>
      <c r="C2269" t="s">
        <v>40</v>
      </c>
      <c r="D2269" t="s">
        <v>41</v>
      </c>
      <c r="G2269" t="s">
        <v>67</v>
      </c>
      <c r="H2269" t="s">
        <v>7413</v>
      </c>
      <c r="I2269" s="4">
        <v>45077.875</v>
      </c>
      <c r="K2269" t="s">
        <v>1334</v>
      </c>
      <c r="L2269" s="5"/>
      <c r="M2269" s="5"/>
      <c r="N2269" t="s">
        <v>82</v>
      </c>
      <c r="O2269" t="s">
        <v>7414</v>
      </c>
      <c r="R2269">
        <v>1</v>
      </c>
      <c r="T2269" s="5"/>
      <c r="W2269">
        <v>104</v>
      </c>
      <c r="X2269" t="s">
        <v>703</v>
      </c>
      <c r="Y2269" t="str">
        <f>VLOOKUP(C2269,'[1]DBS_KPY Sorumlular'!A:C,2,FALSE)</f>
        <v>Mustafa AYDIN</v>
      </c>
      <c r="Z2269" t="str">
        <f>VLOOKUP(C2269,'[1]DBS_KPY Sorumlular'!A:C,3,FALSE)</f>
        <v>Esra DOLAN</v>
      </c>
      <c r="AA2269" t="str">
        <f>VLOOKUP(K2269,[1]!Tablo3[#Data],2,FALSE)</f>
        <v>Erkan AKDOĞAN</v>
      </c>
    </row>
    <row r="2270" spans="1:27" x14ac:dyDescent="0.25">
      <c r="A2270">
        <v>3622</v>
      </c>
      <c r="B2270" t="s">
        <v>27</v>
      </c>
      <c r="C2270" t="s">
        <v>40</v>
      </c>
      <c r="D2270" t="s">
        <v>41</v>
      </c>
      <c r="G2270" t="s">
        <v>67</v>
      </c>
      <c r="H2270" t="s">
        <v>7415</v>
      </c>
      <c r="I2270" s="4">
        <v>45077.875</v>
      </c>
      <c r="K2270" t="s">
        <v>1334</v>
      </c>
      <c r="L2270" s="5"/>
      <c r="M2270" s="5"/>
      <c r="N2270" t="s">
        <v>82</v>
      </c>
      <c r="O2270" t="s">
        <v>7416</v>
      </c>
      <c r="R2270">
        <v>1</v>
      </c>
      <c r="T2270" s="5"/>
      <c r="W2270">
        <v>104</v>
      </c>
      <c r="X2270" t="s">
        <v>703</v>
      </c>
      <c r="Y2270" t="str">
        <f>VLOOKUP(C2270,'[1]DBS_KPY Sorumlular'!A:C,2,FALSE)</f>
        <v>Mustafa AYDIN</v>
      </c>
      <c r="Z2270" t="str">
        <f>VLOOKUP(C2270,'[1]DBS_KPY Sorumlular'!A:C,3,FALSE)</f>
        <v>Esra DOLAN</v>
      </c>
      <c r="AA2270" t="str">
        <f>VLOOKUP(K2270,[1]!Tablo3[#Data],2,FALSE)</f>
        <v>Erkan AKDOĞAN</v>
      </c>
    </row>
    <row r="2271" spans="1:27" x14ac:dyDescent="0.25">
      <c r="A2271">
        <v>3623</v>
      </c>
      <c r="B2271" t="s">
        <v>27</v>
      </c>
      <c r="C2271" t="s">
        <v>40</v>
      </c>
      <c r="D2271" t="s">
        <v>41</v>
      </c>
      <c r="G2271" t="s">
        <v>67</v>
      </c>
      <c r="H2271" t="s">
        <v>7417</v>
      </c>
      <c r="I2271" s="4">
        <v>45077.875</v>
      </c>
      <c r="K2271" t="s">
        <v>1334</v>
      </c>
      <c r="L2271" s="5"/>
      <c r="M2271" s="5"/>
      <c r="N2271" t="s">
        <v>82</v>
      </c>
      <c r="O2271" t="s">
        <v>7418</v>
      </c>
      <c r="R2271">
        <v>1</v>
      </c>
      <c r="T2271" s="5"/>
      <c r="W2271">
        <v>104</v>
      </c>
      <c r="X2271" t="s">
        <v>703</v>
      </c>
      <c r="Y2271" t="str">
        <f>VLOOKUP(C2271,'[1]DBS_KPY Sorumlular'!A:C,2,FALSE)</f>
        <v>Mustafa AYDIN</v>
      </c>
      <c r="Z2271" t="str">
        <f>VLOOKUP(C2271,'[1]DBS_KPY Sorumlular'!A:C,3,FALSE)</f>
        <v>Esra DOLAN</v>
      </c>
      <c r="AA2271" t="str">
        <f>VLOOKUP(K2271,[1]!Tablo3[#Data],2,FALSE)</f>
        <v>Erkan AKDOĞAN</v>
      </c>
    </row>
    <row r="2272" spans="1:27" x14ac:dyDescent="0.25">
      <c r="A2272">
        <v>3624</v>
      </c>
      <c r="B2272" t="s">
        <v>27</v>
      </c>
      <c r="C2272" t="s">
        <v>40</v>
      </c>
      <c r="D2272" t="s">
        <v>41</v>
      </c>
      <c r="G2272" t="s">
        <v>67</v>
      </c>
      <c r="H2272" t="s">
        <v>7419</v>
      </c>
      <c r="I2272" s="4">
        <v>45077.875</v>
      </c>
      <c r="K2272" t="s">
        <v>1334</v>
      </c>
      <c r="L2272" s="5"/>
      <c r="M2272" s="5"/>
      <c r="N2272" t="s">
        <v>82</v>
      </c>
      <c r="O2272" t="s">
        <v>7420</v>
      </c>
      <c r="R2272">
        <v>1</v>
      </c>
      <c r="T2272" s="5"/>
      <c r="W2272">
        <v>203</v>
      </c>
      <c r="X2272" t="s">
        <v>72</v>
      </c>
      <c r="Y2272" t="str">
        <f>VLOOKUP(C2272,'[1]DBS_KPY Sorumlular'!A:C,2,FALSE)</f>
        <v>Mustafa AYDIN</v>
      </c>
      <c r="Z2272" t="str">
        <f>VLOOKUP(C2272,'[1]DBS_KPY Sorumlular'!A:C,3,FALSE)</f>
        <v>Esra DOLAN</v>
      </c>
      <c r="AA2272" t="str">
        <f>VLOOKUP(K2272,[1]!Tablo3[#Data],2,FALSE)</f>
        <v>Erkan AKDOĞAN</v>
      </c>
    </row>
    <row r="2273" spans="1:27" x14ac:dyDescent="0.25">
      <c r="A2273">
        <v>3625</v>
      </c>
      <c r="B2273" t="s">
        <v>27</v>
      </c>
      <c r="C2273" t="s">
        <v>40</v>
      </c>
      <c r="D2273" t="s">
        <v>41</v>
      </c>
      <c r="G2273" t="s">
        <v>30</v>
      </c>
      <c r="H2273" t="s">
        <v>7421</v>
      </c>
      <c r="I2273" s="4">
        <v>45077.875</v>
      </c>
      <c r="K2273" t="s">
        <v>1334</v>
      </c>
      <c r="L2273" s="5"/>
      <c r="M2273" s="5"/>
      <c r="N2273" t="s">
        <v>82</v>
      </c>
      <c r="O2273" t="s">
        <v>7422</v>
      </c>
      <c r="R2273">
        <v>1</v>
      </c>
      <c r="T2273" s="5"/>
      <c r="W2273">
        <v>79</v>
      </c>
      <c r="X2273" t="s">
        <v>1619</v>
      </c>
      <c r="Y2273" t="str">
        <f>VLOOKUP(C2273,'[1]DBS_KPY Sorumlular'!A:C,2,FALSE)</f>
        <v>Mustafa AYDIN</v>
      </c>
      <c r="Z2273" t="str">
        <f>VLOOKUP(C2273,'[1]DBS_KPY Sorumlular'!A:C,3,FALSE)</f>
        <v>Esra DOLAN</v>
      </c>
      <c r="AA2273" t="str">
        <f>VLOOKUP(K2273,[1]!Tablo3[#Data],2,FALSE)</f>
        <v>Erkan AKDOĞAN</v>
      </c>
    </row>
    <row r="2274" spans="1:27" x14ac:dyDescent="0.25">
      <c r="A2274">
        <v>3626</v>
      </c>
      <c r="B2274" t="s">
        <v>27</v>
      </c>
      <c r="C2274" t="s">
        <v>40</v>
      </c>
      <c r="D2274" t="s">
        <v>41</v>
      </c>
      <c r="G2274" t="s">
        <v>30</v>
      </c>
      <c r="H2274" t="s">
        <v>7423</v>
      </c>
      <c r="I2274" s="4">
        <v>45077.875</v>
      </c>
      <c r="K2274" t="s">
        <v>1334</v>
      </c>
      <c r="L2274" s="5"/>
      <c r="M2274" s="5"/>
      <c r="N2274" t="s">
        <v>82</v>
      </c>
      <c r="O2274" t="s">
        <v>7424</v>
      </c>
      <c r="R2274">
        <v>1</v>
      </c>
      <c r="T2274" s="5"/>
      <c r="W2274">
        <v>89</v>
      </c>
      <c r="X2274" t="s">
        <v>1267</v>
      </c>
      <c r="Y2274" t="str">
        <f>VLOOKUP(C2274,'[1]DBS_KPY Sorumlular'!A:C,2,FALSE)</f>
        <v>Mustafa AYDIN</v>
      </c>
      <c r="Z2274" t="str">
        <f>VLOOKUP(C2274,'[1]DBS_KPY Sorumlular'!A:C,3,FALSE)</f>
        <v>Esra DOLAN</v>
      </c>
      <c r="AA2274" t="str">
        <f>VLOOKUP(K2274,[1]!Tablo3[#Data],2,FALSE)</f>
        <v>Erkan AKDOĞAN</v>
      </c>
    </row>
    <row r="2275" spans="1:27" x14ac:dyDescent="0.25">
      <c r="A2275">
        <v>3627</v>
      </c>
      <c r="B2275" t="s">
        <v>27</v>
      </c>
      <c r="C2275" t="s">
        <v>40</v>
      </c>
      <c r="D2275" t="s">
        <v>41</v>
      </c>
      <c r="G2275" t="s">
        <v>43</v>
      </c>
      <c r="H2275" t="s">
        <v>7425</v>
      </c>
      <c r="I2275" s="4">
        <v>45443.875</v>
      </c>
      <c r="K2275" t="s">
        <v>1334</v>
      </c>
      <c r="L2275" s="5"/>
      <c r="M2275" s="5"/>
      <c r="N2275" t="s">
        <v>82</v>
      </c>
      <c r="O2275" t="s">
        <v>7426</v>
      </c>
      <c r="R2275">
        <v>1</v>
      </c>
      <c r="T2275" s="5"/>
      <c r="W2275">
        <v>108</v>
      </c>
      <c r="X2275" t="s">
        <v>107</v>
      </c>
      <c r="Y2275" t="str">
        <f>VLOOKUP(C2275,'[1]DBS_KPY Sorumlular'!A:C,2,FALSE)</f>
        <v>Mustafa AYDIN</v>
      </c>
      <c r="Z2275" t="str">
        <f>VLOOKUP(C2275,'[1]DBS_KPY Sorumlular'!A:C,3,FALSE)</f>
        <v>Esra DOLAN</v>
      </c>
      <c r="AA2275" t="str">
        <f>VLOOKUP(K2275,[1]!Tablo3[#Data],2,FALSE)</f>
        <v>Erkan AKDOĞAN</v>
      </c>
    </row>
    <row r="2276" spans="1:27" x14ac:dyDescent="0.25">
      <c r="A2276">
        <v>3628</v>
      </c>
      <c r="B2276" t="s">
        <v>27</v>
      </c>
      <c r="C2276" t="s">
        <v>40</v>
      </c>
      <c r="D2276" t="s">
        <v>41</v>
      </c>
      <c r="G2276" t="s">
        <v>43</v>
      </c>
      <c r="H2276" t="s">
        <v>7427</v>
      </c>
      <c r="I2276" s="4">
        <v>45443.875</v>
      </c>
      <c r="K2276" t="s">
        <v>1334</v>
      </c>
      <c r="L2276" s="5"/>
      <c r="M2276" s="5"/>
      <c r="N2276" t="s">
        <v>82</v>
      </c>
      <c r="O2276" t="s">
        <v>7428</v>
      </c>
      <c r="R2276">
        <v>1</v>
      </c>
      <c r="T2276" s="5"/>
      <c r="W2276">
        <v>70</v>
      </c>
      <c r="X2276" t="s">
        <v>711</v>
      </c>
      <c r="Y2276" t="str">
        <f>VLOOKUP(C2276,'[1]DBS_KPY Sorumlular'!A:C,2,FALSE)</f>
        <v>Mustafa AYDIN</v>
      </c>
      <c r="Z2276" t="str">
        <f>VLOOKUP(C2276,'[1]DBS_KPY Sorumlular'!A:C,3,FALSE)</f>
        <v>Esra DOLAN</v>
      </c>
      <c r="AA2276" t="str">
        <f>VLOOKUP(K2276,[1]!Tablo3[#Data],2,FALSE)</f>
        <v>Erkan AKDOĞAN</v>
      </c>
    </row>
    <row r="2277" spans="1:27" x14ac:dyDescent="0.25">
      <c r="A2277">
        <v>3629</v>
      </c>
      <c r="B2277" t="s">
        <v>27</v>
      </c>
      <c r="C2277" t="s">
        <v>40</v>
      </c>
      <c r="D2277" t="s">
        <v>41</v>
      </c>
      <c r="G2277" t="s">
        <v>67</v>
      </c>
      <c r="H2277" t="s">
        <v>7429</v>
      </c>
      <c r="I2277" s="4">
        <v>45443.875</v>
      </c>
      <c r="K2277" t="s">
        <v>1334</v>
      </c>
      <c r="L2277" s="5"/>
      <c r="M2277" s="5"/>
      <c r="N2277" t="s">
        <v>82</v>
      </c>
      <c r="O2277" t="s">
        <v>7430</v>
      </c>
      <c r="R2277">
        <v>1</v>
      </c>
      <c r="T2277" s="5"/>
      <c r="W2277">
        <v>208</v>
      </c>
      <c r="X2277" t="s">
        <v>594</v>
      </c>
      <c r="Y2277" t="str">
        <f>VLOOKUP(C2277,'[1]DBS_KPY Sorumlular'!A:C,2,FALSE)</f>
        <v>Mustafa AYDIN</v>
      </c>
      <c r="Z2277" t="str">
        <f>VLOOKUP(C2277,'[1]DBS_KPY Sorumlular'!A:C,3,FALSE)</f>
        <v>Esra DOLAN</v>
      </c>
      <c r="AA2277" t="str">
        <f>VLOOKUP(K2277,[1]!Tablo3[#Data],2,FALSE)</f>
        <v>Erkan AKDOĞAN</v>
      </c>
    </row>
    <row r="2278" spans="1:27" x14ac:dyDescent="0.25">
      <c r="A2278">
        <v>3630</v>
      </c>
      <c r="B2278" t="s">
        <v>27</v>
      </c>
      <c r="C2278" t="s">
        <v>40</v>
      </c>
      <c r="D2278" t="s">
        <v>41</v>
      </c>
      <c r="G2278" t="s">
        <v>43</v>
      </c>
      <c r="H2278" t="s">
        <v>7431</v>
      </c>
      <c r="I2278" s="4">
        <v>44347.875</v>
      </c>
      <c r="K2278" t="s">
        <v>1348</v>
      </c>
      <c r="L2278" s="5"/>
      <c r="M2278" s="5"/>
      <c r="N2278" t="s">
        <v>82</v>
      </c>
      <c r="O2278" t="s">
        <v>7432</v>
      </c>
      <c r="R2278">
        <v>1</v>
      </c>
      <c r="T2278" s="5"/>
      <c r="W2278">
        <v>137</v>
      </c>
      <c r="X2278" t="s">
        <v>125</v>
      </c>
      <c r="Y2278" t="str">
        <f>VLOOKUP(C2278,'[1]DBS_KPY Sorumlular'!A:C,2,FALSE)</f>
        <v>Mustafa AYDIN</v>
      </c>
      <c r="Z2278" t="str">
        <f>VLOOKUP(C2278,'[1]DBS_KPY Sorumlular'!A:C,3,FALSE)</f>
        <v>Esra DOLAN</v>
      </c>
      <c r="AA2278" t="str">
        <f>VLOOKUP(K2278,[1]!Tablo3[#Data],2,FALSE)</f>
        <v>Tayfun VİÇE</v>
      </c>
    </row>
    <row r="2279" spans="1:27" x14ac:dyDescent="0.25">
      <c r="A2279">
        <v>3631</v>
      </c>
      <c r="B2279" t="s">
        <v>27</v>
      </c>
      <c r="C2279" t="s">
        <v>40</v>
      </c>
      <c r="D2279" t="s">
        <v>41</v>
      </c>
      <c r="G2279" t="s">
        <v>43</v>
      </c>
      <c r="H2279" t="s">
        <v>7433</v>
      </c>
      <c r="I2279" s="4">
        <v>44712.875</v>
      </c>
      <c r="K2279" t="s">
        <v>1348</v>
      </c>
      <c r="L2279" s="5"/>
      <c r="M2279" s="5"/>
      <c r="N2279" t="s">
        <v>82</v>
      </c>
      <c r="O2279" t="s">
        <v>7434</v>
      </c>
      <c r="R2279">
        <v>1</v>
      </c>
      <c r="T2279" s="5"/>
      <c r="W2279">
        <v>73</v>
      </c>
      <c r="X2279" t="s">
        <v>1198</v>
      </c>
      <c r="Y2279" t="str">
        <f>VLOOKUP(C2279,'[1]DBS_KPY Sorumlular'!A:C,2,FALSE)</f>
        <v>Mustafa AYDIN</v>
      </c>
      <c r="Z2279" t="str">
        <f>VLOOKUP(C2279,'[1]DBS_KPY Sorumlular'!A:C,3,FALSE)</f>
        <v>Esra DOLAN</v>
      </c>
      <c r="AA2279" t="str">
        <f>VLOOKUP(K2279,[1]!Tablo3[#Data],2,FALSE)</f>
        <v>Tayfun VİÇE</v>
      </c>
    </row>
    <row r="2280" spans="1:27" x14ac:dyDescent="0.25">
      <c r="A2280">
        <v>3632</v>
      </c>
      <c r="B2280" t="s">
        <v>27</v>
      </c>
      <c r="C2280" t="s">
        <v>40</v>
      </c>
      <c r="D2280" t="s">
        <v>41</v>
      </c>
      <c r="G2280" t="s">
        <v>43</v>
      </c>
      <c r="H2280" t="s">
        <v>7435</v>
      </c>
      <c r="I2280" s="4">
        <v>45077.875</v>
      </c>
      <c r="K2280" t="s">
        <v>1348</v>
      </c>
      <c r="L2280" s="5"/>
      <c r="M2280" s="5"/>
      <c r="N2280" t="s">
        <v>82</v>
      </c>
      <c r="O2280" t="s">
        <v>7436</v>
      </c>
      <c r="R2280">
        <v>1</v>
      </c>
      <c r="T2280" s="5"/>
      <c r="W2280">
        <v>108</v>
      </c>
      <c r="X2280" t="s">
        <v>107</v>
      </c>
      <c r="Y2280" t="str">
        <f>VLOOKUP(C2280,'[1]DBS_KPY Sorumlular'!A:C,2,FALSE)</f>
        <v>Mustafa AYDIN</v>
      </c>
      <c r="Z2280" t="str">
        <f>VLOOKUP(C2280,'[1]DBS_KPY Sorumlular'!A:C,3,FALSE)</f>
        <v>Esra DOLAN</v>
      </c>
      <c r="AA2280" t="str">
        <f>VLOOKUP(K2280,[1]!Tablo3[#Data],2,FALSE)</f>
        <v>Tayfun VİÇE</v>
      </c>
    </row>
    <row r="2281" spans="1:27" x14ac:dyDescent="0.25">
      <c r="A2281">
        <v>3633</v>
      </c>
      <c r="B2281" t="s">
        <v>27</v>
      </c>
      <c r="C2281" t="s">
        <v>40</v>
      </c>
      <c r="D2281" t="s">
        <v>41</v>
      </c>
      <c r="G2281" t="s">
        <v>43</v>
      </c>
      <c r="H2281" t="s">
        <v>7437</v>
      </c>
      <c r="I2281" s="4">
        <v>45077.875</v>
      </c>
      <c r="K2281" t="s">
        <v>1348</v>
      </c>
      <c r="L2281" s="5"/>
      <c r="M2281" s="5"/>
      <c r="N2281" t="s">
        <v>82</v>
      </c>
      <c r="O2281" t="s">
        <v>7438</v>
      </c>
      <c r="R2281">
        <v>1</v>
      </c>
      <c r="T2281" s="5"/>
      <c r="W2281">
        <v>169</v>
      </c>
      <c r="X2281" t="s">
        <v>1480</v>
      </c>
      <c r="Y2281" t="str">
        <f>VLOOKUP(C2281,'[1]DBS_KPY Sorumlular'!A:C,2,FALSE)</f>
        <v>Mustafa AYDIN</v>
      </c>
      <c r="Z2281" t="str">
        <f>VLOOKUP(C2281,'[1]DBS_KPY Sorumlular'!A:C,3,FALSE)</f>
        <v>Esra DOLAN</v>
      </c>
      <c r="AA2281" t="str">
        <f>VLOOKUP(K2281,[1]!Tablo3[#Data],2,FALSE)</f>
        <v>Tayfun VİÇE</v>
      </c>
    </row>
    <row r="2282" spans="1:27" x14ac:dyDescent="0.25">
      <c r="A2282">
        <v>3634</v>
      </c>
      <c r="B2282" t="s">
        <v>27</v>
      </c>
      <c r="C2282" t="s">
        <v>40</v>
      </c>
      <c r="D2282" t="s">
        <v>41</v>
      </c>
      <c r="G2282" t="s">
        <v>43</v>
      </c>
      <c r="H2282" t="s">
        <v>7439</v>
      </c>
      <c r="I2282" s="4">
        <v>45077.875</v>
      </c>
      <c r="K2282" t="s">
        <v>1348</v>
      </c>
      <c r="L2282" s="5"/>
      <c r="M2282" s="5"/>
      <c r="N2282" t="s">
        <v>82</v>
      </c>
      <c r="O2282" t="s">
        <v>7438</v>
      </c>
      <c r="R2282">
        <v>1</v>
      </c>
      <c r="T2282" s="5"/>
      <c r="W2282">
        <v>86</v>
      </c>
      <c r="X2282" t="s">
        <v>189</v>
      </c>
      <c r="Y2282" t="str">
        <f>VLOOKUP(C2282,'[1]DBS_KPY Sorumlular'!A:C,2,FALSE)</f>
        <v>Mustafa AYDIN</v>
      </c>
      <c r="Z2282" t="str">
        <f>VLOOKUP(C2282,'[1]DBS_KPY Sorumlular'!A:C,3,FALSE)</f>
        <v>Esra DOLAN</v>
      </c>
      <c r="AA2282" t="str">
        <f>VLOOKUP(K2282,[1]!Tablo3[#Data],2,FALSE)</f>
        <v>Tayfun VİÇE</v>
      </c>
    </row>
    <row r="2283" spans="1:27" x14ac:dyDescent="0.25">
      <c r="A2283">
        <v>3635</v>
      </c>
      <c r="B2283" t="s">
        <v>27</v>
      </c>
      <c r="C2283" t="s">
        <v>40</v>
      </c>
      <c r="D2283" t="s">
        <v>65</v>
      </c>
      <c r="G2283" t="s">
        <v>67</v>
      </c>
      <c r="H2283" t="s">
        <v>7440</v>
      </c>
      <c r="I2283" s="4">
        <v>43982.875</v>
      </c>
      <c r="K2283" t="s">
        <v>1360</v>
      </c>
      <c r="L2283" s="5"/>
      <c r="M2283" s="5"/>
      <c r="N2283" t="s">
        <v>82</v>
      </c>
      <c r="O2283" t="s">
        <v>7441</v>
      </c>
      <c r="R2283">
        <v>1</v>
      </c>
      <c r="T2283" s="5" t="s">
        <v>48</v>
      </c>
      <c r="U2283" t="s">
        <v>7442</v>
      </c>
      <c r="V2283" t="s">
        <v>7443</v>
      </c>
      <c r="W2283">
        <v>203</v>
      </c>
      <c r="X2283" t="s">
        <v>72</v>
      </c>
      <c r="Y2283" t="str">
        <f>VLOOKUP(C2283,'[1]DBS_KPY Sorumlular'!A:C,2,FALSE)</f>
        <v>Mustafa AYDIN</v>
      </c>
      <c r="Z2283" t="str">
        <f>VLOOKUP(C2283,'[1]DBS_KPY Sorumlular'!A:C,3,FALSE)</f>
        <v>Esra DOLAN</v>
      </c>
      <c r="AA2283" t="str">
        <f>VLOOKUP(K2283,[1]!Tablo3[#Data],2,FALSE)</f>
        <v>Kadir TOPÇU</v>
      </c>
    </row>
    <row r="2284" spans="1:27" x14ac:dyDescent="0.25">
      <c r="A2284">
        <v>3636</v>
      </c>
      <c r="B2284" t="s">
        <v>27</v>
      </c>
      <c r="C2284" t="s">
        <v>40</v>
      </c>
      <c r="D2284" t="s">
        <v>41</v>
      </c>
      <c r="G2284" t="s">
        <v>43</v>
      </c>
      <c r="H2284" t="s">
        <v>7444</v>
      </c>
      <c r="I2284" s="4">
        <v>43982.875</v>
      </c>
      <c r="K2284" t="s">
        <v>1360</v>
      </c>
      <c r="L2284" s="5"/>
      <c r="M2284" s="5"/>
      <c r="N2284" t="s">
        <v>82</v>
      </c>
      <c r="O2284" t="s">
        <v>7445</v>
      </c>
      <c r="R2284">
        <v>1</v>
      </c>
      <c r="T2284" s="5"/>
      <c r="W2284">
        <v>108</v>
      </c>
      <c r="X2284" t="s">
        <v>107</v>
      </c>
      <c r="Y2284" t="str">
        <f>VLOOKUP(C2284,'[1]DBS_KPY Sorumlular'!A:C,2,FALSE)</f>
        <v>Mustafa AYDIN</v>
      </c>
      <c r="Z2284" t="str">
        <f>VLOOKUP(C2284,'[1]DBS_KPY Sorumlular'!A:C,3,FALSE)</f>
        <v>Esra DOLAN</v>
      </c>
      <c r="AA2284" t="str">
        <f>VLOOKUP(K2284,[1]!Tablo3[#Data],2,FALSE)</f>
        <v>Kadir TOPÇU</v>
      </c>
    </row>
    <row r="2285" spans="1:27" x14ac:dyDescent="0.25">
      <c r="A2285">
        <v>3637</v>
      </c>
      <c r="B2285" t="s">
        <v>27</v>
      </c>
      <c r="C2285" t="s">
        <v>40</v>
      </c>
      <c r="D2285" t="s">
        <v>41</v>
      </c>
      <c r="G2285" t="s">
        <v>43</v>
      </c>
      <c r="H2285" t="s">
        <v>7446</v>
      </c>
      <c r="I2285" s="4">
        <v>44347.875</v>
      </c>
      <c r="K2285" t="s">
        <v>1360</v>
      </c>
      <c r="L2285" s="5"/>
      <c r="M2285" s="5"/>
      <c r="N2285" t="s">
        <v>82</v>
      </c>
      <c r="O2285" t="s">
        <v>7447</v>
      </c>
      <c r="R2285">
        <v>1</v>
      </c>
      <c r="T2285" s="5"/>
      <c r="W2285">
        <v>36</v>
      </c>
      <c r="X2285" t="s">
        <v>1051</v>
      </c>
      <c r="Y2285" t="str">
        <f>VLOOKUP(C2285,'[1]DBS_KPY Sorumlular'!A:C,2,FALSE)</f>
        <v>Mustafa AYDIN</v>
      </c>
      <c r="Z2285" t="str">
        <f>VLOOKUP(C2285,'[1]DBS_KPY Sorumlular'!A:C,3,FALSE)</f>
        <v>Esra DOLAN</v>
      </c>
      <c r="AA2285" t="str">
        <f>VLOOKUP(K2285,[1]!Tablo3[#Data],2,FALSE)</f>
        <v>Kadir TOPÇU</v>
      </c>
    </row>
    <row r="2286" spans="1:27" x14ac:dyDescent="0.25">
      <c r="A2286">
        <v>3638</v>
      </c>
      <c r="B2286" t="s">
        <v>27</v>
      </c>
      <c r="C2286" t="s">
        <v>40</v>
      </c>
      <c r="D2286" t="s">
        <v>41</v>
      </c>
      <c r="G2286" t="s">
        <v>43</v>
      </c>
      <c r="H2286" t="s">
        <v>7448</v>
      </c>
      <c r="I2286" s="4">
        <v>44347.875</v>
      </c>
      <c r="K2286" t="s">
        <v>1360</v>
      </c>
      <c r="L2286" s="5"/>
      <c r="M2286" s="5"/>
      <c r="N2286" t="s">
        <v>82</v>
      </c>
      <c r="O2286" t="s">
        <v>7449</v>
      </c>
      <c r="R2286">
        <v>1</v>
      </c>
      <c r="T2286" s="5"/>
      <c r="W2286">
        <v>73</v>
      </c>
      <c r="X2286" t="s">
        <v>1198</v>
      </c>
      <c r="Y2286" t="str">
        <f>VLOOKUP(C2286,'[1]DBS_KPY Sorumlular'!A:C,2,FALSE)</f>
        <v>Mustafa AYDIN</v>
      </c>
      <c r="Z2286" t="str">
        <f>VLOOKUP(C2286,'[1]DBS_KPY Sorumlular'!A:C,3,FALSE)</f>
        <v>Esra DOLAN</v>
      </c>
      <c r="AA2286" t="str">
        <f>VLOOKUP(K2286,[1]!Tablo3[#Data],2,FALSE)</f>
        <v>Kadir TOPÇU</v>
      </c>
    </row>
    <row r="2287" spans="1:27" x14ac:dyDescent="0.25">
      <c r="A2287">
        <v>3639</v>
      </c>
      <c r="B2287" t="s">
        <v>27</v>
      </c>
      <c r="C2287" t="s">
        <v>40</v>
      </c>
      <c r="D2287" t="s">
        <v>41</v>
      </c>
      <c r="G2287" t="s">
        <v>43</v>
      </c>
      <c r="H2287" t="s">
        <v>7450</v>
      </c>
      <c r="I2287" s="4">
        <v>44347.875</v>
      </c>
      <c r="K2287" t="s">
        <v>1360</v>
      </c>
      <c r="L2287" s="5"/>
      <c r="M2287" s="5"/>
      <c r="N2287" t="s">
        <v>82</v>
      </c>
      <c r="O2287" t="s">
        <v>7451</v>
      </c>
      <c r="R2287">
        <v>1</v>
      </c>
      <c r="T2287" s="5"/>
      <c r="W2287">
        <v>6</v>
      </c>
      <c r="X2287" t="s">
        <v>3668</v>
      </c>
      <c r="Y2287" t="str">
        <f>VLOOKUP(C2287,'[1]DBS_KPY Sorumlular'!A:C,2,FALSE)</f>
        <v>Mustafa AYDIN</v>
      </c>
      <c r="Z2287" t="str">
        <f>VLOOKUP(C2287,'[1]DBS_KPY Sorumlular'!A:C,3,FALSE)</f>
        <v>Esra DOLAN</v>
      </c>
      <c r="AA2287" t="str">
        <f>VLOOKUP(K2287,[1]!Tablo3[#Data],2,FALSE)</f>
        <v>Kadir TOPÇU</v>
      </c>
    </row>
    <row r="2288" spans="1:27" x14ac:dyDescent="0.25">
      <c r="A2288">
        <v>3640</v>
      </c>
      <c r="B2288" t="s">
        <v>27</v>
      </c>
      <c r="C2288" t="s">
        <v>40</v>
      </c>
      <c r="D2288" t="s">
        <v>41</v>
      </c>
      <c r="G2288" t="s">
        <v>43</v>
      </c>
      <c r="H2288" t="s">
        <v>7452</v>
      </c>
      <c r="I2288" s="4">
        <v>44347.875</v>
      </c>
      <c r="K2288" t="s">
        <v>1360</v>
      </c>
      <c r="L2288" s="5"/>
      <c r="M2288" s="5"/>
      <c r="N2288" t="s">
        <v>82</v>
      </c>
      <c r="O2288" t="s">
        <v>7453</v>
      </c>
      <c r="R2288">
        <v>1</v>
      </c>
      <c r="T2288" s="5"/>
      <c r="W2288">
        <v>137</v>
      </c>
      <c r="X2288" t="s">
        <v>125</v>
      </c>
      <c r="Y2288" t="str">
        <f>VLOOKUP(C2288,'[1]DBS_KPY Sorumlular'!A:C,2,FALSE)</f>
        <v>Mustafa AYDIN</v>
      </c>
      <c r="Z2288" t="str">
        <f>VLOOKUP(C2288,'[1]DBS_KPY Sorumlular'!A:C,3,FALSE)</f>
        <v>Esra DOLAN</v>
      </c>
      <c r="AA2288" t="str">
        <f>VLOOKUP(K2288,[1]!Tablo3[#Data],2,FALSE)</f>
        <v>Kadir TOPÇU</v>
      </c>
    </row>
    <row r="2289" spans="1:27" x14ac:dyDescent="0.25">
      <c r="A2289">
        <v>3641</v>
      </c>
      <c r="B2289" t="s">
        <v>27</v>
      </c>
      <c r="C2289" t="s">
        <v>40</v>
      </c>
      <c r="D2289" t="s">
        <v>41</v>
      </c>
      <c r="G2289" t="s">
        <v>43</v>
      </c>
      <c r="H2289" t="s">
        <v>7454</v>
      </c>
      <c r="I2289" s="4">
        <v>44347.875</v>
      </c>
      <c r="K2289" t="s">
        <v>1360</v>
      </c>
      <c r="L2289" s="5"/>
      <c r="M2289" s="5"/>
      <c r="N2289" t="s">
        <v>82</v>
      </c>
      <c r="O2289" t="s">
        <v>7455</v>
      </c>
      <c r="R2289">
        <v>1</v>
      </c>
      <c r="T2289" s="5"/>
      <c r="W2289">
        <v>72</v>
      </c>
      <c r="X2289" t="s">
        <v>341</v>
      </c>
      <c r="Y2289" t="str">
        <f>VLOOKUP(C2289,'[1]DBS_KPY Sorumlular'!A:C,2,FALSE)</f>
        <v>Mustafa AYDIN</v>
      </c>
      <c r="Z2289" t="str">
        <f>VLOOKUP(C2289,'[1]DBS_KPY Sorumlular'!A:C,3,FALSE)</f>
        <v>Esra DOLAN</v>
      </c>
      <c r="AA2289" t="str">
        <f>VLOOKUP(K2289,[1]!Tablo3[#Data],2,FALSE)</f>
        <v>Kadir TOPÇU</v>
      </c>
    </row>
    <row r="2290" spans="1:27" x14ac:dyDescent="0.25">
      <c r="A2290">
        <v>3642</v>
      </c>
      <c r="B2290" t="s">
        <v>27</v>
      </c>
      <c r="C2290" t="s">
        <v>40</v>
      </c>
      <c r="D2290" t="s">
        <v>41</v>
      </c>
      <c r="G2290" t="s">
        <v>67</v>
      </c>
      <c r="H2290" t="s">
        <v>7456</v>
      </c>
      <c r="I2290" s="4">
        <v>45077.875</v>
      </c>
      <c r="K2290" t="s">
        <v>1360</v>
      </c>
      <c r="L2290" s="5"/>
      <c r="M2290" s="5"/>
      <c r="N2290" t="s">
        <v>82</v>
      </c>
      <c r="O2290" t="s">
        <v>7457</v>
      </c>
      <c r="R2290">
        <v>1</v>
      </c>
      <c r="T2290" s="5"/>
      <c r="W2290">
        <v>203</v>
      </c>
      <c r="X2290" t="s">
        <v>72</v>
      </c>
      <c r="Y2290" t="str">
        <f>VLOOKUP(C2290,'[1]DBS_KPY Sorumlular'!A:C,2,FALSE)</f>
        <v>Mustafa AYDIN</v>
      </c>
      <c r="Z2290" t="str">
        <f>VLOOKUP(C2290,'[1]DBS_KPY Sorumlular'!A:C,3,FALSE)</f>
        <v>Esra DOLAN</v>
      </c>
      <c r="AA2290" t="str">
        <f>VLOOKUP(K2290,[1]!Tablo3[#Data],2,FALSE)</f>
        <v>Kadir TOPÇU</v>
      </c>
    </row>
    <row r="2291" spans="1:27" x14ac:dyDescent="0.25">
      <c r="A2291">
        <v>3643</v>
      </c>
      <c r="B2291" t="s">
        <v>27</v>
      </c>
      <c r="C2291" t="s">
        <v>40</v>
      </c>
      <c r="D2291" t="s">
        <v>41</v>
      </c>
      <c r="G2291" t="s">
        <v>43</v>
      </c>
      <c r="H2291" t="s">
        <v>7458</v>
      </c>
      <c r="I2291" s="4">
        <v>45077.875</v>
      </c>
      <c r="K2291" t="s">
        <v>1360</v>
      </c>
      <c r="L2291" s="5"/>
      <c r="M2291" s="5"/>
      <c r="N2291" t="s">
        <v>82</v>
      </c>
      <c r="O2291" t="s">
        <v>7459</v>
      </c>
      <c r="R2291">
        <v>1</v>
      </c>
      <c r="T2291" s="5"/>
      <c r="W2291">
        <v>210</v>
      </c>
      <c r="X2291" t="s">
        <v>7053</v>
      </c>
      <c r="Y2291" t="str">
        <f>VLOOKUP(C2291,'[1]DBS_KPY Sorumlular'!A:C,2,FALSE)</f>
        <v>Mustafa AYDIN</v>
      </c>
      <c r="Z2291" t="str">
        <f>VLOOKUP(C2291,'[1]DBS_KPY Sorumlular'!A:C,3,FALSE)</f>
        <v>Esra DOLAN</v>
      </c>
      <c r="AA2291" t="str">
        <f>VLOOKUP(K2291,[1]!Tablo3[#Data],2,FALSE)</f>
        <v>Kadir TOPÇU</v>
      </c>
    </row>
    <row r="2292" spans="1:27" x14ac:dyDescent="0.25">
      <c r="A2292">
        <v>3644</v>
      </c>
      <c r="B2292" t="s">
        <v>27</v>
      </c>
      <c r="C2292" t="s">
        <v>40</v>
      </c>
      <c r="D2292" t="s">
        <v>41</v>
      </c>
      <c r="G2292" t="s">
        <v>43</v>
      </c>
      <c r="H2292" t="s">
        <v>7460</v>
      </c>
      <c r="I2292" s="4">
        <v>45077.875</v>
      </c>
      <c r="K2292" t="s">
        <v>1360</v>
      </c>
      <c r="L2292" s="5"/>
      <c r="M2292" s="5"/>
      <c r="N2292" t="s">
        <v>82</v>
      </c>
      <c r="O2292" t="s">
        <v>7459</v>
      </c>
      <c r="R2292">
        <v>1</v>
      </c>
      <c r="T2292" s="5"/>
      <c r="W2292">
        <v>86</v>
      </c>
      <c r="X2292" t="s">
        <v>189</v>
      </c>
      <c r="Y2292" t="str">
        <f>VLOOKUP(C2292,'[1]DBS_KPY Sorumlular'!A:C,2,FALSE)</f>
        <v>Mustafa AYDIN</v>
      </c>
      <c r="Z2292" t="str">
        <f>VLOOKUP(C2292,'[1]DBS_KPY Sorumlular'!A:C,3,FALSE)</f>
        <v>Esra DOLAN</v>
      </c>
      <c r="AA2292" t="str">
        <f>VLOOKUP(K2292,[1]!Tablo3[#Data],2,FALSE)</f>
        <v>Kadir TOPÇU</v>
      </c>
    </row>
    <row r="2293" spans="1:27" x14ac:dyDescent="0.25">
      <c r="A2293">
        <v>3645</v>
      </c>
      <c r="B2293" t="s">
        <v>27</v>
      </c>
      <c r="C2293" t="s">
        <v>40</v>
      </c>
      <c r="D2293" t="s">
        <v>41</v>
      </c>
      <c r="G2293" t="s">
        <v>43</v>
      </c>
      <c r="H2293" t="s">
        <v>7461</v>
      </c>
      <c r="I2293" s="4">
        <v>45077.875</v>
      </c>
      <c r="K2293" t="s">
        <v>1360</v>
      </c>
      <c r="L2293" s="5"/>
      <c r="M2293" s="5"/>
      <c r="N2293" t="s">
        <v>82</v>
      </c>
      <c r="O2293" t="s">
        <v>7462</v>
      </c>
      <c r="R2293">
        <v>1</v>
      </c>
      <c r="T2293" s="5"/>
      <c r="W2293">
        <v>73</v>
      </c>
      <c r="X2293" t="s">
        <v>1198</v>
      </c>
      <c r="Y2293" t="str">
        <f>VLOOKUP(C2293,'[1]DBS_KPY Sorumlular'!A:C,2,FALSE)</f>
        <v>Mustafa AYDIN</v>
      </c>
      <c r="Z2293" t="str">
        <f>VLOOKUP(C2293,'[1]DBS_KPY Sorumlular'!A:C,3,FALSE)</f>
        <v>Esra DOLAN</v>
      </c>
      <c r="AA2293" t="str">
        <f>VLOOKUP(K2293,[1]!Tablo3[#Data],2,FALSE)</f>
        <v>Kadir TOPÇU</v>
      </c>
    </row>
    <row r="2294" spans="1:27" x14ac:dyDescent="0.25">
      <c r="A2294">
        <v>3646</v>
      </c>
      <c r="B2294" t="s">
        <v>27</v>
      </c>
      <c r="C2294" t="s">
        <v>40</v>
      </c>
      <c r="D2294" t="s">
        <v>41</v>
      </c>
      <c r="G2294" t="s">
        <v>43</v>
      </c>
      <c r="H2294" t="s">
        <v>7463</v>
      </c>
      <c r="I2294" s="4">
        <v>45077.875</v>
      </c>
      <c r="K2294" t="s">
        <v>1360</v>
      </c>
      <c r="L2294" s="5"/>
      <c r="M2294" s="5"/>
      <c r="N2294" t="s">
        <v>82</v>
      </c>
      <c r="O2294" t="s">
        <v>7464</v>
      </c>
      <c r="R2294">
        <v>1</v>
      </c>
      <c r="T2294" s="5"/>
      <c r="W2294">
        <v>210</v>
      </c>
      <c r="X2294" t="s">
        <v>7053</v>
      </c>
      <c r="Y2294" t="str">
        <f>VLOOKUP(C2294,'[1]DBS_KPY Sorumlular'!A:C,2,FALSE)</f>
        <v>Mustafa AYDIN</v>
      </c>
      <c r="Z2294" t="str">
        <f>VLOOKUP(C2294,'[1]DBS_KPY Sorumlular'!A:C,3,FALSE)</f>
        <v>Esra DOLAN</v>
      </c>
      <c r="AA2294" t="str">
        <f>VLOOKUP(K2294,[1]!Tablo3[#Data],2,FALSE)</f>
        <v>Kadir TOPÇU</v>
      </c>
    </row>
    <row r="2295" spans="1:27" x14ac:dyDescent="0.25">
      <c r="A2295">
        <v>3647</v>
      </c>
      <c r="B2295" t="s">
        <v>27</v>
      </c>
      <c r="C2295" t="s">
        <v>40</v>
      </c>
      <c r="D2295" t="s">
        <v>41</v>
      </c>
      <c r="G2295" t="s">
        <v>43</v>
      </c>
      <c r="H2295" t="s">
        <v>7465</v>
      </c>
      <c r="I2295" s="4">
        <v>45443.875</v>
      </c>
      <c r="K2295" t="s">
        <v>1360</v>
      </c>
      <c r="L2295" s="5"/>
      <c r="M2295" s="5"/>
      <c r="N2295" t="s">
        <v>82</v>
      </c>
      <c r="O2295" t="s">
        <v>7466</v>
      </c>
      <c r="R2295">
        <v>1</v>
      </c>
      <c r="T2295" s="5"/>
      <c r="W2295">
        <v>108</v>
      </c>
      <c r="X2295" t="s">
        <v>107</v>
      </c>
      <c r="Y2295" t="str">
        <f>VLOOKUP(C2295,'[1]DBS_KPY Sorumlular'!A:C,2,FALSE)</f>
        <v>Mustafa AYDIN</v>
      </c>
      <c r="Z2295" t="str">
        <f>VLOOKUP(C2295,'[1]DBS_KPY Sorumlular'!A:C,3,FALSE)</f>
        <v>Esra DOLAN</v>
      </c>
      <c r="AA2295" t="str">
        <f>VLOOKUP(K2295,[1]!Tablo3[#Data],2,FALSE)</f>
        <v>Kadir TOPÇU</v>
      </c>
    </row>
    <row r="2296" spans="1:27" x14ac:dyDescent="0.25">
      <c r="A2296">
        <v>3648</v>
      </c>
      <c r="B2296" t="s">
        <v>27</v>
      </c>
      <c r="C2296" t="s">
        <v>40</v>
      </c>
      <c r="D2296" t="s">
        <v>41</v>
      </c>
      <c r="G2296" t="s">
        <v>43</v>
      </c>
      <c r="H2296" t="s">
        <v>7467</v>
      </c>
      <c r="I2296" s="4">
        <v>45443.875</v>
      </c>
      <c r="K2296" t="s">
        <v>1360</v>
      </c>
      <c r="L2296" s="5"/>
      <c r="M2296" s="5"/>
      <c r="N2296" t="s">
        <v>82</v>
      </c>
      <c r="O2296" t="s">
        <v>7468</v>
      </c>
      <c r="R2296">
        <v>1</v>
      </c>
      <c r="T2296" s="5"/>
      <c r="W2296">
        <v>68</v>
      </c>
      <c r="X2296" t="s">
        <v>51</v>
      </c>
      <c r="Y2296" t="str">
        <f>VLOOKUP(C2296,'[1]DBS_KPY Sorumlular'!A:C,2,FALSE)</f>
        <v>Mustafa AYDIN</v>
      </c>
      <c r="Z2296" t="str">
        <f>VLOOKUP(C2296,'[1]DBS_KPY Sorumlular'!A:C,3,FALSE)</f>
        <v>Esra DOLAN</v>
      </c>
      <c r="AA2296" t="str">
        <f>VLOOKUP(K2296,[1]!Tablo3[#Data],2,FALSE)</f>
        <v>Kadir TOPÇU</v>
      </c>
    </row>
    <row r="2297" spans="1:27" x14ac:dyDescent="0.25">
      <c r="A2297">
        <v>3649</v>
      </c>
      <c r="B2297" t="s">
        <v>27</v>
      </c>
      <c r="C2297" t="s">
        <v>40</v>
      </c>
      <c r="D2297" t="s">
        <v>41</v>
      </c>
      <c r="G2297" t="s">
        <v>30</v>
      </c>
      <c r="H2297" t="s">
        <v>7469</v>
      </c>
      <c r="I2297" s="4">
        <v>44712.875</v>
      </c>
      <c r="K2297" t="s">
        <v>1398</v>
      </c>
      <c r="L2297" s="5"/>
      <c r="M2297" s="5"/>
      <c r="N2297" t="s">
        <v>82</v>
      </c>
      <c r="O2297" t="s">
        <v>7470</v>
      </c>
      <c r="R2297">
        <v>1</v>
      </c>
      <c r="T2297" s="5"/>
      <c r="W2297">
        <v>79</v>
      </c>
      <c r="X2297" t="s">
        <v>1619</v>
      </c>
      <c r="Y2297" t="str">
        <f>VLOOKUP(C2297,'[1]DBS_KPY Sorumlular'!A:C,2,FALSE)</f>
        <v>Mustafa AYDIN</v>
      </c>
      <c r="Z2297" t="str">
        <f>VLOOKUP(C2297,'[1]DBS_KPY Sorumlular'!A:C,3,FALSE)</f>
        <v>Esra DOLAN</v>
      </c>
      <c r="AA2297" t="str">
        <f>VLOOKUP(K2297,[1]!Tablo3[#Data],2,FALSE)</f>
        <v>Tayfun VİÇE</v>
      </c>
    </row>
    <row r="2298" spans="1:27" x14ac:dyDescent="0.25">
      <c r="A2298">
        <v>3650</v>
      </c>
      <c r="B2298" t="s">
        <v>27</v>
      </c>
      <c r="C2298" t="s">
        <v>40</v>
      </c>
      <c r="D2298" t="s">
        <v>41</v>
      </c>
      <c r="G2298" t="s">
        <v>43</v>
      </c>
      <c r="H2298" t="s">
        <v>7471</v>
      </c>
      <c r="I2298" s="4">
        <v>45443.875</v>
      </c>
      <c r="K2298" t="s">
        <v>1398</v>
      </c>
      <c r="L2298" s="5"/>
      <c r="M2298" s="5"/>
      <c r="N2298" t="s">
        <v>82</v>
      </c>
      <c r="O2298" t="s">
        <v>7472</v>
      </c>
      <c r="R2298">
        <v>1</v>
      </c>
      <c r="T2298" s="5"/>
      <c r="W2298">
        <v>81</v>
      </c>
      <c r="X2298" t="s">
        <v>6658</v>
      </c>
      <c r="Y2298" t="str">
        <f>VLOOKUP(C2298,'[1]DBS_KPY Sorumlular'!A:C,2,FALSE)</f>
        <v>Mustafa AYDIN</v>
      </c>
      <c r="Z2298" t="str">
        <f>VLOOKUP(C2298,'[1]DBS_KPY Sorumlular'!A:C,3,FALSE)</f>
        <v>Esra DOLAN</v>
      </c>
      <c r="AA2298" t="str">
        <f>VLOOKUP(K2298,[1]!Tablo3[#Data],2,FALSE)</f>
        <v>Tayfun VİÇE</v>
      </c>
    </row>
    <row r="2299" spans="1:27" x14ac:dyDescent="0.25">
      <c r="A2299">
        <v>3651</v>
      </c>
      <c r="B2299" t="s">
        <v>27</v>
      </c>
      <c r="C2299" t="s">
        <v>40</v>
      </c>
      <c r="D2299" t="s">
        <v>41</v>
      </c>
      <c r="G2299" t="s">
        <v>43</v>
      </c>
      <c r="H2299" t="s">
        <v>7473</v>
      </c>
      <c r="I2299" s="4">
        <v>45443.875</v>
      </c>
      <c r="K2299" t="s">
        <v>1398</v>
      </c>
      <c r="L2299" s="5"/>
      <c r="M2299" s="5"/>
      <c r="N2299" t="s">
        <v>82</v>
      </c>
      <c r="O2299" t="s">
        <v>7474</v>
      </c>
      <c r="R2299">
        <v>1</v>
      </c>
      <c r="T2299" s="5"/>
      <c r="W2299">
        <v>108</v>
      </c>
      <c r="X2299" t="s">
        <v>107</v>
      </c>
      <c r="Y2299" t="str">
        <f>VLOOKUP(C2299,'[1]DBS_KPY Sorumlular'!A:C,2,FALSE)</f>
        <v>Mustafa AYDIN</v>
      </c>
      <c r="Z2299" t="str">
        <f>VLOOKUP(C2299,'[1]DBS_KPY Sorumlular'!A:C,3,FALSE)</f>
        <v>Esra DOLAN</v>
      </c>
      <c r="AA2299" t="str">
        <f>VLOOKUP(K2299,[1]!Tablo3[#Data],2,FALSE)</f>
        <v>Tayfun VİÇE</v>
      </c>
    </row>
    <row r="2300" spans="1:27" x14ac:dyDescent="0.25">
      <c r="A2300">
        <v>3652</v>
      </c>
      <c r="B2300" t="s">
        <v>27</v>
      </c>
      <c r="C2300" t="s">
        <v>40</v>
      </c>
      <c r="D2300" t="s">
        <v>41</v>
      </c>
      <c r="G2300" t="s">
        <v>43</v>
      </c>
      <c r="H2300" t="s">
        <v>7475</v>
      </c>
      <c r="I2300" s="4">
        <v>43982.875</v>
      </c>
      <c r="K2300" t="s">
        <v>423</v>
      </c>
      <c r="L2300" s="5"/>
      <c r="M2300" s="5"/>
      <c r="N2300" t="s">
        <v>82</v>
      </c>
      <c r="O2300" t="s">
        <v>7476</v>
      </c>
      <c r="R2300">
        <v>1</v>
      </c>
      <c r="T2300" s="5"/>
      <c r="W2300">
        <v>72</v>
      </c>
      <c r="X2300" t="s">
        <v>341</v>
      </c>
      <c r="Y2300" t="str">
        <f>VLOOKUP(C2300,'[1]DBS_KPY Sorumlular'!A:C,2,FALSE)</f>
        <v>Mustafa AYDIN</v>
      </c>
      <c r="Z2300" t="str">
        <f>VLOOKUP(C2300,'[1]DBS_KPY Sorumlular'!A:C,3,FALSE)</f>
        <v>Esra DOLAN</v>
      </c>
      <c r="AA2300" t="str">
        <f>VLOOKUP(K2300,[1]!Tablo3[#Data],2,FALSE)</f>
        <v>Kadir TOPÇU</v>
      </c>
    </row>
    <row r="2301" spans="1:27" x14ac:dyDescent="0.25">
      <c r="A2301">
        <v>3653</v>
      </c>
      <c r="B2301" t="s">
        <v>27</v>
      </c>
      <c r="C2301" t="s">
        <v>40</v>
      </c>
      <c r="D2301" t="s">
        <v>41</v>
      </c>
      <c r="G2301" t="s">
        <v>43</v>
      </c>
      <c r="H2301" t="s">
        <v>7477</v>
      </c>
      <c r="I2301" s="4">
        <v>44347.875</v>
      </c>
      <c r="K2301" t="s">
        <v>423</v>
      </c>
      <c r="L2301" s="5"/>
      <c r="M2301" s="5"/>
      <c r="N2301" t="s">
        <v>82</v>
      </c>
      <c r="O2301" t="s">
        <v>7478</v>
      </c>
      <c r="R2301">
        <v>1</v>
      </c>
      <c r="T2301" s="5"/>
      <c r="W2301">
        <v>73</v>
      </c>
      <c r="X2301" t="s">
        <v>1198</v>
      </c>
      <c r="Y2301" t="str">
        <f>VLOOKUP(C2301,'[1]DBS_KPY Sorumlular'!A:C,2,FALSE)</f>
        <v>Mustafa AYDIN</v>
      </c>
      <c r="Z2301" t="str">
        <f>VLOOKUP(C2301,'[1]DBS_KPY Sorumlular'!A:C,3,FALSE)</f>
        <v>Esra DOLAN</v>
      </c>
      <c r="AA2301" t="str">
        <f>VLOOKUP(K2301,[1]!Tablo3[#Data],2,FALSE)</f>
        <v>Kadir TOPÇU</v>
      </c>
    </row>
    <row r="2302" spans="1:27" x14ac:dyDescent="0.25">
      <c r="A2302">
        <v>3654</v>
      </c>
      <c r="B2302" t="s">
        <v>27</v>
      </c>
      <c r="C2302" t="s">
        <v>40</v>
      </c>
      <c r="D2302" t="s">
        <v>41</v>
      </c>
      <c r="G2302" t="s">
        <v>96</v>
      </c>
      <c r="H2302" t="s">
        <v>7479</v>
      </c>
      <c r="I2302" s="4">
        <v>44347.875</v>
      </c>
      <c r="K2302" t="s">
        <v>423</v>
      </c>
      <c r="L2302" s="5"/>
      <c r="M2302" s="5"/>
      <c r="N2302" t="s">
        <v>82</v>
      </c>
      <c r="O2302" t="s">
        <v>7480</v>
      </c>
      <c r="R2302">
        <v>1</v>
      </c>
      <c r="T2302" s="5"/>
      <c r="W2302">
        <v>91</v>
      </c>
      <c r="X2302" t="s">
        <v>101</v>
      </c>
      <c r="Y2302" t="str">
        <f>VLOOKUP(C2302,'[1]DBS_KPY Sorumlular'!A:C,2,FALSE)</f>
        <v>Mustafa AYDIN</v>
      </c>
      <c r="Z2302" t="str">
        <f>VLOOKUP(C2302,'[1]DBS_KPY Sorumlular'!A:C,3,FALSE)</f>
        <v>Esra DOLAN</v>
      </c>
      <c r="AA2302" t="str">
        <f>VLOOKUP(K2302,[1]!Tablo3[#Data],2,FALSE)</f>
        <v>Kadir TOPÇU</v>
      </c>
    </row>
    <row r="2303" spans="1:27" x14ac:dyDescent="0.25">
      <c r="A2303">
        <v>3655</v>
      </c>
      <c r="B2303" t="s">
        <v>27</v>
      </c>
      <c r="C2303" t="s">
        <v>40</v>
      </c>
      <c r="D2303" t="s">
        <v>41</v>
      </c>
      <c r="G2303" t="s">
        <v>43</v>
      </c>
      <c r="H2303" t="s">
        <v>7481</v>
      </c>
      <c r="I2303" s="4">
        <v>44347.875</v>
      </c>
      <c r="K2303" t="s">
        <v>423</v>
      </c>
      <c r="L2303" s="5"/>
      <c r="M2303" s="5"/>
      <c r="N2303" t="s">
        <v>82</v>
      </c>
      <c r="O2303" t="s">
        <v>7482</v>
      </c>
      <c r="R2303">
        <v>1</v>
      </c>
      <c r="T2303" s="5"/>
      <c r="W2303">
        <v>137</v>
      </c>
      <c r="X2303" t="s">
        <v>125</v>
      </c>
      <c r="Y2303" t="str">
        <f>VLOOKUP(C2303,'[1]DBS_KPY Sorumlular'!A:C,2,FALSE)</f>
        <v>Mustafa AYDIN</v>
      </c>
      <c r="Z2303" t="str">
        <f>VLOOKUP(C2303,'[1]DBS_KPY Sorumlular'!A:C,3,FALSE)</f>
        <v>Esra DOLAN</v>
      </c>
      <c r="AA2303" t="str">
        <f>VLOOKUP(K2303,[1]!Tablo3[#Data],2,FALSE)</f>
        <v>Kadir TOPÇU</v>
      </c>
    </row>
    <row r="2304" spans="1:27" x14ac:dyDescent="0.25">
      <c r="A2304">
        <v>3656</v>
      </c>
      <c r="B2304" t="s">
        <v>27</v>
      </c>
      <c r="C2304" t="s">
        <v>40</v>
      </c>
      <c r="D2304" t="s">
        <v>41</v>
      </c>
      <c r="G2304" t="s">
        <v>43</v>
      </c>
      <c r="H2304" t="s">
        <v>7483</v>
      </c>
      <c r="I2304" s="4">
        <v>45077.875</v>
      </c>
      <c r="K2304" t="s">
        <v>423</v>
      </c>
      <c r="L2304" s="5"/>
      <c r="M2304" s="5"/>
      <c r="N2304" t="s">
        <v>82</v>
      </c>
      <c r="O2304" t="s">
        <v>7484</v>
      </c>
      <c r="R2304">
        <v>1</v>
      </c>
      <c r="T2304" s="5"/>
      <c r="W2304">
        <v>72</v>
      </c>
      <c r="X2304" t="s">
        <v>341</v>
      </c>
      <c r="Y2304" t="str">
        <f>VLOOKUP(C2304,'[1]DBS_KPY Sorumlular'!A:C,2,FALSE)</f>
        <v>Mustafa AYDIN</v>
      </c>
      <c r="Z2304" t="str">
        <f>VLOOKUP(C2304,'[1]DBS_KPY Sorumlular'!A:C,3,FALSE)</f>
        <v>Esra DOLAN</v>
      </c>
      <c r="AA2304" t="str">
        <f>VLOOKUP(K2304,[1]!Tablo3[#Data],2,FALSE)</f>
        <v>Kadir TOPÇU</v>
      </c>
    </row>
    <row r="2305" spans="1:27" x14ac:dyDescent="0.25">
      <c r="A2305">
        <v>3657</v>
      </c>
      <c r="B2305" t="s">
        <v>27</v>
      </c>
      <c r="C2305" t="s">
        <v>40</v>
      </c>
      <c r="D2305" t="s">
        <v>41</v>
      </c>
      <c r="G2305" t="s">
        <v>456</v>
      </c>
      <c r="H2305" t="s">
        <v>7485</v>
      </c>
      <c r="I2305" s="4">
        <v>45077.875</v>
      </c>
      <c r="K2305" t="s">
        <v>423</v>
      </c>
      <c r="L2305" s="5"/>
      <c r="M2305" s="5"/>
      <c r="N2305" t="s">
        <v>82</v>
      </c>
      <c r="O2305" t="s">
        <v>7486</v>
      </c>
      <c r="R2305">
        <v>1</v>
      </c>
      <c r="T2305" s="5"/>
      <c r="W2305">
        <v>144</v>
      </c>
      <c r="X2305" t="s">
        <v>463</v>
      </c>
      <c r="Y2305" t="str">
        <f>VLOOKUP(C2305,'[1]DBS_KPY Sorumlular'!A:C,2,FALSE)</f>
        <v>Mustafa AYDIN</v>
      </c>
      <c r="Z2305" t="str">
        <f>VLOOKUP(C2305,'[1]DBS_KPY Sorumlular'!A:C,3,FALSE)</f>
        <v>Esra DOLAN</v>
      </c>
      <c r="AA2305" t="str">
        <f>VLOOKUP(K2305,[1]!Tablo3[#Data],2,FALSE)</f>
        <v>Kadir TOPÇU</v>
      </c>
    </row>
    <row r="2306" spans="1:27" x14ac:dyDescent="0.25">
      <c r="A2306">
        <v>3658</v>
      </c>
      <c r="B2306" t="s">
        <v>27</v>
      </c>
      <c r="C2306" t="s">
        <v>40</v>
      </c>
      <c r="D2306" t="s">
        <v>41</v>
      </c>
      <c r="G2306" t="s">
        <v>67</v>
      </c>
      <c r="H2306" t="s">
        <v>7487</v>
      </c>
      <c r="I2306" s="4">
        <v>45077.875</v>
      </c>
      <c r="K2306" t="s">
        <v>423</v>
      </c>
      <c r="L2306" s="5"/>
      <c r="M2306" s="5"/>
      <c r="N2306" t="s">
        <v>82</v>
      </c>
      <c r="O2306" t="s">
        <v>7488</v>
      </c>
      <c r="R2306">
        <v>1</v>
      </c>
      <c r="T2306" s="5"/>
      <c r="W2306">
        <v>203</v>
      </c>
      <c r="X2306" t="s">
        <v>72</v>
      </c>
      <c r="Y2306" t="str">
        <f>VLOOKUP(C2306,'[1]DBS_KPY Sorumlular'!A:C,2,FALSE)</f>
        <v>Mustafa AYDIN</v>
      </c>
      <c r="Z2306" t="str">
        <f>VLOOKUP(C2306,'[1]DBS_KPY Sorumlular'!A:C,3,FALSE)</f>
        <v>Esra DOLAN</v>
      </c>
      <c r="AA2306" t="str">
        <f>VLOOKUP(K2306,[1]!Tablo3[#Data],2,FALSE)</f>
        <v>Kadir TOPÇU</v>
      </c>
    </row>
    <row r="2307" spans="1:27" x14ac:dyDescent="0.25">
      <c r="A2307">
        <v>3659</v>
      </c>
      <c r="B2307" t="s">
        <v>27</v>
      </c>
      <c r="C2307" t="s">
        <v>40</v>
      </c>
      <c r="D2307" t="s">
        <v>41</v>
      </c>
      <c r="G2307" t="s">
        <v>67</v>
      </c>
      <c r="H2307" t="s">
        <v>7489</v>
      </c>
      <c r="I2307" s="4">
        <v>45443.875</v>
      </c>
      <c r="K2307" t="s">
        <v>423</v>
      </c>
      <c r="L2307" s="5"/>
      <c r="M2307" s="5"/>
      <c r="N2307" t="s">
        <v>82</v>
      </c>
      <c r="O2307" t="s">
        <v>7490</v>
      </c>
      <c r="R2307">
        <v>1</v>
      </c>
      <c r="T2307" s="5"/>
      <c r="W2307">
        <v>203</v>
      </c>
      <c r="X2307" t="s">
        <v>72</v>
      </c>
      <c r="Y2307" t="str">
        <f>VLOOKUP(C2307,'[1]DBS_KPY Sorumlular'!A:C,2,FALSE)</f>
        <v>Mustafa AYDIN</v>
      </c>
      <c r="Z2307" t="str">
        <f>VLOOKUP(C2307,'[1]DBS_KPY Sorumlular'!A:C,3,FALSE)</f>
        <v>Esra DOLAN</v>
      </c>
      <c r="AA2307" t="str">
        <f>VLOOKUP(K2307,[1]!Tablo3[#Data],2,FALSE)</f>
        <v>Kadir TOPÇU</v>
      </c>
    </row>
    <row r="2308" spans="1:27" x14ac:dyDescent="0.25">
      <c r="A2308">
        <v>3660</v>
      </c>
      <c r="B2308" t="s">
        <v>27</v>
      </c>
      <c r="C2308" t="s">
        <v>40</v>
      </c>
      <c r="D2308" t="s">
        <v>41</v>
      </c>
      <c r="G2308" t="s">
        <v>96</v>
      </c>
      <c r="H2308" t="s">
        <v>7491</v>
      </c>
      <c r="I2308" s="4">
        <v>45443.875</v>
      </c>
      <c r="K2308" t="s">
        <v>423</v>
      </c>
      <c r="L2308" s="5"/>
      <c r="M2308" s="5"/>
      <c r="N2308" t="s">
        <v>82</v>
      </c>
      <c r="O2308" t="s">
        <v>7492</v>
      </c>
      <c r="R2308">
        <v>1</v>
      </c>
      <c r="T2308" s="5"/>
      <c r="W2308">
        <v>91</v>
      </c>
      <c r="X2308" t="s">
        <v>101</v>
      </c>
      <c r="Y2308" t="str">
        <f>VLOOKUP(C2308,'[1]DBS_KPY Sorumlular'!A:C,2,FALSE)</f>
        <v>Mustafa AYDIN</v>
      </c>
      <c r="Z2308" t="str">
        <f>VLOOKUP(C2308,'[1]DBS_KPY Sorumlular'!A:C,3,FALSE)</f>
        <v>Esra DOLAN</v>
      </c>
      <c r="AA2308" t="str">
        <f>VLOOKUP(K2308,[1]!Tablo3[#Data],2,FALSE)</f>
        <v>Kadir TOPÇU</v>
      </c>
    </row>
    <row r="2309" spans="1:27" x14ac:dyDescent="0.25">
      <c r="A2309">
        <v>3661</v>
      </c>
      <c r="B2309" t="s">
        <v>27</v>
      </c>
      <c r="C2309" t="s">
        <v>40</v>
      </c>
      <c r="D2309" t="s">
        <v>41</v>
      </c>
      <c r="G2309" t="s">
        <v>67</v>
      </c>
      <c r="H2309" t="s">
        <v>7493</v>
      </c>
      <c r="I2309" s="4">
        <v>43982.875</v>
      </c>
      <c r="K2309" t="s">
        <v>1471</v>
      </c>
      <c r="L2309" s="5"/>
      <c r="M2309" s="5"/>
      <c r="N2309" t="s">
        <v>82</v>
      </c>
      <c r="O2309" t="s">
        <v>7494</v>
      </c>
      <c r="R2309">
        <v>1</v>
      </c>
      <c r="T2309" s="5"/>
      <c r="W2309">
        <v>104</v>
      </c>
      <c r="X2309" t="s">
        <v>703</v>
      </c>
      <c r="Y2309" t="str">
        <f>VLOOKUP(C2309,'[1]DBS_KPY Sorumlular'!A:C,2,FALSE)</f>
        <v>Mustafa AYDIN</v>
      </c>
      <c r="Z2309" t="str">
        <f>VLOOKUP(C2309,'[1]DBS_KPY Sorumlular'!A:C,3,FALSE)</f>
        <v>Esra DOLAN</v>
      </c>
      <c r="AA2309" t="str">
        <f>VLOOKUP(K2309,[1]!Tablo3[#Data],2,FALSE)</f>
        <v>Tayfun VİÇE</v>
      </c>
    </row>
    <row r="2310" spans="1:27" x14ac:dyDescent="0.25">
      <c r="A2310">
        <v>3662</v>
      </c>
      <c r="B2310" t="s">
        <v>27</v>
      </c>
      <c r="C2310" t="s">
        <v>40</v>
      </c>
      <c r="D2310" t="s">
        <v>41</v>
      </c>
      <c r="G2310" t="s">
        <v>67</v>
      </c>
      <c r="H2310" t="s">
        <v>7495</v>
      </c>
      <c r="I2310" s="4">
        <v>43982.875</v>
      </c>
      <c r="K2310" t="s">
        <v>1471</v>
      </c>
      <c r="L2310" s="5"/>
      <c r="M2310" s="5"/>
      <c r="N2310" t="s">
        <v>82</v>
      </c>
      <c r="O2310" t="s">
        <v>7496</v>
      </c>
      <c r="R2310">
        <v>1</v>
      </c>
      <c r="T2310" s="5"/>
      <c r="W2310">
        <v>104</v>
      </c>
      <c r="X2310" t="s">
        <v>703</v>
      </c>
      <c r="Y2310" t="str">
        <f>VLOOKUP(C2310,'[1]DBS_KPY Sorumlular'!A:C,2,FALSE)</f>
        <v>Mustafa AYDIN</v>
      </c>
      <c r="Z2310" t="str">
        <f>VLOOKUP(C2310,'[1]DBS_KPY Sorumlular'!A:C,3,FALSE)</f>
        <v>Esra DOLAN</v>
      </c>
      <c r="AA2310" t="str">
        <f>VLOOKUP(K2310,[1]!Tablo3[#Data],2,FALSE)</f>
        <v>Tayfun VİÇE</v>
      </c>
    </row>
    <row r="2311" spans="1:27" x14ac:dyDescent="0.25">
      <c r="A2311">
        <v>3663</v>
      </c>
      <c r="B2311" t="s">
        <v>27</v>
      </c>
      <c r="C2311" t="s">
        <v>40</v>
      </c>
      <c r="D2311" t="s">
        <v>41</v>
      </c>
      <c r="G2311" t="s">
        <v>67</v>
      </c>
      <c r="H2311" t="s">
        <v>7497</v>
      </c>
      <c r="I2311" s="4">
        <v>43982.875</v>
      </c>
      <c r="K2311" t="s">
        <v>1471</v>
      </c>
      <c r="L2311" s="5"/>
      <c r="M2311" s="5"/>
      <c r="N2311" t="s">
        <v>82</v>
      </c>
      <c r="O2311" t="s">
        <v>7498</v>
      </c>
      <c r="R2311">
        <v>1</v>
      </c>
      <c r="T2311" s="5"/>
      <c r="W2311">
        <v>104</v>
      </c>
      <c r="X2311" t="s">
        <v>703</v>
      </c>
      <c r="Y2311" t="str">
        <f>VLOOKUP(C2311,'[1]DBS_KPY Sorumlular'!A:C,2,FALSE)</f>
        <v>Mustafa AYDIN</v>
      </c>
      <c r="Z2311" t="str">
        <f>VLOOKUP(C2311,'[1]DBS_KPY Sorumlular'!A:C,3,FALSE)</f>
        <v>Esra DOLAN</v>
      </c>
      <c r="AA2311" t="str">
        <f>VLOOKUP(K2311,[1]!Tablo3[#Data],2,FALSE)</f>
        <v>Tayfun VİÇE</v>
      </c>
    </row>
    <row r="2312" spans="1:27" x14ac:dyDescent="0.25">
      <c r="A2312">
        <v>3664</v>
      </c>
      <c r="B2312" t="s">
        <v>27</v>
      </c>
      <c r="C2312" t="s">
        <v>40</v>
      </c>
      <c r="D2312" t="s">
        <v>41</v>
      </c>
      <c r="G2312" t="s">
        <v>67</v>
      </c>
      <c r="H2312" t="s">
        <v>7499</v>
      </c>
      <c r="I2312" s="4">
        <v>43982.875</v>
      </c>
      <c r="K2312" t="s">
        <v>1471</v>
      </c>
      <c r="L2312" s="5"/>
      <c r="M2312" s="5"/>
      <c r="N2312" t="s">
        <v>82</v>
      </c>
      <c r="O2312" t="s">
        <v>7500</v>
      </c>
      <c r="R2312">
        <v>1</v>
      </c>
      <c r="T2312" s="5"/>
      <c r="W2312">
        <v>104</v>
      </c>
      <c r="X2312" t="s">
        <v>703</v>
      </c>
      <c r="Y2312" t="str">
        <f>VLOOKUP(C2312,'[1]DBS_KPY Sorumlular'!A:C,2,FALSE)</f>
        <v>Mustafa AYDIN</v>
      </c>
      <c r="Z2312" t="str">
        <f>VLOOKUP(C2312,'[1]DBS_KPY Sorumlular'!A:C,3,FALSE)</f>
        <v>Esra DOLAN</v>
      </c>
      <c r="AA2312" t="str">
        <f>VLOOKUP(K2312,[1]!Tablo3[#Data],2,FALSE)</f>
        <v>Tayfun VİÇE</v>
      </c>
    </row>
    <row r="2313" spans="1:27" x14ac:dyDescent="0.25">
      <c r="A2313">
        <v>3665</v>
      </c>
      <c r="B2313" t="s">
        <v>27</v>
      </c>
      <c r="C2313" t="s">
        <v>40</v>
      </c>
      <c r="D2313" t="s">
        <v>41</v>
      </c>
      <c r="G2313" t="s">
        <v>43</v>
      </c>
      <c r="H2313" t="s">
        <v>7501</v>
      </c>
      <c r="I2313" s="4">
        <v>44347.875</v>
      </c>
      <c r="K2313" t="s">
        <v>1471</v>
      </c>
      <c r="L2313" s="5"/>
      <c r="M2313" s="5"/>
      <c r="N2313" t="s">
        <v>82</v>
      </c>
      <c r="O2313" t="s">
        <v>7502</v>
      </c>
      <c r="R2313">
        <v>1</v>
      </c>
      <c r="T2313" s="5"/>
      <c r="W2313">
        <v>26</v>
      </c>
      <c r="X2313" t="s">
        <v>7503</v>
      </c>
      <c r="Y2313" t="str">
        <f>VLOOKUP(C2313,'[1]DBS_KPY Sorumlular'!A:C,2,FALSE)</f>
        <v>Mustafa AYDIN</v>
      </c>
      <c r="Z2313" t="str">
        <f>VLOOKUP(C2313,'[1]DBS_KPY Sorumlular'!A:C,3,FALSE)</f>
        <v>Esra DOLAN</v>
      </c>
      <c r="AA2313" t="str">
        <f>VLOOKUP(K2313,[1]!Tablo3[#Data],2,FALSE)</f>
        <v>Tayfun VİÇE</v>
      </c>
    </row>
    <row r="2314" spans="1:27" x14ac:dyDescent="0.25">
      <c r="A2314">
        <v>3666</v>
      </c>
      <c r="B2314" t="s">
        <v>27</v>
      </c>
      <c r="C2314" t="s">
        <v>40</v>
      </c>
      <c r="D2314" t="s">
        <v>41</v>
      </c>
      <c r="G2314" t="s">
        <v>43</v>
      </c>
      <c r="H2314" t="s">
        <v>7504</v>
      </c>
      <c r="I2314" s="4">
        <v>44347.875</v>
      </c>
      <c r="K2314" t="s">
        <v>1471</v>
      </c>
      <c r="L2314" s="5"/>
      <c r="M2314" s="5"/>
      <c r="N2314" t="s">
        <v>82</v>
      </c>
      <c r="O2314" t="s">
        <v>7502</v>
      </c>
      <c r="R2314">
        <v>1</v>
      </c>
      <c r="T2314" s="5"/>
      <c r="W2314">
        <v>5</v>
      </c>
      <c r="X2314" t="s">
        <v>4528</v>
      </c>
      <c r="Y2314" t="str">
        <f>VLOOKUP(C2314,'[1]DBS_KPY Sorumlular'!A:C,2,FALSE)</f>
        <v>Mustafa AYDIN</v>
      </c>
      <c r="Z2314" t="str">
        <f>VLOOKUP(C2314,'[1]DBS_KPY Sorumlular'!A:C,3,FALSE)</f>
        <v>Esra DOLAN</v>
      </c>
      <c r="AA2314" t="str">
        <f>VLOOKUP(K2314,[1]!Tablo3[#Data],2,FALSE)</f>
        <v>Tayfun VİÇE</v>
      </c>
    </row>
    <row r="2315" spans="1:27" x14ac:dyDescent="0.25">
      <c r="A2315">
        <v>3667</v>
      </c>
      <c r="B2315" t="s">
        <v>27</v>
      </c>
      <c r="C2315" t="s">
        <v>40</v>
      </c>
      <c r="D2315" t="s">
        <v>41</v>
      </c>
      <c r="G2315" t="s">
        <v>43</v>
      </c>
      <c r="H2315" t="s">
        <v>7505</v>
      </c>
      <c r="I2315" s="4">
        <v>44347.875</v>
      </c>
      <c r="K2315" t="s">
        <v>1471</v>
      </c>
      <c r="L2315" s="5"/>
      <c r="M2315" s="5"/>
      <c r="N2315" t="s">
        <v>82</v>
      </c>
      <c r="O2315" t="s">
        <v>7506</v>
      </c>
      <c r="R2315">
        <v>1</v>
      </c>
      <c r="T2315" s="5"/>
      <c r="W2315">
        <v>73</v>
      </c>
      <c r="X2315" t="s">
        <v>1198</v>
      </c>
      <c r="Y2315" t="str">
        <f>VLOOKUP(C2315,'[1]DBS_KPY Sorumlular'!A:C,2,FALSE)</f>
        <v>Mustafa AYDIN</v>
      </c>
      <c r="Z2315" t="str">
        <f>VLOOKUP(C2315,'[1]DBS_KPY Sorumlular'!A:C,3,FALSE)</f>
        <v>Esra DOLAN</v>
      </c>
      <c r="AA2315" t="str">
        <f>VLOOKUP(K2315,[1]!Tablo3[#Data],2,FALSE)</f>
        <v>Tayfun VİÇE</v>
      </c>
    </row>
    <row r="2316" spans="1:27" x14ac:dyDescent="0.25">
      <c r="A2316">
        <v>3668</v>
      </c>
      <c r="B2316" t="s">
        <v>27</v>
      </c>
      <c r="C2316" t="s">
        <v>40</v>
      </c>
      <c r="D2316" t="s">
        <v>41</v>
      </c>
      <c r="G2316" t="s">
        <v>43</v>
      </c>
      <c r="H2316" t="s">
        <v>7507</v>
      </c>
      <c r="I2316" s="4">
        <v>44347.875</v>
      </c>
      <c r="K2316" t="s">
        <v>1471</v>
      </c>
      <c r="L2316" s="5"/>
      <c r="M2316" s="5"/>
      <c r="N2316" t="s">
        <v>82</v>
      </c>
      <c r="O2316" t="s">
        <v>7508</v>
      </c>
      <c r="R2316">
        <v>1</v>
      </c>
      <c r="T2316" s="5"/>
      <c r="W2316">
        <v>73</v>
      </c>
      <c r="X2316" t="s">
        <v>1198</v>
      </c>
      <c r="Y2316" t="str">
        <f>VLOOKUP(C2316,'[1]DBS_KPY Sorumlular'!A:C,2,FALSE)</f>
        <v>Mustafa AYDIN</v>
      </c>
      <c r="Z2316" t="str">
        <f>VLOOKUP(C2316,'[1]DBS_KPY Sorumlular'!A:C,3,FALSE)</f>
        <v>Esra DOLAN</v>
      </c>
      <c r="AA2316" t="str">
        <f>VLOOKUP(K2316,[1]!Tablo3[#Data],2,FALSE)</f>
        <v>Tayfun VİÇE</v>
      </c>
    </row>
    <row r="2317" spans="1:27" x14ac:dyDescent="0.25">
      <c r="A2317">
        <v>3669</v>
      </c>
      <c r="B2317" t="s">
        <v>27</v>
      </c>
      <c r="C2317" t="s">
        <v>40</v>
      </c>
      <c r="D2317" t="s">
        <v>41</v>
      </c>
      <c r="G2317" t="s">
        <v>43</v>
      </c>
      <c r="H2317" t="s">
        <v>7509</v>
      </c>
      <c r="I2317" s="4">
        <v>44347.875</v>
      </c>
      <c r="K2317" t="s">
        <v>1471</v>
      </c>
      <c r="L2317" s="5"/>
      <c r="M2317" s="5"/>
      <c r="N2317" t="s">
        <v>82</v>
      </c>
      <c r="O2317" t="s">
        <v>7510</v>
      </c>
      <c r="R2317">
        <v>1</v>
      </c>
      <c r="T2317" s="5"/>
      <c r="W2317">
        <v>5</v>
      </c>
      <c r="X2317" t="s">
        <v>4528</v>
      </c>
      <c r="Y2317" t="str">
        <f>VLOOKUP(C2317,'[1]DBS_KPY Sorumlular'!A:C,2,FALSE)</f>
        <v>Mustafa AYDIN</v>
      </c>
      <c r="Z2317" t="str">
        <f>VLOOKUP(C2317,'[1]DBS_KPY Sorumlular'!A:C,3,FALSE)</f>
        <v>Esra DOLAN</v>
      </c>
      <c r="AA2317" t="str">
        <f>VLOOKUP(K2317,[1]!Tablo3[#Data],2,FALSE)</f>
        <v>Tayfun VİÇE</v>
      </c>
    </row>
    <row r="2318" spans="1:27" x14ac:dyDescent="0.25">
      <c r="A2318">
        <v>3670</v>
      </c>
      <c r="B2318" t="s">
        <v>27</v>
      </c>
      <c r="C2318" t="s">
        <v>40</v>
      </c>
      <c r="D2318" t="s">
        <v>41</v>
      </c>
      <c r="G2318" t="s">
        <v>456</v>
      </c>
      <c r="H2318" t="s">
        <v>7511</v>
      </c>
      <c r="I2318" s="4">
        <v>44347.875</v>
      </c>
      <c r="K2318" t="s">
        <v>1471</v>
      </c>
      <c r="L2318" s="5"/>
      <c r="M2318" s="5"/>
      <c r="N2318" t="s">
        <v>82</v>
      </c>
      <c r="O2318" t="s">
        <v>7512</v>
      </c>
      <c r="R2318">
        <v>1</v>
      </c>
      <c r="T2318" s="5"/>
      <c r="W2318">
        <v>144</v>
      </c>
      <c r="X2318" t="s">
        <v>463</v>
      </c>
      <c r="Y2318" t="str">
        <f>VLOOKUP(C2318,'[1]DBS_KPY Sorumlular'!A:C,2,FALSE)</f>
        <v>Mustafa AYDIN</v>
      </c>
      <c r="Z2318" t="str">
        <f>VLOOKUP(C2318,'[1]DBS_KPY Sorumlular'!A:C,3,FALSE)</f>
        <v>Esra DOLAN</v>
      </c>
      <c r="AA2318" t="str">
        <f>VLOOKUP(K2318,[1]!Tablo3[#Data],2,FALSE)</f>
        <v>Tayfun VİÇE</v>
      </c>
    </row>
    <row r="2319" spans="1:27" x14ac:dyDescent="0.25">
      <c r="A2319">
        <v>3671</v>
      </c>
      <c r="B2319" t="s">
        <v>27</v>
      </c>
      <c r="C2319" t="s">
        <v>40</v>
      </c>
      <c r="D2319" t="s">
        <v>41</v>
      </c>
      <c r="G2319" t="s">
        <v>43</v>
      </c>
      <c r="H2319" t="s">
        <v>7513</v>
      </c>
      <c r="I2319" s="4">
        <v>44347.875</v>
      </c>
      <c r="K2319" t="s">
        <v>1471</v>
      </c>
      <c r="L2319" s="5"/>
      <c r="M2319" s="5"/>
      <c r="N2319" t="s">
        <v>82</v>
      </c>
      <c r="O2319" t="s">
        <v>7514</v>
      </c>
      <c r="R2319">
        <v>1</v>
      </c>
      <c r="T2319" s="5"/>
      <c r="W2319">
        <v>137</v>
      </c>
      <c r="X2319" t="s">
        <v>125</v>
      </c>
      <c r="Y2319" t="str">
        <f>VLOOKUP(C2319,'[1]DBS_KPY Sorumlular'!A:C,2,FALSE)</f>
        <v>Mustafa AYDIN</v>
      </c>
      <c r="Z2319" t="str">
        <f>VLOOKUP(C2319,'[1]DBS_KPY Sorumlular'!A:C,3,FALSE)</f>
        <v>Esra DOLAN</v>
      </c>
      <c r="AA2319" t="str">
        <f>VLOOKUP(K2319,[1]!Tablo3[#Data],2,FALSE)</f>
        <v>Tayfun VİÇE</v>
      </c>
    </row>
    <row r="2320" spans="1:27" x14ac:dyDescent="0.25">
      <c r="A2320">
        <v>3672</v>
      </c>
      <c r="B2320" t="s">
        <v>27</v>
      </c>
      <c r="C2320" t="s">
        <v>40</v>
      </c>
      <c r="D2320" t="s">
        <v>41</v>
      </c>
      <c r="G2320" t="s">
        <v>43</v>
      </c>
      <c r="H2320" t="s">
        <v>7515</v>
      </c>
      <c r="I2320" s="4">
        <v>44347.875</v>
      </c>
      <c r="K2320" t="s">
        <v>1471</v>
      </c>
      <c r="L2320" s="5"/>
      <c r="M2320" s="5"/>
      <c r="N2320" t="s">
        <v>82</v>
      </c>
      <c r="O2320" t="s">
        <v>7516</v>
      </c>
      <c r="R2320">
        <v>1</v>
      </c>
      <c r="T2320" s="5"/>
      <c r="W2320">
        <v>143</v>
      </c>
      <c r="X2320" t="s">
        <v>7517</v>
      </c>
      <c r="Y2320" t="str">
        <f>VLOOKUP(C2320,'[1]DBS_KPY Sorumlular'!A:C,2,FALSE)</f>
        <v>Mustafa AYDIN</v>
      </c>
      <c r="Z2320" t="str">
        <f>VLOOKUP(C2320,'[1]DBS_KPY Sorumlular'!A:C,3,FALSE)</f>
        <v>Esra DOLAN</v>
      </c>
      <c r="AA2320" t="str">
        <f>VLOOKUP(K2320,[1]!Tablo3[#Data],2,FALSE)</f>
        <v>Tayfun VİÇE</v>
      </c>
    </row>
    <row r="2321" spans="1:27" x14ac:dyDescent="0.25">
      <c r="A2321">
        <v>3673</v>
      </c>
      <c r="B2321" t="s">
        <v>27</v>
      </c>
      <c r="C2321" t="s">
        <v>40</v>
      </c>
      <c r="D2321" t="s">
        <v>41</v>
      </c>
      <c r="G2321" t="s">
        <v>43</v>
      </c>
      <c r="H2321" t="s">
        <v>7518</v>
      </c>
      <c r="I2321" s="4">
        <v>44347.875</v>
      </c>
      <c r="K2321" t="s">
        <v>1471</v>
      </c>
      <c r="L2321" s="5"/>
      <c r="M2321" s="5"/>
      <c r="N2321" t="s">
        <v>82</v>
      </c>
      <c r="O2321" t="s">
        <v>7519</v>
      </c>
      <c r="R2321">
        <v>1</v>
      </c>
      <c r="T2321" s="5"/>
      <c r="W2321">
        <v>86</v>
      </c>
      <c r="X2321" t="s">
        <v>189</v>
      </c>
      <c r="Y2321" t="str">
        <f>VLOOKUP(C2321,'[1]DBS_KPY Sorumlular'!A:C,2,FALSE)</f>
        <v>Mustafa AYDIN</v>
      </c>
      <c r="Z2321" t="str">
        <f>VLOOKUP(C2321,'[1]DBS_KPY Sorumlular'!A:C,3,FALSE)</f>
        <v>Esra DOLAN</v>
      </c>
      <c r="AA2321" t="str">
        <f>VLOOKUP(K2321,[1]!Tablo3[#Data],2,FALSE)</f>
        <v>Tayfun VİÇE</v>
      </c>
    </row>
    <row r="2322" spans="1:27" x14ac:dyDescent="0.25">
      <c r="A2322">
        <v>3674</v>
      </c>
      <c r="B2322" t="s">
        <v>27</v>
      </c>
      <c r="C2322" t="s">
        <v>40</v>
      </c>
      <c r="D2322" t="s">
        <v>41</v>
      </c>
      <c r="G2322" t="s">
        <v>96</v>
      </c>
      <c r="H2322" t="s">
        <v>7520</v>
      </c>
      <c r="I2322" s="4">
        <v>44347.875</v>
      </c>
      <c r="K2322" t="s">
        <v>1471</v>
      </c>
      <c r="L2322" s="5"/>
      <c r="M2322" s="5"/>
      <c r="N2322" t="s">
        <v>82</v>
      </c>
      <c r="O2322" t="s">
        <v>7519</v>
      </c>
      <c r="R2322">
        <v>1</v>
      </c>
      <c r="T2322" s="5"/>
      <c r="W2322">
        <v>86</v>
      </c>
      <c r="X2322" t="s">
        <v>189</v>
      </c>
      <c r="Y2322" t="str">
        <f>VLOOKUP(C2322,'[1]DBS_KPY Sorumlular'!A:C,2,FALSE)</f>
        <v>Mustafa AYDIN</v>
      </c>
      <c r="Z2322" t="str">
        <f>VLOOKUP(C2322,'[1]DBS_KPY Sorumlular'!A:C,3,FALSE)</f>
        <v>Esra DOLAN</v>
      </c>
      <c r="AA2322" t="str">
        <f>VLOOKUP(K2322,[1]!Tablo3[#Data],2,FALSE)</f>
        <v>Tayfun VİÇE</v>
      </c>
    </row>
    <row r="2323" spans="1:27" x14ac:dyDescent="0.25">
      <c r="A2323">
        <v>3675</v>
      </c>
      <c r="B2323" t="s">
        <v>27</v>
      </c>
      <c r="C2323" t="s">
        <v>40</v>
      </c>
      <c r="D2323" t="s">
        <v>41</v>
      </c>
      <c r="G2323" t="s">
        <v>43</v>
      </c>
      <c r="H2323" t="s">
        <v>7521</v>
      </c>
      <c r="I2323" s="4">
        <v>44347.875</v>
      </c>
      <c r="K2323" t="s">
        <v>1471</v>
      </c>
      <c r="L2323" s="5"/>
      <c r="M2323" s="5"/>
      <c r="N2323" t="s">
        <v>82</v>
      </c>
      <c r="O2323" t="s">
        <v>7522</v>
      </c>
      <c r="R2323">
        <v>1</v>
      </c>
      <c r="T2323" s="5"/>
      <c r="W2323">
        <v>137</v>
      </c>
      <c r="X2323" t="s">
        <v>125</v>
      </c>
      <c r="Y2323" t="str">
        <f>VLOOKUP(C2323,'[1]DBS_KPY Sorumlular'!A:C,2,FALSE)</f>
        <v>Mustafa AYDIN</v>
      </c>
      <c r="Z2323" t="str">
        <f>VLOOKUP(C2323,'[1]DBS_KPY Sorumlular'!A:C,3,FALSE)</f>
        <v>Esra DOLAN</v>
      </c>
      <c r="AA2323" t="str">
        <f>VLOOKUP(K2323,[1]!Tablo3[#Data],2,FALSE)</f>
        <v>Tayfun VİÇE</v>
      </c>
    </row>
    <row r="2324" spans="1:27" x14ac:dyDescent="0.25">
      <c r="A2324">
        <v>3676</v>
      </c>
      <c r="B2324" t="s">
        <v>27</v>
      </c>
      <c r="C2324" t="s">
        <v>40</v>
      </c>
      <c r="D2324" t="s">
        <v>41</v>
      </c>
      <c r="G2324" t="s">
        <v>43</v>
      </c>
      <c r="H2324" t="s">
        <v>7523</v>
      </c>
      <c r="I2324" s="4">
        <v>44712.875</v>
      </c>
      <c r="K2324" t="s">
        <v>1471</v>
      </c>
      <c r="L2324" s="5"/>
      <c r="M2324" s="5"/>
      <c r="N2324" t="s">
        <v>82</v>
      </c>
      <c r="O2324" t="s">
        <v>7524</v>
      </c>
      <c r="R2324">
        <v>1</v>
      </c>
      <c r="T2324" s="5"/>
      <c r="W2324">
        <v>108</v>
      </c>
      <c r="X2324" t="s">
        <v>107</v>
      </c>
      <c r="Y2324" t="str">
        <f>VLOOKUP(C2324,'[1]DBS_KPY Sorumlular'!A:C,2,FALSE)</f>
        <v>Mustafa AYDIN</v>
      </c>
      <c r="Z2324" t="str">
        <f>VLOOKUP(C2324,'[1]DBS_KPY Sorumlular'!A:C,3,FALSE)</f>
        <v>Esra DOLAN</v>
      </c>
      <c r="AA2324" t="str">
        <f>VLOOKUP(K2324,[1]!Tablo3[#Data],2,FALSE)</f>
        <v>Tayfun VİÇE</v>
      </c>
    </row>
    <row r="2325" spans="1:27" x14ac:dyDescent="0.25">
      <c r="A2325">
        <v>3677</v>
      </c>
      <c r="B2325" t="s">
        <v>27</v>
      </c>
      <c r="C2325" t="s">
        <v>40</v>
      </c>
      <c r="D2325" t="s">
        <v>41</v>
      </c>
      <c r="G2325" t="s">
        <v>67</v>
      </c>
      <c r="H2325" t="s">
        <v>7525</v>
      </c>
      <c r="I2325" s="4">
        <v>45077.875</v>
      </c>
      <c r="K2325" t="s">
        <v>1471</v>
      </c>
      <c r="L2325" s="5"/>
      <c r="M2325" s="5"/>
      <c r="N2325" t="s">
        <v>82</v>
      </c>
      <c r="O2325" t="s">
        <v>7526</v>
      </c>
      <c r="R2325">
        <v>1</v>
      </c>
      <c r="T2325" s="5"/>
      <c r="W2325">
        <v>203</v>
      </c>
      <c r="X2325" t="s">
        <v>72</v>
      </c>
      <c r="Y2325" t="str">
        <f>VLOOKUP(C2325,'[1]DBS_KPY Sorumlular'!A:C,2,FALSE)</f>
        <v>Mustafa AYDIN</v>
      </c>
      <c r="Z2325" t="str">
        <f>VLOOKUP(C2325,'[1]DBS_KPY Sorumlular'!A:C,3,FALSE)</f>
        <v>Esra DOLAN</v>
      </c>
      <c r="AA2325" t="str">
        <f>VLOOKUP(K2325,[1]!Tablo3[#Data],2,FALSE)</f>
        <v>Tayfun VİÇE</v>
      </c>
    </row>
    <row r="2326" spans="1:27" x14ac:dyDescent="0.25">
      <c r="A2326">
        <v>3678</v>
      </c>
      <c r="B2326" t="s">
        <v>27</v>
      </c>
      <c r="C2326" t="s">
        <v>40</v>
      </c>
      <c r="D2326" t="s">
        <v>41</v>
      </c>
      <c r="G2326" t="s">
        <v>67</v>
      </c>
      <c r="H2326" t="s">
        <v>7527</v>
      </c>
      <c r="I2326" s="4">
        <v>45077.875</v>
      </c>
      <c r="K2326" t="s">
        <v>1471</v>
      </c>
      <c r="L2326" s="5"/>
      <c r="M2326" s="5"/>
      <c r="N2326" t="s">
        <v>82</v>
      </c>
      <c r="O2326" t="s">
        <v>7528</v>
      </c>
      <c r="R2326">
        <v>1</v>
      </c>
      <c r="T2326" s="5"/>
      <c r="W2326">
        <v>203</v>
      </c>
      <c r="X2326" t="s">
        <v>72</v>
      </c>
      <c r="Y2326" t="str">
        <f>VLOOKUP(C2326,'[1]DBS_KPY Sorumlular'!A:C,2,FALSE)</f>
        <v>Mustafa AYDIN</v>
      </c>
      <c r="Z2326" t="str">
        <f>VLOOKUP(C2326,'[1]DBS_KPY Sorumlular'!A:C,3,FALSE)</f>
        <v>Esra DOLAN</v>
      </c>
      <c r="AA2326" t="str">
        <f>VLOOKUP(K2326,[1]!Tablo3[#Data],2,FALSE)</f>
        <v>Tayfun VİÇE</v>
      </c>
    </row>
    <row r="2327" spans="1:27" x14ac:dyDescent="0.25">
      <c r="A2327">
        <v>3679</v>
      </c>
      <c r="B2327" t="s">
        <v>27</v>
      </c>
      <c r="C2327" t="s">
        <v>40</v>
      </c>
      <c r="D2327" t="s">
        <v>41</v>
      </c>
      <c r="G2327" t="s">
        <v>67</v>
      </c>
      <c r="H2327" t="s">
        <v>7529</v>
      </c>
      <c r="I2327" s="4">
        <v>45443.875</v>
      </c>
      <c r="K2327" t="s">
        <v>1471</v>
      </c>
      <c r="L2327" s="5"/>
      <c r="M2327" s="5"/>
      <c r="N2327" t="s">
        <v>82</v>
      </c>
      <c r="O2327" t="s">
        <v>7530</v>
      </c>
      <c r="R2327">
        <v>1</v>
      </c>
      <c r="T2327" s="5"/>
      <c r="W2327">
        <v>104</v>
      </c>
      <c r="X2327" t="s">
        <v>703</v>
      </c>
      <c r="Y2327" t="str">
        <f>VLOOKUP(C2327,'[1]DBS_KPY Sorumlular'!A:C,2,FALSE)</f>
        <v>Mustafa AYDIN</v>
      </c>
      <c r="Z2327" t="str">
        <f>VLOOKUP(C2327,'[1]DBS_KPY Sorumlular'!A:C,3,FALSE)</f>
        <v>Esra DOLAN</v>
      </c>
      <c r="AA2327" t="str">
        <f>VLOOKUP(K2327,[1]!Tablo3[#Data],2,FALSE)</f>
        <v>Tayfun VİÇE</v>
      </c>
    </row>
    <row r="2328" spans="1:27" x14ac:dyDescent="0.25">
      <c r="A2328">
        <v>3680</v>
      </c>
      <c r="B2328" t="s">
        <v>27</v>
      </c>
      <c r="C2328" t="s">
        <v>40</v>
      </c>
      <c r="D2328" t="s">
        <v>41</v>
      </c>
      <c r="G2328" t="s">
        <v>43</v>
      </c>
      <c r="H2328" t="s">
        <v>7531</v>
      </c>
      <c r="I2328" s="4">
        <v>45443.875</v>
      </c>
      <c r="K2328" t="s">
        <v>1471</v>
      </c>
      <c r="L2328" s="5"/>
      <c r="M2328" s="5"/>
      <c r="N2328" t="s">
        <v>82</v>
      </c>
      <c r="O2328" t="s">
        <v>7532</v>
      </c>
      <c r="R2328">
        <v>1</v>
      </c>
      <c r="T2328" s="5"/>
      <c r="W2328">
        <v>72</v>
      </c>
      <c r="X2328" t="s">
        <v>341</v>
      </c>
      <c r="Y2328" t="str">
        <f>VLOOKUP(C2328,'[1]DBS_KPY Sorumlular'!A:C,2,FALSE)</f>
        <v>Mustafa AYDIN</v>
      </c>
      <c r="Z2328" t="str">
        <f>VLOOKUP(C2328,'[1]DBS_KPY Sorumlular'!A:C,3,FALSE)</f>
        <v>Esra DOLAN</v>
      </c>
      <c r="AA2328" t="str">
        <f>VLOOKUP(K2328,[1]!Tablo3[#Data],2,FALSE)</f>
        <v>Tayfun VİÇE</v>
      </c>
    </row>
    <row r="2329" spans="1:27" x14ac:dyDescent="0.25">
      <c r="A2329">
        <v>3681</v>
      </c>
      <c r="B2329" t="s">
        <v>27</v>
      </c>
      <c r="C2329" t="s">
        <v>40</v>
      </c>
      <c r="D2329" t="s">
        <v>41</v>
      </c>
      <c r="G2329" t="s">
        <v>43</v>
      </c>
      <c r="H2329" t="s">
        <v>7533</v>
      </c>
      <c r="I2329" s="4">
        <v>43616.875</v>
      </c>
      <c r="K2329" t="s">
        <v>143</v>
      </c>
      <c r="L2329" s="5"/>
      <c r="M2329" s="5"/>
      <c r="N2329" t="s">
        <v>82</v>
      </c>
      <c r="O2329" t="s">
        <v>7534</v>
      </c>
      <c r="R2329">
        <v>1</v>
      </c>
      <c r="T2329" s="5"/>
      <c r="W2329">
        <v>86</v>
      </c>
      <c r="X2329" t="s">
        <v>189</v>
      </c>
      <c r="Y2329" t="str">
        <f>VLOOKUP(C2329,'[1]DBS_KPY Sorumlular'!A:C,2,FALSE)</f>
        <v>Mustafa AYDIN</v>
      </c>
      <c r="Z2329" t="str">
        <f>VLOOKUP(C2329,'[1]DBS_KPY Sorumlular'!A:C,3,FALSE)</f>
        <v>Esra DOLAN</v>
      </c>
      <c r="AA2329" t="str">
        <f>VLOOKUP(K2329,[1]!Tablo3[#Data],2,FALSE)</f>
        <v>Tayfun VİÇE</v>
      </c>
    </row>
    <row r="2330" spans="1:27" x14ac:dyDescent="0.25">
      <c r="A2330">
        <v>3682</v>
      </c>
      <c r="B2330" t="s">
        <v>27</v>
      </c>
      <c r="C2330" t="s">
        <v>40</v>
      </c>
      <c r="D2330" t="s">
        <v>41</v>
      </c>
      <c r="G2330" t="s">
        <v>43</v>
      </c>
      <c r="H2330" t="s">
        <v>7535</v>
      </c>
      <c r="I2330" s="4">
        <v>43982.875</v>
      </c>
      <c r="K2330" t="s">
        <v>143</v>
      </c>
      <c r="L2330" s="5"/>
      <c r="M2330" s="5"/>
      <c r="N2330" t="s">
        <v>82</v>
      </c>
      <c r="O2330" t="s">
        <v>7536</v>
      </c>
      <c r="R2330">
        <v>1</v>
      </c>
      <c r="T2330" s="5"/>
      <c r="W2330">
        <v>86</v>
      </c>
      <c r="X2330" t="s">
        <v>189</v>
      </c>
      <c r="Y2330" t="str">
        <f>VLOOKUP(C2330,'[1]DBS_KPY Sorumlular'!A:C,2,FALSE)</f>
        <v>Mustafa AYDIN</v>
      </c>
      <c r="Z2330" t="str">
        <f>VLOOKUP(C2330,'[1]DBS_KPY Sorumlular'!A:C,3,FALSE)</f>
        <v>Esra DOLAN</v>
      </c>
      <c r="AA2330" t="str">
        <f>VLOOKUP(K2330,[1]!Tablo3[#Data],2,FALSE)</f>
        <v>Tayfun VİÇE</v>
      </c>
    </row>
    <row r="2331" spans="1:27" x14ac:dyDescent="0.25">
      <c r="A2331">
        <v>3683</v>
      </c>
      <c r="B2331" t="s">
        <v>27</v>
      </c>
      <c r="C2331" t="s">
        <v>40</v>
      </c>
      <c r="D2331" t="s">
        <v>41</v>
      </c>
      <c r="G2331" t="s">
        <v>43</v>
      </c>
      <c r="H2331" t="s">
        <v>7537</v>
      </c>
      <c r="I2331" s="4">
        <v>43982.875</v>
      </c>
      <c r="K2331" t="s">
        <v>143</v>
      </c>
      <c r="L2331" s="5"/>
      <c r="M2331" s="5"/>
      <c r="N2331" t="s">
        <v>82</v>
      </c>
      <c r="O2331" t="s">
        <v>7538</v>
      </c>
      <c r="R2331">
        <v>1</v>
      </c>
      <c r="T2331" s="5"/>
      <c r="W2331">
        <v>30</v>
      </c>
      <c r="X2331" t="s">
        <v>327</v>
      </c>
      <c r="Y2331" t="str">
        <f>VLOOKUP(C2331,'[1]DBS_KPY Sorumlular'!A:C,2,FALSE)</f>
        <v>Mustafa AYDIN</v>
      </c>
      <c r="Z2331" t="str">
        <f>VLOOKUP(C2331,'[1]DBS_KPY Sorumlular'!A:C,3,FALSE)</f>
        <v>Esra DOLAN</v>
      </c>
      <c r="AA2331" t="str">
        <f>VLOOKUP(K2331,[1]!Tablo3[#Data],2,FALSE)</f>
        <v>Tayfun VİÇE</v>
      </c>
    </row>
    <row r="2332" spans="1:27" x14ac:dyDescent="0.25">
      <c r="A2332">
        <v>3684</v>
      </c>
      <c r="B2332" t="s">
        <v>27</v>
      </c>
      <c r="C2332" t="s">
        <v>40</v>
      </c>
      <c r="D2332" t="s">
        <v>41</v>
      </c>
      <c r="G2332" t="s">
        <v>96</v>
      </c>
      <c r="H2332" t="s">
        <v>7539</v>
      </c>
      <c r="I2332" s="4">
        <v>44712.875</v>
      </c>
      <c r="K2332" t="s">
        <v>143</v>
      </c>
      <c r="L2332" s="5"/>
      <c r="M2332" s="5"/>
      <c r="N2332" t="s">
        <v>82</v>
      </c>
      <c r="O2332" t="s">
        <v>7540</v>
      </c>
      <c r="R2332">
        <v>1</v>
      </c>
      <c r="T2332" s="5"/>
      <c r="W2332">
        <v>91</v>
      </c>
      <c r="X2332" t="s">
        <v>101</v>
      </c>
      <c r="Y2332" t="str">
        <f>VLOOKUP(C2332,'[1]DBS_KPY Sorumlular'!A:C,2,FALSE)</f>
        <v>Mustafa AYDIN</v>
      </c>
      <c r="Z2332" t="str">
        <f>VLOOKUP(C2332,'[1]DBS_KPY Sorumlular'!A:C,3,FALSE)</f>
        <v>Esra DOLAN</v>
      </c>
      <c r="AA2332" t="str">
        <f>VLOOKUP(K2332,[1]!Tablo3[#Data],2,FALSE)</f>
        <v>Tayfun VİÇE</v>
      </c>
    </row>
    <row r="2333" spans="1:27" x14ac:dyDescent="0.25">
      <c r="A2333">
        <v>3685</v>
      </c>
      <c r="B2333" t="s">
        <v>27</v>
      </c>
      <c r="C2333" t="s">
        <v>40</v>
      </c>
      <c r="D2333" t="s">
        <v>41</v>
      </c>
      <c r="G2333" t="s">
        <v>96</v>
      </c>
      <c r="H2333" t="s">
        <v>7541</v>
      </c>
      <c r="I2333" s="4">
        <v>44712.875</v>
      </c>
      <c r="K2333" t="s">
        <v>143</v>
      </c>
      <c r="L2333" s="5"/>
      <c r="M2333" s="5"/>
      <c r="N2333" t="s">
        <v>82</v>
      </c>
      <c r="O2333" t="s">
        <v>7542</v>
      </c>
      <c r="R2333">
        <v>1</v>
      </c>
      <c r="T2333" s="5"/>
      <c r="W2333">
        <v>86</v>
      </c>
      <c r="X2333" t="s">
        <v>189</v>
      </c>
      <c r="Y2333" t="str">
        <f>VLOOKUP(C2333,'[1]DBS_KPY Sorumlular'!A:C,2,FALSE)</f>
        <v>Mustafa AYDIN</v>
      </c>
      <c r="Z2333" t="str">
        <f>VLOOKUP(C2333,'[1]DBS_KPY Sorumlular'!A:C,3,FALSE)</f>
        <v>Esra DOLAN</v>
      </c>
      <c r="AA2333" t="str">
        <f>VLOOKUP(K2333,[1]!Tablo3[#Data],2,FALSE)</f>
        <v>Tayfun VİÇE</v>
      </c>
    </row>
    <row r="2334" spans="1:27" x14ac:dyDescent="0.25">
      <c r="A2334">
        <v>3686</v>
      </c>
      <c r="B2334" t="s">
        <v>27</v>
      </c>
      <c r="C2334" t="s">
        <v>40</v>
      </c>
      <c r="D2334" t="s">
        <v>41</v>
      </c>
      <c r="G2334" t="s">
        <v>43</v>
      </c>
      <c r="H2334" t="s">
        <v>7543</v>
      </c>
      <c r="I2334" s="4">
        <v>44712.875</v>
      </c>
      <c r="K2334" t="s">
        <v>143</v>
      </c>
      <c r="L2334" s="5"/>
      <c r="M2334" s="5"/>
      <c r="N2334" t="s">
        <v>82</v>
      </c>
      <c r="O2334" t="s">
        <v>7544</v>
      </c>
      <c r="R2334">
        <v>1</v>
      </c>
      <c r="T2334" s="5"/>
      <c r="W2334">
        <v>108</v>
      </c>
      <c r="X2334" t="s">
        <v>107</v>
      </c>
      <c r="Y2334" t="str">
        <f>VLOOKUP(C2334,'[1]DBS_KPY Sorumlular'!A:C,2,FALSE)</f>
        <v>Mustafa AYDIN</v>
      </c>
      <c r="Z2334" t="str">
        <f>VLOOKUP(C2334,'[1]DBS_KPY Sorumlular'!A:C,3,FALSE)</f>
        <v>Esra DOLAN</v>
      </c>
      <c r="AA2334" t="str">
        <f>VLOOKUP(K2334,[1]!Tablo3[#Data],2,FALSE)</f>
        <v>Tayfun VİÇE</v>
      </c>
    </row>
    <row r="2335" spans="1:27" x14ac:dyDescent="0.25">
      <c r="A2335">
        <v>3687</v>
      </c>
      <c r="B2335" t="s">
        <v>27</v>
      </c>
      <c r="C2335" t="s">
        <v>40</v>
      </c>
      <c r="D2335" t="s">
        <v>41</v>
      </c>
      <c r="G2335" t="s">
        <v>43</v>
      </c>
      <c r="H2335" t="s">
        <v>7545</v>
      </c>
      <c r="I2335" s="4">
        <v>45077.875</v>
      </c>
      <c r="K2335" t="s">
        <v>143</v>
      </c>
      <c r="L2335" s="5"/>
      <c r="M2335" s="5"/>
      <c r="N2335" t="s">
        <v>82</v>
      </c>
      <c r="O2335" t="s">
        <v>7546</v>
      </c>
      <c r="R2335">
        <v>1</v>
      </c>
      <c r="T2335" s="5"/>
      <c r="W2335">
        <v>108</v>
      </c>
      <c r="X2335" t="s">
        <v>107</v>
      </c>
      <c r="Y2335" t="str">
        <f>VLOOKUP(C2335,'[1]DBS_KPY Sorumlular'!A:C,2,FALSE)</f>
        <v>Mustafa AYDIN</v>
      </c>
      <c r="Z2335" t="str">
        <f>VLOOKUP(C2335,'[1]DBS_KPY Sorumlular'!A:C,3,FALSE)</f>
        <v>Esra DOLAN</v>
      </c>
      <c r="AA2335" t="str">
        <f>VLOOKUP(K2335,[1]!Tablo3[#Data],2,FALSE)</f>
        <v>Tayfun VİÇE</v>
      </c>
    </row>
    <row r="2336" spans="1:27" x14ac:dyDescent="0.25">
      <c r="A2336">
        <v>3688</v>
      </c>
      <c r="B2336" t="s">
        <v>27</v>
      </c>
      <c r="C2336" t="s">
        <v>40</v>
      </c>
      <c r="D2336" t="s">
        <v>41</v>
      </c>
      <c r="G2336" t="s">
        <v>43</v>
      </c>
      <c r="H2336" t="s">
        <v>7547</v>
      </c>
      <c r="I2336" s="4">
        <v>45077.875</v>
      </c>
      <c r="K2336" t="s">
        <v>143</v>
      </c>
      <c r="L2336" s="5"/>
      <c r="M2336" s="5"/>
      <c r="N2336" t="s">
        <v>82</v>
      </c>
      <c r="O2336" t="s">
        <v>7548</v>
      </c>
      <c r="R2336">
        <v>1</v>
      </c>
      <c r="T2336" s="5"/>
      <c r="W2336">
        <v>73</v>
      </c>
      <c r="X2336" t="s">
        <v>1198</v>
      </c>
      <c r="Y2336" t="str">
        <f>VLOOKUP(C2336,'[1]DBS_KPY Sorumlular'!A:C,2,FALSE)</f>
        <v>Mustafa AYDIN</v>
      </c>
      <c r="Z2336" t="str">
        <f>VLOOKUP(C2336,'[1]DBS_KPY Sorumlular'!A:C,3,FALSE)</f>
        <v>Esra DOLAN</v>
      </c>
      <c r="AA2336" t="str">
        <f>VLOOKUP(K2336,[1]!Tablo3[#Data],2,FALSE)</f>
        <v>Tayfun VİÇE</v>
      </c>
    </row>
    <row r="2337" spans="1:27" x14ac:dyDescent="0.25">
      <c r="A2337">
        <v>3689</v>
      </c>
      <c r="B2337" t="s">
        <v>27</v>
      </c>
      <c r="C2337" t="s">
        <v>40</v>
      </c>
      <c r="D2337" t="s">
        <v>41</v>
      </c>
      <c r="G2337" t="s">
        <v>43</v>
      </c>
      <c r="H2337" t="s">
        <v>7549</v>
      </c>
      <c r="I2337" s="4">
        <v>45077.875</v>
      </c>
      <c r="K2337" t="s">
        <v>143</v>
      </c>
      <c r="L2337" s="5"/>
      <c r="M2337" s="5"/>
      <c r="N2337" t="s">
        <v>82</v>
      </c>
      <c r="O2337" t="s">
        <v>7550</v>
      </c>
      <c r="R2337">
        <v>1</v>
      </c>
      <c r="T2337" s="5"/>
      <c r="W2337">
        <v>108</v>
      </c>
      <c r="X2337" t="s">
        <v>107</v>
      </c>
      <c r="Y2337" t="str">
        <f>VLOOKUP(C2337,'[1]DBS_KPY Sorumlular'!A:C,2,FALSE)</f>
        <v>Mustafa AYDIN</v>
      </c>
      <c r="Z2337" t="str">
        <f>VLOOKUP(C2337,'[1]DBS_KPY Sorumlular'!A:C,3,FALSE)</f>
        <v>Esra DOLAN</v>
      </c>
      <c r="AA2337" t="str">
        <f>VLOOKUP(K2337,[1]!Tablo3[#Data],2,FALSE)</f>
        <v>Tayfun VİÇE</v>
      </c>
    </row>
    <row r="2338" spans="1:27" x14ac:dyDescent="0.25">
      <c r="A2338">
        <v>3690</v>
      </c>
      <c r="B2338" t="s">
        <v>27</v>
      </c>
      <c r="C2338" t="s">
        <v>40</v>
      </c>
      <c r="D2338" t="s">
        <v>41</v>
      </c>
      <c r="G2338" t="s">
        <v>30</v>
      </c>
      <c r="H2338" t="s">
        <v>7551</v>
      </c>
      <c r="I2338" s="4">
        <v>45077.875</v>
      </c>
      <c r="K2338" t="s">
        <v>143</v>
      </c>
      <c r="L2338" s="5"/>
      <c r="M2338" s="5"/>
      <c r="N2338" t="s">
        <v>82</v>
      </c>
      <c r="O2338" t="s">
        <v>7552</v>
      </c>
      <c r="R2338">
        <v>1</v>
      </c>
      <c r="T2338" s="5"/>
      <c r="W2338">
        <v>79</v>
      </c>
      <c r="X2338" t="s">
        <v>1619</v>
      </c>
      <c r="Y2338" t="str">
        <f>VLOOKUP(C2338,'[1]DBS_KPY Sorumlular'!A:C,2,FALSE)</f>
        <v>Mustafa AYDIN</v>
      </c>
      <c r="Z2338" t="str">
        <f>VLOOKUP(C2338,'[1]DBS_KPY Sorumlular'!A:C,3,FALSE)</f>
        <v>Esra DOLAN</v>
      </c>
      <c r="AA2338" t="str">
        <f>VLOOKUP(K2338,[1]!Tablo3[#Data],2,FALSE)</f>
        <v>Tayfun VİÇE</v>
      </c>
    </row>
    <row r="2339" spans="1:27" x14ac:dyDescent="0.25">
      <c r="A2339">
        <v>3691</v>
      </c>
      <c r="B2339" t="s">
        <v>27</v>
      </c>
      <c r="C2339" t="s">
        <v>40</v>
      </c>
      <c r="D2339" t="s">
        <v>41</v>
      </c>
      <c r="G2339" t="s">
        <v>96</v>
      </c>
      <c r="H2339" t="s">
        <v>7553</v>
      </c>
      <c r="I2339" s="4">
        <v>45443.875</v>
      </c>
      <c r="K2339" t="s">
        <v>143</v>
      </c>
      <c r="L2339" s="5"/>
      <c r="M2339" s="5"/>
      <c r="N2339" t="s">
        <v>82</v>
      </c>
      <c r="O2339" t="s">
        <v>7554</v>
      </c>
      <c r="R2339">
        <v>1</v>
      </c>
      <c r="T2339" s="5"/>
      <c r="W2339">
        <v>28</v>
      </c>
      <c r="X2339" t="s">
        <v>667</v>
      </c>
      <c r="Y2339" t="str">
        <f>VLOOKUP(C2339,'[1]DBS_KPY Sorumlular'!A:C,2,FALSE)</f>
        <v>Mustafa AYDIN</v>
      </c>
      <c r="Z2339" t="str">
        <f>VLOOKUP(C2339,'[1]DBS_KPY Sorumlular'!A:C,3,FALSE)</f>
        <v>Esra DOLAN</v>
      </c>
      <c r="AA2339" t="str">
        <f>VLOOKUP(K2339,[1]!Tablo3[#Data],2,FALSE)</f>
        <v>Tayfun VİÇE</v>
      </c>
    </row>
    <row r="2340" spans="1:27" x14ac:dyDescent="0.25">
      <c r="A2340">
        <v>3692</v>
      </c>
      <c r="B2340" t="s">
        <v>27</v>
      </c>
      <c r="C2340" t="s">
        <v>40</v>
      </c>
      <c r="D2340" t="s">
        <v>41</v>
      </c>
      <c r="G2340" t="s">
        <v>96</v>
      </c>
      <c r="H2340" t="s">
        <v>7555</v>
      </c>
      <c r="I2340" s="4">
        <v>45443.875</v>
      </c>
      <c r="K2340" t="s">
        <v>143</v>
      </c>
      <c r="L2340" s="5"/>
      <c r="M2340" s="5"/>
      <c r="N2340" t="s">
        <v>82</v>
      </c>
      <c r="O2340" t="s">
        <v>7556</v>
      </c>
      <c r="R2340">
        <v>1</v>
      </c>
      <c r="T2340" s="5"/>
      <c r="W2340">
        <v>91</v>
      </c>
      <c r="X2340" t="s">
        <v>101</v>
      </c>
      <c r="Y2340" t="str">
        <f>VLOOKUP(C2340,'[1]DBS_KPY Sorumlular'!A:C,2,FALSE)</f>
        <v>Mustafa AYDIN</v>
      </c>
      <c r="Z2340" t="str">
        <f>VLOOKUP(C2340,'[1]DBS_KPY Sorumlular'!A:C,3,FALSE)</f>
        <v>Esra DOLAN</v>
      </c>
      <c r="AA2340" t="str">
        <f>VLOOKUP(K2340,[1]!Tablo3[#Data],2,FALSE)</f>
        <v>Tayfun VİÇE</v>
      </c>
    </row>
    <row r="2341" spans="1:27" x14ac:dyDescent="0.25">
      <c r="A2341">
        <v>3693</v>
      </c>
      <c r="B2341" t="s">
        <v>27</v>
      </c>
      <c r="C2341" t="s">
        <v>40</v>
      </c>
      <c r="D2341" t="s">
        <v>41</v>
      </c>
      <c r="G2341" t="s">
        <v>43</v>
      </c>
      <c r="H2341" t="s">
        <v>7557</v>
      </c>
      <c r="I2341" s="4">
        <v>45443.875</v>
      </c>
      <c r="K2341" t="s">
        <v>143</v>
      </c>
      <c r="L2341" s="5"/>
      <c r="M2341" s="5"/>
      <c r="N2341" t="s">
        <v>82</v>
      </c>
      <c r="O2341" t="s">
        <v>7558</v>
      </c>
      <c r="R2341">
        <v>1</v>
      </c>
      <c r="T2341" s="5"/>
      <c r="W2341">
        <v>108</v>
      </c>
      <c r="X2341" t="s">
        <v>107</v>
      </c>
      <c r="Y2341" t="str">
        <f>VLOOKUP(C2341,'[1]DBS_KPY Sorumlular'!A:C,2,FALSE)</f>
        <v>Mustafa AYDIN</v>
      </c>
      <c r="Z2341" t="str">
        <f>VLOOKUP(C2341,'[1]DBS_KPY Sorumlular'!A:C,3,FALSE)</f>
        <v>Esra DOLAN</v>
      </c>
      <c r="AA2341" t="str">
        <f>VLOOKUP(K2341,[1]!Tablo3[#Data],2,FALSE)</f>
        <v>Tayfun VİÇE</v>
      </c>
    </row>
    <row r="2342" spans="1:27" x14ac:dyDescent="0.25">
      <c r="A2342">
        <v>3694</v>
      </c>
      <c r="B2342" t="s">
        <v>27</v>
      </c>
      <c r="C2342" t="s">
        <v>40</v>
      </c>
      <c r="D2342" t="s">
        <v>41</v>
      </c>
      <c r="G2342" t="s">
        <v>96</v>
      </c>
      <c r="H2342" t="s">
        <v>7559</v>
      </c>
      <c r="I2342" s="4">
        <v>43982.875</v>
      </c>
      <c r="K2342" t="s">
        <v>1528</v>
      </c>
      <c r="L2342" s="5"/>
      <c r="M2342" s="5"/>
      <c r="N2342" t="s">
        <v>82</v>
      </c>
      <c r="O2342" t="s">
        <v>7560</v>
      </c>
      <c r="R2342">
        <v>1</v>
      </c>
      <c r="T2342" s="5"/>
      <c r="W2342">
        <v>28</v>
      </c>
      <c r="X2342" t="s">
        <v>667</v>
      </c>
      <c r="Y2342" t="str">
        <f>VLOOKUP(C2342,'[1]DBS_KPY Sorumlular'!A:C,2,FALSE)</f>
        <v>Mustafa AYDIN</v>
      </c>
      <c r="Z2342" t="str">
        <f>VLOOKUP(C2342,'[1]DBS_KPY Sorumlular'!A:C,3,FALSE)</f>
        <v>Esra DOLAN</v>
      </c>
      <c r="AA2342" t="str">
        <f>VLOOKUP(K2342,[1]!Tablo3[#Data],2,FALSE)</f>
        <v>Tayfun VİÇE</v>
      </c>
    </row>
    <row r="2343" spans="1:27" x14ac:dyDescent="0.25">
      <c r="A2343">
        <v>3695</v>
      </c>
      <c r="B2343" t="s">
        <v>27</v>
      </c>
      <c r="C2343" t="s">
        <v>40</v>
      </c>
      <c r="D2343" t="s">
        <v>41</v>
      </c>
      <c r="G2343" t="s">
        <v>96</v>
      </c>
      <c r="H2343" t="s">
        <v>7561</v>
      </c>
      <c r="I2343" s="4">
        <v>43982.875</v>
      </c>
      <c r="K2343" t="s">
        <v>1528</v>
      </c>
      <c r="L2343" s="5"/>
      <c r="M2343" s="5"/>
      <c r="N2343" t="s">
        <v>82</v>
      </c>
      <c r="O2343" t="s">
        <v>5555</v>
      </c>
      <c r="R2343">
        <v>1</v>
      </c>
      <c r="T2343" s="5"/>
      <c r="W2343">
        <v>91</v>
      </c>
      <c r="X2343" t="s">
        <v>101</v>
      </c>
      <c r="Y2343" t="str">
        <f>VLOOKUP(C2343,'[1]DBS_KPY Sorumlular'!A:C,2,FALSE)</f>
        <v>Mustafa AYDIN</v>
      </c>
      <c r="Z2343" t="str">
        <f>VLOOKUP(C2343,'[1]DBS_KPY Sorumlular'!A:C,3,FALSE)</f>
        <v>Esra DOLAN</v>
      </c>
      <c r="AA2343" t="str">
        <f>VLOOKUP(K2343,[1]!Tablo3[#Data],2,FALSE)</f>
        <v>Tayfun VİÇE</v>
      </c>
    </row>
    <row r="2344" spans="1:27" x14ac:dyDescent="0.25">
      <c r="A2344">
        <v>3696</v>
      </c>
      <c r="B2344" t="s">
        <v>27</v>
      </c>
      <c r="C2344" t="s">
        <v>40</v>
      </c>
      <c r="D2344" t="s">
        <v>41</v>
      </c>
      <c r="G2344" t="s">
        <v>96</v>
      </c>
      <c r="H2344" t="s">
        <v>7562</v>
      </c>
      <c r="I2344" s="4">
        <v>43982.875</v>
      </c>
      <c r="K2344" t="s">
        <v>1528</v>
      </c>
      <c r="L2344" s="5"/>
      <c r="M2344" s="5"/>
      <c r="N2344" t="s">
        <v>82</v>
      </c>
      <c r="O2344" t="s">
        <v>7563</v>
      </c>
      <c r="R2344">
        <v>1</v>
      </c>
      <c r="T2344" s="5"/>
      <c r="W2344">
        <v>28</v>
      </c>
      <c r="X2344" t="s">
        <v>667</v>
      </c>
      <c r="Y2344" t="str">
        <f>VLOOKUP(C2344,'[1]DBS_KPY Sorumlular'!A:C,2,FALSE)</f>
        <v>Mustafa AYDIN</v>
      </c>
      <c r="Z2344" t="str">
        <f>VLOOKUP(C2344,'[1]DBS_KPY Sorumlular'!A:C,3,FALSE)</f>
        <v>Esra DOLAN</v>
      </c>
      <c r="AA2344" t="str">
        <f>VLOOKUP(K2344,[1]!Tablo3[#Data],2,FALSE)</f>
        <v>Tayfun VİÇE</v>
      </c>
    </row>
    <row r="2345" spans="1:27" x14ac:dyDescent="0.25">
      <c r="A2345">
        <v>3697</v>
      </c>
      <c r="B2345" t="s">
        <v>27</v>
      </c>
      <c r="C2345" t="s">
        <v>40</v>
      </c>
      <c r="D2345" t="s">
        <v>41</v>
      </c>
      <c r="G2345" t="s">
        <v>96</v>
      </c>
      <c r="H2345" t="s">
        <v>7564</v>
      </c>
      <c r="I2345" s="4">
        <v>43982.875</v>
      </c>
      <c r="K2345" t="s">
        <v>1528</v>
      </c>
      <c r="L2345" s="5"/>
      <c r="M2345" s="5"/>
      <c r="N2345" t="s">
        <v>82</v>
      </c>
      <c r="O2345" t="s">
        <v>7565</v>
      </c>
      <c r="R2345">
        <v>1</v>
      </c>
      <c r="T2345" s="5"/>
      <c r="W2345">
        <v>28</v>
      </c>
      <c r="X2345" t="s">
        <v>667</v>
      </c>
      <c r="Y2345" t="str">
        <f>VLOOKUP(C2345,'[1]DBS_KPY Sorumlular'!A:C,2,FALSE)</f>
        <v>Mustafa AYDIN</v>
      </c>
      <c r="Z2345" t="str">
        <f>VLOOKUP(C2345,'[1]DBS_KPY Sorumlular'!A:C,3,FALSE)</f>
        <v>Esra DOLAN</v>
      </c>
      <c r="AA2345" t="str">
        <f>VLOOKUP(K2345,[1]!Tablo3[#Data],2,FALSE)</f>
        <v>Tayfun VİÇE</v>
      </c>
    </row>
    <row r="2346" spans="1:27" x14ac:dyDescent="0.25">
      <c r="A2346">
        <v>3698</v>
      </c>
      <c r="B2346" t="s">
        <v>27</v>
      </c>
      <c r="C2346" t="s">
        <v>40</v>
      </c>
      <c r="D2346" t="s">
        <v>41</v>
      </c>
      <c r="G2346" t="s">
        <v>96</v>
      </c>
      <c r="H2346" t="s">
        <v>7566</v>
      </c>
      <c r="I2346" s="4">
        <v>43982.875</v>
      </c>
      <c r="K2346" t="s">
        <v>1528</v>
      </c>
      <c r="L2346" s="5"/>
      <c r="M2346" s="5"/>
      <c r="N2346" t="s">
        <v>82</v>
      </c>
      <c r="O2346" t="s">
        <v>7567</v>
      </c>
      <c r="R2346">
        <v>1</v>
      </c>
      <c r="T2346" s="5"/>
      <c r="W2346">
        <v>28</v>
      </c>
      <c r="X2346" t="s">
        <v>667</v>
      </c>
      <c r="Y2346" t="str">
        <f>VLOOKUP(C2346,'[1]DBS_KPY Sorumlular'!A:C,2,FALSE)</f>
        <v>Mustafa AYDIN</v>
      </c>
      <c r="Z2346" t="str">
        <f>VLOOKUP(C2346,'[1]DBS_KPY Sorumlular'!A:C,3,FALSE)</f>
        <v>Esra DOLAN</v>
      </c>
      <c r="AA2346" t="str">
        <f>VLOOKUP(K2346,[1]!Tablo3[#Data],2,FALSE)</f>
        <v>Tayfun VİÇE</v>
      </c>
    </row>
    <row r="2347" spans="1:27" x14ac:dyDescent="0.25">
      <c r="A2347">
        <v>3699</v>
      </c>
      <c r="B2347" t="s">
        <v>27</v>
      </c>
      <c r="C2347" t="s">
        <v>40</v>
      </c>
      <c r="D2347" t="s">
        <v>41</v>
      </c>
      <c r="G2347" t="s">
        <v>96</v>
      </c>
      <c r="H2347" t="s">
        <v>7568</v>
      </c>
      <c r="I2347" s="4">
        <v>43982.875</v>
      </c>
      <c r="K2347" t="s">
        <v>1528</v>
      </c>
      <c r="L2347" s="5"/>
      <c r="M2347" s="5"/>
      <c r="N2347" t="s">
        <v>82</v>
      </c>
      <c r="O2347" t="s">
        <v>7569</v>
      </c>
      <c r="R2347">
        <v>1</v>
      </c>
      <c r="T2347" s="5"/>
      <c r="W2347">
        <v>28</v>
      </c>
      <c r="X2347" t="s">
        <v>667</v>
      </c>
      <c r="Y2347" t="str">
        <f>VLOOKUP(C2347,'[1]DBS_KPY Sorumlular'!A:C,2,FALSE)</f>
        <v>Mustafa AYDIN</v>
      </c>
      <c r="Z2347" t="str">
        <f>VLOOKUP(C2347,'[1]DBS_KPY Sorumlular'!A:C,3,FALSE)</f>
        <v>Esra DOLAN</v>
      </c>
      <c r="AA2347" t="str">
        <f>VLOOKUP(K2347,[1]!Tablo3[#Data],2,FALSE)</f>
        <v>Tayfun VİÇE</v>
      </c>
    </row>
    <row r="2348" spans="1:27" x14ac:dyDescent="0.25">
      <c r="A2348">
        <v>3700</v>
      </c>
      <c r="B2348" t="s">
        <v>27</v>
      </c>
      <c r="C2348" t="s">
        <v>40</v>
      </c>
      <c r="D2348" t="s">
        <v>41</v>
      </c>
      <c r="G2348" t="s">
        <v>67</v>
      </c>
      <c r="H2348" t="s">
        <v>7570</v>
      </c>
      <c r="I2348" s="4">
        <v>43982.875</v>
      </c>
      <c r="K2348" t="s">
        <v>1528</v>
      </c>
      <c r="L2348" s="5"/>
      <c r="M2348" s="5"/>
      <c r="N2348" t="s">
        <v>82</v>
      </c>
      <c r="O2348" t="s">
        <v>7571</v>
      </c>
      <c r="R2348">
        <v>1</v>
      </c>
      <c r="T2348" s="5"/>
      <c r="W2348">
        <v>208</v>
      </c>
      <c r="X2348" t="s">
        <v>594</v>
      </c>
      <c r="Y2348" t="str">
        <f>VLOOKUP(C2348,'[1]DBS_KPY Sorumlular'!A:C,2,FALSE)</f>
        <v>Mustafa AYDIN</v>
      </c>
      <c r="Z2348" t="str">
        <f>VLOOKUP(C2348,'[1]DBS_KPY Sorumlular'!A:C,3,FALSE)</f>
        <v>Esra DOLAN</v>
      </c>
      <c r="AA2348" t="str">
        <f>VLOOKUP(K2348,[1]!Tablo3[#Data],2,FALSE)</f>
        <v>Tayfun VİÇE</v>
      </c>
    </row>
    <row r="2349" spans="1:27" x14ac:dyDescent="0.25">
      <c r="A2349">
        <v>3701</v>
      </c>
      <c r="B2349" t="s">
        <v>27</v>
      </c>
      <c r="C2349" t="s">
        <v>40</v>
      </c>
      <c r="D2349" t="s">
        <v>41</v>
      </c>
      <c r="G2349" t="s">
        <v>96</v>
      </c>
      <c r="H2349" t="s">
        <v>7572</v>
      </c>
      <c r="I2349" s="4">
        <v>43982.875</v>
      </c>
      <c r="K2349" t="s">
        <v>1528</v>
      </c>
      <c r="L2349" s="5"/>
      <c r="M2349" s="5"/>
      <c r="N2349" t="s">
        <v>82</v>
      </c>
      <c r="O2349" t="s">
        <v>7573</v>
      </c>
      <c r="R2349">
        <v>1</v>
      </c>
      <c r="T2349" s="5"/>
      <c r="W2349">
        <v>28</v>
      </c>
      <c r="X2349" t="s">
        <v>667</v>
      </c>
      <c r="Y2349" t="str">
        <f>VLOOKUP(C2349,'[1]DBS_KPY Sorumlular'!A:C,2,FALSE)</f>
        <v>Mustafa AYDIN</v>
      </c>
      <c r="Z2349" t="str">
        <f>VLOOKUP(C2349,'[1]DBS_KPY Sorumlular'!A:C,3,FALSE)</f>
        <v>Esra DOLAN</v>
      </c>
      <c r="AA2349" t="str">
        <f>VLOOKUP(K2349,[1]!Tablo3[#Data],2,FALSE)</f>
        <v>Tayfun VİÇE</v>
      </c>
    </row>
    <row r="2350" spans="1:27" x14ac:dyDescent="0.25">
      <c r="A2350">
        <v>3702</v>
      </c>
      <c r="B2350" t="s">
        <v>27</v>
      </c>
      <c r="C2350" t="s">
        <v>40</v>
      </c>
      <c r="D2350" t="s">
        <v>41</v>
      </c>
      <c r="G2350" t="s">
        <v>43</v>
      </c>
      <c r="H2350" t="s">
        <v>7574</v>
      </c>
      <c r="I2350" s="4">
        <v>44347.875</v>
      </c>
      <c r="K2350" t="s">
        <v>1528</v>
      </c>
      <c r="L2350" s="5"/>
      <c r="M2350" s="5"/>
      <c r="N2350" t="s">
        <v>82</v>
      </c>
      <c r="O2350" t="s">
        <v>7575</v>
      </c>
      <c r="R2350">
        <v>1</v>
      </c>
      <c r="T2350" s="5"/>
      <c r="W2350">
        <v>137</v>
      </c>
      <c r="X2350" t="s">
        <v>125</v>
      </c>
      <c r="Y2350" t="str">
        <f>VLOOKUP(C2350,'[1]DBS_KPY Sorumlular'!A:C,2,FALSE)</f>
        <v>Mustafa AYDIN</v>
      </c>
      <c r="Z2350" t="str">
        <f>VLOOKUP(C2350,'[1]DBS_KPY Sorumlular'!A:C,3,FALSE)</f>
        <v>Esra DOLAN</v>
      </c>
      <c r="AA2350" t="str">
        <f>VLOOKUP(K2350,[1]!Tablo3[#Data],2,FALSE)</f>
        <v>Tayfun VİÇE</v>
      </c>
    </row>
    <row r="2351" spans="1:27" x14ac:dyDescent="0.25">
      <c r="A2351">
        <v>3703</v>
      </c>
      <c r="B2351" t="s">
        <v>27</v>
      </c>
      <c r="C2351" t="s">
        <v>40</v>
      </c>
      <c r="D2351" t="s">
        <v>41</v>
      </c>
      <c r="G2351" t="s">
        <v>30</v>
      </c>
      <c r="H2351" t="s">
        <v>7576</v>
      </c>
      <c r="I2351" s="4">
        <v>44347.875</v>
      </c>
      <c r="K2351" t="s">
        <v>1528</v>
      </c>
      <c r="L2351" s="5"/>
      <c r="M2351" s="5"/>
      <c r="N2351" t="s">
        <v>82</v>
      </c>
      <c r="O2351" t="s">
        <v>7577</v>
      </c>
      <c r="R2351">
        <v>1</v>
      </c>
      <c r="T2351" s="5"/>
      <c r="W2351">
        <v>79</v>
      </c>
      <c r="X2351" t="s">
        <v>1619</v>
      </c>
      <c r="Y2351" t="str">
        <f>VLOOKUP(C2351,'[1]DBS_KPY Sorumlular'!A:C,2,FALSE)</f>
        <v>Mustafa AYDIN</v>
      </c>
      <c r="Z2351" t="str">
        <f>VLOOKUP(C2351,'[1]DBS_KPY Sorumlular'!A:C,3,FALSE)</f>
        <v>Esra DOLAN</v>
      </c>
      <c r="AA2351" t="str">
        <f>VLOOKUP(K2351,[1]!Tablo3[#Data],2,FALSE)</f>
        <v>Tayfun VİÇE</v>
      </c>
    </row>
    <row r="2352" spans="1:27" x14ac:dyDescent="0.25">
      <c r="A2352">
        <v>3704</v>
      </c>
      <c r="B2352" t="s">
        <v>27</v>
      </c>
      <c r="C2352" t="s">
        <v>40</v>
      </c>
      <c r="D2352" t="s">
        <v>41</v>
      </c>
      <c r="G2352" t="s">
        <v>67</v>
      </c>
      <c r="H2352" t="s">
        <v>7578</v>
      </c>
      <c r="I2352" s="4">
        <v>44712.875</v>
      </c>
      <c r="K2352" t="s">
        <v>1528</v>
      </c>
      <c r="L2352" s="5"/>
      <c r="M2352" s="5"/>
      <c r="N2352" t="s">
        <v>82</v>
      </c>
      <c r="O2352" t="s">
        <v>7579</v>
      </c>
      <c r="R2352">
        <v>1</v>
      </c>
      <c r="T2352" s="5"/>
      <c r="W2352">
        <v>203</v>
      </c>
      <c r="X2352" t="s">
        <v>72</v>
      </c>
      <c r="Y2352" t="str">
        <f>VLOOKUP(C2352,'[1]DBS_KPY Sorumlular'!A:C,2,FALSE)</f>
        <v>Mustafa AYDIN</v>
      </c>
      <c r="Z2352" t="str">
        <f>VLOOKUP(C2352,'[1]DBS_KPY Sorumlular'!A:C,3,FALSE)</f>
        <v>Esra DOLAN</v>
      </c>
      <c r="AA2352" t="str">
        <f>VLOOKUP(K2352,[1]!Tablo3[#Data],2,FALSE)</f>
        <v>Tayfun VİÇE</v>
      </c>
    </row>
    <row r="2353" spans="1:27" x14ac:dyDescent="0.25">
      <c r="A2353">
        <v>3705</v>
      </c>
      <c r="B2353" t="s">
        <v>27</v>
      </c>
      <c r="C2353" t="s">
        <v>40</v>
      </c>
      <c r="D2353" t="s">
        <v>65</v>
      </c>
      <c r="G2353" t="s">
        <v>30</v>
      </c>
      <c r="H2353" t="s">
        <v>7580</v>
      </c>
      <c r="I2353" s="4">
        <v>44712.875</v>
      </c>
      <c r="K2353" t="s">
        <v>1528</v>
      </c>
      <c r="L2353" s="5"/>
      <c r="M2353" s="5"/>
      <c r="N2353" t="s">
        <v>82</v>
      </c>
      <c r="O2353" t="s">
        <v>7581</v>
      </c>
      <c r="R2353">
        <v>1</v>
      </c>
      <c r="T2353" s="5"/>
      <c r="W2353">
        <v>79</v>
      </c>
      <c r="X2353" t="s">
        <v>1619</v>
      </c>
      <c r="Y2353" t="str">
        <f>VLOOKUP(C2353,'[1]DBS_KPY Sorumlular'!A:C,2,FALSE)</f>
        <v>Mustafa AYDIN</v>
      </c>
      <c r="Z2353" t="str">
        <f>VLOOKUP(C2353,'[1]DBS_KPY Sorumlular'!A:C,3,FALSE)</f>
        <v>Esra DOLAN</v>
      </c>
      <c r="AA2353" t="str">
        <f>VLOOKUP(K2353,[1]!Tablo3[#Data],2,FALSE)</f>
        <v>Tayfun VİÇE</v>
      </c>
    </row>
    <row r="2354" spans="1:27" x14ac:dyDescent="0.25">
      <c r="A2354">
        <v>3706</v>
      </c>
      <c r="B2354" t="s">
        <v>27</v>
      </c>
      <c r="C2354" t="s">
        <v>40</v>
      </c>
      <c r="D2354" t="s">
        <v>41</v>
      </c>
      <c r="G2354" t="s">
        <v>43</v>
      </c>
      <c r="H2354" t="s">
        <v>7582</v>
      </c>
      <c r="I2354" s="4">
        <v>44712.875</v>
      </c>
      <c r="K2354" t="s">
        <v>1528</v>
      </c>
      <c r="L2354" s="5"/>
      <c r="M2354" s="5"/>
      <c r="N2354" t="s">
        <v>82</v>
      </c>
      <c r="O2354" t="s">
        <v>7583</v>
      </c>
      <c r="R2354">
        <v>1</v>
      </c>
      <c r="T2354" s="5"/>
      <c r="W2354">
        <v>108</v>
      </c>
      <c r="X2354" t="s">
        <v>107</v>
      </c>
      <c r="Y2354" t="str">
        <f>VLOOKUP(C2354,'[1]DBS_KPY Sorumlular'!A:C,2,FALSE)</f>
        <v>Mustafa AYDIN</v>
      </c>
      <c r="Z2354" t="str">
        <f>VLOOKUP(C2354,'[1]DBS_KPY Sorumlular'!A:C,3,FALSE)</f>
        <v>Esra DOLAN</v>
      </c>
      <c r="AA2354" t="str">
        <f>VLOOKUP(K2354,[1]!Tablo3[#Data],2,FALSE)</f>
        <v>Tayfun VİÇE</v>
      </c>
    </row>
    <row r="2355" spans="1:27" x14ac:dyDescent="0.25">
      <c r="A2355">
        <v>3707</v>
      </c>
      <c r="B2355" t="s">
        <v>27</v>
      </c>
      <c r="C2355" t="s">
        <v>40</v>
      </c>
      <c r="D2355" t="s">
        <v>41</v>
      </c>
      <c r="G2355" t="s">
        <v>43</v>
      </c>
      <c r="H2355" t="s">
        <v>7584</v>
      </c>
      <c r="I2355" s="4">
        <v>44712.875</v>
      </c>
      <c r="K2355" t="s">
        <v>1528</v>
      </c>
      <c r="L2355" s="5"/>
      <c r="M2355" s="5"/>
      <c r="N2355" t="s">
        <v>82</v>
      </c>
      <c r="O2355" t="s">
        <v>7583</v>
      </c>
      <c r="R2355">
        <v>1</v>
      </c>
      <c r="T2355" s="5"/>
      <c r="W2355">
        <v>86</v>
      </c>
      <c r="X2355" t="s">
        <v>189</v>
      </c>
      <c r="Y2355" t="str">
        <f>VLOOKUP(C2355,'[1]DBS_KPY Sorumlular'!A:C,2,FALSE)</f>
        <v>Mustafa AYDIN</v>
      </c>
      <c r="Z2355" t="str">
        <f>VLOOKUP(C2355,'[1]DBS_KPY Sorumlular'!A:C,3,FALSE)</f>
        <v>Esra DOLAN</v>
      </c>
      <c r="AA2355" t="str">
        <f>VLOOKUP(K2355,[1]!Tablo3[#Data],2,FALSE)</f>
        <v>Tayfun VİÇE</v>
      </c>
    </row>
    <row r="2356" spans="1:27" x14ac:dyDescent="0.25">
      <c r="A2356">
        <v>3708</v>
      </c>
      <c r="B2356" t="s">
        <v>27</v>
      </c>
      <c r="C2356" t="s">
        <v>40</v>
      </c>
      <c r="D2356" t="s">
        <v>41</v>
      </c>
      <c r="G2356" t="s">
        <v>43</v>
      </c>
      <c r="H2356" t="s">
        <v>7585</v>
      </c>
      <c r="I2356" s="4">
        <v>44712.875</v>
      </c>
      <c r="K2356" t="s">
        <v>1528</v>
      </c>
      <c r="L2356" s="5"/>
      <c r="M2356" s="5"/>
      <c r="N2356" t="s">
        <v>82</v>
      </c>
      <c r="O2356" t="s">
        <v>7586</v>
      </c>
      <c r="R2356">
        <v>1</v>
      </c>
      <c r="T2356" s="5"/>
      <c r="W2356">
        <v>86</v>
      </c>
      <c r="X2356" t="s">
        <v>189</v>
      </c>
      <c r="Y2356" t="str">
        <f>VLOOKUP(C2356,'[1]DBS_KPY Sorumlular'!A:C,2,FALSE)</f>
        <v>Mustafa AYDIN</v>
      </c>
      <c r="Z2356" t="str">
        <f>VLOOKUP(C2356,'[1]DBS_KPY Sorumlular'!A:C,3,FALSE)</f>
        <v>Esra DOLAN</v>
      </c>
      <c r="AA2356" t="str">
        <f>VLOOKUP(K2356,[1]!Tablo3[#Data],2,FALSE)</f>
        <v>Tayfun VİÇE</v>
      </c>
    </row>
    <row r="2357" spans="1:27" x14ac:dyDescent="0.25">
      <c r="A2357">
        <v>3709</v>
      </c>
      <c r="B2357" t="s">
        <v>27</v>
      </c>
      <c r="C2357" t="s">
        <v>40</v>
      </c>
      <c r="D2357" t="s">
        <v>41</v>
      </c>
      <c r="G2357" t="s">
        <v>96</v>
      </c>
      <c r="H2357" t="s">
        <v>7587</v>
      </c>
      <c r="I2357" s="4">
        <v>44712.875</v>
      </c>
      <c r="K2357" t="s">
        <v>1528</v>
      </c>
      <c r="L2357" s="5"/>
      <c r="M2357" s="5"/>
      <c r="N2357" t="s">
        <v>82</v>
      </c>
      <c r="O2357" t="s">
        <v>7588</v>
      </c>
      <c r="R2357">
        <v>1</v>
      </c>
      <c r="T2357" s="5"/>
      <c r="W2357">
        <v>91</v>
      </c>
      <c r="X2357" t="s">
        <v>101</v>
      </c>
      <c r="Y2357" t="str">
        <f>VLOOKUP(C2357,'[1]DBS_KPY Sorumlular'!A:C,2,FALSE)</f>
        <v>Mustafa AYDIN</v>
      </c>
      <c r="Z2357" t="str">
        <f>VLOOKUP(C2357,'[1]DBS_KPY Sorumlular'!A:C,3,FALSE)</f>
        <v>Esra DOLAN</v>
      </c>
      <c r="AA2357" t="str">
        <f>VLOOKUP(K2357,[1]!Tablo3[#Data],2,FALSE)</f>
        <v>Tayfun VİÇE</v>
      </c>
    </row>
    <row r="2358" spans="1:27" x14ac:dyDescent="0.25">
      <c r="A2358">
        <v>3710</v>
      </c>
      <c r="B2358" t="s">
        <v>27</v>
      </c>
      <c r="C2358" t="s">
        <v>40</v>
      </c>
      <c r="D2358" t="s">
        <v>41</v>
      </c>
      <c r="G2358" t="s">
        <v>67</v>
      </c>
      <c r="H2358" t="s">
        <v>7589</v>
      </c>
      <c r="I2358" s="4">
        <v>44712.875</v>
      </c>
      <c r="K2358" t="s">
        <v>1528</v>
      </c>
      <c r="L2358" s="5"/>
      <c r="M2358" s="5"/>
      <c r="N2358" t="s">
        <v>82</v>
      </c>
      <c r="O2358" t="s">
        <v>7590</v>
      </c>
      <c r="R2358">
        <v>1</v>
      </c>
      <c r="T2358" s="5"/>
      <c r="W2358">
        <v>208</v>
      </c>
      <c r="X2358" t="s">
        <v>594</v>
      </c>
      <c r="Y2358" t="str">
        <f>VLOOKUP(C2358,'[1]DBS_KPY Sorumlular'!A:C,2,FALSE)</f>
        <v>Mustafa AYDIN</v>
      </c>
      <c r="Z2358" t="str">
        <f>VLOOKUP(C2358,'[1]DBS_KPY Sorumlular'!A:C,3,FALSE)</f>
        <v>Esra DOLAN</v>
      </c>
      <c r="AA2358" t="str">
        <f>VLOOKUP(K2358,[1]!Tablo3[#Data],2,FALSE)</f>
        <v>Tayfun VİÇE</v>
      </c>
    </row>
    <row r="2359" spans="1:27" x14ac:dyDescent="0.25">
      <c r="A2359">
        <v>3711</v>
      </c>
      <c r="B2359" t="s">
        <v>27</v>
      </c>
      <c r="C2359" t="s">
        <v>40</v>
      </c>
      <c r="D2359" t="s">
        <v>41</v>
      </c>
      <c r="G2359" t="s">
        <v>456</v>
      </c>
      <c r="H2359" t="s">
        <v>7591</v>
      </c>
      <c r="I2359" s="4">
        <v>45077.875</v>
      </c>
      <c r="K2359" t="s">
        <v>1528</v>
      </c>
      <c r="L2359" s="5"/>
      <c r="M2359" s="5"/>
      <c r="N2359" t="s">
        <v>82</v>
      </c>
      <c r="O2359" t="s">
        <v>7592</v>
      </c>
      <c r="R2359">
        <v>1</v>
      </c>
      <c r="T2359" s="5"/>
      <c r="W2359">
        <v>258</v>
      </c>
      <c r="X2359" t="s">
        <v>1811</v>
      </c>
      <c r="Y2359" t="str">
        <f>VLOOKUP(C2359,'[1]DBS_KPY Sorumlular'!A:C,2,FALSE)</f>
        <v>Mustafa AYDIN</v>
      </c>
      <c r="Z2359" t="str">
        <f>VLOOKUP(C2359,'[1]DBS_KPY Sorumlular'!A:C,3,FALSE)</f>
        <v>Esra DOLAN</v>
      </c>
      <c r="AA2359" t="str">
        <f>VLOOKUP(K2359,[1]!Tablo3[#Data],2,FALSE)</f>
        <v>Tayfun VİÇE</v>
      </c>
    </row>
    <row r="2360" spans="1:27" x14ac:dyDescent="0.25">
      <c r="A2360">
        <v>3712</v>
      </c>
      <c r="B2360" t="s">
        <v>27</v>
      </c>
      <c r="C2360" t="s">
        <v>40</v>
      </c>
      <c r="D2360" t="s">
        <v>41</v>
      </c>
      <c r="G2360" t="s">
        <v>43</v>
      </c>
      <c r="H2360" t="s">
        <v>7593</v>
      </c>
      <c r="I2360" s="4">
        <v>45077.875</v>
      </c>
      <c r="K2360" t="s">
        <v>1528</v>
      </c>
      <c r="L2360" s="5"/>
      <c r="M2360" s="5"/>
      <c r="N2360" t="s">
        <v>82</v>
      </c>
      <c r="O2360" t="s">
        <v>7594</v>
      </c>
      <c r="R2360">
        <v>1</v>
      </c>
      <c r="T2360" s="5"/>
      <c r="W2360">
        <v>151</v>
      </c>
      <c r="X2360" t="s">
        <v>1532</v>
      </c>
      <c r="Y2360" t="str">
        <f>VLOOKUP(C2360,'[1]DBS_KPY Sorumlular'!A:C,2,FALSE)</f>
        <v>Mustafa AYDIN</v>
      </c>
      <c r="Z2360" t="str">
        <f>VLOOKUP(C2360,'[1]DBS_KPY Sorumlular'!A:C,3,FALSE)</f>
        <v>Esra DOLAN</v>
      </c>
      <c r="AA2360" t="str">
        <f>VLOOKUP(K2360,[1]!Tablo3[#Data],2,FALSE)</f>
        <v>Tayfun VİÇE</v>
      </c>
    </row>
    <row r="2361" spans="1:27" x14ac:dyDescent="0.25">
      <c r="A2361">
        <v>3713</v>
      </c>
      <c r="B2361" t="s">
        <v>27</v>
      </c>
      <c r="C2361" t="s">
        <v>40</v>
      </c>
      <c r="D2361" t="s">
        <v>41</v>
      </c>
      <c r="G2361" t="s">
        <v>43</v>
      </c>
      <c r="H2361" t="s">
        <v>7595</v>
      </c>
      <c r="I2361" s="4">
        <v>45077.875</v>
      </c>
      <c r="K2361" t="s">
        <v>1528</v>
      </c>
      <c r="L2361" s="5"/>
      <c r="M2361" s="5"/>
      <c r="N2361" t="s">
        <v>82</v>
      </c>
      <c r="O2361" t="s">
        <v>7596</v>
      </c>
      <c r="R2361">
        <v>1</v>
      </c>
      <c r="T2361" s="5"/>
      <c r="W2361">
        <v>151</v>
      </c>
      <c r="X2361" t="s">
        <v>1532</v>
      </c>
      <c r="Y2361" t="str">
        <f>VLOOKUP(C2361,'[1]DBS_KPY Sorumlular'!A:C,2,FALSE)</f>
        <v>Mustafa AYDIN</v>
      </c>
      <c r="Z2361" t="str">
        <f>VLOOKUP(C2361,'[1]DBS_KPY Sorumlular'!A:C,3,FALSE)</f>
        <v>Esra DOLAN</v>
      </c>
      <c r="AA2361" t="str">
        <f>VLOOKUP(K2361,[1]!Tablo3[#Data],2,FALSE)</f>
        <v>Tayfun VİÇE</v>
      </c>
    </row>
    <row r="2362" spans="1:27" x14ac:dyDescent="0.25">
      <c r="A2362">
        <v>3714</v>
      </c>
      <c r="B2362" t="s">
        <v>27</v>
      </c>
      <c r="C2362" t="s">
        <v>40</v>
      </c>
      <c r="D2362" t="s">
        <v>41</v>
      </c>
      <c r="G2362" t="s">
        <v>96</v>
      </c>
      <c r="H2362" t="s">
        <v>7597</v>
      </c>
      <c r="I2362" s="4">
        <v>45077.875</v>
      </c>
      <c r="K2362" t="s">
        <v>1528</v>
      </c>
      <c r="L2362" s="5"/>
      <c r="M2362" s="5"/>
      <c r="N2362" t="s">
        <v>82</v>
      </c>
      <c r="O2362" t="s">
        <v>7598</v>
      </c>
      <c r="R2362">
        <v>1</v>
      </c>
      <c r="T2362" s="5"/>
      <c r="W2362">
        <v>91</v>
      </c>
      <c r="X2362" t="s">
        <v>101</v>
      </c>
      <c r="Y2362" t="str">
        <f>VLOOKUP(C2362,'[1]DBS_KPY Sorumlular'!A:C,2,FALSE)</f>
        <v>Mustafa AYDIN</v>
      </c>
      <c r="Z2362" t="str">
        <f>VLOOKUP(C2362,'[1]DBS_KPY Sorumlular'!A:C,3,FALSE)</f>
        <v>Esra DOLAN</v>
      </c>
      <c r="AA2362" t="str">
        <f>VLOOKUP(K2362,[1]!Tablo3[#Data],2,FALSE)</f>
        <v>Tayfun VİÇE</v>
      </c>
    </row>
    <row r="2363" spans="1:27" x14ac:dyDescent="0.25">
      <c r="A2363">
        <v>3715</v>
      </c>
      <c r="B2363" t="s">
        <v>27</v>
      </c>
      <c r="C2363" t="s">
        <v>40</v>
      </c>
      <c r="D2363" t="s">
        <v>41</v>
      </c>
      <c r="G2363" t="s">
        <v>43</v>
      </c>
      <c r="H2363" t="s">
        <v>7599</v>
      </c>
      <c r="I2363" s="4">
        <v>45443.875</v>
      </c>
      <c r="K2363" t="s">
        <v>1528</v>
      </c>
      <c r="L2363" s="5"/>
      <c r="M2363" s="5"/>
      <c r="N2363" t="s">
        <v>82</v>
      </c>
      <c r="O2363" t="s">
        <v>7600</v>
      </c>
      <c r="R2363">
        <v>1</v>
      </c>
      <c r="T2363" s="5"/>
      <c r="W2363">
        <v>108</v>
      </c>
      <c r="X2363" t="s">
        <v>107</v>
      </c>
      <c r="Y2363" t="str">
        <f>VLOOKUP(C2363,'[1]DBS_KPY Sorumlular'!A:C,2,FALSE)</f>
        <v>Mustafa AYDIN</v>
      </c>
      <c r="Z2363" t="str">
        <f>VLOOKUP(C2363,'[1]DBS_KPY Sorumlular'!A:C,3,FALSE)</f>
        <v>Esra DOLAN</v>
      </c>
      <c r="AA2363" t="str">
        <f>VLOOKUP(K2363,[1]!Tablo3[#Data],2,FALSE)</f>
        <v>Tayfun VİÇE</v>
      </c>
    </row>
    <row r="2364" spans="1:27" x14ac:dyDescent="0.25">
      <c r="A2364">
        <v>3716</v>
      </c>
      <c r="B2364" t="s">
        <v>27</v>
      </c>
      <c r="C2364" t="s">
        <v>40</v>
      </c>
      <c r="D2364" t="s">
        <v>41</v>
      </c>
      <c r="G2364" t="s">
        <v>96</v>
      </c>
      <c r="H2364" t="s">
        <v>7601</v>
      </c>
      <c r="I2364" s="4">
        <v>45925.875</v>
      </c>
      <c r="K2364" t="s">
        <v>1528</v>
      </c>
      <c r="L2364" s="5"/>
      <c r="M2364" s="5"/>
      <c r="N2364" t="s">
        <v>46</v>
      </c>
      <c r="O2364" t="s">
        <v>7602</v>
      </c>
      <c r="R2364">
        <v>0.9</v>
      </c>
      <c r="T2364" s="5" t="s">
        <v>48</v>
      </c>
      <c r="U2364" t="s">
        <v>7603</v>
      </c>
      <c r="V2364" t="s">
        <v>7604</v>
      </c>
      <c r="W2364">
        <v>91</v>
      </c>
      <c r="X2364" t="s">
        <v>101</v>
      </c>
      <c r="Y2364" t="str">
        <f>VLOOKUP(C2364,'[1]DBS_KPY Sorumlular'!A:C,2,FALSE)</f>
        <v>Mustafa AYDIN</v>
      </c>
      <c r="Z2364" t="str">
        <f>VLOOKUP(C2364,'[1]DBS_KPY Sorumlular'!A:C,3,FALSE)</f>
        <v>Esra DOLAN</v>
      </c>
      <c r="AA2364" t="str">
        <f>VLOOKUP(K2364,[1]!Tablo3[#Data],2,FALSE)</f>
        <v>Tayfun VİÇE</v>
      </c>
    </row>
    <row r="2365" spans="1:27" x14ac:dyDescent="0.25">
      <c r="A2365">
        <v>3717</v>
      </c>
      <c r="B2365" t="s">
        <v>27</v>
      </c>
      <c r="C2365" t="s">
        <v>40</v>
      </c>
      <c r="D2365" t="s">
        <v>65</v>
      </c>
      <c r="G2365" t="s">
        <v>67</v>
      </c>
      <c r="H2365" t="s">
        <v>7605</v>
      </c>
      <c r="I2365" s="4">
        <v>43982.875</v>
      </c>
      <c r="K2365" t="s">
        <v>1550</v>
      </c>
      <c r="L2365" s="5"/>
      <c r="M2365" s="5"/>
      <c r="N2365" t="s">
        <v>82</v>
      </c>
      <c r="O2365" t="s">
        <v>7606</v>
      </c>
      <c r="R2365">
        <v>1</v>
      </c>
      <c r="T2365" s="5" t="s">
        <v>48</v>
      </c>
      <c r="U2365" t="s">
        <v>7607</v>
      </c>
      <c r="V2365" t="s">
        <v>7608</v>
      </c>
      <c r="W2365">
        <v>202</v>
      </c>
      <c r="X2365" t="s">
        <v>1045</v>
      </c>
      <c r="Y2365" t="str">
        <f>VLOOKUP(C2365,'[1]DBS_KPY Sorumlular'!A:C,2,FALSE)</f>
        <v>Mustafa AYDIN</v>
      </c>
      <c r="Z2365" t="str">
        <f>VLOOKUP(C2365,'[1]DBS_KPY Sorumlular'!A:C,3,FALSE)</f>
        <v>Esra DOLAN</v>
      </c>
      <c r="AA2365" t="str">
        <f>VLOOKUP(K2365,[1]!Tablo3[#Data],2,FALSE)</f>
        <v>Kadir TOPÇU</v>
      </c>
    </row>
    <row r="2366" spans="1:27" x14ac:dyDescent="0.25">
      <c r="A2366">
        <v>3718</v>
      </c>
      <c r="B2366" t="s">
        <v>27</v>
      </c>
      <c r="C2366" t="s">
        <v>40</v>
      </c>
      <c r="D2366" t="s">
        <v>41</v>
      </c>
      <c r="G2366" t="s">
        <v>43</v>
      </c>
      <c r="H2366" t="s">
        <v>7609</v>
      </c>
      <c r="I2366" s="4">
        <v>43982.875</v>
      </c>
      <c r="K2366" t="s">
        <v>1550</v>
      </c>
      <c r="L2366" s="5"/>
      <c r="M2366" s="5"/>
      <c r="N2366" t="s">
        <v>82</v>
      </c>
      <c r="O2366" t="s">
        <v>7610</v>
      </c>
      <c r="R2366">
        <v>1</v>
      </c>
      <c r="T2366" s="5"/>
      <c r="W2366">
        <v>246</v>
      </c>
      <c r="X2366" t="s">
        <v>7089</v>
      </c>
      <c r="Y2366" t="str">
        <f>VLOOKUP(C2366,'[1]DBS_KPY Sorumlular'!A:C,2,FALSE)</f>
        <v>Mustafa AYDIN</v>
      </c>
      <c r="Z2366" t="str">
        <f>VLOOKUP(C2366,'[1]DBS_KPY Sorumlular'!A:C,3,FALSE)</f>
        <v>Esra DOLAN</v>
      </c>
      <c r="AA2366" t="str">
        <f>VLOOKUP(K2366,[1]!Tablo3[#Data],2,FALSE)</f>
        <v>Kadir TOPÇU</v>
      </c>
    </row>
    <row r="2367" spans="1:27" x14ac:dyDescent="0.25">
      <c r="A2367">
        <v>3719</v>
      </c>
      <c r="B2367" t="s">
        <v>27</v>
      </c>
      <c r="C2367" t="s">
        <v>40</v>
      </c>
      <c r="D2367" t="s">
        <v>41</v>
      </c>
      <c r="G2367" t="s">
        <v>43</v>
      </c>
      <c r="H2367" t="s">
        <v>7611</v>
      </c>
      <c r="I2367" s="4">
        <v>44347.875</v>
      </c>
      <c r="K2367" t="s">
        <v>1550</v>
      </c>
      <c r="L2367" s="5"/>
      <c r="M2367" s="5"/>
      <c r="N2367" t="s">
        <v>82</v>
      </c>
      <c r="O2367" t="s">
        <v>7612</v>
      </c>
      <c r="R2367">
        <v>1</v>
      </c>
      <c r="T2367" s="5"/>
      <c r="W2367">
        <v>134</v>
      </c>
      <c r="X2367" t="s">
        <v>1577</v>
      </c>
      <c r="Y2367" t="str">
        <f>VLOOKUP(C2367,'[1]DBS_KPY Sorumlular'!A:C,2,FALSE)</f>
        <v>Mustafa AYDIN</v>
      </c>
      <c r="Z2367" t="str">
        <f>VLOOKUP(C2367,'[1]DBS_KPY Sorumlular'!A:C,3,FALSE)</f>
        <v>Esra DOLAN</v>
      </c>
      <c r="AA2367" t="str">
        <f>VLOOKUP(K2367,[1]!Tablo3[#Data],2,FALSE)</f>
        <v>Kadir TOPÇU</v>
      </c>
    </row>
    <row r="2368" spans="1:27" x14ac:dyDescent="0.25">
      <c r="A2368">
        <v>3720</v>
      </c>
      <c r="B2368" t="s">
        <v>27</v>
      </c>
      <c r="C2368" t="s">
        <v>40</v>
      </c>
      <c r="D2368" t="s">
        <v>65</v>
      </c>
      <c r="G2368" t="s">
        <v>67</v>
      </c>
      <c r="H2368" t="s">
        <v>7613</v>
      </c>
      <c r="I2368" s="4">
        <v>44347.875</v>
      </c>
      <c r="K2368" t="s">
        <v>1550</v>
      </c>
      <c r="L2368" s="5"/>
      <c r="M2368" s="5"/>
      <c r="N2368" t="s">
        <v>82</v>
      </c>
      <c r="O2368" t="s">
        <v>7614</v>
      </c>
      <c r="R2368">
        <v>1</v>
      </c>
      <c r="T2368" s="5" t="s">
        <v>48</v>
      </c>
      <c r="U2368" t="s">
        <v>7615</v>
      </c>
      <c r="V2368" t="s">
        <v>7616</v>
      </c>
      <c r="W2368">
        <v>203</v>
      </c>
      <c r="X2368" t="s">
        <v>72</v>
      </c>
      <c r="Y2368" t="str">
        <f>VLOOKUP(C2368,'[1]DBS_KPY Sorumlular'!A:C,2,FALSE)</f>
        <v>Mustafa AYDIN</v>
      </c>
      <c r="Z2368" t="str">
        <f>VLOOKUP(C2368,'[1]DBS_KPY Sorumlular'!A:C,3,FALSE)</f>
        <v>Esra DOLAN</v>
      </c>
      <c r="AA2368" t="str">
        <f>VLOOKUP(K2368,[1]!Tablo3[#Data],2,FALSE)</f>
        <v>Kadir TOPÇU</v>
      </c>
    </row>
    <row r="2369" spans="1:27" x14ac:dyDescent="0.25">
      <c r="A2369">
        <v>3721</v>
      </c>
      <c r="B2369" t="s">
        <v>27</v>
      </c>
      <c r="C2369" t="s">
        <v>40</v>
      </c>
      <c r="D2369" t="s">
        <v>41</v>
      </c>
      <c r="G2369" t="s">
        <v>43</v>
      </c>
      <c r="H2369" t="s">
        <v>7617</v>
      </c>
      <c r="I2369" s="4">
        <v>44347.875</v>
      </c>
      <c r="K2369" t="s">
        <v>1550</v>
      </c>
      <c r="L2369" s="5"/>
      <c r="M2369" s="5"/>
      <c r="N2369" t="s">
        <v>82</v>
      </c>
      <c r="O2369" t="s">
        <v>7618</v>
      </c>
      <c r="R2369">
        <v>1</v>
      </c>
      <c r="T2369" s="5"/>
      <c r="W2369">
        <v>91</v>
      </c>
      <c r="X2369" t="s">
        <v>101</v>
      </c>
      <c r="Y2369" t="str">
        <f>VLOOKUP(C2369,'[1]DBS_KPY Sorumlular'!A:C,2,FALSE)</f>
        <v>Mustafa AYDIN</v>
      </c>
      <c r="Z2369" t="str">
        <f>VLOOKUP(C2369,'[1]DBS_KPY Sorumlular'!A:C,3,FALSE)</f>
        <v>Esra DOLAN</v>
      </c>
      <c r="AA2369" t="str">
        <f>VLOOKUP(K2369,[1]!Tablo3[#Data],2,FALSE)</f>
        <v>Kadir TOPÇU</v>
      </c>
    </row>
    <row r="2370" spans="1:27" x14ac:dyDescent="0.25">
      <c r="A2370">
        <v>3722</v>
      </c>
      <c r="B2370" t="s">
        <v>27</v>
      </c>
      <c r="C2370" t="s">
        <v>40</v>
      </c>
      <c r="D2370" t="s">
        <v>65</v>
      </c>
      <c r="G2370" t="s">
        <v>43</v>
      </c>
      <c r="H2370" t="s">
        <v>7619</v>
      </c>
      <c r="I2370" s="4">
        <v>45077.875</v>
      </c>
      <c r="K2370" t="s">
        <v>1550</v>
      </c>
      <c r="L2370" s="5"/>
      <c r="M2370" s="5"/>
      <c r="N2370" t="s">
        <v>82</v>
      </c>
      <c r="O2370" t="s">
        <v>7620</v>
      </c>
      <c r="R2370">
        <v>1</v>
      </c>
      <c r="T2370" s="5" t="s">
        <v>48</v>
      </c>
      <c r="U2370" t="s">
        <v>7621</v>
      </c>
      <c r="V2370" t="s">
        <v>7622</v>
      </c>
      <c r="W2370">
        <v>134</v>
      </c>
      <c r="X2370" t="s">
        <v>1577</v>
      </c>
      <c r="Y2370" t="str">
        <f>VLOOKUP(C2370,'[1]DBS_KPY Sorumlular'!A:C,2,FALSE)</f>
        <v>Mustafa AYDIN</v>
      </c>
      <c r="Z2370" t="str">
        <f>VLOOKUP(C2370,'[1]DBS_KPY Sorumlular'!A:C,3,FALSE)</f>
        <v>Esra DOLAN</v>
      </c>
      <c r="AA2370" t="str">
        <f>VLOOKUP(K2370,[1]!Tablo3[#Data],2,FALSE)</f>
        <v>Kadir TOPÇU</v>
      </c>
    </row>
    <row r="2371" spans="1:27" x14ac:dyDescent="0.25">
      <c r="A2371">
        <v>3723</v>
      </c>
      <c r="B2371" t="s">
        <v>27</v>
      </c>
      <c r="C2371" t="s">
        <v>40</v>
      </c>
      <c r="D2371" t="s">
        <v>41</v>
      </c>
      <c r="G2371" t="s">
        <v>43</v>
      </c>
      <c r="H2371" t="s">
        <v>7623</v>
      </c>
      <c r="I2371" s="4">
        <v>45443.875</v>
      </c>
      <c r="K2371" t="s">
        <v>1550</v>
      </c>
      <c r="L2371" s="5"/>
      <c r="M2371" s="5"/>
      <c r="N2371" t="s">
        <v>82</v>
      </c>
      <c r="O2371" t="s">
        <v>7624</v>
      </c>
      <c r="R2371">
        <v>1</v>
      </c>
      <c r="T2371" s="5"/>
      <c r="W2371">
        <v>169</v>
      </c>
      <c r="X2371" t="s">
        <v>1480</v>
      </c>
      <c r="Y2371" t="str">
        <f>VLOOKUP(C2371,'[1]DBS_KPY Sorumlular'!A:C,2,FALSE)</f>
        <v>Mustafa AYDIN</v>
      </c>
      <c r="Z2371" t="str">
        <f>VLOOKUP(C2371,'[1]DBS_KPY Sorumlular'!A:C,3,FALSE)</f>
        <v>Esra DOLAN</v>
      </c>
      <c r="AA2371" t="str">
        <f>VLOOKUP(K2371,[1]!Tablo3[#Data],2,FALSE)</f>
        <v>Kadir TOPÇU</v>
      </c>
    </row>
    <row r="2372" spans="1:27" x14ac:dyDescent="0.25">
      <c r="A2372">
        <v>3724</v>
      </c>
      <c r="B2372" t="s">
        <v>27</v>
      </c>
      <c r="C2372" t="s">
        <v>40</v>
      </c>
      <c r="D2372" t="s">
        <v>65</v>
      </c>
      <c r="G2372" t="s">
        <v>67</v>
      </c>
      <c r="H2372" t="s">
        <v>7625</v>
      </c>
      <c r="I2372" s="4">
        <v>45533.875</v>
      </c>
      <c r="J2372" t="s">
        <v>6353</v>
      </c>
      <c r="K2372" t="s">
        <v>152</v>
      </c>
      <c r="L2372" s="5"/>
      <c r="M2372" s="5"/>
      <c r="N2372" t="s">
        <v>82</v>
      </c>
      <c r="O2372" t="s">
        <v>7626</v>
      </c>
      <c r="R2372">
        <v>1</v>
      </c>
      <c r="T2372" s="5" t="s">
        <v>48</v>
      </c>
      <c r="U2372" t="s">
        <v>7627</v>
      </c>
      <c r="V2372" t="s">
        <v>7628</v>
      </c>
      <c r="W2372">
        <v>202</v>
      </c>
      <c r="X2372" t="s">
        <v>1045</v>
      </c>
      <c r="Y2372" t="str">
        <f>VLOOKUP(C2372,'[1]DBS_KPY Sorumlular'!A:C,2,FALSE)</f>
        <v>Mustafa AYDIN</v>
      </c>
      <c r="Z2372" t="str">
        <f>VLOOKUP(C2372,'[1]DBS_KPY Sorumlular'!A:C,3,FALSE)</f>
        <v>Esra DOLAN</v>
      </c>
      <c r="AA2372" t="str">
        <f>VLOOKUP(K2372,[1]!Tablo3[#Data],2,FALSE)</f>
        <v>Erkan AKDOĞAN</v>
      </c>
    </row>
    <row r="2373" spans="1:27" x14ac:dyDescent="0.25">
      <c r="A2373">
        <v>3725</v>
      </c>
      <c r="B2373" t="s">
        <v>27</v>
      </c>
      <c r="C2373" t="s">
        <v>40</v>
      </c>
      <c r="D2373" t="s">
        <v>65</v>
      </c>
      <c r="G2373" t="s">
        <v>67</v>
      </c>
      <c r="H2373" t="s">
        <v>7629</v>
      </c>
      <c r="I2373" s="4">
        <v>45443.875</v>
      </c>
      <c r="J2373" t="s">
        <v>6353</v>
      </c>
      <c r="K2373" t="s">
        <v>325</v>
      </c>
      <c r="L2373" s="5"/>
      <c r="M2373" s="5"/>
      <c r="N2373" t="s">
        <v>82</v>
      </c>
      <c r="O2373" t="s">
        <v>7630</v>
      </c>
      <c r="R2373">
        <v>1</v>
      </c>
      <c r="T2373" s="5"/>
      <c r="W2373">
        <v>104</v>
      </c>
      <c r="X2373" t="s">
        <v>703</v>
      </c>
      <c r="Y2373" t="str">
        <f>VLOOKUP(C2373,'[1]DBS_KPY Sorumlular'!A:C,2,FALSE)</f>
        <v>Mustafa AYDIN</v>
      </c>
      <c r="Z2373" t="str">
        <f>VLOOKUP(C2373,'[1]DBS_KPY Sorumlular'!A:C,3,FALSE)</f>
        <v>Esra DOLAN</v>
      </c>
      <c r="AA2373" t="str">
        <f>VLOOKUP(K2373,[1]!Tablo3[#Data],2,FALSE)</f>
        <v>Kadir TOPÇU</v>
      </c>
    </row>
    <row r="2374" spans="1:27" x14ac:dyDescent="0.25">
      <c r="A2374">
        <v>3726</v>
      </c>
      <c r="B2374" t="s">
        <v>27</v>
      </c>
      <c r="C2374" t="s">
        <v>40</v>
      </c>
      <c r="D2374" t="s">
        <v>41</v>
      </c>
      <c r="G2374" t="s">
        <v>43</v>
      </c>
      <c r="H2374" t="s">
        <v>7631</v>
      </c>
      <c r="I2374" s="4">
        <v>45443.875</v>
      </c>
      <c r="J2374" t="s">
        <v>6353</v>
      </c>
      <c r="K2374" t="s">
        <v>364</v>
      </c>
      <c r="L2374" s="5"/>
      <c r="M2374" s="5"/>
      <c r="N2374" t="s">
        <v>82</v>
      </c>
      <c r="O2374" t="s">
        <v>7632</v>
      </c>
      <c r="R2374">
        <v>1</v>
      </c>
      <c r="T2374" s="5"/>
      <c r="W2374">
        <v>144</v>
      </c>
      <c r="X2374" t="s">
        <v>463</v>
      </c>
      <c r="Y2374" t="str">
        <f>VLOOKUP(C2374,'[1]DBS_KPY Sorumlular'!A:C,2,FALSE)</f>
        <v>Mustafa AYDIN</v>
      </c>
      <c r="Z2374" t="str">
        <f>VLOOKUP(C2374,'[1]DBS_KPY Sorumlular'!A:C,3,FALSE)</f>
        <v>Esra DOLAN</v>
      </c>
      <c r="AA2374" t="str">
        <f>VLOOKUP(K2374,[1]!Tablo3[#Data],2,FALSE)</f>
        <v>Kadir TOPÇU</v>
      </c>
    </row>
    <row r="2375" spans="1:27" x14ac:dyDescent="0.25">
      <c r="A2375">
        <v>3727</v>
      </c>
      <c r="B2375" t="s">
        <v>27</v>
      </c>
      <c r="C2375" t="s">
        <v>40</v>
      </c>
      <c r="D2375" t="s">
        <v>65</v>
      </c>
      <c r="G2375" t="s">
        <v>67</v>
      </c>
      <c r="H2375" t="s">
        <v>7633</v>
      </c>
      <c r="I2375" s="4">
        <v>45443.875</v>
      </c>
      <c r="J2375" t="s">
        <v>6353</v>
      </c>
      <c r="K2375" t="s">
        <v>1002</v>
      </c>
      <c r="L2375" s="5"/>
      <c r="M2375" s="5"/>
      <c r="N2375" t="s">
        <v>82</v>
      </c>
      <c r="O2375" t="s">
        <v>7634</v>
      </c>
      <c r="R2375">
        <v>1</v>
      </c>
      <c r="T2375" s="5"/>
      <c r="W2375">
        <v>203</v>
      </c>
      <c r="X2375" t="s">
        <v>72</v>
      </c>
      <c r="Y2375" t="str">
        <f>VLOOKUP(C2375,'[1]DBS_KPY Sorumlular'!A:C,2,FALSE)</f>
        <v>Mustafa AYDIN</v>
      </c>
      <c r="Z2375" t="str">
        <f>VLOOKUP(C2375,'[1]DBS_KPY Sorumlular'!A:C,3,FALSE)</f>
        <v>Esra DOLAN</v>
      </c>
      <c r="AA2375" t="str">
        <f>VLOOKUP(K2375,[1]!Tablo3[#Data],2,FALSE)</f>
        <v>Kadir TOPÇU</v>
      </c>
    </row>
    <row r="2376" spans="1:27" x14ac:dyDescent="0.25">
      <c r="A2376">
        <v>3728</v>
      </c>
      <c r="B2376" t="s">
        <v>27</v>
      </c>
      <c r="C2376" t="s">
        <v>40</v>
      </c>
      <c r="D2376" t="s">
        <v>41</v>
      </c>
      <c r="G2376" t="s">
        <v>43</v>
      </c>
      <c r="H2376" t="s">
        <v>7635</v>
      </c>
      <c r="I2376" s="4">
        <v>45584.875</v>
      </c>
      <c r="J2376" t="s">
        <v>6353</v>
      </c>
      <c r="K2376" t="s">
        <v>1550</v>
      </c>
      <c r="L2376" s="5"/>
      <c r="M2376" s="5"/>
      <c r="N2376" t="s">
        <v>82</v>
      </c>
      <c r="O2376" t="s">
        <v>7636</v>
      </c>
      <c r="R2376">
        <v>1</v>
      </c>
      <c r="T2376" s="5" t="s">
        <v>58</v>
      </c>
      <c r="U2376" t="s">
        <v>192</v>
      </c>
      <c r="V2376" t="s">
        <v>193</v>
      </c>
      <c r="W2376">
        <v>108</v>
      </c>
      <c r="X2376" t="s">
        <v>107</v>
      </c>
      <c r="Y2376" t="str">
        <f>VLOOKUP(C2376,'[1]DBS_KPY Sorumlular'!A:C,2,FALSE)</f>
        <v>Mustafa AYDIN</v>
      </c>
      <c r="Z2376" t="str">
        <f>VLOOKUP(C2376,'[1]DBS_KPY Sorumlular'!A:C,3,FALSE)</f>
        <v>Esra DOLAN</v>
      </c>
      <c r="AA2376" t="str">
        <f>VLOOKUP(K2376,[1]!Tablo3[#Data],2,FALSE)</f>
        <v>Kadir TOPÇU</v>
      </c>
    </row>
    <row r="2377" spans="1:27" x14ac:dyDescent="0.25">
      <c r="A2377">
        <v>3729</v>
      </c>
      <c r="B2377" t="s">
        <v>27</v>
      </c>
      <c r="C2377" t="s">
        <v>40</v>
      </c>
      <c r="D2377" t="s">
        <v>65</v>
      </c>
      <c r="G2377" t="s">
        <v>43</v>
      </c>
      <c r="H2377" t="s">
        <v>7637</v>
      </c>
      <c r="I2377" s="4">
        <v>45443.875</v>
      </c>
      <c r="J2377" t="s">
        <v>7638</v>
      </c>
      <c r="K2377" t="s">
        <v>181</v>
      </c>
      <c r="L2377" s="5"/>
      <c r="M2377" s="5"/>
      <c r="N2377" t="s">
        <v>82</v>
      </c>
      <c r="O2377" t="s">
        <v>7639</v>
      </c>
      <c r="R2377">
        <v>1</v>
      </c>
      <c r="T2377" s="5"/>
      <c r="W2377">
        <v>79</v>
      </c>
      <c r="X2377" t="s">
        <v>1619</v>
      </c>
      <c r="Y2377" t="str">
        <f>VLOOKUP(C2377,'[1]DBS_KPY Sorumlular'!A:C,2,FALSE)</f>
        <v>Mustafa AYDIN</v>
      </c>
      <c r="Z2377" t="str">
        <f>VLOOKUP(C2377,'[1]DBS_KPY Sorumlular'!A:C,3,FALSE)</f>
        <v>Esra DOLAN</v>
      </c>
      <c r="AA2377" t="str">
        <f>VLOOKUP(K2377,[1]!Tablo3[#Data],2,FALSE)</f>
        <v>Erkan AKDOĞAN</v>
      </c>
    </row>
    <row r="2378" spans="1:27" x14ac:dyDescent="0.25">
      <c r="A2378">
        <v>3730</v>
      </c>
      <c r="B2378" t="s">
        <v>27</v>
      </c>
      <c r="C2378" t="s">
        <v>652</v>
      </c>
      <c r="D2378" t="s">
        <v>653</v>
      </c>
      <c r="G2378" t="s">
        <v>456</v>
      </c>
      <c r="H2378" t="s">
        <v>7640</v>
      </c>
      <c r="I2378" s="4">
        <v>43982.875</v>
      </c>
      <c r="K2378" t="s">
        <v>33</v>
      </c>
      <c r="L2378" s="5"/>
      <c r="M2378" s="5"/>
      <c r="N2378" t="s">
        <v>82</v>
      </c>
      <c r="O2378" t="s">
        <v>7641</v>
      </c>
      <c r="R2378">
        <v>1</v>
      </c>
      <c r="T2378" s="5"/>
      <c r="W2378">
        <v>144</v>
      </c>
      <c r="X2378" t="s">
        <v>463</v>
      </c>
      <c r="Y2378" t="str">
        <f>VLOOKUP(C2378,'[1]DBS_KPY Sorumlular'!A:C,2,FALSE)</f>
        <v>Seyithan İŞİK</v>
      </c>
      <c r="Z2378" t="str">
        <f>VLOOKUP(C2378,'[1]DBS_KPY Sorumlular'!A:C,3,FALSE)</f>
        <v>Korhan KÖROĞLU</v>
      </c>
      <c r="AA2378" t="str">
        <f>VLOOKUP(K2378,[1]!Tablo3[#Data],2,FALSE)</f>
        <v>Tayfun VİÇE</v>
      </c>
    </row>
    <row r="2379" spans="1:27" x14ac:dyDescent="0.25">
      <c r="A2379">
        <v>3731</v>
      </c>
      <c r="B2379" t="s">
        <v>27</v>
      </c>
      <c r="C2379" t="s">
        <v>652</v>
      </c>
      <c r="D2379" t="s">
        <v>653</v>
      </c>
      <c r="G2379" t="s">
        <v>456</v>
      </c>
      <c r="H2379" t="s">
        <v>7642</v>
      </c>
      <c r="I2379" s="4">
        <v>43982.875</v>
      </c>
      <c r="K2379" t="s">
        <v>33</v>
      </c>
      <c r="L2379" s="5"/>
      <c r="M2379" s="5"/>
      <c r="N2379" t="s">
        <v>82</v>
      </c>
      <c r="O2379" t="s">
        <v>7643</v>
      </c>
      <c r="R2379">
        <v>1</v>
      </c>
      <c r="T2379" s="5"/>
      <c r="W2379">
        <v>144</v>
      </c>
      <c r="X2379" t="s">
        <v>463</v>
      </c>
      <c r="Y2379" t="str">
        <f>VLOOKUP(C2379,'[1]DBS_KPY Sorumlular'!A:C,2,FALSE)</f>
        <v>Seyithan İŞİK</v>
      </c>
      <c r="Z2379" t="str">
        <f>VLOOKUP(C2379,'[1]DBS_KPY Sorumlular'!A:C,3,FALSE)</f>
        <v>Korhan KÖROĞLU</v>
      </c>
      <c r="AA2379" t="str">
        <f>VLOOKUP(K2379,[1]!Tablo3[#Data],2,FALSE)</f>
        <v>Tayfun VİÇE</v>
      </c>
    </row>
    <row r="2380" spans="1:27" x14ac:dyDescent="0.25">
      <c r="A2380">
        <v>3732</v>
      </c>
      <c r="B2380" t="s">
        <v>27</v>
      </c>
      <c r="C2380" t="s">
        <v>652</v>
      </c>
      <c r="D2380" t="s">
        <v>653</v>
      </c>
      <c r="G2380" t="s">
        <v>456</v>
      </c>
      <c r="H2380" t="s">
        <v>7644</v>
      </c>
      <c r="I2380" s="4">
        <v>43982.875</v>
      </c>
      <c r="K2380" t="s">
        <v>33</v>
      </c>
      <c r="L2380" s="5"/>
      <c r="M2380" s="5"/>
      <c r="N2380" t="s">
        <v>82</v>
      </c>
      <c r="O2380" t="s">
        <v>7645</v>
      </c>
      <c r="R2380">
        <v>1</v>
      </c>
      <c r="T2380" s="5"/>
      <c r="W2380">
        <v>144</v>
      </c>
      <c r="X2380" t="s">
        <v>463</v>
      </c>
      <c r="Y2380" t="str">
        <f>VLOOKUP(C2380,'[1]DBS_KPY Sorumlular'!A:C,2,FALSE)</f>
        <v>Seyithan İŞİK</v>
      </c>
      <c r="Z2380" t="str">
        <f>VLOOKUP(C2380,'[1]DBS_KPY Sorumlular'!A:C,3,FALSE)</f>
        <v>Korhan KÖROĞLU</v>
      </c>
      <c r="AA2380" t="str">
        <f>VLOOKUP(K2380,[1]!Tablo3[#Data],2,FALSE)</f>
        <v>Tayfun VİÇE</v>
      </c>
    </row>
    <row r="2381" spans="1:27" x14ac:dyDescent="0.25">
      <c r="A2381">
        <v>3733</v>
      </c>
      <c r="B2381" t="s">
        <v>27</v>
      </c>
      <c r="C2381" t="s">
        <v>652</v>
      </c>
      <c r="D2381" t="s">
        <v>653</v>
      </c>
      <c r="G2381" t="s">
        <v>456</v>
      </c>
      <c r="H2381" t="s">
        <v>7646</v>
      </c>
      <c r="I2381" s="4">
        <v>43982.875</v>
      </c>
      <c r="K2381" t="s">
        <v>33</v>
      </c>
      <c r="L2381" s="5"/>
      <c r="M2381" s="5"/>
      <c r="N2381" t="s">
        <v>82</v>
      </c>
      <c r="O2381" t="s">
        <v>7647</v>
      </c>
      <c r="R2381">
        <v>1</v>
      </c>
      <c r="T2381" s="5"/>
      <c r="W2381">
        <v>144</v>
      </c>
      <c r="X2381" t="s">
        <v>463</v>
      </c>
      <c r="Y2381" t="str">
        <f>VLOOKUP(C2381,'[1]DBS_KPY Sorumlular'!A:C,2,FALSE)</f>
        <v>Seyithan İŞİK</v>
      </c>
      <c r="Z2381" t="str">
        <f>VLOOKUP(C2381,'[1]DBS_KPY Sorumlular'!A:C,3,FALSE)</f>
        <v>Korhan KÖROĞLU</v>
      </c>
      <c r="AA2381" t="str">
        <f>VLOOKUP(K2381,[1]!Tablo3[#Data],2,FALSE)</f>
        <v>Tayfun VİÇE</v>
      </c>
    </row>
    <row r="2382" spans="1:27" x14ac:dyDescent="0.25">
      <c r="A2382">
        <v>3734</v>
      </c>
      <c r="B2382" t="s">
        <v>27</v>
      </c>
      <c r="C2382" t="s">
        <v>652</v>
      </c>
      <c r="D2382" t="s">
        <v>653</v>
      </c>
      <c r="G2382" t="s">
        <v>456</v>
      </c>
      <c r="H2382" t="s">
        <v>7648</v>
      </c>
      <c r="I2382" s="4">
        <v>43982.875</v>
      </c>
      <c r="K2382" t="s">
        <v>33</v>
      </c>
      <c r="L2382" s="5"/>
      <c r="M2382" s="5"/>
      <c r="N2382" t="s">
        <v>82</v>
      </c>
      <c r="O2382" t="s">
        <v>7649</v>
      </c>
      <c r="R2382">
        <v>1</v>
      </c>
      <c r="T2382" s="5"/>
      <c r="W2382">
        <v>144</v>
      </c>
      <c r="X2382" t="s">
        <v>463</v>
      </c>
      <c r="Y2382" t="str">
        <f>VLOOKUP(C2382,'[1]DBS_KPY Sorumlular'!A:C,2,FALSE)</f>
        <v>Seyithan İŞİK</v>
      </c>
      <c r="Z2382" t="str">
        <f>VLOOKUP(C2382,'[1]DBS_KPY Sorumlular'!A:C,3,FALSE)</f>
        <v>Korhan KÖROĞLU</v>
      </c>
      <c r="AA2382" t="str">
        <f>VLOOKUP(K2382,[1]!Tablo3[#Data],2,FALSE)</f>
        <v>Tayfun VİÇE</v>
      </c>
    </row>
    <row r="2383" spans="1:27" x14ac:dyDescent="0.25">
      <c r="A2383">
        <v>3735</v>
      </c>
      <c r="B2383" t="s">
        <v>27</v>
      </c>
      <c r="C2383" t="s">
        <v>652</v>
      </c>
      <c r="D2383" t="s">
        <v>653</v>
      </c>
      <c r="G2383" t="s">
        <v>456</v>
      </c>
      <c r="H2383" t="s">
        <v>7650</v>
      </c>
      <c r="I2383" s="4">
        <v>45077.875</v>
      </c>
      <c r="K2383" t="s">
        <v>33</v>
      </c>
      <c r="L2383" s="5"/>
      <c r="M2383" s="5"/>
      <c r="N2383" t="s">
        <v>82</v>
      </c>
      <c r="O2383" t="s">
        <v>7651</v>
      </c>
      <c r="R2383">
        <v>1</v>
      </c>
      <c r="T2383" s="5"/>
      <c r="W2383">
        <v>144</v>
      </c>
      <c r="X2383" t="s">
        <v>463</v>
      </c>
      <c r="Y2383" t="str">
        <f>VLOOKUP(C2383,'[1]DBS_KPY Sorumlular'!A:C,2,FALSE)</f>
        <v>Seyithan İŞİK</v>
      </c>
      <c r="Z2383" t="str">
        <f>VLOOKUP(C2383,'[1]DBS_KPY Sorumlular'!A:C,3,FALSE)</f>
        <v>Korhan KÖROĞLU</v>
      </c>
      <c r="AA2383" t="str">
        <f>VLOOKUP(K2383,[1]!Tablo3[#Data],2,FALSE)</f>
        <v>Tayfun VİÇE</v>
      </c>
    </row>
    <row r="2384" spans="1:27" x14ac:dyDescent="0.25">
      <c r="A2384">
        <v>3736</v>
      </c>
      <c r="B2384" t="s">
        <v>27</v>
      </c>
      <c r="C2384" t="s">
        <v>652</v>
      </c>
      <c r="D2384" t="s">
        <v>653</v>
      </c>
      <c r="G2384" t="s">
        <v>456</v>
      </c>
      <c r="H2384" t="s">
        <v>7652</v>
      </c>
      <c r="I2384" s="4">
        <v>43982.875</v>
      </c>
      <c r="K2384" t="s">
        <v>54</v>
      </c>
      <c r="L2384" s="5"/>
      <c r="M2384" s="5"/>
      <c r="N2384" t="s">
        <v>82</v>
      </c>
      <c r="O2384" t="s">
        <v>7653</v>
      </c>
      <c r="R2384">
        <v>1</v>
      </c>
      <c r="T2384" s="5"/>
      <c r="W2384">
        <v>144</v>
      </c>
      <c r="X2384" t="s">
        <v>463</v>
      </c>
      <c r="Y2384" t="str">
        <f>VLOOKUP(C2384,'[1]DBS_KPY Sorumlular'!A:C,2,FALSE)</f>
        <v>Seyithan İŞİK</v>
      </c>
      <c r="Z2384" t="str">
        <f>VLOOKUP(C2384,'[1]DBS_KPY Sorumlular'!A:C,3,FALSE)</f>
        <v>Korhan KÖROĞLU</v>
      </c>
      <c r="AA2384" t="str">
        <f>VLOOKUP(K2384,[1]!Tablo3[#Data],2,FALSE)</f>
        <v>Erkan AKDOĞAN</v>
      </c>
    </row>
    <row r="2385" spans="1:27" x14ac:dyDescent="0.25">
      <c r="A2385">
        <v>3737</v>
      </c>
      <c r="B2385" t="s">
        <v>27</v>
      </c>
      <c r="C2385" t="s">
        <v>652</v>
      </c>
      <c r="D2385" t="s">
        <v>653</v>
      </c>
      <c r="G2385" t="s">
        <v>456</v>
      </c>
      <c r="H2385" t="s">
        <v>7654</v>
      </c>
      <c r="I2385" s="4">
        <v>43982.875</v>
      </c>
      <c r="K2385" t="s">
        <v>54</v>
      </c>
      <c r="L2385" s="5"/>
      <c r="M2385" s="5"/>
      <c r="N2385" t="s">
        <v>82</v>
      </c>
      <c r="O2385" t="s">
        <v>7655</v>
      </c>
      <c r="R2385">
        <v>1</v>
      </c>
      <c r="T2385" s="5"/>
      <c r="W2385">
        <v>144</v>
      </c>
      <c r="X2385" t="s">
        <v>463</v>
      </c>
      <c r="Y2385" t="str">
        <f>VLOOKUP(C2385,'[1]DBS_KPY Sorumlular'!A:C,2,FALSE)</f>
        <v>Seyithan İŞİK</v>
      </c>
      <c r="Z2385" t="str">
        <f>VLOOKUP(C2385,'[1]DBS_KPY Sorumlular'!A:C,3,FALSE)</f>
        <v>Korhan KÖROĞLU</v>
      </c>
      <c r="AA2385" t="str">
        <f>VLOOKUP(K2385,[1]!Tablo3[#Data],2,FALSE)</f>
        <v>Erkan AKDOĞAN</v>
      </c>
    </row>
    <row r="2386" spans="1:27" x14ac:dyDescent="0.25">
      <c r="A2386">
        <v>3738</v>
      </c>
      <c r="B2386" t="s">
        <v>27</v>
      </c>
      <c r="C2386" t="s">
        <v>652</v>
      </c>
      <c r="D2386" t="s">
        <v>653</v>
      </c>
      <c r="G2386" t="s">
        <v>456</v>
      </c>
      <c r="H2386" t="s">
        <v>7656</v>
      </c>
      <c r="I2386" s="4">
        <v>44712.875</v>
      </c>
      <c r="K2386" t="s">
        <v>54</v>
      </c>
      <c r="L2386" s="5"/>
      <c r="M2386" s="5"/>
      <c r="N2386" t="s">
        <v>82</v>
      </c>
      <c r="O2386" t="s">
        <v>7657</v>
      </c>
      <c r="R2386">
        <v>1</v>
      </c>
      <c r="T2386" s="5"/>
      <c r="W2386">
        <v>144</v>
      </c>
      <c r="X2386" t="s">
        <v>463</v>
      </c>
      <c r="Y2386" t="str">
        <f>VLOOKUP(C2386,'[1]DBS_KPY Sorumlular'!A:C,2,FALSE)</f>
        <v>Seyithan İŞİK</v>
      </c>
      <c r="Z2386" t="str">
        <f>VLOOKUP(C2386,'[1]DBS_KPY Sorumlular'!A:C,3,FALSE)</f>
        <v>Korhan KÖROĞLU</v>
      </c>
      <c r="AA2386" t="str">
        <f>VLOOKUP(K2386,[1]!Tablo3[#Data],2,FALSE)</f>
        <v>Erkan AKDOĞAN</v>
      </c>
    </row>
    <row r="2387" spans="1:27" x14ac:dyDescent="0.25">
      <c r="A2387">
        <v>3739</v>
      </c>
      <c r="B2387" t="s">
        <v>27</v>
      </c>
      <c r="C2387" t="s">
        <v>652</v>
      </c>
      <c r="D2387" t="s">
        <v>653</v>
      </c>
      <c r="G2387" t="s">
        <v>456</v>
      </c>
      <c r="H2387" t="s">
        <v>7658</v>
      </c>
      <c r="I2387" s="4">
        <v>44712.875</v>
      </c>
      <c r="K2387" t="s">
        <v>54</v>
      </c>
      <c r="L2387" s="5"/>
      <c r="M2387" s="5"/>
      <c r="N2387" t="s">
        <v>82</v>
      </c>
      <c r="O2387" t="s">
        <v>7659</v>
      </c>
      <c r="R2387">
        <v>1</v>
      </c>
      <c r="T2387" s="5"/>
      <c r="W2387">
        <v>144</v>
      </c>
      <c r="X2387" t="s">
        <v>463</v>
      </c>
      <c r="Y2387" t="str">
        <f>VLOOKUP(C2387,'[1]DBS_KPY Sorumlular'!A:C,2,FALSE)</f>
        <v>Seyithan İŞİK</v>
      </c>
      <c r="Z2387" t="str">
        <f>VLOOKUP(C2387,'[1]DBS_KPY Sorumlular'!A:C,3,FALSE)</f>
        <v>Korhan KÖROĞLU</v>
      </c>
      <c r="AA2387" t="str">
        <f>VLOOKUP(K2387,[1]!Tablo3[#Data],2,FALSE)</f>
        <v>Erkan AKDOĞAN</v>
      </c>
    </row>
    <row r="2388" spans="1:27" x14ac:dyDescent="0.25">
      <c r="A2388">
        <v>3740</v>
      </c>
      <c r="B2388" t="s">
        <v>27</v>
      </c>
      <c r="C2388" t="s">
        <v>652</v>
      </c>
      <c r="D2388" t="s">
        <v>653</v>
      </c>
      <c r="G2388" t="s">
        <v>456</v>
      </c>
      <c r="H2388" t="s">
        <v>7660</v>
      </c>
      <c r="I2388" s="4">
        <v>43982.875</v>
      </c>
      <c r="K2388" t="s">
        <v>98</v>
      </c>
      <c r="L2388" s="5"/>
      <c r="M2388" s="5"/>
      <c r="N2388" t="s">
        <v>82</v>
      </c>
      <c r="O2388" t="s">
        <v>7661</v>
      </c>
      <c r="R2388">
        <v>1</v>
      </c>
      <c r="T2388" s="5"/>
      <c r="W2388">
        <v>144</v>
      </c>
      <c r="X2388" t="s">
        <v>463</v>
      </c>
      <c r="Y2388" t="str">
        <f>VLOOKUP(C2388,'[1]DBS_KPY Sorumlular'!A:C,2,FALSE)</f>
        <v>Seyithan İŞİK</v>
      </c>
      <c r="Z2388" t="str">
        <f>VLOOKUP(C2388,'[1]DBS_KPY Sorumlular'!A:C,3,FALSE)</f>
        <v>Korhan KÖROĞLU</v>
      </c>
      <c r="AA2388" t="str">
        <f>VLOOKUP(K2388,[1]!Tablo3[#Data],2,FALSE)</f>
        <v>Tayfun VİÇE</v>
      </c>
    </row>
    <row r="2389" spans="1:27" x14ac:dyDescent="0.25">
      <c r="A2389">
        <v>3741</v>
      </c>
      <c r="B2389" t="s">
        <v>27</v>
      </c>
      <c r="C2389" t="s">
        <v>652</v>
      </c>
      <c r="D2389" t="s">
        <v>653</v>
      </c>
      <c r="G2389" t="s">
        <v>456</v>
      </c>
      <c r="H2389" t="s">
        <v>7662</v>
      </c>
      <c r="I2389" s="4">
        <v>44347.875</v>
      </c>
      <c r="K2389" t="s">
        <v>98</v>
      </c>
      <c r="L2389" s="5"/>
      <c r="M2389" s="5"/>
      <c r="N2389" t="s">
        <v>82</v>
      </c>
      <c r="O2389" t="s">
        <v>7663</v>
      </c>
      <c r="R2389">
        <v>1</v>
      </c>
      <c r="T2389" s="5"/>
      <c r="W2389">
        <v>144</v>
      </c>
      <c r="X2389" t="s">
        <v>463</v>
      </c>
      <c r="Y2389" t="str">
        <f>VLOOKUP(C2389,'[1]DBS_KPY Sorumlular'!A:C,2,FALSE)</f>
        <v>Seyithan İŞİK</v>
      </c>
      <c r="Z2389" t="str">
        <f>VLOOKUP(C2389,'[1]DBS_KPY Sorumlular'!A:C,3,FALSE)</f>
        <v>Korhan KÖROĞLU</v>
      </c>
      <c r="AA2389" t="str">
        <f>VLOOKUP(K2389,[1]!Tablo3[#Data],2,FALSE)</f>
        <v>Tayfun VİÇE</v>
      </c>
    </row>
    <row r="2390" spans="1:27" x14ac:dyDescent="0.25">
      <c r="A2390">
        <v>3742</v>
      </c>
      <c r="B2390" t="s">
        <v>27</v>
      </c>
      <c r="C2390" t="s">
        <v>652</v>
      </c>
      <c r="D2390" t="s">
        <v>653</v>
      </c>
      <c r="G2390" t="s">
        <v>456</v>
      </c>
      <c r="H2390" t="s">
        <v>7664</v>
      </c>
      <c r="I2390" s="4">
        <v>43982.875</v>
      </c>
      <c r="K2390" t="s">
        <v>152</v>
      </c>
      <c r="L2390" s="5"/>
      <c r="M2390" s="5"/>
      <c r="N2390" t="s">
        <v>82</v>
      </c>
      <c r="O2390" t="s">
        <v>7665</v>
      </c>
      <c r="R2390">
        <v>1</v>
      </c>
      <c r="T2390" s="5"/>
      <c r="W2390">
        <v>144</v>
      </c>
      <c r="X2390" t="s">
        <v>463</v>
      </c>
      <c r="Y2390" t="str">
        <f>VLOOKUP(C2390,'[1]DBS_KPY Sorumlular'!A:C,2,FALSE)</f>
        <v>Seyithan İŞİK</v>
      </c>
      <c r="Z2390" t="str">
        <f>VLOOKUP(C2390,'[1]DBS_KPY Sorumlular'!A:C,3,FALSE)</f>
        <v>Korhan KÖROĞLU</v>
      </c>
      <c r="AA2390" t="str">
        <f>VLOOKUP(K2390,[1]!Tablo3[#Data],2,FALSE)</f>
        <v>Erkan AKDOĞAN</v>
      </c>
    </row>
    <row r="2391" spans="1:27" x14ac:dyDescent="0.25">
      <c r="A2391">
        <v>3743</v>
      </c>
      <c r="B2391" t="s">
        <v>27</v>
      </c>
      <c r="C2391" t="s">
        <v>652</v>
      </c>
      <c r="D2391" t="s">
        <v>653</v>
      </c>
      <c r="G2391" t="s">
        <v>456</v>
      </c>
      <c r="H2391" t="s">
        <v>7666</v>
      </c>
      <c r="I2391" s="4">
        <v>44712.875</v>
      </c>
      <c r="K2391" t="s">
        <v>152</v>
      </c>
      <c r="L2391" s="5"/>
      <c r="M2391" s="5"/>
      <c r="N2391" t="s">
        <v>82</v>
      </c>
      <c r="O2391" t="s">
        <v>7667</v>
      </c>
      <c r="R2391">
        <v>1</v>
      </c>
      <c r="T2391" s="5"/>
      <c r="W2391">
        <v>144</v>
      </c>
      <c r="X2391" t="s">
        <v>463</v>
      </c>
      <c r="Y2391" t="str">
        <f>VLOOKUP(C2391,'[1]DBS_KPY Sorumlular'!A:C,2,FALSE)</f>
        <v>Seyithan İŞİK</v>
      </c>
      <c r="Z2391" t="str">
        <f>VLOOKUP(C2391,'[1]DBS_KPY Sorumlular'!A:C,3,FALSE)</f>
        <v>Korhan KÖROĞLU</v>
      </c>
      <c r="AA2391" t="str">
        <f>VLOOKUP(K2391,[1]!Tablo3[#Data],2,FALSE)</f>
        <v>Erkan AKDOĞAN</v>
      </c>
    </row>
    <row r="2392" spans="1:27" x14ac:dyDescent="0.25">
      <c r="A2392">
        <v>3744</v>
      </c>
      <c r="B2392" t="s">
        <v>27</v>
      </c>
      <c r="C2392" t="s">
        <v>652</v>
      </c>
      <c r="D2392" t="s">
        <v>653</v>
      </c>
      <c r="G2392" t="s">
        <v>456</v>
      </c>
      <c r="H2392" t="s">
        <v>7668</v>
      </c>
      <c r="I2392" s="4">
        <v>44712.875</v>
      </c>
      <c r="K2392" t="s">
        <v>152</v>
      </c>
      <c r="L2392" s="5"/>
      <c r="M2392" s="5"/>
      <c r="N2392" t="s">
        <v>82</v>
      </c>
      <c r="O2392" t="s">
        <v>7669</v>
      </c>
      <c r="R2392">
        <v>1</v>
      </c>
      <c r="T2392" s="5"/>
      <c r="W2392">
        <v>144</v>
      </c>
      <c r="X2392" t="s">
        <v>463</v>
      </c>
      <c r="Y2392" t="str">
        <f>VLOOKUP(C2392,'[1]DBS_KPY Sorumlular'!A:C,2,FALSE)</f>
        <v>Seyithan İŞİK</v>
      </c>
      <c r="Z2392" t="str">
        <f>VLOOKUP(C2392,'[1]DBS_KPY Sorumlular'!A:C,3,FALSE)</f>
        <v>Korhan KÖROĞLU</v>
      </c>
      <c r="AA2392" t="str">
        <f>VLOOKUP(K2392,[1]!Tablo3[#Data],2,FALSE)</f>
        <v>Erkan AKDOĞAN</v>
      </c>
    </row>
    <row r="2393" spans="1:27" x14ac:dyDescent="0.25">
      <c r="A2393">
        <v>3745</v>
      </c>
      <c r="B2393" t="s">
        <v>27</v>
      </c>
      <c r="C2393" t="s">
        <v>652</v>
      </c>
      <c r="D2393" t="s">
        <v>653</v>
      </c>
      <c r="G2393" t="s">
        <v>456</v>
      </c>
      <c r="H2393" t="s">
        <v>7670</v>
      </c>
      <c r="I2393" s="4">
        <v>45077.875</v>
      </c>
      <c r="K2393" t="s">
        <v>152</v>
      </c>
      <c r="L2393" s="5"/>
      <c r="M2393" s="5"/>
      <c r="N2393" t="s">
        <v>82</v>
      </c>
      <c r="O2393" t="s">
        <v>7671</v>
      </c>
      <c r="R2393">
        <v>1</v>
      </c>
      <c r="T2393" s="5"/>
      <c r="W2393">
        <v>144</v>
      </c>
      <c r="X2393" t="s">
        <v>463</v>
      </c>
      <c r="Y2393" t="str">
        <f>VLOOKUP(C2393,'[1]DBS_KPY Sorumlular'!A:C,2,FALSE)</f>
        <v>Seyithan İŞİK</v>
      </c>
      <c r="Z2393" t="str">
        <f>VLOOKUP(C2393,'[1]DBS_KPY Sorumlular'!A:C,3,FALSE)</f>
        <v>Korhan KÖROĞLU</v>
      </c>
      <c r="AA2393" t="str">
        <f>VLOOKUP(K2393,[1]!Tablo3[#Data],2,FALSE)</f>
        <v>Erkan AKDOĞAN</v>
      </c>
    </row>
    <row r="2394" spans="1:27" x14ac:dyDescent="0.25">
      <c r="A2394">
        <v>3746</v>
      </c>
      <c r="B2394" t="s">
        <v>27</v>
      </c>
      <c r="C2394" t="s">
        <v>652</v>
      </c>
      <c r="D2394" t="s">
        <v>653</v>
      </c>
      <c r="G2394" t="s">
        <v>456</v>
      </c>
      <c r="H2394" t="s">
        <v>7672</v>
      </c>
      <c r="I2394" s="4">
        <v>45443.875</v>
      </c>
      <c r="K2394" t="s">
        <v>152</v>
      </c>
      <c r="L2394" s="5"/>
      <c r="M2394" s="5"/>
      <c r="N2394" t="s">
        <v>82</v>
      </c>
      <c r="O2394" t="s">
        <v>7673</v>
      </c>
      <c r="R2394">
        <v>1</v>
      </c>
      <c r="T2394" s="5"/>
      <c r="W2394">
        <v>144</v>
      </c>
      <c r="X2394" t="s">
        <v>463</v>
      </c>
      <c r="Y2394" t="str">
        <f>VLOOKUP(C2394,'[1]DBS_KPY Sorumlular'!A:C,2,FALSE)</f>
        <v>Seyithan İŞİK</v>
      </c>
      <c r="Z2394" t="str">
        <f>VLOOKUP(C2394,'[1]DBS_KPY Sorumlular'!A:C,3,FALSE)</f>
        <v>Korhan KÖROĞLU</v>
      </c>
      <c r="AA2394" t="str">
        <f>VLOOKUP(K2394,[1]!Tablo3[#Data],2,FALSE)</f>
        <v>Erkan AKDOĞAN</v>
      </c>
    </row>
    <row r="2395" spans="1:27" x14ac:dyDescent="0.25">
      <c r="A2395">
        <v>3747</v>
      </c>
      <c r="B2395" t="s">
        <v>27</v>
      </c>
      <c r="C2395" t="s">
        <v>652</v>
      </c>
      <c r="D2395" t="s">
        <v>653</v>
      </c>
      <c r="G2395" t="s">
        <v>456</v>
      </c>
      <c r="H2395" t="s">
        <v>7674</v>
      </c>
      <c r="I2395" s="4">
        <v>43982.875</v>
      </c>
      <c r="K2395" t="s">
        <v>181</v>
      </c>
      <c r="L2395" s="5"/>
      <c r="M2395" s="5"/>
      <c r="N2395" t="s">
        <v>82</v>
      </c>
      <c r="O2395" t="s">
        <v>7675</v>
      </c>
      <c r="R2395">
        <v>1</v>
      </c>
      <c r="T2395" s="5"/>
      <c r="W2395">
        <v>144</v>
      </c>
      <c r="X2395" t="s">
        <v>463</v>
      </c>
      <c r="Y2395" t="str">
        <f>VLOOKUP(C2395,'[1]DBS_KPY Sorumlular'!A:C,2,FALSE)</f>
        <v>Seyithan İŞİK</v>
      </c>
      <c r="Z2395" t="str">
        <f>VLOOKUP(C2395,'[1]DBS_KPY Sorumlular'!A:C,3,FALSE)</f>
        <v>Korhan KÖROĞLU</v>
      </c>
      <c r="AA2395" t="str">
        <f>VLOOKUP(K2395,[1]!Tablo3[#Data],2,FALSE)</f>
        <v>Erkan AKDOĞAN</v>
      </c>
    </row>
    <row r="2396" spans="1:27" x14ac:dyDescent="0.25">
      <c r="A2396">
        <v>3748</v>
      </c>
      <c r="B2396" t="s">
        <v>27</v>
      </c>
      <c r="C2396" t="s">
        <v>652</v>
      </c>
      <c r="D2396" t="s">
        <v>653</v>
      </c>
      <c r="G2396" t="s">
        <v>456</v>
      </c>
      <c r="H2396" t="s">
        <v>7676</v>
      </c>
      <c r="I2396" s="4">
        <v>43982.875</v>
      </c>
      <c r="K2396" t="s">
        <v>181</v>
      </c>
      <c r="L2396" s="5"/>
      <c r="M2396" s="5"/>
      <c r="N2396" t="s">
        <v>82</v>
      </c>
      <c r="O2396" t="s">
        <v>7677</v>
      </c>
      <c r="R2396">
        <v>1</v>
      </c>
      <c r="T2396" s="5"/>
      <c r="W2396">
        <v>144</v>
      </c>
      <c r="X2396" t="s">
        <v>463</v>
      </c>
      <c r="Y2396" t="str">
        <f>VLOOKUP(C2396,'[1]DBS_KPY Sorumlular'!A:C,2,FALSE)</f>
        <v>Seyithan İŞİK</v>
      </c>
      <c r="Z2396" t="str">
        <f>VLOOKUP(C2396,'[1]DBS_KPY Sorumlular'!A:C,3,FALSE)</f>
        <v>Korhan KÖROĞLU</v>
      </c>
      <c r="AA2396" t="str">
        <f>VLOOKUP(K2396,[1]!Tablo3[#Data],2,FALSE)</f>
        <v>Erkan AKDOĞAN</v>
      </c>
    </row>
    <row r="2397" spans="1:27" x14ac:dyDescent="0.25">
      <c r="A2397">
        <v>3749</v>
      </c>
      <c r="B2397" t="s">
        <v>27</v>
      </c>
      <c r="C2397" t="s">
        <v>652</v>
      </c>
      <c r="D2397" t="s">
        <v>653</v>
      </c>
      <c r="G2397" t="s">
        <v>456</v>
      </c>
      <c r="H2397" t="s">
        <v>7678</v>
      </c>
      <c r="I2397" s="4">
        <v>44347.875</v>
      </c>
      <c r="K2397" t="s">
        <v>181</v>
      </c>
      <c r="L2397" s="5"/>
      <c r="M2397" s="5"/>
      <c r="N2397" t="s">
        <v>82</v>
      </c>
      <c r="O2397" t="s">
        <v>7679</v>
      </c>
      <c r="R2397">
        <v>1</v>
      </c>
      <c r="T2397" s="5"/>
      <c r="W2397">
        <v>144</v>
      </c>
      <c r="X2397" t="s">
        <v>463</v>
      </c>
      <c r="Y2397" t="str">
        <f>VLOOKUP(C2397,'[1]DBS_KPY Sorumlular'!A:C,2,FALSE)</f>
        <v>Seyithan İŞİK</v>
      </c>
      <c r="Z2397" t="str">
        <f>VLOOKUP(C2397,'[1]DBS_KPY Sorumlular'!A:C,3,FALSE)</f>
        <v>Korhan KÖROĞLU</v>
      </c>
      <c r="AA2397" t="str">
        <f>VLOOKUP(K2397,[1]!Tablo3[#Data],2,FALSE)</f>
        <v>Erkan AKDOĞAN</v>
      </c>
    </row>
    <row r="2398" spans="1:27" x14ac:dyDescent="0.25">
      <c r="A2398">
        <v>3750</v>
      </c>
      <c r="B2398" t="s">
        <v>27</v>
      </c>
      <c r="C2398" t="s">
        <v>652</v>
      </c>
      <c r="D2398" t="s">
        <v>653</v>
      </c>
      <c r="G2398" t="s">
        <v>456</v>
      </c>
      <c r="H2398" t="s">
        <v>7680</v>
      </c>
      <c r="I2398" s="4">
        <v>44347.875</v>
      </c>
      <c r="K2398" t="s">
        <v>181</v>
      </c>
      <c r="L2398" s="5"/>
      <c r="M2398" s="5"/>
      <c r="N2398" t="s">
        <v>82</v>
      </c>
      <c r="O2398" t="s">
        <v>7681</v>
      </c>
      <c r="R2398">
        <v>1</v>
      </c>
      <c r="T2398" s="5"/>
      <c r="W2398">
        <v>144</v>
      </c>
      <c r="X2398" t="s">
        <v>463</v>
      </c>
      <c r="Y2398" t="str">
        <f>VLOOKUP(C2398,'[1]DBS_KPY Sorumlular'!A:C,2,FALSE)</f>
        <v>Seyithan İŞİK</v>
      </c>
      <c r="Z2398" t="str">
        <f>VLOOKUP(C2398,'[1]DBS_KPY Sorumlular'!A:C,3,FALSE)</f>
        <v>Korhan KÖROĞLU</v>
      </c>
      <c r="AA2398" t="str">
        <f>VLOOKUP(K2398,[1]!Tablo3[#Data],2,FALSE)</f>
        <v>Erkan AKDOĞAN</v>
      </c>
    </row>
    <row r="2399" spans="1:27" x14ac:dyDescent="0.25">
      <c r="A2399">
        <v>3751</v>
      </c>
      <c r="B2399" t="s">
        <v>27</v>
      </c>
      <c r="C2399" t="s">
        <v>652</v>
      </c>
      <c r="D2399" t="s">
        <v>653</v>
      </c>
      <c r="G2399" t="s">
        <v>456</v>
      </c>
      <c r="H2399" t="s">
        <v>7682</v>
      </c>
      <c r="I2399" s="4">
        <v>44712.875</v>
      </c>
      <c r="K2399" t="s">
        <v>181</v>
      </c>
      <c r="L2399" s="5"/>
      <c r="M2399" s="5"/>
      <c r="N2399" t="s">
        <v>82</v>
      </c>
      <c r="O2399" t="s">
        <v>7683</v>
      </c>
      <c r="R2399">
        <v>1</v>
      </c>
      <c r="T2399" s="5"/>
      <c r="W2399">
        <v>144</v>
      </c>
      <c r="X2399" t="s">
        <v>463</v>
      </c>
      <c r="Y2399" t="str">
        <f>VLOOKUP(C2399,'[1]DBS_KPY Sorumlular'!A:C,2,FALSE)</f>
        <v>Seyithan İŞİK</v>
      </c>
      <c r="Z2399" t="str">
        <f>VLOOKUP(C2399,'[1]DBS_KPY Sorumlular'!A:C,3,FALSE)</f>
        <v>Korhan KÖROĞLU</v>
      </c>
      <c r="AA2399" t="str">
        <f>VLOOKUP(K2399,[1]!Tablo3[#Data],2,FALSE)</f>
        <v>Erkan AKDOĞAN</v>
      </c>
    </row>
    <row r="2400" spans="1:27" x14ac:dyDescent="0.25">
      <c r="A2400">
        <v>3752</v>
      </c>
      <c r="B2400" t="s">
        <v>27</v>
      </c>
      <c r="C2400" t="s">
        <v>652</v>
      </c>
      <c r="D2400" t="s">
        <v>653</v>
      </c>
      <c r="G2400" t="s">
        <v>456</v>
      </c>
      <c r="H2400" t="s">
        <v>7684</v>
      </c>
      <c r="I2400" s="4">
        <v>44347.875</v>
      </c>
      <c r="K2400" t="s">
        <v>232</v>
      </c>
      <c r="L2400" s="5"/>
      <c r="M2400" s="5"/>
      <c r="N2400" t="s">
        <v>82</v>
      </c>
      <c r="O2400" t="s">
        <v>7685</v>
      </c>
      <c r="R2400">
        <v>1</v>
      </c>
      <c r="T2400" s="5"/>
      <c r="W2400">
        <v>144</v>
      </c>
      <c r="X2400" t="s">
        <v>463</v>
      </c>
      <c r="Y2400" t="str">
        <f>VLOOKUP(C2400,'[1]DBS_KPY Sorumlular'!A:C,2,FALSE)</f>
        <v>Seyithan İŞİK</v>
      </c>
      <c r="Z2400" t="str">
        <f>VLOOKUP(C2400,'[1]DBS_KPY Sorumlular'!A:C,3,FALSE)</f>
        <v>Korhan KÖROĞLU</v>
      </c>
      <c r="AA2400" t="str">
        <f>VLOOKUP(K2400,[1]!Tablo3[#Data],2,FALSE)</f>
        <v>Erkan AKDOĞAN</v>
      </c>
    </row>
    <row r="2401" spans="1:27" x14ac:dyDescent="0.25">
      <c r="A2401">
        <v>3753</v>
      </c>
      <c r="B2401" t="s">
        <v>27</v>
      </c>
      <c r="C2401" t="s">
        <v>652</v>
      </c>
      <c r="D2401" t="s">
        <v>653</v>
      </c>
      <c r="G2401" t="s">
        <v>456</v>
      </c>
      <c r="H2401" t="s">
        <v>7686</v>
      </c>
      <c r="I2401" s="4">
        <v>44347.875</v>
      </c>
      <c r="K2401" t="s">
        <v>232</v>
      </c>
      <c r="L2401" s="5"/>
      <c r="M2401" s="5"/>
      <c r="N2401" t="s">
        <v>82</v>
      </c>
      <c r="O2401" t="s">
        <v>7687</v>
      </c>
      <c r="R2401">
        <v>1</v>
      </c>
      <c r="T2401" s="5"/>
      <c r="W2401">
        <v>144</v>
      </c>
      <c r="X2401" t="s">
        <v>463</v>
      </c>
      <c r="Y2401" t="str">
        <f>VLOOKUP(C2401,'[1]DBS_KPY Sorumlular'!A:C,2,FALSE)</f>
        <v>Seyithan İŞİK</v>
      </c>
      <c r="Z2401" t="str">
        <f>VLOOKUP(C2401,'[1]DBS_KPY Sorumlular'!A:C,3,FALSE)</f>
        <v>Korhan KÖROĞLU</v>
      </c>
      <c r="AA2401" t="str">
        <f>VLOOKUP(K2401,[1]!Tablo3[#Data],2,FALSE)</f>
        <v>Erkan AKDOĞAN</v>
      </c>
    </row>
    <row r="2402" spans="1:27" x14ac:dyDescent="0.25">
      <c r="A2402">
        <v>3754</v>
      </c>
      <c r="B2402" t="s">
        <v>27</v>
      </c>
      <c r="C2402" t="s">
        <v>652</v>
      </c>
      <c r="D2402" t="s">
        <v>653</v>
      </c>
      <c r="G2402" t="s">
        <v>456</v>
      </c>
      <c r="H2402" t="s">
        <v>7688</v>
      </c>
      <c r="I2402" s="4">
        <v>44347.875</v>
      </c>
      <c r="K2402" t="s">
        <v>232</v>
      </c>
      <c r="L2402" s="5"/>
      <c r="M2402" s="5"/>
      <c r="N2402" t="s">
        <v>82</v>
      </c>
      <c r="O2402" t="s">
        <v>7689</v>
      </c>
      <c r="R2402">
        <v>1</v>
      </c>
      <c r="T2402" s="5"/>
      <c r="W2402">
        <v>144</v>
      </c>
      <c r="X2402" t="s">
        <v>463</v>
      </c>
      <c r="Y2402" t="str">
        <f>VLOOKUP(C2402,'[1]DBS_KPY Sorumlular'!A:C,2,FALSE)</f>
        <v>Seyithan İŞİK</v>
      </c>
      <c r="Z2402" t="str">
        <f>VLOOKUP(C2402,'[1]DBS_KPY Sorumlular'!A:C,3,FALSE)</f>
        <v>Korhan KÖROĞLU</v>
      </c>
      <c r="AA2402" t="str">
        <f>VLOOKUP(K2402,[1]!Tablo3[#Data],2,FALSE)</f>
        <v>Erkan AKDOĞAN</v>
      </c>
    </row>
    <row r="2403" spans="1:27" x14ac:dyDescent="0.25">
      <c r="A2403">
        <v>3755</v>
      </c>
      <c r="B2403" t="s">
        <v>27</v>
      </c>
      <c r="C2403" t="s">
        <v>652</v>
      </c>
      <c r="D2403" t="s">
        <v>653</v>
      </c>
      <c r="G2403" t="s">
        <v>456</v>
      </c>
      <c r="H2403" t="s">
        <v>7690</v>
      </c>
      <c r="I2403" s="4">
        <v>44712.875</v>
      </c>
      <c r="J2403" t="s">
        <v>7691</v>
      </c>
      <c r="K2403" t="s">
        <v>232</v>
      </c>
      <c r="L2403" s="5"/>
      <c r="M2403" s="5"/>
      <c r="N2403" t="s">
        <v>82</v>
      </c>
      <c r="O2403" t="s">
        <v>7692</v>
      </c>
      <c r="R2403">
        <v>1</v>
      </c>
      <c r="T2403" s="5"/>
      <c r="W2403">
        <v>144</v>
      </c>
      <c r="X2403" t="s">
        <v>463</v>
      </c>
      <c r="Y2403" t="str">
        <f>VLOOKUP(C2403,'[1]DBS_KPY Sorumlular'!A:C,2,FALSE)</f>
        <v>Seyithan İŞİK</v>
      </c>
      <c r="Z2403" t="str">
        <f>VLOOKUP(C2403,'[1]DBS_KPY Sorumlular'!A:C,3,FALSE)</f>
        <v>Korhan KÖROĞLU</v>
      </c>
      <c r="AA2403" t="str">
        <f>VLOOKUP(K2403,[1]!Tablo3[#Data],2,FALSE)</f>
        <v>Erkan AKDOĞAN</v>
      </c>
    </row>
    <row r="2404" spans="1:27" x14ac:dyDescent="0.25">
      <c r="A2404">
        <v>3756</v>
      </c>
      <c r="B2404" t="s">
        <v>27</v>
      </c>
      <c r="C2404" t="s">
        <v>652</v>
      </c>
      <c r="D2404" t="s">
        <v>653</v>
      </c>
      <c r="G2404" t="s">
        <v>456</v>
      </c>
      <c r="H2404" t="s">
        <v>7693</v>
      </c>
      <c r="I2404" s="4">
        <v>43982.875</v>
      </c>
      <c r="K2404" t="s">
        <v>217</v>
      </c>
      <c r="L2404" s="5"/>
      <c r="M2404" s="5"/>
      <c r="N2404" t="s">
        <v>82</v>
      </c>
      <c r="O2404" t="s">
        <v>7694</v>
      </c>
      <c r="R2404">
        <v>1</v>
      </c>
      <c r="T2404" s="5"/>
      <c r="W2404">
        <v>144</v>
      </c>
      <c r="X2404" t="s">
        <v>463</v>
      </c>
      <c r="Y2404" t="str">
        <f>VLOOKUP(C2404,'[1]DBS_KPY Sorumlular'!A:C,2,FALSE)</f>
        <v>Seyithan İŞİK</v>
      </c>
      <c r="Z2404" t="str">
        <f>VLOOKUP(C2404,'[1]DBS_KPY Sorumlular'!A:C,3,FALSE)</f>
        <v>Korhan KÖROĞLU</v>
      </c>
      <c r="AA2404" t="str">
        <f>VLOOKUP(K2404,[1]!Tablo3[#Data],2,FALSE)</f>
        <v>Erkan AKDOĞAN</v>
      </c>
    </row>
    <row r="2405" spans="1:27" x14ac:dyDescent="0.25">
      <c r="A2405">
        <v>3757</v>
      </c>
      <c r="B2405" t="s">
        <v>27</v>
      </c>
      <c r="C2405" t="s">
        <v>652</v>
      </c>
      <c r="D2405" t="s">
        <v>653</v>
      </c>
      <c r="G2405" t="s">
        <v>456</v>
      </c>
      <c r="H2405" t="s">
        <v>7695</v>
      </c>
      <c r="I2405" s="4">
        <v>43982.875</v>
      </c>
      <c r="K2405" t="s">
        <v>217</v>
      </c>
      <c r="L2405" s="5"/>
      <c r="M2405" s="5"/>
      <c r="N2405" t="s">
        <v>82</v>
      </c>
      <c r="O2405" t="s">
        <v>7696</v>
      </c>
      <c r="R2405">
        <v>1</v>
      </c>
      <c r="T2405" s="5"/>
      <c r="W2405">
        <v>144</v>
      </c>
      <c r="X2405" t="s">
        <v>463</v>
      </c>
      <c r="Y2405" t="str">
        <f>VLOOKUP(C2405,'[1]DBS_KPY Sorumlular'!A:C,2,FALSE)</f>
        <v>Seyithan İŞİK</v>
      </c>
      <c r="Z2405" t="str">
        <f>VLOOKUP(C2405,'[1]DBS_KPY Sorumlular'!A:C,3,FALSE)</f>
        <v>Korhan KÖROĞLU</v>
      </c>
      <c r="AA2405" t="str">
        <f>VLOOKUP(K2405,[1]!Tablo3[#Data],2,FALSE)</f>
        <v>Erkan AKDOĞAN</v>
      </c>
    </row>
    <row r="2406" spans="1:27" x14ac:dyDescent="0.25">
      <c r="A2406">
        <v>3758</v>
      </c>
      <c r="B2406" t="s">
        <v>27</v>
      </c>
      <c r="C2406" t="s">
        <v>652</v>
      </c>
      <c r="D2406" t="s">
        <v>653</v>
      </c>
      <c r="G2406" t="s">
        <v>456</v>
      </c>
      <c r="H2406" t="s">
        <v>7697</v>
      </c>
      <c r="I2406" s="4">
        <v>43982.875</v>
      </c>
      <c r="K2406" t="s">
        <v>217</v>
      </c>
      <c r="L2406" s="5"/>
      <c r="M2406" s="5"/>
      <c r="N2406" t="s">
        <v>82</v>
      </c>
      <c r="O2406" t="s">
        <v>7698</v>
      </c>
      <c r="R2406">
        <v>1</v>
      </c>
      <c r="T2406" s="5"/>
      <c r="W2406">
        <v>144</v>
      </c>
      <c r="X2406" t="s">
        <v>463</v>
      </c>
      <c r="Y2406" t="str">
        <f>VLOOKUP(C2406,'[1]DBS_KPY Sorumlular'!A:C,2,FALSE)</f>
        <v>Seyithan İŞİK</v>
      </c>
      <c r="Z2406" t="str">
        <f>VLOOKUP(C2406,'[1]DBS_KPY Sorumlular'!A:C,3,FALSE)</f>
        <v>Korhan KÖROĞLU</v>
      </c>
      <c r="AA2406" t="str">
        <f>VLOOKUP(K2406,[1]!Tablo3[#Data],2,FALSE)</f>
        <v>Erkan AKDOĞAN</v>
      </c>
    </row>
    <row r="2407" spans="1:27" x14ac:dyDescent="0.25">
      <c r="A2407">
        <v>3759</v>
      </c>
      <c r="B2407" t="s">
        <v>27</v>
      </c>
      <c r="C2407" t="s">
        <v>652</v>
      </c>
      <c r="D2407" t="s">
        <v>653</v>
      </c>
      <c r="G2407" t="s">
        <v>456</v>
      </c>
      <c r="H2407" t="s">
        <v>7699</v>
      </c>
      <c r="I2407" s="4">
        <v>44347.875</v>
      </c>
      <c r="K2407" t="s">
        <v>217</v>
      </c>
      <c r="L2407" s="5"/>
      <c r="M2407" s="5"/>
      <c r="N2407" t="s">
        <v>82</v>
      </c>
      <c r="O2407" t="s">
        <v>7700</v>
      </c>
      <c r="R2407">
        <v>1</v>
      </c>
      <c r="T2407" s="5"/>
      <c r="W2407">
        <v>144</v>
      </c>
      <c r="X2407" t="s">
        <v>463</v>
      </c>
      <c r="Y2407" t="str">
        <f>VLOOKUP(C2407,'[1]DBS_KPY Sorumlular'!A:C,2,FALSE)</f>
        <v>Seyithan İŞİK</v>
      </c>
      <c r="Z2407" t="str">
        <f>VLOOKUP(C2407,'[1]DBS_KPY Sorumlular'!A:C,3,FALSE)</f>
        <v>Korhan KÖROĞLU</v>
      </c>
      <c r="AA2407" t="str">
        <f>VLOOKUP(K2407,[1]!Tablo3[#Data],2,FALSE)</f>
        <v>Erkan AKDOĞAN</v>
      </c>
    </row>
    <row r="2408" spans="1:27" x14ac:dyDescent="0.25">
      <c r="A2408">
        <v>3760</v>
      </c>
      <c r="B2408" t="s">
        <v>27</v>
      </c>
      <c r="C2408" t="s">
        <v>652</v>
      </c>
      <c r="D2408" t="s">
        <v>653</v>
      </c>
      <c r="G2408" t="s">
        <v>456</v>
      </c>
      <c r="H2408" t="s">
        <v>7701</v>
      </c>
      <c r="I2408" s="4">
        <v>44347.875</v>
      </c>
      <c r="K2408" t="s">
        <v>217</v>
      </c>
      <c r="L2408" s="5"/>
      <c r="M2408" s="5"/>
      <c r="N2408" t="s">
        <v>82</v>
      </c>
      <c r="O2408" t="s">
        <v>7702</v>
      </c>
      <c r="R2408">
        <v>1</v>
      </c>
      <c r="T2408" s="5"/>
      <c r="W2408">
        <v>144</v>
      </c>
      <c r="X2408" t="s">
        <v>463</v>
      </c>
      <c r="Y2408" t="str">
        <f>VLOOKUP(C2408,'[1]DBS_KPY Sorumlular'!A:C,2,FALSE)</f>
        <v>Seyithan İŞİK</v>
      </c>
      <c r="Z2408" t="str">
        <f>VLOOKUP(C2408,'[1]DBS_KPY Sorumlular'!A:C,3,FALSE)</f>
        <v>Korhan KÖROĞLU</v>
      </c>
      <c r="AA2408" t="str">
        <f>VLOOKUP(K2408,[1]!Tablo3[#Data],2,FALSE)</f>
        <v>Erkan AKDOĞAN</v>
      </c>
    </row>
    <row r="2409" spans="1:27" x14ac:dyDescent="0.25">
      <c r="A2409">
        <v>3761</v>
      </c>
      <c r="B2409" t="s">
        <v>27</v>
      </c>
      <c r="C2409" t="s">
        <v>652</v>
      </c>
      <c r="D2409" t="s">
        <v>653</v>
      </c>
      <c r="G2409" t="s">
        <v>456</v>
      </c>
      <c r="H2409" t="s">
        <v>7703</v>
      </c>
      <c r="I2409" s="4">
        <v>44712.875</v>
      </c>
      <c r="K2409" t="s">
        <v>217</v>
      </c>
      <c r="L2409" s="5"/>
      <c r="M2409" s="5"/>
      <c r="N2409" t="s">
        <v>82</v>
      </c>
      <c r="O2409" t="s">
        <v>7704</v>
      </c>
      <c r="R2409">
        <v>1</v>
      </c>
      <c r="T2409" s="5"/>
      <c r="W2409">
        <v>144</v>
      </c>
      <c r="X2409" t="s">
        <v>463</v>
      </c>
      <c r="Y2409" t="str">
        <f>VLOOKUP(C2409,'[1]DBS_KPY Sorumlular'!A:C,2,FALSE)</f>
        <v>Seyithan İŞİK</v>
      </c>
      <c r="Z2409" t="str">
        <f>VLOOKUP(C2409,'[1]DBS_KPY Sorumlular'!A:C,3,FALSE)</f>
        <v>Korhan KÖROĞLU</v>
      </c>
      <c r="AA2409" t="str">
        <f>VLOOKUP(K2409,[1]!Tablo3[#Data],2,FALSE)</f>
        <v>Erkan AKDOĞAN</v>
      </c>
    </row>
    <row r="2410" spans="1:27" x14ac:dyDescent="0.25">
      <c r="A2410">
        <v>3762</v>
      </c>
      <c r="B2410" t="s">
        <v>27</v>
      </c>
      <c r="C2410" t="s">
        <v>652</v>
      </c>
      <c r="D2410" t="s">
        <v>653</v>
      </c>
      <c r="G2410" t="s">
        <v>456</v>
      </c>
      <c r="H2410" t="s">
        <v>7705</v>
      </c>
      <c r="I2410" s="4">
        <v>45077.875</v>
      </c>
      <c r="K2410" t="s">
        <v>217</v>
      </c>
      <c r="L2410" s="5"/>
      <c r="M2410" s="5"/>
      <c r="N2410" t="s">
        <v>82</v>
      </c>
      <c r="O2410" t="s">
        <v>7706</v>
      </c>
      <c r="R2410">
        <v>1</v>
      </c>
      <c r="T2410" s="5"/>
      <c r="W2410">
        <v>144</v>
      </c>
      <c r="X2410" t="s">
        <v>463</v>
      </c>
      <c r="Y2410" t="str">
        <f>VLOOKUP(C2410,'[1]DBS_KPY Sorumlular'!A:C,2,FALSE)</f>
        <v>Seyithan İŞİK</v>
      </c>
      <c r="Z2410" t="str">
        <f>VLOOKUP(C2410,'[1]DBS_KPY Sorumlular'!A:C,3,FALSE)</f>
        <v>Korhan KÖROĞLU</v>
      </c>
      <c r="AA2410" t="str">
        <f>VLOOKUP(K2410,[1]!Tablo3[#Data],2,FALSE)</f>
        <v>Erkan AKDOĞAN</v>
      </c>
    </row>
    <row r="2411" spans="1:27" x14ac:dyDescent="0.25">
      <c r="A2411">
        <v>3763</v>
      </c>
      <c r="B2411" t="s">
        <v>27</v>
      </c>
      <c r="C2411" t="s">
        <v>652</v>
      </c>
      <c r="D2411" t="s">
        <v>653</v>
      </c>
      <c r="G2411" t="s">
        <v>456</v>
      </c>
      <c r="H2411" t="s">
        <v>7707</v>
      </c>
      <c r="I2411" s="4">
        <v>45077.875</v>
      </c>
      <c r="J2411" t="s">
        <v>7708</v>
      </c>
      <c r="K2411" t="s">
        <v>217</v>
      </c>
      <c r="L2411" s="5"/>
      <c r="M2411" s="5"/>
      <c r="N2411" t="s">
        <v>82</v>
      </c>
      <c r="O2411" t="s">
        <v>7709</v>
      </c>
      <c r="R2411">
        <v>1</v>
      </c>
      <c r="T2411" s="5"/>
      <c r="W2411">
        <v>144</v>
      </c>
      <c r="X2411" t="s">
        <v>463</v>
      </c>
      <c r="Y2411" t="str">
        <f>VLOOKUP(C2411,'[1]DBS_KPY Sorumlular'!A:C,2,FALSE)</f>
        <v>Seyithan İŞİK</v>
      </c>
      <c r="Z2411" t="str">
        <f>VLOOKUP(C2411,'[1]DBS_KPY Sorumlular'!A:C,3,FALSE)</f>
        <v>Korhan KÖROĞLU</v>
      </c>
      <c r="AA2411" t="str">
        <f>VLOOKUP(K2411,[1]!Tablo3[#Data],2,FALSE)</f>
        <v>Erkan AKDOĞAN</v>
      </c>
    </row>
    <row r="2412" spans="1:27" x14ac:dyDescent="0.25">
      <c r="A2412">
        <v>3764</v>
      </c>
      <c r="B2412" t="s">
        <v>27</v>
      </c>
      <c r="C2412" t="s">
        <v>652</v>
      </c>
      <c r="D2412" t="s">
        <v>653</v>
      </c>
      <c r="G2412" t="s">
        <v>456</v>
      </c>
      <c r="H2412" t="s">
        <v>7710</v>
      </c>
      <c r="I2412" s="4">
        <v>45077.875</v>
      </c>
      <c r="K2412" t="s">
        <v>217</v>
      </c>
      <c r="L2412" s="5"/>
      <c r="M2412" s="5"/>
      <c r="N2412" t="s">
        <v>82</v>
      </c>
      <c r="O2412" t="s">
        <v>7711</v>
      </c>
      <c r="R2412">
        <v>1</v>
      </c>
      <c r="T2412" s="5"/>
      <c r="W2412">
        <v>144</v>
      </c>
      <c r="X2412" t="s">
        <v>463</v>
      </c>
      <c r="Y2412" t="str">
        <f>VLOOKUP(C2412,'[1]DBS_KPY Sorumlular'!A:C,2,FALSE)</f>
        <v>Seyithan İŞİK</v>
      </c>
      <c r="Z2412" t="str">
        <f>VLOOKUP(C2412,'[1]DBS_KPY Sorumlular'!A:C,3,FALSE)</f>
        <v>Korhan KÖROĞLU</v>
      </c>
      <c r="AA2412" t="str">
        <f>VLOOKUP(K2412,[1]!Tablo3[#Data],2,FALSE)</f>
        <v>Erkan AKDOĞAN</v>
      </c>
    </row>
    <row r="2413" spans="1:27" x14ac:dyDescent="0.25">
      <c r="A2413">
        <v>3765</v>
      </c>
      <c r="B2413" t="s">
        <v>27</v>
      </c>
      <c r="C2413" t="s">
        <v>652</v>
      </c>
      <c r="D2413" t="s">
        <v>653</v>
      </c>
      <c r="G2413" t="s">
        <v>456</v>
      </c>
      <c r="H2413" t="s">
        <v>7712</v>
      </c>
      <c r="I2413" s="4">
        <v>45077.875</v>
      </c>
      <c r="K2413" t="s">
        <v>309</v>
      </c>
      <c r="L2413" s="5"/>
      <c r="M2413" s="5"/>
      <c r="N2413" t="s">
        <v>82</v>
      </c>
      <c r="O2413" t="s">
        <v>7713</v>
      </c>
      <c r="R2413">
        <v>1</v>
      </c>
      <c r="T2413" s="5"/>
      <c r="W2413">
        <v>144</v>
      </c>
      <c r="X2413" t="s">
        <v>463</v>
      </c>
      <c r="Y2413" t="str">
        <f>VLOOKUP(C2413,'[1]DBS_KPY Sorumlular'!A:C,2,FALSE)</f>
        <v>Seyithan İŞİK</v>
      </c>
      <c r="Z2413" t="str">
        <f>VLOOKUP(C2413,'[1]DBS_KPY Sorumlular'!A:C,3,FALSE)</f>
        <v>Korhan KÖROĞLU</v>
      </c>
      <c r="AA2413" t="str">
        <f>VLOOKUP(K2413,[1]!Tablo3[#Data],2,FALSE)</f>
        <v>Erkan AKDOĞAN</v>
      </c>
    </row>
    <row r="2414" spans="1:27" x14ac:dyDescent="0.25">
      <c r="A2414">
        <v>3766</v>
      </c>
      <c r="B2414" t="s">
        <v>27</v>
      </c>
      <c r="C2414" t="s">
        <v>652</v>
      </c>
      <c r="D2414" t="s">
        <v>653</v>
      </c>
      <c r="G2414" t="s">
        <v>456</v>
      </c>
      <c r="H2414" t="s">
        <v>7714</v>
      </c>
      <c r="I2414" s="4">
        <v>43616.875</v>
      </c>
      <c r="K2414" t="s">
        <v>611</v>
      </c>
      <c r="L2414" s="5"/>
      <c r="M2414" s="5"/>
      <c r="N2414" t="s">
        <v>82</v>
      </c>
      <c r="O2414" t="s">
        <v>7715</v>
      </c>
      <c r="R2414">
        <v>1</v>
      </c>
      <c r="T2414" s="5"/>
      <c r="W2414">
        <v>144</v>
      </c>
      <c r="X2414" t="s">
        <v>463</v>
      </c>
      <c r="Y2414" t="str">
        <f>VLOOKUP(C2414,'[1]DBS_KPY Sorumlular'!A:C,2,FALSE)</f>
        <v>Seyithan İŞİK</v>
      </c>
      <c r="Z2414" t="str">
        <f>VLOOKUP(C2414,'[1]DBS_KPY Sorumlular'!A:C,3,FALSE)</f>
        <v>Korhan KÖROĞLU</v>
      </c>
      <c r="AA2414" t="str">
        <f>VLOOKUP(K2414,[1]!Tablo3[#Data],2,FALSE)</f>
        <v>Kadir TOPÇU</v>
      </c>
    </row>
    <row r="2415" spans="1:27" x14ac:dyDescent="0.25">
      <c r="A2415">
        <v>3767</v>
      </c>
      <c r="B2415" t="s">
        <v>27</v>
      </c>
      <c r="C2415" t="s">
        <v>652</v>
      </c>
      <c r="D2415" t="s">
        <v>653</v>
      </c>
      <c r="G2415" t="s">
        <v>456</v>
      </c>
      <c r="H2415" t="s">
        <v>7716</v>
      </c>
      <c r="I2415" s="4">
        <v>43982.875</v>
      </c>
      <c r="K2415" t="s">
        <v>325</v>
      </c>
      <c r="L2415" s="5"/>
      <c r="M2415" s="5"/>
      <c r="N2415" t="s">
        <v>82</v>
      </c>
      <c r="O2415" t="s">
        <v>7717</v>
      </c>
      <c r="R2415">
        <v>1</v>
      </c>
      <c r="T2415" s="5"/>
      <c r="W2415">
        <v>144</v>
      </c>
      <c r="X2415" t="s">
        <v>463</v>
      </c>
      <c r="Y2415" t="str">
        <f>VLOOKUP(C2415,'[1]DBS_KPY Sorumlular'!A:C,2,FALSE)</f>
        <v>Seyithan İŞİK</v>
      </c>
      <c r="Z2415" t="str">
        <f>VLOOKUP(C2415,'[1]DBS_KPY Sorumlular'!A:C,3,FALSE)</f>
        <v>Korhan KÖROĞLU</v>
      </c>
      <c r="AA2415" t="str">
        <f>VLOOKUP(K2415,[1]!Tablo3[#Data],2,FALSE)</f>
        <v>Kadir TOPÇU</v>
      </c>
    </row>
    <row r="2416" spans="1:27" x14ac:dyDescent="0.25">
      <c r="A2416">
        <v>3768</v>
      </c>
      <c r="B2416" t="s">
        <v>27</v>
      </c>
      <c r="C2416" t="s">
        <v>652</v>
      </c>
      <c r="D2416" t="s">
        <v>653</v>
      </c>
      <c r="G2416" t="s">
        <v>456</v>
      </c>
      <c r="H2416" t="s">
        <v>7718</v>
      </c>
      <c r="I2416" s="4">
        <v>44347.875</v>
      </c>
      <c r="K2416" t="s">
        <v>325</v>
      </c>
      <c r="L2416" s="5"/>
      <c r="M2416" s="5"/>
      <c r="N2416" t="s">
        <v>82</v>
      </c>
      <c r="O2416" t="s">
        <v>7719</v>
      </c>
      <c r="R2416">
        <v>1</v>
      </c>
      <c r="T2416" s="5"/>
      <c r="W2416">
        <v>144</v>
      </c>
      <c r="X2416" t="s">
        <v>463</v>
      </c>
      <c r="Y2416" t="str">
        <f>VLOOKUP(C2416,'[1]DBS_KPY Sorumlular'!A:C,2,FALSE)</f>
        <v>Seyithan İŞİK</v>
      </c>
      <c r="Z2416" t="str">
        <f>VLOOKUP(C2416,'[1]DBS_KPY Sorumlular'!A:C,3,FALSE)</f>
        <v>Korhan KÖROĞLU</v>
      </c>
      <c r="AA2416" t="str">
        <f>VLOOKUP(K2416,[1]!Tablo3[#Data],2,FALSE)</f>
        <v>Kadir TOPÇU</v>
      </c>
    </row>
    <row r="2417" spans="1:27" x14ac:dyDescent="0.25">
      <c r="A2417">
        <v>3769</v>
      </c>
      <c r="B2417" t="s">
        <v>27</v>
      </c>
      <c r="C2417" t="s">
        <v>652</v>
      </c>
      <c r="D2417" t="s">
        <v>653</v>
      </c>
      <c r="G2417" t="s">
        <v>456</v>
      </c>
      <c r="H2417" t="s">
        <v>7720</v>
      </c>
      <c r="I2417" s="4">
        <v>44347.875</v>
      </c>
      <c r="K2417" t="s">
        <v>364</v>
      </c>
      <c r="L2417" s="5"/>
      <c r="M2417" s="5"/>
      <c r="N2417" t="s">
        <v>82</v>
      </c>
      <c r="O2417" t="s">
        <v>7721</v>
      </c>
      <c r="R2417">
        <v>1</v>
      </c>
      <c r="T2417" s="5"/>
      <c r="W2417">
        <v>144</v>
      </c>
      <c r="X2417" t="s">
        <v>463</v>
      </c>
      <c r="Y2417" t="str">
        <f>VLOOKUP(C2417,'[1]DBS_KPY Sorumlular'!A:C,2,FALSE)</f>
        <v>Seyithan İŞİK</v>
      </c>
      <c r="Z2417" t="str">
        <f>VLOOKUP(C2417,'[1]DBS_KPY Sorumlular'!A:C,3,FALSE)</f>
        <v>Korhan KÖROĞLU</v>
      </c>
      <c r="AA2417" t="str">
        <f>VLOOKUP(K2417,[1]!Tablo3[#Data],2,FALSE)</f>
        <v>Kadir TOPÇU</v>
      </c>
    </row>
    <row r="2418" spans="1:27" x14ac:dyDescent="0.25">
      <c r="A2418">
        <v>3770</v>
      </c>
      <c r="B2418" t="s">
        <v>27</v>
      </c>
      <c r="C2418" t="s">
        <v>652</v>
      </c>
      <c r="D2418" t="s">
        <v>653</v>
      </c>
      <c r="G2418" t="s">
        <v>456</v>
      </c>
      <c r="H2418" t="s">
        <v>7722</v>
      </c>
      <c r="I2418" s="4">
        <v>44347.875</v>
      </c>
      <c r="K2418" t="s">
        <v>364</v>
      </c>
      <c r="L2418" s="5"/>
      <c r="M2418" s="5"/>
      <c r="N2418" t="s">
        <v>82</v>
      </c>
      <c r="O2418" t="s">
        <v>7723</v>
      </c>
      <c r="R2418">
        <v>1</v>
      </c>
      <c r="T2418" s="5"/>
      <c r="W2418">
        <v>144</v>
      </c>
      <c r="X2418" t="s">
        <v>463</v>
      </c>
      <c r="Y2418" t="str">
        <f>VLOOKUP(C2418,'[1]DBS_KPY Sorumlular'!A:C,2,FALSE)</f>
        <v>Seyithan İŞİK</v>
      </c>
      <c r="Z2418" t="str">
        <f>VLOOKUP(C2418,'[1]DBS_KPY Sorumlular'!A:C,3,FALSE)</f>
        <v>Korhan KÖROĞLU</v>
      </c>
      <c r="AA2418" t="str">
        <f>VLOOKUP(K2418,[1]!Tablo3[#Data],2,FALSE)</f>
        <v>Kadir TOPÇU</v>
      </c>
    </row>
    <row r="2419" spans="1:27" x14ac:dyDescent="0.25">
      <c r="A2419">
        <v>3771</v>
      </c>
      <c r="B2419" t="s">
        <v>27</v>
      </c>
      <c r="C2419" t="s">
        <v>652</v>
      </c>
      <c r="D2419" t="s">
        <v>653</v>
      </c>
      <c r="G2419" t="s">
        <v>456</v>
      </c>
      <c r="H2419" t="s">
        <v>7724</v>
      </c>
      <c r="I2419" s="4">
        <v>44712.875</v>
      </c>
      <c r="J2419" t="s">
        <v>7691</v>
      </c>
      <c r="K2419" t="s">
        <v>364</v>
      </c>
      <c r="L2419" s="5"/>
      <c r="M2419" s="5"/>
      <c r="N2419" t="s">
        <v>82</v>
      </c>
      <c r="O2419" t="s">
        <v>7725</v>
      </c>
      <c r="R2419">
        <v>1</v>
      </c>
      <c r="T2419" s="5"/>
      <c r="W2419">
        <v>144</v>
      </c>
      <c r="X2419" t="s">
        <v>463</v>
      </c>
      <c r="Y2419" t="str">
        <f>VLOOKUP(C2419,'[1]DBS_KPY Sorumlular'!A:C,2,FALSE)</f>
        <v>Seyithan İŞİK</v>
      </c>
      <c r="Z2419" t="str">
        <f>VLOOKUP(C2419,'[1]DBS_KPY Sorumlular'!A:C,3,FALSE)</f>
        <v>Korhan KÖROĞLU</v>
      </c>
      <c r="AA2419" t="str">
        <f>VLOOKUP(K2419,[1]!Tablo3[#Data],2,FALSE)</f>
        <v>Kadir TOPÇU</v>
      </c>
    </row>
    <row r="2420" spans="1:27" x14ac:dyDescent="0.25">
      <c r="A2420">
        <v>3772</v>
      </c>
      <c r="B2420" t="s">
        <v>27</v>
      </c>
      <c r="C2420" t="s">
        <v>652</v>
      </c>
      <c r="D2420" t="s">
        <v>653</v>
      </c>
      <c r="G2420" t="s">
        <v>456</v>
      </c>
      <c r="H2420" t="s">
        <v>7726</v>
      </c>
      <c r="I2420" s="4">
        <v>45077.875</v>
      </c>
      <c r="J2420" t="s">
        <v>7708</v>
      </c>
      <c r="K2420" t="s">
        <v>364</v>
      </c>
      <c r="L2420" s="5"/>
      <c r="M2420" s="5"/>
      <c r="N2420" t="s">
        <v>82</v>
      </c>
      <c r="O2420" t="s">
        <v>7721</v>
      </c>
      <c r="R2420">
        <v>1</v>
      </c>
      <c r="T2420" s="5"/>
      <c r="W2420">
        <v>144</v>
      </c>
      <c r="X2420" t="s">
        <v>463</v>
      </c>
      <c r="Y2420" t="str">
        <f>VLOOKUP(C2420,'[1]DBS_KPY Sorumlular'!A:C,2,FALSE)</f>
        <v>Seyithan İŞİK</v>
      </c>
      <c r="Z2420" t="str">
        <f>VLOOKUP(C2420,'[1]DBS_KPY Sorumlular'!A:C,3,FALSE)</f>
        <v>Korhan KÖROĞLU</v>
      </c>
      <c r="AA2420" t="str">
        <f>VLOOKUP(K2420,[1]!Tablo3[#Data],2,FALSE)</f>
        <v>Kadir TOPÇU</v>
      </c>
    </row>
    <row r="2421" spans="1:27" x14ac:dyDescent="0.25">
      <c r="A2421">
        <v>3773</v>
      </c>
      <c r="B2421" t="s">
        <v>27</v>
      </c>
      <c r="C2421" t="s">
        <v>652</v>
      </c>
      <c r="D2421" t="s">
        <v>653</v>
      </c>
      <c r="G2421" t="s">
        <v>456</v>
      </c>
      <c r="H2421" t="s">
        <v>7727</v>
      </c>
      <c r="I2421" s="4">
        <v>44347.875</v>
      </c>
      <c r="K2421" t="s">
        <v>435</v>
      </c>
      <c r="L2421" s="5"/>
      <c r="M2421" s="5"/>
      <c r="N2421" t="s">
        <v>82</v>
      </c>
      <c r="O2421" t="s">
        <v>7728</v>
      </c>
      <c r="R2421">
        <v>1</v>
      </c>
      <c r="T2421" s="5"/>
      <c r="W2421">
        <v>144</v>
      </c>
      <c r="X2421" t="s">
        <v>463</v>
      </c>
      <c r="Y2421" t="str">
        <f>VLOOKUP(C2421,'[1]DBS_KPY Sorumlular'!A:C,2,FALSE)</f>
        <v>Seyithan İŞİK</v>
      </c>
      <c r="Z2421" t="str">
        <f>VLOOKUP(C2421,'[1]DBS_KPY Sorumlular'!A:C,3,FALSE)</f>
        <v>Korhan KÖROĞLU</v>
      </c>
      <c r="AA2421" t="str">
        <f>VLOOKUP(K2421,[1]!Tablo3[#Data],2,FALSE)</f>
        <v>Tayfun VİÇE</v>
      </c>
    </row>
    <row r="2422" spans="1:27" x14ac:dyDescent="0.25">
      <c r="A2422">
        <v>3774</v>
      </c>
      <c r="B2422" t="s">
        <v>27</v>
      </c>
      <c r="C2422" t="s">
        <v>652</v>
      </c>
      <c r="D2422" t="s">
        <v>653</v>
      </c>
      <c r="G2422" t="s">
        <v>456</v>
      </c>
      <c r="H2422" t="s">
        <v>7729</v>
      </c>
      <c r="I2422" s="4">
        <v>44712.875</v>
      </c>
      <c r="K2422" t="s">
        <v>435</v>
      </c>
      <c r="L2422" s="5"/>
      <c r="M2422" s="5"/>
      <c r="N2422" t="s">
        <v>82</v>
      </c>
      <c r="O2422" t="s">
        <v>7730</v>
      </c>
      <c r="R2422">
        <v>1</v>
      </c>
      <c r="T2422" s="5"/>
      <c r="W2422">
        <v>144</v>
      </c>
      <c r="X2422" t="s">
        <v>463</v>
      </c>
      <c r="Y2422" t="str">
        <f>VLOOKUP(C2422,'[1]DBS_KPY Sorumlular'!A:C,2,FALSE)</f>
        <v>Seyithan İŞİK</v>
      </c>
      <c r="Z2422" t="str">
        <f>VLOOKUP(C2422,'[1]DBS_KPY Sorumlular'!A:C,3,FALSE)</f>
        <v>Korhan KÖROĞLU</v>
      </c>
      <c r="AA2422" t="str">
        <f>VLOOKUP(K2422,[1]!Tablo3[#Data],2,FALSE)</f>
        <v>Tayfun VİÇE</v>
      </c>
    </row>
    <row r="2423" spans="1:27" x14ac:dyDescent="0.25">
      <c r="A2423">
        <v>3775</v>
      </c>
      <c r="B2423" t="s">
        <v>27</v>
      </c>
      <c r="C2423" t="s">
        <v>652</v>
      </c>
      <c r="D2423" t="s">
        <v>653</v>
      </c>
      <c r="G2423" t="s">
        <v>456</v>
      </c>
      <c r="H2423" t="s">
        <v>7731</v>
      </c>
      <c r="I2423" s="4">
        <v>43982.875</v>
      </c>
      <c r="K2423" t="s">
        <v>459</v>
      </c>
      <c r="L2423" s="5"/>
      <c r="M2423" s="5"/>
      <c r="N2423" t="s">
        <v>82</v>
      </c>
      <c r="O2423" t="s">
        <v>7732</v>
      </c>
      <c r="R2423">
        <v>1</v>
      </c>
      <c r="T2423" s="5"/>
      <c r="W2423">
        <v>144</v>
      </c>
      <c r="X2423" t="s">
        <v>463</v>
      </c>
      <c r="Y2423" t="str">
        <f>VLOOKUP(C2423,'[1]DBS_KPY Sorumlular'!A:C,2,FALSE)</f>
        <v>Seyithan İŞİK</v>
      </c>
      <c r="Z2423" t="str">
        <f>VLOOKUP(C2423,'[1]DBS_KPY Sorumlular'!A:C,3,FALSE)</f>
        <v>Korhan KÖROĞLU</v>
      </c>
      <c r="AA2423" t="str">
        <f>VLOOKUP(K2423,[1]!Tablo3[#Data],2,FALSE)</f>
        <v>Erkan AKDOĞAN</v>
      </c>
    </row>
    <row r="2424" spans="1:27" x14ac:dyDescent="0.25">
      <c r="A2424">
        <v>3776</v>
      </c>
      <c r="B2424" t="s">
        <v>27</v>
      </c>
      <c r="C2424" t="s">
        <v>652</v>
      </c>
      <c r="D2424" t="s">
        <v>653</v>
      </c>
      <c r="G2424" t="s">
        <v>456</v>
      </c>
      <c r="H2424" t="s">
        <v>7733</v>
      </c>
      <c r="I2424" s="4">
        <v>43982.875</v>
      </c>
      <c r="K2424" t="s">
        <v>459</v>
      </c>
      <c r="L2424" s="5"/>
      <c r="M2424" s="5"/>
      <c r="N2424" t="s">
        <v>82</v>
      </c>
      <c r="O2424" t="s">
        <v>7734</v>
      </c>
      <c r="R2424">
        <v>1</v>
      </c>
      <c r="T2424" s="5"/>
      <c r="W2424">
        <v>144</v>
      </c>
      <c r="X2424" t="s">
        <v>463</v>
      </c>
      <c r="Y2424" t="str">
        <f>VLOOKUP(C2424,'[1]DBS_KPY Sorumlular'!A:C,2,FALSE)</f>
        <v>Seyithan İŞİK</v>
      </c>
      <c r="Z2424" t="str">
        <f>VLOOKUP(C2424,'[1]DBS_KPY Sorumlular'!A:C,3,FALSE)</f>
        <v>Korhan KÖROĞLU</v>
      </c>
      <c r="AA2424" t="str">
        <f>VLOOKUP(K2424,[1]!Tablo3[#Data],2,FALSE)</f>
        <v>Erkan AKDOĞAN</v>
      </c>
    </row>
    <row r="2425" spans="1:27" x14ac:dyDescent="0.25">
      <c r="A2425">
        <v>3777</v>
      </c>
      <c r="B2425" t="s">
        <v>27</v>
      </c>
      <c r="C2425" t="s">
        <v>652</v>
      </c>
      <c r="D2425" t="s">
        <v>653</v>
      </c>
      <c r="G2425" t="s">
        <v>456</v>
      </c>
      <c r="H2425" t="s">
        <v>7735</v>
      </c>
      <c r="I2425" s="4">
        <v>44347.875</v>
      </c>
      <c r="K2425" t="s">
        <v>459</v>
      </c>
      <c r="L2425" s="5"/>
      <c r="M2425" s="5"/>
      <c r="N2425" t="s">
        <v>82</v>
      </c>
      <c r="O2425" t="s">
        <v>7736</v>
      </c>
      <c r="R2425">
        <v>1</v>
      </c>
      <c r="T2425" s="5"/>
      <c r="W2425">
        <v>144</v>
      </c>
      <c r="X2425" t="s">
        <v>463</v>
      </c>
      <c r="Y2425" t="str">
        <f>VLOOKUP(C2425,'[1]DBS_KPY Sorumlular'!A:C,2,FALSE)</f>
        <v>Seyithan İŞİK</v>
      </c>
      <c r="Z2425" t="str">
        <f>VLOOKUP(C2425,'[1]DBS_KPY Sorumlular'!A:C,3,FALSE)</f>
        <v>Korhan KÖROĞLU</v>
      </c>
      <c r="AA2425" t="str">
        <f>VLOOKUP(K2425,[1]!Tablo3[#Data],2,FALSE)</f>
        <v>Erkan AKDOĞAN</v>
      </c>
    </row>
    <row r="2426" spans="1:27" x14ac:dyDescent="0.25">
      <c r="A2426">
        <v>3778</v>
      </c>
      <c r="B2426" t="s">
        <v>27</v>
      </c>
      <c r="C2426" t="s">
        <v>652</v>
      </c>
      <c r="D2426" t="s">
        <v>653</v>
      </c>
      <c r="G2426" t="s">
        <v>456</v>
      </c>
      <c r="H2426" t="s">
        <v>7737</v>
      </c>
      <c r="I2426" s="4">
        <v>44347.875</v>
      </c>
      <c r="K2426" t="s">
        <v>459</v>
      </c>
      <c r="L2426" s="5"/>
      <c r="M2426" s="5"/>
      <c r="N2426" t="s">
        <v>82</v>
      </c>
      <c r="O2426" t="s">
        <v>7738</v>
      </c>
      <c r="R2426">
        <v>1</v>
      </c>
      <c r="T2426" s="5"/>
      <c r="W2426">
        <v>144</v>
      </c>
      <c r="X2426" t="s">
        <v>463</v>
      </c>
      <c r="Y2426" t="str">
        <f>VLOOKUP(C2426,'[1]DBS_KPY Sorumlular'!A:C,2,FALSE)</f>
        <v>Seyithan İŞİK</v>
      </c>
      <c r="Z2426" t="str">
        <f>VLOOKUP(C2426,'[1]DBS_KPY Sorumlular'!A:C,3,FALSE)</f>
        <v>Korhan KÖROĞLU</v>
      </c>
      <c r="AA2426" t="str">
        <f>VLOOKUP(K2426,[1]!Tablo3[#Data],2,FALSE)</f>
        <v>Erkan AKDOĞAN</v>
      </c>
    </row>
    <row r="2427" spans="1:27" x14ac:dyDescent="0.25">
      <c r="A2427">
        <v>3779</v>
      </c>
      <c r="B2427" t="s">
        <v>27</v>
      </c>
      <c r="C2427" t="s">
        <v>652</v>
      </c>
      <c r="D2427" t="s">
        <v>653</v>
      </c>
      <c r="G2427" t="s">
        <v>456</v>
      </c>
      <c r="H2427" t="s">
        <v>7739</v>
      </c>
      <c r="I2427" s="4">
        <v>44347.875</v>
      </c>
      <c r="K2427" t="s">
        <v>459</v>
      </c>
      <c r="L2427" s="5"/>
      <c r="M2427" s="5"/>
      <c r="N2427" t="s">
        <v>82</v>
      </c>
      <c r="O2427" t="s">
        <v>7740</v>
      </c>
      <c r="R2427">
        <v>1</v>
      </c>
      <c r="T2427" s="5"/>
      <c r="W2427">
        <v>144</v>
      </c>
      <c r="X2427" t="s">
        <v>463</v>
      </c>
      <c r="Y2427" t="str">
        <f>VLOOKUP(C2427,'[1]DBS_KPY Sorumlular'!A:C,2,FALSE)</f>
        <v>Seyithan İŞİK</v>
      </c>
      <c r="Z2427" t="str">
        <f>VLOOKUP(C2427,'[1]DBS_KPY Sorumlular'!A:C,3,FALSE)</f>
        <v>Korhan KÖROĞLU</v>
      </c>
      <c r="AA2427" t="str">
        <f>VLOOKUP(K2427,[1]!Tablo3[#Data],2,FALSE)</f>
        <v>Erkan AKDOĞAN</v>
      </c>
    </row>
    <row r="2428" spans="1:27" x14ac:dyDescent="0.25">
      <c r="A2428">
        <v>3780</v>
      </c>
      <c r="B2428" t="s">
        <v>27</v>
      </c>
      <c r="C2428" t="s">
        <v>652</v>
      </c>
      <c r="D2428" t="s">
        <v>653</v>
      </c>
      <c r="G2428" t="s">
        <v>456</v>
      </c>
      <c r="H2428" t="s">
        <v>7741</v>
      </c>
      <c r="I2428" s="4">
        <v>44347.875</v>
      </c>
      <c r="K2428" t="s">
        <v>459</v>
      </c>
      <c r="L2428" s="5"/>
      <c r="M2428" s="5"/>
      <c r="N2428" t="s">
        <v>82</v>
      </c>
      <c r="O2428" t="s">
        <v>7742</v>
      </c>
      <c r="R2428">
        <v>1</v>
      </c>
      <c r="T2428" s="5"/>
      <c r="W2428">
        <v>144</v>
      </c>
      <c r="X2428" t="s">
        <v>463</v>
      </c>
      <c r="Y2428" t="str">
        <f>VLOOKUP(C2428,'[1]DBS_KPY Sorumlular'!A:C,2,FALSE)</f>
        <v>Seyithan İŞİK</v>
      </c>
      <c r="Z2428" t="str">
        <f>VLOOKUP(C2428,'[1]DBS_KPY Sorumlular'!A:C,3,FALSE)</f>
        <v>Korhan KÖROĞLU</v>
      </c>
      <c r="AA2428" t="str">
        <f>VLOOKUP(K2428,[1]!Tablo3[#Data],2,FALSE)</f>
        <v>Erkan AKDOĞAN</v>
      </c>
    </row>
    <row r="2429" spans="1:27" x14ac:dyDescent="0.25">
      <c r="A2429">
        <v>3781</v>
      </c>
      <c r="B2429" t="s">
        <v>27</v>
      </c>
      <c r="C2429" t="s">
        <v>652</v>
      </c>
      <c r="D2429" t="s">
        <v>653</v>
      </c>
      <c r="G2429" t="s">
        <v>456</v>
      </c>
      <c r="H2429" t="s">
        <v>7743</v>
      </c>
      <c r="I2429" s="4">
        <v>44712.875</v>
      </c>
      <c r="K2429" t="s">
        <v>459</v>
      </c>
      <c r="L2429" s="5"/>
      <c r="M2429" s="5"/>
      <c r="N2429" t="s">
        <v>82</v>
      </c>
      <c r="O2429" t="s">
        <v>7744</v>
      </c>
      <c r="R2429">
        <v>1</v>
      </c>
      <c r="T2429" s="5"/>
      <c r="W2429">
        <v>144</v>
      </c>
      <c r="X2429" t="s">
        <v>463</v>
      </c>
      <c r="Y2429" t="str">
        <f>VLOOKUP(C2429,'[1]DBS_KPY Sorumlular'!A:C,2,FALSE)</f>
        <v>Seyithan İŞİK</v>
      </c>
      <c r="Z2429" t="str">
        <f>VLOOKUP(C2429,'[1]DBS_KPY Sorumlular'!A:C,3,FALSE)</f>
        <v>Korhan KÖROĞLU</v>
      </c>
      <c r="AA2429" t="str">
        <f>VLOOKUP(K2429,[1]!Tablo3[#Data],2,FALSE)</f>
        <v>Erkan AKDOĞAN</v>
      </c>
    </row>
    <row r="2430" spans="1:27" x14ac:dyDescent="0.25">
      <c r="A2430">
        <v>3782</v>
      </c>
      <c r="B2430" t="s">
        <v>27</v>
      </c>
      <c r="C2430" t="s">
        <v>652</v>
      </c>
      <c r="D2430" t="s">
        <v>653</v>
      </c>
      <c r="G2430" t="s">
        <v>456</v>
      </c>
      <c r="H2430" t="s">
        <v>7745</v>
      </c>
      <c r="I2430" s="4">
        <v>44712.875</v>
      </c>
      <c r="K2430" t="s">
        <v>636</v>
      </c>
      <c r="L2430" s="5"/>
      <c r="M2430" s="5"/>
      <c r="N2430" t="s">
        <v>82</v>
      </c>
      <c r="O2430" t="s">
        <v>7746</v>
      </c>
      <c r="R2430">
        <v>1</v>
      </c>
      <c r="T2430" s="5"/>
      <c r="W2430">
        <v>144</v>
      </c>
      <c r="X2430" t="s">
        <v>463</v>
      </c>
      <c r="Y2430" t="str">
        <f>VLOOKUP(C2430,'[1]DBS_KPY Sorumlular'!A:C,2,FALSE)</f>
        <v>Seyithan İŞİK</v>
      </c>
      <c r="Z2430" t="str">
        <f>VLOOKUP(C2430,'[1]DBS_KPY Sorumlular'!A:C,3,FALSE)</f>
        <v>Korhan KÖROĞLU</v>
      </c>
      <c r="AA2430" t="str">
        <f>VLOOKUP(K2430,[1]!Tablo3[#Data],2,FALSE)</f>
        <v>Erkan AKDOĞAN</v>
      </c>
    </row>
    <row r="2431" spans="1:27" x14ac:dyDescent="0.25">
      <c r="A2431">
        <v>3783</v>
      </c>
      <c r="B2431" t="s">
        <v>27</v>
      </c>
      <c r="C2431" t="s">
        <v>652</v>
      </c>
      <c r="D2431" t="s">
        <v>653</v>
      </c>
      <c r="G2431" t="s">
        <v>456</v>
      </c>
      <c r="H2431" t="s">
        <v>7747</v>
      </c>
      <c r="I2431" s="4">
        <v>45077.875</v>
      </c>
      <c r="K2431" t="s">
        <v>459</v>
      </c>
      <c r="L2431" s="5"/>
      <c r="M2431" s="5"/>
      <c r="N2431" t="s">
        <v>82</v>
      </c>
      <c r="O2431" t="s">
        <v>7748</v>
      </c>
      <c r="R2431">
        <v>1</v>
      </c>
      <c r="T2431" s="5"/>
      <c r="W2431">
        <v>144</v>
      </c>
      <c r="X2431" t="s">
        <v>463</v>
      </c>
      <c r="Y2431" t="str">
        <f>VLOOKUP(C2431,'[1]DBS_KPY Sorumlular'!A:C,2,FALSE)</f>
        <v>Seyithan İŞİK</v>
      </c>
      <c r="Z2431" t="str">
        <f>VLOOKUP(C2431,'[1]DBS_KPY Sorumlular'!A:C,3,FALSE)</f>
        <v>Korhan KÖROĞLU</v>
      </c>
      <c r="AA2431" t="str">
        <f>VLOOKUP(K2431,[1]!Tablo3[#Data],2,FALSE)</f>
        <v>Erkan AKDOĞAN</v>
      </c>
    </row>
    <row r="2432" spans="1:27" x14ac:dyDescent="0.25">
      <c r="A2432">
        <v>3784</v>
      </c>
      <c r="B2432" t="s">
        <v>27</v>
      </c>
      <c r="C2432" t="s">
        <v>652</v>
      </c>
      <c r="D2432" t="s">
        <v>653</v>
      </c>
      <c r="G2432" t="s">
        <v>456</v>
      </c>
      <c r="H2432" t="s">
        <v>7749</v>
      </c>
      <c r="I2432" s="4">
        <v>45077.875</v>
      </c>
      <c r="K2432" t="s">
        <v>459</v>
      </c>
      <c r="L2432" s="5"/>
      <c r="M2432" s="5"/>
      <c r="N2432" t="s">
        <v>82</v>
      </c>
      <c r="O2432" t="s">
        <v>7750</v>
      </c>
      <c r="R2432">
        <v>1</v>
      </c>
      <c r="T2432" s="5"/>
      <c r="W2432">
        <v>144</v>
      </c>
      <c r="X2432" t="s">
        <v>463</v>
      </c>
      <c r="Y2432" t="str">
        <f>VLOOKUP(C2432,'[1]DBS_KPY Sorumlular'!A:C,2,FALSE)</f>
        <v>Seyithan İŞİK</v>
      </c>
      <c r="Z2432" t="str">
        <f>VLOOKUP(C2432,'[1]DBS_KPY Sorumlular'!A:C,3,FALSE)</f>
        <v>Korhan KÖROĞLU</v>
      </c>
      <c r="AA2432" t="str">
        <f>VLOOKUP(K2432,[1]!Tablo3[#Data],2,FALSE)</f>
        <v>Erkan AKDOĞAN</v>
      </c>
    </row>
    <row r="2433" spans="1:27" x14ac:dyDescent="0.25">
      <c r="A2433">
        <v>3785</v>
      </c>
      <c r="B2433" t="s">
        <v>27</v>
      </c>
      <c r="C2433" t="s">
        <v>652</v>
      </c>
      <c r="D2433" t="s">
        <v>653</v>
      </c>
      <c r="G2433" t="s">
        <v>456</v>
      </c>
      <c r="H2433" t="s">
        <v>7751</v>
      </c>
      <c r="I2433" s="4">
        <v>45077.875</v>
      </c>
      <c r="K2433" t="s">
        <v>636</v>
      </c>
      <c r="L2433" s="5"/>
      <c r="M2433" s="5"/>
      <c r="N2433" t="s">
        <v>82</v>
      </c>
      <c r="O2433" t="s">
        <v>7752</v>
      </c>
      <c r="R2433">
        <v>1</v>
      </c>
      <c r="T2433" s="5"/>
      <c r="W2433">
        <v>144</v>
      </c>
      <c r="X2433" t="s">
        <v>463</v>
      </c>
      <c r="Y2433" t="str">
        <f>VLOOKUP(C2433,'[1]DBS_KPY Sorumlular'!A:C,2,FALSE)</f>
        <v>Seyithan İŞİK</v>
      </c>
      <c r="Z2433" t="str">
        <f>VLOOKUP(C2433,'[1]DBS_KPY Sorumlular'!A:C,3,FALSE)</f>
        <v>Korhan KÖROĞLU</v>
      </c>
      <c r="AA2433" t="str">
        <f>VLOOKUP(K2433,[1]!Tablo3[#Data],2,FALSE)</f>
        <v>Erkan AKDOĞAN</v>
      </c>
    </row>
    <row r="2434" spans="1:27" x14ac:dyDescent="0.25">
      <c r="A2434">
        <v>3786</v>
      </c>
      <c r="B2434" t="s">
        <v>27</v>
      </c>
      <c r="C2434" t="s">
        <v>652</v>
      </c>
      <c r="D2434" t="s">
        <v>653</v>
      </c>
      <c r="G2434" t="s">
        <v>456</v>
      </c>
      <c r="H2434" t="s">
        <v>7753</v>
      </c>
      <c r="I2434" s="4">
        <v>43982.875</v>
      </c>
      <c r="K2434" t="s">
        <v>226</v>
      </c>
      <c r="L2434" s="5"/>
      <c r="M2434" s="5"/>
      <c r="N2434" t="s">
        <v>82</v>
      </c>
      <c r="O2434" t="s">
        <v>7754</v>
      </c>
      <c r="R2434">
        <v>1</v>
      </c>
      <c r="T2434" s="5"/>
      <c r="W2434">
        <v>144</v>
      </c>
      <c r="X2434" t="s">
        <v>463</v>
      </c>
      <c r="Y2434" t="str">
        <f>VLOOKUP(C2434,'[1]DBS_KPY Sorumlular'!A:C,2,FALSE)</f>
        <v>Seyithan İŞİK</v>
      </c>
      <c r="Z2434" t="str">
        <f>VLOOKUP(C2434,'[1]DBS_KPY Sorumlular'!A:C,3,FALSE)</f>
        <v>Korhan KÖROĞLU</v>
      </c>
      <c r="AA2434" t="str">
        <f>VLOOKUP(K2434,[1]!Tablo3[#Data],2,FALSE)</f>
        <v>Kadir TOPÇU</v>
      </c>
    </row>
    <row r="2435" spans="1:27" x14ac:dyDescent="0.25">
      <c r="A2435">
        <v>3787</v>
      </c>
      <c r="B2435" t="s">
        <v>27</v>
      </c>
      <c r="C2435" t="s">
        <v>652</v>
      </c>
      <c r="D2435" t="s">
        <v>653</v>
      </c>
      <c r="G2435" t="s">
        <v>456</v>
      </c>
      <c r="H2435" t="s">
        <v>7755</v>
      </c>
      <c r="I2435" s="4">
        <v>43982.875</v>
      </c>
      <c r="K2435" t="s">
        <v>226</v>
      </c>
      <c r="L2435" s="5"/>
      <c r="M2435" s="5"/>
      <c r="N2435" t="s">
        <v>82</v>
      </c>
      <c r="O2435" t="s">
        <v>7756</v>
      </c>
      <c r="R2435">
        <v>1</v>
      </c>
      <c r="T2435" s="5"/>
      <c r="W2435">
        <v>144</v>
      </c>
      <c r="X2435" t="s">
        <v>463</v>
      </c>
      <c r="Y2435" t="str">
        <f>VLOOKUP(C2435,'[1]DBS_KPY Sorumlular'!A:C,2,FALSE)</f>
        <v>Seyithan İŞİK</v>
      </c>
      <c r="Z2435" t="str">
        <f>VLOOKUP(C2435,'[1]DBS_KPY Sorumlular'!A:C,3,FALSE)</f>
        <v>Korhan KÖROĞLU</v>
      </c>
      <c r="AA2435" t="str">
        <f>VLOOKUP(K2435,[1]!Tablo3[#Data],2,FALSE)</f>
        <v>Kadir TOPÇU</v>
      </c>
    </row>
    <row r="2436" spans="1:27" x14ac:dyDescent="0.25">
      <c r="A2436">
        <v>3788</v>
      </c>
      <c r="B2436" t="s">
        <v>27</v>
      </c>
      <c r="C2436" t="s">
        <v>652</v>
      </c>
      <c r="D2436" t="s">
        <v>653</v>
      </c>
      <c r="G2436" t="s">
        <v>456</v>
      </c>
      <c r="H2436" t="s">
        <v>7757</v>
      </c>
      <c r="I2436" s="4">
        <v>44347.875</v>
      </c>
      <c r="K2436" t="s">
        <v>226</v>
      </c>
      <c r="L2436" s="5"/>
      <c r="M2436" s="5"/>
      <c r="N2436" t="s">
        <v>82</v>
      </c>
      <c r="O2436" t="s">
        <v>7758</v>
      </c>
      <c r="R2436">
        <v>1</v>
      </c>
      <c r="T2436" s="5"/>
      <c r="W2436">
        <v>144</v>
      </c>
      <c r="X2436" t="s">
        <v>463</v>
      </c>
      <c r="Y2436" t="str">
        <f>VLOOKUP(C2436,'[1]DBS_KPY Sorumlular'!A:C,2,FALSE)</f>
        <v>Seyithan İŞİK</v>
      </c>
      <c r="Z2436" t="str">
        <f>VLOOKUP(C2436,'[1]DBS_KPY Sorumlular'!A:C,3,FALSE)</f>
        <v>Korhan KÖROĞLU</v>
      </c>
      <c r="AA2436" t="str">
        <f>VLOOKUP(K2436,[1]!Tablo3[#Data],2,FALSE)</f>
        <v>Kadir TOPÇU</v>
      </c>
    </row>
    <row r="2437" spans="1:27" x14ac:dyDescent="0.25">
      <c r="A2437">
        <v>3789</v>
      </c>
      <c r="B2437" t="s">
        <v>27</v>
      </c>
      <c r="C2437" t="s">
        <v>652</v>
      </c>
      <c r="D2437" t="s">
        <v>653</v>
      </c>
      <c r="G2437" t="s">
        <v>456</v>
      </c>
      <c r="H2437" t="s">
        <v>7759</v>
      </c>
      <c r="I2437" s="4">
        <v>44347.875</v>
      </c>
      <c r="K2437" t="s">
        <v>226</v>
      </c>
      <c r="L2437" s="5"/>
      <c r="M2437" s="5"/>
      <c r="N2437" t="s">
        <v>82</v>
      </c>
      <c r="O2437" t="s">
        <v>7760</v>
      </c>
      <c r="R2437">
        <v>1</v>
      </c>
      <c r="T2437" s="5"/>
      <c r="W2437">
        <v>144</v>
      </c>
      <c r="X2437" t="s">
        <v>463</v>
      </c>
      <c r="Y2437" t="str">
        <f>VLOOKUP(C2437,'[1]DBS_KPY Sorumlular'!A:C,2,FALSE)</f>
        <v>Seyithan İŞİK</v>
      </c>
      <c r="Z2437" t="str">
        <f>VLOOKUP(C2437,'[1]DBS_KPY Sorumlular'!A:C,3,FALSE)</f>
        <v>Korhan KÖROĞLU</v>
      </c>
      <c r="AA2437" t="str">
        <f>VLOOKUP(K2437,[1]!Tablo3[#Data],2,FALSE)</f>
        <v>Kadir TOPÇU</v>
      </c>
    </row>
    <row r="2438" spans="1:27" x14ac:dyDescent="0.25">
      <c r="A2438">
        <v>3790</v>
      </c>
      <c r="B2438" t="s">
        <v>27</v>
      </c>
      <c r="C2438" t="s">
        <v>652</v>
      </c>
      <c r="D2438" t="s">
        <v>653</v>
      </c>
      <c r="G2438" t="s">
        <v>456</v>
      </c>
      <c r="H2438" t="s">
        <v>7761</v>
      </c>
      <c r="I2438" s="4">
        <v>45077.875</v>
      </c>
      <c r="K2438" t="s">
        <v>226</v>
      </c>
      <c r="L2438" s="5"/>
      <c r="M2438" s="5"/>
      <c r="N2438" t="s">
        <v>82</v>
      </c>
      <c r="O2438" t="s">
        <v>7762</v>
      </c>
      <c r="R2438">
        <v>1</v>
      </c>
      <c r="T2438" s="5"/>
      <c r="W2438">
        <v>144</v>
      </c>
      <c r="X2438" t="s">
        <v>463</v>
      </c>
      <c r="Y2438" t="str">
        <f>VLOOKUP(C2438,'[1]DBS_KPY Sorumlular'!A:C,2,FALSE)</f>
        <v>Seyithan İŞİK</v>
      </c>
      <c r="Z2438" t="str">
        <f>VLOOKUP(C2438,'[1]DBS_KPY Sorumlular'!A:C,3,FALSE)</f>
        <v>Korhan KÖROĞLU</v>
      </c>
      <c r="AA2438" t="str">
        <f>VLOOKUP(K2438,[1]!Tablo3[#Data],2,FALSE)</f>
        <v>Kadir TOPÇU</v>
      </c>
    </row>
    <row r="2439" spans="1:27" x14ac:dyDescent="0.25">
      <c r="A2439">
        <v>3791</v>
      </c>
      <c r="B2439" t="s">
        <v>27</v>
      </c>
      <c r="C2439" t="s">
        <v>652</v>
      </c>
      <c r="D2439" t="s">
        <v>653</v>
      </c>
      <c r="G2439" t="s">
        <v>456</v>
      </c>
      <c r="H2439" t="s">
        <v>7763</v>
      </c>
      <c r="I2439" s="4">
        <v>43982.875</v>
      </c>
      <c r="J2439" t="s">
        <v>7764</v>
      </c>
      <c r="K2439" t="s">
        <v>534</v>
      </c>
      <c r="L2439" s="5"/>
      <c r="M2439" s="5"/>
      <c r="N2439" t="s">
        <v>82</v>
      </c>
      <c r="O2439" t="s">
        <v>7765</v>
      </c>
      <c r="R2439">
        <v>1</v>
      </c>
      <c r="T2439" s="5"/>
      <c r="W2439">
        <v>144</v>
      </c>
      <c r="X2439" t="s">
        <v>463</v>
      </c>
      <c r="Y2439" t="str">
        <f>VLOOKUP(C2439,'[1]DBS_KPY Sorumlular'!A:C,2,FALSE)</f>
        <v>Seyithan İŞİK</v>
      </c>
      <c r="Z2439" t="str">
        <f>VLOOKUP(C2439,'[1]DBS_KPY Sorumlular'!A:C,3,FALSE)</f>
        <v>Korhan KÖROĞLU</v>
      </c>
      <c r="AA2439" t="str">
        <f>VLOOKUP(K2439,[1]!Tablo3[#Data],2,FALSE)</f>
        <v>Erkan AKDOĞAN</v>
      </c>
    </row>
    <row r="2440" spans="1:27" x14ac:dyDescent="0.25">
      <c r="A2440">
        <v>3792</v>
      </c>
      <c r="B2440" t="s">
        <v>27</v>
      </c>
      <c r="C2440" t="s">
        <v>652</v>
      </c>
      <c r="D2440" t="s">
        <v>653</v>
      </c>
      <c r="G2440" t="s">
        <v>456</v>
      </c>
      <c r="H2440" t="s">
        <v>7766</v>
      </c>
      <c r="I2440" s="4">
        <v>44347.875</v>
      </c>
      <c r="K2440" t="s">
        <v>534</v>
      </c>
      <c r="L2440" s="5"/>
      <c r="M2440" s="5"/>
      <c r="N2440" t="s">
        <v>82</v>
      </c>
      <c r="O2440" t="s">
        <v>7767</v>
      </c>
      <c r="R2440">
        <v>1</v>
      </c>
      <c r="T2440" s="5"/>
      <c r="W2440">
        <v>144</v>
      </c>
      <c r="X2440" t="s">
        <v>463</v>
      </c>
      <c r="Y2440" t="str">
        <f>VLOOKUP(C2440,'[1]DBS_KPY Sorumlular'!A:C,2,FALSE)</f>
        <v>Seyithan İŞİK</v>
      </c>
      <c r="Z2440" t="str">
        <f>VLOOKUP(C2440,'[1]DBS_KPY Sorumlular'!A:C,3,FALSE)</f>
        <v>Korhan KÖROĞLU</v>
      </c>
      <c r="AA2440" t="str">
        <f>VLOOKUP(K2440,[1]!Tablo3[#Data],2,FALSE)</f>
        <v>Erkan AKDOĞAN</v>
      </c>
    </row>
    <row r="2441" spans="1:27" x14ac:dyDescent="0.25">
      <c r="A2441">
        <v>3793</v>
      </c>
      <c r="B2441" t="s">
        <v>27</v>
      </c>
      <c r="C2441" t="s">
        <v>652</v>
      </c>
      <c r="D2441" t="s">
        <v>653</v>
      </c>
      <c r="G2441" t="s">
        <v>456</v>
      </c>
      <c r="H2441" t="s">
        <v>7768</v>
      </c>
      <c r="I2441" s="4">
        <v>44712.875</v>
      </c>
      <c r="K2441" t="s">
        <v>534</v>
      </c>
      <c r="L2441" s="5"/>
      <c r="M2441" s="5"/>
      <c r="N2441" t="s">
        <v>82</v>
      </c>
      <c r="O2441" t="s">
        <v>7769</v>
      </c>
      <c r="R2441">
        <v>1</v>
      </c>
      <c r="T2441" s="5"/>
      <c r="W2441">
        <v>144</v>
      </c>
      <c r="X2441" t="s">
        <v>463</v>
      </c>
      <c r="Y2441" t="str">
        <f>VLOOKUP(C2441,'[1]DBS_KPY Sorumlular'!A:C,2,FALSE)</f>
        <v>Seyithan İŞİK</v>
      </c>
      <c r="Z2441" t="str">
        <f>VLOOKUP(C2441,'[1]DBS_KPY Sorumlular'!A:C,3,FALSE)</f>
        <v>Korhan KÖROĞLU</v>
      </c>
      <c r="AA2441" t="str">
        <f>VLOOKUP(K2441,[1]!Tablo3[#Data],2,FALSE)</f>
        <v>Erkan AKDOĞAN</v>
      </c>
    </row>
    <row r="2442" spans="1:27" x14ac:dyDescent="0.25">
      <c r="A2442">
        <v>3794</v>
      </c>
      <c r="B2442" t="s">
        <v>27</v>
      </c>
      <c r="C2442" t="s">
        <v>652</v>
      </c>
      <c r="D2442" t="s">
        <v>653</v>
      </c>
      <c r="G2442" t="s">
        <v>456</v>
      </c>
      <c r="H2442" t="s">
        <v>7770</v>
      </c>
      <c r="I2442" s="4">
        <v>45077.875</v>
      </c>
      <c r="K2442" t="s">
        <v>534</v>
      </c>
      <c r="L2442" s="5"/>
      <c r="M2442" s="5"/>
      <c r="N2442" t="s">
        <v>82</v>
      </c>
      <c r="O2442" t="s">
        <v>7771</v>
      </c>
      <c r="R2442">
        <v>1</v>
      </c>
      <c r="T2442" s="5"/>
      <c r="W2442">
        <v>144</v>
      </c>
      <c r="X2442" t="s">
        <v>463</v>
      </c>
      <c r="Y2442" t="str">
        <f>VLOOKUP(C2442,'[1]DBS_KPY Sorumlular'!A:C,2,FALSE)</f>
        <v>Seyithan İŞİK</v>
      </c>
      <c r="Z2442" t="str">
        <f>VLOOKUP(C2442,'[1]DBS_KPY Sorumlular'!A:C,3,FALSE)</f>
        <v>Korhan KÖROĞLU</v>
      </c>
      <c r="AA2442" t="str">
        <f>VLOOKUP(K2442,[1]!Tablo3[#Data],2,FALSE)</f>
        <v>Erkan AKDOĞAN</v>
      </c>
    </row>
    <row r="2443" spans="1:27" x14ac:dyDescent="0.25">
      <c r="A2443">
        <v>3795</v>
      </c>
      <c r="B2443" t="s">
        <v>27</v>
      </c>
      <c r="C2443" t="s">
        <v>652</v>
      </c>
      <c r="D2443" t="s">
        <v>653</v>
      </c>
      <c r="G2443" t="s">
        <v>456</v>
      </c>
      <c r="H2443" t="s">
        <v>7772</v>
      </c>
      <c r="I2443" s="4">
        <v>45077.875</v>
      </c>
      <c r="K2443" t="s">
        <v>534</v>
      </c>
      <c r="L2443" s="5"/>
      <c r="M2443" s="5"/>
      <c r="N2443" t="s">
        <v>82</v>
      </c>
      <c r="O2443" t="s">
        <v>7773</v>
      </c>
      <c r="R2443">
        <v>1</v>
      </c>
      <c r="T2443" s="5"/>
      <c r="W2443">
        <v>144</v>
      </c>
      <c r="X2443" t="s">
        <v>463</v>
      </c>
      <c r="Y2443" t="str">
        <f>VLOOKUP(C2443,'[1]DBS_KPY Sorumlular'!A:C,2,FALSE)</f>
        <v>Seyithan İŞİK</v>
      </c>
      <c r="Z2443" t="str">
        <f>VLOOKUP(C2443,'[1]DBS_KPY Sorumlular'!A:C,3,FALSE)</f>
        <v>Korhan KÖROĞLU</v>
      </c>
      <c r="AA2443" t="str">
        <f>VLOOKUP(K2443,[1]!Tablo3[#Data],2,FALSE)</f>
        <v>Erkan AKDOĞAN</v>
      </c>
    </row>
    <row r="2444" spans="1:27" x14ac:dyDescent="0.25">
      <c r="A2444">
        <v>3796</v>
      </c>
      <c r="B2444" t="s">
        <v>27</v>
      </c>
      <c r="C2444" t="s">
        <v>652</v>
      </c>
      <c r="D2444" t="s">
        <v>653</v>
      </c>
      <c r="G2444" t="s">
        <v>456</v>
      </c>
      <c r="H2444" t="s">
        <v>7774</v>
      </c>
      <c r="I2444" s="4">
        <v>45077.875</v>
      </c>
      <c r="K2444" t="s">
        <v>534</v>
      </c>
      <c r="L2444" s="5"/>
      <c r="M2444" s="5"/>
      <c r="N2444" t="s">
        <v>82</v>
      </c>
      <c r="O2444" t="s">
        <v>7775</v>
      </c>
      <c r="R2444">
        <v>1</v>
      </c>
      <c r="T2444" s="5"/>
      <c r="W2444">
        <v>144</v>
      </c>
      <c r="X2444" t="s">
        <v>463</v>
      </c>
      <c r="Y2444" t="str">
        <f>VLOOKUP(C2444,'[1]DBS_KPY Sorumlular'!A:C,2,FALSE)</f>
        <v>Seyithan İŞİK</v>
      </c>
      <c r="Z2444" t="str">
        <f>VLOOKUP(C2444,'[1]DBS_KPY Sorumlular'!A:C,3,FALSE)</f>
        <v>Korhan KÖROĞLU</v>
      </c>
      <c r="AA2444" t="str">
        <f>VLOOKUP(K2444,[1]!Tablo3[#Data],2,FALSE)</f>
        <v>Erkan AKDOĞAN</v>
      </c>
    </row>
    <row r="2445" spans="1:27" x14ac:dyDescent="0.25">
      <c r="A2445">
        <v>3797</v>
      </c>
      <c r="B2445" t="s">
        <v>27</v>
      </c>
      <c r="C2445" t="s">
        <v>652</v>
      </c>
      <c r="D2445" t="s">
        <v>653</v>
      </c>
      <c r="G2445" t="s">
        <v>456</v>
      </c>
      <c r="H2445" t="s">
        <v>7776</v>
      </c>
      <c r="I2445" s="4">
        <v>44347.875</v>
      </c>
      <c r="K2445" t="s">
        <v>568</v>
      </c>
      <c r="L2445" s="5"/>
      <c r="M2445" s="5"/>
      <c r="N2445" t="s">
        <v>82</v>
      </c>
      <c r="O2445" t="s">
        <v>7777</v>
      </c>
      <c r="R2445">
        <v>1</v>
      </c>
      <c r="T2445" s="5"/>
      <c r="W2445">
        <v>144</v>
      </c>
      <c r="X2445" t="s">
        <v>463</v>
      </c>
      <c r="Y2445" t="str">
        <f>VLOOKUP(C2445,'[1]DBS_KPY Sorumlular'!A:C,2,FALSE)</f>
        <v>Seyithan İŞİK</v>
      </c>
      <c r="Z2445" t="str">
        <f>VLOOKUP(C2445,'[1]DBS_KPY Sorumlular'!A:C,3,FALSE)</f>
        <v>Korhan KÖROĞLU</v>
      </c>
      <c r="AA2445" t="str">
        <f>VLOOKUP(K2445,[1]!Tablo3[#Data],2,FALSE)</f>
        <v>Erkan AKDOĞAN</v>
      </c>
    </row>
    <row r="2446" spans="1:27" x14ac:dyDescent="0.25">
      <c r="A2446">
        <v>3798</v>
      </c>
      <c r="B2446" t="s">
        <v>27</v>
      </c>
      <c r="C2446" t="s">
        <v>652</v>
      </c>
      <c r="D2446" t="s">
        <v>653</v>
      </c>
      <c r="G2446" t="s">
        <v>456</v>
      </c>
      <c r="H2446" t="s">
        <v>7778</v>
      </c>
      <c r="I2446" s="4">
        <v>45443.875</v>
      </c>
      <c r="J2446" t="s">
        <v>7779</v>
      </c>
      <c r="K2446" t="s">
        <v>568</v>
      </c>
      <c r="L2446" s="5"/>
      <c r="M2446" s="5"/>
      <c r="N2446" t="s">
        <v>82</v>
      </c>
      <c r="O2446" t="s">
        <v>7780</v>
      </c>
      <c r="R2446">
        <v>1</v>
      </c>
      <c r="T2446" s="5"/>
      <c r="W2446">
        <v>144</v>
      </c>
      <c r="X2446" t="s">
        <v>463</v>
      </c>
      <c r="Y2446" t="str">
        <f>VLOOKUP(C2446,'[1]DBS_KPY Sorumlular'!A:C,2,FALSE)</f>
        <v>Seyithan İŞİK</v>
      </c>
      <c r="Z2446" t="str">
        <f>VLOOKUP(C2446,'[1]DBS_KPY Sorumlular'!A:C,3,FALSE)</f>
        <v>Korhan KÖROĞLU</v>
      </c>
      <c r="AA2446" t="str">
        <f>VLOOKUP(K2446,[1]!Tablo3[#Data],2,FALSE)</f>
        <v>Erkan AKDOĞAN</v>
      </c>
    </row>
    <row r="2447" spans="1:27" x14ac:dyDescent="0.25">
      <c r="A2447">
        <v>3799</v>
      </c>
      <c r="B2447" t="s">
        <v>27</v>
      </c>
      <c r="C2447" t="s">
        <v>652</v>
      </c>
      <c r="D2447" t="s">
        <v>653</v>
      </c>
      <c r="G2447" t="s">
        <v>456</v>
      </c>
      <c r="H2447" t="s">
        <v>7781</v>
      </c>
      <c r="I2447" s="4">
        <v>45443.875</v>
      </c>
      <c r="J2447" t="s">
        <v>7779</v>
      </c>
      <c r="K2447" t="s">
        <v>568</v>
      </c>
      <c r="L2447" s="5"/>
      <c r="M2447" s="5"/>
      <c r="N2447" t="s">
        <v>82</v>
      </c>
      <c r="O2447" t="s">
        <v>7782</v>
      </c>
      <c r="R2447">
        <v>1</v>
      </c>
      <c r="T2447" s="5"/>
      <c r="W2447">
        <v>144</v>
      </c>
      <c r="X2447" t="s">
        <v>463</v>
      </c>
      <c r="Y2447" t="str">
        <f>VLOOKUP(C2447,'[1]DBS_KPY Sorumlular'!A:C,2,FALSE)</f>
        <v>Seyithan İŞİK</v>
      </c>
      <c r="Z2447" t="str">
        <f>VLOOKUP(C2447,'[1]DBS_KPY Sorumlular'!A:C,3,FALSE)</f>
        <v>Korhan KÖROĞLU</v>
      </c>
      <c r="AA2447" t="str">
        <f>VLOOKUP(K2447,[1]!Tablo3[#Data],2,FALSE)</f>
        <v>Erkan AKDOĞAN</v>
      </c>
    </row>
    <row r="2448" spans="1:27" x14ac:dyDescent="0.25">
      <c r="A2448">
        <v>3800</v>
      </c>
      <c r="B2448" t="s">
        <v>27</v>
      </c>
      <c r="C2448" t="s">
        <v>652</v>
      </c>
      <c r="D2448" t="s">
        <v>653</v>
      </c>
      <c r="G2448" t="s">
        <v>456</v>
      </c>
      <c r="H2448" t="s">
        <v>7783</v>
      </c>
      <c r="I2448" s="4">
        <v>45443.875</v>
      </c>
      <c r="J2448" t="s">
        <v>7779</v>
      </c>
      <c r="K2448" t="s">
        <v>568</v>
      </c>
      <c r="L2448" s="5"/>
      <c r="M2448" s="5"/>
      <c r="N2448" t="s">
        <v>82</v>
      </c>
      <c r="O2448" t="s">
        <v>7784</v>
      </c>
      <c r="R2448">
        <v>1</v>
      </c>
      <c r="T2448" s="5"/>
      <c r="W2448">
        <v>144</v>
      </c>
      <c r="X2448" t="s">
        <v>463</v>
      </c>
      <c r="Y2448" t="str">
        <f>VLOOKUP(C2448,'[1]DBS_KPY Sorumlular'!A:C,2,FALSE)</f>
        <v>Seyithan İŞİK</v>
      </c>
      <c r="Z2448" t="str">
        <f>VLOOKUP(C2448,'[1]DBS_KPY Sorumlular'!A:C,3,FALSE)</f>
        <v>Korhan KÖROĞLU</v>
      </c>
      <c r="AA2448" t="str">
        <f>VLOOKUP(K2448,[1]!Tablo3[#Data],2,FALSE)</f>
        <v>Erkan AKDOĞAN</v>
      </c>
    </row>
    <row r="2449" spans="1:27" x14ac:dyDescent="0.25">
      <c r="A2449">
        <v>3801</v>
      </c>
      <c r="B2449" t="s">
        <v>27</v>
      </c>
      <c r="C2449" t="s">
        <v>652</v>
      </c>
      <c r="D2449" t="s">
        <v>653</v>
      </c>
      <c r="G2449" t="s">
        <v>456</v>
      </c>
      <c r="H2449" t="s">
        <v>7785</v>
      </c>
      <c r="I2449" s="4">
        <v>45443.875</v>
      </c>
      <c r="J2449" t="s">
        <v>7779</v>
      </c>
      <c r="K2449" t="s">
        <v>1334</v>
      </c>
      <c r="L2449" s="5"/>
      <c r="M2449" s="5"/>
      <c r="N2449" t="s">
        <v>82</v>
      </c>
      <c r="O2449" t="s">
        <v>7786</v>
      </c>
      <c r="R2449">
        <v>1</v>
      </c>
      <c r="T2449" s="5"/>
      <c r="W2449">
        <v>144</v>
      </c>
      <c r="X2449" t="s">
        <v>463</v>
      </c>
      <c r="Y2449" t="str">
        <f>VLOOKUP(C2449,'[1]DBS_KPY Sorumlular'!A:C,2,FALSE)</f>
        <v>Seyithan İŞİK</v>
      </c>
      <c r="Z2449" t="str">
        <f>VLOOKUP(C2449,'[1]DBS_KPY Sorumlular'!A:C,3,FALSE)</f>
        <v>Korhan KÖROĞLU</v>
      </c>
      <c r="AA2449" t="str">
        <f>VLOOKUP(K2449,[1]!Tablo3[#Data],2,FALSE)</f>
        <v>Erkan AKDOĞAN</v>
      </c>
    </row>
    <row r="2450" spans="1:27" x14ac:dyDescent="0.25">
      <c r="A2450">
        <v>3802</v>
      </c>
      <c r="B2450" t="s">
        <v>27</v>
      </c>
      <c r="C2450" t="s">
        <v>652</v>
      </c>
      <c r="D2450" t="s">
        <v>653</v>
      </c>
      <c r="G2450" t="s">
        <v>456</v>
      </c>
      <c r="H2450" t="s">
        <v>7787</v>
      </c>
      <c r="I2450" s="4">
        <v>45443.875</v>
      </c>
      <c r="K2450" t="s">
        <v>568</v>
      </c>
      <c r="L2450" s="5"/>
      <c r="M2450" s="5"/>
      <c r="N2450" t="s">
        <v>82</v>
      </c>
      <c r="O2450" t="s">
        <v>7788</v>
      </c>
      <c r="R2450">
        <v>1</v>
      </c>
      <c r="T2450" s="5"/>
      <c r="W2450">
        <v>144</v>
      </c>
      <c r="X2450" t="s">
        <v>463</v>
      </c>
      <c r="Y2450" t="str">
        <f>VLOOKUP(C2450,'[1]DBS_KPY Sorumlular'!A:C,2,FALSE)</f>
        <v>Seyithan İŞİK</v>
      </c>
      <c r="Z2450" t="str">
        <f>VLOOKUP(C2450,'[1]DBS_KPY Sorumlular'!A:C,3,FALSE)</f>
        <v>Korhan KÖROĞLU</v>
      </c>
      <c r="AA2450" t="str">
        <f>VLOOKUP(K2450,[1]!Tablo3[#Data],2,FALSE)</f>
        <v>Erkan AKDOĞAN</v>
      </c>
    </row>
    <row r="2451" spans="1:27" x14ac:dyDescent="0.25">
      <c r="A2451">
        <v>3803</v>
      </c>
      <c r="B2451" t="s">
        <v>27</v>
      </c>
      <c r="C2451" t="s">
        <v>652</v>
      </c>
      <c r="D2451" t="s">
        <v>653</v>
      </c>
      <c r="G2451" t="s">
        <v>456</v>
      </c>
      <c r="H2451" t="s">
        <v>7789</v>
      </c>
      <c r="I2451" s="4">
        <v>45443.875</v>
      </c>
      <c r="J2451" t="s">
        <v>7779</v>
      </c>
      <c r="K2451" t="s">
        <v>568</v>
      </c>
      <c r="L2451" s="5"/>
      <c r="M2451" s="5"/>
      <c r="N2451" t="s">
        <v>82</v>
      </c>
      <c r="O2451" t="s">
        <v>7790</v>
      </c>
      <c r="R2451">
        <v>1</v>
      </c>
      <c r="T2451" s="5"/>
      <c r="W2451">
        <v>144</v>
      </c>
      <c r="X2451" t="s">
        <v>463</v>
      </c>
      <c r="Y2451" t="str">
        <f>VLOOKUP(C2451,'[1]DBS_KPY Sorumlular'!A:C,2,FALSE)</f>
        <v>Seyithan İŞİK</v>
      </c>
      <c r="Z2451" t="str">
        <f>VLOOKUP(C2451,'[1]DBS_KPY Sorumlular'!A:C,3,FALSE)</f>
        <v>Korhan KÖROĞLU</v>
      </c>
      <c r="AA2451" t="str">
        <f>VLOOKUP(K2451,[1]!Tablo3[#Data],2,FALSE)</f>
        <v>Erkan AKDOĞAN</v>
      </c>
    </row>
    <row r="2452" spans="1:27" x14ac:dyDescent="0.25">
      <c r="A2452">
        <v>3804</v>
      </c>
      <c r="B2452" t="s">
        <v>27</v>
      </c>
      <c r="C2452" t="s">
        <v>652</v>
      </c>
      <c r="D2452" t="s">
        <v>653</v>
      </c>
      <c r="G2452" t="s">
        <v>456</v>
      </c>
      <c r="H2452" t="s">
        <v>7791</v>
      </c>
      <c r="I2452" s="4">
        <v>44347.875</v>
      </c>
      <c r="K2452" t="s">
        <v>586</v>
      </c>
      <c r="L2452" s="5"/>
      <c r="M2452" s="5"/>
      <c r="N2452" t="s">
        <v>82</v>
      </c>
      <c r="O2452" t="s">
        <v>7792</v>
      </c>
      <c r="R2452">
        <v>1</v>
      </c>
      <c r="T2452" s="5"/>
      <c r="W2452">
        <v>144</v>
      </c>
      <c r="X2452" t="s">
        <v>463</v>
      </c>
      <c r="Y2452" t="str">
        <f>VLOOKUP(C2452,'[1]DBS_KPY Sorumlular'!A:C,2,FALSE)</f>
        <v>Seyithan İŞİK</v>
      </c>
      <c r="Z2452" t="str">
        <f>VLOOKUP(C2452,'[1]DBS_KPY Sorumlular'!A:C,3,FALSE)</f>
        <v>Korhan KÖROĞLU</v>
      </c>
      <c r="AA2452" t="str">
        <f>VLOOKUP(K2452,[1]!Tablo3[#Data],2,FALSE)</f>
        <v>Tayfun VİÇE</v>
      </c>
    </row>
    <row r="2453" spans="1:27" x14ac:dyDescent="0.25">
      <c r="A2453">
        <v>3805</v>
      </c>
      <c r="B2453" t="s">
        <v>27</v>
      </c>
      <c r="C2453" t="s">
        <v>652</v>
      </c>
      <c r="D2453" t="s">
        <v>653</v>
      </c>
      <c r="G2453" t="s">
        <v>456</v>
      </c>
      <c r="H2453" t="s">
        <v>7793</v>
      </c>
      <c r="I2453" s="4">
        <v>43616.875</v>
      </c>
      <c r="K2453" t="s">
        <v>611</v>
      </c>
      <c r="L2453" s="5"/>
      <c r="M2453" s="5"/>
      <c r="N2453" t="s">
        <v>82</v>
      </c>
      <c r="O2453" t="s">
        <v>7794</v>
      </c>
      <c r="R2453">
        <v>1</v>
      </c>
      <c r="T2453" s="5"/>
      <c r="W2453">
        <v>144</v>
      </c>
      <c r="X2453" t="s">
        <v>463</v>
      </c>
      <c r="Y2453" t="str">
        <f>VLOOKUP(C2453,'[1]DBS_KPY Sorumlular'!A:C,2,FALSE)</f>
        <v>Seyithan İŞİK</v>
      </c>
      <c r="Z2453" t="str">
        <f>VLOOKUP(C2453,'[1]DBS_KPY Sorumlular'!A:C,3,FALSE)</f>
        <v>Korhan KÖROĞLU</v>
      </c>
      <c r="AA2453" t="str">
        <f>VLOOKUP(K2453,[1]!Tablo3[#Data],2,FALSE)</f>
        <v>Kadir TOPÇU</v>
      </c>
    </row>
    <row r="2454" spans="1:27" x14ac:dyDescent="0.25">
      <c r="A2454">
        <v>3806</v>
      </c>
      <c r="B2454" t="s">
        <v>27</v>
      </c>
      <c r="C2454" t="s">
        <v>652</v>
      </c>
      <c r="D2454" t="s">
        <v>653</v>
      </c>
      <c r="G2454" t="s">
        <v>456</v>
      </c>
      <c r="H2454" t="s">
        <v>7795</v>
      </c>
      <c r="I2454" s="4">
        <v>43982.875</v>
      </c>
      <c r="K2454" t="s">
        <v>611</v>
      </c>
      <c r="L2454" s="5"/>
      <c r="M2454" s="5"/>
      <c r="N2454" t="s">
        <v>82</v>
      </c>
      <c r="O2454" t="s">
        <v>7796</v>
      </c>
      <c r="R2454">
        <v>1</v>
      </c>
      <c r="T2454" s="5"/>
      <c r="W2454">
        <v>144</v>
      </c>
      <c r="X2454" t="s">
        <v>463</v>
      </c>
      <c r="Y2454" t="str">
        <f>VLOOKUP(C2454,'[1]DBS_KPY Sorumlular'!A:C,2,FALSE)</f>
        <v>Seyithan İŞİK</v>
      </c>
      <c r="Z2454" t="str">
        <f>VLOOKUP(C2454,'[1]DBS_KPY Sorumlular'!A:C,3,FALSE)</f>
        <v>Korhan KÖROĞLU</v>
      </c>
      <c r="AA2454" t="str">
        <f>VLOOKUP(K2454,[1]!Tablo3[#Data],2,FALSE)</f>
        <v>Kadir TOPÇU</v>
      </c>
    </row>
    <row r="2455" spans="1:27" x14ac:dyDescent="0.25">
      <c r="A2455">
        <v>3807</v>
      </c>
      <c r="B2455" t="s">
        <v>27</v>
      </c>
      <c r="C2455" t="s">
        <v>652</v>
      </c>
      <c r="D2455" t="s">
        <v>653</v>
      </c>
      <c r="G2455" t="s">
        <v>456</v>
      </c>
      <c r="H2455" t="s">
        <v>7797</v>
      </c>
      <c r="I2455" s="4">
        <v>43982.875</v>
      </c>
      <c r="K2455" t="s">
        <v>611</v>
      </c>
      <c r="L2455" s="5"/>
      <c r="M2455" s="5"/>
      <c r="N2455" t="s">
        <v>82</v>
      </c>
      <c r="O2455" t="s">
        <v>7798</v>
      </c>
      <c r="R2455">
        <v>1</v>
      </c>
      <c r="T2455" s="5"/>
      <c r="W2455">
        <v>144</v>
      </c>
      <c r="X2455" t="s">
        <v>463</v>
      </c>
      <c r="Y2455" t="str">
        <f>VLOOKUP(C2455,'[1]DBS_KPY Sorumlular'!A:C,2,FALSE)</f>
        <v>Seyithan İŞİK</v>
      </c>
      <c r="Z2455" t="str">
        <f>VLOOKUP(C2455,'[1]DBS_KPY Sorumlular'!A:C,3,FALSE)</f>
        <v>Korhan KÖROĞLU</v>
      </c>
      <c r="AA2455" t="str">
        <f>VLOOKUP(K2455,[1]!Tablo3[#Data],2,FALSE)</f>
        <v>Kadir TOPÇU</v>
      </c>
    </row>
    <row r="2456" spans="1:27" x14ac:dyDescent="0.25">
      <c r="A2456">
        <v>3808</v>
      </c>
      <c r="B2456" t="s">
        <v>27</v>
      </c>
      <c r="C2456" t="s">
        <v>652</v>
      </c>
      <c r="D2456" t="s">
        <v>653</v>
      </c>
      <c r="G2456" t="s">
        <v>456</v>
      </c>
      <c r="H2456" t="s">
        <v>7799</v>
      </c>
      <c r="I2456" s="4">
        <v>44347.875</v>
      </c>
      <c r="K2456" t="s">
        <v>611</v>
      </c>
      <c r="L2456" s="5"/>
      <c r="M2456" s="5"/>
      <c r="N2456" t="s">
        <v>82</v>
      </c>
      <c r="O2456" t="s">
        <v>7800</v>
      </c>
      <c r="R2456">
        <v>1</v>
      </c>
      <c r="T2456" s="5"/>
      <c r="W2456">
        <v>144</v>
      </c>
      <c r="X2456" t="s">
        <v>463</v>
      </c>
      <c r="Y2456" t="str">
        <f>VLOOKUP(C2456,'[1]DBS_KPY Sorumlular'!A:C,2,FALSE)</f>
        <v>Seyithan İŞİK</v>
      </c>
      <c r="Z2456" t="str">
        <f>VLOOKUP(C2456,'[1]DBS_KPY Sorumlular'!A:C,3,FALSE)</f>
        <v>Korhan KÖROĞLU</v>
      </c>
      <c r="AA2456" t="str">
        <f>VLOOKUP(K2456,[1]!Tablo3[#Data],2,FALSE)</f>
        <v>Kadir TOPÇU</v>
      </c>
    </row>
    <row r="2457" spans="1:27" x14ac:dyDescent="0.25">
      <c r="A2457">
        <v>3809</v>
      </c>
      <c r="B2457" t="s">
        <v>27</v>
      </c>
      <c r="C2457" t="s">
        <v>652</v>
      </c>
      <c r="D2457" t="s">
        <v>653</v>
      </c>
      <c r="G2457" t="s">
        <v>456</v>
      </c>
      <c r="H2457" t="s">
        <v>7801</v>
      </c>
      <c r="I2457" s="4">
        <v>44347.875</v>
      </c>
      <c r="K2457" t="s">
        <v>611</v>
      </c>
      <c r="L2457" s="5"/>
      <c r="M2457" s="5"/>
      <c r="N2457" t="s">
        <v>82</v>
      </c>
      <c r="O2457" t="s">
        <v>7802</v>
      </c>
      <c r="R2457">
        <v>1</v>
      </c>
      <c r="T2457" s="5"/>
      <c r="W2457">
        <v>144</v>
      </c>
      <c r="X2457" t="s">
        <v>463</v>
      </c>
      <c r="Y2457" t="str">
        <f>VLOOKUP(C2457,'[1]DBS_KPY Sorumlular'!A:C,2,FALSE)</f>
        <v>Seyithan İŞİK</v>
      </c>
      <c r="Z2457" t="str">
        <f>VLOOKUP(C2457,'[1]DBS_KPY Sorumlular'!A:C,3,FALSE)</f>
        <v>Korhan KÖROĞLU</v>
      </c>
      <c r="AA2457" t="str">
        <f>VLOOKUP(K2457,[1]!Tablo3[#Data],2,FALSE)</f>
        <v>Kadir TOPÇU</v>
      </c>
    </row>
    <row r="2458" spans="1:27" x14ac:dyDescent="0.25">
      <c r="A2458">
        <v>3810</v>
      </c>
      <c r="B2458" t="s">
        <v>27</v>
      </c>
      <c r="C2458" t="s">
        <v>652</v>
      </c>
      <c r="D2458" t="s">
        <v>653</v>
      </c>
      <c r="G2458" t="s">
        <v>456</v>
      </c>
      <c r="H2458" t="s">
        <v>7803</v>
      </c>
      <c r="I2458" s="4">
        <v>43982.875</v>
      </c>
      <c r="K2458" t="s">
        <v>636</v>
      </c>
      <c r="L2458" s="5"/>
      <c r="M2458" s="5"/>
      <c r="N2458" t="s">
        <v>82</v>
      </c>
      <c r="O2458" t="s">
        <v>7804</v>
      </c>
      <c r="R2458">
        <v>1</v>
      </c>
      <c r="T2458" s="5"/>
      <c r="W2458">
        <v>144</v>
      </c>
      <c r="X2458" t="s">
        <v>463</v>
      </c>
      <c r="Y2458" t="str">
        <f>VLOOKUP(C2458,'[1]DBS_KPY Sorumlular'!A:C,2,FALSE)</f>
        <v>Seyithan İŞİK</v>
      </c>
      <c r="Z2458" t="str">
        <f>VLOOKUP(C2458,'[1]DBS_KPY Sorumlular'!A:C,3,FALSE)</f>
        <v>Korhan KÖROĞLU</v>
      </c>
      <c r="AA2458" t="str">
        <f>VLOOKUP(K2458,[1]!Tablo3[#Data],2,FALSE)</f>
        <v>Erkan AKDOĞAN</v>
      </c>
    </row>
    <row r="2459" spans="1:27" x14ac:dyDescent="0.25">
      <c r="A2459">
        <v>3811</v>
      </c>
      <c r="B2459" t="s">
        <v>27</v>
      </c>
      <c r="C2459" t="s">
        <v>652</v>
      </c>
      <c r="D2459" t="s">
        <v>653</v>
      </c>
      <c r="G2459" t="s">
        <v>456</v>
      </c>
      <c r="H2459" t="s">
        <v>7805</v>
      </c>
      <c r="I2459" s="4">
        <v>44347.875</v>
      </c>
      <c r="K2459" t="s">
        <v>636</v>
      </c>
      <c r="L2459" s="5"/>
      <c r="M2459" s="5"/>
      <c r="N2459" t="s">
        <v>82</v>
      </c>
      <c r="O2459" t="s">
        <v>7806</v>
      </c>
      <c r="R2459">
        <v>1</v>
      </c>
      <c r="T2459" s="5"/>
      <c r="W2459">
        <v>144</v>
      </c>
      <c r="X2459" t="s">
        <v>463</v>
      </c>
      <c r="Y2459" t="str">
        <f>VLOOKUP(C2459,'[1]DBS_KPY Sorumlular'!A:C,2,FALSE)</f>
        <v>Seyithan İŞİK</v>
      </c>
      <c r="Z2459" t="str">
        <f>VLOOKUP(C2459,'[1]DBS_KPY Sorumlular'!A:C,3,FALSE)</f>
        <v>Korhan KÖROĞLU</v>
      </c>
      <c r="AA2459" t="str">
        <f>VLOOKUP(K2459,[1]!Tablo3[#Data],2,FALSE)</f>
        <v>Erkan AKDOĞAN</v>
      </c>
    </row>
    <row r="2460" spans="1:27" x14ac:dyDescent="0.25">
      <c r="A2460">
        <v>3812</v>
      </c>
      <c r="B2460" t="s">
        <v>27</v>
      </c>
      <c r="C2460" t="s">
        <v>652</v>
      </c>
      <c r="D2460" t="s">
        <v>653</v>
      </c>
      <c r="G2460" t="s">
        <v>456</v>
      </c>
      <c r="H2460" t="s">
        <v>7807</v>
      </c>
      <c r="I2460" s="4">
        <v>45077.875</v>
      </c>
      <c r="K2460" t="s">
        <v>636</v>
      </c>
      <c r="L2460" s="5"/>
      <c r="M2460" s="5"/>
      <c r="N2460" t="s">
        <v>82</v>
      </c>
      <c r="O2460" t="s">
        <v>7808</v>
      </c>
      <c r="R2460">
        <v>1</v>
      </c>
      <c r="T2460" s="5"/>
      <c r="W2460">
        <v>144</v>
      </c>
      <c r="X2460" t="s">
        <v>463</v>
      </c>
      <c r="Y2460" t="str">
        <f>VLOOKUP(C2460,'[1]DBS_KPY Sorumlular'!A:C,2,FALSE)</f>
        <v>Seyithan İŞİK</v>
      </c>
      <c r="Z2460" t="str">
        <f>VLOOKUP(C2460,'[1]DBS_KPY Sorumlular'!A:C,3,FALSE)</f>
        <v>Korhan KÖROĞLU</v>
      </c>
      <c r="AA2460" t="str">
        <f>VLOOKUP(K2460,[1]!Tablo3[#Data],2,FALSE)</f>
        <v>Erkan AKDOĞAN</v>
      </c>
    </row>
    <row r="2461" spans="1:27" x14ac:dyDescent="0.25">
      <c r="A2461">
        <v>3813</v>
      </c>
      <c r="B2461" t="s">
        <v>27</v>
      </c>
      <c r="C2461" t="s">
        <v>652</v>
      </c>
      <c r="D2461" t="s">
        <v>653</v>
      </c>
      <c r="G2461" t="s">
        <v>456</v>
      </c>
      <c r="H2461" t="s">
        <v>7809</v>
      </c>
      <c r="I2461" s="4">
        <v>45443.875</v>
      </c>
      <c r="J2461" t="s">
        <v>7779</v>
      </c>
      <c r="K2461" t="s">
        <v>636</v>
      </c>
      <c r="L2461" s="5"/>
      <c r="M2461" s="5"/>
      <c r="N2461" t="s">
        <v>82</v>
      </c>
      <c r="O2461" t="s">
        <v>7810</v>
      </c>
      <c r="R2461">
        <v>1</v>
      </c>
      <c r="T2461" s="5"/>
      <c r="W2461">
        <v>144</v>
      </c>
      <c r="X2461" t="s">
        <v>463</v>
      </c>
      <c r="Y2461" t="str">
        <f>VLOOKUP(C2461,'[1]DBS_KPY Sorumlular'!A:C,2,FALSE)</f>
        <v>Seyithan İŞİK</v>
      </c>
      <c r="Z2461" t="str">
        <f>VLOOKUP(C2461,'[1]DBS_KPY Sorumlular'!A:C,3,FALSE)</f>
        <v>Korhan KÖROĞLU</v>
      </c>
      <c r="AA2461" t="str">
        <f>VLOOKUP(K2461,[1]!Tablo3[#Data],2,FALSE)</f>
        <v>Erkan AKDOĞAN</v>
      </c>
    </row>
    <row r="2462" spans="1:27" x14ac:dyDescent="0.25">
      <c r="A2462">
        <v>3814</v>
      </c>
      <c r="B2462" t="s">
        <v>27</v>
      </c>
      <c r="C2462" t="s">
        <v>652</v>
      </c>
      <c r="D2462" t="s">
        <v>653</v>
      </c>
      <c r="G2462" t="s">
        <v>456</v>
      </c>
      <c r="H2462" t="s">
        <v>7811</v>
      </c>
      <c r="I2462" s="4">
        <v>45443.875</v>
      </c>
      <c r="K2462" t="s">
        <v>636</v>
      </c>
      <c r="L2462" s="5"/>
      <c r="M2462" s="5"/>
      <c r="N2462" t="s">
        <v>82</v>
      </c>
      <c r="O2462" t="s">
        <v>7812</v>
      </c>
      <c r="R2462">
        <v>1</v>
      </c>
      <c r="T2462" s="5"/>
      <c r="W2462">
        <v>144</v>
      </c>
      <c r="X2462" t="s">
        <v>463</v>
      </c>
      <c r="Y2462" t="str">
        <f>VLOOKUP(C2462,'[1]DBS_KPY Sorumlular'!A:C,2,FALSE)</f>
        <v>Seyithan İŞİK</v>
      </c>
      <c r="Z2462" t="str">
        <f>VLOOKUP(C2462,'[1]DBS_KPY Sorumlular'!A:C,3,FALSE)</f>
        <v>Korhan KÖROĞLU</v>
      </c>
      <c r="AA2462" t="str">
        <f>VLOOKUP(K2462,[1]!Tablo3[#Data],2,FALSE)</f>
        <v>Erkan AKDOĞAN</v>
      </c>
    </row>
    <row r="2463" spans="1:27" x14ac:dyDescent="0.25">
      <c r="A2463">
        <v>3815</v>
      </c>
      <c r="B2463" t="s">
        <v>27</v>
      </c>
      <c r="C2463" t="s">
        <v>652</v>
      </c>
      <c r="D2463" t="s">
        <v>653</v>
      </c>
      <c r="G2463" t="s">
        <v>456</v>
      </c>
      <c r="H2463" t="s">
        <v>7813</v>
      </c>
      <c r="I2463" s="4">
        <v>43982.875</v>
      </c>
      <c r="K2463" t="s">
        <v>678</v>
      </c>
      <c r="L2463" s="5"/>
      <c r="M2463" s="5"/>
      <c r="N2463" t="s">
        <v>82</v>
      </c>
      <c r="O2463" t="s">
        <v>7814</v>
      </c>
      <c r="R2463">
        <v>1</v>
      </c>
      <c r="T2463" s="5"/>
      <c r="W2463">
        <v>144</v>
      </c>
      <c r="X2463" t="s">
        <v>463</v>
      </c>
      <c r="Y2463" t="str">
        <f>VLOOKUP(C2463,'[1]DBS_KPY Sorumlular'!A:C,2,FALSE)</f>
        <v>Seyithan İŞİK</v>
      </c>
      <c r="Z2463" t="str">
        <f>VLOOKUP(C2463,'[1]DBS_KPY Sorumlular'!A:C,3,FALSE)</f>
        <v>Korhan KÖROĞLU</v>
      </c>
      <c r="AA2463" t="str">
        <f>VLOOKUP(K2463,[1]!Tablo3[#Data],2,FALSE)</f>
        <v>Kadir TOPÇU</v>
      </c>
    </row>
    <row r="2464" spans="1:27" x14ac:dyDescent="0.25">
      <c r="A2464">
        <v>3816</v>
      </c>
      <c r="B2464" t="s">
        <v>27</v>
      </c>
      <c r="C2464" t="s">
        <v>652</v>
      </c>
      <c r="D2464" t="s">
        <v>653</v>
      </c>
      <c r="G2464" t="s">
        <v>456</v>
      </c>
      <c r="H2464" t="s">
        <v>7815</v>
      </c>
      <c r="I2464" s="4">
        <v>43982.875</v>
      </c>
      <c r="K2464" t="s">
        <v>678</v>
      </c>
      <c r="L2464" s="5"/>
      <c r="M2464" s="5"/>
      <c r="N2464" t="s">
        <v>82</v>
      </c>
      <c r="O2464" t="s">
        <v>7816</v>
      </c>
      <c r="R2464">
        <v>1</v>
      </c>
      <c r="T2464" s="5"/>
      <c r="W2464">
        <v>144</v>
      </c>
      <c r="X2464" t="s">
        <v>463</v>
      </c>
      <c r="Y2464" t="str">
        <f>VLOOKUP(C2464,'[1]DBS_KPY Sorumlular'!A:C,2,FALSE)</f>
        <v>Seyithan İŞİK</v>
      </c>
      <c r="Z2464" t="str">
        <f>VLOOKUP(C2464,'[1]DBS_KPY Sorumlular'!A:C,3,FALSE)</f>
        <v>Korhan KÖROĞLU</v>
      </c>
      <c r="AA2464" t="str">
        <f>VLOOKUP(K2464,[1]!Tablo3[#Data],2,FALSE)</f>
        <v>Kadir TOPÇU</v>
      </c>
    </row>
    <row r="2465" spans="1:27" x14ac:dyDescent="0.25">
      <c r="A2465">
        <v>3817</v>
      </c>
      <c r="B2465" t="s">
        <v>27</v>
      </c>
      <c r="C2465" t="s">
        <v>652</v>
      </c>
      <c r="D2465" t="s">
        <v>653</v>
      </c>
      <c r="G2465" t="s">
        <v>456</v>
      </c>
      <c r="H2465" t="s">
        <v>7817</v>
      </c>
      <c r="I2465" s="4">
        <v>43982.875</v>
      </c>
      <c r="K2465" t="s">
        <v>678</v>
      </c>
      <c r="L2465" s="5"/>
      <c r="M2465" s="5"/>
      <c r="N2465" t="s">
        <v>82</v>
      </c>
      <c r="O2465" t="s">
        <v>7818</v>
      </c>
      <c r="R2465">
        <v>1</v>
      </c>
      <c r="T2465" s="5"/>
      <c r="W2465">
        <v>144</v>
      </c>
      <c r="X2465" t="s">
        <v>463</v>
      </c>
      <c r="Y2465" t="str">
        <f>VLOOKUP(C2465,'[1]DBS_KPY Sorumlular'!A:C,2,FALSE)</f>
        <v>Seyithan İŞİK</v>
      </c>
      <c r="Z2465" t="str">
        <f>VLOOKUP(C2465,'[1]DBS_KPY Sorumlular'!A:C,3,FALSE)</f>
        <v>Korhan KÖROĞLU</v>
      </c>
      <c r="AA2465" t="str">
        <f>VLOOKUP(K2465,[1]!Tablo3[#Data],2,FALSE)</f>
        <v>Kadir TOPÇU</v>
      </c>
    </row>
    <row r="2466" spans="1:27" x14ac:dyDescent="0.25">
      <c r="A2466">
        <v>3818</v>
      </c>
      <c r="B2466" t="s">
        <v>27</v>
      </c>
      <c r="C2466" t="s">
        <v>652</v>
      </c>
      <c r="D2466" t="s">
        <v>653</v>
      </c>
      <c r="G2466" t="s">
        <v>456</v>
      </c>
      <c r="H2466" t="s">
        <v>7819</v>
      </c>
      <c r="I2466" s="4">
        <v>44347.875</v>
      </c>
      <c r="K2466" t="s">
        <v>678</v>
      </c>
      <c r="L2466" s="5"/>
      <c r="M2466" s="5"/>
      <c r="N2466" t="s">
        <v>82</v>
      </c>
      <c r="O2466" t="s">
        <v>7820</v>
      </c>
      <c r="R2466">
        <v>1</v>
      </c>
      <c r="T2466" s="5"/>
      <c r="W2466">
        <v>144</v>
      </c>
      <c r="X2466" t="s">
        <v>463</v>
      </c>
      <c r="Y2466" t="str">
        <f>VLOOKUP(C2466,'[1]DBS_KPY Sorumlular'!A:C,2,FALSE)</f>
        <v>Seyithan İŞİK</v>
      </c>
      <c r="Z2466" t="str">
        <f>VLOOKUP(C2466,'[1]DBS_KPY Sorumlular'!A:C,3,FALSE)</f>
        <v>Korhan KÖROĞLU</v>
      </c>
      <c r="AA2466" t="str">
        <f>VLOOKUP(K2466,[1]!Tablo3[#Data],2,FALSE)</f>
        <v>Kadir TOPÇU</v>
      </c>
    </row>
    <row r="2467" spans="1:27" x14ac:dyDescent="0.25">
      <c r="A2467">
        <v>3819</v>
      </c>
      <c r="B2467" t="s">
        <v>27</v>
      </c>
      <c r="C2467" t="s">
        <v>652</v>
      </c>
      <c r="D2467" t="s">
        <v>653</v>
      </c>
      <c r="G2467" t="s">
        <v>456</v>
      </c>
      <c r="H2467" t="s">
        <v>7821</v>
      </c>
      <c r="I2467" s="4">
        <v>44712.875</v>
      </c>
      <c r="J2467" t="s">
        <v>7822</v>
      </c>
      <c r="K2467" t="s">
        <v>678</v>
      </c>
      <c r="L2467" s="5"/>
      <c r="M2467" s="5"/>
      <c r="N2467" t="s">
        <v>82</v>
      </c>
      <c r="O2467" t="s">
        <v>7823</v>
      </c>
      <c r="R2467">
        <v>1</v>
      </c>
      <c r="T2467" s="5"/>
      <c r="W2467">
        <v>144</v>
      </c>
      <c r="X2467" t="s">
        <v>463</v>
      </c>
      <c r="Y2467" t="str">
        <f>VLOOKUP(C2467,'[1]DBS_KPY Sorumlular'!A:C,2,FALSE)</f>
        <v>Seyithan İŞİK</v>
      </c>
      <c r="Z2467" t="str">
        <f>VLOOKUP(C2467,'[1]DBS_KPY Sorumlular'!A:C,3,FALSE)</f>
        <v>Korhan KÖROĞLU</v>
      </c>
      <c r="AA2467" t="str">
        <f>VLOOKUP(K2467,[1]!Tablo3[#Data],2,FALSE)</f>
        <v>Kadir TOPÇU</v>
      </c>
    </row>
    <row r="2468" spans="1:27" x14ac:dyDescent="0.25">
      <c r="A2468">
        <v>3820</v>
      </c>
      <c r="B2468" t="s">
        <v>27</v>
      </c>
      <c r="C2468" t="s">
        <v>652</v>
      </c>
      <c r="D2468" t="s">
        <v>653</v>
      </c>
      <c r="G2468" t="s">
        <v>456</v>
      </c>
      <c r="H2468" t="s">
        <v>7824</v>
      </c>
      <c r="I2468" s="4">
        <v>45077.875</v>
      </c>
      <c r="K2468" t="s">
        <v>678</v>
      </c>
      <c r="L2468" s="5"/>
      <c r="M2468" s="5"/>
      <c r="N2468" t="s">
        <v>82</v>
      </c>
      <c r="O2468" t="s">
        <v>7825</v>
      </c>
      <c r="R2468">
        <v>1</v>
      </c>
      <c r="T2468" s="5"/>
      <c r="W2468">
        <v>144</v>
      </c>
      <c r="X2468" t="s">
        <v>463</v>
      </c>
      <c r="Y2468" t="str">
        <f>VLOOKUP(C2468,'[1]DBS_KPY Sorumlular'!A:C,2,FALSE)</f>
        <v>Seyithan İŞİK</v>
      </c>
      <c r="Z2468" t="str">
        <f>VLOOKUP(C2468,'[1]DBS_KPY Sorumlular'!A:C,3,FALSE)</f>
        <v>Korhan KÖROĞLU</v>
      </c>
      <c r="AA2468" t="str">
        <f>VLOOKUP(K2468,[1]!Tablo3[#Data],2,FALSE)</f>
        <v>Kadir TOPÇU</v>
      </c>
    </row>
    <row r="2469" spans="1:27" x14ac:dyDescent="0.25">
      <c r="A2469">
        <v>3821</v>
      </c>
      <c r="B2469" t="s">
        <v>27</v>
      </c>
      <c r="C2469" t="s">
        <v>652</v>
      </c>
      <c r="D2469" t="s">
        <v>653</v>
      </c>
      <c r="G2469" t="s">
        <v>456</v>
      </c>
      <c r="H2469" t="s">
        <v>7826</v>
      </c>
      <c r="I2469" s="4">
        <v>45077.875</v>
      </c>
      <c r="J2469" t="s">
        <v>7822</v>
      </c>
      <c r="K2469" t="s">
        <v>678</v>
      </c>
      <c r="L2469" s="5"/>
      <c r="M2469" s="5"/>
      <c r="N2469" t="s">
        <v>82</v>
      </c>
      <c r="O2469" t="s">
        <v>7827</v>
      </c>
      <c r="R2469">
        <v>1</v>
      </c>
      <c r="T2469" s="5"/>
      <c r="W2469">
        <v>144</v>
      </c>
      <c r="X2469" t="s">
        <v>463</v>
      </c>
      <c r="Y2469" t="str">
        <f>VLOOKUP(C2469,'[1]DBS_KPY Sorumlular'!A:C,2,FALSE)</f>
        <v>Seyithan İŞİK</v>
      </c>
      <c r="Z2469" t="str">
        <f>VLOOKUP(C2469,'[1]DBS_KPY Sorumlular'!A:C,3,FALSE)</f>
        <v>Korhan KÖROĞLU</v>
      </c>
      <c r="AA2469" t="str">
        <f>VLOOKUP(K2469,[1]!Tablo3[#Data],2,FALSE)</f>
        <v>Kadir TOPÇU</v>
      </c>
    </row>
    <row r="2470" spans="1:27" x14ac:dyDescent="0.25">
      <c r="A2470">
        <v>3822</v>
      </c>
      <c r="B2470" t="s">
        <v>27</v>
      </c>
      <c r="C2470" t="s">
        <v>652</v>
      </c>
      <c r="D2470" t="s">
        <v>653</v>
      </c>
      <c r="G2470" t="s">
        <v>456</v>
      </c>
      <c r="H2470" t="s">
        <v>7828</v>
      </c>
      <c r="I2470" s="4">
        <v>44712.875</v>
      </c>
      <c r="J2470" t="s">
        <v>7691</v>
      </c>
      <c r="K2470" t="s">
        <v>743</v>
      </c>
      <c r="L2470" s="5"/>
      <c r="M2470" s="5"/>
      <c r="N2470" t="s">
        <v>82</v>
      </c>
      <c r="O2470" t="s">
        <v>7829</v>
      </c>
      <c r="R2470">
        <v>1</v>
      </c>
      <c r="T2470" s="5"/>
      <c r="W2470">
        <v>144</v>
      </c>
      <c r="X2470" t="s">
        <v>463</v>
      </c>
      <c r="Y2470" t="str">
        <f>VLOOKUP(C2470,'[1]DBS_KPY Sorumlular'!A:C,2,FALSE)</f>
        <v>Seyithan İŞİK</v>
      </c>
      <c r="Z2470" t="str">
        <f>VLOOKUP(C2470,'[1]DBS_KPY Sorumlular'!A:C,3,FALSE)</f>
        <v>Korhan KÖROĞLU</v>
      </c>
      <c r="AA2470" t="str">
        <f>VLOOKUP(K2470,[1]!Tablo3[#Data],2,FALSE)</f>
        <v>Kadir TOPÇU</v>
      </c>
    </row>
    <row r="2471" spans="1:27" x14ac:dyDescent="0.25">
      <c r="A2471">
        <v>3823</v>
      </c>
      <c r="B2471" t="s">
        <v>27</v>
      </c>
      <c r="C2471" t="s">
        <v>652</v>
      </c>
      <c r="D2471" t="s">
        <v>653</v>
      </c>
      <c r="G2471" t="s">
        <v>456</v>
      </c>
      <c r="H2471" t="s">
        <v>7830</v>
      </c>
      <c r="I2471" s="4">
        <v>45443.875</v>
      </c>
      <c r="K2471" t="s">
        <v>743</v>
      </c>
      <c r="L2471" s="5"/>
      <c r="M2471" s="5"/>
      <c r="N2471" t="s">
        <v>82</v>
      </c>
      <c r="O2471" t="s">
        <v>7829</v>
      </c>
      <c r="R2471">
        <v>1</v>
      </c>
      <c r="T2471" s="5"/>
      <c r="W2471">
        <v>144</v>
      </c>
      <c r="X2471" t="s">
        <v>463</v>
      </c>
      <c r="Y2471" t="str">
        <f>VLOOKUP(C2471,'[1]DBS_KPY Sorumlular'!A:C,2,FALSE)</f>
        <v>Seyithan İŞİK</v>
      </c>
      <c r="Z2471" t="str">
        <f>VLOOKUP(C2471,'[1]DBS_KPY Sorumlular'!A:C,3,FALSE)</f>
        <v>Korhan KÖROĞLU</v>
      </c>
      <c r="AA2471" t="str">
        <f>VLOOKUP(K2471,[1]!Tablo3[#Data],2,FALSE)</f>
        <v>Kadir TOPÇU</v>
      </c>
    </row>
    <row r="2472" spans="1:27" x14ac:dyDescent="0.25">
      <c r="A2472">
        <v>3824</v>
      </c>
      <c r="B2472" t="s">
        <v>27</v>
      </c>
      <c r="C2472" t="s">
        <v>652</v>
      </c>
      <c r="D2472" t="s">
        <v>653</v>
      </c>
      <c r="G2472" t="s">
        <v>456</v>
      </c>
      <c r="H2472" t="s">
        <v>7831</v>
      </c>
      <c r="I2472" s="4">
        <v>45443.875</v>
      </c>
      <c r="J2472" t="s">
        <v>7779</v>
      </c>
      <c r="K2472" t="s">
        <v>743</v>
      </c>
      <c r="L2472" s="5"/>
      <c r="M2472" s="5"/>
      <c r="N2472" t="s">
        <v>82</v>
      </c>
      <c r="O2472" t="s">
        <v>7832</v>
      </c>
      <c r="R2472">
        <v>1</v>
      </c>
      <c r="T2472" s="5"/>
      <c r="W2472">
        <v>144</v>
      </c>
      <c r="X2472" t="s">
        <v>463</v>
      </c>
      <c r="Y2472" t="str">
        <f>VLOOKUP(C2472,'[1]DBS_KPY Sorumlular'!A:C,2,FALSE)</f>
        <v>Seyithan İŞİK</v>
      </c>
      <c r="Z2472" t="str">
        <f>VLOOKUP(C2472,'[1]DBS_KPY Sorumlular'!A:C,3,FALSE)</f>
        <v>Korhan KÖROĞLU</v>
      </c>
      <c r="AA2472" t="str">
        <f>VLOOKUP(K2472,[1]!Tablo3[#Data],2,FALSE)</f>
        <v>Kadir TOPÇU</v>
      </c>
    </row>
    <row r="2473" spans="1:27" x14ac:dyDescent="0.25">
      <c r="A2473">
        <v>3825</v>
      </c>
      <c r="B2473" t="s">
        <v>27</v>
      </c>
      <c r="C2473" t="s">
        <v>652</v>
      </c>
      <c r="D2473" t="s">
        <v>653</v>
      </c>
      <c r="G2473" t="s">
        <v>456</v>
      </c>
      <c r="H2473" t="s">
        <v>7833</v>
      </c>
      <c r="I2473" s="4">
        <v>44347.875</v>
      </c>
      <c r="K2473" t="s">
        <v>678</v>
      </c>
      <c r="L2473" s="5"/>
      <c r="M2473" s="5"/>
      <c r="N2473" t="s">
        <v>82</v>
      </c>
      <c r="O2473" t="s">
        <v>7834</v>
      </c>
      <c r="R2473">
        <v>1</v>
      </c>
      <c r="T2473" s="5"/>
      <c r="W2473">
        <v>144</v>
      </c>
      <c r="X2473" t="s">
        <v>463</v>
      </c>
      <c r="Y2473" t="str">
        <f>VLOOKUP(C2473,'[1]DBS_KPY Sorumlular'!A:C,2,FALSE)</f>
        <v>Seyithan İŞİK</v>
      </c>
      <c r="Z2473" t="str">
        <f>VLOOKUP(C2473,'[1]DBS_KPY Sorumlular'!A:C,3,FALSE)</f>
        <v>Korhan KÖROĞLU</v>
      </c>
      <c r="AA2473" t="str">
        <f>VLOOKUP(K2473,[1]!Tablo3[#Data],2,FALSE)</f>
        <v>Kadir TOPÇU</v>
      </c>
    </row>
    <row r="2474" spans="1:27" x14ac:dyDescent="0.25">
      <c r="A2474">
        <v>3826</v>
      </c>
      <c r="B2474" t="s">
        <v>27</v>
      </c>
      <c r="C2474" t="s">
        <v>652</v>
      </c>
      <c r="D2474" t="s">
        <v>653</v>
      </c>
      <c r="G2474" t="s">
        <v>456</v>
      </c>
      <c r="H2474" t="s">
        <v>7835</v>
      </c>
      <c r="I2474" s="4">
        <v>43982.875</v>
      </c>
      <c r="K2474" t="s">
        <v>835</v>
      </c>
      <c r="L2474" s="5"/>
      <c r="M2474" s="5"/>
      <c r="N2474" t="s">
        <v>82</v>
      </c>
      <c r="O2474" t="s">
        <v>7836</v>
      </c>
      <c r="R2474">
        <v>1</v>
      </c>
      <c r="T2474" s="5"/>
      <c r="W2474">
        <v>144</v>
      </c>
      <c r="X2474" t="s">
        <v>463</v>
      </c>
      <c r="Y2474" t="str">
        <f>VLOOKUP(C2474,'[1]DBS_KPY Sorumlular'!A:C,2,FALSE)</f>
        <v>Seyithan İŞİK</v>
      </c>
      <c r="Z2474" t="str">
        <f>VLOOKUP(C2474,'[1]DBS_KPY Sorumlular'!A:C,3,FALSE)</f>
        <v>Korhan KÖROĞLU</v>
      </c>
      <c r="AA2474" t="str">
        <f>VLOOKUP(K2474,[1]!Tablo3[#Data],2,FALSE)</f>
        <v>Kadir TOPÇU</v>
      </c>
    </row>
    <row r="2475" spans="1:27" x14ac:dyDescent="0.25">
      <c r="A2475">
        <v>3827</v>
      </c>
      <c r="B2475" t="s">
        <v>27</v>
      </c>
      <c r="C2475" t="s">
        <v>652</v>
      </c>
      <c r="D2475" t="s">
        <v>653</v>
      </c>
      <c r="G2475" t="s">
        <v>456</v>
      </c>
      <c r="H2475" t="s">
        <v>7837</v>
      </c>
      <c r="I2475" s="4">
        <v>43982.875</v>
      </c>
      <c r="K2475" t="s">
        <v>835</v>
      </c>
      <c r="L2475" s="5"/>
      <c r="M2475" s="5"/>
      <c r="N2475" t="s">
        <v>82</v>
      </c>
      <c r="O2475" t="s">
        <v>7838</v>
      </c>
      <c r="R2475">
        <v>1</v>
      </c>
      <c r="T2475" s="5"/>
      <c r="W2475">
        <v>144</v>
      </c>
      <c r="X2475" t="s">
        <v>463</v>
      </c>
      <c r="Y2475" t="str">
        <f>VLOOKUP(C2475,'[1]DBS_KPY Sorumlular'!A:C,2,FALSE)</f>
        <v>Seyithan İŞİK</v>
      </c>
      <c r="Z2475" t="str">
        <f>VLOOKUP(C2475,'[1]DBS_KPY Sorumlular'!A:C,3,FALSE)</f>
        <v>Korhan KÖROĞLU</v>
      </c>
      <c r="AA2475" t="str">
        <f>VLOOKUP(K2475,[1]!Tablo3[#Data],2,FALSE)</f>
        <v>Kadir TOPÇU</v>
      </c>
    </row>
    <row r="2476" spans="1:27" x14ac:dyDescent="0.25">
      <c r="A2476">
        <v>3828</v>
      </c>
      <c r="B2476" t="s">
        <v>27</v>
      </c>
      <c r="C2476" t="s">
        <v>652</v>
      </c>
      <c r="D2476" t="s">
        <v>653</v>
      </c>
      <c r="G2476" t="s">
        <v>456</v>
      </c>
      <c r="H2476" t="s">
        <v>7839</v>
      </c>
      <c r="I2476" s="4">
        <v>43982.875</v>
      </c>
      <c r="K2476" t="s">
        <v>678</v>
      </c>
      <c r="L2476" s="5"/>
      <c r="M2476" s="5"/>
      <c r="N2476" t="s">
        <v>82</v>
      </c>
      <c r="O2476" t="s">
        <v>7840</v>
      </c>
      <c r="R2476">
        <v>1</v>
      </c>
      <c r="T2476" s="5"/>
      <c r="W2476">
        <v>144</v>
      </c>
      <c r="X2476" t="s">
        <v>463</v>
      </c>
      <c r="Y2476" t="str">
        <f>VLOOKUP(C2476,'[1]DBS_KPY Sorumlular'!A:C,2,FALSE)</f>
        <v>Seyithan İŞİK</v>
      </c>
      <c r="Z2476" t="str">
        <f>VLOOKUP(C2476,'[1]DBS_KPY Sorumlular'!A:C,3,FALSE)</f>
        <v>Korhan KÖROĞLU</v>
      </c>
      <c r="AA2476" t="str">
        <f>VLOOKUP(K2476,[1]!Tablo3[#Data],2,FALSE)</f>
        <v>Kadir TOPÇU</v>
      </c>
    </row>
    <row r="2477" spans="1:27" x14ac:dyDescent="0.25">
      <c r="A2477">
        <v>3829</v>
      </c>
      <c r="B2477" t="s">
        <v>27</v>
      </c>
      <c r="C2477" t="s">
        <v>652</v>
      </c>
      <c r="D2477" t="s">
        <v>653</v>
      </c>
      <c r="G2477" t="s">
        <v>456</v>
      </c>
      <c r="H2477" t="s">
        <v>7841</v>
      </c>
      <c r="I2477" s="4">
        <v>43982.875</v>
      </c>
      <c r="K2477" t="s">
        <v>835</v>
      </c>
      <c r="L2477" s="5"/>
      <c r="M2477" s="5"/>
      <c r="N2477" t="s">
        <v>82</v>
      </c>
      <c r="O2477" t="s">
        <v>7842</v>
      </c>
      <c r="R2477">
        <v>1</v>
      </c>
      <c r="T2477" s="5"/>
      <c r="W2477">
        <v>144</v>
      </c>
      <c r="X2477" t="s">
        <v>463</v>
      </c>
      <c r="Y2477" t="str">
        <f>VLOOKUP(C2477,'[1]DBS_KPY Sorumlular'!A:C,2,FALSE)</f>
        <v>Seyithan İŞİK</v>
      </c>
      <c r="Z2477" t="str">
        <f>VLOOKUP(C2477,'[1]DBS_KPY Sorumlular'!A:C,3,FALSE)</f>
        <v>Korhan KÖROĞLU</v>
      </c>
      <c r="AA2477" t="str">
        <f>VLOOKUP(K2477,[1]!Tablo3[#Data],2,FALSE)</f>
        <v>Kadir TOPÇU</v>
      </c>
    </row>
    <row r="2478" spans="1:27" x14ac:dyDescent="0.25">
      <c r="A2478">
        <v>3830</v>
      </c>
      <c r="B2478" t="s">
        <v>27</v>
      </c>
      <c r="C2478" t="s">
        <v>652</v>
      </c>
      <c r="D2478" t="s">
        <v>653</v>
      </c>
      <c r="G2478" t="s">
        <v>456</v>
      </c>
      <c r="H2478" t="s">
        <v>7843</v>
      </c>
      <c r="I2478" s="4">
        <v>43982.875</v>
      </c>
      <c r="K2478" t="s">
        <v>835</v>
      </c>
      <c r="L2478" s="5"/>
      <c r="M2478" s="5"/>
      <c r="N2478" t="s">
        <v>82</v>
      </c>
      <c r="O2478" t="s">
        <v>7844</v>
      </c>
      <c r="R2478">
        <v>1</v>
      </c>
      <c r="T2478" s="5"/>
      <c r="W2478">
        <v>144</v>
      </c>
      <c r="X2478" t="s">
        <v>463</v>
      </c>
      <c r="Y2478" t="str">
        <f>VLOOKUP(C2478,'[1]DBS_KPY Sorumlular'!A:C,2,FALSE)</f>
        <v>Seyithan İŞİK</v>
      </c>
      <c r="Z2478" t="str">
        <f>VLOOKUP(C2478,'[1]DBS_KPY Sorumlular'!A:C,3,FALSE)</f>
        <v>Korhan KÖROĞLU</v>
      </c>
      <c r="AA2478" t="str">
        <f>VLOOKUP(K2478,[1]!Tablo3[#Data],2,FALSE)</f>
        <v>Kadir TOPÇU</v>
      </c>
    </row>
    <row r="2479" spans="1:27" x14ac:dyDescent="0.25">
      <c r="A2479">
        <v>3831</v>
      </c>
      <c r="B2479" t="s">
        <v>27</v>
      </c>
      <c r="C2479" t="s">
        <v>652</v>
      </c>
      <c r="D2479" t="s">
        <v>653</v>
      </c>
      <c r="G2479" t="s">
        <v>456</v>
      </c>
      <c r="H2479" t="s">
        <v>7845</v>
      </c>
      <c r="I2479" s="4">
        <v>44347.875</v>
      </c>
      <c r="K2479" t="s">
        <v>835</v>
      </c>
      <c r="L2479" s="5"/>
      <c r="M2479" s="5"/>
      <c r="N2479" t="s">
        <v>82</v>
      </c>
      <c r="O2479" t="s">
        <v>7846</v>
      </c>
      <c r="R2479">
        <v>1</v>
      </c>
      <c r="T2479" s="5"/>
      <c r="W2479">
        <v>144</v>
      </c>
      <c r="X2479" t="s">
        <v>463</v>
      </c>
      <c r="Y2479" t="str">
        <f>VLOOKUP(C2479,'[1]DBS_KPY Sorumlular'!A:C,2,FALSE)</f>
        <v>Seyithan İŞİK</v>
      </c>
      <c r="Z2479" t="str">
        <f>VLOOKUP(C2479,'[1]DBS_KPY Sorumlular'!A:C,3,FALSE)</f>
        <v>Korhan KÖROĞLU</v>
      </c>
      <c r="AA2479" t="str">
        <f>VLOOKUP(K2479,[1]!Tablo3[#Data],2,FALSE)</f>
        <v>Kadir TOPÇU</v>
      </c>
    </row>
    <row r="2480" spans="1:27" x14ac:dyDescent="0.25">
      <c r="A2480">
        <v>3832</v>
      </c>
      <c r="B2480" t="s">
        <v>27</v>
      </c>
      <c r="C2480" t="s">
        <v>652</v>
      </c>
      <c r="D2480" t="s">
        <v>653</v>
      </c>
      <c r="G2480" t="s">
        <v>456</v>
      </c>
      <c r="H2480" t="s">
        <v>7847</v>
      </c>
      <c r="I2480" s="4">
        <v>44347.875</v>
      </c>
      <c r="K2480" t="s">
        <v>835</v>
      </c>
      <c r="L2480" s="5"/>
      <c r="M2480" s="5"/>
      <c r="N2480" t="s">
        <v>82</v>
      </c>
      <c r="O2480" t="s">
        <v>7848</v>
      </c>
      <c r="R2480">
        <v>1</v>
      </c>
      <c r="T2480" s="5"/>
      <c r="W2480">
        <v>144</v>
      </c>
      <c r="X2480" t="s">
        <v>463</v>
      </c>
      <c r="Y2480" t="str">
        <f>VLOOKUP(C2480,'[1]DBS_KPY Sorumlular'!A:C,2,FALSE)</f>
        <v>Seyithan İŞİK</v>
      </c>
      <c r="Z2480" t="str">
        <f>VLOOKUP(C2480,'[1]DBS_KPY Sorumlular'!A:C,3,FALSE)</f>
        <v>Korhan KÖROĞLU</v>
      </c>
      <c r="AA2480" t="str">
        <f>VLOOKUP(K2480,[1]!Tablo3[#Data],2,FALSE)</f>
        <v>Kadir TOPÇU</v>
      </c>
    </row>
    <row r="2481" spans="1:27" x14ac:dyDescent="0.25">
      <c r="A2481">
        <v>3833</v>
      </c>
      <c r="B2481" t="s">
        <v>27</v>
      </c>
      <c r="C2481" t="s">
        <v>652</v>
      </c>
      <c r="D2481" t="s">
        <v>653</v>
      </c>
      <c r="G2481" t="s">
        <v>456</v>
      </c>
      <c r="H2481" t="s">
        <v>7849</v>
      </c>
      <c r="I2481" s="4">
        <v>45443.875</v>
      </c>
      <c r="J2481" t="s">
        <v>7779</v>
      </c>
      <c r="K2481" t="s">
        <v>835</v>
      </c>
      <c r="L2481" s="5"/>
      <c r="M2481" s="5"/>
      <c r="N2481" t="s">
        <v>82</v>
      </c>
      <c r="O2481" t="s">
        <v>7850</v>
      </c>
      <c r="R2481">
        <v>1</v>
      </c>
      <c r="T2481" s="5"/>
      <c r="W2481">
        <v>144</v>
      </c>
      <c r="X2481" t="s">
        <v>463</v>
      </c>
      <c r="Y2481" t="str">
        <f>VLOOKUP(C2481,'[1]DBS_KPY Sorumlular'!A:C,2,FALSE)</f>
        <v>Seyithan İŞİK</v>
      </c>
      <c r="Z2481" t="str">
        <f>VLOOKUP(C2481,'[1]DBS_KPY Sorumlular'!A:C,3,FALSE)</f>
        <v>Korhan KÖROĞLU</v>
      </c>
      <c r="AA2481" t="str">
        <f>VLOOKUP(K2481,[1]!Tablo3[#Data],2,FALSE)</f>
        <v>Kadir TOPÇU</v>
      </c>
    </row>
    <row r="2482" spans="1:27" x14ac:dyDescent="0.25">
      <c r="A2482">
        <v>3834</v>
      </c>
      <c r="B2482" t="s">
        <v>27</v>
      </c>
      <c r="C2482" t="s">
        <v>652</v>
      </c>
      <c r="D2482" t="s">
        <v>653</v>
      </c>
      <c r="G2482" t="s">
        <v>456</v>
      </c>
      <c r="H2482" t="s">
        <v>7851</v>
      </c>
      <c r="I2482" s="4">
        <v>43616.875</v>
      </c>
      <c r="K2482" t="s">
        <v>853</v>
      </c>
      <c r="L2482" s="5"/>
      <c r="M2482" s="5"/>
      <c r="N2482" t="s">
        <v>82</v>
      </c>
      <c r="O2482" t="s">
        <v>7852</v>
      </c>
      <c r="R2482">
        <v>1</v>
      </c>
      <c r="T2482" s="5"/>
      <c r="W2482">
        <v>144</v>
      </c>
      <c r="X2482" t="s">
        <v>463</v>
      </c>
      <c r="Y2482" t="str">
        <f>VLOOKUP(C2482,'[1]DBS_KPY Sorumlular'!A:C,2,FALSE)</f>
        <v>Seyithan İŞİK</v>
      </c>
      <c r="Z2482" t="str">
        <f>VLOOKUP(C2482,'[1]DBS_KPY Sorumlular'!A:C,3,FALSE)</f>
        <v>Korhan KÖROĞLU</v>
      </c>
      <c r="AA2482" t="str">
        <f>VLOOKUP(K2482,[1]!Tablo3[#Data],2,FALSE)</f>
        <v>Erkan AKDOĞAN</v>
      </c>
    </row>
    <row r="2483" spans="1:27" x14ac:dyDescent="0.25">
      <c r="A2483">
        <v>3835</v>
      </c>
      <c r="B2483" t="s">
        <v>27</v>
      </c>
      <c r="C2483" t="s">
        <v>652</v>
      </c>
      <c r="D2483" t="s">
        <v>653</v>
      </c>
      <c r="G2483" t="s">
        <v>456</v>
      </c>
      <c r="H2483" t="s">
        <v>7853</v>
      </c>
      <c r="I2483" s="4">
        <v>44347.875</v>
      </c>
      <c r="K2483" t="s">
        <v>853</v>
      </c>
      <c r="L2483" s="5"/>
      <c r="M2483" s="5"/>
      <c r="N2483" t="s">
        <v>82</v>
      </c>
      <c r="O2483" t="s">
        <v>7854</v>
      </c>
      <c r="R2483">
        <v>1</v>
      </c>
      <c r="T2483" s="5"/>
      <c r="W2483">
        <v>144</v>
      </c>
      <c r="X2483" t="s">
        <v>463</v>
      </c>
      <c r="Y2483" t="str">
        <f>VLOOKUP(C2483,'[1]DBS_KPY Sorumlular'!A:C,2,FALSE)</f>
        <v>Seyithan İŞİK</v>
      </c>
      <c r="Z2483" t="str">
        <f>VLOOKUP(C2483,'[1]DBS_KPY Sorumlular'!A:C,3,FALSE)</f>
        <v>Korhan KÖROĞLU</v>
      </c>
      <c r="AA2483" t="str">
        <f>VLOOKUP(K2483,[1]!Tablo3[#Data],2,FALSE)</f>
        <v>Erkan AKDOĞAN</v>
      </c>
    </row>
    <row r="2484" spans="1:27" x14ac:dyDescent="0.25">
      <c r="A2484">
        <v>3836</v>
      </c>
      <c r="B2484" t="s">
        <v>27</v>
      </c>
      <c r="C2484" t="s">
        <v>652</v>
      </c>
      <c r="D2484" t="s">
        <v>653</v>
      </c>
      <c r="G2484" t="s">
        <v>456</v>
      </c>
      <c r="H2484" t="s">
        <v>7855</v>
      </c>
      <c r="I2484" s="4">
        <v>45077.875</v>
      </c>
      <c r="K2484" t="s">
        <v>860</v>
      </c>
      <c r="L2484" s="5"/>
      <c r="M2484" s="5"/>
      <c r="N2484" t="s">
        <v>82</v>
      </c>
      <c r="O2484" t="s">
        <v>7856</v>
      </c>
      <c r="R2484">
        <v>1</v>
      </c>
      <c r="T2484" s="5"/>
      <c r="W2484">
        <v>144</v>
      </c>
      <c r="X2484" t="s">
        <v>463</v>
      </c>
      <c r="Y2484" t="str">
        <f>VLOOKUP(C2484,'[1]DBS_KPY Sorumlular'!A:C,2,FALSE)</f>
        <v>Seyithan İŞİK</v>
      </c>
      <c r="Z2484" t="str">
        <f>VLOOKUP(C2484,'[1]DBS_KPY Sorumlular'!A:C,3,FALSE)</f>
        <v>Korhan KÖROĞLU</v>
      </c>
      <c r="AA2484" t="str">
        <f>VLOOKUP(K2484,[1]!Tablo3[#Data],2,FALSE)</f>
        <v>Erkan AKDOĞAN</v>
      </c>
    </row>
    <row r="2485" spans="1:27" x14ac:dyDescent="0.25">
      <c r="A2485">
        <v>3837</v>
      </c>
      <c r="B2485" t="s">
        <v>27</v>
      </c>
      <c r="C2485" t="s">
        <v>652</v>
      </c>
      <c r="D2485" t="s">
        <v>653</v>
      </c>
      <c r="G2485" t="s">
        <v>456</v>
      </c>
      <c r="H2485" t="s">
        <v>7857</v>
      </c>
      <c r="I2485" s="4">
        <v>45077.875</v>
      </c>
      <c r="K2485" t="s">
        <v>860</v>
      </c>
      <c r="L2485" s="5"/>
      <c r="M2485" s="5"/>
      <c r="N2485" t="s">
        <v>82</v>
      </c>
      <c r="O2485" t="s">
        <v>7858</v>
      </c>
      <c r="R2485">
        <v>1</v>
      </c>
      <c r="T2485" s="5"/>
      <c r="W2485">
        <v>144</v>
      </c>
      <c r="X2485" t="s">
        <v>463</v>
      </c>
      <c r="Y2485" t="str">
        <f>VLOOKUP(C2485,'[1]DBS_KPY Sorumlular'!A:C,2,FALSE)</f>
        <v>Seyithan İŞİK</v>
      </c>
      <c r="Z2485" t="str">
        <f>VLOOKUP(C2485,'[1]DBS_KPY Sorumlular'!A:C,3,FALSE)</f>
        <v>Korhan KÖROĞLU</v>
      </c>
      <c r="AA2485" t="str">
        <f>VLOOKUP(K2485,[1]!Tablo3[#Data],2,FALSE)</f>
        <v>Erkan AKDOĞAN</v>
      </c>
    </row>
    <row r="2486" spans="1:27" x14ac:dyDescent="0.25">
      <c r="A2486">
        <v>3838</v>
      </c>
      <c r="B2486" t="s">
        <v>27</v>
      </c>
      <c r="C2486" t="s">
        <v>652</v>
      </c>
      <c r="D2486" t="s">
        <v>653</v>
      </c>
      <c r="G2486" t="s">
        <v>456</v>
      </c>
      <c r="H2486" t="s">
        <v>7859</v>
      </c>
      <c r="I2486" s="4">
        <v>45077.875</v>
      </c>
      <c r="K2486" t="s">
        <v>860</v>
      </c>
      <c r="L2486" s="5"/>
      <c r="M2486" s="5"/>
      <c r="N2486" t="s">
        <v>82</v>
      </c>
      <c r="O2486" t="s">
        <v>7860</v>
      </c>
      <c r="R2486">
        <v>1</v>
      </c>
      <c r="T2486" s="5"/>
      <c r="W2486">
        <v>144</v>
      </c>
      <c r="X2486" t="s">
        <v>463</v>
      </c>
      <c r="Y2486" t="str">
        <f>VLOOKUP(C2486,'[1]DBS_KPY Sorumlular'!A:C,2,FALSE)</f>
        <v>Seyithan İŞİK</v>
      </c>
      <c r="Z2486" t="str">
        <f>VLOOKUP(C2486,'[1]DBS_KPY Sorumlular'!A:C,3,FALSE)</f>
        <v>Korhan KÖROĞLU</v>
      </c>
      <c r="AA2486" t="str">
        <f>VLOOKUP(K2486,[1]!Tablo3[#Data],2,FALSE)</f>
        <v>Erkan AKDOĞAN</v>
      </c>
    </row>
    <row r="2487" spans="1:27" x14ac:dyDescent="0.25">
      <c r="A2487">
        <v>3839</v>
      </c>
      <c r="B2487" t="s">
        <v>27</v>
      </c>
      <c r="C2487" t="s">
        <v>652</v>
      </c>
      <c r="D2487" t="s">
        <v>653</v>
      </c>
      <c r="G2487" t="s">
        <v>456</v>
      </c>
      <c r="H2487" t="s">
        <v>7861</v>
      </c>
      <c r="I2487" s="4">
        <v>44712.875</v>
      </c>
      <c r="K2487" t="s">
        <v>914</v>
      </c>
      <c r="L2487" s="5"/>
      <c r="M2487" s="5"/>
      <c r="N2487" t="s">
        <v>82</v>
      </c>
      <c r="O2487" t="s">
        <v>7862</v>
      </c>
      <c r="R2487">
        <v>1</v>
      </c>
      <c r="T2487" s="5"/>
      <c r="W2487">
        <v>144</v>
      </c>
      <c r="X2487" t="s">
        <v>463</v>
      </c>
      <c r="Y2487" t="str">
        <f>VLOOKUP(C2487,'[1]DBS_KPY Sorumlular'!A:C,2,FALSE)</f>
        <v>Seyithan İŞİK</v>
      </c>
      <c r="Z2487" t="str">
        <f>VLOOKUP(C2487,'[1]DBS_KPY Sorumlular'!A:C,3,FALSE)</f>
        <v>Korhan KÖROĞLU</v>
      </c>
      <c r="AA2487" t="str">
        <f>VLOOKUP(K2487,[1]!Tablo3[#Data],2,FALSE)</f>
        <v>Tayfun VİÇE</v>
      </c>
    </row>
    <row r="2488" spans="1:27" x14ac:dyDescent="0.25">
      <c r="A2488">
        <v>3840</v>
      </c>
      <c r="B2488" t="s">
        <v>27</v>
      </c>
      <c r="C2488" t="s">
        <v>652</v>
      </c>
      <c r="D2488" t="s">
        <v>653</v>
      </c>
      <c r="G2488" t="s">
        <v>456</v>
      </c>
      <c r="H2488" t="s">
        <v>7863</v>
      </c>
      <c r="I2488" s="4">
        <v>44712.875</v>
      </c>
      <c r="K2488" t="s">
        <v>914</v>
      </c>
      <c r="L2488" s="5"/>
      <c r="M2488" s="5"/>
      <c r="N2488" t="s">
        <v>82</v>
      </c>
      <c r="O2488" t="s">
        <v>7864</v>
      </c>
      <c r="R2488">
        <v>1</v>
      </c>
      <c r="T2488" s="5"/>
      <c r="W2488">
        <v>144</v>
      </c>
      <c r="X2488" t="s">
        <v>463</v>
      </c>
      <c r="Y2488" t="str">
        <f>VLOOKUP(C2488,'[1]DBS_KPY Sorumlular'!A:C,2,FALSE)</f>
        <v>Seyithan İŞİK</v>
      </c>
      <c r="Z2488" t="str">
        <f>VLOOKUP(C2488,'[1]DBS_KPY Sorumlular'!A:C,3,FALSE)</f>
        <v>Korhan KÖROĞLU</v>
      </c>
      <c r="AA2488" t="str">
        <f>VLOOKUP(K2488,[1]!Tablo3[#Data],2,FALSE)</f>
        <v>Tayfun VİÇE</v>
      </c>
    </row>
    <row r="2489" spans="1:27" x14ac:dyDescent="0.25">
      <c r="A2489">
        <v>3841</v>
      </c>
      <c r="B2489" t="s">
        <v>27</v>
      </c>
      <c r="C2489" t="s">
        <v>652</v>
      </c>
      <c r="D2489" t="s">
        <v>653</v>
      </c>
      <c r="G2489" t="s">
        <v>456</v>
      </c>
      <c r="H2489" t="s">
        <v>7865</v>
      </c>
      <c r="I2489" s="4">
        <v>44712.875</v>
      </c>
      <c r="K2489" t="s">
        <v>914</v>
      </c>
      <c r="L2489" s="5"/>
      <c r="M2489" s="5"/>
      <c r="N2489" t="s">
        <v>82</v>
      </c>
      <c r="O2489" t="s">
        <v>7866</v>
      </c>
      <c r="R2489">
        <v>1</v>
      </c>
      <c r="T2489" s="5"/>
      <c r="W2489">
        <v>144</v>
      </c>
      <c r="X2489" t="s">
        <v>463</v>
      </c>
      <c r="Y2489" t="str">
        <f>VLOOKUP(C2489,'[1]DBS_KPY Sorumlular'!A:C,2,FALSE)</f>
        <v>Seyithan İŞİK</v>
      </c>
      <c r="Z2489" t="str">
        <f>VLOOKUP(C2489,'[1]DBS_KPY Sorumlular'!A:C,3,FALSE)</f>
        <v>Korhan KÖROĞLU</v>
      </c>
      <c r="AA2489" t="str">
        <f>VLOOKUP(K2489,[1]!Tablo3[#Data],2,FALSE)</f>
        <v>Tayfun VİÇE</v>
      </c>
    </row>
    <row r="2490" spans="1:27" x14ac:dyDescent="0.25">
      <c r="A2490">
        <v>3842</v>
      </c>
      <c r="B2490" t="s">
        <v>27</v>
      </c>
      <c r="C2490" t="s">
        <v>652</v>
      </c>
      <c r="D2490" t="s">
        <v>653</v>
      </c>
      <c r="G2490" t="s">
        <v>456</v>
      </c>
      <c r="H2490" t="s">
        <v>7867</v>
      </c>
      <c r="I2490" s="4">
        <v>45077.875</v>
      </c>
      <c r="K2490" t="s">
        <v>914</v>
      </c>
      <c r="L2490" s="5"/>
      <c r="M2490" s="5"/>
      <c r="N2490" t="s">
        <v>82</v>
      </c>
      <c r="O2490" t="s">
        <v>7868</v>
      </c>
      <c r="R2490">
        <v>1</v>
      </c>
      <c r="T2490" s="5"/>
      <c r="W2490">
        <v>144</v>
      </c>
      <c r="X2490" t="s">
        <v>463</v>
      </c>
      <c r="Y2490" t="str">
        <f>VLOOKUP(C2490,'[1]DBS_KPY Sorumlular'!A:C,2,FALSE)</f>
        <v>Seyithan İŞİK</v>
      </c>
      <c r="Z2490" t="str">
        <f>VLOOKUP(C2490,'[1]DBS_KPY Sorumlular'!A:C,3,FALSE)</f>
        <v>Korhan KÖROĞLU</v>
      </c>
      <c r="AA2490" t="str">
        <f>VLOOKUP(K2490,[1]!Tablo3[#Data],2,FALSE)</f>
        <v>Tayfun VİÇE</v>
      </c>
    </row>
    <row r="2491" spans="1:27" x14ac:dyDescent="0.25">
      <c r="A2491">
        <v>3843</v>
      </c>
      <c r="B2491" t="s">
        <v>27</v>
      </c>
      <c r="C2491" t="s">
        <v>652</v>
      </c>
      <c r="D2491" t="s">
        <v>653</v>
      </c>
      <c r="G2491" t="s">
        <v>456</v>
      </c>
      <c r="H2491" t="s">
        <v>7869</v>
      </c>
      <c r="I2491" s="4">
        <v>45077.875</v>
      </c>
      <c r="K2491" t="s">
        <v>1157</v>
      </c>
      <c r="L2491" s="5"/>
      <c r="M2491" s="5"/>
      <c r="N2491" t="s">
        <v>82</v>
      </c>
      <c r="O2491" t="s">
        <v>7870</v>
      </c>
      <c r="R2491">
        <v>1</v>
      </c>
      <c r="T2491" s="5"/>
      <c r="W2491">
        <v>144</v>
      </c>
      <c r="X2491" t="s">
        <v>463</v>
      </c>
      <c r="Y2491" t="str">
        <f>VLOOKUP(C2491,'[1]DBS_KPY Sorumlular'!A:C,2,FALSE)</f>
        <v>Seyithan İŞİK</v>
      </c>
      <c r="Z2491" t="str">
        <f>VLOOKUP(C2491,'[1]DBS_KPY Sorumlular'!A:C,3,FALSE)</f>
        <v>Korhan KÖROĞLU</v>
      </c>
      <c r="AA2491" t="str">
        <f>VLOOKUP(K2491,[1]!Tablo3[#Data],2,FALSE)</f>
        <v>Tayfun VİÇE</v>
      </c>
    </row>
    <row r="2492" spans="1:27" x14ac:dyDescent="0.25">
      <c r="A2492">
        <v>3844</v>
      </c>
      <c r="B2492" t="s">
        <v>27</v>
      </c>
      <c r="C2492" t="s">
        <v>652</v>
      </c>
      <c r="D2492" t="s">
        <v>653</v>
      </c>
      <c r="G2492" t="s">
        <v>456</v>
      </c>
      <c r="H2492" t="s">
        <v>7871</v>
      </c>
      <c r="I2492" s="4">
        <v>45077.875</v>
      </c>
      <c r="K2492" t="s">
        <v>914</v>
      </c>
      <c r="L2492" s="5"/>
      <c r="M2492" s="5"/>
      <c r="N2492" t="s">
        <v>82</v>
      </c>
      <c r="O2492" t="s">
        <v>7872</v>
      </c>
      <c r="R2492">
        <v>1</v>
      </c>
      <c r="T2492" s="5"/>
      <c r="W2492">
        <v>144</v>
      </c>
      <c r="X2492" t="s">
        <v>463</v>
      </c>
      <c r="Y2492" t="str">
        <f>VLOOKUP(C2492,'[1]DBS_KPY Sorumlular'!A:C,2,FALSE)</f>
        <v>Seyithan İŞİK</v>
      </c>
      <c r="Z2492" t="str">
        <f>VLOOKUP(C2492,'[1]DBS_KPY Sorumlular'!A:C,3,FALSE)</f>
        <v>Korhan KÖROĞLU</v>
      </c>
      <c r="AA2492" t="str">
        <f>VLOOKUP(K2492,[1]!Tablo3[#Data],2,FALSE)</f>
        <v>Tayfun VİÇE</v>
      </c>
    </row>
    <row r="2493" spans="1:27" x14ac:dyDescent="0.25">
      <c r="A2493">
        <v>3845</v>
      </c>
      <c r="B2493" t="s">
        <v>27</v>
      </c>
      <c r="C2493" t="s">
        <v>652</v>
      </c>
      <c r="D2493" t="s">
        <v>653</v>
      </c>
      <c r="G2493" t="s">
        <v>456</v>
      </c>
      <c r="H2493" t="s">
        <v>7873</v>
      </c>
      <c r="I2493" s="4">
        <v>43616.875</v>
      </c>
      <c r="K2493" t="s">
        <v>678</v>
      </c>
      <c r="L2493" s="5"/>
      <c r="M2493" s="5"/>
      <c r="N2493" t="s">
        <v>82</v>
      </c>
      <c r="O2493" t="s">
        <v>7874</v>
      </c>
      <c r="R2493">
        <v>1</v>
      </c>
      <c r="T2493" s="5"/>
      <c r="W2493">
        <v>144</v>
      </c>
      <c r="X2493" t="s">
        <v>463</v>
      </c>
      <c r="Y2493" t="str">
        <f>VLOOKUP(C2493,'[1]DBS_KPY Sorumlular'!A:C,2,FALSE)</f>
        <v>Seyithan İŞİK</v>
      </c>
      <c r="Z2493" t="str">
        <f>VLOOKUP(C2493,'[1]DBS_KPY Sorumlular'!A:C,3,FALSE)</f>
        <v>Korhan KÖROĞLU</v>
      </c>
      <c r="AA2493" t="str">
        <f>VLOOKUP(K2493,[1]!Tablo3[#Data],2,FALSE)</f>
        <v>Kadir TOPÇU</v>
      </c>
    </row>
    <row r="2494" spans="1:27" x14ac:dyDescent="0.25">
      <c r="A2494">
        <v>3846</v>
      </c>
      <c r="B2494" t="s">
        <v>27</v>
      </c>
      <c r="C2494" t="s">
        <v>652</v>
      </c>
      <c r="D2494" t="s">
        <v>653</v>
      </c>
      <c r="G2494" t="s">
        <v>456</v>
      </c>
      <c r="H2494" t="s">
        <v>7875</v>
      </c>
      <c r="I2494" s="4">
        <v>43982.875</v>
      </c>
      <c r="K2494" t="s">
        <v>1002</v>
      </c>
      <c r="L2494" s="5"/>
      <c r="M2494" s="5"/>
      <c r="N2494" t="s">
        <v>82</v>
      </c>
      <c r="O2494" t="s">
        <v>7876</v>
      </c>
      <c r="R2494">
        <v>1</v>
      </c>
      <c r="T2494" s="5"/>
      <c r="W2494">
        <v>144</v>
      </c>
      <c r="X2494" t="s">
        <v>463</v>
      </c>
      <c r="Y2494" t="str">
        <f>VLOOKUP(C2494,'[1]DBS_KPY Sorumlular'!A:C,2,FALSE)</f>
        <v>Seyithan İŞİK</v>
      </c>
      <c r="Z2494" t="str">
        <f>VLOOKUP(C2494,'[1]DBS_KPY Sorumlular'!A:C,3,FALSE)</f>
        <v>Korhan KÖROĞLU</v>
      </c>
      <c r="AA2494" t="str">
        <f>VLOOKUP(K2494,[1]!Tablo3[#Data],2,FALSE)</f>
        <v>Kadir TOPÇU</v>
      </c>
    </row>
    <row r="2495" spans="1:27" x14ac:dyDescent="0.25">
      <c r="A2495">
        <v>3847</v>
      </c>
      <c r="B2495" t="s">
        <v>27</v>
      </c>
      <c r="C2495" t="s">
        <v>652</v>
      </c>
      <c r="D2495" t="s">
        <v>653</v>
      </c>
      <c r="G2495" t="s">
        <v>456</v>
      </c>
      <c r="H2495" t="s">
        <v>7877</v>
      </c>
      <c r="I2495" s="4">
        <v>43982.875</v>
      </c>
      <c r="K2495" t="s">
        <v>678</v>
      </c>
      <c r="L2495" s="5"/>
      <c r="M2495" s="5"/>
      <c r="N2495" t="s">
        <v>82</v>
      </c>
      <c r="O2495" t="s">
        <v>7878</v>
      </c>
      <c r="R2495">
        <v>1</v>
      </c>
      <c r="T2495" s="5"/>
      <c r="W2495">
        <v>144</v>
      </c>
      <c r="X2495" t="s">
        <v>463</v>
      </c>
      <c r="Y2495" t="str">
        <f>VLOOKUP(C2495,'[1]DBS_KPY Sorumlular'!A:C,2,FALSE)</f>
        <v>Seyithan İŞİK</v>
      </c>
      <c r="Z2495" t="str">
        <f>VLOOKUP(C2495,'[1]DBS_KPY Sorumlular'!A:C,3,FALSE)</f>
        <v>Korhan KÖROĞLU</v>
      </c>
      <c r="AA2495" t="str">
        <f>VLOOKUP(K2495,[1]!Tablo3[#Data],2,FALSE)</f>
        <v>Kadir TOPÇU</v>
      </c>
    </row>
    <row r="2496" spans="1:27" x14ac:dyDescent="0.25">
      <c r="A2496">
        <v>3848</v>
      </c>
      <c r="B2496" t="s">
        <v>27</v>
      </c>
      <c r="C2496" t="s">
        <v>652</v>
      </c>
      <c r="D2496" t="s">
        <v>653</v>
      </c>
      <c r="G2496" t="s">
        <v>456</v>
      </c>
      <c r="H2496" t="s">
        <v>7879</v>
      </c>
      <c r="I2496" s="4">
        <v>45077.875</v>
      </c>
      <c r="K2496" t="s">
        <v>1002</v>
      </c>
      <c r="L2496" s="5"/>
      <c r="M2496" s="5"/>
      <c r="N2496" t="s">
        <v>82</v>
      </c>
      <c r="O2496" t="s">
        <v>7880</v>
      </c>
      <c r="R2496">
        <v>1</v>
      </c>
      <c r="T2496" s="5"/>
      <c r="W2496">
        <v>144</v>
      </c>
      <c r="X2496" t="s">
        <v>463</v>
      </c>
      <c r="Y2496" t="str">
        <f>VLOOKUP(C2496,'[1]DBS_KPY Sorumlular'!A:C,2,FALSE)</f>
        <v>Seyithan İŞİK</v>
      </c>
      <c r="Z2496" t="str">
        <f>VLOOKUP(C2496,'[1]DBS_KPY Sorumlular'!A:C,3,FALSE)</f>
        <v>Korhan KÖROĞLU</v>
      </c>
      <c r="AA2496" t="str">
        <f>VLOOKUP(K2496,[1]!Tablo3[#Data],2,FALSE)</f>
        <v>Kadir TOPÇU</v>
      </c>
    </row>
    <row r="2497" spans="1:27" x14ac:dyDescent="0.25">
      <c r="A2497">
        <v>3849</v>
      </c>
      <c r="B2497" t="s">
        <v>27</v>
      </c>
      <c r="C2497" t="s">
        <v>652</v>
      </c>
      <c r="D2497" t="s">
        <v>653</v>
      </c>
      <c r="G2497" t="s">
        <v>456</v>
      </c>
      <c r="H2497" t="s">
        <v>7881</v>
      </c>
      <c r="I2497" s="4">
        <v>45443.875</v>
      </c>
      <c r="J2497" t="s">
        <v>7779</v>
      </c>
      <c r="K2497" t="s">
        <v>1002</v>
      </c>
      <c r="L2497" s="5"/>
      <c r="M2497" s="5" t="s">
        <v>7882</v>
      </c>
      <c r="N2497" t="s">
        <v>82</v>
      </c>
      <c r="O2497" t="s">
        <v>7883</v>
      </c>
      <c r="R2497">
        <v>1</v>
      </c>
      <c r="T2497" s="5"/>
      <c r="W2497">
        <v>144</v>
      </c>
      <c r="X2497" t="s">
        <v>463</v>
      </c>
      <c r="Y2497" t="str">
        <f>VLOOKUP(C2497,'[1]DBS_KPY Sorumlular'!A:C,2,FALSE)</f>
        <v>Seyithan İŞİK</v>
      </c>
      <c r="Z2497" t="str">
        <f>VLOOKUP(C2497,'[1]DBS_KPY Sorumlular'!A:C,3,FALSE)</f>
        <v>Korhan KÖROĞLU</v>
      </c>
      <c r="AA2497" t="str">
        <f>VLOOKUP(K2497,[1]!Tablo3[#Data],2,FALSE)</f>
        <v>Kadir TOPÇU</v>
      </c>
    </row>
    <row r="2498" spans="1:27" x14ac:dyDescent="0.25">
      <c r="A2498">
        <v>3850</v>
      </c>
      <c r="B2498" t="s">
        <v>27</v>
      </c>
      <c r="C2498" t="s">
        <v>652</v>
      </c>
      <c r="D2498" t="s">
        <v>653</v>
      </c>
      <c r="G2498" t="s">
        <v>456</v>
      </c>
      <c r="H2498" t="s">
        <v>7884</v>
      </c>
      <c r="I2498" s="4">
        <v>45443.875</v>
      </c>
      <c r="J2498" t="s">
        <v>7779</v>
      </c>
      <c r="K2498" t="s">
        <v>1002</v>
      </c>
      <c r="L2498" s="5"/>
      <c r="M2498" s="5" t="s">
        <v>7882</v>
      </c>
      <c r="N2498" t="s">
        <v>82</v>
      </c>
      <c r="O2498" t="s">
        <v>7885</v>
      </c>
      <c r="R2498">
        <v>1</v>
      </c>
      <c r="T2498" s="5"/>
      <c r="W2498">
        <v>144</v>
      </c>
      <c r="X2498" t="s">
        <v>463</v>
      </c>
      <c r="Y2498" t="str">
        <f>VLOOKUP(C2498,'[1]DBS_KPY Sorumlular'!A:C,2,FALSE)</f>
        <v>Seyithan İŞİK</v>
      </c>
      <c r="Z2498" t="str">
        <f>VLOOKUP(C2498,'[1]DBS_KPY Sorumlular'!A:C,3,FALSE)</f>
        <v>Korhan KÖROĞLU</v>
      </c>
      <c r="AA2498" t="str">
        <f>VLOOKUP(K2498,[1]!Tablo3[#Data],2,FALSE)</f>
        <v>Kadir TOPÇU</v>
      </c>
    </row>
    <row r="2499" spans="1:27" x14ac:dyDescent="0.25">
      <c r="A2499">
        <v>3851</v>
      </c>
      <c r="B2499" t="s">
        <v>27</v>
      </c>
      <c r="C2499" t="s">
        <v>652</v>
      </c>
      <c r="D2499" t="s">
        <v>653</v>
      </c>
      <c r="G2499" t="s">
        <v>456</v>
      </c>
      <c r="H2499" t="s">
        <v>7886</v>
      </c>
      <c r="I2499" s="4">
        <v>43982.875</v>
      </c>
      <c r="K2499" t="s">
        <v>1029</v>
      </c>
      <c r="L2499" s="5"/>
      <c r="M2499" s="5"/>
      <c r="N2499" t="s">
        <v>82</v>
      </c>
      <c r="O2499" t="s">
        <v>7887</v>
      </c>
      <c r="R2499">
        <v>1</v>
      </c>
      <c r="T2499" s="5"/>
      <c r="W2499">
        <v>144</v>
      </c>
      <c r="X2499" t="s">
        <v>463</v>
      </c>
      <c r="Y2499" t="str">
        <f>VLOOKUP(C2499,'[1]DBS_KPY Sorumlular'!A:C,2,FALSE)</f>
        <v>Seyithan İŞİK</v>
      </c>
      <c r="Z2499" t="str">
        <f>VLOOKUP(C2499,'[1]DBS_KPY Sorumlular'!A:C,3,FALSE)</f>
        <v>Korhan KÖROĞLU</v>
      </c>
      <c r="AA2499" t="str">
        <f>VLOOKUP(K2499,[1]!Tablo3[#Data],2,FALSE)</f>
        <v>Tayfun VİÇE</v>
      </c>
    </row>
    <row r="2500" spans="1:27" x14ac:dyDescent="0.25">
      <c r="A2500">
        <v>3852</v>
      </c>
      <c r="B2500" t="s">
        <v>27</v>
      </c>
      <c r="C2500" t="s">
        <v>652</v>
      </c>
      <c r="D2500" t="s">
        <v>653</v>
      </c>
      <c r="G2500" t="s">
        <v>456</v>
      </c>
      <c r="H2500" t="s">
        <v>7888</v>
      </c>
      <c r="I2500" s="4">
        <v>43982.875</v>
      </c>
      <c r="K2500" t="s">
        <v>1029</v>
      </c>
      <c r="L2500" s="5"/>
      <c r="M2500" s="5"/>
      <c r="N2500" t="s">
        <v>82</v>
      </c>
      <c r="O2500" t="s">
        <v>7889</v>
      </c>
      <c r="R2500">
        <v>1</v>
      </c>
      <c r="T2500" s="5"/>
      <c r="W2500">
        <v>144</v>
      </c>
      <c r="X2500" t="s">
        <v>463</v>
      </c>
      <c r="Y2500" t="str">
        <f>VLOOKUP(C2500,'[1]DBS_KPY Sorumlular'!A:C,2,FALSE)</f>
        <v>Seyithan İŞİK</v>
      </c>
      <c r="Z2500" t="str">
        <f>VLOOKUP(C2500,'[1]DBS_KPY Sorumlular'!A:C,3,FALSE)</f>
        <v>Korhan KÖROĞLU</v>
      </c>
      <c r="AA2500" t="str">
        <f>VLOOKUP(K2500,[1]!Tablo3[#Data],2,FALSE)</f>
        <v>Tayfun VİÇE</v>
      </c>
    </row>
    <row r="2501" spans="1:27" x14ac:dyDescent="0.25">
      <c r="A2501">
        <v>3853</v>
      </c>
      <c r="B2501" t="s">
        <v>27</v>
      </c>
      <c r="C2501" t="s">
        <v>652</v>
      </c>
      <c r="D2501" t="s">
        <v>653</v>
      </c>
      <c r="G2501" t="s">
        <v>456</v>
      </c>
      <c r="H2501" t="s">
        <v>7890</v>
      </c>
      <c r="I2501" s="4">
        <v>44347.875</v>
      </c>
      <c r="K2501" t="s">
        <v>1029</v>
      </c>
      <c r="L2501" s="5"/>
      <c r="M2501" s="5"/>
      <c r="N2501" t="s">
        <v>82</v>
      </c>
      <c r="O2501" t="s">
        <v>7891</v>
      </c>
      <c r="R2501">
        <v>1</v>
      </c>
      <c r="T2501" s="5"/>
      <c r="W2501">
        <v>144</v>
      </c>
      <c r="X2501" t="s">
        <v>463</v>
      </c>
      <c r="Y2501" t="str">
        <f>VLOOKUP(C2501,'[1]DBS_KPY Sorumlular'!A:C,2,FALSE)</f>
        <v>Seyithan İŞİK</v>
      </c>
      <c r="Z2501" t="str">
        <f>VLOOKUP(C2501,'[1]DBS_KPY Sorumlular'!A:C,3,FALSE)</f>
        <v>Korhan KÖROĞLU</v>
      </c>
      <c r="AA2501" t="str">
        <f>VLOOKUP(K2501,[1]!Tablo3[#Data],2,FALSE)</f>
        <v>Tayfun VİÇE</v>
      </c>
    </row>
    <row r="2502" spans="1:27" x14ac:dyDescent="0.25">
      <c r="A2502">
        <v>3854</v>
      </c>
      <c r="B2502" t="s">
        <v>27</v>
      </c>
      <c r="C2502" t="s">
        <v>652</v>
      </c>
      <c r="D2502" t="s">
        <v>653</v>
      </c>
      <c r="G2502" t="s">
        <v>456</v>
      </c>
      <c r="H2502" t="s">
        <v>7892</v>
      </c>
      <c r="I2502" s="4">
        <v>44347.875</v>
      </c>
      <c r="K2502" t="s">
        <v>1029</v>
      </c>
      <c r="L2502" s="5"/>
      <c r="M2502" s="5"/>
      <c r="N2502" t="s">
        <v>82</v>
      </c>
      <c r="O2502" t="s">
        <v>7893</v>
      </c>
      <c r="R2502">
        <v>1</v>
      </c>
      <c r="T2502" s="5"/>
      <c r="W2502">
        <v>144</v>
      </c>
      <c r="X2502" t="s">
        <v>463</v>
      </c>
      <c r="Y2502" t="str">
        <f>VLOOKUP(C2502,'[1]DBS_KPY Sorumlular'!A:C,2,FALSE)</f>
        <v>Seyithan İŞİK</v>
      </c>
      <c r="Z2502" t="str">
        <f>VLOOKUP(C2502,'[1]DBS_KPY Sorumlular'!A:C,3,FALSE)</f>
        <v>Korhan KÖROĞLU</v>
      </c>
      <c r="AA2502" t="str">
        <f>VLOOKUP(K2502,[1]!Tablo3[#Data],2,FALSE)</f>
        <v>Tayfun VİÇE</v>
      </c>
    </row>
    <row r="2503" spans="1:27" x14ac:dyDescent="0.25">
      <c r="A2503">
        <v>3855</v>
      </c>
      <c r="B2503" t="s">
        <v>27</v>
      </c>
      <c r="C2503" t="s">
        <v>652</v>
      </c>
      <c r="D2503" t="s">
        <v>653</v>
      </c>
      <c r="G2503" t="s">
        <v>456</v>
      </c>
      <c r="H2503" t="s">
        <v>7894</v>
      </c>
      <c r="I2503" s="4">
        <v>44712.875</v>
      </c>
      <c r="K2503" t="s">
        <v>1029</v>
      </c>
      <c r="L2503" s="5"/>
      <c r="M2503" s="5"/>
      <c r="N2503" t="s">
        <v>82</v>
      </c>
      <c r="O2503" t="s">
        <v>7895</v>
      </c>
      <c r="R2503">
        <v>1</v>
      </c>
      <c r="T2503" s="5"/>
      <c r="W2503">
        <v>144</v>
      </c>
      <c r="X2503" t="s">
        <v>463</v>
      </c>
      <c r="Y2503" t="str">
        <f>VLOOKUP(C2503,'[1]DBS_KPY Sorumlular'!A:C,2,FALSE)</f>
        <v>Seyithan İŞİK</v>
      </c>
      <c r="Z2503" t="str">
        <f>VLOOKUP(C2503,'[1]DBS_KPY Sorumlular'!A:C,3,FALSE)</f>
        <v>Korhan KÖROĞLU</v>
      </c>
      <c r="AA2503" t="str">
        <f>VLOOKUP(K2503,[1]!Tablo3[#Data],2,FALSE)</f>
        <v>Tayfun VİÇE</v>
      </c>
    </row>
    <row r="2504" spans="1:27" x14ac:dyDescent="0.25">
      <c r="A2504">
        <v>3856</v>
      </c>
      <c r="B2504" t="s">
        <v>27</v>
      </c>
      <c r="C2504" t="s">
        <v>652</v>
      </c>
      <c r="D2504" t="s">
        <v>653</v>
      </c>
      <c r="G2504" t="s">
        <v>456</v>
      </c>
      <c r="H2504" t="s">
        <v>7896</v>
      </c>
      <c r="I2504" s="4">
        <v>44712.875</v>
      </c>
      <c r="K2504" t="s">
        <v>1029</v>
      </c>
      <c r="L2504" s="5"/>
      <c r="M2504" s="5"/>
      <c r="N2504" t="s">
        <v>82</v>
      </c>
      <c r="O2504" t="s">
        <v>7897</v>
      </c>
      <c r="R2504">
        <v>1</v>
      </c>
      <c r="T2504" s="5"/>
      <c r="W2504">
        <v>144</v>
      </c>
      <c r="X2504" t="s">
        <v>463</v>
      </c>
      <c r="Y2504" t="str">
        <f>VLOOKUP(C2504,'[1]DBS_KPY Sorumlular'!A:C,2,FALSE)</f>
        <v>Seyithan İŞİK</v>
      </c>
      <c r="Z2504" t="str">
        <f>VLOOKUP(C2504,'[1]DBS_KPY Sorumlular'!A:C,3,FALSE)</f>
        <v>Korhan KÖROĞLU</v>
      </c>
      <c r="AA2504" t="str">
        <f>VLOOKUP(K2504,[1]!Tablo3[#Data],2,FALSE)</f>
        <v>Tayfun VİÇE</v>
      </c>
    </row>
    <row r="2505" spans="1:27" x14ac:dyDescent="0.25">
      <c r="A2505">
        <v>3857</v>
      </c>
      <c r="B2505" t="s">
        <v>27</v>
      </c>
      <c r="C2505" t="s">
        <v>652</v>
      </c>
      <c r="D2505" t="s">
        <v>653</v>
      </c>
      <c r="G2505" t="s">
        <v>456</v>
      </c>
      <c r="H2505" t="s">
        <v>7898</v>
      </c>
      <c r="I2505" s="4">
        <v>45077.875</v>
      </c>
      <c r="K2505" t="s">
        <v>1029</v>
      </c>
      <c r="L2505" s="5"/>
      <c r="M2505" s="5"/>
      <c r="N2505" t="s">
        <v>82</v>
      </c>
      <c r="O2505" t="s">
        <v>7899</v>
      </c>
      <c r="R2505">
        <v>1</v>
      </c>
      <c r="T2505" s="5"/>
      <c r="W2505">
        <v>144</v>
      </c>
      <c r="X2505" t="s">
        <v>463</v>
      </c>
      <c r="Y2505" t="str">
        <f>VLOOKUP(C2505,'[1]DBS_KPY Sorumlular'!A:C,2,FALSE)</f>
        <v>Seyithan İŞİK</v>
      </c>
      <c r="Z2505" t="str">
        <f>VLOOKUP(C2505,'[1]DBS_KPY Sorumlular'!A:C,3,FALSE)</f>
        <v>Korhan KÖROĞLU</v>
      </c>
      <c r="AA2505" t="str">
        <f>VLOOKUP(K2505,[1]!Tablo3[#Data],2,FALSE)</f>
        <v>Tayfun VİÇE</v>
      </c>
    </row>
    <row r="2506" spans="1:27" x14ac:dyDescent="0.25">
      <c r="A2506">
        <v>3858</v>
      </c>
      <c r="B2506" t="s">
        <v>27</v>
      </c>
      <c r="C2506" t="s">
        <v>652</v>
      </c>
      <c r="D2506" t="s">
        <v>653</v>
      </c>
      <c r="G2506" t="s">
        <v>456</v>
      </c>
      <c r="H2506" t="s">
        <v>7900</v>
      </c>
      <c r="I2506" s="4">
        <v>43982.875</v>
      </c>
      <c r="K2506" t="s">
        <v>280</v>
      </c>
      <c r="L2506" s="5"/>
      <c r="M2506" s="5"/>
      <c r="N2506" t="s">
        <v>82</v>
      </c>
      <c r="O2506" t="s">
        <v>7901</v>
      </c>
      <c r="R2506">
        <v>1</v>
      </c>
      <c r="T2506" s="5"/>
      <c r="W2506">
        <v>144</v>
      </c>
      <c r="X2506" t="s">
        <v>463</v>
      </c>
      <c r="Y2506" t="str">
        <f>VLOOKUP(C2506,'[1]DBS_KPY Sorumlular'!A:C,2,FALSE)</f>
        <v>Seyithan İŞİK</v>
      </c>
      <c r="Z2506" t="str">
        <f>VLOOKUP(C2506,'[1]DBS_KPY Sorumlular'!A:C,3,FALSE)</f>
        <v>Korhan KÖROĞLU</v>
      </c>
      <c r="AA2506" t="str">
        <f>VLOOKUP(K2506,[1]!Tablo3[#Data],2,FALSE)</f>
        <v>Erkan AKDOĞAN</v>
      </c>
    </row>
    <row r="2507" spans="1:27" x14ac:dyDescent="0.25">
      <c r="A2507">
        <v>3859</v>
      </c>
      <c r="B2507" t="s">
        <v>27</v>
      </c>
      <c r="C2507" t="s">
        <v>652</v>
      </c>
      <c r="D2507" t="s">
        <v>653</v>
      </c>
      <c r="G2507" t="s">
        <v>456</v>
      </c>
      <c r="H2507" t="s">
        <v>7902</v>
      </c>
      <c r="I2507" s="4">
        <v>44347.875</v>
      </c>
      <c r="K2507" t="s">
        <v>280</v>
      </c>
      <c r="L2507" s="5"/>
      <c r="M2507" s="5"/>
      <c r="N2507" t="s">
        <v>82</v>
      </c>
      <c r="O2507" t="s">
        <v>7903</v>
      </c>
      <c r="R2507">
        <v>1</v>
      </c>
      <c r="T2507" s="5"/>
      <c r="W2507">
        <v>144</v>
      </c>
      <c r="X2507" t="s">
        <v>463</v>
      </c>
      <c r="Y2507" t="str">
        <f>VLOOKUP(C2507,'[1]DBS_KPY Sorumlular'!A:C,2,FALSE)</f>
        <v>Seyithan İŞİK</v>
      </c>
      <c r="Z2507" t="str">
        <f>VLOOKUP(C2507,'[1]DBS_KPY Sorumlular'!A:C,3,FALSE)</f>
        <v>Korhan KÖROĞLU</v>
      </c>
      <c r="AA2507" t="str">
        <f>VLOOKUP(K2507,[1]!Tablo3[#Data],2,FALSE)</f>
        <v>Erkan AKDOĞAN</v>
      </c>
    </row>
    <row r="2508" spans="1:27" x14ac:dyDescent="0.25">
      <c r="A2508">
        <v>3860</v>
      </c>
      <c r="B2508" t="s">
        <v>27</v>
      </c>
      <c r="C2508" t="s">
        <v>652</v>
      </c>
      <c r="D2508" t="s">
        <v>653</v>
      </c>
      <c r="G2508" t="s">
        <v>456</v>
      </c>
      <c r="H2508" t="s">
        <v>7904</v>
      </c>
      <c r="I2508" s="4">
        <v>44712.875</v>
      </c>
      <c r="J2508" t="s">
        <v>7691</v>
      </c>
      <c r="K2508" t="s">
        <v>280</v>
      </c>
      <c r="L2508" s="5"/>
      <c r="M2508" s="5"/>
      <c r="N2508" t="s">
        <v>82</v>
      </c>
      <c r="O2508" t="s">
        <v>7905</v>
      </c>
      <c r="R2508">
        <v>1</v>
      </c>
      <c r="T2508" s="5"/>
      <c r="W2508">
        <v>144</v>
      </c>
      <c r="X2508" t="s">
        <v>463</v>
      </c>
      <c r="Y2508" t="str">
        <f>VLOOKUP(C2508,'[1]DBS_KPY Sorumlular'!A:C,2,FALSE)</f>
        <v>Seyithan İŞİK</v>
      </c>
      <c r="Z2508" t="str">
        <f>VLOOKUP(C2508,'[1]DBS_KPY Sorumlular'!A:C,3,FALSE)</f>
        <v>Korhan KÖROĞLU</v>
      </c>
      <c r="AA2508" t="str">
        <f>VLOOKUP(K2508,[1]!Tablo3[#Data],2,FALSE)</f>
        <v>Erkan AKDOĞAN</v>
      </c>
    </row>
    <row r="2509" spans="1:27" x14ac:dyDescent="0.25">
      <c r="A2509">
        <v>3861</v>
      </c>
      <c r="B2509" t="s">
        <v>27</v>
      </c>
      <c r="C2509" t="s">
        <v>652</v>
      </c>
      <c r="D2509" t="s">
        <v>653</v>
      </c>
      <c r="G2509" t="s">
        <v>456</v>
      </c>
      <c r="H2509" t="s">
        <v>7906</v>
      </c>
      <c r="I2509" s="4">
        <v>43616.875</v>
      </c>
      <c r="K2509" t="s">
        <v>1157</v>
      </c>
      <c r="L2509" s="5"/>
      <c r="M2509" s="5"/>
      <c r="N2509" t="s">
        <v>82</v>
      </c>
      <c r="O2509" t="s">
        <v>7907</v>
      </c>
      <c r="R2509">
        <v>1</v>
      </c>
      <c r="T2509" s="5"/>
      <c r="W2509">
        <v>144</v>
      </c>
      <c r="X2509" t="s">
        <v>463</v>
      </c>
      <c r="Y2509" t="str">
        <f>VLOOKUP(C2509,'[1]DBS_KPY Sorumlular'!A:C,2,FALSE)</f>
        <v>Seyithan İŞİK</v>
      </c>
      <c r="Z2509" t="str">
        <f>VLOOKUP(C2509,'[1]DBS_KPY Sorumlular'!A:C,3,FALSE)</f>
        <v>Korhan KÖROĞLU</v>
      </c>
      <c r="AA2509" t="str">
        <f>VLOOKUP(K2509,[1]!Tablo3[#Data],2,FALSE)</f>
        <v>Tayfun VİÇE</v>
      </c>
    </row>
    <row r="2510" spans="1:27" x14ac:dyDescent="0.25">
      <c r="A2510">
        <v>3862</v>
      </c>
      <c r="B2510" t="s">
        <v>27</v>
      </c>
      <c r="C2510" t="s">
        <v>652</v>
      </c>
      <c r="D2510" t="s">
        <v>653</v>
      </c>
      <c r="G2510" t="s">
        <v>456</v>
      </c>
      <c r="H2510" t="s">
        <v>7908</v>
      </c>
      <c r="I2510" s="4">
        <v>44347.875</v>
      </c>
      <c r="K2510" t="s">
        <v>1157</v>
      </c>
      <c r="L2510" s="5"/>
      <c r="M2510" s="5"/>
      <c r="N2510" t="s">
        <v>82</v>
      </c>
      <c r="O2510" t="s">
        <v>7909</v>
      </c>
      <c r="R2510">
        <v>1</v>
      </c>
      <c r="T2510" s="5"/>
      <c r="W2510">
        <v>144</v>
      </c>
      <c r="X2510" t="s">
        <v>463</v>
      </c>
      <c r="Y2510" t="str">
        <f>VLOOKUP(C2510,'[1]DBS_KPY Sorumlular'!A:C,2,FALSE)</f>
        <v>Seyithan İŞİK</v>
      </c>
      <c r="Z2510" t="str">
        <f>VLOOKUP(C2510,'[1]DBS_KPY Sorumlular'!A:C,3,FALSE)</f>
        <v>Korhan KÖROĞLU</v>
      </c>
      <c r="AA2510" t="str">
        <f>VLOOKUP(K2510,[1]!Tablo3[#Data],2,FALSE)</f>
        <v>Tayfun VİÇE</v>
      </c>
    </row>
    <row r="2511" spans="1:27" x14ac:dyDescent="0.25">
      <c r="A2511">
        <v>3863</v>
      </c>
      <c r="B2511" t="s">
        <v>27</v>
      </c>
      <c r="C2511" t="s">
        <v>652</v>
      </c>
      <c r="D2511" t="s">
        <v>653</v>
      </c>
      <c r="G2511" t="s">
        <v>456</v>
      </c>
      <c r="H2511" t="s">
        <v>7910</v>
      </c>
      <c r="I2511" s="4">
        <v>44347.875</v>
      </c>
      <c r="K2511" t="s">
        <v>1157</v>
      </c>
      <c r="L2511" s="5"/>
      <c r="M2511" s="5"/>
      <c r="N2511" t="s">
        <v>82</v>
      </c>
      <c r="O2511" t="s">
        <v>7911</v>
      </c>
      <c r="R2511">
        <v>1</v>
      </c>
      <c r="T2511" s="5"/>
      <c r="W2511">
        <v>144</v>
      </c>
      <c r="X2511" t="s">
        <v>463</v>
      </c>
      <c r="Y2511" t="str">
        <f>VLOOKUP(C2511,'[1]DBS_KPY Sorumlular'!A:C,2,FALSE)</f>
        <v>Seyithan İŞİK</v>
      </c>
      <c r="Z2511" t="str">
        <f>VLOOKUP(C2511,'[1]DBS_KPY Sorumlular'!A:C,3,FALSE)</f>
        <v>Korhan KÖROĞLU</v>
      </c>
      <c r="AA2511" t="str">
        <f>VLOOKUP(K2511,[1]!Tablo3[#Data],2,FALSE)</f>
        <v>Tayfun VİÇE</v>
      </c>
    </row>
    <row r="2512" spans="1:27" x14ac:dyDescent="0.25">
      <c r="A2512">
        <v>3864</v>
      </c>
      <c r="B2512" t="s">
        <v>27</v>
      </c>
      <c r="C2512" t="s">
        <v>652</v>
      </c>
      <c r="D2512" t="s">
        <v>653</v>
      </c>
      <c r="G2512" t="s">
        <v>456</v>
      </c>
      <c r="H2512" t="s">
        <v>7912</v>
      </c>
      <c r="I2512" s="4">
        <v>44712.875</v>
      </c>
      <c r="J2512" t="s">
        <v>7691</v>
      </c>
      <c r="K2512" t="s">
        <v>1157</v>
      </c>
      <c r="L2512" s="5"/>
      <c r="M2512" s="5"/>
      <c r="N2512" t="s">
        <v>82</v>
      </c>
      <c r="O2512" t="s">
        <v>7913</v>
      </c>
      <c r="R2512">
        <v>1</v>
      </c>
      <c r="T2512" s="5"/>
      <c r="W2512">
        <v>144</v>
      </c>
      <c r="X2512" t="s">
        <v>463</v>
      </c>
      <c r="Y2512" t="str">
        <f>VLOOKUP(C2512,'[1]DBS_KPY Sorumlular'!A:C,2,FALSE)</f>
        <v>Seyithan İŞİK</v>
      </c>
      <c r="Z2512" t="str">
        <f>VLOOKUP(C2512,'[1]DBS_KPY Sorumlular'!A:C,3,FALSE)</f>
        <v>Korhan KÖROĞLU</v>
      </c>
      <c r="AA2512" t="str">
        <f>VLOOKUP(K2512,[1]!Tablo3[#Data],2,FALSE)</f>
        <v>Tayfun VİÇE</v>
      </c>
    </row>
    <row r="2513" spans="1:27" x14ac:dyDescent="0.25">
      <c r="A2513">
        <v>3865</v>
      </c>
      <c r="B2513" t="s">
        <v>27</v>
      </c>
      <c r="C2513" t="s">
        <v>652</v>
      </c>
      <c r="D2513" t="s">
        <v>653</v>
      </c>
      <c r="G2513" t="s">
        <v>456</v>
      </c>
      <c r="H2513" t="s">
        <v>7914</v>
      </c>
      <c r="I2513" s="4">
        <v>44712.875</v>
      </c>
      <c r="K2513" t="s">
        <v>1157</v>
      </c>
      <c r="L2513" s="5"/>
      <c r="M2513" s="5"/>
      <c r="N2513" t="s">
        <v>82</v>
      </c>
      <c r="O2513" t="s">
        <v>7915</v>
      </c>
      <c r="R2513">
        <v>1</v>
      </c>
      <c r="T2513" s="5"/>
      <c r="W2513">
        <v>144</v>
      </c>
      <c r="X2513" t="s">
        <v>463</v>
      </c>
      <c r="Y2513" t="str">
        <f>VLOOKUP(C2513,'[1]DBS_KPY Sorumlular'!A:C,2,FALSE)</f>
        <v>Seyithan İŞİK</v>
      </c>
      <c r="Z2513" t="str">
        <f>VLOOKUP(C2513,'[1]DBS_KPY Sorumlular'!A:C,3,FALSE)</f>
        <v>Korhan KÖROĞLU</v>
      </c>
      <c r="AA2513" t="str">
        <f>VLOOKUP(K2513,[1]!Tablo3[#Data],2,FALSE)</f>
        <v>Tayfun VİÇE</v>
      </c>
    </row>
    <row r="2514" spans="1:27" x14ac:dyDescent="0.25">
      <c r="A2514">
        <v>3866</v>
      </c>
      <c r="B2514" t="s">
        <v>27</v>
      </c>
      <c r="C2514" t="s">
        <v>652</v>
      </c>
      <c r="D2514" t="s">
        <v>653</v>
      </c>
      <c r="G2514" t="s">
        <v>456</v>
      </c>
      <c r="H2514" t="s">
        <v>7916</v>
      </c>
      <c r="I2514" s="4">
        <v>45077.875</v>
      </c>
      <c r="K2514" t="s">
        <v>1157</v>
      </c>
      <c r="L2514" s="5"/>
      <c r="M2514" s="5"/>
      <c r="N2514" t="s">
        <v>82</v>
      </c>
      <c r="O2514" t="s">
        <v>7917</v>
      </c>
      <c r="R2514">
        <v>1</v>
      </c>
      <c r="T2514" s="5"/>
      <c r="W2514">
        <v>144</v>
      </c>
      <c r="X2514" t="s">
        <v>463</v>
      </c>
      <c r="Y2514" t="str">
        <f>VLOOKUP(C2514,'[1]DBS_KPY Sorumlular'!A:C,2,FALSE)</f>
        <v>Seyithan İŞİK</v>
      </c>
      <c r="Z2514" t="str">
        <f>VLOOKUP(C2514,'[1]DBS_KPY Sorumlular'!A:C,3,FALSE)</f>
        <v>Korhan KÖROĞLU</v>
      </c>
      <c r="AA2514" t="str">
        <f>VLOOKUP(K2514,[1]!Tablo3[#Data],2,FALSE)</f>
        <v>Tayfun VİÇE</v>
      </c>
    </row>
    <row r="2515" spans="1:27" x14ac:dyDescent="0.25">
      <c r="A2515">
        <v>3867</v>
      </c>
      <c r="B2515" t="s">
        <v>27</v>
      </c>
      <c r="C2515" t="s">
        <v>652</v>
      </c>
      <c r="D2515" t="s">
        <v>653</v>
      </c>
      <c r="G2515" t="s">
        <v>456</v>
      </c>
      <c r="H2515" t="s">
        <v>7918</v>
      </c>
      <c r="I2515" s="4">
        <v>45443.875</v>
      </c>
      <c r="K2515" t="s">
        <v>1029</v>
      </c>
      <c r="L2515" s="5"/>
      <c r="M2515" s="5"/>
      <c r="N2515" t="s">
        <v>82</v>
      </c>
      <c r="O2515" t="s">
        <v>7919</v>
      </c>
      <c r="R2515">
        <v>1</v>
      </c>
      <c r="T2515" s="5"/>
      <c r="W2515">
        <v>144</v>
      </c>
      <c r="X2515" t="s">
        <v>463</v>
      </c>
      <c r="Y2515" t="str">
        <f>VLOOKUP(C2515,'[1]DBS_KPY Sorumlular'!A:C,2,FALSE)</f>
        <v>Seyithan İŞİK</v>
      </c>
      <c r="Z2515" t="str">
        <f>VLOOKUP(C2515,'[1]DBS_KPY Sorumlular'!A:C,3,FALSE)</f>
        <v>Korhan KÖROĞLU</v>
      </c>
      <c r="AA2515" t="str">
        <f>VLOOKUP(K2515,[1]!Tablo3[#Data],2,FALSE)</f>
        <v>Tayfun VİÇE</v>
      </c>
    </row>
    <row r="2516" spans="1:27" x14ac:dyDescent="0.25">
      <c r="A2516">
        <v>3868</v>
      </c>
      <c r="B2516" t="s">
        <v>27</v>
      </c>
      <c r="C2516" t="s">
        <v>652</v>
      </c>
      <c r="D2516" t="s">
        <v>653</v>
      </c>
      <c r="G2516" t="s">
        <v>456</v>
      </c>
      <c r="H2516" t="s">
        <v>7920</v>
      </c>
      <c r="I2516" s="4">
        <v>43616.875</v>
      </c>
      <c r="K2516" t="s">
        <v>1106</v>
      </c>
      <c r="L2516" s="5"/>
      <c r="M2516" s="5"/>
      <c r="N2516" t="s">
        <v>82</v>
      </c>
      <c r="O2516" t="s">
        <v>7921</v>
      </c>
      <c r="R2516">
        <v>1</v>
      </c>
      <c r="T2516" s="5"/>
      <c r="W2516">
        <v>144</v>
      </c>
      <c r="X2516" t="s">
        <v>463</v>
      </c>
      <c r="Y2516" t="str">
        <f>VLOOKUP(C2516,'[1]DBS_KPY Sorumlular'!A:C,2,FALSE)</f>
        <v>Seyithan İŞİK</v>
      </c>
      <c r="Z2516" t="str">
        <f>VLOOKUP(C2516,'[1]DBS_KPY Sorumlular'!A:C,3,FALSE)</f>
        <v>Korhan KÖROĞLU</v>
      </c>
      <c r="AA2516" t="str">
        <f>VLOOKUP(K2516,[1]!Tablo3[#Data],2,FALSE)</f>
        <v>Tayfun VİÇE</v>
      </c>
    </row>
    <row r="2517" spans="1:27" x14ac:dyDescent="0.25">
      <c r="A2517">
        <v>3869</v>
      </c>
      <c r="B2517" t="s">
        <v>27</v>
      </c>
      <c r="C2517" t="s">
        <v>652</v>
      </c>
      <c r="D2517" t="s">
        <v>653</v>
      </c>
      <c r="G2517" t="s">
        <v>456</v>
      </c>
      <c r="H2517" t="s">
        <v>7922</v>
      </c>
      <c r="I2517" s="4">
        <v>43982.875</v>
      </c>
      <c r="K2517" t="s">
        <v>1106</v>
      </c>
      <c r="L2517" s="5"/>
      <c r="M2517" s="5"/>
      <c r="N2517" t="s">
        <v>82</v>
      </c>
      <c r="O2517" t="s">
        <v>7923</v>
      </c>
      <c r="R2517">
        <v>1</v>
      </c>
      <c r="T2517" s="5"/>
      <c r="W2517">
        <v>144</v>
      </c>
      <c r="X2517" t="s">
        <v>463</v>
      </c>
      <c r="Y2517" t="str">
        <f>VLOOKUP(C2517,'[1]DBS_KPY Sorumlular'!A:C,2,FALSE)</f>
        <v>Seyithan İŞİK</v>
      </c>
      <c r="Z2517" t="str">
        <f>VLOOKUP(C2517,'[1]DBS_KPY Sorumlular'!A:C,3,FALSE)</f>
        <v>Korhan KÖROĞLU</v>
      </c>
      <c r="AA2517" t="str">
        <f>VLOOKUP(K2517,[1]!Tablo3[#Data],2,FALSE)</f>
        <v>Tayfun VİÇE</v>
      </c>
    </row>
    <row r="2518" spans="1:27" x14ac:dyDescent="0.25">
      <c r="A2518">
        <v>3870</v>
      </c>
      <c r="B2518" t="s">
        <v>27</v>
      </c>
      <c r="C2518" t="s">
        <v>652</v>
      </c>
      <c r="D2518" t="s">
        <v>653</v>
      </c>
      <c r="G2518" t="s">
        <v>456</v>
      </c>
      <c r="H2518" t="s">
        <v>7924</v>
      </c>
      <c r="I2518" s="4">
        <v>44347.875</v>
      </c>
      <c r="K2518" t="s">
        <v>1471</v>
      </c>
      <c r="L2518" s="5"/>
      <c r="M2518" s="5"/>
      <c r="N2518" t="s">
        <v>82</v>
      </c>
      <c r="O2518" t="s">
        <v>7925</v>
      </c>
      <c r="R2518">
        <v>1</v>
      </c>
      <c r="T2518" s="5"/>
      <c r="W2518">
        <v>144</v>
      </c>
      <c r="X2518" t="s">
        <v>463</v>
      </c>
      <c r="Y2518" t="str">
        <f>VLOOKUP(C2518,'[1]DBS_KPY Sorumlular'!A:C,2,FALSE)</f>
        <v>Seyithan İŞİK</v>
      </c>
      <c r="Z2518" t="str">
        <f>VLOOKUP(C2518,'[1]DBS_KPY Sorumlular'!A:C,3,FALSE)</f>
        <v>Korhan KÖROĞLU</v>
      </c>
      <c r="AA2518" t="str">
        <f>VLOOKUP(K2518,[1]!Tablo3[#Data],2,FALSE)</f>
        <v>Tayfun VİÇE</v>
      </c>
    </row>
    <row r="2519" spans="1:27" x14ac:dyDescent="0.25">
      <c r="A2519">
        <v>3871</v>
      </c>
      <c r="B2519" t="s">
        <v>27</v>
      </c>
      <c r="C2519" t="s">
        <v>652</v>
      </c>
      <c r="D2519" t="s">
        <v>653</v>
      </c>
      <c r="G2519" t="s">
        <v>456</v>
      </c>
      <c r="H2519" t="s">
        <v>7926</v>
      </c>
      <c r="I2519" s="4">
        <v>44347.875</v>
      </c>
      <c r="K2519" t="s">
        <v>1106</v>
      </c>
      <c r="L2519" s="5"/>
      <c r="M2519" s="5"/>
      <c r="N2519" t="s">
        <v>82</v>
      </c>
      <c r="O2519" t="s">
        <v>7927</v>
      </c>
      <c r="R2519">
        <v>1</v>
      </c>
      <c r="T2519" s="5"/>
      <c r="W2519">
        <v>144</v>
      </c>
      <c r="X2519" t="s">
        <v>463</v>
      </c>
      <c r="Y2519" t="str">
        <f>VLOOKUP(C2519,'[1]DBS_KPY Sorumlular'!A:C,2,FALSE)</f>
        <v>Seyithan İŞİK</v>
      </c>
      <c r="Z2519" t="str">
        <f>VLOOKUP(C2519,'[1]DBS_KPY Sorumlular'!A:C,3,FALSE)</f>
        <v>Korhan KÖROĞLU</v>
      </c>
      <c r="AA2519" t="str">
        <f>VLOOKUP(K2519,[1]!Tablo3[#Data],2,FALSE)</f>
        <v>Tayfun VİÇE</v>
      </c>
    </row>
    <row r="2520" spans="1:27" x14ac:dyDescent="0.25">
      <c r="A2520">
        <v>3872</v>
      </c>
      <c r="B2520" t="s">
        <v>27</v>
      </c>
      <c r="C2520" t="s">
        <v>652</v>
      </c>
      <c r="D2520" t="s">
        <v>653</v>
      </c>
      <c r="G2520" t="s">
        <v>456</v>
      </c>
      <c r="H2520" t="s">
        <v>7928</v>
      </c>
      <c r="I2520" s="4">
        <v>44712.875</v>
      </c>
      <c r="K2520" t="s">
        <v>1106</v>
      </c>
      <c r="L2520" s="5"/>
      <c r="M2520" s="5"/>
      <c r="N2520" t="s">
        <v>82</v>
      </c>
      <c r="O2520" t="s">
        <v>7929</v>
      </c>
      <c r="R2520">
        <v>1</v>
      </c>
      <c r="T2520" s="5"/>
      <c r="W2520">
        <v>144</v>
      </c>
      <c r="X2520" t="s">
        <v>463</v>
      </c>
      <c r="Y2520" t="str">
        <f>VLOOKUP(C2520,'[1]DBS_KPY Sorumlular'!A:C,2,FALSE)</f>
        <v>Seyithan İŞİK</v>
      </c>
      <c r="Z2520" t="str">
        <f>VLOOKUP(C2520,'[1]DBS_KPY Sorumlular'!A:C,3,FALSE)</f>
        <v>Korhan KÖROĞLU</v>
      </c>
      <c r="AA2520" t="str">
        <f>VLOOKUP(K2520,[1]!Tablo3[#Data],2,FALSE)</f>
        <v>Tayfun VİÇE</v>
      </c>
    </row>
    <row r="2521" spans="1:27" x14ac:dyDescent="0.25">
      <c r="A2521">
        <v>3873</v>
      </c>
      <c r="B2521" t="s">
        <v>27</v>
      </c>
      <c r="C2521" t="s">
        <v>652</v>
      </c>
      <c r="D2521" t="s">
        <v>653</v>
      </c>
      <c r="G2521" t="s">
        <v>456</v>
      </c>
      <c r="H2521" t="s">
        <v>7930</v>
      </c>
      <c r="I2521" s="4">
        <v>44712.875</v>
      </c>
      <c r="K2521" t="s">
        <v>1106</v>
      </c>
      <c r="L2521" s="5"/>
      <c r="M2521" s="5"/>
      <c r="N2521" t="s">
        <v>82</v>
      </c>
      <c r="O2521" t="s">
        <v>7931</v>
      </c>
      <c r="R2521">
        <v>1</v>
      </c>
      <c r="T2521" s="5"/>
      <c r="W2521">
        <v>144</v>
      </c>
      <c r="X2521" t="s">
        <v>463</v>
      </c>
      <c r="Y2521" t="str">
        <f>VLOOKUP(C2521,'[1]DBS_KPY Sorumlular'!A:C,2,FALSE)</f>
        <v>Seyithan İŞİK</v>
      </c>
      <c r="Z2521" t="str">
        <f>VLOOKUP(C2521,'[1]DBS_KPY Sorumlular'!A:C,3,FALSE)</f>
        <v>Korhan KÖROĞLU</v>
      </c>
      <c r="AA2521" t="str">
        <f>VLOOKUP(K2521,[1]!Tablo3[#Data],2,FALSE)</f>
        <v>Tayfun VİÇE</v>
      </c>
    </row>
    <row r="2522" spans="1:27" x14ac:dyDescent="0.25">
      <c r="A2522">
        <v>3874</v>
      </c>
      <c r="B2522" t="s">
        <v>27</v>
      </c>
      <c r="C2522" t="s">
        <v>652</v>
      </c>
      <c r="D2522" t="s">
        <v>653</v>
      </c>
      <c r="G2522" t="s">
        <v>456</v>
      </c>
      <c r="H2522" t="s">
        <v>7932</v>
      </c>
      <c r="I2522" s="4">
        <v>44712.875</v>
      </c>
      <c r="J2522" t="s">
        <v>7691</v>
      </c>
      <c r="K2522" t="s">
        <v>1106</v>
      </c>
      <c r="L2522" s="5"/>
      <c r="M2522" s="5"/>
      <c r="N2522" t="s">
        <v>82</v>
      </c>
      <c r="O2522" t="s">
        <v>7933</v>
      </c>
      <c r="R2522">
        <v>1</v>
      </c>
      <c r="T2522" s="5"/>
      <c r="W2522">
        <v>144</v>
      </c>
      <c r="X2522" t="s">
        <v>463</v>
      </c>
      <c r="Y2522" t="str">
        <f>VLOOKUP(C2522,'[1]DBS_KPY Sorumlular'!A:C,2,FALSE)</f>
        <v>Seyithan İŞİK</v>
      </c>
      <c r="Z2522" t="str">
        <f>VLOOKUP(C2522,'[1]DBS_KPY Sorumlular'!A:C,3,FALSE)</f>
        <v>Korhan KÖROĞLU</v>
      </c>
      <c r="AA2522" t="str">
        <f>VLOOKUP(K2522,[1]!Tablo3[#Data],2,FALSE)</f>
        <v>Tayfun VİÇE</v>
      </c>
    </row>
    <row r="2523" spans="1:27" x14ac:dyDescent="0.25">
      <c r="A2523">
        <v>3875</v>
      </c>
      <c r="B2523" t="s">
        <v>27</v>
      </c>
      <c r="C2523" t="s">
        <v>652</v>
      </c>
      <c r="D2523" t="s">
        <v>653</v>
      </c>
      <c r="G2523" t="s">
        <v>456</v>
      </c>
      <c r="H2523" t="s">
        <v>7934</v>
      </c>
      <c r="I2523" s="4">
        <v>43616.875</v>
      </c>
      <c r="K2523" t="s">
        <v>1221</v>
      </c>
      <c r="L2523" s="5"/>
      <c r="M2523" s="5"/>
      <c r="N2523" t="s">
        <v>82</v>
      </c>
      <c r="O2523" t="s">
        <v>7935</v>
      </c>
      <c r="R2523">
        <v>1</v>
      </c>
      <c r="T2523" s="5"/>
      <c r="W2523">
        <v>144</v>
      </c>
      <c r="X2523" t="s">
        <v>463</v>
      </c>
      <c r="Y2523" t="str">
        <f>VLOOKUP(C2523,'[1]DBS_KPY Sorumlular'!A:C,2,FALSE)</f>
        <v>Seyithan İŞİK</v>
      </c>
      <c r="Z2523" t="str">
        <f>VLOOKUP(C2523,'[1]DBS_KPY Sorumlular'!A:C,3,FALSE)</f>
        <v>Korhan KÖROĞLU</v>
      </c>
      <c r="AA2523" t="str">
        <f>VLOOKUP(K2523,[1]!Tablo3[#Data],2,FALSE)</f>
        <v>Tayfun VİÇE</v>
      </c>
    </row>
    <row r="2524" spans="1:27" x14ac:dyDescent="0.25">
      <c r="A2524">
        <v>3876</v>
      </c>
      <c r="B2524" t="s">
        <v>27</v>
      </c>
      <c r="C2524" t="s">
        <v>652</v>
      </c>
      <c r="D2524" t="s">
        <v>653</v>
      </c>
      <c r="G2524" t="s">
        <v>456</v>
      </c>
      <c r="H2524" t="s">
        <v>7936</v>
      </c>
      <c r="I2524" s="4">
        <v>43982.875</v>
      </c>
      <c r="K2524" t="s">
        <v>1221</v>
      </c>
      <c r="L2524" s="5"/>
      <c r="M2524" s="5"/>
      <c r="N2524" t="s">
        <v>82</v>
      </c>
      <c r="O2524" t="s">
        <v>7937</v>
      </c>
      <c r="R2524">
        <v>1</v>
      </c>
      <c r="T2524" s="5"/>
      <c r="W2524">
        <v>144</v>
      </c>
      <c r="X2524" t="s">
        <v>463</v>
      </c>
      <c r="Y2524" t="str">
        <f>VLOOKUP(C2524,'[1]DBS_KPY Sorumlular'!A:C,2,FALSE)</f>
        <v>Seyithan İŞİK</v>
      </c>
      <c r="Z2524" t="str">
        <f>VLOOKUP(C2524,'[1]DBS_KPY Sorumlular'!A:C,3,FALSE)</f>
        <v>Korhan KÖROĞLU</v>
      </c>
      <c r="AA2524" t="str">
        <f>VLOOKUP(K2524,[1]!Tablo3[#Data],2,FALSE)</f>
        <v>Tayfun VİÇE</v>
      </c>
    </row>
    <row r="2525" spans="1:27" x14ac:dyDescent="0.25">
      <c r="A2525">
        <v>3877</v>
      </c>
      <c r="B2525" t="s">
        <v>27</v>
      </c>
      <c r="C2525" t="s">
        <v>652</v>
      </c>
      <c r="D2525" t="s">
        <v>653</v>
      </c>
      <c r="G2525" t="s">
        <v>456</v>
      </c>
      <c r="H2525" t="s">
        <v>7938</v>
      </c>
      <c r="I2525" s="4">
        <v>43982.875</v>
      </c>
      <c r="K2525" t="s">
        <v>1221</v>
      </c>
      <c r="L2525" s="5"/>
      <c r="M2525" s="5"/>
      <c r="N2525" t="s">
        <v>82</v>
      </c>
      <c r="O2525" t="s">
        <v>7939</v>
      </c>
      <c r="R2525">
        <v>1</v>
      </c>
      <c r="T2525" s="5"/>
      <c r="W2525">
        <v>144</v>
      </c>
      <c r="X2525" t="s">
        <v>463</v>
      </c>
      <c r="Y2525" t="str">
        <f>VLOOKUP(C2525,'[1]DBS_KPY Sorumlular'!A:C,2,FALSE)</f>
        <v>Seyithan İŞİK</v>
      </c>
      <c r="Z2525" t="str">
        <f>VLOOKUP(C2525,'[1]DBS_KPY Sorumlular'!A:C,3,FALSE)</f>
        <v>Korhan KÖROĞLU</v>
      </c>
      <c r="AA2525" t="str">
        <f>VLOOKUP(K2525,[1]!Tablo3[#Data],2,FALSE)</f>
        <v>Tayfun VİÇE</v>
      </c>
    </row>
    <row r="2526" spans="1:27" x14ac:dyDescent="0.25">
      <c r="A2526">
        <v>3878</v>
      </c>
      <c r="B2526" t="s">
        <v>27</v>
      </c>
      <c r="C2526" t="s">
        <v>652</v>
      </c>
      <c r="D2526" t="s">
        <v>653</v>
      </c>
      <c r="G2526" t="s">
        <v>456</v>
      </c>
      <c r="H2526" t="s">
        <v>7940</v>
      </c>
      <c r="I2526" s="4">
        <v>44347.875</v>
      </c>
      <c r="K2526" t="s">
        <v>1221</v>
      </c>
      <c r="L2526" s="5"/>
      <c r="M2526" s="5"/>
      <c r="N2526" t="s">
        <v>82</v>
      </c>
      <c r="O2526" t="s">
        <v>7941</v>
      </c>
      <c r="R2526">
        <v>1</v>
      </c>
      <c r="T2526" s="5"/>
      <c r="W2526">
        <v>144</v>
      </c>
      <c r="X2526" t="s">
        <v>463</v>
      </c>
      <c r="Y2526" t="str">
        <f>VLOOKUP(C2526,'[1]DBS_KPY Sorumlular'!A:C,2,FALSE)</f>
        <v>Seyithan İŞİK</v>
      </c>
      <c r="Z2526" t="str">
        <f>VLOOKUP(C2526,'[1]DBS_KPY Sorumlular'!A:C,3,FALSE)</f>
        <v>Korhan KÖROĞLU</v>
      </c>
      <c r="AA2526" t="str">
        <f>VLOOKUP(K2526,[1]!Tablo3[#Data],2,FALSE)</f>
        <v>Tayfun VİÇE</v>
      </c>
    </row>
    <row r="2527" spans="1:27" x14ac:dyDescent="0.25">
      <c r="A2527">
        <v>3879</v>
      </c>
      <c r="B2527" t="s">
        <v>27</v>
      </c>
      <c r="C2527" t="s">
        <v>652</v>
      </c>
      <c r="D2527" t="s">
        <v>653</v>
      </c>
      <c r="G2527" t="s">
        <v>456</v>
      </c>
      <c r="H2527" t="s">
        <v>7942</v>
      </c>
      <c r="I2527" s="4">
        <v>44712.875</v>
      </c>
      <c r="K2527" t="s">
        <v>1221</v>
      </c>
      <c r="L2527" s="5"/>
      <c r="M2527" s="5"/>
      <c r="N2527" t="s">
        <v>82</v>
      </c>
      <c r="O2527" t="s">
        <v>7943</v>
      </c>
      <c r="R2527">
        <v>1</v>
      </c>
      <c r="T2527" s="5"/>
      <c r="W2527">
        <v>144</v>
      </c>
      <c r="X2527" t="s">
        <v>463</v>
      </c>
      <c r="Y2527" t="str">
        <f>VLOOKUP(C2527,'[1]DBS_KPY Sorumlular'!A:C,2,FALSE)</f>
        <v>Seyithan İŞİK</v>
      </c>
      <c r="Z2527" t="str">
        <f>VLOOKUP(C2527,'[1]DBS_KPY Sorumlular'!A:C,3,FALSE)</f>
        <v>Korhan KÖROĞLU</v>
      </c>
      <c r="AA2527" t="str">
        <f>VLOOKUP(K2527,[1]!Tablo3[#Data],2,FALSE)</f>
        <v>Tayfun VİÇE</v>
      </c>
    </row>
    <row r="2528" spans="1:27" x14ac:dyDescent="0.25">
      <c r="A2528">
        <v>3880</v>
      </c>
      <c r="B2528" t="s">
        <v>27</v>
      </c>
      <c r="C2528" t="s">
        <v>652</v>
      </c>
      <c r="D2528" t="s">
        <v>653</v>
      </c>
      <c r="G2528" t="s">
        <v>456</v>
      </c>
      <c r="H2528" t="s">
        <v>7944</v>
      </c>
      <c r="I2528" s="4">
        <v>44712.875</v>
      </c>
      <c r="K2528" t="s">
        <v>1157</v>
      </c>
      <c r="L2528" s="5"/>
      <c r="M2528" s="5"/>
      <c r="N2528" t="s">
        <v>82</v>
      </c>
      <c r="O2528" t="s">
        <v>7945</v>
      </c>
      <c r="R2528">
        <v>1</v>
      </c>
      <c r="T2528" s="5"/>
      <c r="W2528">
        <v>144</v>
      </c>
      <c r="X2528" t="s">
        <v>463</v>
      </c>
      <c r="Y2528" t="str">
        <f>VLOOKUP(C2528,'[1]DBS_KPY Sorumlular'!A:C,2,FALSE)</f>
        <v>Seyithan İŞİK</v>
      </c>
      <c r="Z2528" t="str">
        <f>VLOOKUP(C2528,'[1]DBS_KPY Sorumlular'!A:C,3,FALSE)</f>
        <v>Korhan KÖROĞLU</v>
      </c>
      <c r="AA2528" t="str">
        <f>VLOOKUP(K2528,[1]!Tablo3[#Data],2,FALSE)</f>
        <v>Tayfun VİÇE</v>
      </c>
    </row>
    <row r="2529" spans="1:27" x14ac:dyDescent="0.25">
      <c r="A2529">
        <v>3881</v>
      </c>
      <c r="B2529" t="s">
        <v>27</v>
      </c>
      <c r="C2529" t="s">
        <v>652</v>
      </c>
      <c r="D2529" t="s">
        <v>653</v>
      </c>
      <c r="G2529" t="s">
        <v>456</v>
      </c>
      <c r="H2529" t="s">
        <v>7946</v>
      </c>
      <c r="I2529" s="4">
        <v>45077.875</v>
      </c>
      <c r="K2529" t="s">
        <v>1221</v>
      </c>
      <c r="L2529" s="5"/>
      <c r="M2529" s="5"/>
      <c r="N2529" t="s">
        <v>82</v>
      </c>
      <c r="O2529" t="s">
        <v>7947</v>
      </c>
      <c r="R2529">
        <v>1</v>
      </c>
      <c r="T2529" s="5"/>
      <c r="W2529">
        <v>144</v>
      </c>
      <c r="X2529" t="s">
        <v>463</v>
      </c>
      <c r="Y2529" t="str">
        <f>VLOOKUP(C2529,'[1]DBS_KPY Sorumlular'!A:C,2,FALSE)</f>
        <v>Seyithan İŞİK</v>
      </c>
      <c r="Z2529" t="str">
        <f>VLOOKUP(C2529,'[1]DBS_KPY Sorumlular'!A:C,3,FALSE)</f>
        <v>Korhan KÖROĞLU</v>
      </c>
      <c r="AA2529" t="str">
        <f>VLOOKUP(K2529,[1]!Tablo3[#Data],2,FALSE)</f>
        <v>Tayfun VİÇE</v>
      </c>
    </row>
    <row r="2530" spans="1:27" x14ac:dyDescent="0.25">
      <c r="A2530">
        <v>3882</v>
      </c>
      <c r="B2530" t="s">
        <v>27</v>
      </c>
      <c r="C2530" t="s">
        <v>652</v>
      </c>
      <c r="D2530" t="s">
        <v>653</v>
      </c>
      <c r="G2530" t="s">
        <v>456</v>
      </c>
      <c r="H2530" t="s">
        <v>7948</v>
      </c>
      <c r="I2530" s="4">
        <v>45077.875</v>
      </c>
      <c r="K2530" t="s">
        <v>586</v>
      </c>
      <c r="L2530" s="5"/>
      <c r="M2530" s="5"/>
      <c r="N2530" t="s">
        <v>82</v>
      </c>
      <c r="O2530" t="s">
        <v>7949</v>
      </c>
      <c r="R2530">
        <v>1</v>
      </c>
      <c r="T2530" s="5"/>
      <c r="W2530">
        <v>144</v>
      </c>
      <c r="X2530" t="s">
        <v>463</v>
      </c>
      <c r="Y2530" t="str">
        <f>VLOOKUP(C2530,'[1]DBS_KPY Sorumlular'!A:C,2,FALSE)</f>
        <v>Seyithan İŞİK</v>
      </c>
      <c r="Z2530" t="str">
        <f>VLOOKUP(C2530,'[1]DBS_KPY Sorumlular'!A:C,3,FALSE)</f>
        <v>Korhan KÖROĞLU</v>
      </c>
      <c r="AA2530" t="str">
        <f>VLOOKUP(K2530,[1]!Tablo3[#Data],2,FALSE)</f>
        <v>Tayfun VİÇE</v>
      </c>
    </row>
    <row r="2531" spans="1:27" x14ac:dyDescent="0.25">
      <c r="A2531">
        <v>3883</v>
      </c>
      <c r="B2531" t="s">
        <v>27</v>
      </c>
      <c r="C2531" t="s">
        <v>652</v>
      </c>
      <c r="D2531" t="s">
        <v>653</v>
      </c>
      <c r="G2531" t="s">
        <v>456</v>
      </c>
      <c r="H2531" t="s">
        <v>7950</v>
      </c>
      <c r="I2531" s="4">
        <v>43982.875</v>
      </c>
      <c r="K2531" t="s">
        <v>926</v>
      </c>
      <c r="L2531" s="5"/>
      <c r="M2531" s="5"/>
      <c r="N2531" t="s">
        <v>82</v>
      </c>
      <c r="O2531" t="s">
        <v>7951</v>
      </c>
      <c r="R2531">
        <v>1</v>
      </c>
      <c r="T2531" s="5"/>
      <c r="W2531">
        <v>144</v>
      </c>
      <c r="X2531" t="s">
        <v>463</v>
      </c>
      <c r="Y2531" t="str">
        <f>VLOOKUP(C2531,'[1]DBS_KPY Sorumlular'!A:C,2,FALSE)</f>
        <v>Seyithan İŞİK</v>
      </c>
      <c r="Z2531" t="str">
        <f>VLOOKUP(C2531,'[1]DBS_KPY Sorumlular'!A:C,3,FALSE)</f>
        <v>Korhan KÖROĞLU</v>
      </c>
      <c r="AA2531" t="str">
        <f>VLOOKUP(K2531,[1]!Tablo3[#Data],2,FALSE)</f>
        <v>Kadir TOPÇU</v>
      </c>
    </row>
    <row r="2532" spans="1:27" x14ac:dyDescent="0.25">
      <c r="A2532">
        <v>3884</v>
      </c>
      <c r="B2532" t="s">
        <v>27</v>
      </c>
      <c r="C2532" t="s">
        <v>652</v>
      </c>
      <c r="D2532" t="s">
        <v>653</v>
      </c>
      <c r="G2532" t="s">
        <v>456</v>
      </c>
      <c r="H2532" t="s">
        <v>7952</v>
      </c>
      <c r="I2532" s="4">
        <v>43982.875</v>
      </c>
      <c r="K2532" t="s">
        <v>926</v>
      </c>
      <c r="L2532" s="5"/>
      <c r="M2532" s="5"/>
      <c r="N2532" t="s">
        <v>82</v>
      </c>
      <c r="O2532" t="s">
        <v>7953</v>
      </c>
      <c r="R2532">
        <v>1</v>
      </c>
      <c r="T2532" s="5"/>
      <c r="W2532">
        <v>144</v>
      </c>
      <c r="X2532" t="s">
        <v>463</v>
      </c>
      <c r="Y2532" t="str">
        <f>VLOOKUP(C2532,'[1]DBS_KPY Sorumlular'!A:C,2,FALSE)</f>
        <v>Seyithan İŞİK</v>
      </c>
      <c r="Z2532" t="str">
        <f>VLOOKUP(C2532,'[1]DBS_KPY Sorumlular'!A:C,3,FALSE)</f>
        <v>Korhan KÖROĞLU</v>
      </c>
      <c r="AA2532" t="str">
        <f>VLOOKUP(K2532,[1]!Tablo3[#Data],2,FALSE)</f>
        <v>Kadir TOPÇU</v>
      </c>
    </row>
    <row r="2533" spans="1:27" x14ac:dyDescent="0.25">
      <c r="A2533">
        <v>3885</v>
      </c>
      <c r="B2533" t="s">
        <v>27</v>
      </c>
      <c r="C2533" t="s">
        <v>652</v>
      </c>
      <c r="D2533" t="s">
        <v>653</v>
      </c>
      <c r="G2533" t="s">
        <v>456</v>
      </c>
      <c r="H2533" t="s">
        <v>7954</v>
      </c>
      <c r="I2533" s="4">
        <v>43982.875</v>
      </c>
      <c r="K2533" t="s">
        <v>926</v>
      </c>
      <c r="L2533" s="5"/>
      <c r="M2533" s="5"/>
      <c r="N2533" t="s">
        <v>82</v>
      </c>
      <c r="O2533" t="s">
        <v>7955</v>
      </c>
      <c r="R2533">
        <v>1</v>
      </c>
      <c r="T2533" s="5"/>
      <c r="W2533">
        <v>144</v>
      </c>
      <c r="X2533" t="s">
        <v>463</v>
      </c>
      <c r="Y2533" t="str">
        <f>VLOOKUP(C2533,'[1]DBS_KPY Sorumlular'!A:C,2,FALSE)</f>
        <v>Seyithan İŞİK</v>
      </c>
      <c r="Z2533" t="str">
        <f>VLOOKUP(C2533,'[1]DBS_KPY Sorumlular'!A:C,3,FALSE)</f>
        <v>Korhan KÖROĞLU</v>
      </c>
      <c r="AA2533" t="str">
        <f>VLOOKUP(K2533,[1]!Tablo3[#Data],2,FALSE)</f>
        <v>Kadir TOPÇU</v>
      </c>
    </row>
    <row r="2534" spans="1:27" x14ac:dyDescent="0.25">
      <c r="A2534">
        <v>3886</v>
      </c>
      <c r="B2534" t="s">
        <v>27</v>
      </c>
      <c r="C2534" t="s">
        <v>652</v>
      </c>
      <c r="D2534" t="s">
        <v>653</v>
      </c>
      <c r="G2534" t="s">
        <v>456</v>
      </c>
      <c r="H2534" t="s">
        <v>7956</v>
      </c>
      <c r="I2534" s="4">
        <v>43982.875</v>
      </c>
      <c r="K2534" t="s">
        <v>926</v>
      </c>
      <c r="L2534" s="5"/>
      <c r="M2534" s="5"/>
      <c r="N2534" t="s">
        <v>82</v>
      </c>
      <c r="O2534" t="s">
        <v>7957</v>
      </c>
      <c r="R2534">
        <v>1</v>
      </c>
      <c r="T2534" s="5"/>
      <c r="W2534">
        <v>144</v>
      </c>
      <c r="X2534" t="s">
        <v>463</v>
      </c>
      <c r="Y2534" t="str">
        <f>VLOOKUP(C2534,'[1]DBS_KPY Sorumlular'!A:C,2,FALSE)</f>
        <v>Seyithan İŞİK</v>
      </c>
      <c r="Z2534" t="str">
        <f>VLOOKUP(C2534,'[1]DBS_KPY Sorumlular'!A:C,3,FALSE)</f>
        <v>Korhan KÖROĞLU</v>
      </c>
      <c r="AA2534" t="str">
        <f>VLOOKUP(K2534,[1]!Tablo3[#Data],2,FALSE)</f>
        <v>Kadir TOPÇU</v>
      </c>
    </row>
    <row r="2535" spans="1:27" x14ac:dyDescent="0.25">
      <c r="A2535">
        <v>3887</v>
      </c>
      <c r="B2535" t="s">
        <v>27</v>
      </c>
      <c r="C2535" t="s">
        <v>652</v>
      </c>
      <c r="D2535" t="s">
        <v>653</v>
      </c>
      <c r="G2535" t="s">
        <v>456</v>
      </c>
      <c r="H2535" t="s">
        <v>7958</v>
      </c>
      <c r="I2535" s="4">
        <v>44347.875</v>
      </c>
      <c r="K2535" t="s">
        <v>926</v>
      </c>
      <c r="L2535" s="5"/>
      <c r="M2535" s="5"/>
      <c r="N2535" t="s">
        <v>82</v>
      </c>
      <c r="O2535" t="s">
        <v>7959</v>
      </c>
      <c r="R2535">
        <v>1</v>
      </c>
      <c r="T2535" s="5"/>
      <c r="W2535">
        <v>144</v>
      </c>
      <c r="X2535" t="s">
        <v>463</v>
      </c>
      <c r="Y2535" t="str">
        <f>VLOOKUP(C2535,'[1]DBS_KPY Sorumlular'!A:C,2,FALSE)</f>
        <v>Seyithan İŞİK</v>
      </c>
      <c r="Z2535" t="str">
        <f>VLOOKUP(C2535,'[1]DBS_KPY Sorumlular'!A:C,3,FALSE)</f>
        <v>Korhan KÖROĞLU</v>
      </c>
      <c r="AA2535" t="str">
        <f>VLOOKUP(K2535,[1]!Tablo3[#Data],2,FALSE)</f>
        <v>Kadir TOPÇU</v>
      </c>
    </row>
    <row r="2536" spans="1:27" x14ac:dyDescent="0.25">
      <c r="A2536">
        <v>3888</v>
      </c>
      <c r="B2536" t="s">
        <v>27</v>
      </c>
      <c r="C2536" t="s">
        <v>652</v>
      </c>
      <c r="D2536" t="s">
        <v>653</v>
      </c>
      <c r="G2536" t="s">
        <v>456</v>
      </c>
      <c r="H2536" t="s">
        <v>7960</v>
      </c>
      <c r="I2536" s="4">
        <v>44347.875</v>
      </c>
      <c r="K2536" t="s">
        <v>926</v>
      </c>
      <c r="L2536" s="5"/>
      <c r="M2536" s="5"/>
      <c r="N2536" t="s">
        <v>82</v>
      </c>
      <c r="O2536" t="s">
        <v>7961</v>
      </c>
      <c r="R2536">
        <v>1</v>
      </c>
      <c r="T2536" s="5"/>
      <c r="W2536">
        <v>144</v>
      </c>
      <c r="X2536" t="s">
        <v>463</v>
      </c>
      <c r="Y2536" t="str">
        <f>VLOOKUP(C2536,'[1]DBS_KPY Sorumlular'!A:C,2,FALSE)</f>
        <v>Seyithan İŞİK</v>
      </c>
      <c r="Z2536" t="str">
        <f>VLOOKUP(C2536,'[1]DBS_KPY Sorumlular'!A:C,3,FALSE)</f>
        <v>Korhan KÖROĞLU</v>
      </c>
      <c r="AA2536" t="str">
        <f>VLOOKUP(K2536,[1]!Tablo3[#Data],2,FALSE)</f>
        <v>Kadir TOPÇU</v>
      </c>
    </row>
    <row r="2537" spans="1:27" x14ac:dyDescent="0.25">
      <c r="A2537">
        <v>3889</v>
      </c>
      <c r="B2537" t="s">
        <v>27</v>
      </c>
      <c r="C2537" t="s">
        <v>652</v>
      </c>
      <c r="D2537" t="s">
        <v>653</v>
      </c>
      <c r="G2537" t="s">
        <v>456</v>
      </c>
      <c r="H2537" t="s">
        <v>7763</v>
      </c>
      <c r="I2537" s="4">
        <v>44712.875</v>
      </c>
      <c r="J2537" t="s">
        <v>7764</v>
      </c>
      <c r="K2537" t="s">
        <v>926</v>
      </c>
      <c r="L2537" s="5"/>
      <c r="M2537" s="5"/>
      <c r="N2537" t="s">
        <v>82</v>
      </c>
      <c r="O2537" t="s">
        <v>7962</v>
      </c>
      <c r="R2537">
        <v>1</v>
      </c>
      <c r="T2537" s="5"/>
      <c r="W2537">
        <v>144</v>
      </c>
      <c r="X2537" t="s">
        <v>463</v>
      </c>
      <c r="Y2537" t="str">
        <f>VLOOKUP(C2537,'[1]DBS_KPY Sorumlular'!A:C,2,FALSE)</f>
        <v>Seyithan İŞİK</v>
      </c>
      <c r="Z2537" t="str">
        <f>VLOOKUP(C2537,'[1]DBS_KPY Sorumlular'!A:C,3,FALSE)</f>
        <v>Korhan KÖROĞLU</v>
      </c>
      <c r="AA2537" t="str">
        <f>VLOOKUP(K2537,[1]!Tablo3[#Data],2,FALSE)</f>
        <v>Kadir TOPÇU</v>
      </c>
    </row>
    <row r="2538" spans="1:27" x14ac:dyDescent="0.25">
      <c r="A2538">
        <v>3890</v>
      </c>
      <c r="B2538" t="s">
        <v>27</v>
      </c>
      <c r="C2538" t="s">
        <v>652</v>
      </c>
      <c r="D2538" t="s">
        <v>653</v>
      </c>
      <c r="G2538" t="s">
        <v>456</v>
      </c>
      <c r="H2538" t="s">
        <v>7963</v>
      </c>
      <c r="I2538" s="4">
        <v>44712.875</v>
      </c>
      <c r="K2538" t="s">
        <v>926</v>
      </c>
      <c r="L2538" s="5"/>
      <c r="M2538" s="5"/>
      <c r="N2538" t="s">
        <v>82</v>
      </c>
      <c r="O2538" t="s">
        <v>7964</v>
      </c>
      <c r="R2538">
        <v>1</v>
      </c>
      <c r="T2538" s="5"/>
      <c r="W2538">
        <v>144</v>
      </c>
      <c r="X2538" t="s">
        <v>463</v>
      </c>
      <c r="Y2538" t="str">
        <f>VLOOKUP(C2538,'[1]DBS_KPY Sorumlular'!A:C,2,FALSE)</f>
        <v>Seyithan İŞİK</v>
      </c>
      <c r="Z2538" t="str">
        <f>VLOOKUP(C2538,'[1]DBS_KPY Sorumlular'!A:C,3,FALSE)</f>
        <v>Korhan KÖROĞLU</v>
      </c>
      <c r="AA2538" t="str">
        <f>VLOOKUP(K2538,[1]!Tablo3[#Data],2,FALSE)</f>
        <v>Kadir TOPÇU</v>
      </c>
    </row>
    <row r="2539" spans="1:27" x14ac:dyDescent="0.25">
      <c r="A2539">
        <v>3891</v>
      </c>
      <c r="B2539" t="s">
        <v>27</v>
      </c>
      <c r="C2539" t="s">
        <v>652</v>
      </c>
      <c r="D2539" t="s">
        <v>653</v>
      </c>
      <c r="G2539" t="s">
        <v>456</v>
      </c>
      <c r="H2539" t="s">
        <v>7965</v>
      </c>
      <c r="I2539" s="4">
        <v>45077.875</v>
      </c>
      <c r="J2539" t="s">
        <v>7708</v>
      </c>
      <c r="K2539" t="s">
        <v>926</v>
      </c>
      <c r="L2539" s="5"/>
      <c r="M2539" s="5"/>
      <c r="N2539" t="s">
        <v>82</v>
      </c>
      <c r="O2539" t="s">
        <v>7966</v>
      </c>
      <c r="R2539">
        <v>1</v>
      </c>
      <c r="T2539" s="5"/>
      <c r="W2539">
        <v>144</v>
      </c>
      <c r="X2539" t="s">
        <v>463</v>
      </c>
      <c r="Y2539" t="str">
        <f>VLOOKUP(C2539,'[1]DBS_KPY Sorumlular'!A:C,2,FALSE)</f>
        <v>Seyithan İŞİK</v>
      </c>
      <c r="Z2539" t="str">
        <f>VLOOKUP(C2539,'[1]DBS_KPY Sorumlular'!A:C,3,FALSE)</f>
        <v>Korhan KÖROĞLU</v>
      </c>
      <c r="AA2539" t="str">
        <f>VLOOKUP(K2539,[1]!Tablo3[#Data],2,FALSE)</f>
        <v>Kadir TOPÇU</v>
      </c>
    </row>
    <row r="2540" spans="1:27" x14ac:dyDescent="0.25">
      <c r="A2540">
        <v>3892</v>
      </c>
      <c r="B2540" t="s">
        <v>27</v>
      </c>
      <c r="C2540" t="s">
        <v>652</v>
      </c>
      <c r="D2540" t="s">
        <v>653</v>
      </c>
      <c r="G2540" t="s">
        <v>456</v>
      </c>
      <c r="H2540" t="s">
        <v>7967</v>
      </c>
      <c r="I2540" s="4">
        <v>45077.875</v>
      </c>
      <c r="J2540" t="s">
        <v>7708</v>
      </c>
      <c r="K2540" t="s">
        <v>926</v>
      </c>
      <c r="L2540" s="5"/>
      <c r="M2540" s="5"/>
      <c r="N2540" t="s">
        <v>82</v>
      </c>
      <c r="O2540" t="s">
        <v>7968</v>
      </c>
      <c r="R2540">
        <v>1</v>
      </c>
      <c r="T2540" s="5"/>
      <c r="W2540">
        <v>144</v>
      </c>
      <c r="X2540" t="s">
        <v>463</v>
      </c>
      <c r="Y2540" t="str">
        <f>VLOOKUP(C2540,'[1]DBS_KPY Sorumlular'!A:C,2,FALSE)</f>
        <v>Seyithan İŞİK</v>
      </c>
      <c r="Z2540" t="str">
        <f>VLOOKUP(C2540,'[1]DBS_KPY Sorumlular'!A:C,3,FALSE)</f>
        <v>Korhan KÖROĞLU</v>
      </c>
      <c r="AA2540" t="str">
        <f>VLOOKUP(K2540,[1]!Tablo3[#Data],2,FALSE)</f>
        <v>Kadir TOPÇU</v>
      </c>
    </row>
    <row r="2541" spans="1:27" x14ac:dyDescent="0.25">
      <c r="A2541">
        <v>3893</v>
      </c>
      <c r="B2541" t="s">
        <v>27</v>
      </c>
      <c r="C2541" t="s">
        <v>652</v>
      </c>
      <c r="D2541" t="s">
        <v>653</v>
      </c>
      <c r="G2541" t="s">
        <v>456</v>
      </c>
      <c r="H2541" t="s">
        <v>7969</v>
      </c>
      <c r="I2541" s="4">
        <v>45077.875</v>
      </c>
      <c r="K2541" t="s">
        <v>926</v>
      </c>
      <c r="L2541" s="5"/>
      <c r="M2541" s="5"/>
      <c r="N2541" t="s">
        <v>82</v>
      </c>
      <c r="O2541" t="s">
        <v>7970</v>
      </c>
      <c r="R2541">
        <v>1</v>
      </c>
      <c r="T2541" s="5"/>
      <c r="W2541">
        <v>144</v>
      </c>
      <c r="X2541" t="s">
        <v>463</v>
      </c>
      <c r="Y2541" t="str">
        <f>VLOOKUP(C2541,'[1]DBS_KPY Sorumlular'!A:C,2,FALSE)</f>
        <v>Seyithan İŞİK</v>
      </c>
      <c r="Z2541" t="str">
        <f>VLOOKUP(C2541,'[1]DBS_KPY Sorumlular'!A:C,3,FALSE)</f>
        <v>Korhan KÖROĞLU</v>
      </c>
      <c r="AA2541" t="str">
        <f>VLOOKUP(K2541,[1]!Tablo3[#Data],2,FALSE)</f>
        <v>Kadir TOPÇU</v>
      </c>
    </row>
    <row r="2542" spans="1:27" x14ac:dyDescent="0.25">
      <c r="A2542">
        <v>3894</v>
      </c>
      <c r="B2542" t="s">
        <v>27</v>
      </c>
      <c r="C2542" t="s">
        <v>652</v>
      </c>
      <c r="D2542" t="s">
        <v>653</v>
      </c>
      <c r="G2542" t="s">
        <v>456</v>
      </c>
      <c r="H2542" t="s">
        <v>7971</v>
      </c>
      <c r="I2542" s="4">
        <v>43982.875</v>
      </c>
      <c r="K2542" t="s">
        <v>1334</v>
      </c>
      <c r="L2542" s="5"/>
      <c r="M2542" s="5"/>
      <c r="N2542" t="s">
        <v>82</v>
      </c>
      <c r="O2542" t="s">
        <v>7972</v>
      </c>
      <c r="R2542">
        <v>1</v>
      </c>
      <c r="T2542" s="5"/>
      <c r="W2542">
        <v>144</v>
      </c>
      <c r="X2542" t="s">
        <v>463</v>
      </c>
      <c r="Y2542" t="str">
        <f>VLOOKUP(C2542,'[1]DBS_KPY Sorumlular'!A:C,2,FALSE)</f>
        <v>Seyithan İŞİK</v>
      </c>
      <c r="Z2542" t="str">
        <f>VLOOKUP(C2542,'[1]DBS_KPY Sorumlular'!A:C,3,FALSE)</f>
        <v>Korhan KÖROĞLU</v>
      </c>
      <c r="AA2542" t="str">
        <f>VLOOKUP(K2542,[1]!Tablo3[#Data],2,FALSE)</f>
        <v>Erkan AKDOĞAN</v>
      </c>
    </row>
    <row r="2543" spans="1:27" x14ac:dyDescent="0.25">
      <c r="A2543">
        <v>3895</v>
      </c>
      <c r="B2543" t="s">
        <v>27</v>
      </c>
      <c r="C2543" t="s">
        <v>652</v>
      </c>
      <c r="D2543" t="s">
        <v>653</v>
      </c>
      <c r="G2543" t="s">
        <v>456</v>
      </c>
      <c r="H2543" t="s">
        <v>7973</v>
      </c>
      <c r="I2543" s="4">
        <v>43982.875</v>
      </c>
      <c r="K2543" t="s">
        <v>1334</v>
      </c>
      <c r="L2543" s="5"/>
      <c r="M2543" s="5"/>
      <c r="N2543" t="s">
        <v>82</v>
      </c>
      <c r="O2543" t="s">
        <v>7974</v>
      </c>
      <c r="R2543">
        <v>1</v>
      </c>
      <c r="T2543" s="5"/>
      <c r="W2543">
        <v>144</v>
      </c>
      <c r="X2543" t="s">
        <v>463</v>
      </c>
      <c r="Y2543" t="str">
        <f>VLOOKUP(C2543,'[1]DBS_KPY Sorumlular'!A:C,2,FALSE)</f>
        <v>Seyithan İŞİK</v>
      </c>
      <c r="Z2543" t="str">
        <f>VLOOKUP(C2543,'[1]DBS_KPY Sorumlular'!A:C,3,FALSE)</f>
        <v>Korhan KÖROĞLU</v>
      </c>
      <c r="AA2543" t="str">
        <f>VLOOKUP(K2543,[1]!Tablo3[#Data],2,FALSE)</f>
        <v>Erkan AKDOĞAN</v>
      </c>
    </row>
    <row r="2544" spans="1:27" x14ac:dyDescent="0.25">
      <c r="A2544">
        <v>3896</v>
      </c>
      <c r="B2544" t="s">
        <v>27</v>
      </c>
      <c r="C2544" t="s">
        <v>652</v>
      </c>
      <c r="D2544" t="s">
        <v>653</v>
      </c>
      <c r="G2544" t="s">
        <v>456</v>
      </c>
      <c r="H2544" t="s">
        <v>7975</v>
      </c>
      <c r="I2544" s="4">
        <v>44347.875</v>
      </c>
      <c r="K2544" t="s">
        <v>1334</v>
      </c>
      <c r="L2544" s="5"/>
      <c r="M2544" s="5"/>
      <c r="N2544" t="s">
        <v>82</v>
      </c>
      <c r="O2544" t="s">
        <v>7976</v>
      </c>
      <c r="R2544">
        <v>1</v>
      </c>
      <c r="T2544" s="5"/>
      <c r="W2544">
        <v>144</v>
      </c>
      <c r="X2544" t="s">
        <v>463</v>
      </c>
      <c r="Y2544" t="str">
        <f>VLOOKUP(C2544,'[1]DBS_KPY Sorumlular'!A:C,2,FALSE)</f>
        <v>Seyithan İŞİK</v>
      </c>
      <c r="Z2544" t="str">
        <f>VLOOKUP(C2544,'[1]DBS_KPY Sorumlular'!A:C,3,FALSE)</f>
        <v>Korhan KÖROĞLU</v>
      </c>
      <c r="AA2544" t="str">
        <f>VLOOKUP(K2544,[1]!Tablo3[#Data],2,FALSE)</f>
        <v>Erkan AKDOĞAN</v>
      </c>
    </row>
    <row r="2545" spans="1:27" x14ac:dyDescent="0.25">
      <c r="A2545">
        <v>3897</v>
      </c>
      <c r="B2545" t="s">
        <v>27</v>
      </c>
      <c r="C2545" t="s">
        <v>652</v>
      </c>
      <c r="D2545" t="s">
        <v>653</v>
      </c>
      <c r="G2545" t="s">
        <v>456</v>
      </c>
      <c r="H2545" t="s">
        <v>7977</v>
      </c>
      <c r="I2545" s="4">
        <v>44712.875</v>
      </c>
      <c r="J2545" t="s">
        <v>7691</v>
      </c>
      <c r="K2545" t="s">
        <v>1334</v>
      </c>
      <c r="L2545" s="5"/>
      <c r="M2545" s="5"/>
      <c r="N2545" t="s">
        <v>82</v>
      </c>
      <c r="O2545" t="s">
        <v>7978</v>
      </c>
      <c r="R2545">
        <v>1</v>
      </c>
      <c r="T2545" s="5"/>
      <c r="W2545">
        <v>144</v>
      </c>
      <c r="X2545" t="s">
        <v>463</v>
      </c>
      <c r="Y2545" t="str">
        <f>VLOOKUP(C2545,'[1]DBS_KPY Sorumlular'!A:C,2,FALSE)</f>
        <v>Seyithan İŞİK</v>
      </c>
      <c r="Z2545" t="str">
        <f>VLOOKUP(C2545,'[1]DBS_KPY Sorumlular'!A:C,3,FALSE)</f>
        <v>Korhan KÖROĞLU</v>
      </c>
      <c r="AA2545" t="str">
        <f>VLOOKUP(K2545,[1]!Tablo3[#Data],2,FALSE)</f>
        <v>Erkan AKDOĞAN</v>
      </c>
    </row>
    <row r="2546" spans="1:27" x14ac:dyDescent="0.25">
      <c r="A2546">
        <v>3898</v>
      </c>
      <c r="B2546" t="s">
        <v>27</v>
      </c>
      <c r="C2546" t="s">
        <v>652</v>
      </c>
      <c r="D2546" t="s">
        <v>653</v>
      </c>
      <c r="G2546" t="s">
        <v>456</v>
      </c>
      <c r="H2546" t="s">
        <v>7979</v>
      </c>
      <c r="I2546" s="4">
        <v>44712.875</v>
      </c>
      <c r="J2546" t="s">
        <v>7691</v>
      </c>
      <c r="K2546" t="s">
        <v>1334</v>
      </c>
      <c r="L2546" s="5"/>
      <c r="M2546" s="5"/>
      <c r="N2546" t="s">
        <v>82</v>
      </c>
      <c r="O2546" t="s">
        <v>7980</v>
      </c>
      <c r="R2546">
        <v>1</v>
      </c>
      <c r="T2546" s="5"/>
      <c r="W2546">
        <v>144</v>
      </c>
      <c r="X2546" t="s">
        <v>463</v>
      </c>
      <c r="Y2546" t="str">
        <f>VLOOKUP(C2546,'[1]DBS_KPY Sorumlular'!A:C,2,FALSE)</f>
        <v>Seyithan İŞİK</v>
      </c>
      <c r="Z2546" t="str">
        <f>VLOOKUP(C2546,'[1]DBS_KPY Sorumlular'!A:C,3,FALSE)</f>
        <v>Korhan KÖROĞLU</v>
      </c>
      <c r="AA2546" t="str">
        <f>VLOOKUP(K2546,[1]!Tablo3[#Data],2,FALSE)</f>
        <v>Erkan AKDOĞAN</v>
      </c>
    </row>
    <row r="2547" spans="1:27" x14ac:dyDescent="0.25">
      <c r="A2547">
        <v>3899</v>
      </c>
      <c r="B2547" t="s">
        <v>27</v>
      </c>
      <c r="C2547" t="s">
        <v>652</v>
      </c>
      <c r="D2547" t="s">
        <v>653</v>
      </c>
      <c r="G2547" t="s">
        <v>456</v>
      </c>
      <c r="H2547" t="s">
        <v>7981</v>
      </c>
      <c r="I2547" s="4">
        <v>45077.875</v>
      </c>
      <c r="K2547" t="s">
        <v>1334</v>
      </c>
      <c r="L2547" s="5"/>
      <c r="M2547" s="5"/>
      <c r="N2547" t="s">
        <v>82</v>
      </c>
      <c r="O2547" t="s">
        <v>7982</v>
      </c>
      <c r="R2547">
        <v>1</v>
      </c>
      <c r="T2547" s="5"/>
      <c r="W2547">
        <v>144</v>
      </c>
      <c r="X2547" t="s">
        <v>463</v>
      </c>
      <c r="Y2547" t="str">
        <f>VLOOKUP(C2547,'[1]DBS_KPY Sorumlular'!A:C,2,FALSE)</f>
        <v>Seyithan İŞİK</v>
      </c>
      <c r="Z2547" t="str">
        <f>VLOOKUP(C2547,'[1]DBS_KPY Sorumlular'!A:C,3,FALSE)</f>
        <v>Korhan KÖROĞLU</v>
      </c>
      <c r="AA2547" t="str">
        <f>VLOOKUP(K2547,[1]!Tablo3[#Data],2,FALSE)</f>
        <v>Erkan AKDOĞAN</v>
      </c>
    </row>
    <row r="2548" spans="1:27" x14ac:dyDescent="0.25">
      <c r="A2548">
        <v>3900</v>
      </c>
      <c r="B2548" t="s">
        <v>27</v>
      </c>
      <c r="C2548" t="s">
        <v>652</v>
      </c>
      <c r="D2548" t="s">
        <v>653</v>
      </c>
      <c r="G2548" t="s">
        <v>456</v>
      </c>
      <c r="H2548" t="s">
        <v>7983</v>
      </c>
      <c r="I2548" s="4">
        <v>43982.875</v>
      </c>
      <c r="K2548" t="s">
        <v>1348</v>
      </c>
      <c r="L2548" s="5"/>
      <c r="M2548" s="5"/>
      <c r="N2548" t="s">
        <v>82</v>
      </c>
      <c r="O2548" t="s">
        <v>7984</v>
      </c>
      <c r="R2548">
        <v>1</v>
      </c>
      <c r="T2548" s="5"/>
      <c r="W2548">
        <v>144</v>
      </c>
      <c r="X2548" t="s">
        <v>463</v>
      </c>
      <c r="Y2548" t="str">
        <f>VLOOKUP(C2548,'[1]DBS_KPY Sorumlular'!A:C,2,FALSE)</f>
        <v>Seyithan İŞİK</v>
      </c>
      <c r="Z2548" t="str">
        <f>VLOOKUP(C2548,'[1]DBS_KPY Sorumlular'!A:C,3,FALSE)</f>
        <v>Korhan KÖROĞLU</v>
      </c>
      <c r="AA2548" t="str">
        <f>VLOOKUP(K2548,[1]!Tablo3[#Data],2,FALSE)</f>
        <v>Tayfun VİÇE</v>
      </c>
    </row>
    <row r="2549" spans="1:27" x14ac:dyDescent="0.25">
      <c r="A2549">
        <v>3901</v>
      </c>
      <c r="B2549" t="s">
        <v>27</v>
      </c>
      <c r="C2549" t="s">
        <v>652</v>
      </c>
      <c r="D2549" t="s">
        <v>653</v>
      </c>
      <c r="G2549" t="s">
        <v>456</v>
      </c>
      <c r="H2549" t="s">
        <v>7985</v>
      </c>
      <c r="I2549" s="4">
        <v>43616.875</v>
      </c>
      <c r="K2549" t="s">
        <v>1360</v>
      </c>
      <c r="L2549" s="5"/>
      <c r="M2549" s="5"/>
      <c r="N2549" t="s">
        <v>82</v>
      </c>
      <c r="O2549" t="s">
        <v>7986</v>
      </c>
      <c r="R2549">
        <v>1</v>
      </c>
      <c r="T2549" s="5"/>
      <c r="W2549">
        <v>144</v>
      </c>
      <c r="X2549" t="s">
        <v>463</v>
      </c>
      <c r="Y2549" t="str">
        <f>VLOOKUP(C2549,'[1]DBS_KPY Sorumlular'!A:C,2,FALSE)</f>
        <v>Seyithan İŞİK</v>
      </c>
      <c r="Z2549" t="str">
        <f>VLOOKUP(C2549,'[1]DBS_KPY Sorumlular'!A:C,3,FALSE)</f>
        <v>Korhan KÖROĞLU</v>
      </c>
      <c r="AA2549" t="str">
        <f>VLOOKUP(K2549,[1]!Tablo3[#Data],2,FALSE)</f>
        <v>Kadir TOPÇU</v>
      </c>
    </row>
    <row r="2550" spans="1:27" x14ac:dyDescent="0.25">
      <c r="A2550">
        <v>3902</v>
      </c>
      <c r="B2550" t="s">
        <v>27</v>
      </c>
      <c r="C2550" t="s">
        <v>652</v>
      </c>
      <c r="D2550" t="s">
        <v>653</v>
      </c>
      <c r="G2550" t="s">
        <v>456</v>
      </c>
      <c r="H2550" t="s">
        <v>7987</v>
      </c>
      <c r="I2550" s="4">
        <v>44712.875</v>
      </c>
      <c r="K2550" t="s">
        <v>1360</v>
      </c>
      <c r="L2550" s="5"/>
      <c r="M2550" s="5"/>
      <c r="N2550" t="s">
        <v>82</v>
      </c>
      <c r="O2550" t="s">
        <v>7988</v>
      </c>
      <c r="R2550">
        <v>1</v>
      </c>
      <c r="T2550" s="5"/>
      <c r="W2550">
        <v>144</v>
      </c>
      <c r="X2550" t="s">
        <v>463</v>
      </c>
      <c r="Y2550" t="str">
        <f>VLOOKUP(C2550,'[1]DBS_KPY Sorumlular'!A:C,2,FALSE)</f>
        <v>Seyithan İŞİK</v>
      </c>
      <c r="Z2550" t="str">
        <f>VLOOKUP(C2550,'[1]DBS_KPY Sorumlular'!A:C,3,FALSE)</f>
        <v>Korhan KÖROĞLU</v>
      </c>
      <c r="AA2550" t="str">
        <f>VLOOKUP(K2550,[1]!Tablo3[#Data],2,FALSE)</f>
        <v>Kadir TOPÇU</v>
      </c>
    </row>
    <row r="2551" spans="1:27" x14ac:dyDescent="0.25">
      <c r="A2551">
        <v>3903</v>
      </c>
      <c r="B2551" t="s">
        <v>27</v>
      </c>
      <c r="C2551" t="s">
        <v>652</v>
      </c>
      <c r="D2551" t="s">
        <v>653</v>
      </c>
      <c r="G2551" t="s">
        <v>456</v>
      </c>
      <c r="H2551" t="s">
        <v>7989</v>
      </c>
      <c r="I2551" s="4">
        <v>45077.875</v>
      </c>
      <c r="K2551" t="s">
        <v>1360</v>
      </c>
      <c r="L2551" s="5"/>
      <c r="M2551" s="5"/>
      <c r="N2551" t="s">
        <v>82</v>
      </c>
      <c r="O2551" t="s">
        <v>7990</v>
      </c>
      <c r="R2551">
        <v>1</v>
      </c>
      <c r="T2551" s="5"/>
      <c r="W2551">
        <v>144</v>
      </c>
      <c r="X2551" t="s">
        <v>463</v>
      </c>
      <c r="Y2551" t="str">
        <f>VLOOKUP(C2551,'[1]DBS_KPY Sorumlular'!A:C,2,FALSE)</f>
        <v>Seyithan İŞİK</v>
      </c>
      <c r="Z2551" t="str">
        <f>VLOOKUP(C2551,'[1]DBS_KPY Sorumlular'!A:C,3,FALSE)</f>
        <v>Korhan KÖROĞLU</v>
      </c>
      <c r="AA2551" t="str">
        <f>VLOOKUP(K2551,[1]!Tablo3[#Data],2,FALSE)</f>
        <v>Kadir TOPÇU</v>
      </c>
    </row>
    <row r="2552" spans="1:27" x14ac:dyDescent="0.25">
      <c r="A2552">
        <v>3904</v>
      </c>
      <c r="B2552" t="s">
        <v>27</v>
      </c>
      <c r="C2552" t="s">
        <v>652</v>
      </c>
      <c r="D2552" t="s">
        <v>653</v>
      </c>
      <c r="G2552" t="s">
        <v>456</v>
      </c>
      <c r="H2552" t="s">
        <v>7991</v>
      </c>
      <c r="I2552" s="4">
        <v>45077.875</v>
      </c>
      <c r="K2552" t="s">
        <v>1398</v>
      </c>
      <c r="L2552" s="5"/>
      <c r="M2552" s="5"/>
      <c r="N2552" t="s">
        <v>82</v>
      </c>
      <c r="O2552" t="s">
        <v>7992</v>
      </c>
      <c r="R2552">
        <v>1</v>
      </c>
      <c r="T2552" s="5"/>
      <c r="W2552">
        <v>144</v>
      </c>
      <c r="X2552" t="s">
        <v>463</v>
      </c>
      <c r="Y2552" t="str">
        <f>VLOOKUP(C2552,'[1]DBS_KPY Sorumlular'!A:C,2,FALSE)</f>
        <v>Seyithan İŞİK</v>
      </c>
      <c r="Z2552" t="str">
        <f>VLOOKUP(C2552,'[1]DBS_KPY Sorumlular'!A:C,3,FALSE)</f>
        <v>Korhan KÖROĞLU</v>
      </c>
      <c r="AA2552" t="str">
        <f>VLOOKUP(K2552,[1]!Tablo3[#Data],2,FALSE)</f>
        <v>Tayfun VİÇE</v>
      </c>
    </row>
    <row r="2553" spans="1:27" x14ac:dyDescent="0.25">
      <c r="A2553">
        <v>3905</v>
      </c>
      <c r="B2553" t="s">
        <v>27</v>
      </c>
      <c r="C2553" t="s">
        <v>652</v>
      </c>
      <c r="D2553" t="s">
        <v>653</v>
      </c>
      <c r="G2553" t="s">
        <v>456</v>
      </c>
      <c r="H2553" t="s">
        <v>7993</v>
      </c>
      <c r="I2553" s="4">
        <v>43982.875</v>
      </c>
      <c r="K2553" t="s">
        <v>423</v>
      </c>
      <c r="L2553" s="5"/>
      <c r="M2553" s="5"/>
      <c r="N2553" t="s">
        <v>82</v>
      </c>
      <c r="O2553" t="s">
        <v>7994</v>
      </c>
      <c r="R2553">
        <v>1</v>
      </c>
      <c r="T2553" s="5"/>
      <c r="W2553">
        <v>144</v>
      </c>
      <c r="X2553" t="s">
        <v>463</v>
      </c>
      <c r="Y2553" t="str">
        <f>VLOOKUP(C2553,'[1]DBS_KPY Sorumlular'!A:C,2,FALSE)</f>
        <v>Seyithan İŞİK</v>
      </c>
      <c r="Z2553" t="str">
        <f>VLOOKUP(C2553,'[1]DBS_KPY Sorumlular'!A:C,3,FALSE)</f>
        <v>Korhan KÖROĞLU</v>
      </c>
      <c r="AA2553" t="str">
        <f>VLOOKUP(K2553,[1]!Tablo3[#Data],2,FALSE)</f>
        <v>Kadir TOPÇU</v>
      </c>
    </row>
    <row r="2554" spans="1:27" x14ac:dyDescent="0.25">
      <c r="A2554">
        <v>3906</v>
      </c>
      <c r="B2554" t="s">
        <v>27</v>
      </c>
      <c r="C2554" t="s">
        <v>652</v>
      </c>
      <c r="D2554" t="s">
        <v>653</v>
      </c>
      <c r="G2554" t="s">
        <v>456</v>
      </c>
      <c r="H2554" t="s">
        <v>7995</v>
      </c>
      <c r="I2554" s="4">
        <v>44347.875</v>
      </c>
      <c r="K2554" t="s">
        <v>423</v>
      </c>
      <c r="L2554" s="5"/>
      <c r="M2554" s="5"/>
      <c r="N2554" t="s">
        <v>82</v>
      </c>
      <c r="O2554" t="s">
        <v>7996</v>
      </c>
      <c r="R2554">
        <v>1</v>
      </c>
      <c r="T2554" s="5"/>
      <c r="W2554">
        <v>144</v>
      </c>
      <c r="X2554" t="s">
        <v>463</v>
      </c>
      <c r="Y2554" t="str">
        <f>VLOOKUP(C2554,'[1]DBS_KPY Sorumlular'!A:C,2,FALSE)</f>
        <v>Seyithan İŞİK</v>
      </c>
      <c r="Z2554" t="str">
        <f>VLOOKUP(C2554,'[1]DBS_KPY Sorumlular'!A:C,3,FALSE)</f>
        <v>Korhan KÖROĞLU</v>
      </c>
      <c r="AA2554" t="str">
        <f>VLOOKUP(K2554,[1]!Tablo3[#Data],2,FALSE)</f>
        <v>Kadir TOPÇU</v>
      </c>
    </row>
    <row r="2555" spans="1:27" x14ac:dyDescent="0.25">
      <c r="A2555">
        <v>3907</v>
      </c>
      <c r="B2555" t="s">
        <v>27</v>
      </c>
      <c r="C2555" t="s">
        <v>652</v>
      </c>
      <c r="D2555" t="s">
        <v>653</v>
      </c>
      <c r="G2555" t="s">
        <v>456</v>
      </c>
      <c r="H2555" t="s">
        <v>7997</v>
      </c>
      <c r="I2555" s="4">
        <v>44347.875</v>
      </c>
      <c r="K2555" t="s">
        <v>423</v>
      </c>
      <c r="L2555" s="5"/>
      <c r="M2555" s="5"/>
      <c r="N2555" t="s">
        <v>82</v>
      </c>
      <c r="O2555" t="s">
        <v>7998</v>
      </c>
      <c r="R2555">
        <v>1</v>
      </c>
      <c r="T2555" s="5"/>
      <c r="W2555">
        <v>144</v>
      </c>
      <c r="X2555" t="s">
        <v>463</v>
      </c>
      <c r="Y2555" t="str">
        <f>VLOOKUP(C2555,'[1]DBS_KPY Sorumlular'!A:C,2,FALSE)</f>
        <v>Seyithan İŞİK</v>
      </c>
      <c r="Z2555" t="str">
        <f>VLOOKUP(C2555,'[1]DBS_KPY Sorumlular'!A:C,3,FALSE)</f>
        <v>Korhan KÖROĞLU</v>
      </c>
      <c r="AA2555" t="str">
        <f>VLOOKUP(K2555,[1]!Tablo3[#Data],2,FALSE)</f>
        <v>Kadir TOPÇU</v>
      </c>
    </row>
    <row r="2556" spans="1:27" x14ac:dyDescent="0.25">
      <c r="A2556">
        <v>3908</v>
      </c>
      <c r="B2556" t="s">
        <v>27</v>
      </c>
      <c r="C2556" t="s">
        <v>652</v>
      </c>
      <c r="D2556" t="s">
        <v>653</v>
      </c>
      <c r="G2556" t="s">
        <v>456</v>
      </c>
      <c r="H2556" t="s">
        <v>7999</v>
      </c>
      <c r="I2556" s="4">
        <v>44347.875</v>
      </c>
      <c r="K2556" t="s">
        <v>1471</v>
      </c>
      <c r="L2556" s="5"/>
      <c r="M2556" s="5"/>
      <c r="N2556" t="s">
        <v>82</v>
      </c>
      <c r="O2556" t="s">
        <v>8000</v>
      </c>
      <c r="R2556">
        <v>1</v>
      </c>
      <c r="T2556" s="5"/>
      <c r="W2556">
        <v>144</v>
      </c>
      <c r="X2556" t="s">
        <v>463</v>
      </c>
      <c r="Y2556" t="str">
        <f>VLOOKUP(C2556,'[1]DBS_KPY Sorumlular'!A:C,2,FALSE)</f>
        <v>Seyithan İŞİK</v>
      </c>
      <c r="Z2556" t="str">
        <f>VLOOKUP(C2556,'[1]DBS_KPY Sorumlular'!A:C,3,FALSE)</f>
        <v>Korhan KÖROĞLU</v>
      </c>
      <c r="AA2556" t="str">
        <f>VLOOKUP(K2556,[1]!Tablo3[#Data],2,FALSE)</f>
        <v>Tayfun VİÇE</v>
      </c>
    </row>
    <row r="2557" spans="1:27" x14ac:dyDescent="0.25">
      <c r="A2557">
        <v>3909</v>
      </c>
      <c r="B2557" t="s">
        <v>27</v>
      </c>
      <c r="C2557" t="s">
        <v>652</v>
      </c>
      <c r="D2557" t="s">
        <v>653</v>
      </c>
      <c r="G2557" t="s">
        <v>456</v>
      </c>
      <c r="H2557" t="s">
        <v>8001</v>
      </c>
      <c r="I2557" s="4">
        <v>44347.875</v>
      </c>
      <c r="K2557" t="s">
        <v>1471</v>
      </c>
      <c r="L2557" s="5"/>
      <c r="M2557" s="5"/>
      <c r="N2557" t="s">
        <v>82</v>
      </c>
      <c r="O2557" t="s">
        <v>8002</v>
      </c>
      <c r="R2557">
        <v>1</v>
      </c>
      <c r="T2557" s="5"/>
      <c r="W2557">
        <v>144</v>
      </c>
      <c r="X2557" t="s">
        <v>463</v>
      </c>
      <c r="Y2557" t="str">
        <f>VLOOKUP(C2557,'[1]DBS_KPY Sorumlular'!A:C,2,FALSE)</f>
        <v>Seyithan İŞİK</v>
      </c>
      <c r="Z2557" t="str">
        <f>VLOOKUP(C2557,'[1]DBS_KPY Sorumlular'!A:C,3,FALSE)</f>
        <v>Korhan KÖROĞLU</v>
      </c>
      <c r="AA2557" t="str">
        <f>VLOOKUP(K2557,[1]!Tablo3[#Data],2,FALSE)</f>
        <v>Tayfun VİÇE</v>
      </c>
    </row>
    <row r="2558" spans="1:27" x14ac:dyDescent="0.25">
      <c r="A2558">
        <v>3910</v>
      </c>
      <c r="B2558" t="s">
        <v>27</v>
      </c>
      <c r="C2558" t="s">
        <v>652</v>
      </c>
      <c r="D2558" t="s">
        <v>653</v>
      </c>
      <c r="G2558" t="s">
        <v>456</v>
      </c>
      <c r="H2558" t="s">
        <v>8003</v>
      </c>
      <c r="I2558" s="4">
        <v>44712.875</v>
      </c>
      <c r="K2558" t="s">
        <v>1471</v>
      </c>
      <c r="L2558" s="5"/>
      <c r="M2558" s="5"/>
      <c r="N2558" t="s">
        <v>82</v>
      </c>
      <c r="O2558" t="s">
        <v>8004</v>
      </c>
      <c r="R2558">
        <v>1</v>
      </c>
      <c r="T2558" s="5"/>
      <c r="W2558">
        <v>144</v>
      </c>
      <c r="X2558" t="s">
        <v>463</v>
      </c>
      <c r="Y2558" t="str">
        <f>VLOOKUP(C2558,'[1]DBS_KPY Sorumlular'!A:C,2,FALSE)</f>
        <v>Seyithan İŞİK</v>
      </c>
      <c r="Z2558" t="str">
        <f>VLOOKUP(C2558,'[1]DBS_KPY Sorumlular'!A:C,3,FALSE)</f>
        <v>Korhan KÖROĞLU</v>
      </c>
      <c r="AA2558" t="str">
        <f>VLOOKUP(K2558,[1]!Tablo3[#Data],2,FALSE)</f>
        <v>Tayfun VİÇE</v>
      </c>
    </row>
    <row r="2559" spans="1:27" x14ac:dyDescent="0.25">
      <c r="A2559">
        <v>3911</v>
      </c>
      <c r="B2559" t="s">
        <v>27</v>
      </c>
      <c r="C2559" t="s">
        <v>652</v>
      </c>
      <c r="D2559" t="s">
        <v>653</v>
      </c>
      <c r="G2559" t="s">
        <v>456</v>
      </c>
      <c r="H2559" t="s">
        <v>8005</v>
      </c>
      <c r="I2559" s="4">
        <v>44712.875</v>
      </c>
      <c r="K2559" t="s">
        <v>1471</v>
      </c>
      <c r="L2559" s="5"/>
      <c r="M2559" s="5"/>
      <c r="N2559" t="s">
        <v>82</v>
      </c>
      <c r="O2559" t="s">
        <v>8006</v>
      </c>
      <c r="R2559">
        <v>1</v>
      </c>
      <c r="T2559" s="5"/>
      <c r="W2559">
        <v>144</v>
      </c>
      <c r="X2559" t="s">
        <v>463</v>
      </c>
      <c r="Y2559" t="str">
        <f>VLOOKUP(C2559,'[1]DBS_KPY Sorumlular'!A:C,2,FALSE)</f>
        <v>Seyithan İŞİK</v>
      </c>
      <c r="Z2559" t="str">
        <f>VLOOKUP(C2559,'[1]DBS_KPY Sorumlular'!A:C,3,FALSE)</f>
        <v>Korhan KÖROĞLU</v>
      </c>
      <c r="AA2559" t="str">
        <f>VLOOKUP(K2559,[1]!Tablo3[#Data],2,FALSE)</f>
        <v>Tayfun VİÇE</v>
      </c>
    </row>
    <row r="2560" spans="1:27" x14ac:dyDescent="0.25">
      <c r="A2560">
        <v>3912</v>
      </c>
      <c r="B2560" t="s">
        <v>27</v>
      </c>
      <c r="C2560" t="s">
        <v>652</v>
      </c>
      <c r="D2560" t="s">
        <v>653</v>
      </c>
      <c r="G2560" t="s">
        <v>456</v>
      </c>
      <c r="H2560" t="s">
        <v>8007</v>
      </c>
      <c r="I2560" s="4">
        <v>44712.875</v>
      </c>
      <c r="J2560" t="s">
        <v>7691</v>
      </c>
      <c r="K2560" t="s">
        <v>1471</v>
      </c>
      <c r="L2560" s="5"/>
      <c r="M2560" s="5"/>
      <c r="N2560" t="s">
        <v>82</v>
      </c>
      <c r="O2560" t="s">
        <v>8008</v>
      </c>
      <c r="R2560">
        <v>1</v>
      </c>
      <c r="T2560" s="5"/>
      <c r="W2560">
        <v>144</v>
      </c>
      <c r="X2560" t="s">
        <v>463</v>
      </c>
      <c r="Y2560" t="str">
        <f>VLOOKUP(C2560,'[1]DBS_KPY Sorumlular'!A:C,2,FALSE)</f>
        <v>Seyithan İŞİK</v>
      </c>
      <c r="Z2560" t="str">
        <f>VLOOKUP(C2560,'[1]DBS_KPY Sorumlular'!A:C,3,FALSE)</f>
        <v>Korhan KÖROĞLU</v>
      </c>
      <c r="AA2560" t="str">
        <f>VLOOKUP(K2560,[1]!Tablo3[#Data],2,FALSE)</f>
        <v>Tayfun VİÇE</v>
      </c>
    </row>
    <row r="2561" spans="1:27" x14ac:dyDescent="0.25">
      <c r="A2561">
        <v>3913</v>
      </c>
      <c r="B2561" t="s">
        <v>27</v>
      </c>
      <c r="C2561" t="s">
        <v>652</v>
      </c>
      <c r="D2561" t="s">
        <v>653</v>
      </c>
      <c r="G2561" t="s">
        <v>456</v>
      </c>
      <c r="H2561" t="s">
        <v>8009</v>
      </c>
      <c r="I2561" s="4">
        <v>45077.875</v>
      </c>
      <c r="K2561" t="s">
        <v>1471</v>
      </c>
      <c r="L2561" s="5"/>
      <c r="M2561" s="5"/>
      <c r="N2561" t="s">
        <v>82</v>
      </c>
      <c r="O2561" t="s">
        <v>8010</v>
      </c>
      <c r="R2561">
        <v>1</v>
      </c>
      <c r="T2561" s="5"/>
      <c r="W2561">
        <v>144</v>
      </c>
      <c r="X2561" t="s">
        <v>463</v>
      </c>
      <c r="Y2561" t="str">
        <f>VLOOKUP(C2561,'[1]DBS_KPY Sorumlular'!A:C,2,FALSE)</f>
        <v>Seyithan İŞİK</v>
      </c>
      <c r="Z2561" t="str">
        <f>VLOOKUP(C2561,'[1]DBS_KPY Sorumlular'!A:C,3,FALSE)</f>
        <v>Korhan KÖROĞLU</v>
      </c>
      <c r="AA2561" t="str">
        <f>VLOOKUP(K2561,[1]!Tablo3[#Data],2,FALSE)</f>
        <v>Tayfun VİÇE</v>
      </c>
    </row>
    <row r="2562" spans="1:27" x14ac:dyDescent="0.25">
      <c r="A2562">
        <v>3914</v>
      </c>
      <c r="B2562" t="s">
        <v>27</v>
      </c>
      <c r="C2562" t="s">
        <v>652</v>
      </c>
      <c r="D2562" t="s">
        <v>653</v>
      </c>
      <c r="G2562" t="s">
        <v>456</v>
      </c>
      <c r="H2562" t="s">
        <v>8011</v>
      </c>
      <c r="I2562" s="4">
        <v>45443.875</v>
      </c>
      <c r="J2562" t="s">
        <v>7779</v>
      </c>
      <c r="K2562" t="s">
        <v>1471</v>
      </c>
      <c r="L2562" s="5"/>
      <c r="M2562" s="5"/>
      <c r="N2562" t="s">
        <v>82</v>
      </c>
      <c r="O2562" t="s">
        <v>8012</v>
      </c>
      <c r="R2562">
        <v>1</v>
      </c>
      <c r="T2562" s="5"/>
      <c r="W2562">
        <v>144</v>
      </c>
      <c r="X2562" t="s">
        <v>463</v>
      </c>
      <c r="Y2562" t="str">
        <f>VLOOKUP(C2562,'[1]DBS_KPY Sorumlular'!A:C,2,FALSE)</f>
        <v>Seyithan İŞİK</v>
      </c>
      <c r="Z2562" t="str">
        <f>VLOOKUP(C2562,'[1]DBS_KPY Sorumlular'!A:C,3,FALSE)</f>
        <v>Korhan KÖROĞLU</v>
      </c>
      <c r="AA2562" t="str">
        <f>VLOOKUP(K2562,[1]!Tablo3[#Data],2,FALSE)</f>
        <v>Tayfun VİÇE</v>
      </c>
    </row>
    <row r="2563" spans="1:27" x14ac:dyDescent="0.25">
      <c r="A2563">
        <v>3915</v>
      </c>
      <c r="B2563" t="s">
        <v>27</v>
      </c>
      <c r="C2563" t="s">
        <v>652</v>
      </c>
      <c r="D2563" t="s">
        <v>653</v>
      </c>
      <c r="G2563" t="s">
        <v>456</v>
      </c>
      <c r="H2563" t="s">
        <v>8013</v>
      </c>
      <c r="I2563" s="4">
        <v>44347.875</v>
      </c>
      <c r="K2563" t="s">
        <v>143</v>
      </c>
      <c r="L2563" s="5"/>
      <c r="M2563" s="5"/>
      <c r="N2563" t="s">
        <v>82</v>
      </c>
      <c r="O2563" t="s">
        <v>8014</v>
      </c>
      <c r="R2563">
        <v>1</v>
      </c>
      <c r="T2563" s="5"/>
      <c r="W2563">
        <v>144</v>
      </c>
      <c r="X2563" t="s">
        <v>463</v>
      </c>
      <c r="Y2563" t="str">
        <f>VLOOKUP(C2563,'[1]DBS_KPY Sorumlular'!A:C,2,FALSE)</f>
        <v>Seyithan İŞİK</v>
      </c>
      <c r="Z2563" t="str">
        <f>VLOOKUP(C2563,'[1]DBS_KPY Sorumlular'!A:C,3,FALSE)</f>
        <v>Korhan KÖROĞLU</v>
      </c>
      <c r="AA2563" t="str">
        <f>VLOOKUP(K2563,[1]!Tablo3[#Data],2,FALSE)</f>
        <v>Tayfun VİÇE</v>
      </c>
    </row>
    <row r="2564" spans="1:27" x14ac:dyDescent="0.25">
      <c r="A2564">
        <v>3916</v>
      </c>
      <c r="B2564" t="s">
        <v>27</v>
      </c>
      <c r="C2564" t="s">
        <v>652</v>
      </c>
      <c r="D2564" t="s">
        <v>653</v>
      </c>
      <c r="G2564" t="s">
        <v>456</v>
      </c>
      <c r="H2564" t="s">
        <v>8015</v>
      </c>
      <c r="I2564" s="4">
        <v>44347.875</v>
      </c>
      <c r="K2564" t="s">
        <v>143</v>
      </c>
      <c r="L2564" s="5"/>
      <c r="M2564" s="5"/>
      <c r="N2564" t="s">
        <v>82</v>
      </c>
      <c r="O2564" t="s">
        <v>8016</v>
      </c>
      <c r="R2564">
        <v>1</v>
      </c>
      <c r="T2564" s="5"/>
      <c r="W2564">
        <v>144</v>
      </c>
      <c r="X2564" t="s">
        <v>463</v>
      </c>
      <c r="Y2564" t="str">
        <f>VLOOKUP(C2564,'[1]DBS_KPY Sorumlular'!A:C,2,FALSE)</f>
        <v>Seyithan İŞİK</v>
      </c>
      <c r="Z2564" t="str">
        <f>VLOOKUP(C2564,'[1]DBS_KPY Sorumlular'!A:C,3,FALSE)</f>
        <v>Korhan KÖROĞLU</v>
      </c>
      <c r="AA2564" t="str">
        <f>VLOOKUP(K2564,[1]!Tablo3[#Data],2,FALSE)</f>
        <v>Tayfun VİÇE</v>
      </c>
    </row>
    <row r="2565" spans="1:27" x14ac:dyDescent="0.25">
      <c r="A2565">
        <v>3917</v>
      </c>
      <c r="B2565" t="s">
        <v>27</v>
      </c>
      <c r="C2565" t="s">
        <v>652</v>
      </c>
      <c r="D2565" t="s">
        <v>653</v>
      </c>
      <c r="G2565" t="s">
        <v>456</v>
      </c>
      <c r="H2565" t="s">
        <v>8017</v>
      </c>
      <c r="I2565" s="4">
        <v>45077.875</v>
      </c>
      <c r="K2565" t="s">
        <v>143</v>
      </c>
      <c r="L2565" s="5"/>
      <c r="M2565" s="5"/>
      <c r="N2565" t="s">
        <v>82</v>
      </c>
      <c r="O2565" t="s">
        <v>8018</v>
      </c>
      <c r="R2565">
        <v>1</v>
      </c>
      <c r="T2565" s="5"/>
      <c r="W2565">
        <v>144</v>
      </c>
      <c r="X2565" t="s">
        <v>463</v>
      </c>
      <c r="Y2565" t="str">
        <f>VLOOKUP(C2565,'[1]DBS_KPY Sorumlular'!A:C,2,FALSE)</f>
        <v>Seyithan İŞİK</v>
      </c>
      <c r="Z2565" t="str">
        <f>VLOOKUP(C2565,'[1]DBS_KPY Sorumlular'!A:C,3,FALSE)</f>
        <v>Korhan KÖROĞLU</v>
      </c>
      <c r="AA2565" t="str">
        <f>VLOOKUP(K2565,[1]!Tablo3[#Data],2,FALSE)</f>
        <v>Tayfun VİÇE</v>
      </c>
    </row>
    <row r="2566" spans="1:27" x14ac:dyDescent="0.25">
      <c r="A2566">
        <v>3918</v>
      </c>
      <c r="B2566" t="s">
        <v>27</v>
      </c>
      <c r="C2566" t="s">
        <v>652</v>
      </c>
      <c r="D2566" t="s">
        <v>653</v>
      </c>
      <c r="G2566" t="s">
        <v>456</v>
      </c>
      <c r="H2566" t="s">
        <v>8019</v>
      </c>
      <c r="I2566" s="4">
        <v>45077.875</v>
      </c>
      <c r="K2566" t="s">
        <v>1157</v>
      </c>
      <c r="L2566" s="5"/>
      <c r="M2566" s="5"/>
      <c r="N2566" t="s">
        <v>82</v>
      </c>
      <c r="O2566" t="s">
        <v>8020</v>
      </c>
      <c r="R2566">
        <v>1</v>
      </c>
      <c r="T2566" s="5"/>
      <c r="W2566">
        <v>144</v>
      </c>
      <c r="X2566" t="s">
        <v>463</v>
      </c>
      <c r="Y2566" t="str">
        <f>VLOOKUP(C2566,'[1]DBS_KPY Sorumlular'!A:C,2,FALSE)</f>
        <v>Seyithan İŞİK</v>
      </c>
      <c r="Z2566" t="str">
        <f>VLOOKUP(C2566,'[1]DBS_KPY Sorumlular'!A:C,3,FALSE)</f>
        <v>Korhan KÖROĞLU</v>
      </c>
      <c r="AA2566" t="str">
        <f>VLOOKUP(K2566,[1]!Tablo3[#Data],2,FALSE)</f>
        <v>Tayfun VİÇE</v>
      </c>
    </row>
    <row r="2567" spans="1:27" x14ac:dyDescent="0.25">
      <c r="A2567">
        <v>3919</v>
      </c>
      <c r="B2567" t="s">
        <v>27</v>
      </c>
      <c r="C2567" t="s">
        <v>652</v>
      </c>
      <c r="D2567" t="s">
        <v>653</v>
      </c>
      <c r="G2567" t="s">
        <v>456</v>
      </c>
      <c r="H2567" t="s">
        <v>8021</v>
      </c>
      <c r="I2567" s="4">
        <v>43616.875</v>
      </c>
      <c r="K2567" t="s">
        <v>1528</v>
      </c>
      <c r="L2567" s="5"/>
      <c r="M2567" s="5"/>
      <c r="N2567" t="s">
        <v>82</v>
      </c>
      <c r="O2567" t="s">
        <v>8022</v>
      </c>
      <c r="R2567">
        <v>1</v>
      </c>
      <c r="T2567" s="5"/>
      <c r="W2567">
        <v>144</v>
      </c>
      <c r="X2567" t="s">
        <v>463</v>
      </c>
      <c r="Y2567" t="str">
        <f>VLOOKUP(C2567,'[1]DBS_KPY Sorumlular'!A:C,2,FALSE)</f>
        <v>Seyithan İŞİK</v>
      </c>
      <c r="Z2567" t="str">
        <f>VLOOKUP(C2567,'[1]DBS_KPY Sorumlular'!A:C,3,FALSE)</f>
        <v>Korhan KÖROĞLU</v>
      </c>
      <c r="AA2567" t="str">
        <f>VLOOKUP(K2567,[1]!Tablo3[#Data],2,FALSE)</f>
        <v>Tayfun VİÇE</v>
      </c>
    </row>
    <row r="2568" spans="1:27" x14ac:dyDescent="0.25">
      <c r="A2568">
        <v>3920</v>
      </c>
      <c r="B2568" t="s">
        <v>27</v>
      </c>
      <c r="C2568" t="s">
        <v>652</v>
      </c>
      <c r="D2568" t="s">
        <v>653</v>
      </c>
      <c r="G2568" t="s">
        <v>456</v>
      </c>
      <c r="H2568" t="s">
        <v>8023</v>
      </c>
      <c r="I2568" s="4">
        <v>43616.875</v>
      </c>
      <c r="K2568" t="s">
        <v>1528</v>
      </c>
      <c r="L2568" s="5"/>
      <c r="M2568" s="5"/>
      <c r="N2568" t="s">
        <v>82</v>
      </c>
      <c r="O2568" t="s">
        <v>8024</v>
      </c>
      <c r="R2568">
        <v>1</v>
      </c>
      <c r="T2568" s="5"/>
      <c r="W2568">
        <v>144</v>
      </c>
      <c r="X2568" t="s">
        <v>463</v>
      </c>
      <c r="Y2568" t="str">
        <f>VLOOKUP(C2568,'[1]DBS_KPY Sorumlular'!A:C,2,FALSE)</f>
        <v>Seyithan İŞİK</v>
      </c>
      <c r="Z2568" t="str">
        <f>VLOOKUP(C2568,'[1]DBS_KPY Sorumlular'!A:C,3,FALSE)</f>
        <v>Korhan KÖROĞLU</v>
      </c>
      <c r="AA2568" t="str">
        <f>VLOOKUP(K2568,[1]!Tablo3[#Data],2,FALSE)</f>
        <v>Tayfun VİÇE</v>
      </c>
    </row>
    <row r="2569" spans="1:27" x14ac:dyDescent="0.25">
      <c r="A2569">
        <v>3921</v>
      </c>
      <c r="B2569" t="s">
        <v>27</v>
      </c>
      <c r="C2569" t="s">
        <v>652</v>
      </c>
      <c r="D2569" t="s">
        <v>653</v>
      </c>
      <c r="G2569" t="s">
        <v>456</v>
      </c>
      <c r="H2569" t="s">
        <v>8025</v>
      </c>
      <c r="I2569" s="4">
        <v>44347.875</v>
      </c>
      <c r="K2569" t="s">
        <v>1528</v>
      </c>
      <c r="L2569" s="5"/>
      <c r="M2569" s="5"/>
      <c r="N2569" t="s">
        <v>82</v>
      </c>
      <c r="O2569" t="s">
        <v>8026</v>
      </c>
      <c r="R2569">
        <v>1</v>
      </c>
      <c r="T2569" s="5"/>
      <c r="W2569">
        <v>144</v>
      </c>
      <c r="X2569" t="s">
        <v>463</v>
      </c>
      <c r="Y2569" t="str">
        <f>VLOOKUP(C2569,'[1]DBS_KPY Sorumlular'!A:C,2,FALSE)</f>
        <v>Seyithan İŞİK</v>
      </c>
      <c r="Z2569" t="str">
        <f>VLOOKUP(C2569,'[1]DBS_KPY Sorumlular'!A:C,3,FALSE)</f>
        <v>Korhan KÖROĞLU</v>
      </c>
      <c r="AA2569" t="str">
        <f>VLOOKUP(K2569,[1]!Tablo3[#Data],2,FALSE)</f>
        <v>Tayfun VİÇE</v>
      </c>
    </row>
    <row r="2570" spans="1:27" x14ac:dyDescent="0.25">
      <c r="A2570">
        <v>3922</v>
      </c>
      <c r="B2570" t="s">
        <v>27</v>
      </c>
      <c r="C2570" t="s">
        <v>652</v>
      </c>
      <c r="D2570" t="s">
        <v>653</v>
      </c>
      <c r="G2570" t="s">
        <v>456</v>
      </c>
      <c r="H2570" t="s">
        <v>8027</v>
      </c>
      <c r="I2570" s="4">
        <v>44347.875</v>
      </c>
      <c r="K2570" t="s">
        <v>1528</v>
      </c>
      <c r="L2570" s="5"/>
      <c r="M2570" s="5"/>
      <c r="N2570" t="s">
        <v>82</v>
      </c>
      <c r="O2570" t="s">
        <v>8028</v>
      </c>
      <c r="R2570">
        <v>1</v>
      </c>
      <c r="T2570" s="5"/>
      <c r="W2570">
        <v>144</v>
      </c>
      <c r="X2570" t="s">
        <v>463</v>
      </c>
      <c r="Y2570" t="str">
        <f>VLOOKUP(C2570,'[1]DBS_KPY Sorumlular'!A:C,2,FALSE)</f>
        <v>Seyithan İŞİK</v>
      </c>
      <c r="Z2570" t="str">
        <f>VLOOKUP(C2570,'[1]DBS_KPY Sorumlular'!A:C,3,FALSE)</f>
        <v>Korhan KÖROĞLU</v>
      </c>
      <c r="AA2570" t="str">
        <f>VLOOKUP(K2570,[1]!Tablo3[#Data],2,FALSE)</f>
        <v>Tayfun VİÇE</v>
      </c>
    </row>
    <row r="2571" spans="1:27" x14ac:dyDescent="0.25">
      <c r="A2571">
        <v>3923</v>
      </c>
      <c r="B2571" t="s">
        <v>27</v>
      </c>
      <c r="C2571" t="s">
        <v>652</v>
      </c>
      <c r="D2571" t="s">
        <v>653</v>
      </c>
      <c r="G2571" t="s">
        <v>456</v>
      </c>
      <c r="H2571" t="s">
        <v>8029</v>
      </c>
      <c r="I2571" s="4">
        <v>44347.875</v>
      </c>
      <c r="K2571" t="s">
        <v>1528</v>
      </c>
      <c r="L2571" s="5"/>
      <c r="M2571" s="5"/>
      <c r="N2571" t="s">
        <v>82</v>
      </c>
      <c r="O2571" t="s">
        <v>8030</v>
      </c>
      <c r="R2571">
        <v>1</v>
      </c>
      <c r="T2571" s="5"/>
      <c r="W2571">
        <v>144</v>
      </c>
      <c r="X2571" t="s">
        <v>463</v>
      </c>
      <c r="Y2571" t="str">
        <f>VLOOKUP(C2571,'[1]DBS_KPY Sorumlular'!A:C,2,FALSE)</f>
        <v>Seyithan İŞİK</v>
      </c>
      <c r="Z2571" t="str">
        <f>VLOOKUP(C2571,'[1]DBS_KPY Sorumlular'!A:C,3,FALSE)</f>
        <v>Korhan KÖROĞLU</v>
      </c>
      <c r="AA2571" t="str">
        <f>VLOOKUP(K2571,[1]!Tablo3[#Data],2,FALSE)</f>
        <v>Tayfun VİÇE</v>
      </c>
    </row>
    <row r="2572" spans="1:27" x14ac:dyDescent="0.25">
      <c r="A2572">
        <v>3924</v>
      </c>
      <c r="B2572" t="s">
        <v>27</v>
      </c>
      <c r="C2572" t="s">
        <v>652</v>
      </c>
      <c r="D2572" t="s">
        <v>653</v>
      </c>
      <c r="G2572" t="s">
        <v>456</v>
      </c>
      <c r="H2572" t="s">
        <v>8031</v>
      </c>
      <c r="I2572" s="4">
        <v>44347.875</v>
      </c>
      <c r="K2572" t="s">
        <v>1528</v>
      </c>
      <c r="L2572" s="5"/>
      <c r="M2572" s="5"/>
      <c r="N2572" t="s">
        <v>82</v>
      </c>
      <c r="O2572" t="s">
        <v>8032</v>
      </c>
      <c r="R2572">
        <v>1</v>
      </c>
      <c r="T2572" s="5"/>
      <c r="W2572">
        <v>144</v>
      </c>
      <c r="X2572" t="s">
        <v>463</v>
      </c>
      <c r="Y2572" t="str">
        <f>VLOOKUP(C2572,'[1]DBS_KPY Sorumlular'!A:C,2,FALSE)</f>
        <v>Seyithan İŞİK</v>
      </c>
      <c r="Z2572" t="str">
        <f>VLOOKUP(C2572,'[1]DBS_KPY Sorumlular'!A:C,3,FALSE)</f>
        <v>Korhan KÖROĞLU</v>
      </c>
      <c r="AA2572" t="str">
        <f>VLOOKUP(K2572,[1]!Tablo3[#Data],2,FALSE)</f>
        <v>Tayfun VİÇE</v>
      </c>
    </row>
    <row r="2573" spans="1:27" x14ac:dyDescent="0.25">
      <c r="A2573">
        <v>3925</v>
      </c>
      <c r="B2573" t="s">
        <v>27</v>
      </c>
      <c r="C2573" t="s">
        <v>652</v>
      </c>
      <c r="D2573" t="s">
        <v>653</v>
      </c>
      <c r="G2573" t="s">
        <v>456</v>
      </c>
      <c r="H2573" t="s">
        <v>8033</v>
      </c>
      <c r="I2573" s="4">
        <v>45077.875</v>
      </c>
      <c r="K2573" t="s">
        <v>1528</v>
      </c>
      <c r="L2573" s="5"/>
      <c r="M2573" s="5"/>
      <c r="N2573" t="s">
        <v>82</v>
      </c>
      <c r="O2573" t="s">
        <v>8034</v>
      </c>
      <c r="R2573">
        <v>1</v>
      </c>
      <c r="T2573" s="5"/>
      <c r="W2573">
        <v>144</v>
      </c>
      <c r="X2573" t="s">
        <v>463</v>
      </c>
      <c r="Y2573" t="str">
        <f>VLOOKUP(C2573,'[1]DBS_KPY Sorumlular'!A:C,2,FALSE)</f>
        <v>Seyithan İŞİK</v>
      </c>
      <c r="Z2573" t="str">
        <f>VLOOKUP(C2573,'[1]DBS_KPY Sorumlular'!A:C,3,FALSE)</f>
        <v>Korhan KÖROĞLU</v>
      </c>
      <c r="AA2573" t="str">
        <f>VLOOKUP(K2573,[1]!Tablo3[#Data],2,FALSE)</f>
        <v>Tayfun VİÇE</v>
      </c>
    </row>
    <row r="2574" spans="1:27" x14ac:dyDescent="0.25">
      <c r="A2574">
        <v>3926</v>
      </c>
      <c r="B2574" t="s">
        <v>27</v>
      </c>
      <c r="C2574" t="s">
        <v>652</v>
      </c>
      <c r="D2574" t="s">
        <v>653</v>
      </c>
      <c r="G2574" t="s">
        <v>456</v>
      </c>
      <c r="H2574" t="s">
        <v>8035</v>
      </c>
      <c r="I2574" s="4">
        <v>45077.875</v>
      </c>
      <c r="K2574" t="s">
        <v>1528</v>
      </c>
      <c r="L2574" s="5"/>
      <c r="M2574" s="5"/>
      <c r="N2574" t="s">
        <v>82</v>
      </c>
      <c r="O2574" t="s">
        <v>8036</v>
      </c>
      <c r="R2574">
        <v>1</v>
      </c>
      <c r="T2574" s="5"/>
      <c r="W2574">
        <v>144</v>
      </c>
      <c r="X2574" t="s">
        <v>463</v>
      </c>
      <c r="Y2574" t="str">
        <f>VLOOKUP(C2574,'[1]DBS_KPY Sorumlular'!A:C,2,FALSE)</f>
        <v>Seyithan İŞİK</v>
      </c>
      <c r="Z2574" t="str">
        <f>VLOOKUP(C2574,'[1]DBS_KPY Sorumlular'!A:C,3,FALSE)</f>
        <v>Korhan KÖROĞLU</v>
      </c>
      <c r="AA2574" t="str">
        <f>VLOOKUP(K2574,[1]!Tablo3[#Data],2,FALSE)</f>
        <v>Tayfun VİÇE</v>
      </c>
    </row>
    <row r="2575" spans="1:27" x14ac:dyDescent="0.25">
      <c r="A2575">
        <v>3927</v>
      </c>
      <c r="B2575" t="s">
        <v>27</v>
      </c>
      <c r="C2575" t="s">
        <v>652</v>
      </c>
      <c r="D2575" t="s">
        <v>653</v>
      </c>
      <c r="G2575" t="s">
        <v>456</v>
      </c>
      <c r="H2575" t="s">
        <v>8037</v>
      </c>
      <c r="I2575" s="4">
        <v>44712.875</v>
      </c>
      <c r="J2575" t="s">
        <v>7691</v>
      </c>
      <c r="K2575" t="s">
        <v>1550</v>
      </c>
      <c r="L2575" s="5"/>
      <c r="M2575" s="5"/>
      <c r="N2575" t="s">
        <v>82</v>
      </c>
      <c r="O2575" t="s">
        <v>8038</v>
      </c>
      <c r="R2575">
        <v>1</v>
      </c>
      <c r="T2575" s="5"/>
      <c r="W2575">
        <v>144</v>
      </c>
      <c r="X2575" t="s">
        <v>463</v>
      </c>
      <c r="Y2575" t="str">
        <f>VLOOKUP(C2575,'[1]DBS_KPY Sorumlular'!A:C,2,FALSE)</f>
        <v>Seyithan İŞİK</v>
      </c>
      <c r="Z2575" t="str">
        <f>VLOOKUP(C2575,'[1]DBS_KPY Sorumlular'!A:C,3,FALSE)</f>
        <v>Korhan KÖROĞLU</v>
      </c>
      <c r="AA2575" t="str">
        <f>VLOOKUP(K2575,[1]!Tablo3[#Data],2,FALSE)</f>
        <v>Kadir TOPÇU</v>
      </c>
    </row>
    <row r="2576" spans="1:27" x14ac:dyDescent="0.25">
      <c r="A2576">
        <v>3928</v>
      </c>
      <c r="B2576" t="s">
        <v>27</v>
      </c>
      <c r="C2576" t="s">
        <v>652</v>
      </c>
      <c r="D2576" t="s">
        <v>653</v>
      </c>
      <c r="G2576" t="s">
        <v>456</v>
      </c>
      <c r="H2576" t="s">
        <v>8039</v>
      </c>
      <c r="I2576" s="4">
        <v>45443.875</v>
      </c>
      <c r="J2576" t="s">
        <v>8040</v>
      </c>
      <c r="K2576" t="s">
        <v>280</v>
      </c>
      <c r="L2576" s="5"/>
      <c r="M2576" s="5" t="s">
        <v>6515</v>
      </c>
      <c r="N2576" t="s">
        <v>82</v>
      </c>
      <c r="O2576" t="s">
        <v>8041</v>
      </c>
      <c r="R2576">
        <v>1</v>
      </c>
      <c r="T2576" s="5"/>
      <c r="W2576">
        <v>144</v>
      </c>
      <c r="X2576" t="s">
        <v>463</v>
      </c>
      <c r="Y2576" t="str">
        <f>VLOOKUP(C2576,'[1]DBS_KPY Sorumlular'!A:C,2,FALSE)</f>
        <v>Seyithan İŞİK</v>
      </c>
      <c r="Z2576" t="str">
        <f>VLOOKUP(C2576,'[1]DBS_KPY Sorumlular'!A:C,3,FALSE)</f>
        <v>Korhan KÖROĞLU</v>
      </c>
      <c r="AA2576" t="str">
        <f>VLOOKUP(K2576,[1]!Tablo3[#Data],2,FALSE)</f>
        <v>Erkan AKDOĞAN</v>
      </c>
    </row>
    <row r="2577" spans="1:27" x14ac:dyDescent="0.25">
      <c r="A2577">
        <v>3929</v>
      </c>
      <c r="B2577" t="s">
        <v>27</v>
      </c>
      <c r="C2577" t="s">
        <v>652</v>
      </c>
      <c r="D2577" t="s">
        <v>653</v>
      </c>
      <c r="G2577" t="s">
        <v>456</v>
      </c>
      <c r="H2577" t="s">
        <v>8042</v>
      </c>
      <c r="I2577" s="4">
        <v>45443.875</v>
      </c>
      <c r="J2577" t="s">
        <v>6353</v>
      </c>
      <c r="K2577" t="s">
        <v>280</v>
      </c>
      <c r="L2577" s="5"/>
      <c r="M2577" s="5"/>
      <c r="N2577" t="s">
        <v>82</v>
      </c>
      <c r="O2577" t="s">
        <v>8043</v>
      </c>
      <c r="R2577">
        <v>1</v>
      </c>
      <c r="T2577" s="5"/>
      <c r="W2577">
        <v>144</v>
      </c>
      <c r="X2577" t="s">
        <v>463</v>
      </c>
      <c r="Y2577" t="str">
        <f>VLOOKUP(C2577,'[1]DBS_KPY Sorumlular'!A:C,2,FALSE)</f>
        <v>Seyithan İŞİK</v>
      </c>
      <c r="Z2577" t="str">
        <f>VLOOKUP(C2577,'[1]DBS_KPY Sorumlular'!A:C,3,FALSE)</f>
        <v>Korhan KÖROĞLU</v>
      </c>
      <c r="AA2577" t="str">
        <f>VLOOKUP(K2577,[1]!Tablo3[#Data],2,FALSE)</f>
        <v>Erkan AKDOĞAN</v>
      </c>
    </row>
    <row r="2578" spans="1:27" x14ac:dyDescent="0.25">
      <c r="A2578">
        <v>3930</v>
      </c>
      <c r="B2578" t="s">
        <v>27</v>
      </c>
      <c r="C2578" t="s">
        <v>137</v>
      </c>
      <c r="D2578" t="s">
        <v>4030</v>
      </c>
      <c r="E2578" t="s">
        <v>4030</v>
      </c>
      <c r="F2578" t="s">
        <v>2543</v>
      </c>
      <c r="G2578" t="s">
        <v>140</v>
      </c>
      <c r="H2578" t="s">
        <v>8044</v>
      </c>
      <c r="I2578" s="4">
        <v>44347.875</v>
      </c>
      <c r="J2578" t="s">
        <v>8045</v>
      </c>
      <c r="K2578" t="s">
        <v>309</v>
      </c>
      <c r="L2578" s="5"/>
      <c r="M2578" s="5" t="s">
        <v>8046</v>
      </c>
      <c r="N2578" t="s">
        <v>82</v>
      </c>
      <c r="O2578" t="s">
        <v>8047</v>
      </c>
      <c r="R2578">
        <v>1</v>
      </c>
      <c r="T2578" s="5"/>
      <c r="W2578">
        <v>126</v>
      </c>
      <c r="X2578" t="s">
        <v>147</v>
      </c>
      <c r="Y2578" t="str">
        <f>VLOOKUP(C2578,'[1]DBS_KPY Sorumlular'!A:C,2,FALSE)</f>
        <v>Erkan AKDOĞAN</v>
      </c>
      <c r="Z2578" t="str">
        <f>VLOOKUP(C2578,'[1]DBS_KPY Sorumlular'!A:C,3,FALSE)</f>
        <v>Kadir TOPÇU</v>
      </c>
      <c r="AA2578" t="str">
        <f>VLOOKUP(K2578,[1]!Tablo3[#Data],2,FALSE)</f>
        <v>Erkan AKDOĞAN</v>
      </c>
    </row>
    <row r="2579" spans="1:27" x14ac:dyDescent="0.25">
      <c r="A2579">
        <v>3931</v>
      </c>
      <c r="B2579" t="s">
        <v>27</v>
      </c>
      <c r="C2579" t="s">
        <v>137</v>
      </c>
      <c r="D2579" t="s">
        <v>4030</v>
      </c>
      <c r="E2579" t="s">
        <v>4030</v>
      </c>
      <c r="F2579" t="s">
        <v>2543</v>
      </c>
      <c r="G2579" t="s">
        <v>140</v>
      </c>
      <c r="H2579" t="s">
        <v>8048</v>
      </c>
      <c r="I2579" s="4">
        <v>45443.875</v>
      </c>
      <c r="J2579" t="s">
        <v>8049</v>
      </c>
      <c r="K2579" t="s">
        <v>309</v>
      </c>
      <c r="L2579" s="5"/>
      <c r="M2579" s="5" t="s">
        <v>8046</v>
      </c>
      <c r="N2579" t="s">
        <v>82</v>
      </c>
      <c r="O2579" t="s">
        <v>8047</v>
      </c>
      <c r="R2579">
        <v>1</v>
      </c>
      <c r="T2579" s="5"/>
      <c r="W2579">
        <v>126</v>
      </c>
      <c r="X2579" t="s">
        <v>147</v>
      </c>
      <c r="Y2579" t="str">
        <f>VLOOKUP(C2579,'[1]DBS_KPY Sorumlular'!A:C,2,FALSE)</f>
        <v>Erkan AKDOĞAN</v>
      </c>
      <c r="Z2579" t="str">
        <f>VLOOKUP(C2579,'[1]DBS_KPY Sorumlular'!A:C,3,FALSE)</f>
        <v>Kadir TOPÇU</v>
      </c>
      <c r="AA2579" t="str">
        <f>VLOOKUP(K2579,[1]!Tablo3[#Data],2,FALSE)</f>
        <v>Erkan AKDOĞAN</v>
      </c>
    </row>
    <row r="2580" spans="1:27" x14ac:dyDescent="0.25">
      <c r="A2580">
        <v>3932</v>
      </c>
      <c r="B2580" t="s">
        <v>27</v>
      </c>
      <c r="C2580" t="s">
        <v>137</v>
      </c>
      <c r="D2580" t="s">
        <v>4030</v>
      </c>
      <c r="E2580" t="s">
        <v>4030</v>
      </c>
      <c r="F2580" t="s">
        <v>2543</v>
      </c>
      <c r="G2580" t="s">
        <v>140</v>
      </c>
      <c r="H2580" t="s">
        <v>8050</v>
      </c>
      <c r="I2580" s="4">
        <v>43982.875</v>
      </c>
      <c r="J2580" t="s">
        <v>8051</v>
      </c>
      <c r="K2580" t="s">
        <v>423</v>
      </c>
      <c r="L2580" s="5"/>
      <c r="M2580" s="5" t="s">
        <v>8052</v>
      </c>
      <c r="N2580" t="s">
        <v>82</v>
      </c>
      <c r="O2580" t="s">
        <v>8053</v>
      </c>
      <c r="R2580">
        <v>1</v>
      </c>
      <c r="T2580" s="5"/>
      <c r="W2580">
        <v>126</v>
      </c>
      <c r="X2580" t="s">
        <v>147</v>
      </c>
      <c r="Y2580" t="str">
        <f>VLOOKUP(C2580,'[1]DBS_KPY Sorumlular'!A:C,2,FALSE)</f>
        <v>Erkan AKDOĞAN</v>
      </c>
      <c r="Z2580" t="str">
        <f>VLOOKUP(C2580,'[1]DBS_KPY Sorumlular'!A:C,3,FALSE)</f>
        <v>Kadir TOPÇU</v>
      </c>
      <c r="AA2580" t="str">
        <f>VLOOKUP(K2580,[1]!Tablo3[#Data],2,FALSE)</f>
        <v>Kadir TOPÇU</v>
      </c>
    </row>
    <row r="2581" spans="1:27" x14ac:dyDescent="0.25">
      <c r="A2581">
        <v>3933</v>
      </c>
      <c r="B2581" t="s">
        <v>27</v>
      </c>
      <c r="C2581" t="s">
        <v>137</v>
      </c>
      <c r="D2581" t="s">
        <v>4030</v>
      </c>
      <c r="E2581" t="s">
        <v>4030</v>
      </c>
      <c r="F2581" t="s">
        <v>2543</v>
      </c>
      <c r="G2581" t="s">
        <v>140</v>
      </c>
      <c r="H2581" t="s">
        <v>8054</v>
      </c>
      <c r="I2581" s="4">
        <v>45077.875</v>
      </c>
      <c r="J2581" t="s">
        <v>8055</v>
      </c>
      <c r="K2581" t="s">
        <v>423</v>
      </c>
      <c r="L2581" s="5"/>
      <c r="M2581" s="5" t="s">
        <v>8052</v>
      </c>
      <c r="N2581" t="s">
        <v>82</v>
      </c>
      <c r="O2581" t="s">
        <v>8053</v>
      </c>
      <c r="R2581">
        <v>1</v>
      </c>
      <c r="T2581" s="5"/>
      <c r="W2581">
        <v>126</v>
      </c>
      <c r="X2581" t="s">
        <v>147</v>
      </c>
      <c r="Y2581" t="str">
        <f>VLOOKUP(C2581,'[1]DBS_KPY Sorumlular'!A:C,2,FALSE)</f>
        <v>Erkan AKDOĞAN</v>
      </c>
      <c r="Z2581" t="str">
        <f>VLOOKUP(C2581,'[1]DBS_KPY Sorumlular'!A:C,3,FALSE)</f>
        <v>Kadir TOPÇU</v>
      </c>
      <c r="AA2581" t="str">
        <f>VLOOKUP(K2581,[1]!Tablo3[#Data],2,FALSE)</f>
        <v>Kadir TOPÇU</v>
      </c>
    </row>
    <row r="2582" spans="1:27" x14ac:dyDescent="0.25">
      <c r="A2582">
        <v>3934</v>
      </c>
      <c r="B2582" t="s">
        <v>27</v>
      </c>
      <c r="C2582" t="s">
        <v>137</v>
      </c>
      <c r="D2582" t="s">
        <v>138</v>
      </c>
      <c r="E2582" t="s">
        <v>138</v>
      </c>
      <c r="F2582" t="s">
        <v>2543</v>
      </c>
      <c r="G2582" t="s">
        <v>140</v>
      </c>
      <c r="H2582" t="s">
        <v>8056</v>
      </c>
      <c r="I2582" s="4">
        <v>45443.875</v>
      </c>
      <c r="J2582" t="s">
        <v>8057</v>
      </c>
      <c r="K2582" t="s">
        <v>1221</v>
      </c>
      <c r="L2582" s="5"/>
      <c r="M2582" s="5" t="s">
        <v>8058</v>
      </c>
      <c r="N2582" t="s">
        <v>82</v>
      </c>
      <c r="O2582" t="s">
        <v>8059</v>
      </c>
      <c r="R2582">
        <v>1</v>
      </c>
      <c r="T2582" s="5"/>
      <c r="W2582">
        <v>126</v>
      </c>
      <c r="X2582" t="s">
        <v>147</v>
      </c>
      <c r="Y2582" t="str">
        <f>VLOOKUP(C2582,'[1]DBS_KPY Sorumlular'!A:C,2,FALSE)</f>
        <v>Erkan AKDOĞAN</v>
      </c>
      <c r="Z2582" t="str">
        <f>VLOOKUP(C2582,'[1]DBS_KPY Sorumlular'!A:C,3,FALSE)</f>
        <v>Kadir TOPÇU</v>
      </c>
      <c r="AA2582" t="str">
        <f>VLOOKUP(K2582,[1]!Tablo3[#Data],2,FALSE)</f>
        <v>Tayfun VİÇE</v>
      </c>
    </row>
    <row r="2583" spans="1:27" x14ac:dyDescent="0.25">
      <c r="A2583">
        <v>3935</v>
      </c>
      <c r="B2583" t="s">
        <v>27</v>
      </c>
      <c r="C2583" t="s">
        <v>137</v>
      </c>
      <c r="D2583" t="s">
        <v>4030</v>
      </c>
      <c r="E2583" t="s">
        <v>4030</v>
      </c>
      <c r="F2583" t="s">
        <v>2543</v>
      </c>
      <c r="G2583" t="s">
        <v>140</v>
      </c>
      <c r="H2583" t="s">
        <v>8060</v>
      </c>
      <c r="I2583" s="4">
        <v>44347.875</v>
      </c>
      <c r="J2583" t="s">
        <v>8061</v>
      </c>
      <c r="K2583" t="s">
        <v>743</v>
      </c>
      <c r="L2583" s="5"/>
      <c r="M2583" s="5" t="s">
        <v>8062</v>
      </c>
      <c r="N2583" t="s">
        <v>82</v>
      </c>
      <c r="O2583" t="s">
        <v>8063</v>
      </c>
      <c r="R2583">
        <v>1</v>
      </c>
      <c r="T2583" s="5"/>
      <c r="W2583">
        <v>192</v>
      </c>
      <c r="X2583" t="s">
        <v>1770</v>
      </c>
      <c r="Y2583" t="str">
        <f>VLOOKUP(C2583,'[1]DBS_KPY Sorumlular'!A:C,2,FALSE)</f>
        <v>Erkan AKDOĞAN</v>
      </c>
      <c r="Z2583" t="str">
        <f>VLOOKUP(C2583,'[1]DBS_KPY Sorumlular'!A:C,3,FALSE)</f>
        <v>Kadir TOPÇU</v>
      </c>
      <c r="AA2583" t="str">
        <f>VLOOKUP(K2583,[1]!Tablo3[#Data],2,FALSE)</f>
        <v>Kadir TOPÇU</v>
      </c>
    </row>
    <row r="2584" spans="1:27" x14ac:dyDescent="0.25">
      <c r="A2584">
        <v>3936</v>
      </c>
      <c r="B2584" t="s">
        <v>27</v>
      </c>
      <c r="C2584" t="s">
        <v>137</v>
      </c>
      <c r="D2584" t="s">
        <v>4030</v>
      </c>
      <c r="E2584" t="s">
        <v>4030</v>
      </c>
      <c r="F2584" t="s">
        <v>2543</v>
      </c>
      <c r="G2584" t="s">
        <v>140</v>
      </c>
      <c r="H2584" t="s">
        <v>8064</v>
      </c>
      <c r="I2584" s="4">
        <v>45077.875</v>
      </c>
      <c r="J2584" t="s">
        <v>8065</v>
      </c>
      <c r="K2584" t="s">
        <v>743</v>
      </c>
      <c r="L2584" s="5"/>
      <c r="M2584" s="5" t="s">
        <v>8062</v>
      </c>
      <c r="N2584" t="s">
        <v>82</v>
      </c>
      <c r="O2584" t="s">
        <v>8066</v>
      </c>
      <c r="R2584">
        <v>1</v>
      </c>
      <c r="T2584" s="5"/>
      <c r="W2584">
        <v>192</v>
      </c>
      <c r="X2584" t="s">
        <v>1770</v>
      </c>
      <c r="Y2584" t="str">
        <f>VLOOKUP(C2584,'[1]DBS_KPY Sorumlular'!A:C,2,FALSE)</f>
        <v>Erkan AKDOĞAN</v>
      </c>
      <c r="Z2584" t="str">
        <f>VLOOKUP(C2584,'[1]DBS_KPY Sorumlular'!A:C,3,FALSE)</f>
        <v>Kadir TOPÇU</v>
      </c>
      <c r="AA2584" t="str">
        <f>VLOOKUP(K2584,[1]!Tablo3[#Data],2,FALSE)</f>
        <v>Kadir TOPÇU</v>
      </c>
    </row>
    <row r="2585" spans="1:27" x14ac:dyDescent="0.25">
      <c r="A2585">
        <v>3937</v>
      </c>
      <c r="B2585" t="s">
        <v>27</v>
      </c>
      <c r="C2585" t="s">
        <v>137</v>
      </c>
      <c r="D2585" t="s">
        <v>138</v>
      </c>
      <c r="E2585" t="s">
        <v>138</v>
      </c>
      <c r="F2585" t="s">
        <v>2543</v>
      </c>
      <c r="G2585" t="s">
        <v>140</v>
      </c>
      <c r="H2585" t="s">
        <v>8067</v>
      </c>
      <c r="I2585" s="4">
        <v>45077.875</v>
      </c>
      <c r="J2585" t="s">
        <v>8068</v>
      </c>
      <c r="K2585" t="s">
        <v>143</v>
      </c>
      <c r="L2585" s="5"/>
      <c r="M2585" s="5" t="s">
        <v>8069</v>
      </c>
      <c r="N2585" t="s">
        <v>82</v>
      </c>
      <c r="O2585" t="s">
        <v>8070</v>
      </c>
      <c r="R2585">
        <v>1</v>
      </c>
      <c r="T2585" s="5"/>
      <c r="W2585">
        <v>126</v>
      </c>
      <c r="X2585" t="s">
        <v>147</v>
      </c>
      <c r="Y2585" t="str">
        <f>VLOOKUP(C2585,'[1]DBS_KPY Sorumlular'!A:C,2,FALSE)</f>
        <v>Erkan AKDOĞAN</v>
      </c>
      <c r="Z2585" t="str">
        <f>VLOOKUP(C2585,'[1]DBS_KPY Sorumlular'!A:C,3,FALSE)</f>
        <v>Kadir TOPÇU</v>
      </c>
      <c r="AA2585" t="str">
        <f>VLOOKUP(K2585,[1]!Tablo3[#Data],2,FALSE)</f>
        <v>Tayfun VİÇE</v>
      </c>
    </row>
    <row r="2586" spans="1:27" x14ac:dyDescent="0.25">
      <c r="A2586">
        <v>3938</v>
      </c>
      <c r="B2586" t="s">
        <v>27</v>
      </c>
      <c r="C2586" t="s">
        <v>137</v>
      </c>
      <c r="D2586" t="s">
        <v>4030</v>
      </c>
      <c r="E2586" t="s">
        <v>4030</v>
      </c>
      <c r="F2586" t="s">
        <v>2543</v>
      </c>
      <c r="G2586" t="s">
        <v>140</v>
      </c>
      <c r="H2586" t="s">
        <v>8071</v>
      </c>
      <c r="I2586" s="4">
        <v>44712.875</v>
      </c>
      <c r="J2586" t="s">
        <v>8072</v>
      </c>
      <c r="K2586" t="s">
        <v>364</v>
      </c>
      <c r="L2586" s="5"/>
      <c r="M2586" s="5" t="s">
        <v>8073</v>
      </c>
      <c r="N2586" t="s">
        <v>82</v>
      </c>
      <c r="O2586" t="s">
        <v>8074</v>
      </c>
      <c r="R2586">
        <v>1</v>
      </c>
      <c r="T2586" s="5"/>
      <c r="W2586">
        <v>47</v>
      </c>
      <c r="X2586" t="s">
        <v>8075</v>
      </c>
      <c r="Y2586" t="str">
        <f>VLOOKUP(C2586,'[1]DBS_KPY Sorumlular'!A:C,2,FALSE)</f>
        <v>Erkan AKDOĞAN</v>
      </c>
      <c r="Z2586" t="str">
        <f>VLOOKUP(C2586,'[1]DBS_KPY Sorumlular'!A:C,3,FALSE)</f>
        <v>Kadir TOPÇU</v>
      </c>
      <c r="AA2586" t="str">
        <f>VLOOKUP(K2586,[1]!Tablo3[#Data],2,FALSE)</f>
        <v>Kadir TOPÇU</v>
      </c>
    </row>
    <row r="2587" spans="1:27" x14ac:dyDescent="0.25">
      <c r="A2587">
        <v>3939</v>
      </c>
      <c r="B2587" t="s">
        <v>27</v>
      </c>
      <c r="C2587" t="s">
        <v>1723</v>
      </c>
      <c r="D2587" t="s">
        <v>3285</v>
      </c>
      <c r="G2587" t="s">
        <v>67</v>
      </c>
      <c r="H2587" t="s">
        <v>8076</v>
      </c>
      <c r="I2587" s="4">
        <v>45442.875</v>
      </c>
      <c r="J2587" t="s">
        <v>8077</v>
      </c>
      <c r="K2587" t="s">
        <v>1106</v>
      </c>
      <c r="L2587" s="5"/>
      <c r="M2587" s="5" t="s">
        <v>82</v>
      </c>
      <c r="N2587" t="s">
        <v>82</v>
      </c>
      <c r="O2587" t="s">
        <v>8078</v>
      </c>
      <c r="R2587">
        <v>1</v>
      </c>
      <c r="T2587" s="5" t="s">
        <v>38</v>
      </c>
      <c r="W2587">
        <v>269</v>
      </c>
      <c r="X2587" t="s">
        <v>3988</v>
      </c>
      <c r="Y2587" t="str">
        <f>VLOOKUP(C2587,'[1]DBS_KPY Sorumlular'!A:C,2,FALSE)</f>
        <v>Erkan AKDOĞAN</v>
      </c>
      <c r="Z2587" t="str">
        <f>VLOOKUP(C2587,'[1]DBS_KPY Sorumlular'!A:C,3,FALSE)</f>
        <v>Kadir TOPÇU</v>
      </c>
      <c r="AA2587" t="str">
        <f>VLOOKUP(K2587,[1]!Tablo3[#Data],2,FALSE)</f>
        <v>Tayfun VİÇE</v>
      </c>
    </row>
    <row r="2588" spans="1:27" x14ac:dyDescent="0.25">
      <c r="A2588">
        <v>3940</v>
      </c>
      <c r="B2588" t="s">
        <v>27</v>
      </c>
      <c r="C2588" t="s">
        <v>304</v>
      </c>
      <c r="D2588" t="s">
        <v>305</v>
      </c>
      <c r="G2588" t="s">
        <v>96</v>
      </c>
      <c r="H2588" t="s">
        <v>8079</v>
      </c>
      <c r="I2588" s="4">
        <v>45077.875</v>
      </c>
      <c r="J2588" t="s">
        <v>8080</v>
      </c>
      <c r="K2588" t="s">
        <v>54</v>
      </c>
      <c r="L2588" s="5"/>
      <c r="M2588" s="5"/>
      <c r="N2588" t="s">
        <v>82</v>
      </c>
      <c r="O2588" t="s">
        <v>8081</v>
      </c>
      <c r="R2588">
        <v>1</v>
      </c>
      <c r="T2588" s="5" t="s">
        <v>38</v>
      </c>
      <c r="W2588">
        <v>206</v>
      </c>
      <c r="X2588" t="s">
        <v>311</v>
      </c>
      <c r="Y2588" t="str">
        <f>VLOOKUP(C2588,'[1]DBS_KPY Sorumlular'!A:C,2,FALSE)</f>
        <v>Erkan AKDOĞAN</v>
      </c>
      <c r="Z2588" t="str">
        <f>VLOOKUP(C2588,'[1]DBS_KPY Sorumlular'!A:C,3,FALSE)</f>
        <v>Kadir TOPÇU</v>
      </c>
      <c r="AA2588" t="str">
        <f>VLOOKUP(K2588,[1]!Tablo3[#Data],2,FALSE)</f>
        <v>Erkan AKDOĞAN</v>
      </c>
    </row>
    <row r="2589" spans="1:27" x14ac:dyDescent="0.25">
      <c r="A2589">
        <v>3941</v>
      </c>
      <c r="B2589" t="s">
        <v>27</v>
      </c>
      <c r="C2589" t="s">
        <v>304</v>
      </c>
      <c r="D2589" t="s">
        <v>305</v>
      </c>
      <c r="G2589" t="s">
        <v>96</v>
      </c>
      <c r="H2589" t="s">
        <v>8082</v>
      </c>
      <c r="I2589" s="4">
        <v>45077.875</v>
      </c>
      <c r="J2589" t="s">
        <v>8083</v>
      </c>
      <c r="K2589" t="s">
        <v>54</v>
      </c>
      <c r="L2589" s="5"/>
      <c r="M2589" s="5"/>
      <c r="N2589" t="s">
        <v>82</v>
      </c>
      <c r="O2589" t="s">
        <v>8084</v>
      </c>
      <c r="R2589">
        <v>1</v>
      </c>
      <c r="T2589" s="5" t="s">
        <v>38</v>
      </c>
      <c r="W2589">
        <v>206</v>
      </c>
      <c r="X2589" t="s">
        <v>311</v>
      </c>
      <c r="Y2589" t="str">
        <f>VLOOKUP(C2589,'[1]DBS_KPY Sorumlular'!A:C,2,FALSE)</f>
        <v>Erkan AKDOĞAN</v>
      </c>
      <c r="Z2589" t="str">
        <f>VLOOKUP(C2589,'[1]DBS_KPY Sorumlular'!A:C,3,FALSE)</f>
        <v>Kadir TOPÇU</v>
      </c>
      <c r="AA2589" t="str">
        <f>VLOOKUP(K2589,[1]!Tablo3[#Data],2,FALSE)</f>
        <v>Erkan AKDOĞAN</v>
      </c>
    </row>
    <row r="2590" spans="1:27" x14ac:dyDescent="0.25">
      <c r="A2590">
        <v>3942</v>
      </c>
      <c r="B2590" t="s">
        <v>27</v>
      </c>
      <c r="C2590" t="s">
        <v>304</v>
      </c>
      <c r="D2590" t="s">
        <v>305</v>
      </c>
      <c r="G2590" t="s">
        <v>96</v>
      </c>
      <c r="H2590" t="s">
        <v>8085</v>
      </c>
      <c r="I2590" s="4">
        <v>45077.875</v>
      </c>
      <c r="J2590" t="s">
        <v>8086</v>
      </c>
      <c r="K2590" t="s">
        <v>54</v>
      </c>
      <c r="L2590" s="5"/>
      <c r="M2590" s="5"/>
      <c r="N2590" t="s">
        <v>82</v>
      </c>
      <c r="O2590" t="s">
        <v>8087</v>
      </c>
      <c r="R2590">
        <v>1</v>
      </c>
      <c r="T2590" s="5" t="s">
        <v>38</v>
      </c>
      <c r="W2590">
        <v>206</v>
      </c>
      <c r="X2590" t="s">
        <v>311</v>
      </c>
      <c r="Y2590" t="str">
        <f>VLOOKUP(C2590,'[1]DBS_KPY Sorumlular'!A:C,2,FALSE)</f>
        <v>Erkan AKDOĞAN</v>
      </c>
      <c r="Z2590" t="str">
        <f>VLOOKUP(C2590,'[1]DBS_KPY Sorumlular'!A:C,3,FALSE)</f>
        <v>Kadir TOPÇU</v>
      </c>
      <c r="AA2590" t="str">
        <f>VLOOKUP(K2590,[1]!Tablo3[#Data],2,FALSE)</f>
        <v>Erkan AKDOĞAN</v>
      </c>
    </row>
    <row r="2591" spans="1:27" x14ac:dyDescent="0.25">
      <c r="A2591">
        <v>3943</v>
      </c>
      <c r="B2591" t="s">
        <v>27</v>
      </c>
      <c r="C2591" t="s">
        <v>304</v>
      </c>
      <c r="D2591" t="s">
        <v>305</v>
      </c>
      <c r="G2591" t="s">
        <v>96</v>
      </c>
      <c r="H2591" t="s">
        <v>8088</v>
      </c>
      <c r="I2591" s="4">
        <v>44712.875</v>
      </c>
      <c r="J2591" t="s">
        <v>8089</v>
      </c>
      <c r="K2591" t="s">
        <v>98</v>
      </c>
      <c r="L2591" s="5"/>
      <c r="M2591" s="5"/>
      <c r="N2591" t="s">
        <v>82</v>
      </c>
      <c r="O2591" t="s">
        <v>8090</v>
      </c>
      <c r="R2591">
        <v>1</v>
      </c>
      <c r="T2591" s="5" t="s">
        <v>38</v>
      </c>
      <c r="W2591">
        <v>206</v>
      </c>
      <c r="X2591" t="s">
        <v>311</v>
      </c>
      <c r="Y2591" t="str">
        <f>VLOOKUP(C2591,'[1]DBS_KPY Sorumlular'!A:C,2,FALSE)</f>
        <v>Erkan AKDOĞAN</v>
      </c>
      <c r="Z2591" t="str">
        <f>VLOOKUP(C2591,'[1]DBS_KPY Sorumlular'!A:C,3,FALSE)</f>
        <v>Kadir TOPÇU</v>
      </c>
      <c r="AA2591" t="str">
        <f>VLOOKUP(K2591,[1]!Tablo3[#Data],2,FALSE)</f>
        <v>Tayfun VİÇE</v>
      </c>
    </row>
    <row r="2592" spans="1:27" x14ac:dyDescent="0.25">
      <c r="A2592">
        <v>3944</v>
      </c>
      <c r="B2592" t="s">
        <v>27</v>
      </c>
      <c r="C2592" t="s">
        <v>304</v>
      </c>
      <c r="D2592" t="s">
        <v>305</v>
      </c>
      <c r="G2592" t="s">
        <v>96</v>
      </c>
      <c r="H2592" t="s">
        <v>8091</v>
      </c>
      <c r="I2592" s="4">
        <v>45077.875</v>
      </c>
      <c r="J2592" t="s">
        <v>8092</v>
      </c>
      <c r="K2592" t="s">
        <v>98</v>
      </c>
      <c r="L2592" s="5"/>
      <c r="M2592" s="5"/>
      <c r="N2592" t="s">
        <v>82</v>
      </c>
      <c r="O2592" t="s">
        <v>8093</v>
      </c>
      <c r="R2592">
        <v>1</v>
      </c>
      <c r="T2592" s="5" t="s">
        <v>38</v>
      </c>
      <c r="W2592">
        <v>206</v>
      </c>
      <c r="X2592" t="s">
        <v>311</v>
      </c>
      <c r="Y2592" t="str">
        <f>VLOOKUP(C2592,'[1]DBS_KPY Sorumlular'!A:C,2,FALSE)</f>
        <v>Erkan AKDOĞAN</v>
      </c>
      <c r="Z2592" t="str">
        <f>VLOOKUP(C2592,'[1]DBS_KPY Sorumlular'!A:C,3,FALSE)</f>
        <v>Kadir TOPÇU</v>
      </c>
      <c r="AA2592" t="str">
        <f>VLOOKUP(K2592,[1]!Tablo3[#Data],2,FALSE)</f>
        <v>Tayfun VİÇE</v>
      </c>
    </row>
    <row r="2593" spans="1:27" x14ac:dyDescent="0.25">
      <c r="A2593">
        <v>3945</v>
      </c>
      <c r="B2593" t="s">
        <v>27</v>
      </c>
      <c r="C2593" t="s">
        <v>304</v>
      </c>
      <c r="D2593" t="s">
        <v>305</v>
      </c>
      <c r="G2593" t="s">
        <v>96</v>
      </c>
      <c r="H2593" t="s">
        <v>8094</v>
      </c>
      <c r="I2593" s="4">
        <v>45077.875</v>
      </c>
      <c r="J2593" t="s">
        <v>8095</v>
      </c>
      <c r="K2593" t="s">
        <v>152</v>
      </c>
      <c r="L2593" s="5" t="s">
        <v>8096</v>
      </c>
      <c r="M2593" s="5"/>
      <c r="N2593" t="s">
        <v>82</v>
      </c>
      <c r="O2593" t="s">
        <v>8097</v>
      </c>
      <c r="R2593">
        <v>1</v>
      </c>
      <c r="T2593" s="5" t="s">
        <v>38</v>
      </c>
      <c r="W2593">
        <v>206</v>
      </c>
      <c r="X2593" t="s">
        <v>311</v>
      </c>
      <c r="Y2593" t="str">
        <f>VLOOKUP(C2593,'[1]DBS_KPY Sorumlular'!A:C,2,FALSE)</f>
        <v>Erkan AKDOĞAN</v>
      </c>
      <c r="Z2593" t="str">
        <f>VLOOKUP(C2593,'[1]DBS_KPY Sorumlular'!A:C,3,FALSE)</f>
        <v>Kadir TOPÇU</v>
      </c>
      <c r="AA2593" t="str">
        <f>VLOOKUP(K2593,[1]!Tablo3[#Data],2,FALSE)</f>
        <v>Erkan AKDOĞAN</v>
      </c>
    </row>
    <row r="2594" spans="1:27" x14ac:dyDescent="0.25">
      <c r="A2594">
        <v>3946</v>
      </c>
      <c r="B2594" t="s">
        <v>27</v>
      </c>
      <c r="C2594" t="s">
        <v>304</v>
      </c>
      <c r="D2594" t="s">
        <v>305</v>
      </c>
      <c r="G2594" t="s">
        <v>96</v>
      </c>
      <c r="H2594" t="s">
        <v>8098</v>
      </c>
      <c r="I2594" s="4">
        <v>45443.875</v>
      </c>
      <c r="J2594" t="s">
        <v>8099</v>
      </c>
      <c r="K2594" t="s">
        <v>152</v>
      </c>
      <c r="L2594" s="5" t="s">
        <v>2582</v>
      </c>
      <c r="M2594" s="5"/>
      <c r="N2594" t="s">
        <v>82</v>
      </c>
      <c r="O2594" t="s">
        <v>8100</v>
      </c>
      <c r="R2594">
        <v>1</v>
      </c>
      <c r="T2594" s="5" t="s">
        <v>38</v>
      </c>
      <c r="W2594">
        <v>206</v>
      </c>
      <c r="X2594" t="s">
        <v>311</v>
      </c>
      <c r="Y2594" t="str">
        <f>VLOOKUP(C2594,'[1]DBS_KPY Sorumlular'!A:C,2,FALSE)</f>
        <v>Erkan AKDOĞAN</v>
      </c>
      <c r="Z2594" t="str">
        <f>VLOOKUP(C2594,'[1]DBS_KPY Sorumlular'!A:C,3,FALSE)</f>
        <v>Kadir TOPÇU</v>
      </c>
      <c r="AA2594" t="str">
        <f>VLOOKUP(K2594,[1]!Tablo3[#Data],2,FALSE)</f>
        <v>Erkan AKDOĞAN</v>
      </c>
    </row>
    <row r="2595" spans="1:27" x14ac:dyDescent="0.25">
      <c r="A2595">
        <v>3947</v>
      </c>
      <c r="B2595" t="s">
        <v>27</v>
      </c>
      <c r="C2595" t="s">
        <v>304</v>
      </c>
      <c r="D2595" t="s">
        <v>305</v>
      </c>
      <c r="G2595" t="s">
        <v>96</v>
      </c>
      <c r="H2595" t="s">
        <v>8101</v>
      </c>
      <c r="I2595" s="4">
        <v>45077.875</v>
      </c>
      <c r="J2595" t="s">
        <v>8080</v>
      </c>
      <c r="K2595" t="s">
        <v>152</v>
      </c>
      <c r="L2595" s="5" t="s">
        <v>8102</v>
      </c>
      <c r="M2595" s="5"/>
      <c r="N2595" t="s">
        <v>82</v>
      </c>
      <c r="O2595" t="s">
        <v>8103</v>
      </c>
      <c r="R2595">
        <v>1</v>
      </c>
      <c r="T2595" s="5" t="s">
        <v>38</v>
      </c>
      <c r="W2595">
        <v>206</v>
      </c>
      <c r="X2595" t="s">
        <v>311</v>
      </c>
      <c r="Y2595" t="str">
        <f>VLOOKUP(C2595,'[1]DBS_KPY Sorumlular'!A:C,2,FALSE)</f>
        <v>Erkan AKDOĞAN</v>
      </c>
      <c r="Z2595" t="str">
        <f>VLOOKUP(C2595,'[1]DBS_KPY Sorumlular'!A:C,3,FALSE)</f>
        <v>Kadir TOPÇU</v>
      </c>
      <c r="AA2595" t="str">
        <f>VLOOKUP(K2595,[1]!Tablo3[#Data],2,FALSE)</f>
        <v>Erkan AKDOĞAN</v>
      </c>
    </row>
    <row r="2596" spans="1:27" x14ac:dyDescent="0.25">
      <c r="A2596">
        <v>3948</v>
      </c>
      <c r="B2596" t="s">
        <v>27</v>
      </c>
      <c r="C2596" t="s">
        <v>304</v>
      </c>
      <c r="D2596" t="s">
        <v>305</v>
      </c>
      <c r="G2596" t="s">
        <v>96</v>
      </c>
      <c r="H2596" t="s">
        <v>8104</v>
      </c>
      <c r="I2596" s="4">
        <v>45077.875</v>
      </c>
      <c r="J2596" t="s">
        <v>8105</v>
      </c>
      <c r="K2596" t="s">
        <v>152</v>
      </c>
      <c r="L2596" s="5"/>
      <c r="M2596" s="5"/>
      <c r="N2596" t="s">
        <v>82</v>
      </c>
      <c r="O2596" t="s">
        <v>8106</v>
      </c>
      <c r="R2596">
        <v>1</v>
      </c>
      <c r="T2596" s="5" t="s">
        <v>38</v>
      </c>
      <c r="W2596">
        <v>206</v>
      </c>
      <c r="X2596" t="s">
        <v>311</v>
      </c>
      <c r="Y2596" t="str">
        <f>VLOOKUP(C2596,'[1]DBS_KPY Sorumlular'!A:C,2,FALSE)</f>
        <v>Erkan AKDOĞAN</v>
      </c>
      <c r="Z2596" t="str">
        <f>VLOOKUP(C2596,'[1]DBS_KPY Sorumlular'!A:C,3,FALSE)</f>
        <v>Kadir TOPÇU</v>
      </c>
      <c r="AA2596" t="str">
        <f>VLOOKUP(K2596,[1]!Tablo3[#Data],2,FALSE)</f>
        <v>Erkan AKDOĞAN</v>
      </c>
    </row>
    <row r="2597" spans="1:27" x14ac:dyDescent="0.25">
      <c r="A2597">
        <v>3949</v>
      </c>
      <c r="B2597" t="s">
        <v>27</v>
      </c>
      <c r="C2597" t="s">
        <v>304</v>
      </c>
      <c r="D2597" t="s">
        <v>305</v>
      </c>
      <c r="G2597" t="s">
        <v>67</v>
      </c>
      <c r="H2597" t="s">
        <v>8107</v>
      </c>
      <c r="I2597" s="4">
        <v>45290.875</v>
      </c>
      <c r="K2597" t="s">
        <v>152</v>
      </c>
      <c r="L2597" s="5"/>
      <c r="M2597" s="5"/>
      <c r="N2597" t="s">
        <v>82</v>
      </c>
      <c r="O2597" t="s">
        <v>8108</v>
      </c>
      <c r="R2597">
        <v>1</v>
      </c>
      <c r="T2597" s="5" t="s">
        <v>38</v>
      </c>
      <c r="W2597">
        <v>206</v>
      </c>
      <c r="X2597" t="s">
        <v>311</v>
      </c>
      <c r="Y2597" t="str">
        <f>VLOOKUP(C2597,'[1]DBS_KPY Sorumlular'!A:C,2,FALSE)</f>
        <v>Erkan AKDOĞAN</v>
      </c>
      <c r="Z2597" t="str">
        <f>VLOOKUP(C2597,'[1]DBS_KPY Sorumlular'!A:C,3,FALSE)</f>
        <v>Kadir TOPÇU</v>
      </c>
      <c r="AA2597" t="str">
        <f>VLOOKUP(K2597,[1]!Tablo3[#Data],2,FALSE)</f>
        <v>Erkan AKDOĞAN</v>
      </c>
    </row>
    <row r="2598" spans="1:27" x14ac:dyDescent="0.25">
      <c r="A2598">
        <v>3950</v>
      </c>
      <c r="B2598" t="s">
        <v>27</v>
      </c>
      <c r="C2598" t="s">
        <v>304</v>
      </c>
      <c r="D2598" t="s">
        <v>305</v>
      </c>
      <c r="G2598" t="s">
        <v>96</v>
      </c>
      <c r="H2598" t="s">
        <v>8109</v>
      </c>
      <c r="I2598" s="4">
        <v>44347.875</v>
      </c>
      <c r="J2598" t="s">
        <v>8110</v>
      </c>
      <c r="K2598" t="s">
        <v>181</v>
      </c>
      <c r="L2598" s="5"/>
      <c r="M2598" s="5"/>
      <c r="N2598" t="s">
        <v>82</v>
      </c>
      <c r="O2598" t="s">
        <v>8111</v>
      </c>
      <c r="R2598">
        <v>1</v>
      </c>
      <c r="T2598" s="5" t="s">
        <v>38</v>
      </c>
      <c r="W2598">
        <v>206</v>
      </c>
      <c r="X2598" t="s">
        <v>311</v>
      </c>
      <c r="Y2598" t="str">
        <f>VLOOKUP(C2598,'[1]DBS_KPY Sorumlular'!A:C,2,FALSE)</f>
        <v>Erkan AKDOĞAN</v>
      </c>
      <c r="Z2598" t="str">
        <f>VLOOKUP(C2598,'[1]DBS_KPY Sorumlular'!A:C,3,FALSE)</f>
        <v>Kadir TOPÇU</v>
      </c>
      <c r="AA2598" t="str">
        <f>VLOOKUP(K2598,[1]!Tablo3[#Data],2,FALSE)</f>
        <v>Erkan AKDOĞAN</v>
      </c>
    </row>
    <row r="2599" spans="1:27" x14ac:dyDescent="0.25">
      <c r="A2599">
        <v>3951</v>
      </c>
      <c r="B2599" t="s">
        <v>27</v>
      </c>
      <c r="C2599" t="s">
        <v>304</v>
      </c>
      <c r="D2599" t="s">
        <v>305</v>
      </c>
      <c r="G2599" t="s">
        <v>96</v>
      </c>
      <c r="H2599" t="s">
        <v>8112</v>
      </c>
      <c r="I2599" s="4">
        <v>44347.875</v>
      </c>
      <c r="J2599" t="s">
        <v>8080</v>
      </c>
      <c r="K2599" t="s">
        <v>232</v>
      </c>
      <c r="L2599" s="5"/>
      <c r="M2599" s="5"/>
      <c r="N2599" t="s">
        <v>82</v>
      </c>
      <c r="O2599" t="s">
        <v>8113</v>
      </c>
      <c r="R2599">
        <v>1</v>
      </c>
      <c r="T2599" s="5" t="s">
        <v>38</v>
      </c>
      <c r="W2599">
        <v>206</v>
      </c>
      <c r="X2599" t="s">
        <v>311</v>
      </c>
      <c r="Y2599" t="str">
        <f>VLOOKUP(C2599,'[1]DBS_KPY Sorumlular'!A:C,2,FALSE)</f>
        <v>Erkan AKDOĞAN</v>
      </c>
      <c r="Z2599" t="str">
        <f>VLOOKUP(C2599,'[1]DBS_KPY Sorumlular'!A:C,3,FALSE)</f>
        <v>Kadir TOPÇU</v>
      </c>
      <c r="AA2599" t="str">
        <f>VLOOKUP(K2599,[1]!Tablo3[#Data],2,FALSE)</f>
        <v>Erkan AKDOĞAN</v>
      </c>
    </row>
    <row r="2600" spans="1:27" x14ac:dyDescent="0.25">
      <c r="A2600">
        <v>3952</v>
      </c>
      <c r="B2600" t="s">
        <v>27</v>
      </c>
      <c r="C2600" t="s">
        <v>304</v>
      </c>
      <c r="D2600" t="s">
        <v>305</v>
      </c>
      <c r="G2600" t="s">
        <v>96</v>
      </c>
      <c r="H2600" t="s">
        <v>8114</v>
      </c>
      <c r="I2600" s="4">
        <v>44347.875</v>
      </c>
      <c r="J2600" t="s">
        <v>8115</v>
      </c>
      <c r="K2600" t="s">
        <v>217</v>
      </c>
      <c r="L2600" s="5"/>
      <c r="M2600" s="5"/>
      <c r="N2600" t="s">
        <v>82</v>
      </c>
      <c r="O2600" t="s">
        <v>8116</v>
      </c>
      <c r="R2600">
        <v>1</v>
      </c>
      <c r="T2600" s="5" t="s">
        <v>38</v>
      </c>
      <c r="W2600">
        <v>206</v>
      </c>
      <c r="X2600" t="s">
        <v>311</v>
      </c>
      <c r="Y2600" t="str">
        <f>VLOOKUP(C2600,'[1]DBS_KPY Sorumlular'!A:C,2,FALSE)</f>
        <v>Erkan AKDOĞAN</v>
      </c>
      <c r="Z2600" t="str">
        <f>VLOOKUP(C2600,'[1]DBS_KPY Sorumlular'!A:C,3,FALSE)</f>
        <v>Kadir TOPÇU</v>
      </c>
      <c r="AA2600" t="str">
        <f>VLOOKUP(K2600,[1]!Tablo3[#Data],2,FALSE)</f>
        <v>Erkan AKDOĞAN</v>
      </c>
    </row>
    <row r="2601" spans="1:27" x14ac:dyDescent="0.25">
      <c r="A2601">
        <v>3953</v>
      </c>
      <c r="B2601" t="s">
        <v>27</v>
      </c>
      <c r="C2601" t="s">
        <v>304</v>
      </c>
      <c r="D2601" t="s">
        <v>305</v>
      </c>
      <c r="G2601" t="s">
        <v>96</v>
      </c>
      <c r="H2601" t="s">
        <v>8117</v>
      </c>
      <c r="I2601" s="4">
        <v>44347.875</v>
      </c>
      <c r="J2601" t="s">
        <v>8080</v>
      </c>
      <c r="K2601" t="s">
        <v>217</v>
      </c>
      <c r="L2601" s="5"/>
      <c r="M2601" s="5"/>
      <c r="N2601" t="s">
        <v>82</v>
      </c>
      <c r="O2601" t="s">
        <v>8118</v>
      </c>
      <c r="R2601">
        <v>1</v>
      </c>
      <c r="T2601" s="5" t="s">
        <v>38</v>
      </c>
      <c r="W2601">
        <v>206</v>
      </c>
      <c r="X2601" t="s">
        <v>311</v>
      </c>
      <c r="Y2601" t="str">
        <f>VLOOKUP(C2601,'[1]DBS_KPY Sorumlular'!A:C,2,FALSE)</f>
        <v>Erkan AKDOĞAN</v>
      </c>
      <c r="Z2601" t="str">
        <f>VLOOKUP(C2601,'[1]DBS_KPY Sorumlular'!A:C,3,FALSE)</f>
        <v>Kadir TOPÇU</v>
      </c>
      <c r="AA2601" t="str">
        <f>VLOOKUP(K2601,[1]!Tablo3[#Data],2,FALSE)</f>
        <v>Erkan AKDOĞAN</v>
      </c>
    </row>
    <row r="2602" spans="1:27" x14ac:dyDescent="0.25">
      <c r="A2602">
        <v>3954</v>
      </c>
      <c r="B2602" t="s">
        <v>27</v>
      </c>
      <c r="C2602" t="s">
        <v>304</v>
      </c>
      <c r="D2602" t="s">
        <v>305</v>
      </c>
      <c r="G2602" t="s">
        <v>96</v>
      </c>
      <c r="H2602" t="s">
        <v>8119</v>
      </c>
      <c r="I2602" s="4">
        <v>44347.875</v>
      </c>
      <c r="J2602" t="s">
        <v>8115</v>
      </c>
      <c r="K2602" t="s">
        <v>217</v>
      </c>
      <c r="L2602" s="5"/>
      <c r="M2602" s="5"/>
      <c r="N2602" t="s">
        <v>82</v>
      </c>
      <c r="O2602" t="s">
        <v>8120</v>
      </c>
      <c r="R2602">
        <v>1</v>
      </c>
      <c r="T2602" s="5" t="s">
        <v>38</v>
      </c>
      <c r="W2602">
        <v>206</v>
      </c>
      <c r="X2602" t="s">
        <v>311</v>
      </c>
      <c r="Y2602" t="str">
        <f>VLOOKUP(C2602,'[1]DBS_KPY Sorumlular'!A:C,2,FALSE)</f>
        <v>Erkan AKDOĞAN</v>
      </c>
      <c r="Z2602" t="str">
        <f>VLOOKUP(C2602,'[1]DBS_KPY Sorumlular'!A:C,3,FALSE)</f>
        <v>Kadir TOPÇU</v>
      </c>
      <c r="AA2602" t="str">
        <f>VLOOKUP(K2602,[1]!Tablo3[#Data],2,FALSE)</f>
        <v>Erkan AKDOĞAN</v>
      </c>
    </row>
    <row r="2603" spans="1:27" x14ac:dyDescent="0.25">
      <c r="A2603">
        <v>3955</v>
      </c>
      <c r="B2603" t="s">
        <v>27</v>
      </c>
      <c r="C2603" t="s">
        <v>304</v>
      </c>
      <c r="D2603" t="s">
        <v>305</v>
      </c>
      <c r="G2603" t="s">
        <v>96</v>
      </c>
      <c r="H2603" t="s">
        <v>8121</v>
      </c>
      <c r="I2603" s="4">
        <v>44712.875</v>
      </c>
      <c r="J2603" t="s">
        <v>8115</v>
      </c>
      <c r="K2603" t="s">
        <v>217</v>
      </c>
      <c r="L2603" s="5"/>
      <c r="M2603" s="5"/>
      <c r="N2603" t="s">
        <v>82</v>
      </c>
      <c r="O2603" t="s">
        <v>8122</v>
      </c>
      <c r="R2603">
        <v>1</v>
      </c>
      <c r="T2603" s="5" t="s">
        <v>38</v>
      </c>
      <c r="W2603">
        <v>206</v>
      </c>
      <c r="X2603" t="s">
        <v>311</v>
      </c>
      <c r="Y2603" t="str">
        <f>VLOOKUP(C2603,'[1]DBS_KPY Sorumlular'!A:C,2,FALSE)</f>
        <v>Erkan AKDOĞAN</v>
      </c>
      <c r="Z2603" t="str">
        <f>VLOOKUP(C2603,'[1]DBS_KPY Sorumlular'!A:C,3,FALSE)</f>
        <v>Kadir TOPÇU</v>
      </c>
      <c r="AA2603" t="str">
        <f>VLOOKUP(K2603,[1]!Tablo3[#Data],2,FALSE)</f>
        <v>Erkan AKDOĞAN</v>
      </c>
    </row>
    <row r="2604" spans="1:27" x14ac:dyDescent="0.25">
      <c r="A2604">
        <v>3956</v>
      </c>
      <c r="B2604" t="s">
        <v>27</v>
      </c>
      <c r="C2604" t="s">
        <v>304</v>
      </c>
      <c r="D2604" t="s">
        <v>305</v>
      </c>
      <c r="G2604" t="s">
        <v>96</v>
      </c>
      <c r="H2604" t="s">
        <v>8123</v>
      </c>
      <c r="I2604" s="4">
        <v>44712.875</v>
      </c>
      <c r="J2604" t="s">
        <v>8124</v>
      </c>
      <c r="K2604" t="s">
        <v>217</v>
      </c>
      <c r="L2604" s="5"/>
      <c r="M2604" s="5"/>
      <c r="N2604" t="s">
        <v>82</v>
      </c>
      <c r="O2604" t="s">
        <v>8125</v>
      </c>
      <c r="R2604">
        <v>1</v>
      </c>
      <c r="T2604" s="5" t="s">
        <v>38</v>
      </c>
      <c r="W2604">
        <v>206</v>
      </c>
      <c r="X2604" t="s">
        <v>311</v>
      </c>
      <c r="Y2604" t="str">
        <f>VLOOKUP(C2604,'[1]DBS_KPY Sorumlular'!A:C,2,FALSE)</f>
        <v>Erkan AKDOĞAN</v>
      </c>
      <c r="Z2604" t="str">
        <f>VLOOKUP(C2604,'[1]DBS_KPY Sorumlular'!A:C,3,FALSE)</f>
        <v>Kadir TOPÇU</v>
      </c>
      <c r="AA2604" t="str">
        <f>VLOOKUP(K2604,[1]!Tablo3[#Data],2,FALSE)</f>
        <v>Erkan AKDOĞAN</v>
      </c>
    </row>
    <row r="2605" spans="1:27" x14ac:dyDescent="0.25">
      <c r="A2605">
        <v>3957</v>
      </c>
      <c r="B2605" t="s">
        <v>27</v>
      </c>
      <c r="C2605" t="s">
        <v>304</v>
      </c>
      <c r="D2605" t="s">
        <v>305</v>
      </c>
      <c r="G2605" t="s">
        <v>96</v>
      </c>
      <c r="H2605" t="s">
        <v>8126</v>
      </c>
      <c r="I2605" s="4">
        <v>44712.875</v>
      </c>
      <c r="J2605" t="s">
        <v>8080</v>
      </c>
      <c r="K2605" t="s">
        <v>217</v>
      </c>
      <c r="L2605" s="5"/>
      <c r="M2605" s="5"/>
      <c r="N2605" t="s">
        <v>82</v>
      </c>
      <c r="O2605" t="s">
        <v>8127</v>
      </c>
      <c r="R2605">
        <v>1</v>
      </c>
      <c r="T2605" s="5" t="s">
        <v>38</v>
      </c>
      <c r="W2605">
        <v>206</v>
      </c>
      <c r="X2605" t="s">
        <v>311</v>
      </c>
      <c r="Y2605" t="str">
        <f>VLOOKUP(C2605,'[1]DBS_KPY Sorumlular'!A:C,2,FALSE)</f>
        <v>Erkan AKDOĞAN</v>
      </c>
      <c r="Z2605" t="str">
        <f>VLOOKUP(C2605,'[1]DBS_KPY Sorumlular'!A:C,3,FALSE)</f>
        <v>Kadir TOPÇU</v>
      </c>
      <c r="AA2605" t="str">
        <f>VLOOKUP(K2605,[1]!Tablo3[#Data],2,FALSE)</f>
        <v>Erkan AKDOĞAN</v>
      </c>
    </row>
    <row r="2606" spans="1:27" x14ac:dyDescent="0.25">
      <c r="A2606">
        <v>3958</v>
      </c>
      <c r="B2606" t="s">
        <v>27</v>
      </c>
      <c r="C2606" t="s">
        <v>304</v>
      </c>
      <c r="D2606" t="s">
        <v>305</v>
      </c>
      <c r="G2606" t="s">
        <v>96</v>
      </c>
      <c r="H2606" t="s">
        <v>8128</v>
      </c>
      <c r="I2606" s="4">
        <v>45077.875</v>
      </c>
      <c r="J2606" t="s">
        <v>8115</v>
      </c>
      <c r="K2606" t="s">
        <v>217</v>
      </c>
      <c r="L2606" s="5"/>
      <c r="M2606" s="5"/>
      <c r="N2606" t="s">
        <v>82</v>
      </c>
      <c r="O2606" t="s">
        <v>8129</v>
      </c>
      <c r="R2606">
        <v>1</v>
      </c>
      <c r="T2606" s="5" t="s">
        <v>38</v>
      </c>
      <c r="W2606">
        <v>206</v>
      </c>
      <c r="X2606" t="s">
        <v>311</v>
      </c>
      <c r="Y2606" t="str">
        <f>VLOOKUP(C2606,'[1]DBS_KPY Sorumlular'!A:C,2,FALSE)</f>
        <v>Erkan AKDOĞAN</v>
      </c>
      <c r="Z2606" t="str">
        <f>VLOOKUP(C2606,'[1]DBS_KPY Sorumlular'!A:C,3,FALSE)</f>
        <v>Kadir TOPÇU</v>
      </c>
      <c r="AA2606" t="str">
        <f>VLOOKUP(K2606,[1]!Tablo3[#Data],2,FALSE)</f>
        <v>Erkan AKDOĞAN</v>
      </c>
    </row>
    <row r="2607" spans="1:27" x14ac:dyDescent="0.25">
      <c r="A2607">
        <v>3959</v>
      </c>
      <c r="B2607" t="s">
        <v>27</v>
      </c>
      <c r="C2607" t="s">
        <v>304</v>
      </c>
      <c r="D2607" t="s">
        <v>305</v>
      </c>
      <c r="G2607" t="s">
        <v>96</v>
      </c>
      <c r="H2607" t="s">
        <v>8130</v>
      </c>
      <c r="I2607" s="4">
        <v>45077.875</v>
      </c>
      <c r="J2607" t="s">
        <v>8131</v>
      </c>
      <c r="K2607" t="s">
        <v>217</v>
      </c>
      <c r="L2607" s="5"/>
      <c r="M2607" s="5"/>
      <c r="N2607" t="s">
        <v>82</v>
      </c>
      <c r="O2607" t="s">
        <v>8132</v>
      </c>
      <c r="R2607">
        <v>1</v>
      </c>
      <c r="T2607" s="5" t="s">
        <v>38</v>
      </c>
      <c r="W2607">
        <v>24</v>
      </c>
      <c r="X2607" t="s">
        <v>8133</v>
      </c>
      <c r="Y2607" t="str">
        <f>VLOOKUP(C2607,'[1]DBS_KPY Sorumlular'!A:C,2,FALSE)</f>
        <v>Erkan AKDOĞAN</v>
      </c>
      <c r="Z2607" t="str">
        <f>VLOOKUP(C2607,'[1]DBS_KPY Sorumlular'!A:C,3,FALSE)</f>
        <v>Kadir TOPÇU</v>
      </c>
      <c r="AA2607" t="str">
        <f>VLOOKUP(K2607,[1]!Tablo3[#Data],2,FALSE)</f>
        <v>Erkan AKDOĞAN</v>
      </c>
    </row>
    <row r="2608" spans="1:27" x14ac:dyDescent="0.25">
      <c r="A2608">
        <v>3959</v>
      </c>
      <c r="B2608" t="s">
        <v>27</v>
      </c>
      <c r="C2608" t="s">
        <v>304</v>
      </c>
      <c r="D2608" t="s">
        <v>305</v>
      </c>
      <c r="G2608" t="s">
        <v>96</v>
      </c>
      <c r="H2608" t="s">
        <v>8130</v>
      </c>
      <c r="I2608" s="4">
        <v>45077.875</v>
      </c>
      <c r="J2608" t="s">
        <v>8131</v>
      </c>
      <c r="K2608" t="s">
        <v>217</v>
      </c>
      <c r="L2608" s="5"/>
      <c r="M2608" s="5"/>
      <c r="N2608" t="s">
        <v>82</v>
      </c>
      <c r="O2608" t="s">
        <v>8132</v>
      </c>
      <c r="R2608">
        <v>1</v>
      </c>
      <c r="T2608" s="5" t="s">
        <v>38</v>
      </c>
      <c r="W2608">
        <v>206</v>
      </c>
      <c r="X2608" t="s">
        <v>311</v>
      </c>
      <c r="Y2608" t="str">
        <f>VLOOKUP(C2608,'[1]DBS_KPY Sorumlular'!A:C,2,FALSE)</f>
        <v>Erkan AKDOĞAN</v>
      </c>
      <c r="Z2608" t="str">
        <f>VLOOKUP(C2608,'[1]DBS_KPY Sorumlular'!A:C,3,FALSE)</f>
        <v>Kadir TOPÇU</v>
      </c>
      <c r="AA2608" t="str">
        <f>VLOOKUP(K2608,[1]!Tablo3[#Data],2,FALSE)</f>
        <v>Erkan AKDOĞAN</v>
      </c>
    </row>
    <row r="2609" spans="1:27" x14ac:dyDescent="0.25">
      <c r="A2609">
        <v>3960</v>
      </c>
      <c r="B2609" t="s">
        <v>27</v>
      </c>
      <c r="C2609" t="s">
        <v>304</v>
      </c>
      <c r="D2609" t="s">
        <v>305</v>
      </c>
      <c r="G2609" t="s">
        <v>96</v>
      </c>
      <c r="H2609" t="s">
        <v>8134</v>
      </c>
      <c r="I2609" s="4">
        <v>45077.875</v>
      </c>
      <c r="J2609" t="s">
        <v>8080</v>
      </c>
      <c r="K2609" t="s">
        <v>217</v>
      </c>
      <c r="L2609" s="5"/>
      <c r="M2609" s="5"/>
      <c r="N2609" t="s">
        <v>82</v>
      </c>
      <c r="O2609" t="s">
        <v>8135</v>
      </c>
      <c r="R2609">
        <v>1</v>
      </c>
      <c r="T2609" s="5" t="s">
        <v>38</v>
      </c>
      <c r="W2609">
        <v>206</v>
      </c>
      <c r="X2609" t="s">
        <v>311</v>
      </c>
      <c r="Y2609" t="str">
        <f>VLOOKUP(C2609,'[1]DBS_KPY Sorumlular'!A:C,2,FALSE)</f>
        <v>Erkan AKDOĞAN</v>
      </c>
      <c r="Z2609" t="str">
        <f>VLOOKUP(C2609,'[1]DBS_KPY Sorumlular'!A:C,3,FALSE)</f>
        <v>Kadir TOPÇU</v>
      </c>
      <c r="AA2609" t="str">
        <f>VLOOKUP(K2609,[1]!Tablo3[#Data],2,FALSE)</f>
        <v>Erkan AKDOĞAN</v>
      </c>
    </row>
    <row r="2610" spans="1:27" x14ac:dyDescent="0.25">
      <c r="A2610">
        <v>3961</v>
      </c>
      <c r="B2610" t="s">
        <v>27</v>
      </c>
      <c r="C2610" t="s">
        <v>304</v>
      </c>
      <c r="D2610" t="s">
        <v>305</v>
      </c>
      <c r="G2610" t="s">
        <v>96</v>
      </c>
      <c r="H2610" t="s">
        <v>8136</v>
      </c>
      <c r="I2610" s="4">
        <v>45077.875</v>
      </c>
      <c r="J2610" t="s">
        <v>8137</v>
      </c>
      <c r="K2610" t="s">
        <v>309</v>
      </c>
      <c r="L2610" s="5"/>
      <c r="M2610" s="5"/>
      <c r="N2610" t="s">
        <v>82</v>
      </c>
      <c r="O2610" t="s">
        <v>8138</v>
      </c>
      <c r="R2610">
        <v>1</v>
      </c>
      <c r="T2610" s="5" t="s">
        <v>38</v>
      </c>
      <c r="W2610">
        <v>24</v>
      </c>
      <c r="X2610" t="s">
        <v>8133</v>
      </c>
      <c r="Y2610" t="str">
        <f>VLOOKUP(C2610,'[1]DBS_KPY Sorumlular'!A:C,2,FALSE)</f>
        <v>Erkan AKDOĞAN</v>
      </c>
      <c r="Z2610" t="str">
        <f>VLOOKUP(C2610,'[1]DBS_KPY Sorumlular'!A:C,3,FALSE)</f>
        <v>Kadir TOPÇU</v>
      </c>
      <c r="AA2610" t="str">
        <f>VLOOKUP(K2610,[1]!Tablo3[#Data],2,FALSE)</f>
        <v>Erkan AKDOĞAN</v>
      </c>
    </row>
    <row r="2611" spans="1:27" x14ac:dyDescent="0.25">
      <c r="A2611">
        <v>3961</v>
      </c>
      <c r="B2611" t="s">
        <v>27</v>
      </c>
      <c r="C2611" t="s">
        <v>304</v>
      </c>
      <c r="D2611" t="s">
        <v>305</v>
      </c>
      <c r="G2611" t="s">
        <v>96</v>
      </c>
      <c r="H2611" t="s">
        <v>8136</v>
      </c>
      <c r="I2611" s="4">
        <v>45077.875</v>
      </c>
      <c r="J2611" t="s">
        <v>8137</v>
      </c>
      <c r="K2611" t="s">
        <v>309</v>
      </c>
      <c r="L2611" s="5"/>
      <c r="M2611" s="5"/>
      <c r="N2611" t="s">
        <v>82</v>
      </c>
      <c r="O2611" t="s">
        <v>8138</v>
      </c>
      <c r="R2611">
        <v>1</v>
      </c>
      <c r="T2611" s="5" t="s">
        <v>38</v>
      </c>
      <c r="W2611">
        <v>206</v>
      </c>
      <c r="X2611" t="s">
        <v>311</v>
      </c>
      <c r="Y2611" t="str">
        <f>VLOOKUP(C2611,'[1]DBS_KPY Sorumlular'!A:C,2,FALSE)</f>
        <v>Erkan AKDOĞAN</v>
      </c>
      <c r="Z2611" t="str">
        <f>VLOOKUP(C2611,'[1]DBS_KPY Sorumlular'!A:C,3,FALSE)</f>
        <v>Kadir TOPÇU</v>
      </c>
      <c r="AA2611" t="str">
        <f>VLOOKUP(K2611,[1]!Tablo3[#Data],2,FALSE)</f>
        <v>Erkan AKDOĞAN</v>
      </c>
    </row>
    <row r="2612" spans="1:27" x14ac:dyDescent="0.25">
      <c r="A2612">
        <v>3962</v>
      </c>
      <c r="B2612" t="s">
        <v>27</v>
      </c>
      <c r="C2612" t="s">
        <v>304</v>
      </c>
      <c r="D2612" t="s">
        <v>305</v>
      </c>
      <c r="G2612" t="s">
        <v>96</v>
      </c>
      <c r="H2612" t="s">
        <v>8139</v>
      </c>
      <c r="I2612" s="4">
        <v>45472.875</v>
      </c>
      <c r="K2612" t="s">
        <v>309</v>
      </c>
      <c r="L2612" s="5"/>
      <c r="M2612" s="5"/>
      <c r="N2612" t="s">
        <v>82</v>
      </c>
      <c r="O2612" t="s">
        <v>8140</v>
      </c>
      <c r="R2612">
        <v>1</v>
      </c>
      <c r="T2612" s="5" t="s">
        <v>38</v>
      </c>
      <c r="W2612">
        <v>206</v>
      </c>
      <c r="X2612" t="s">
        <v>311</v>
      </c>
      <c r="Y2612" t="str">
        <f>VLOOKUP(C2612,'[1]DBS_KPY Sorumlular'!A:C,2,FALSE)</f>
        <v>Erkan AKDOĞAN</v>
      </c>
      <c r="Z2612" t="str">
        <f>VLOOKUP(C2612,'[1]DBS_KPY Sorumlular'!A:C,3,FALSE)</f>
        <v>Kadir TOPÇU</v>
      </c>
      <c r="AA2612" t="str">
        <f>VLOOKUP(K2612,[1]!Tablo3[#Data],2,FALSE)</f>
        <v>Erkan AKDOĞAN</v>
      </c>
    </row>
    <row r="2613" spans="1:27" x14ac:dyDescent="0.25">
      <c r="A2613">
        <v>3963</v>
      </c>
      <c r="B2613" t="s">
        <v>27</v>
      </c>
      <c r="C2613" t="s">
        <v>304</v>
      </c>
      <c r="D2613" t="s">
        <v>305</v>
      </c>
      <c r="G2613" t="s">
        <v>96</v>
      </c>
      <c r="H2613" t="s">
        <v>8141</v>
      </c>
      <c r="I2613" s="4">
        <v>45574.875</v>
      </c>
      <c r="K2613" t="s">
        <v>309</v>
      </c>
      <c r="L2613" s="5"/>
      <c r="M2613" s="5"/>
      <c r="N2613" t="s">
        <v>82</v>
      </c>
      <c r="O2613" t="s">
        <v>8142</v>
      </c>
      <c r="R2613">
        <v>1</v>
      </c>
      <c r="T2613" s="5" t="s">
        <v>38</v>
      </c>
      <c r="W2613">
        <v>206</v>
      </c>
      <c r="X2613" t="s">
        <v>311</v>
      </c>
      <c r="Y2613" t="str">
        <f>VLOOKUP(C2613,'[1]DBS_KPY Sorumlular'!A:C,2,FALSE)</f>
        <v>Erkan AKDOĞAN</v>
      </c>
      <c r="Z2613" t="str">
        <f>VLOOKUP(C2613,'[1]DBS_KPY Sorumlular'!A:C,3,FALSE)</f>
        <v>Kadir TOPÇU</v>
      </c>
      <c r="AA2613" t="str">
        <f>VLOOKUP(K2613,[1]!Tablo3[#Data],2,FALSE)</f>
        <v>Erkan AKDOĞAN</v>
      </c>
    </row>
    <row r="2614" spans="1:27" x14ac:dyDescent="0.25">
      <c r="A2614">
        <v>3964</v>
      </c>
      <c r="B2614" t="s">
        <v>27</v>
      </c>
      <c r="C2614" t="s">
        <v>304</v>
      </c>
      <c r="D2614" t="s">
        <v>305</v>
      </c>
      <c r="G2614" t="s">
        <v>96</v>
      </c>
      <c r="H2614" t="s">
        <v>8143</v>
      </c>
      <c r="I2614" s="4">
        <v>44712.875</v>
      </c>
      <c r="J2614" t="s">
        <v>8115</v>
      </c>
      <c r="K2614" t="s">
        <v>325</v>
      </c>
      <c r="L2614" s="5"/>
      <c r="M2614" s="5"/>
      <c r="N2614" t="s">
        <v>82</v>
      </c>
      <c r="O2614" t="s">
        <v>8144</v>
      </c>
      <c r="R2614">
        <v>1</v>
      </c>
      <c r="T2614" s="5" t="s">
        <v>38</v>
      </c>
      <c r="W2614">
        <v>206</v>
      </c>
      <c r="X2614" t="s">
        <v>311</v>
      </c>
      <c r="Y2614" t="str">
        <f>VLOOKUP(C2614,'[1]DBS_KPY Sorumlular'!A:C,2,FALSE)</f>
        <v>Erkan AKDOĞAN</v>
      </c>
      <c r="Z2614" t="str">
        <f>VLOOKUP(C2614,'[1]DBS_KPY Sorumlular'!A:C,3,FALSE)</f>
        <v>Kadir TOPÇU</v>
      </c>
      <c r="AA2614" t="str">
        <f>VLOOKUP(K2614,[1]!Tablo3[#Data],2,FALSE)</f>
        <v>Kadir TOPÇU</v>
      </c>
    </row>
    <row r="2615" spans="1:27" x14ac:dyDescent="0.25">
      <c r="A2615">
        <v>3965</v>
      </c>
      <c r="B2615" t="s">
        <v>27</v>
      </c>
      <c r="C2615" t="s">
        <v>304</v>
      </c>
      <c r="D2615" t="s">
        <v>305</v>
      </c>
      <c r="G2615" t="s">
        <v>96</v>
      </c>
      <c r="H2615" t="s">
        <v>8145</v>
      </c>
      <c r="I2615" s="4">
        <v>45443.875</v>
      </c>
      <c r="J2615" t="s">
        <v>8115</v>
      </c>
      <c r="K2615" t="s">
        <v>325</v>
      </c>
      <c r="L2615" s="5"/>
      <c r="M2615" s="5"/>
      <c r="N2615" t="s">
        <v>82</v>
      </c>
      <c r="O2615" t="s">
        <v>8146</v>
      </c>
      <c r="R2615">
        <v>1</v>
      </c>
      <c r="T2615" s="5" t="s">
        <v>38</v>
      </c>
      <c r="W2615">
        <v>206</v>
      </c>
      <c r="X2615" t="s">
        <v>311</v>
      </c>
      <c r="Y2615" t="str">
        <f>VLOOKUP(C2615,'[1]DBS_KPY Sorumlular'!A:C,2,FALSE)</f>
        <v>Erkan AKDOĞAN</v>
      </c>
      <c r="Z2615" t="str">
        <f>VLOOKUP(C2615,'[1]DBS_KPY Sorumlular'!A:C,3,FALSE)</f>
        <v>Kadir TOPÇU</v>
      </c>
      <c r="AA2615" t="str">
        <f>VLOOKUP(K2615,[1]!Tablo3[#Data],2,FALSE)</f>
        <v>Kadir TOPÇU</v>
      </c>
    </row>
    <row r="2616" spans="1:27" x14ac:dyDescent="0.25">
      <c r="A2616">
        <v>3966</v>
      </c>
      <c r="B2616" t="s">
        <v>27</v>
      </c>
      <c r="C2616" t="s">
        <v>304</v>
      </c>
      <c r="D2616" t="s">
        <v>305</v>
      </c>
      <c r="G2616" t="s">
        <v>96</v>
      </c>
      <c r="H2616" t="s">
        <v>8147</v>
      </c>
      <c r="I2616" s="4">
        <v>44347.875</v>
      </c>
      <c r="J2616" t="s">
        <v>8115</v>
      </c>
      <c r="K2616" t="s">
        <v>364</v>
      </c>
      <c r="L2616" s="5"/>
      <c r="M2616" s="5"/>
      <c r="N2616" t="s">
        <v>82</v>
      </c>
      <c r="O2616" t="s">
        <v>8148</v>
      </c>
      <c r="R2616">
        <v>1</v>
      </c>
      <c r="T2616" s="5" t="s">
        <v>38</v>
      </c>
      <c r="W2616">
        <v>206</v>
      </c>
      <c r="X2616" t="s">
        <v>311</v>
      </c>
      <c r="Y2616" t="str">
        <f>VLOOKUP(C2616,'[1]DBS_KPY Sorumlular'!A:C,2,FALSE)</f>
        <v>Erkan AKDOĞAN</v>
      </c>
      <c r="Z2616" t="str">
        <f>VLOOKUP(C2616,'[1]DBS_KPY Sorumlular'!A:C,3,FALSE)</f>
        <v>Kadir TOPÇU</v>
      </c>
      <c r="AA2616" t="str">
        <f>VLOOKUP(K2616,[1]!Tablo3[#Data],2,FALSE)</f>
        <v>Kadir TOPÇU</v>
      </c>
    </row>
    <row r="2617" spans="1:27" x14ac:dyDescent="0.25">
      <c r="A2617">
        <v>3967</v>
      </c>
      <c r="B2617" t="s">
        <v>27</v>
      </c>
      <c r="C2617" t="s">
        <v>304</v>
      </c>
      <c r="D2617" t="s">
        <v>305</v>
      </c>
      <c r="G2617" t="s">
        <v>96</v>
      </c>
      <c r="H2617" t="s">
        <v>8149</v>
      </c>
      <c r="I2617" s="4">
        <v>44347.875</v>
      </c>
      <c r="J2617" t="s">
        <v>8115</v>
      </c>
      <c r="K2617" t="s">
        <v>364</v>
      </c>
      <c r="L2617" s="5"/>
      <c r="M2617" s="5"/>
      <c r="N2617" t="s">
        <v>82</v>
      </c>
      <c r="O2617" t="s">
        <v>8150</v>
      </c>
      <c r="R2617">
        <v>1</v>
      </c>
      <c r="T2617" s="5" t="s">
        <v>38</v>
      </c>
      <c r="W2617">
        <v>206</v>
      </c>
      <c r="X2617" t="s">
        <v>311</v>
      </c>
      <c r="Y2617" t="str">
        <f>VLOOKUP(C2617,'[1]DBS_KPY Sorumlular'!A:C,2,FALSE)</f>
        <v>Erkan AKDOĞAN</v>
      </c>
      <c r="Z2617" t="str">
        <f>VLOOKUP(C2617,'[1]DBS_KPY Sorumlular'!A:C,3,FALSE)</f>
        <v>Kadir TOPÇU</v>
      </c>
      <c r="AA2617" t="str">
        <f>VLOOKUP(K2617,[1]!Tablo3[#Data],2,FALSE)</f>
        <v>Kadir TOPÇU</v>
      </c>
    </row>
    <row r="2618" spans="1:27" x14ac:dyDescent="0.25">
      <c r="A2618">
        <v>3968</v>
      </c>
      <c r="B2618" t="s">
        <v>27</v>
      </c>
      <c r="C2618" t="s">
        <v>304</v>
      </c>
      <c r="D2618" t="s">
        <v>305</v>
      </c>
      <c r="G2618" t="s">
        <v>96</v>
      </c>
      <c r="H2618" t="s">
        <v>8151</v>
      </c>
      <c r="I2618" s="4">
        <v>44347.875</v>
      </c>
      <c r="J2618" t="s">
        <v>8115</v>
      </c>
      <c r="K2618" t="s">
        <v>364</v>
      </c>
      <c r="L2618" s="5"/>
      <c r="M2618" s="5"/>
      <c r="N2618" t="s">
        <v>82</v>
      </c>
      <c r="O2618" t="s">
        <v>8152</v>
      </c>
      <c r="R2618">
        <v>1</v>
      </c>
      <c r="T2618" s="5" t="s">
        <v>38</v>
      </c>
      <c r="W2618">
        <v>206</v>
      </c>
      <c r="X2618" t="s">
        <v>311</v>
      </c>
      <c r="Y2618" t="str">
        <f>VLOOKUP(C2618,'[1]DBS_KPY Sorumlular'!A:C,2,FALSE)</f>
        <v>Erkan AKDOĞAN</v>
      </c>
      <c r="Z2618" t="str">
        <f>VLOOKUP(C2618,'[1]DBS_KPY Sorumlular'!A:C,3,FALSE)</f>
        <v>Kadir TOPÇU</v>
      </c>
      <c r="AA2618" t="str">
        <f>VLOOKUP(K2618,[1]!Tablo3[#Data],2,FALSE)</f>
        <v>Kadir TOPÇU</v>
      </c>
    </row>
    <row r="2619" spans="1:27" x14ac:dyDescent="0.25">
      <c r="A2619">
        <v>3969</v>
      </c>
      <c r="B2619" t="s">
        <v>27</v>
      </c>
      <c r="C2619" t="s">
        <v>304</v>
      </c>
      <c r="D2619" t="s">
        <v>305</v>
      </c>
      <c r="G2619" t="s">
        <v>96</v>
      </c>
      <c r="H2619" t="s">
        <v>8153</v>
      </c>
      <c r="I2619" s="4">
        <v>44712.875</v>
      </c>
      <c r="J2619" t="s">
        <v>8115</v>
      </c>
      <c r="K2619" t="s">
        <v>364</v>
      </c>
      <c r="L2619" s="5"/>
      <c r="M2619" s="5"/>
      <c r="N2619" t="s">
        <v>82</v>
      </c>
      <c r="O2619" t="s">
        <v>8154</v>
      </c>
      <c r="R2619">
        <v>1</v>
      </c>
      <c r="T2619" s="5" t="s">
        <v>38</v>
      </c>
      <c r="W2619">
        <v>206</v>
      </c>
      <c r="X2619" t="s">
        <v>311</v>
      </c>
      <c r="Y2619" t="str">
        <f>VLOOKUP(C2619,'[1]DBS_KPY Sorumlular'!A:C,2,FALSE)</f>
        <v>Erkan AKDOĞAN</v>
      </c>
      <c r="Z2619" t="str">
        <f>VLOOKUP(C2619,'[1]DBS_KPY Sorumlular'!A:C,3,FALSE)</f>
        <v>Kadir TOPÇU</v>
      </c>
      <c r="AA2619" t="str">
        <f>VLOOKUP(K2619,[1]!Tablo3[#Data],2,FALSE)</f>
        <v>Kadir TOPÇU</v>
      </c>
    </row>
    <row r="2620" spans="1:27" x14ac:dyDescent="0.25">
      <c r="A2620">
        <v>3970</v>
      </c>
      <c r="B2620" t="s">
        <v>27</v>
      </c>
      <c r="C2620" t="s">
        <v>304</v>
      </c>
      <c r="D2620" t="s">
        <v>305</v>
      </c>
      <c r="G2620" t="s">
        <v>96</v>
      </c>
      <c r="H2620" t="s">
        <v>8155</v>
      </c>
      <c r="I2620" s="4">
        <v>45077.875</v>
      </c>
      <c r="J2620" t="s">
        <v>8156</v>
      </c>
      <c r="K2620" t="s">
        <v>364</v>
      </c>
      <c r="L2620" s="5"/>
      <c r="M2620" s="5"/>
      <c r="N2620" t="s">
        <v>82</v>
      </c>
      <c r="O2620" t="s">
        <v>8157</v>
      </c>
      <c r="R2620">
        <v>1</v>
      </c>
      <c r="T2620" s="5" t="s">
        <v>38</v>
      </c>
      <c r="W2620">
        <v>13</v>
      </c>
      <c r="X2620" t="s">
        <v>2584</v>
      </c>
      <c r="Y2620" t="str">
        <f>VLOOKUP(C2620,'[1]DBS_KPY Sorumlular'!A:C,2,FALSE)</f>
        <v>Erkan AKDOĞAN</v>
      </c>
      <c r="Z2620" t="str">
        <f>VLOOKUP(C2620,'[1]DBS_KPY Sorumlular'!A:C,3,FALSE)</f>
        <v>Kadir TOPÇU</v>
      </c>
      <c r="AA2620" t="str">
        <f>VLOOKUP(K2620,[1]!Tablo3[#Data],2,FALSE)</f>
        <v>Kadir TOPÇU</v>
      </c>
    </row>
    <row r="2621" spans="1:27" x14ac:dyDescent="0.25">
      <c r="A2621">
        <v>3970</v>
      </c>
      <c r="B2621" t="s">
        <v>27</v>
      </c>
      <c r="C2621" t="s">
        <v>304</v>
      </c>
      <c r="D2621" t="s">
        <v>305</v>
      </c>
      <c r="G2621" t="s">
        <v>96</v>
      </c>
      <c r="H2621" t="s">
        <v>8155</v>
      </c>
      <c r="I2621" s="4">
        <v>45077.875</v>
      </c>
      <c r="J2621" t="s">
        <v>8156</v>
      </c>
      <c r="K2621" t="s">
        <v>364</v>
      </c>
      <c r="L2621" s="5"/>
      <c r="M2621" s="5"/>
      <c r="N2621" t="s">
        <v>82</v>
      </c>
      <c r="O2621" t="s">
        <v>8157</v>
      </c>
      <c r="R2621">
        <v>1</v>
      </c>
      <c r="T2621" s="5" t="s">
        <v>38</v>
      </c>
      <c r="W2621">
        <v>207</v>
      </c>
      <c r="X2621" t="s">
        <v>472</v>
      </c>
      <c r="Y2621" t="str">
        <f>VLOOKUP(C2621,'[1]DBS_KPY Sorumlular'!A:C,2,FALSE)</f>
        <v>Erkan AKDOĞAN</v>
      </c>
      <c r="Z2621" t="str">
        <f>VLOOKUP(C2621,'[1]DBS_KPY Sorumlular'!A:C,3,FALSE)</f>
        <v>Kadir TOPÇU</v>
      </c>
      <c r="AA2621" t="str">
        <f>VLOOKUP(K2621,[1]!Tablo3[#Data],2,FALSE)</f>
        <v>Kadir TOPÇU</v>
      </c>
    </row>
    <row r="2622" spans="1:27" x14ac:dyDescent="0.25">
      <c r="A2622">
        <v>3970</v>
      </c>
      <c r="B2622" t="s">
        <v>27</v>
      </c>
      <c r="C2622" t="s">
        <v>304</v>
      </c>
      <c r="D2622" t="s">
        <v>305</v>
      </c>
      <c r="G2622" t="s">
        <v>96</v>
      </c>
      <c r="H2622" t="s">
        <v>8155</v>
      </c>
      <c r="I2622" s="4">
        <v>45077.875</v>
      </c>
      <c r="J2622" t="s">
        <v>8156</v>
      </c>
      <c r="K2622" t="s">
        <v>364</v>
      </c>
      <c r="L2622" s="5"/>
      <c r="M2622" s="5"/>
      <c r="N2622" t="s">
        <v>82</v>
      </c>
      <c r="O2622" t="s">
        <v>8157</v>
      </c>
      <c r="R2622">
        <v>1</v>
      </c>
      <c r="T2622" s="5" t="s">
        <v>38</v>
      </c>
      <c r="W2622">
        <v>206</v>
      </c>
      <c r="X2622" t="s">
        <v>311</v>
      </c>
      <c r="Y2622" t="str">
        <f>VLOOKUP(C2622,'[1]DBS_KPY Sorumlular'!A:C,2,FALSE)</f>
        <v>Erkan AKDOĞAN</v>
      </c>
      <c r="Z2622" t="str">
        <f>VLOOKUP(C2622,'[1]DBS_KPY Sorumlular'!A:C,3,FALSE)</f>
        <v>Kadir TOPÇU</v>
      </c>
      <c r="AA2622" t="str">
        <f>VLOOKUP(K2622,[1]!Tablo3[#Data],2,FALSE)</f>
        <v>Kadir TOPÇU</v>
      </c>
    </row>
    <row r="2623" spans="1:27" x14ac:dyDescent="0.25">
      <c r="A2623">
        <v>3970</v>
      </c>
      <c r="B2623" t="s">
        <v>27</v>
      </c>
      <c r="C2623" t="s">
        <v>304</v>
      </c>
      <c r="D2623" t="s">
        <v>305</v>
      </c>
      <c r="G2623" t="s">
        <v>96</v>
      </c>
      <c r="H2623" t="s">
        <v>8155</v>
      </c>
      <c r="I2623" s="4">
        <v>45077.875</v>
      </c>
      <c r="J2623" t="s">
        <v>8156</v>
      </c>
      <c r="K2623" t="s">
        <v>364</v>
      </c>
      <c r="L2623" s="5"/>
      <c r="M2623" s="5"/>
      <c r="N2623" t="s">
        <v>82</v>
      </c>
      <c r="O2623" t="s">
        <v>8157</v>
      </c>
      <c r="R2623">
        <v>1</v>
      </c>
      <c r="T2623" s="5" t="s">
        <v>38</v>
      </c>
      <c r="W2623">
        <v>208</v>
      </c>
      <c r="X2623" t="s">
        <v>594</v>
      </c>
      <c r="Y2623" t="str">
        <f>VLOOKUP(C2623,'[1]DBS_KPY Sorumlular'!A:C,2,FALSE)</f>
        <v>Erkan AKDOĞAN</v>
      </c>
      <c r="Z2623" t="str">
        <f>VLOOKUP(C2623,'[1]DBS_KPY Sorumlular'!A:C,3,FALSE)</f>
        <v>Kadir TOPÇU</v>
      </c>
      <c r="AA2623" t="str">
        <f>VLOOKUP(K2623,[1]!Tablo3[#Data],2,FALSE)</f>
        <v>Kadir TOPÇU</v>
      </c>
    </row>
    <row r="2624" spans="1:27" x14ac:dyDescent="0.25">
      <c r="A2624">
        <v>3971</v>
      </c>
      <c r="B2624" t="s">
        <v>27</v>
      </c>
      <c r="C2624" t="s">
        <v>304</v>
      </c>
      <c r="D2624" t="s">
        <v>305</v>
      </c>
      <c r="G2624" t="s">
        <v>96</v>
      </c>
      <c r="H2624" t="s">
        <v>8158</v>
      </c>
      <c r="I2624" s="4">
        <v>45077.875</v>
      </c>
      <c r="J2624" t="s">
        <v>8159</v>
      </c>
      <c r="K2624" t="s">
        <v>364</v>
      </c>
      <c r="L2624" s="5"/>
      <c r="M2624" s="5"/>
      <c r="N2624" t="s">
        <v>82</v>
      </c>
      <c r="O2624" t="s">
        <v>8160</v>
      </c>
      <c r="R2624">
        <v>1</v>
      </c>
      <c r="T2624" s="5" t="s">
        <v>38</v>
      </c>
      <c r="W2624">
        <v>13</v>
      </c>
      <c r="X2624" t="s">
        <v>2584</v>
      </c>
      <c r="Y2624" t="str">
        <f>VLOOKUP(C2624,'[1]DBS_KPY Sorumlular'!A:C,2,FALSE)</f>
        <v>Erkan AKDOĞAN</v>
      </c>
      <c r="Z2624" t="str">
        <f>VLOOKUP(C2624,'[1]DBS_KPY Sorumlular'!A:C,3,FALSE)</f>
        <v>Kadir TOPÇU</v>
      </c>
      <c r="AA2624" t="str">
        <f>VLOOKUP(K2624,[1]!Tablo3[#Data],2,FALSE)</f>
        <v>Kadir TOPÇU</v>
      </c>
    </row>
    <row r="2625" spans="1:27" x14ac:dyDescent="0.25">
      <c r="A2625">
        <v>3971</v>
      </c>
      <c r="B2625" t="s">
        <v>27</v>
      </c>
      <c r="C2625" t="s">
        <v>304</v>
      </c>
      <c r="D2625" t="s">
        <v>305</v>
      </c>
      <c r="G2625" t="s">
        <v>96</v>
      </c>
      <c r="H2625" t="s">
        <v>8158</v>
      </c>
      <c r="I2625" s="4">
        <v>45077.875</v>
      </c>
      <c r="J2625" t="s">
        <v>8159</v>
      </c>
      <c r="K2625" t="s">
        <v>364</v>
      </c>
      <c r="L2625" s="5"/>
      <c r="M2625" s="5"/>
      <c r="N2625" t="s">
        <v>82</v>
      </c>
      <c r="O2625" t="s">
        <v>8160</v>
      </c>
      <c r="R2625">
        <v>1</v>
      </c>
      <c r="T2625" s="5" t="s">
        <v>38</v>
      </c>
      <c r="W2625">
        <v>206</v>
      </c>
      <c r="X2625" t="s">
        <v>311</v>
      </c>
      <c r="Y2625" t="str">
        <f>VLOOKUP(C2625,'[1]DBS_KPY Sorumlular'!A:C,2,FALSE)</f>
        <v>Erkan AKDOĞAN</v>
      </c>
      <c r="Z2625" t="str">
        <f>VLOOKUP(C2625,'[1]DBS_KPY Sorumlular'!A:C,3,FALSE)</f>
        <v>Kadir TOPÇU</v>
      </c>
      <c r="AA2625" t="str">
        <f>VLOOKUP(K2625,[1]!Tablo3[#Data],2,FALSE)</f>
        <v>Kadir TOPÇU</v>
      </c>
    </row>
    <row r="2626" spans="1:27" x14ac:dyDescent="0.25">
      <c r="A2626">
        <v>3972</v>
      </c>
      <c r="B2626" t="s">
        <v>27</v>
      </c>
      <c r="C2626" t="s">
        <v>304</v>
      </c>
      <c r="D2626" t="s">
        <v>305</v>
      </c>
      <c r="G2626" t="s">
        <v>96</v>
      </c>
      <c r="H2626" t="s">
        <v>8161</v>
      </c>
      <c r="I2626" s="4">
        <v>45443.875</v>
      </c>
      <c r="J2626" t="s">
        <v>8162</v>
      </c>
      <c r="K2626" t="s">
        <v>364</v>
      </c>
      <c r="L2626" s="5"/>
      <c r="M2626" s="5"/>
      <c r="N2626" t="s">
        <v>82</v>
      </c>
      <c r="O2626" t="s">
        <v>8163</v>
      </c>
      <c r="R2626">
        <v>1</v>
      </c>
      <c r="T2626" s="5" t="s">
        <v>38</v>
      </c>
      <c r="W2626">
        <v>24</v>
      </c>
      <c r="X2626" t="s">
        <v>8133</v>
      </c>
      <c r="Y2626" t="str">
        <f>VLOOKUP(C2626,'[1]DBS_KPY Sorumlular'!A:C,2,FALSE)</f>
        <v>Erkan AKDOĞAN</v>
      </c>
      <c r="Z2626" t="str">
        <f>VLOOKUP(C2626,'[1]DBS_KPY Sorumlular'!A:C,3,FALSE)</f>
        <v>Kadir TOPÇU</v>
      </c>
      <c r="AA2626" t="str">
        <f>VLOOKUP(K2626,[1]!Tablo3[#Data],2,FALSE)</f>
        <v>Kadir TOPÇU</v>
      </c>
    </row>
    <row r="2627" spans="1:27" x14ac:dyDescent="0.25">
      <c r="A2627">
        <v>3972</v>
      </c>
      <c r="B2627" t="s">
        <v>27</v>
      </c>
      <c r="C2627" t="s">
        <v>304</v>
      </c>
      <c r="D2627" t="s">
        <v>305</v>
      </c>
      <c r="G2627" t="s">
        <v>96</v>
      </c>
      <c r="H2627" t="s">
        <v>8161</v>
      </c>
      <c r="I2627" s="4">
        <v>45443.875</v>
      </c>
      <c r="J2627" t="s">
        <v>8162</v>
      </c>
      <c r="K2627" t="s">
        <v>364</v>
      </c>
      <c r="L2627" s="5"/>
      <c r="M2627" s="5"/>
      <c r="N2627" t="s">
        <v>82</v>
      </c>
      <c r="O2627" t="s">
        <v>8163</v>
      </c>
      <c r="R2627">
        <v>1</v>
      </c>
      <c r="T2627" s="5" t="s">
        <v>38</v>
      </c>
      <c r="W2627">
        <v>206</v>
      </c>
      <c r="X2627" t="s">
        <v>311</v>
      </c>
      <c r="Y2627" t="str">
        <f>VLOOKUP(C2627,'[1]DBS_KPY Sorumlular'!A:C,2,FALSE)</f>
        <v>Erkan AKDOĞAN</v>
      </c>
      <c r="Z2627" t="str">
        <f>VLOOKUP(C2627,'[1]DBS_KPY Sorumlular'!A:C,3,FALSE)</f>
        <v>Kadir TOPÇU</v>
      </c>
      <c r="AA2627" t="str">
        <f>VLOOKUP(K2627,[1]!Tablo3[#Data],2,FALSE)</f>
        <v>Kadir TOPÇU</v>
      </c>
    </row>
    <row r="2628" spans="1:27" x14ac:dyDescent="0.25">
      <c r="A2628">
        <v>3973</v>
      </c>
      <c r="B2628" t="s">
        <v>27</v>
      </c>
      <c r="C2628" t="s">
        <v>304</v>
      </c>
      <c r="D2628" t="s">
        <v>305</v>
      </c>
      <c r="G2628" t="s">
        <v>96</v>
      </c>
      <c r="H2628" t="s">
        <v>8079</v>
      </c>
      <c r="I2628" s="4">
        <v>44347.875</v>
      </c>
      <c r="J2628" t="s">
        <v>8164</v>
      </c>
      <c r="K2628" t="s">
        <v>435</v>
      </c>
      <c r="L2628" s="5"/>
      <c r="M2628" s="5"/>
      <c r="N2628" t="s">
        <v>82</v>
      </c>
      <c r="O2628" t="s">
        <v>8165</v>
      </c>
      <c r="R2628">
        <v>1</v>
      </c>
      <c r="T2628" s="5" t="s">
        <v>38</v>
      </c>
      <c r="W2628">
        <v>24</v>
      </c>
      <c r="X2628" t="s">
        <v>8133</v>
      </c>
      <c r="Y2628" t="str">
        <f>VLOOKUP(C2628,'[1]DBS_KPY Sorumlular'!A:C,2,FALSE)</f>
        <v>Erkan AKDOĞAN</v>
      </c>
      <c r="Z2628" t="str">
        <f>VLOOKUP(C2628,'[1]DBS_KPY Sorumlular'!A:C,3,FALSE)</f>
        <v>Kadir TOPÇU</v>
      </c>
      <c r="AA2628" t="str">
        <f>VLOOKUP(K2628,[1]!Tablo3[#Data],2,FALSE)</f>
        <v>Tayfun VİÇE</v>
      </c>
    </row>
    <row r="2629" spans="1:27" x14ac:dyDescent="0.25">
      <c r="A2629">
        <v>3973</v>
      </c>
      <c r="B2629" t="s">
        <v>27</v>
      </c>
      <c r="C2629" t="s">
        <v>304</v>
      </c>
      <c r="D2629" t="s">
        <v>305</v>
      </c>
      <c r="G2629" t="s">
        <v>96</v>
      </c>
      <c r="H2629" t="s">
        <v>8079</v>
      </c>
      <c r="I2629" s="4">
        <v>44347.875</v>
      </c>
      <c r="J2629" t="s">
        <v>8164</v>
      </c>
      <c r="K2629" t="s">
        <v>435</v>
      </c>
      <c r="L2629" s="5"/>
      <c r="M2629" s="5"/>
      <c r="N2629" t="s">
        <v>82</v>
      </c>
      <c r="O2629" t="s">
        <v>8165</v>
      </c>
      <c r="R2629">
        <v>1</v>
      </c>
      <c r="T2629" s="5" t="s">
        <v>38</v>
      </c>
      <c r="W2629">
        <v>206</v>
      </c>
      <c r="X2629" t="s">
        <v>311</v>
      </c>
      <c r="Y2629" t="str">
        <f>VLOOKUP(C2629,'[1]DBS_KPY Sorumlular'!A:C,2,FALSE)</f>
        <v>Erkan AKDOĞAN</v>
      </c>
      <c r="Z2629" t="str">
        <f>VLOOKUP(C2629,'[1]DBS_KPY Sorumlular'!A:C,3,FALSE)</f>
        <v>Kadir TOPÇU</v>
      </c>
      <c r="AA2629" t="str">
        <f>VLOOKUP(K2629,[1]!Tablo3[#Data],2,FALSE)</f>
        <v>Tayfun VİÇE</v>
      </c>
    </row>
    <row r="2630" spans="1:27" x14ac:dyDescent="0.25">
      <c r="A2630">
        <v>3974</v>
      </c>
      <c r="B2630" t="s">
        <v>27</v>
      </c>
      <c r="C2630" t="s">
        <v>304</v>
      </c>
      <c r="D2630" t="s">
        <v>305</v>
      </c>
      <c r="G2630" t="s">
        <v>96</v>
      </c>
      <c r="H2630" t="s">
        <v>8166</v>
      </c>
      <c r="I2630" s="4">
        <v>44347.875</v>
      </c>
      <c r="J2630" t="s">
        <v>8167</v>
      </c>
      <c r="K2630" t="s">
        <v>435</v>
      </c>
      <c r="L2630" s="5"/>
      <c r="M2630" s="5"/>
      <c r="N2630" t="s">
        <v>82</v>
      </c>
      <c r="O2630" t="s">
        <v>8168</v>
      </c>
      <c r="R2630">
        <v>1</v>
      </c>
      <c r="T2630" s="5" t="s">
        <v>38</v>
      </c>
      <c r="W2630">
        <v>206</v>
      </c>
      <c r="X2630" t="s">
        <v>311</v>
      </c>
      <c r="Y2630" t="str">
        <f>VLOOKUP(C2630,'[1]DBS_KPY Sorumlular'!A:C,2,FALSE)</f>
        <v>Erkan AKDOĞAN</v>
      </c>
      <c r="Z2630" t="str">
        <f>VLOOKUP(C2630,'[1]DBS_KPY Sorumlular'!A:C,3,FALSE)</f>
        <v>Kadir TOPÇU</v>
      </c>
      <c r="AA2630" t="str">
        <f>VLOOKUP(K2630,[1]!Tablo3[#Data],2,FALSE)</f>
        <v>Tayfun VİÇE</v>
      </c>
    </row>
    <row r="2631" spans="1:27" x14ac:dyDescent="0.25">
      <c r="A2631">
        <v>3975</v>
      </c>
      <c r="B2631" t="s">
        <v>27</v>
      </c>
      <c r="C2631" t="s">
        <v>304</v>
      </c>
      <c r="D2631" t="s">
        <v>305</v>
      </c>
      <c r="G2631" t="s">
        <v>96</v>
      </c>
      <c r="H2631" t="s">
        <v>8169</v>
      </c>
      <c r="I2631" s="4">
        <v>44347.875</v>
      </c>
      <c r="J2631" t="s">
        <v>8170</v>
      </c>
      <c r="K2631" t="s">
        <v>435</v>
      </c>
      <c r="L2631" s="5"/>
      <c r="M2631" s="5"/>
      <c r="N2631" t="s">
        <v>82</v>
      </c>
      <c r="O2631" t="s">
        <v>8171</v>
      </c>
      <c r="R2631">
        <v>1</v>
      </c>
      <c r="T2631" s="5" t="s">
        <v>38</v>
      </c>
      <c r="W2631">
        <v>24</v>
      </c>
      <c r="X2631" t="s">
        <v>8133</v>
      </c>
      <c r="Y2631" t="str">
        <f>VLOOKUP(C2631,'[1]DBS_KPY Sorumlular'!A:C,2,FALSE)</f>
        <v>Erkan AKDOĞAN</v>
      </c>
      <c r="Z2631" t="str">
        <f>VLOOKUP(C2631,'[1]DBS_KPY Sorumlular'!A:C,3,FALSE)</f>
        <v>Kadir TOPÇU</v>
      </c>
      <c r="AA2631" t="str">
        <f>VLOOKUP(K2631,[1]!Tablo3[#Data],2,FALSE)</f>
        <v>Tayfun VİÇE</v>
      </c>
    </row>
    <row r="2632" spans="1:27" x14ac:dyDescent="0.25">
      <c r="A2632">
        <v>3975</v>
      </c>
      <c r="B2632" t="s">
        <v>27</v>
      </c>
      <c r="C2632" t="s">
        <v>304</v>
      </c>
      <c r="D2632" t="s">
        <v>305</v>
      </c>
      <c r="G2632" t="s">
        <v>96</v>
      </c>
      <c r="H2632" t="s">
        <v>8169</v>
      </c>
      <c r="I2632" s="4">
        <v>44347.875</v>
      </c>
      <c r="J2632" t="s">
        <v>8170</v>
      </c>
      <c r="K2632" t="s">
        <v>435</v>
      </c>
      <c r="L2632" s="5"/>
      <c r="M2632" s="5"/>
      <c r="N2632" t="s">
        <v>82</v>
      </c>
      <c r="O2632" t="s">
        <v>8171</v>
      </c>
      <c r="R2632">
        <v>1</v>
      </c>
      <c r="T2632" s="5" t="s">
        <v>38</v>
      </c>
      <c r="W2632">
        <v>206</v>
      </c>
      <c r="X2632" t="s">
        <v>311</v>
      </c>
      <c r="Y2632" t="str">
        <f>VLOOKUP(C2632,'[1]DBS_KPY Sorumlular'!A:C,2,FALSE)</f>
        <v>Erkan AKDOĞAN</v>
      </c>
      <c r="Z2632" t="str">
        <f>VLOOKUP(C2632,'[1]DBS_KPY Sorumlular'!A:C,3,FALSE)</f>
        <v>Kadir TOPÇU</v>
      </c>
      <c r="AA2632" t="str">
        <f>VLOOKUP(K2632,[1]!Tablo3[#Data],2,FALSE)</f>
        <v>Tayfun VİÇE</v>
      </c>
    </row>
    <row r="2633" spans="1:27" x14ac:dyDescent="0.25">
      <c r="A2633">
        <v>3976</v>
      </c>
      <c r="B2633" t="s">
        <v>27</v>
      </c>
      <c r="C2633" t="s">
        <v>304</v>
      </c>
      <c r="D2633" t="s">
        <v>305</v>
      </c>
      <c r="G2633" t="s">
        <v>96</v>
      </c>
      <c r="H2633" t="s">
        <v>8094</v>
      </c>
      <c r="I2633" s="4">
        <v>44712.875</v>
      </c>
      <c r="J2633" t="s">
        <v>8172</v>
      </c>
      <c r="K2633" t="s">
        <v>435</v>
      </c>
      <c r="L2633" s="5"/>
      <c r="M2633" s="5"/>
      <c r="N2633" t="s">
        <v>82</v>
      </c>
      <c r="O2633" t="s">
        <v>8173</v>
      </c>
      <c r="R2633">
        <v>1</v>
      </c>
      <c r="T2633" s="5" t="s">
        <v>38</v>
      </c>
      <c r="W2633">
        <v>24</v>
      </c>
      <c r="X2633" t="s">
        <v>8133</v>
      </c>
      <c r="Y2633" t="str">
        <f>VLOOKUP(C2633,'[1]DBS_KPY Sorumlular'!A:C,2,FALSE)</f>
        <v>Erkan AKDOĞAN</v>
      </c>
      <c r="Z2633" t="str">
        <f>VLOOKUP(C2633,'[1]DBS_KPY Sorumlular'!A:C,3,FALSE)</f>
        <v>Kadir TOPÇU</v>
      </c>
      <c r="AA2633" t="str">
        <f>VLOOKUP(K2633,[1]!Tablo3[#Data],2,FALSE)</f>
        <v>Tayfun VİÇE</v>
      </c>
    </row>
    <row r="2634" spans="1:27" x14ac:dyDescent="0.25">
      <c r="A2634">
        <v>3976</v>
      </c>
      <c r="B2634" t="s">
        <v>27</v>
      </c>
      <c r="C2634" t="s">
        <v>304</v>
      </c>
      <c r="D2634" t="s">
        <v>305</v>
      </c>
      <c r="G2634" t="s">
        <v>96</v>
      </c>
      <c r="H2634" t="s">
        <v>8094</v>
      </c>
      <c r="I2634" s="4">
        <v>44712.875</v>
      </c>
      <c r="J2634" t="s">
        <v>8172</v>
      </c>
      <c r="K2634" t="s">
        <v>435</v>
      </c>
      <c r="L2634" s="5"/>
      <c r="M2634" s="5"/>
      <c r="N2634" t="s">
        <v>82</v>
      </c>
      <c r="O2634" t="s">
        <v>8173</v>
      </c>
      <c r="R2634">
        <v>1</v>
      </c>
      <c r="T2634" s="5" t="s">
        <v>38</v>
      </c>
      <c r="W2634">
        <v>206</v>
      </c>
      <c r="X2634" t="s">
        <v>311</v>
      </c>
      <c r="Y2634" t="str">
        <f>VLOOKUP(C2634,'[1]DBS_KPY Sorumlular'!A:C,2,FALSE)</f>
        <v>Erkan AKDOĞAN</v>
      </c>
      <c r="Z2634" t="str">
        <f>VLOOKUP(C2634,'[1]DBS_KPY Sorumlular'!A:C,3,FALSE)</f>
        <v>Kadir TOPÇU</v>
      </c>
      <c r="AA2634" t="str">
        <f>VLOOKUP(K2634,[1]!Tablo3[#Data],2,FALSE)</f>
        <v>Tayfun VİÇE</v>
      </c>
    </row>
    <row r="2635" spans="1:27" x14ac:dyDescent="0.25">
      <c r="A2635">
        <v>3977</v>
      </c>
      <c r="B2635" t="s">
        <v>27</v>
      </c>
      <c r="C2635" t="s">
        <v>304</v>
      </c>
      <c r="D2635" t="s">
        <v>305</v>
      </c>
      <c r="G2635" t="s">
        <v>96</v>
      </c>
      <c r="H2635" t="s">
        <v>8174</v>
      </c>
      <c r="I2635" s="4">
        <v>44712.875</v>
      </c>
      <c r="J2635" t="s">
        <v>8175</v>
      </c>
      <c r="K2635" t="s">
        <v>435</v>
      </c>
      <c r="L2635" s="5"/>
      <c r="M2635" s="5"/>
      <c r="N2635" t="s">
        <v>82</v>
      </c>
      <c r="O2635" t="s">
        <v>8176</v>
      </c>
      <c r="R2635">
        <v>1</v>
      </c>
      <c r="T2635" s="5" t="s">
        <v>38</v>
      </c>
      <c r="W2635">
        <v>24</v>
      </c>
      <c r="X2635" t="s">
        <v>8133</v>
      </c>
      <c r="Y2635" t="str">
        <f>VLOOKUP(C2635,'[1]DBS_KPY Sorumlular'!A:C,2,FALSE)</f>
        <v>Erkan AKDOĞAN</v>
      </c>
      <c r="Z2635" t="str">
        <f>VLOOKUP(C2635,'[1]DBS_KPY Sorumlular'!A:C,3,FALSE)</f>
        <v>Kadir TOPÇU</v>
      </c>
      <c r="AA2635" t="str">
        <f>VLOOKUP(K2635,[1]!Tablo3[#Data],2,FALSE)</f>
        <v>Tayfun VİÇE</v>
      </c>
    </row>
    <row r="2636" spans="1:27" x14ac:dyDescent="0.25">
      <c r="A2636">
        <v>3977</v>
      </c>
      <c r="B2636" t="s">
        <v>27</v>
      </c>
      <c r="C2636" t="s">
        <v>304</v>
      </c>
      <c r="D2636" t="s">
        <v>305</v>
      </c>
      <c r="G2636" t="s">
        <v>96</v>
      </c>
      <c r="H2636" t="s">
        <v>8174</v>
      </c>
      <c r="I2636" s="4">
        <v>44712.875</v>
      </c>
      <c r="J2636" t="s">
        <v>8175</v>
      </c>
      <c r="K2636" t="s">
        <v>435</v>
      </c>
      <c r="L2636" s="5"/>
      <c r="M2636" s="5"/>
      <c r="N2636" t="s">
        <v>82</v>
      </c>
      <c r="O2636" t="s">
        <v>8176</v>
      </c>
      <c r="R2636">
        <v>1</v>
      </c>
      <c r="T2636" s="5" t="s">
        <v>38</v>
      </c>
      <c r="W2636">
        <v>206</v>
      </c>
      <c r="X2636" t="s">
        <v>311</v>
      </c>
      <c r="Y2636" t="str">
        <f>VLOOKUP(C2636,'[1]DBS_KPY Sorumlular'!A:C,2,FALSE)</f>
        <v>Erkan AKDOĞAN</v>
      </c>
      <c r="Z2636" t="str">
        <f>VLOOKUP(C2636,'[1]DBS_KPY Sorumlular'!A:C,3,FALSE)</f>
        <v>Kadir TOPÇU</v>
      </c>
      <c r="AA2636" t="str">
        <f>VLOOKUP(K2636,[1]!Tablo3[#Data],2,FALSE)</f>
        <v>Tayfun VİÇE</v>
      </c>
    </row>
    <row r="2637" spans="1:27" x14ac:dyDescent="0.25">
      <c r="A2637">
        <v>3978</v>
      </c>
      <c r="B2637" t="s">
        <v>27</v>
      </c>
      <c r="C2637" t="s">
        <v>304</v>
      </c>
      <c r="D2637" t="s">
        <v>305</v>
      </c>
      <c r="G2637" t="s">
        <v>96</v>
      </c>
      <c r="H2637" t="s">
        <v>8177</v>
      </c>
      <c r="I2637" s="4"/>
      <c r="J2637" t="s">
        <v>8115</v>
      </c>
      <c r="K2637" t="s">
        <v>459</v>
      </c>
      <c r="L2637" s="5" t="s">
        <v>8178</v>
      </c>
      <c r="M2637" s="5"/>
      <c r="N2637" t="s">
        <v>35</v>
      </c>
      <c r="O2637" t="s">
        <v>8179</v>
      </c>
      <c r="R2637">
        <v>1</v>
      </c>
      <c r="T2637" s="5" t="s">
        <v>38</v>
      </c>
      <c r="Y2637" t="str">
        <f>VLOOKUP(C2637,'[1]DBS_KPY Sorumlular'!A:C,2,FALSE)</f>
        <v>Erkan AKDOĞAN</v>
      </c>
      <c r="Z2637" t="str">
        <f>VLOOKUP(C2637,'[1]DBS_KPY Sorumlular'!A:C,3,FALSE)</f>
        <v>Kadir TOPÇU</v>
      </c>
      <c r="AA2637" t="str">
        <f>VLOOKUP(K2637,[1]!Tablo3[#Data],2,FALSE)</f>
        <v>Erkan AKDOĞAN</v>
      </c>
    </row>
    <row r="2638" spans="1:27" x14ac:dyDescent="0.25">
      <c r="A2638">
        <v>3979</v>
      </c>
      <c r="B2638" t="s">
        <v>27</v>
      </c>
      <c r="C2638" t="s">
        <v>304</v>
      </c>
      <c r="D2638" t="s">
        <v>305</v>
      </c>
      <c r="G2638" t="s">
        <v>96</v>
      </c>
      <c r="H2638" t="s">
        <v>8180</v>
      </c>
      <c r="I2638" s="4">
        <v>44347.875</v>
      </c>
      <c r="J2638" t="s">
        <v>8115</v>
      </c>
      <c r="K2638" t="s">
        <v>459</v>
      </c>
      <c r="L2638" s="5"/>
      <c r="M2638" s="5"/>
      <c r="N2638" t="s">
        <v>82</v>
      </c>
      <c r="O2638" t="s">
        <v>8181</v>
      </c>
      <c r="R2638">
        <v>1</v>
      </c>
      <c r="T2638" s="5" t="s">
        <v>38</v>
      </c>
      <c r="W2638">
        <v>206</v>
      </c>
      <c r="X2638" t="s">
        <v>311</v>
      </c>
      <c r="Y2638" t="str">
        <f>VLOOKUP(C2638,'[1]DBS_KPY Sorumlular'!A:C,2,FALSE)</f>
        <v>Erkan AKDOĞAN</v>
      </c>
      <c r="Z2638" t="str">
        <f>VLOOKUP(C2638,'[1]DBS_KPY Sorumlular'!A:C,3,FALSE)</f>
        <v>Kadir TOPÇU</v>
      </c>
      <c r="AA2638" t="str">
        <f>VLOOKUP(K2638,[1]!Tablo3[#Data],2,FALSE)</f>
        <v>Erkan AKDOĞAN</v>
      </c>
    </row>
    <row r="2639" spans="1:27" x14ac:dyDescent="0.25">
      <c r="A2639">
        <v>3980</v>
      </c>
      <c r="B2639" t="s">
        <v>27</v>
      </c>
      <c r="C2639" t="s">
        <v>304</v>
      </c>
      <c r="D2639" t="s">
        <v>305</v>
      </c>
      <c r="G2639" t="s">
        <v>96</v>
      </c>
      <c r="H2639" t="s">
        <v>8182</v>
      </c>
      <c r="I2639" s="4">
        <v>45077.875</v>
      </c>
      <c r="J2639" t="s">
        <v>8183</v>
      </c>
      <c r="K2639" t="s">
        <v>459</v>
      </c>
      <c r="L2639" s="5"/>
      <c r="M2639" s="5"/>
      <c r="N2639" t="s">
        <v>82</v>
      </c>
      <c r="O2639" t="s">
        <v>8184</v>
      </c>
      <c r="R2639">
        <v>1</v>
      </c>
      <c r="T2639" s="5" t="s">
        <v>38</v>
      </c>
      <c r="W2639">
        <v>24</v>
      </c>
      <c r="X2639" t="s">
        <v>8133</v>
      </c>
      <c r="Y2639" t="str">
        <f>VLOOKUP(C2639,'[1]DBS_KPY Sorumlular'!A:C,2,FALSE)</f>
        <v>Erkan AKDOĞAN</v>
      </c>
      <c r="Z2639" t="str">
        <f>VLOOKUP(C2639,'[1]DBS_KPY Sorumlular'!A:C,3,FALSE)</f>
        <v>Kadir TOPÇU</v>
      </c>
      <c r="AA2639" t="str">
        <f>VLOOKUP(K2639,[1]!Tablo3[#Data],2,FALSE)</f>
        <v>Erkan AKDOĞAN</v>
      </c>
    </row>
    <row r="2640" spans="1:27" x14ac:dyDescent="0.25">
      <c r="A2640">
        <v>3980</v>
      </c>
      <c r="B2640" t="s">
        <v>27</v>
      </c>
      <c r="C2640" t="s">
        <v>304</v>
      </c>
      <c r="D2640" t="s">
        <v>305</v>
      </c>
      <c r="G2640" t="s">
        <v>96</v>
      </c>
      <c r="H2640" t="s">
        <v>8182</v>
      </c>
      <c r="I2640" s="4">
        <v>45077.875</v>
      </c>
      <c r="J2640" t="s">
        <v>8183</v>
      </c>
      <c r="K2640" t="s">
        <v>459</v>
      </c>
      <c r="L2640" s="5"/>
      <c r="M2640" s="5"/>
      <c r="N2640" t="s">
        <v>82</v>
      </c>
      <c r="O2640" t="s">
        <v>8184</v>
      </c>
      <c r="R2640">
        <v>1</v>
      </c>
      <c r="T2640" s="5" t="s">
        <v>38</v>
      </c>
      <c r="W2640">
        <v>206</v>
      </c>
      <c r="X2640" t="s">
        <v>311</v>
      </c>
      <c r="Y2640" t="str">
        <f>VLOOKUP(C2640,'[1]DBS_KPY Sorumlular'!A:C,2,FALSE)</f>
        <v>Erkan AKDOĞAN</v>
      </c>
      <c r="Z2640" t="str">
        <f>VLOOKUP(C2640,'[1]DBS_KPY Sorumlular'!A:C,3,FALSE)</f>
        <v>Kadir TOPÇU</v>
      </c>
      <c r="AA2640" t="str">
        <f>VLOOKUP(K2640,[1]!Tablo3[#Data],2,FALSE)</f>
        <v>Erkan AKDOĞAN</v>
      </c>
    </row>
    <row r="2641" spans="1:27" x14ac:dyDescent="0.25">
      <c r="A2641">
        <v>3981</v>
      </c>
      <c r="B2641" t="s">
        <v>27</v>
      </c>
      <c r="C2641" t="s">
        <v>304</v>
      </c>
      <c r="D2641" t="s">
        <v>305</v>
      </c>
      <c r="G2641" t="s">
        <v>96</v>
      </c>
      <c r="H2641" t="s">
        <v>8185</v>
      </c>
      <c r="I2641" s="4">
        <v>45077.875</v>
      </c>
      <c r="J2641" t="s">
        <v>8186</v>
      </c>
      <c r="K2641" t="s">
        <v>459</v>
      </c>
      <c r="L2641" s="5" t="s">
        <v>8187</v>
      </c>
      <c r="M2641" s="5"/>
      <c r="N2641" t="s">
        <v>82</v>
      </c>
      <c r="O2641" t="s">
        <v>8188</v>
      </c>
      <c r="R2641">
        <v>1</v>
      </c>
      <c r="T2641" s="5" t="s">
        <v>38</v>
      </c>
      <c r="W2641">
        <v>13</v>
      </c>
      <c r="X2641" t="s">
        <v>2584</v>
      </c>
      <c r="Y2641" t="str">
        <f>VLOOKUP(C2641,'[1]DBS_KPY Sorumlular'!A:C,2,FALSE)</f>
        <v>Erkan AKDOĞAN</v>
      </c>
      <c r="Z2641" t="str">
        <f>VLOOKUP(C2641,'[1]DBS_KPY Sorumlular'!A:C,3,FALSE)</f>
        <v>Kadir TOPÇU</v>
      </c>
      <c r="AA2641" t="str">
        <f>VLOOKUP(K2641,[1]!Tablo3[#Data],2,FALSE)</f>
        <v>Erkan AKDOĞAN</v>
      </c>
    </row>
    <row r="2642" spans="1:27" x14ac:dyDescent="0.25">
      <c r="A2642">
        <v>3981</v>
      </c>
      <c r="B2642" t="s">
        <v>27</v>
      </c>
      <c r="C2642" t="s">
        <v>304</v>
      </c>
      <c r="D2642" t="s">
        <v>305</v>
      </c>
      <c r="G2642" t="s">
        <v>96</v>
      </c>
      <c r="H2642" t="s">
        <v>8185</v>
      </c>
      <c r="I2642" s="4">
        <v>45077.875</v>
      </c>
      <c r="J2642" t="s">
        <v>8186</v>
      </c>
      <c r="K2642" t="s">
        <v>459</v>
      </c>
      <c r="L2642" s="5" t="s">
        <v>8187</v>
      </c>
      <c r="M2642" s="5"/>
      <c r="N2642" t="s">
        <v>82</v>
      </c>
      <c r="O2642" t="s">
        <v>8188</v>
      </c>
      <c r="R2642">
        <v>1</v>
      </c>
      <c r="T2642" s="5" t="s">
        <v>38</v>
      </c>
      <c r="W2642">
        <v>206</v>
      </c>
      <c r="X2642" t="s">
        <v>311</v>
      </c>
      <c r="Y2642" t="str">
        <f>VLOOKUP(C2642,'[1]DBS_KPY Sorumlular'!A:C,2,FALSE)</f>
        <v>Erkan AKDOĞAN</v>
      </c>
      <c r="Z2642" t="str">
        <f>VLOOKUP(C2642,'[1]DBS_KPY Sorumlular'!A:C,3,FALSE)</f>
        <v>Kadir TOPÇU</v>
      </c>
      <c r="AA2642" t="str">
        <f>VLOOKUP(K2642,[1]!Tablo3[#Data],2,FALSE)</f>
        <v>Erkan AKDOĞAN</v>
      </c>
    </row>
    <row r="2643" spans="1:27" x14ac:dyDescent="0.25">
      <c r="A2643">
        <v>3982</v>
      </c>
      <c r="B2643" t="s">
        <v>27</v>
      </c>
      <c r="C2643" t="s">
        <v>304</v>
      </c>
      <c r="D2643" t="s">
        <v>305</v>
      </c>
      <c r="G2643" t="s">
        <v>96</v>
      </c>
      <c r="H2643" t="s">
        <v>8189</v>
      </c>
      <c r="I2643" s="4">
        <v>45077.875</v>
      </c>
      <c r="J2643" t="s">
        <v>8115</v>
      </c>
      <c r="K2643" t="s">
        <v>459</v>
      </c>
      <c r="L2643" s="5" t="s">
        <v>8102</v>
      </c>
      <c r="M2643" s="5"/>
      <c r="N2643" t="s">
        <v>82</v>
      </c>
      <c r="O2643" t="s">
        <v>8190</v>
      </c>
      <c r="R2643">
        <v>1</v>
      </c>
      <c r="T2643" s="5" t="s">
        <v>38</v>
      </c>
      <c r="W2643">
        <v>206</v>
      </c>
      <c r="X2643" t="s">
        <v>311</v>
      </c>
      <c r="Y2643" t="str">
        <f>VLOOKUP(C2643,'[1]DBS_KPY Sorumlular'!A:C,2,FALSE)</f>
        <v>Erkan AKDOĞAN</v>
      </c>
      <c r="Z2643" t="str">
        <f>VLOOKUP(C2643,'[1]DBS_KPY Sorumlular'!A:C,3,FALSE)</f>
        <v>Kadir TOPÇU</v>
      </c>
      <c r="AA2643" t="str">
        <f>VLOOKUP(K2643,[1]!Tablo3[#Data],2,FALSE)</f>
        <v>Erkan AKDOĞAN</v>
      </c>
    </row>
    <row r="2644" spans="1:27" x14ac:dyDescent="0.25">
      <c r="A2644">
        <v>3983</v>
      </c>
      <c r="B2644" t="s">
        <v>27</v>
      </c>
      <c r="C2644" t="s">
        <v>304</v>
      </c>
      <c r="D2644" t="s">
        <v>305</v>
      </c>
      <c r="G2644" t="s">
        <v>96</v>
      </c>
      <c r="H2644" t="s">
        <v>8191</v>
      </c>
      <c r="I2644" s="4">
        <v>45077.875</v>
      </c>
      <c r="J2644" t="s">
        <v>8192</v>
      </c>
      <c r="K2644" t="s">
        <v>459</v>
      </c>
      <c r="L2644" s="5"/>
      <c r="M2644" s="5"/>
      <c r="N2644" t="s">
        <v>82</v>
      </c>
      <c r="O2644" t="s">
        <v>8193</v>
      </c>
      <c r="R2644">
        <v>1</v>
      </c>
      <c r="T2644" s="5" t="s">
        <v>38</v>
      </c>
      <c r="W2644">
        <v>207</v>
      </c>
      <c r="X2644" t="s">
        <v>472</v>
      </c>
      <c r="Y2644" t="str">
        <f>VLOOKUP(C2644,'[1]DBS_KPY Sorumlular'!A:C,2,FALSE)</f>
        <v>Erkan AKDOĞAN</v>
      </c>
      <c r="Z2644" t="str">
        <f>VLOOKUP(C2644,'[1]DBS_KPY Sorumlular'!A:C,3,FALSE)</f>
        <v>Kadir TOPÇU</v>
      </c>
      <c r="AA2644" t="str">
        <f>VLOOKUP(K2644,[1]!Tablo3[#Data],2,FALSE)</f>
        <v>Erkan AKDOĞAN</v>
      </c>
    </row>
    <row r="2645" spans="1:27" x14ac:dyDescent="0.25">
      <c r="A2645">
        <v>3983</v>
      </c>
      <c r="B2645" t="s">
        <v>27</v>
      </c>
      <c r="C2645" t="s">
        <v>304</v>
      </c>
      <c r="D2645" t="s">
        <v>305</v>
      </c>
      <c r="G2645" t="s">
        <v>96</v>
      </c>
      <c r="H2645" t="s">
        <v>8191</v>
      </c>
      <c r="I2645" s="4">
        <v>45077.875</v>
      </c>
      <c r="J2645" t="s">
        <v>8192</v>
      </c>
      <c r="K2645" t="s">
        <v>459</v>
      </c>
      <c r="L2645" s="5"/>
      <c r="M2645" s="5"/>
      <c r="N2645" t="s">
        <v>82</v>
      </c>
      <c r="O2645" t="s">
        <v>8193</v>
      </c>
      <c r="R2645">
        <v>1</v>
      </c>
      <c r="T2645" s="5" t="s">
        <v>38</v>
      </c>
      <c r="W2645">
        <v>13</v>
      </c>
      <c r="X2645" t="s">
        <v>2584</v>
      </c>
      <c r="Y2645" t="str">
        <f>VLOOKUP(C2645,'[1]DBS_KPY Sorumlular'!A:C,2,FALSE)</f>
        <v>Erkan AKDOĞAN</v>
      </c>
      <c r="Z2645" t="str">
        <f>VLOOKUP(C2645,'[1]DBS_KPY Sorumlular'!A:C,3,FALSE)</f>
        <v>Kadir TOPÇU</v>
      </c>
      <c r="AA2645" t="str">
        <f>VLOOKUP(K2645,[1]!Tablo3[#Data],2,FALSE)</f>
        <v>Erkan AKDOĞAN</v>
      </c>
    </row>
    <row r="2646" spans="1:27" x14ac:dyDescent="0.25">
      <c r="A2646">
        <v>3983</v>
      </c>
      <c r="B2646" t="s">
        <v>27</v>
      </c>
      <c r="C2646" t="s">
        <v>304</v>
      </c>
      <c r="D2646" t="s">
        <v>305</v>
      </c>
      <c r="G2646" t="s">
        <v>96</v>
      </c>
      <c r="H2646" t="s">
        <v>8191</v>
      </c>
      <c r="I2646" s="4">
        <v>45077.875</v>
      </c>
      <c r="J2646" t="s">
        <v>8192</v>
      </c>
      <c r="K2646" t="s">
        <v>459</v>
      </c>
      <c r="L2646" s="5"/>
      <c r="M2646" s="5"/>
      <c r="N2646" t="s">
        <v>82</v>
      </c>
      <c r="O2646" t="s">
        <v>8193</v>
      </c>
      <c r="R2646">
        <v>1</v>
      </c>
      <c r="T2646" s="5" t="s">
        <v>38</v>
      </c>
      <c r="W2646">
        <v>206</v>
      </c>
      <c r="X2646" t="s">
        <v>311</v>
      </c>
      <c r="Y2646" t="str">
        <f>VLOOKUP(C2646,'[1]DBS_KPY Sorumlular'!A:C,2,FALSE)</f>
        <v>Erkan AKDOĞAN</v>
      </c>
      <c r="Z2646" t="str">
        <f>VLOOKUP(C2646,'[1]DBS_KPY Sorumlular'!A:C,3,FALSE)</f>
        <v>Kadir TOPÇU</v>
      </c>
      <c r="AA2646" t="str">
        <f>VLOOKUP(K2646,[1]!Tablo3[#Data],2,FALSE)</f>
        <v>Erkan AKDOĞAN</v>
      </c>
    </row>
    <row r="2647" spans="1:27" x14ac:dyDescent="0.25">
      <c r="A2647">
        <v>3983</v>
      </c>
      <c r="B2647" t="s">
        <v>27</v>
      </c>
      <c r="C2647" t="s">
        <v>304</v>
      </c>
      <c r="D2647" t="s">
        <v>305</v>
      </c>
      <c r="G2647" t="s">
        <v>96</v>
      </c>
      <c r="H2647" t="s">
        <v>8191</v>
      </c>
      <c r="I2647" s="4">
        <v>45077.875</v>
      </c>
      <c r="J2647" t="s">
        <v>8192</v>
      </c>
      <c r="K2647" t="s">
        <v>459</v>
      </c>
      <c r="L2647" s="5"/>
      <c r="M2647" s="5"/>
      <c r="N2647" t="s">
        <v>82</v>
      </c>
      <c r="O2647" t="s">
        <v>8193</v>
      </c>
      <c r="R2647">
        <v>1</v>
      </c>
      <c r="T2647" s="5" t="s">
        <v>38</v>
      </c>
      <c r="W2647">
        <v>208</v>
      </c>
      <c r="X2647" t="s">
        <v>594</v>
      </c>
      <c r="Y2647" t="str">
        <f>VLOOKUP(C2647,'[1]DBS_KPY Sorumlular'!A:C,2,FALSE)</f>
        <v>Erkan AKDOĞAN</v>
      </c>
      <c r="Z2647" t="str">
        <f>VLOOKUP(C2647,'[1]DBS_KPY Sorumlular'!A:C,3,FALSE)</f>
        <v>Kadir TOPÇU</v>
      </c>
      <c r="AA2647" t="str">
        <f>VLOOKUP(K2647,[1]!Tablo3[#Data],2,FALSE)</f>
        <v>Erkan AKDOĞAN</v>
      </c>
    </row>
    <row r="2648" spans="1:27" x14ac:dyDescent="0.25">
      <c r="A2648">
        <v>3984</v>
      </c>
      <c r="B2648" t="s">
        <v>27</v>
      </c>
      <c r="C2648" t="s">
        <v>304</v>
      </c>
      <c r="D2648" t="s">
        <v>305</v>
      </c>
      <c r="G2648" t="s">
        <v>96</v>
      </c>
      <c r="H2648" t="s">
        <v>8194</v>
      </c>
      <c r="I2648" s="4">
        <v>45443.875</v>
      </c>
      <c r="J2648" t="s">
        <v>8195</v>
      </c>
      <c r="K2648" t="s">
        <v>459</v>
      </c>
      <c r="L2648" s="5"/>
      <c r="M2648" s="5"/>
      <c r="N2648" t="s">
        <v>82</v>
      </c>
      <c r="O2648" t="s">
        <v>8196</v>
      </c>
      <c r="R2648">
        <v>1</v>
      </c>
      <c r="T2648" s="5" t="s">
        <v>38</v>
      </c>
      <c r="W2648">
        <v>206</v>
      </c>
      <c r="X2648" t="s">
        <v>311</v>
      </c>
      <c r="Y2648" t="str">
        <f>VLOOKUP(C2648,'[1]DBS_KPY Sorumlular'!A:C,2,FALSE)</f>
        <v>Erkan AKDOĞAN</v>
      </c>
      <c r="Z2648" t="str">
        <f>VLOOKUP(C2648,'[1]DBS_KPY Sorumlular'!A:C,3,FALSE)</f>
        <v>Kadir TOPÇU</v>
      </c>
      <c r="AA2648" t="str">
        <f>VLOOKUP(K2648,[1]!Tablo3[#Data],2,FALSE)</f>
        <v>Erkan AKDOĞAN</v>
      </c>
    </row>
    <row r="2649" spans="1:27" x14ac:dyDescent="0.25">
      <c r="A2649">
        <v>3985</v>
      </c>
      <c r="B2649" t="s">
        <v>27</v>
      </c>
      <c r="C2649" t="s">
        <v>304</v>
      </c>
      <c r="D2649" t="s">
        <v>305</v>
      </c>
      <c r="G2649" t="s">
        <v>96</v>
      </c>
      <c r="H2649" t="s">
        <v>8197</v>
      </c>
      <c r="I2649" s="4">
        <v>45077.875</v>
      </c>
      <c r="J2649" t="s">
        <v>8115</v>
      </c>
      <c r="K2649" t="s">
        <v>226</v>
      </c>
      <c r="L2649" s="5"/>
      <c r="M2649" s="5"/>
      <c r="N2649" t="s">
        <v>82</v>
      </c>
      <c r="O2649" t="s">
        <v>8198</v>
      </c>
      <c r="R2649">
        <v>1</v>
      </c>
      <c r="T2649" s="5" t="s">
        <v>38</v>
      </c>
      <c r="W2649">
        <v>206</v>
      </c>
      <c r="X2649" t="s">
        <v>311</v>
      </c>
      <c r="Y2649" t="str">
        <f>VLOOKUP(C2649,'[1]DBS_KPY Sorumlular'!A:C,2,FALSE)</f>
        <v>Erkan AKDOĞAN</v>
      </c>
      <c r="Z2649" t="str">
        <f>VLOOKUP(C2649,'[1]DBS_KPY Sorumlular'!A:C,3,FALSE)</f>
        <v>Kadir TOPÇU</v>
      </c>
      <c r="AA2649" t="str">
        <f>VLOOKUP(K2649,[1]!Tablo3[#Data],2,FALSE)</f>
        <v>Kadir TOPÇU</v>
      </c>
    </row>
    <row r="2650" spans="1:27" x14ac:dyDescent="0.25">
      <c r="A2650">
        <v>3986</v>
      </c>
      <c r="B2650" t="s">
        <v>27</v>
      </c>
      <c r="C2650" t="s">
        <v>304</v>
      </c>
      <c r="D2650" t="s">
        <v>305</v>
      </c>
      <c r="G2650" t="s">
        <v>96</v>
      </c>
      <c r="H2650" t="s">
        <v>8199</v>
      </c>
      <c r="I2650" s="4">
        <v>45443.875</v>
      </c>
      <c r="J2650" t="s">
        <v>8200</v>
      </c>
      <c r="K2650" t="s">
        <v>226</v>
      </c>
      <c r="L2650" s="5"/>
      <c r="M2650" s="5"/>
      <c r="N2650" t="s">
        <v>82</v>
      </c>
      <c r="O2650" t="s">
        <v>8201</v>
      </c>
      <c r="R2650">
        <v>1</v>
      </c>
      <c r="T2650" s="5" t="s">
        <v>38</v>
      </c>
      <c r="W2650">
        <v>24</v>
      </c>
      <c r="X2650" t="s">
        <v>8133</v>
      </c>
      <c r="Y2650" t="str">
        <f>VLOOKUP(C2650,'[1]DBS_KPY Sorumlular'!A:C,2,FALSE)</f>
        <v>Erkan AKDOĞAN</v>
      </c>
      <c r="Z2650" t="str">
        <f>VLOOKUP(C2650,'[1]DBS_KPY Sorumlular'!A:C,3,FALSE)</f>
        <v>Kadir TOPÇU</v>
      </c>
      <c r="AA2650" t="str">
        <f>VLOOKUP(K2650,[1]!Tablo3[#Data],2,FALSE)</f>
        <v>Kadir TOPÇU</v>
      </c>
    </row>
    <row r="2651" spans="1:27" x14ac:dyDescent="0.25">
      <c r="A2651">
        <v>3986</v>
      </c>
      <c r="B2651" t="s">
        <v>27</v>
      </c>
      <c r="C2651" t="s">
        <v>304</v>
      </c>
      <c r="D2651" t="s">
        <v>305</v>
      </c>
      <c r="G2651" t="s">
        <v>96</v>
      </c>
      <c r="H2651" t="s">
        <v>8199</v>
      </c>
      <c r="I2651" s="4">
        <v>45443.875</v>
      </c>
      <c r="J2651" t="s">
        <v>8200</v>
      </c>
      <c r="K2651" t="s">
        <v>226</v>
      </c>
      <c r="L2651" s="5"/>
      <c r="M2651" s="5"/>
      <c r="N2651" t="s">
        <v>82</v>
      </c>
      <c r="O2651" t="s">
        <v>8201</v>
      </c>
      <c r="R2651">
        <v>1</v>
      </c>
      <c r="T2651" s="5" t="s">
        <v>38</v>
      </c>
      <c r="W2651">
        <v>206</v>
      </c>
      <c r="X2651" t="s">
        <v>311</v>
      </c>
      <c r="Y2651" t="str">
        <f>VLOOKUP(C2651,'[1]DBS_KPY Sorumlular'!A:C,2,FALSE)</f>
        <v>Erkan AKDOĞAN</v>
      </c>
      <c r="Z2651" t="str">
        <f>VLOOKUP(C2651,'[1]DBS_KPY Sorumlular'!A:C,3,FALSE)</f>
        <v>Kadir TOPÇU</v>
      </c>
      <c r="AA2651" t="str">
        <f>VLOOKUP(K2651,[1]!Tablo3[#Data],2,FALSE)</f>
        <v>Kadir TOPÇU</v>
      </c>
    </row>
    <row r="2652" spans="1:27" x14ac:dyDescent="0.25">
      <c r="A2652">
        <v>3987</v>
      </c>
      <c r="B2652" t="s">
        <v>27</v>
      </c>
      <c r="C2652" t="s">
        <v>304</v>
      </c>
      <c r="D2652" t="s">
        <v>305</v>
      </c>
      <c r="G2652" t="s">
        <v>96</v>
      </c>
      <c r="H2652" t="s">
        <v>8202</v>
      </c>
      <c r="I2652" s="4">
        <v>45441.875</v>
      </c>
      <c r="K2652" t="s">
        <v>226</v>
      </c>
      <c r="L2652" s="5"/>
      <c r="M2652" s="5"/>
      <c r="N2652" t="s">
        <v>82</v>
      </c>
      <c r="O2652" t="s">
        <v>8203</v>
      </c>
      <c r="R2652">
        <v>1</v>
      </c>
      <c r="T2652" s="5" t="s">
        <v>38</v>
      </c>
      <c r="W2652">
        <v>13</v>
      </c>
      <c r="X2652" t="s">
        <v>2584</v>
      </c>
      <c r="Y2652" t="str">
        <f>VLOOKUP(C2652,'[1]DBS_KPY Sorumlular'!A:C,2,FALSE)</f>
        <v>Erkan AKDOĞAN</v>
      </c>
      <c r="Z2652" t="str">
        <f>VLOOKUP(C2652,'[1]DBS_KPY Sorumlular'!A:C,3,FALSE)</f>
        <v>Kadir TOPÇU</v>
      </c>
      <c r="AA2652" t="str">
        <f>VLOOKUP(K2652,[1]!Tablo3[#Data],2,FALSE)</f>
        <v>Kadir TOPÇU</v>
      </c>
    </row>
    <row r="2653" spans="1:27" x14ac:dyDescent="0.25">
      <c r="A2653">
        <v>3987</v>
      </c>
      <c r="B2653" t="s">
        <v>27</v>
      </c>
      <c r="C2653" t="s">
        <v>304</v>
      </c>
      <c r="D2653" t="s">
        <v>305</v>
      </c>
      <c r="G2653" t="s">
        <v>96</v>
      </c>
      <c r="H2653" t="s">
        <v>8202</v>
      </c>
      <c r="I2653" s="4">
        <v>45441.875</v>
      </c>
      <c r="K2653" t="s">
        <v>226</v>
      </c>
      <c r="L2653" s="5"/>
      <c r="M2653" s="5"/>
      <c r="N2653" t="s">
        <v>82</v>
      </c>
      <c r="O2653" t="s">
        <v>8203</v>
      </c>
      <c r="R2653">
        <v>1</v>
      </c>
      <c r="T2653" s="5" t="s">
        <v>38</v>
      </c>
      <c r="W2653">
        <v>206</v>
      </c>
      <c r="X2653" t="s">
        <v>311</v>
      </c>
      <c r="Y2653" t="str">
        <f>VLOOKUP(C2653,'[1]DBS_KPY Sorumlular'!A:C,2,FALSE)</f>
        <v>Erkan AKDOĞAN</v>
      </c>
      <c r="Z2653" t="str">
        <f>VLOOKUP(C2653,'[1]DBS_KPY Sorumlular'!A:C,3,FALSE)</f>
        <v>Kadir TOPÇU</v>
      </c>
      <c r="AA2653" t="str">
        <f>VLOOKUP(K2653,[1]!Tablo3[#Data],2,FALSE)</f>
        <v>Kadir TOPÇU</v>
      </c>
    </row>
    <row r="2654" spans="1:27" x14ac:dyDescent="0.25">
      <c r="A2654">
        <v>3988</v>
      </c>
      <c r="B2654" t="s">
        <v>27</v>
      </c>
      <c r="C2654" t="s">
        <v>304</v>
      </c>
      <c r="D2654" t="s">
        <v>305</v>
      </c>
      <c r="G2654" t="s">
        <v>96</v>
      </c>
      <c r="H2654" t="s">
        <v>8204</v>
      </c>
      <c r="I2654" s="4">
        <v>44195.875</v>
      </c>
      <c r="J2654" t="s">
        <v>8115</v>
      </c>
      <c r="K2654" t="s">
        <v>534</v>
      </c>
      <c r="L2654" s="5" t="s">
        <v>8205</v>
      </c>
      <c r="M2654" s="5"/>
      <c r="N2654" t="s">
        <v>82</v>
      </c>
      <c r="O2654" t="s">
        <v>8206</v>
      </c>
      <c r="R2654">
        <v>1</v>
      </c>
      <c r="T2654" s="5" t="s">
        <v>38</v>
      </c>
      <c r="W2654">
        <v>13</v>
      </c>
      <c r="X2654" t="s">
        <v>2584</v>
      </c>
      <c r="Y2654" t="str">
        <f>VLOOKUP(C2654,'[1]DBS_KPY Sorumlular'!A:C,2,FALSE)</f>
        <v>Erkan AKDOĞAN</v>
      </c>
      <c r="Z2654" t="str">
        <f>VLOOKUP(C2654,'[1]DBS_KPY Sorumlular'!A:C,3,FALSE)</f>
        <v>Kadir TOPÇU</v>
      </c>
      <c r="AA2654" t="str">
        <f>VLOOKUP(K2654,[1]!Tablo3[#Data],2,FALSE)</f>
        <v>Erkan AKDOĞAN</v>
      </c>
    </row>
    <row r="2655" spans="1:27" x14ac:dyDescent="0.25">
      <c r="A2655">
        <v>3988</v>
      </c>
      <c r="B2655" t="s">
        <v>27</v>
      </c>
      <c r="C2655" t="s">
        <v>304</v>
      </c>
      <c r="D2655" t="s">
        <v>305</v>
      </c>
      <c r="G2655" t="s">
        <v>96</v>
      </c>
      <c r="H2655" t="s">
        <v>8204</v>
      </c>
      <c r="I2655" s="4">
        <v>44195.875</v>
      </c>
      <c r="J2655" t="s">
        <v>8115</v>
      </c>
      <c r="K2655" t="s">
        <v>534</v>
      </c>
      <c r="L2655" s="5" t="s">
        <v>8205</v>
      </c>
      <c r="M2655" s="5"/>
      <c r="N2655" t="s">
        <v>82</v>
      </c>
      <c r="O2655" t="s">
        <v>8206</v>
      </c>
      <c r="R2655">
        <v>1</v>
      </c>
      <c r="T2655" s="5" t="s">
        <v>38</v>
      </c>
      <c r="W2655">
        <v>206</v>
      </c>
      <c r="X2655" t="s">
        <v>311</v>
      </c>
      <c r="Y2655" t="str">
        <f>VLOOKUP(C2655,'[1]DBS_KPY Sorumlular'!A:C,2,FALSE)</f>
        <v>Erkan AKDOĞAN</v>
      </c>
      <c r="Z2655" t="str">
        <f>VLOOKUP(C2655,'[1]DBS_KPY Sorumlular'!A:C,3,FALSE)</f>
        <v>Kadir TOPÇU</v>
      </c>
      <c r="AA2655" t="str">
        <f>VLOOKUP(K2655,[1]!Tablo3[#Data],2,FALSE)</f>
        <v>Erkan AKDOĞAN</v>
      </c>
    </row>
    <row r="2656" spans="1:27" x14ac:dyDescent="0.25">
      <c r="A2656">
        <v>3989</v>
      </c>
      <c r="B2656" t="s">
        <v>27</v>
      </c>
      <c r="C2656" t="s">
        <v>304</v>
      </c>
      <c r="D2656" t="s">
        <v>305</v>
      </c>
      <c r="G2656" t="s">
        <v>96</v>
      </c>
      <c r="H2656" t="s">
        <v>8207</v>
      </c>
      <c r="I2656" s="4">
        <v>44347.875</v>
      </c>
      <c r="J2656" t="s">
        <v>8115</v>
      </c>
      <c r="K2656" t="s">
        <v>534</v>
      </c>
      <c r="L2656" s="5"/>
      <c r="M2656" s="5"/>
      <c r="N2656" t="s">
        <v>82</v>
      </c>
      <c r="O2656" t="s">
        <v>8208</v>
      </c>
      <c r="R2656">
        <v>1</v>
      </c>
      <c r="T2656" s="5" t="s">
        <v>38</v>
      </c>
      <c r="W2656">
        <v>206</v>
      </c>
      <c r="X2656" t="s">
        <v>311</v>
      </c>
      <c r="Y2656" t="str">
        <f>VLOOKUP(C2656,'[1]DBS_KPY Sorumlular'!A:C,2,FALSE)</f>
        <v>Erkan AKDOĞAN</v>
      </c>
      <c r="Z2656" t="str">
        <f>VLOOKUP(C2656,'[1]DBS_KPY Sorumlular'!A:C,3,FALSE)</f>
        <v>Kadir TOPÇU</v>
      </c>
      <c r="AA2656" t="str">
        <f>VLOOKUP(K2656,[1]!Tablo3[#Data],2,FALSE)</f>
        <v>Erkan AKDOĞAN</v>
      </c>
    </row>
    <row r="2657" spans="1:27" x14ac:dyDescent="0.25">
      <c r="A2657">
        <v>3990</v>
      </c>
      <c r="B2657" t="s">
        <v>27</v>
      </c>
      <c r="C2657" t="s">
        <v>304</v>
      </c>
      <c r="D2657" t="s">
        <v>305</v>
      </c>
      <c r="G2657" t="s">
        <v>96</v>
      </c>
      <c r="H2657" t="s">
        <v>8209</v>
      </c>
      <c r="I2657" s="4">
        <v>44712.875</v>
      </c>
      <c r="J2657" t="s">
        <v>8210</v>
      </c>
      <c r="K2657" t="s">
        <v>534</v>
      </c>
      <c r="L2657" s="5" t="s">
        <v>8211</v>
      </c>
      <c r="M2657" s="5"/>
      <c r="N2657" t="s">
        <v>82</v>
      </c>
      <c r="O2657" t="s">
        <v>8212</v>
      </c>
      <c r="R2657">
        <v>1</v>
      </c>
      <c r="T2657" s="5" t="s">
        <v>38</v>
      </c>
      <c r="W2657">
        <v>24</v>
      </c>
      <c r="X2657" t="s">
        <v>8133</v>
      </c>
      <c r="Y2657" t="str">
        <f>VLOOKUP(C2657,'[1]DBS_KPY Sorumlular'!A:C,2,FALSE)</f>
        <v>Erkan AKDOĞAN</v>
      </c>
      <c r="Z2657" t="str">
        <f>VLOOKUP(C2657,'[1]DBS_KPY Sorumlular'!A:C,3,FALSE)</f>
        <v>Kadir TOPÇU</v>
      </c>
      <c r="AA2657" t="str">
        <f>VLOOKUP(K2657,[1]!Tablo3[#Data],2,FALSE)</f>
        <v>Erkan AKDOĞAN</v>
      </c>
    </row>
    <row r="2658" spans="1:27" x14ac:dyDescent="0.25">
      <c r="A2658">
        <v>3990</v>
      </c>
      <c r="B2658" t="s">
        <v>27</v>
      </c>
      <c r="C2658" t="s">
        <v>304</v>
      </c>
      <c r="D2658" t="s">
        <v>305</v>
      </c>
      <c r="G2658" t="s">
        <v>96</v>
      </c>
      <c r="H2658" t="s">
        <v>8209</v>
      </c>
      <c r="I2658" s="4">
        <v>44712.875</v>
      </c>
      <c r="J2658" t="s">
        <v>8210</v>
      </c>
      <c r="K2658" t="s">
        <v>534</v>
      </c>
      <c r="L2658" s="5" t="s">
        <v>8211</v>
      </c>
      <c r="M2658" s="5"/>
      <c r="N2658" t="s">
        <v>82</v>
      </c>
      <c r="O2658" t="s">
        <v>8212</v>
      </c>
      <c r="R2658">
        <v>1</v>
      </c>
      <c r="T2658" s="5" t="s">
        <v>38</v>
      </c>
      <c r="W2658">
        <v>206</v>
      </c>
      <c r="X2658" t="s">
        <v>311</v>
      </c>
      <c r="Y2658" t="str">
        <f>VLOOKUP(C2658,'[1]DBS_KPY Sorumlular'!A:C,2,FALSE)</f>
        <v>Erkan AKDOĞAN</v>
      </c>
      <c r="Z2658" t="str">
        <f>VLOOKUP(C2658,'[1]DBS_KPY Sorumlular'!A:C,3,FALSE)</f>
        <v>Kadir TOPÇU</v>
      </c>
      <c r="AA2658" t="str">
        <f>VLOOKUP(K2658,[1]!Tablo3[#Data],2,FALSE)</f>
        <v>Erkan AKDOĞAN</v>
      </c>
    </row>
    <row r="2659" spans="1:27" x14ac:dyDescent="0.25">
      <c r="A2659">
        <v>3991</v>
      </c>
      <c r="B2659" t="s">
        <v>27</v>
      </c>
      <c r="C2659" t="s">
        <v>304</v>
      </c>
      <c r="D2659" t="s">
        <v>305</v>
      </c>
      <c r="G2659" t="s">
        <v>96</v>
      </c>
      <c r="H2659" t="s">
        <v>8213</v>
      </c>
      <c r="I2659" s="4">
        <v>44925.875</v>
      </c>
      <c r="J2659" t="s">
        <v>8214</v>
      </c>
      <c r="K2659" t="s">
        <v>534</v>
      </c>
      <c r="L2659" s="5" t="s">
        <v>8211</v>
      </c>
      <c r="M2659" s="5"/>
      <c r="N2659" t="s">
        <v>82</v>
      </c>
      <c r="O2659" t="s">
        <v>8215</v>
      </c>
      <c r="R2659">
        <v>1</v>
      </c>
      <c r="T2659" s="5" t="s">
        <v>38</v>
      </c>
      <c r="W2659">
        <v>208</v>
      </c>
      <c r="X2659" t="s">
        <v>594</v>
      </c>
      <c r="Y2659" t="str">
        <f>VLOOKUP(C2659,'[1]DBS_KPY Sorumlular'!A:C,2,FALSE)</f>
        <v>Erkan AKDOĞAN</v>
      </c>
      <c r="Z2659" t="str">
        <f>VLOOKUP(C2659,'[1]DBS_KPY Sorumlular'!A:C,3,FALSE)</f>
        <v>Kadir TOPÇU</v>
      </c>
      <c r="AA2659" t="str">
        <f>VLOOKUP(K2659,[1]!Tablo3[#Data],2,FALSE)</f>
        <v>Erkan AKDOĞAN</v>
      </c>
    </row>
    <row r="2660" spans="1:27" x14ac:dyDescent="0.25">
      <c r="A2660">
        <v>3991</v>
      </c>
      <c r="B2660" t="s">
        <v>27</v>
      </c>
      <c r="C2660" t="s">
        <v>304</v>
      </c>
      <c r="D2660" t="s">
        <v>305</v>
      </c>
      <c r="G2660" t="s">
        <v>96</v>
      </c>
      <c r="H2660" t="s">
        <v>8213</v>
      </c>
      <c r="I2660" s="4">
        <v>44925.875</v>
      </c>
      <c r="J2660" t="s">
        <v>8214</v>
      </c>
      <c r="K2660" t="s">
        <v>534</v>
      </c>
      <c r="L2660" s="5" t="s">
        <v>8211</v>
      </c>
      <c r="M2660" s="5"/>
      <c r="N2660" t="s">
        <v>82</v>
      </c>
      <c r="O2660" t="s">
        <v>8215</v>
      </c>
      <c r="R2660">
        <v>1</v>
      </c>
      <c r="T2660" s="5" t="s">
        <v>38</v>
      </c>
      <c r="W2660">
        <v>206</v>
      </c>
      <c r="X2660" t="s">
        <v>311</v>
      </c>
      <c r="Y2660" t="str">
        <f>VLOOKUP(C2660,'[1]DBS_KPY Sorumlular'!A:C,2,FALSE)</f>
        <v>Erkan AKDOĞAN</v>
      </c>
      <c r="Z2660" t="str">
        <f>VLOOKUP(C2660,'[1]DBS_KPY Sorumlular'!A:C,3,FALSE)</f>
        <v>Kadir TOPÇU</v>
      </c>
      <c r="AA2660" t="str">
        <f>VLOOKUP(K2660,[1]!Tablo3[#Data],2,FALSE)</f>
        <v>Erkan AKDOĞAN</v>
      </c>
    </row>
    <row r="2661" spans="1:27" x14ac:dyDescent="0.25">
      <c r="A2661">
        <v>3992</v>
      </c>
      <c r="B2661" t="s">
        <v>27</v>
      </c>
      <c r="C2661" t="s">
        <v>304</v>
      </c>
      <c r="D2661" t="s">
        <v>305</v>
      </c>
      <c r="G2661" t="s">
        <v>96</v>
      </c>
      <c r="H2661" t="s">
        <v>8216</v>
      </c>
      <c r="I2661" s="4">
        <v>45077.875</v>
      </c>
      <c r="J2661" t="s">
        <v>8217</v>
      </c>
      <c r="K2661" t="s">
        <v>534</v>
      </c>
      <c r="L2661" s="5"/>
      <c r="M2661" s="5"/>
      <c r="N2661" t="s">
        <v>82</v>
      </c>
      <c r="O2661" t="s">
        <v>8218</v>
      </c>
      <c r="R2661">
        <v>1</v>
      </c>
      <c r="T2661" s="5" t="s">
        <v>38</v>
      </c>
      <c r="W2661">
        <v>206</v>
      </c>
      <c r="X2661" t="s">
        <v>311</v>
      </c>
      <c r="Y2661" t="str">
        <f>VLOOKUP(C2661,'[1]DBS_KPY Sorumlular'!A:C,2,FALSE)</f>
        <v>Erkan AKDOĞAN</v>
      </c>
      <c r="Z2661" t="str">
        <f>VLOOKUP(C2661,'[1]DBS_KPY Sorumlular'!A:C,3,FALSE)</f>
        <v>Kadir TOPÇU</v>
      </c>
      <c r="AA2661" t="str">
        <f>VLOOKUP(K2661,[1]!Tablo3[#Data],2,FALSE)</f>
        <v>Erkan AKDOĞAN</v>
      </c>
    </row>
    <row r="2662" spans="1:27" x14ac:dyDescent="0.25">
      <c r="A2662">
        <v>3992</v>
      </c>
      <c r="B2662" t="s">
        <v>27</v>
      </c>
      <c r="C2662" t="s">
        <v>304</v>
      </c>
      <c r="D2662" t="s">
        <v>305</v>
      </c>
      <c r="G2662" t="s">
        <v>96</v>
      </c>
      <c r="H2662" t="s">
        <v>8216</v>
      </c>
      <c r="I2662" s="4">
        <v>45077.875</v>
      </c>
      <c r="J2662" t="s">
        <v>8217</v>
      </c>
      <c r="K2662" t="s">
        <v>534</v>
      </c>
      <c r="L2662" s="5"/>
      <c r="M2662" s="5"/>
      <c r="N2662" t="s">
        <v>82</v>
      </c>
      <c r="O2662" t="s">
        <v>8218</v>
      </c>
      <c r="R2662">
        <v>1</v>
      </c>
      <c r="T2662" s="5" t="s">
        <v>38</v>
      </c>
      <c r="W2662">
        <v>13</v>
      </c>
      <c r="X2662" t="s">
        <v>2584</v>
      </c>
      <c r="Y2662" t="str">
        <f>VLOOKUP(C2662,'[1]DBS_KPY Sorumlular'!A:C,2,FALSE)</f>
        <v>Erkan AKDOĞAN</v>
      </c>
      <c r="Z2662" t="str">
        <f>VLOOKUP(C2662,'[1]DBS_KPY Sorumlular'!A:C,3,FALSE)</f>
        <v>Kadir TOPÇU</v>
      </c>
      <c r="AA2662" t="str">
        <f>VLOOKUP(K2662,[1]!Tablo3[#Data],2,FALSE)</f>
        <v>Erkan AKDOĞAN</v>
      </c>
    </row>
    <row r="2663" spans="1:27" x14ac:dyDescent="0.25">
      <c r="A2663">
        <v>3993</v>
      </c>
      <c r="B2663" t="s">
        <v>27</v>
      </c>
      <c r="C2663" t="s">
        <v>304</v>
      </c>
      <c r="D2663" t="s">
        <v>305</v>
      </c>
      <c r="G2663" t="s">
        <v>96</v>
      </c>
      <c r="H2663" t="s">
        <v>8219</v>
      </c>
      <c r="I2663" s="4">
        <v>45443.875</v>
      </c>
      <c r="J2663" t="s">
        <v>8220</v>
      </c>
      <c r="K2663" t="s">
        <v>534</v>
      </c>
      <c r="L2663" s="5" t="s">
        <v>8221</v>
      </c>
      <c r="M2663" s="5"/>
      <c r="N2663" t="s">
        <v>82</v>
      </c>
      <c r="O2663" t="s">
        <v>8222</v>
      </c>
      <c r="R2663">
        <v>1</v>
      </c>
      <c r="T2663" s="5" t="s">
        <v>38</v>
      </c>
      <c r="W2663">
        <v>13</v>
      </c>
      <c r="X2663" t="s">
        <v>2584</v>
      </c>
      <c r="Y2663" t="str">
        <f>VLOOKUP(C2663,'[1]DBS_KPY Sorumlular'!A:C,2,FALSE)</f>
        <v>Erkan AKDOĞAN</v>
      </c>
      <c r="Z2663" t="str">
        <f>VLOOKUP(C2663,'[1]DBS_KPY Sorumlular'!A:C,3,FALSE)</f>
        <v>Kadir TOPÇU</v>
      </c>
      <c r="AA2663" t="str">
        <f>VLOOKUP(K2663,[1]!Tablo3[#Data],2,FALSE)</f>
        <v>Erkan AKDOĞAN</v>
      </c>
    </row>
    <row r="2664" spans="1:27" x14ac:dyDescent="0.25">
      <c r="A2664">
        <v>3993</v>
      </c>
      <c r="B2664" t="s">
        <v>27</v>
      </c>
      <c r="C2664" t="s">
        <v>304</v>
      </c>
      <c r="D2664" t="s">
        <v>305</v>
      </c>
      <c r="G2664" t="s">
        <v>96</v>
      </c>
      <c r="H2664" t="s">
        <v>8219</v>
      </c>
      <c r="I2664" s="4">
        <v>45443.875</v>
      </c>
      <c r="J2664" t="s">
        <v>8220</v>
      </c>
      <c r="K2664" t="s">
        <v>534</v>
      </c>
      <c r="L2664" s="5" t="s">
        <v>8221</v>
      </c>
      <c r="M2664" s="5"/>
      <c r="N2664" t="s">
        <v>82</v>
      </c>
      <c r="O2664" t="s">
        <v>8222</v>
      </c>
      <c r="R2664">
        <v>1</v>
      </c>
      <c r="T2664" s="5" t="s">
        <v>38</v>
      </c>
      <c r="W2664">
        <v>206</v>
      </c>
      <c r="X2664" t="s">
        <v>311</v>
      </c>
      <c r="Y2664" t="str">
        <f>VLOOKUP(C2664,'[1]DBS_KPY Sorumlular'!A:C,2,FALSE)</f>
        <v>Erkan AKDOĞAN</v>
      </c>
      <c r="Z2664" t="str">
        <f>VLOOKUP(C2664,'[1]DBS_KPY Sorumlular'!A:C,3,FALSE)</f>
        <v>Kadir TOPÇU</v>
      </c>
      <c r="AA2664" t="str">
        <f>VLOOKUP(K2664,[1]!Tablo3[#Data],2,FALSE)</f>
        <v>Erkan AKDOĞAN</v>
      </c>
    </row>
    <row r="2665" spans="1:27" x14ac:dyDescent="0.25">
      <c r="A2665">
        <v>3994</v>
      </c>
      <c r="B2665" t="s">
        <v>27</v>
      </c>
      <c r="C2665" t="s">
        <v>304</v>
      </c>
      <c r="D2665" t="s">
        <v>305</v>
      </c>
      <c r="G2665" t="s">
        <v>96</v>
      </c>
      <c r="H2665" t="s">
        <v>8223</v>
      </c>
      <c r="I2665" s="4">
        <v>45443.875</v>
      </c>
      <c r="J2665" t="s">
        <v>8224</v>
      </c>
      <c r="K2665" t="s">
        <v>534</v>
      </c>
      <c r="L2665" s="5"/>
      <c r="M2665" s="5"/>
      <c r="N2665" t="s">
        <v>82</v>
      </c>
      <c r="O2665" t="s">
        <v>8225</v>
      </c>
      <c r="R2665">
        <v>1</v>
      </c>
      <c r="T2665" s="5" t="s">
        <v>38</v>
      </c>
      <c r="W2665">
        <v>206</v>
      </c>
      <c r="X2665" t="s">
        <v>311</v>
      </c>
      <c r="Y2665" t="str">
        <f>VLOOKUP(C2665,'[1]DBS_KPY Sorumlular'!A:C,2,FALSE)</f>
        <v>Erkan AKDOĞAN</v>
      </c>
      <c r="Z2665" t="str">
        <f>VLOOKUP(C2665,'[1]DBS_KPY Sorumlular'!A:C,3,FALSE)</f>
        <v>Kadir TOPÇU</v>
      </c>
      <c r="AA2665" t="str">
        <f>VLOOKUP(K2665,[1]!Tablo3[#Data],2,FALSE)</f>
        <v>Erkan AKDOĞAN</v>
      </c>
    </row>
    <row r="2666" spans="1:27" x14ac:dyDescent="0.25">
      <c r="A2666">
        <v>3995</v>
      </c>
      <c r="B2666" t="s">
        <v>27</v>
      </c>
      <c r="C2666" t="s">
        <v>304</v>
      </c>
      <c r="D2666" t="s">
        <v>305</v>
      </c>
      <c r="G2666" t="s">
        <v>96</v>
      </c>
      <c r="H2666" t="s">
        <v>8226</v>
      </c>
      <c r="I2666" s="4">
        <v>45443.875</v>
      </c>
      <c r="J2666" t="s">
        <v>8227</v>
      </c>
      <c r="K2666" t="s">
        <v>534</v>
      </c>
      <c r="L2666" s="5"/>
      <c r="M2666" s="5"/>
      <c r="N2666" t="s">
        <v>82</v>
      </c>
      <c r="O2666" t="s">
        <v>8228</v>
      </c>
      <c r="R2666">
        <v>1</v>
      </c>
      <c r="T2666" s="5" t="s">
        <v>38</v>
      </c>
      <c r="W2666">
        <v>206</v>
      </c>
      <c r="X2666" t="s">
        <v>311</v>
      </c>
      <c r="Y2666" t="str">
        <f>VLOOKUP(C2666,'[1]DBS_KPY Sorumlular'!A:C,2,FALSE)</f>
        <v>Erkan AKDOĞAN</v>
      </c>
      <c r="Z2666" t="str">
        <f>VLOOKUP(C2666,'[1]DBS_KPY Sorumlular'!A:C,3,FALSE)</f>
        <v>Kadir TOPÇU</v>
      </c>
      <c r="AA2666" t="str">
        <f>VLOOKUP(K2666,[1]!Tablo3[#Data],2,FALSE)</f>
        <v>Erkan AKDOĞAN</v>
      </c>
    </row>
    <row r="2667" spans="1:27" x14ac:dyDescent="0.25">
      <c r="A2667">
        <v>3996</v>
      </c>
      <c r="B2667" t="s">
        <v>27</v>
      </c>
      <c r="C2667" t="s">
        <v>304</v>
      </c>
      <c r="D2667" t="s">
        <v>305</v>
      </c>
      <c r="G2667" t="s">
        <v>96</v>
      </c>
      <c r="H2667" t="s">
        <v>8229</v>
      </c>
      <c r="I2667" s="4">
        <v>45443.875</v>
      </c>
      <c r="K2667" t="s">
        <v>534</v>
      </c>
      <c r="L2667" s="5"/>
      <c r="M2667" s="5"/>
      <c r="N2667" t="s">
        <v>82</v>
      </c>
      <c r="O2667" t="s">
        <v>8230</v>
      </c>
      <c r="R2667">
        <v>1</v>
      </c>
      <c r="T2667" s="5" t="s">
        <v>38</v>
      </c>
      <c r="W2667">
        <v>206</v>
      </c>
      <c r="X2667" t="s">
        <v>311</v>
      </c>
      <c r="Y2667" t="str">
        <f>VLOOKUP(C2667,'[1]DBS_KPY Sorumlular'!A:C,2,FALSE)</f>
        <v>Erkan AKDOĞAN</v>
      </c>
      <c r="Z2667" t="str">
        <f>VLOOKUP(C2667,'[1]DBS_KPY Sorumlular'!A:C,3,FALSE)</f>
        <v>Kadir TOPÇU</v>
      </c>
      <c r="AA2667" t="str">
        <f>VLOOKUP(K2667,[1]!Tablo3[#Data],2,FALSE)</f>
        <v>Erkan AKDOĞAN</v>
      </c>
    </row>
    <row r="2668" spans="1:27" x14ac:dyDescent="0.25">
      <c r="A2668">
        <v>3997</v>
      </c>
      <c r="B2668" t="s">
        <v>27</v>
      </c>
      <c r="C2668" t="s">
        <v>304</v>
      </c>
      <c r="D2668" t="s">
        <v>305</v>
      </c>
      <c r="G2668" t="s">
        <v>96</v>
      </c>
      <c r="H2668" t="s">
        <v>8231</v>
      </c>
      <c r="I2668" s="4">
        <v>44347.875</v>
      </c>
      <c r="J2668" t="s">
        <v>8080</v>
      </c>
      <c r="K2668" t="s">
        <v>568</v>
      </c>
      <c r="L2668" s="5"/>
      <c r="M2668" s="5"/>
      <c r="N2668" t="s">
        <v>82</v>
      </c>
      <c r="O2668" t="s">
        <v>8232</v>
      </c>
      <c r="R2668">
        <v>1</v>
      </c>
      <c r="T2668" s="5" t="s">
        <v>38</v>
      </c>
      <c r="W2668">
        <v>206</v>
      </c>
      <c r="X2668" t="s">
        <v>311</v>
      </c>
      <c r="Y2668" t="str">
        <f>VLOOKUP(C2668,'[1]DBS_KPY Sorumlular'!A:C,2,FALSE)</f>
        <v>Erkan AKDOĞAN</v>
      </c>
      <c r="Z2668" t="str">
        <f>VLOOKUP(C2668,'[1]DBS_KPY Sorumlular'!A:C,3,FALSE)</f>
        <v>Kadir TOPÇU</v>
      </c>
      <c r="AA2668" t="str">
        <f>VLOOKUP(K2668,[1]!Tablo3[#Data],2,FALSE)</f>
        <v>Erkan AKDOĞAN</v>
      </c>
    </row>
    <row r="2669" spans="1:27" x14ac:dyDescent="0.25">
      <c r="A2669">
        <v>3998</v>
      </c>
      <c r="B2669" t="s">
        <v>27</v>
      </c>
      <c r="C2669" t="s">
        <v>304</v>
      </c>
      <c r="D2669" t="s">
        <v>305</v>
      </c>
      <c r="G2669" t="s">
        <v>96</v>
      </c>
      <c r="H2669" t="s">
        <v>8233</v>
      </c>
      <c r="I2669" s="4">
        <v>45077.875</v>
      </c>
      <c r="J2669" t="s">
        <v>8234</v>
      </c>
      <c r="K2669" t="s">
        <v>568</v>
      </c>
      <c r="L2669" s="5"/>
      <c r="M2669" s="5"/>
      <c r="N2669" t="s">
        <v>82</v>
      </c>
      <c r="O2669" t="s">
        <v>8235</v>
      </c>
      <c r="R2669">
        <v>1</v>
      </c>
      <c r="T2669" s="5" t="s">
        <v>38</v>
      </c>
      <c r="W2669">
        <v>24</v>
      </c>
      <c r="X2669" t="s">
        <v>8133</v>
      </c>
      <c r="Y2669" t="str">
        <f>VLOOKUP(C2669,'[1]DBS_KPY Sorumlular'!A:C,2,FALSE)</f>
        <v>Erkan AKDOĞAN</v>
      </c>
      <c r="Z2669" t="str">
        <f>VLOOKUP(C2669,'[1]DBS_KPY Sorumlular'!A:C,3,FALSE)</f>
        <v>Kadir TOPÇU</v>
      </c>
      <c r="AA2669" t="str">
        <f>VLOOKUP(K2669,[1]!Tablo3[#Data],2,FALSE)</f>
        <v>Erkan AKDOĞAN</v>
      </c>
    </row>
    <row r="2670" spans="1:27" x14ac:dyDescent="0.25">
      <c r="A2670">
        <v>3998</v>
      </c>
      <c r="B2670" t="s">
        <v>27</v>
      </c>
      <c r="C2670" t="s">
        <v>304</v>
      </c>
      <c r="D2670" t="s">
        <v>305</v>
      </c>
      <c r="G2670" t="s">
        <v>96</v>
      </c>
      <c r="H2670" t="s">
        <v>8233</v>
      </c>
      <c r="I2670" s="4">
        <v>45077.875</v>
      </c>
      <c r="J2670" t="s">
        <v>8234</v>
      </c>
      <c r="K2670" t="s">
        <v>568</v>
      </c>
      <c r="L2670" s="5"/>
      <c r="M2670" s="5"/>
      <c r="N2670" t="s">
        <v>82</v>
      </c>
      <c r="O2670" t="s">
        <v>8235</v>
      </c>
      <c r="R2670">
        <v>1</v>
      </c>
      <c r="T2670" s="5" t="s">
        <v>38</v>
      </c>
      <c r="W2670">
        <v>206</v>
      </c>
      <c r="X2670" t="s">
        <v>311</v>
      </c>
      <c r="Y2670" t="str">
        <f>VLOOKUP(C2670,'[1]DBS_KPY Sorumlular'!A:C,2,FALSE)</f>
        <v>Erkan AKDOĞAN</v>
      </c>
      <c r="Z2670" t="str">
        <f>VLOOKUP(C2670,'[1]DBS_KPY Sorumlular'!A:C,3,FALSE)</f>
        <v>Kadir TOPÇU</v>
      </c>
      <c r="AA2670" t="str">
        <f>VLOOKUP(K2670,[1]!Tablo3[#Data],2,FALSE)</f>
        <v>Erkan AKDOĞAN</v>
      </c>
    </row>
    <row r="2671" spans="1:27" x14ac:dyDescent="0.25">
      <c r="A2671">
        <v>3999</v>
      </c>
      <c r="B2671" t="s">
        <v>27</v>
      </c>
      <c r="C2671" t="s">
        <v>304</v>
      </c>
      <c r="D2671" t="s">
        <v>305</v>
      </c>
      <c r="G2671" t="s">
        <v>96</v>
      </c>
      <c r="H2671" t="s">
        <v>8236</v>
      </c>
      <c r="I2671" s="4">
        <v>45077.875</v>
      </c>
      <c r="J2671" t="s">
        <v>8080</v>
      </c>
      <c r="K2671" t="s">
        <v>568</v>
      </c>
      <c r="L2671" s="5"/>
      <c r="M2671" s="5"/>
      <c r="N2671" t="s">
        <v>82</v>
      </c>
      <c r="O2671" t="s">
        <v>8237</v>
      </c>
      <c r="R2671">
        <v>1</v>
      </c>
      <c r="T2671" s="5" t="s">
        <v>38</v>
      </c>
      <c r="W2671">
        <v>206</v>
      </c>
      <c r="X2671" t="s">
        <v>311</v>
      </c>
      <c r="Y2671" t="str">
        <f>VLOOKUP(C2671,'[1]DBS_KPY Sorumlular'!A:C,2,FALSE)</f>
        <v>Erkan AKDOĞAN</v>
      </c>
      <c r="Z2671" t="str">
        <f>VLOOKUP(C2671,'[1]DBS_KPY Sorumlular'!A:C,3,FALSE)</f>
        <v>Kadir TOPÇU</v>
      </c>
      <c r="AA2671" t="str">
        <f>VLOOKUP(K2671,[1]!Tablo3[#Data],2,FALSE)</f>
        <v>Erkan AKDOĞAN</v>
      </c>
    </row>
    <row r="2672" spans="1:27" x14ac:dyDescent="0.25">
      <c r="A2672">
        <v>4000</v>
      </c>
      <c r="B2672" t="s">
        <v>27</v>
      </c>
      <c r="C2672" t="s">
        <v>304</v>
      </c>
      <c r="D2672" t="s">
        <v>305</v>
      </c>
      <c r="G2672" t="s">
        <v>96</v>
      </c>
      <c r="H2672" t="s">
        <v>8238</v>
      </c>
      <c r="I2672" s="4">
        <v>45656.875</v>
      </c>
      <c r="J2672" t="s">
        <v>8239</v>
      </c>
      <c r="K2672" t="s">
        <v>568</v>
      </c>
      <c r="L2672" s="5"/>
      <c r="M2672" s="5"/>
      <c r="N2672" t="s">
        <v>82</v>
      </c>
      <c r="O2672" t="s">
        <v>8240</v>
      </c>
      <c r="R2672">
        <v>1</v>
      </c>
      <c r="T2672" s="5" t="s">
        <v>38</v>
      </c>
      <c r="W2672">
        <v>206</v>
      </c>
      <c r="X2672" t="s">
        <v>311</v>
      </c>
      <c r="Y2672" t="str">
        <f>VLOOKUP(C2672,'[1]DBS_KPY Sorumlular'!A:C,2,FALSE)</f>
        <v>Erkan AKDOĞAN</v>
      </c>
      <c r="Z2672" t="str">
        <f>VLOOKUP(C2672,'[1]DBS_KPY Sorumlular'!A:C,3,FALSE)</f>
        <v>Kadir TOPÇU</v>
      </c>
      <c r="AA2672" t="str">
        <f>VLOOKUP(K2672,[1]!Tablo3[#Data],2,FALSE)</f>
        <v>Erkan AKDOĞAN</v>
      </c>
    </row>
    <row r="2673" spans="1:27" x14ac:dyDescent="0.25">
      <c r="A2673">
        <v>4001</v>
      </c>
      <c r="B2673" t="s">
        <v>27</v>
      </c>
      <c r="C2673" t="s">
        <v>304</v>
      </c>
      <c r="D2673" t="s">
        <v>305</v>
      </c>
      <c r="G2673" t="s">
        <v>96</v>
      </c>
      <c r="H2673" t="s">
        <v>8241</v>
      </c>
      <c r="I2673" s="4">
        <v>45656.875</v>
      </c>
      <c r="J2673" t="s">
        <v>8242</v>
      </c>
      <c r="K2673" t="s">
        <v>568</v>
      </c>
      <c r="L2673" s="5"/>
      <c r="M2673" s="5"/>
      <c r="N2673" t="s">
        <v>82</v>
      </c>
      <c r="O2673" t="s">
        <v>8240</v>
      </c>
      <c r="R2673">
        <v>1</v>
      </c>
      <c r="T2673" s="5" t="s">
        <v>38</v>
      </c>
      <c r="W2673">
        <v>208</v>
      </c>
      <c r="X2673" t="s">
        <v>594</v>
      </c>
      <c r="Y2673" t="str">
        <f>VLOOKUP(C2673,'[1]DBS_KPY Sorumlular'!A:C,2,FALSE)</f>
        <v>Erkan AKDOĞAN</v>
      </c>
      <c r="Z2673" t="str">
        <f>VLOOKUP(C2673,'[1]DBS_KPY Sorumlular'!A:C,3,FALSE)</f>
        <v>Kadir TOPÇU</v>
      </c>
      <c r="AA2673" t="str">
        <f>VLOOKUP(K2673,[1]!Tablo3[#Data],2,FALSE)</f>
        <v>Erkan AKDOĞAN</v>
      </c>
    </row>
    <row r="2674" spans="1:27" x14ac:dyDescent="0.25">
      <c r="A2674">
        <v>4001</v>
      </c>
      <c r="B2674" t="s">
        <v>27</v>
      </c>
      <c r="C2674" t="s">
        <v>304</v>
      </c>
      <c r="D2674" t="s">
        <v>305</v>
      </c>
      <c r="G2674" t="s">
        <v>96</v>
      </c>
      <c r="H2674" t="s">
        <v>8241</v>
      </c>
      <c r="I2674" s="4">
        <v>45656.875</v>
      </c>
      <c r="J2674" t="s">
        <v>8242</v>
      </c>
      <c r="K2674" t="s">
        <v>568</v>
      </c>
      <c r="L2674" s="5"/>
      <c r="M2674" s="5"/>
      <c r="N2674" t="s">
        <v>82</v>
      </c>
      <c r="O2674" t="s">
        <v>8240</v>
      </c>
      <c r="R2674">
        <v>1</v>
      </c>
      <c r="T2674" s="5" t="s">
        <v>38</v>
      </c>
      <c r="W2674">
        <v>206</v>
      </c>
      <c r="X2674" t="s">
        <v>311</v>
      </c>
      <c r="Y2674" t="str">
        <f>VLOOKUP(C2674,'[1]DBS_KPY Sorumlular'!A:C,2,FALSE)</f>
        <v>Erkan AKDOĞAN</v>
      </c>
      <c r="Z2674" t="str">
        <f>VLOOKUP(C2674,'[1]DBS_KPY Sorumlular'!A:C,3,FALSE)</f>
        <v>Kadir TOPÇU</v>
      </c>
      <c r="AA2674" t="str">
        <f>VLOOKUP(K2674,[1]!Tablo3[#Data],2,FALSE)</f>
        <v>Erkan AKDOĞAN</v>
      </c>
    </row>
    <row r="2675" spans="1:27" x14ac:dyDescent="0.25">
      <c r="A2675">
        <v>4002</v>
      </c>
      <c r="B2675" t="s">
        <v>27</v>
      </c>
      <c r="C2675" t="s">
        <v>304</v>
      </c>
      <c r="D2675" t="s">
        <v>305</v>
      </c>
      <c r="G2675" t="s">
        <v>96</v>
      </c>
      <c r="H2675" t="s">
        <v>8243</v>
      </c>
      <c r="I2675" s="4">
        <v>45290.875</v>
      </c>
      <c r="K2675" t="s">
        <v>636</v>
      </c>
      <c r="L2675" s="5" t="s">
        <v>8244</v>
      </c>
      <c r="M2675" s="5"/>
      <c r="N2675" t="s">
        <v>82</v>
      </c>
      <c r="O2675" t="s">
        <v>8245</v>
      </c>
      <c r="R2675">
        <v>1</v>
      </c>
      <c r="T2675" s="5" t="s">
        <v>38</v>
      </c>
      <c r="W2675">
        <v>24</v>
      </c>
      <c r="X2675" t="s">
        <v>8133</v>
      </c>
      <c r="Y2675" t="str">
        <f>VLOOKUP(C2675,'[1]DBS_KPY Sorumlular'!A:C,2,FALSE)</f>
        <v>Erkan AKDOĞAN</v>
      </c>
      <c r="Z2675" t="str">
        <f>VLOOKUP(C2675,'[1]DBS_KPY Sorumlular'!A:C,3,FALSE)</f>
        <v>Kadir TOPÇU</v>
      </c>
      <c r="AA2675" t="str">
        <f>VLOOKUP(K2675,[1]!Tablo3[#Data],2,FALSE)</f>
        <v>Erkan AKDOĞAN</v>
      </c>
    </row>
    <row r="2676" spans="1:27" x14ac:dyDescent="0.25">
      <c r="A2676">
        <v>4002</v>
      </c>
      <c r="B2676" t="s">
        <v>27</v>
      </c>
      <c r="C2676" t="s">
        <v>304</v>
      </c>
      <c r="D2676" t="s">
        <v>305</v>
      </c>
      <c r="G2676" t="s">
        <v>96</v>
      </c>
      <c r="H2676" t="s">
        <v>8243</v>
      </c>
      <c r="I2676" s="4">
        <v>45290.875</v>
      </c>
      <c r="K2676" t="s">
        <v>636</v>
      </c>
      <c r="L2676" s="5" t="s">
        <v>8244</v>
      </c>
      <c r="M2676" s="5"/>
      <c r="N2676" t="s">
        <v>82</v>
      </c>
      <c r="O2676" t="s">
        <v>8245</v>
      </c>
      <c r="R2676">
        <v>1</v>
      </c>
      <c r="T2676" s="5" t="s">
        <v>38</v>
      </c>
      <c r="W2676">
        <v>13</v>
      </c>
      <c r="X2676" t="s">
        <v>2584</v>
      </c>
      <c r="Y2676" t="str">
        <f>VLOOKUP(C2676,'[1]DBS_KPY Sorumlular'!A:C,2,FALSE)</f>
        <v>Erkan AKDOĞAN</v>
      </c>
      <c r="Z2676" t="str">
        <f>VLOOKUP(C2676,'[1]DBS_KPY Sorumlular'!A:C,3,FALSE)</f>
        <v>Kadir TOPÇU</v>
      </c>
      <c r="AA2676" t="str">
        <f>VLOOKUP(K2676,[1]!Tablo3[#Data],2,FALSE)</f>
        <v>Erkan AKDOĞAN</v>
      </c>
    </row>
    <row r="2677" spans="1:27" x14ac:dyDescent="0.25">
      <c r="A2677">
        <v>4003</v>
      </c>
      <c r="B2677" t="s">
        <v>27</v>
      </c>
      <c r="C2677" t="s">
        <v>304</v>
      </c>
      <c r="D2677" t="s">
        <v>305</v>
      </c>
      <c r="G2677" t="s">
        <v>96</v>
      </c>
      <c r="H2677" t="s">
        <v>8246</v>
      </c>
      <c r="I2677" s="4">
        <v>45077.875</v>
      </c>
      <c r="J2677" t="s">
        <v>8080</v>
      </c>
      <c r="K2677" t="s">
        <v>678</v>
      </c>
      <c r="L2677" s="5"/>
      <c r="M2677" s="5"/>
      <c r="N2677" t="s">
        <v>82</v>
      </c>
      <c r="O2677" t="s">
        <v>8247</v>
      </c>
      <c r="R2677">
        <v>1</v>
      </c>
      <c r="T2677" s="5" t="s">
        <v>38</v>
      </c>
      <c r="W2677">
        <v>206</v>
      </c>
      <c r="X2677" t="s">
        <v>311</v>
      </c>
      <c r="Y2677" t="str">
        <f>VLOOKUP(C2677,'[1]DBS_KPY Sorumlular'!A:C,2,FALSE)</f>
        <v>Erkan AKDOĞAN</v>
      </c>
      <c r="Z2677" t="str">
        <f>VLOOKUP(C2677,'[1]DBS_KPY Sorumlular'!A:C,3,FALSE)</f>
        <v>Kadir TOPÇU</v>
      </c>
      <c r="AA2677" t="str">
        <f>VLOOKUP(K2677,[1]!Tablo3[#Data],2,FALSE)</f>
        <v>Kadir TOPÇU</v>
      </c>
    </row>
    <row r="2678" spans="1:27" x14ac:dyDescent="0.25">
      <c r="A2678">
        <v>4004</v>
      </c>
      <c r="B2678" t="s">
        <v>27</v>
      </c>
      <c r="C2678" t="s">
        <v>304</v>
      </c>
      <c r="D2678" t="s">
        <v>305</v>
      </c>
      <c r="G2678" t="s">
        <v>96</v>
      </c>
      <c r="H2678" t="s">
        <v>8248</v>
      </c>
      <c r="I2678" s="4">
        <v>45077.875</v>
      </c>
      <c r="J2678" t="s">
        <v>8249</v>
      </c>
      <c r="K2678" t="s">
        <v>678</v>
      </c>
      <c r="L2678" s="5"/>
      <c r="M2678" s="5"/>
      <c r="N2678" t="s">
        <v>82</v>
      </c>
      <c r="O2678" t="s">
        <v>8250</v>
      </c>
      <c r="R2678">
        <v>1</v>
      </c>
      <c r="T2678" s="5" t="s">
        <v>38</v>
      </c>
      <c r="W2678">
        <v>24</v>
      </c>
      <c r="X2678" t="s">
        <v>8133</v>
      </c>
      <c r="Y2678" t="str">
        <f>VLOOKUP(C2678,'[1]DBS_KPY Sorumlular'!A:C,2,FALSE)</f>
        <v>Erkan AKDOĞAN</v>
      </c>
      <c r="Z2678" t="str">
        <f>VLOOKUP(C2678,'[1]DBS_KPY Sorumlular'!A:C,3,FALSE)</f>
        <v>Kadir TOPÇU</v>
      </c>
      <c r="AA2678" t="str">
        <f>VLOOKUP(K2678,[1]!Tablo3[#Data],2,FALSE)</f>
        <v>Kadir TOPÇU</v>
      </c>
    </row>
    <row r="2679" spans="1:27" x14ac:dyDescent="0.25">
      <c r="A2679">
        <v>4004</v>
      </c>
      <c r="B2679" t="s">
        <v>27</v>
      </c>
      <c r="C2679" t="s">
        <v>304</v>
      </c>
      <c r="D2679" t="s">
        <v>305</v>
      </c>
      <c r="G2679" t="s">
        <v>96</v>
      </c>
      <c r="H2679" t="s">
        <v>8248</v>
      </c>
      <c r="I2679" s="4">
        <v>45077.875</v>
      </c>
      <c r="J2679" t="s">
        <v>8249</v>
      </c>
      <c r="K2679" t="s">
        <v>678</v>
      </c>
      <c r="L2679" s="5"/>
      <c r="M2679" s="5"/>
      <c r="N2679" t="s">
        <v>82</v>
      </c>
      <c r="O2679" t="s">
        <v>8250</v>
      </c>
      <c r="R2679">
        <v>1</v>
      </c>
      <c r="T2679" s="5" t="s">
        <v>38</v>
      </c>
      <c r="W2679">
        <v>13</v>
      </c>
      <c r="X2679" t="s">
        <v>2584</v>
      </c>
      <c r="Y2679" t="str">
        <f>VLOOKUP(C2679,'[1]DBS_KPY Sorumlular'!A:C,2,FALSE)</f>
        <v>Erkan AKDOĞAN</v>
      </c>
      <c r="Z2679" t="str">
        <f>VLOOKUP(C2679,'[1]DBS_KPY Sorumlular'!A:C,3,FALSE)</f>
        <v>Kadir TOPÇU</v>
      </c>
      <c r="AA2679" t="str">
        <f>VLOOKUP(K2679,[1]!Tablo3[#Data],2,FALSE)</f>
        <v>Kadir TOPÇU</v>
      </c>
    </row>
    <row r="2680" spans="1:27" x14ac:dyDescent="0.25">
      <c r="A2680">
        <v>4004</v>
      </c>
      <c r="B2680" t="s">
        <v>27</v>
      </c>
      <c r="C2680" t="s">
        <v>304</v>
      </c>
      <c r="D2680" t="s">
        <v>305</v>
      </c>
      <c r="G2680" t="s">
        <v>96</v>
      </c>
      <c r="H2680" t="s">
        <v>8248</v>
      </c>
      <c r="I2680" s="4">
        <v>45077.875</v>
      </c>
      <c r="J2680" t="s">
        <v>8249</v>
      </c>
      <c r="K2680" t="s">
        <v>678</v>
      </c>
      <c r="L2680" s="5"/>
      <c r="M2680" s="5"/>
      <c r="N2680" t="s">
        <v>82</v>
      </c>
      <c r="O2680" t="s">
        <v>8250</v>
      </c>
      <c r="R2680">
        <v>1</v>
      </c>
      <c r="T2680" s="5" t="s">
        <v>38</v>
      </c>
      <c r="W2680">
        <v>206</v>
      </c>
      <c r="X2680" t="s">
        <v>311</v>
      </c>
      <c r="Y2680" t="str">
        <f>VLOOKUP(C2680,'[1]DBS_KPY Sorumlular'!A:C,2,FALSE)</f>
        <v>Erkan AKDOĞAN</v>
      </c>
      <c r="Z2680" t="str">
        <f>VLOOKUP(C2680,'[1]DBS_KPY Sorumlular'!A:C,3,FALSE)</f>
        <v>Kadir TOPÇU</v>
      </c>
      <c r="AA2680" t="str">
        <f>VLOOKUP(K2680,[1]!Tablo3[#Data],2,FALSE)</f>
        <v>Kadir TOPÇU</v>
      </c>
    </row>
    <row r="2681" spans="1:27" x14ac:dyDescent="0.25">
      <c r="A2681">
        <v>4005</v>
      </c>
      <c r="B2681" t="s">
        <v>27</v>
      </c>
      <c r="C2681" t="s">
        <v>304</v>
      </c>
      <c r="D2681" t="s">
        <v>305</v>
      </c>
      <c r="G2681" t="s">
        <v>96</v>
      </c>
      <c r="H2681" t="s">
        <v>8251</v>
      </c>
      <c r="I2681" s="4">
        <v>45077.875</v>
      </c>
      <c r="J2681" t="s">
        <v>8080</v>
      </c>
      <c r="K2681" t="s">
        <v>678</v>
      </c>
      <c r="L2681" s="5"/>
      <c r="M2681" s="5"/>
      <c r="N2681" t="s">
        <v>82</v>
      </c>
      <c r="O2681" t="s">
        <v>8252</v>
      </c>
      <c r="R2681">
        <v>1</v>
      </c>
      <c r="T2681" s="5" t="s">
        <v>38</v>
      </c>
      <c r="W2681">
        <v>206</v>
      </c>
      <c r="X2681" t="s">
        <v>311</v>
      </c>
      <c r="Y2681" t="str">
        <f>VLOOKUP(C2681,'[1]DBS_KPY Sorumlular'!A:C,2,FALSE)</f>
        <v>Erkan AKDOĞAN</v>
      </c>
      <c r="Z2681" t="str">
        <f>VLOOKUP(C2681,'[1]DBS_KPY Sorumlular'!A:C,3,FALSE)</f>
        <v>Kadir TOPÇU</v>
      </c>
      <c r="AA2681" t="str">
        <f>VLOOKUP(K2681,[1]!Tablo3[#Data],2,FALSE)</f>
        <v>Kadir TOPÇU</v>
      </c>
    </row>
    <row r="2682" spans="1:27" x14ac:dyDescent="0.25">
      <c r="A2682">
        <v>4006</v>
      </c>
      <c r="B2682" t="s">
        <v>27</v>
      </c>
      <c r="C2682" t="s">
        <v>304</v>
      </c>
      <c r="D2682" t="s">
        <v>305</v>
      </c>
      <c r="G2682" t="s">
        <v>96</v>
      </c>
      <c r="H2682" t="s">
        <v>8253</v>
      </c>
      <c r="I2682" s="4">
        <v>45443.875</v>
      </c>
      <c r="K2682" t="s">
        <v>678</v>
      </c>
      <c r="L2682" s="5"/>
      <c r="M2682" s="5"/>
      <c r="N2682" t="s">
        <v>82</v>
      </c>
      <c r="O2682" t="s">
        <v>8252</v>
      </c>
      <c r="R2682">
        <v>1</v>
      </c>
      <c r="T2682" s="5" t="s">
        <v>38</v>
      </c>
      <c r="W2682">
        <v>206</v>
      </c>
      <c r="X2682" t="s">
        <v>311</v>
      </c>
      <c r="Y2682" t="str">
        <f>VLOOKUP(C2682,'[1]DBS_KPY Sorumlular'!A:C,2,FALSE)</f>
        <v>Erkan AKDOĞAN</v>
      </c>
      <c r="Z2682" t="str">
        <f>VLOOKUP(C2682,'[1]DBS_KPY Sorumlular'!A:C,3,FALSE)</f>
        <v>Kadir TOPÇU</v>
      </c>
      <c r="AA2682" t="str">
        <f>VLOOKUP(K2682,[1]!Tablo3[#Data],2,FALSE)</f>
        <v>Kadir TOPÇU</v>
      </c>
    </row>
    <row r="2683" spans="1:27" x14ac:dyDescent="0.25">
      <c r="A2683">
        <v>4007</v>
      </c>
      <c r="B2683" t="s">
        <v>27</v>
      </c>
      <c r="C2683" t="s">
        <v>304</v>
      </c>
      <c r="D2683" t="s">
        <v>305</v>
      </c>
      <c r="G2683" t="s">
        <v>96</v>
      </c>
      <c r="H2683" t="s">
        <v>8254</v>
      </c>
      <c r="I2683" s="4">
        <v>44712.875</v>
      </c>
      <c r="J2683" t="s">
        <v>8255</v>
      </c>
      <c r="K2683" t="s">
        <v>743</v>
      </c>
      <c r="L2683" s="5"/>
      <c r="M2683" s="5"/>
      <c r="N2683" t="s">
        <v>82</v>
      </c>
      <c r="O2683" t="s">
        <v>8256</v>
      </c>
      <c r="R2683">
        <v>1</v>
      </c>
      <c r="T2683" s="5" t="s">
        <v>38</v>
      </c>
      <c r="W2683">
        <v>24</v>
      </c>
      <c r="X2683" t="s">
        <v>8133</v>
      </c>
      <c r="Y2683" t="str">
        <f>VLOOKUP(C2683,'[1]DBS_KPY Sorumlular'!A:C,2,FALSE)</f>
        <v>Erkan AKDOĞAN</v>
      </c>
      <c r="Z2683" t="str">
        <f>VLOOKUP(C2683,'[1]DBS_KPY Sorumlular'!A:C,3,FALSE)</f>
        <v>Kadir TOPÇU</v>
      </c>
      <c r="AA2683" t="str">
        <f>VLOOKUP(K2683,[1]!Tablo3[#Data],2,FALSE)</f>
        <v>Kadir TOPÇU</v>
      </c>
    </row>
    <row r="2684" spans="1:27" x14ac:dyDescent="0.25">
      <c r="A2684">
        <v>4007</v>
      </c>
      <c r="B2684" t="s">
        <v>27</v>
      </c>
      <c r="C2684" t="s">
        <v>304</v>
      </c>
      <c r="D2684" t="s">
        <v>305</v>
      </c>
      <c r="G2684" t="s">
        <v>96</v>
      </c>
      <c r="H2684" t="s">
        <v>8254</v>
      </c>
      <c r="I2684" s="4">
        <v>44712.875</v>
      </c>
      <c r="J2684" t="s">
        <v>8255</v>
      </c>
      <c r="K2684" t="s">
        <v>743</v>
      </c>
      <c r="L2684" s="5"/>
      <c r="M2684" s="5"/>
      <c r="N2684" t="s">
        <v>82</v>
      </c>
      <c r="O2684" t="s">
        <v>8256</v>
      </c>
      <c r="R2684">
        <v>1</v>
      </c>
      <c r="T2684" s="5" t="s">
        <v>38</v>
      </c>
      <c r="W2684">
        <v>207</v>
      </c>
      <c r="X2684" t="s">
        <v>472</v>
      </c>
      <c r="Y2684" t="str">
        <f>VLOOKUP(C2684,'[1]DBS_KPY Sorumlular'!A:C,2,FALSE)</f>
        <v>Erkan AKDOĞAN</v>
      </c>
      <c r="Z2684" t="str">
        <f>VLOOKUP(C2684,'[1]DBS_KPY Sorumlular'!A:C,3,FALSE)</f>
        <v>Kadir TOPÇU</v>
      </c>
      <c r="AA2684" t="str">
        <f>VLOOKUP(K2684,[1]!Tablo3[#Data],2,FALSE)</f>
        <v>Kadir TOPÇU</v>
      </c>
    </row>
    <row r="2685" spans="1:27" x14ac:dyDescent="0.25">
      <c r="A2685">
        <v>4007</v>
      </c>
      <c r="B2685" t="s">
        <v>27</v>
      </c>
      <c r="C2685" t="s">
        <v>304</v>
      </c>
      <c r="D2685" t="s">
        <v>305</v>
      </c>
      <c r="G2685" t="s">
        <v>96</v>
      </c>
      <c r="H2685" t="s">
        <v>8254</v>
      </c>
      <c r="I2685" s="4">
        <v>44712.875</v>
      </c>
      <c r="J2685" t="s">
        <v>8255</v>
      </c>
      <c r="K2685" t="s">
        <v>743</v>
      </c>
      <c r="L2685" s="5"/>
      <c r="M2685" s="5"/>
      <c r="N2685" t="s">
        <v>82</v>
      </c>
      <c r="O2685" t="s">
        <v>8256</v>
      </c>
      <c r="R2685">
        <v>1</v>
      </c>
      <c r="T2685" s="5" t="s">
        <v>38</v>
      </c>
      <c r="W2685">
        <v>206</v>
      </c>
      <c r="X2685" t="s">
        <v>311</v>
      </c>
      <c r="Y2685" t="str">
        <f>VLOOKUP(C2685,'[1]DBS_KPY Sorumlular'!A:C,2,FALSE)</f>
        <v>Erkan AKDOĞAN</v>
      </c>
      <c r="Z2685" t="str">
        <f>VLOOKUP(C2685,'[1]DBS_KPY Sorumlular'!A:C,3,FALSE)</f>
        <v>Kadir TOPÇU</v>
      </c>
      <c r="AA2685" t="str">
        <f>VLOOKUP(K2685,[1]!Tablo3[#Data],2,FALSE)</f>
        <v>Kadir TOPÇU</v>
      </c>
    </row>
    <row r="2686" spans="1:27" x14ac:dyDescent="0.25">
      <c r="A2686">
        <v>4007</v>
      </c>
      <c r="B2686" t="s">
        <v>27</v>
      </c>
      <c r="C2686" t="s">
        <v>304</v>
      </c>
      <c r="D2686" t="s">
        <v>305</v>
      </c>
      <c r="G2686" t="s">
        <v>96</v>
      </c>
      <c r="H2686" t="s">
        <v>8254</v>
      </c>
      <c r="I2686" s="4">
        <v>44712.875</v>
      </c>
      <c r="J2686" t="s">
        <v>8255</v>
      </c>
      <c r="K2686" t="s">
        <v>743</v>
      </c>
      <c r="L2686" s="5"/>
      <c r="M2686" s="5"/>
      <c r="N2686" t="s">
        <v>82</v>
      </c>
      <c r="O2686" t="s">
        <v>8256</v>
      </c>
      <c r="R2686">
        <v>1</v>
      </c>
      <c r="T2686" s="5" t="s">
        <v>38</v>
      </c>
      <c r="W2686">
        <v>13</v>
      </c>
      <c r="X2686" t="s">
        <v>2584</v>
      </c>
      <c r="Y2686" t="str">
        <f>VLOOKUP(C2686,'[1]DBS_KPY Sorumlular'!A:C,2,FALSE)</f>
        <v>Erkan AKDOĞAN</v>
      </c>
      <c r="Z2686" t="str">
        <f>VLOOKUP(C2686,'[1]DBS_KPY Sorumlular'!A:C,3,FALSE)</f>
        <v>Kadir TOPÇU</v>
      </c>
      <c r="AA2686" t="str">
        <f>VLOOKUP(K2686,[1]!Tablo3[#Data],2,FALSE)</f>
        <v>Kadir TOPÇU</v>
      </c>
    </row>
    <row r="2687" spans="1:27" x14ac:dyDescent="0.25">
      <c r="A2687">
        <v>4008</v>
      </c>
      <c r="B2687" t="s">
        <v>27</v>
      </c>
      <c r="C2687" t="s">
        <v>304</v>
      </c>
      <c r="D2687" t="s">
        <v>305</v>
      </c>
      <c r="G2687" t="s">
        <v>96</v>
      </c>
      <c r="H2687" t="s">
        <v>8257</v>
      </c>
      <c r="I2687" s="4">
        <v>45077.875</v>
      </c>
      <c r="J2687" t="s">
        <v>8115</v>
      </c>
      <c r="K2687" t="s">
        <v>743</v>
      </c>
      <c r="L2687" s="5"/>
      <c r="M2687" s="5"/>
      <c r="N2687" t="s">
        <v>82</v>
      </c>
      <c r="O2687" t="s">
        <v>8258</v>
      </c>
      <c r="R2687">
        <v>1</v>
      </c>
      <c r="T2687" s="5" t="s">
        <v>38</v>
      </c>
      <c r="W2687">
        <v>206</v>
      </c>
      <c r="X2687" t="s">
        <v>311</v>
      </c>
      <c r="Y2687" t="str">
        <f>VLOOKUP(C2687,'[1]DBS_KPY Sorumlular'!A:C,2,FALSE)</f>
        <v>Erkan AKDOĞAN</v>
      </c>
      <c r="Z2687" t="str">
        <f>VLOOKUP(C2687,'[1]DBS_KPY Sorumlular'!A:C,3,FALSE)</f>
        <v>Kadir TOPÇU</v>
      </c>
      <c r="AA2687" t="str">
        <f>VLOOKUP(K2687,[1]!Tablo3[#Data],2,FALSE)</f>
        <v>Kadir TOPÇU</v>
      </c>
    </row>
    <row r="2688" spans="1:27" x14ac:dyDescent="0.25">
      <c r="A2688">
        <v>4009</v>
      </c>
      <c r="B2688" t="s">
        <v>27</v>
      </c>
      <c r="C2688" t="s">
        <v>304</v>
      </c>
      <c r="D2688" t="s">
        <v>305</v>
      </c>
      <c r="G2688" t="s">
        <v>96</v>
      </c>
      <c r="H2688" t="s">
        <v>8259</v>
      </c>
      <c r="I2688" s="4">
        <v>44347.875</v>
      </c>
      <c r="J2688" t="s">
        <v>8080</v>
      </c>
      <c r="K2688" t="s">
        <v>835</v>
      </c>
      <c r="L2688" s="5"/>
      <c r="M2688" s="5"/>
      <c r="N2688" t="s">
        <v>82</v>
      </c>
      <c r="O2688" t="s">
        <v>8260</v>
      </c>
      <c r="R2688">
        <v>1</v>
      </c>
      <c r="T2688" s="5" t="s">
        <v>38</v>
      </c>
      <c r="W2688">
        <v>206</v>
      </c>
      <c r="X2688" t="s">
        <v>311</v>
      </c>
      <c r="Y2688" t="str">
        <f>VLOOKUP(C2688,'[1]DBS_KPY Sorumlular'!A:C,2,FALSE)</f>
        <v>Erkan AKDOĞAN</v>
      </c>
      <c r="Z2688" t="str">
        <f>VLOOKUP(C2688,'[1]DBS_KPY Sorumlular'!A:C,3,FALSE)</f>
        <v>Kadir TOPÇU</v>
      </c>
      <c r="AA2688" t="str">
        <f>VLOOKUP(K2688,[1]!Tablo3[#Data],2,FALSE)</f>
        <v>Kadir TOPÇU</v>
      </c>
    </row>
    <row r="2689" spans="1:27" x14ac:dyDescent="0.25">
      <c r="A2689">
        <v>4010</v>
      </c>
      <c r="B2689" t="s">
        <v>27</v>
      </c>
      <c r="C2689" t="s">
        <v>304</v>
      </c>
      <c r="D2689" t="s">
        <v>305</v>
      </c>
      <c r="G2689" t="s">
        <v>96</v>
      </c>
      <c r="H2689" t="s">
        <v>8261</v>
      </c>
      <c r="I2689" s="4">
        <v>43982.875</v>
      </c>
      <c r="J2689" t="s">
        <v>8262</v>
      </c>
      <c r="K2689" t="s">
        <v>914</v>
      </c>
      <c r="L2689" s="5"/>
      <c r="M2689" s="5"/>
      <c r="N2689" t="s">
        <v>82</v>
      </c>
      <c r="O2689" t="s">
        <v>8263</v>
      </c>
      <c r="R2689">
        <v>1</v>
      </c>
      <c r="T2689" s="5" t="s">
        <v>38</v>
      </c>
      <c r="W2689">
        <v>24</v>
      </c>
      <c r="X2689" t="s">
        <v>8133</v>
      </c>
      <c r="Y2689" t="str">
        <f>VLOOKUP(C2689,'[1]DBS_KPY Sorumlular'!A:C,2,FALSE)</f>
        <v>Erkan AKDOĞAN</v>
      </c>
      <c r="Z2689" t="str">
        <f>VLOOKUP(C2689,'[1]DBS_KPY Sorumlular'!A:C,3,FALSE)</f>
        <v>Kadir TOPÇU</v>
      </c>
      <c r="AA2689" t="str">
        <f>VLOOKUP(K2689,[1]!Tablo3[#Data],2,FALSE)</f>
        <v>Tayfun VİÇE</v>
      </c>
    </row>
    <row r="2690" spans="1:27" x14ac:dyDescent="0.25">
      <c r="A2690">
        <v>4010</v>
      </c>
      <c r="B2690" t="s">
        <v>27</v>
      </c>
      <c r="C2690" t="s">
        <v>304</v>
      </c>
      <c r="D2690" t="s">
        <v>305</v>
      </c>
      <c r="G2690" t="s">
        <v>96</v>
      </c>
      <c r="H2690" t="s">
        <v>8261</v>
      </c>
      <c r="I2690" s="4">
        <v>43982.875</v>
      </c>
      <c r="J2690" t="s">
        <v>8262</v>
      </c>
      <c r="K2690" t="s">
        <v>914</v>
      </c>
      <c r="L2690" s="5"/>
      <c r="M2690" s="5"/>
      <c r="N2690" t="s">
        <v>82</v>
      </c>
      <c r="O2690" t="s">
        <v>8263</v>
      </c>
      <c r="R2690">
        <v>1</v>
      </c>
      <c r="T2690" s="5" t="s">
        <v>38</v>
      </c>
      <c r="W2690">
        <v>206</v>
      </c>
      <c r="X2690" t="s">
        <v>311</v>
      </c>
      <c r="Y2690" t="str">
        <f>VLOOKUP(C2690,'[1]DBS_KPY Sorumlular'!A:C,2,FALSE)</f>
        <v>Erkan AKDOĞAN</v>
      </c>
      <c r="Z2690" t="str">
        <f>VLOOKUP(C2690,'[1]DBS_KPY Sorumlular'!A:C,3,FALSE)</f>
        <v>Kadir TOPÇU</v>
      </c>
      <c r="AA2690" t="str">
        <f>VLOOKUP(K2690,[1]!Tablo3[#Data],2,FALSE)</f>
        <v>Tayfun VİÇE</v>
      </c>
    </row>
    <row r="2691" spans="1:27" x14ac:dyDescent="0.25">
      <c r="A2691">
        <v>4011</v>
      </c>
      <c r="B2691" t="s">
        <v>27</v>
      </c>
      <c r="C2691" t="s">
        <v>304</v>
      </c>
      <c r="D2691" t="s">
        <v>305</v>
      </c>
      <c r="G2691" t="s">
        <v>96</v>
      </c>
      <c r="H2691" t="s">
        <v>8264</v>
      </c>
      <c r="I2691" s="4">
        <v>43982.875</v>
      </c>
      <c r="J2691" t="s">
        <v>8265</v>
      </c>
      <c r="K2691" t="s">
        <v>914</v>
      </c>
      <c r="L2691" s="5"/>
      <c r="M2691" s="5"/>
      <c r="N2691" t="s">
        <v>82</v>
      </c>
      <c r="O2691" t="s">
        <v>8266</v>
      </c>
      <c r="R2691">
        <v>1</v>
      </c>
      <c r="T2691" s="5" t="s">
        <v>38</v>
      </c>
      <c r="W2691">
        <v>24</v>
      </c>
      <c r="X2691" t="s">
        <v>8133</v>
      </c>
      <c r="Y2691" t="str">
        <f>VLOOKUP(C2691,'[1]DBS_KPY Sorumlular'!A:C,2,FALSE)</f>
        <v>Erkan AKDOĞAN</v>
      </c>
      <c r="Z2691" t="str">
        <f>VLOOKUP(C2691,'[1]DBS_KPY Sorumlular'!A:C,3,FALSE)</f>
        <v>Kadir TOPÇU</v>
      </c>
      <c r="AA2691" t="str">
        <f>VLOOKUP(K2691,[1]!Tablo3[#Data],2,FALSE)</f>
        <v>Tayfun VİÇE</v>
      </c>
    </row>
    <row r="2692" spans="1:27" x14ac:dyDescent="0.25">
      <c r="A2692">
        <v>4011</v>
      </c>
      <c r="B2692" t="s">
        <v>27</v>
      </c>
      <c r="C2692" t="s">
        <v>304</v>
      </c>
      <c r="D2692" t="s">
        <v>305</v>
      </c>
      <c r="G2692" t="s">
        <v>96</v>
      </c>
      <c r="H2692" t="s">
        <v>8264</v>
      </c>
      <c r="I2692" s="4">
        <v>43982.875</v>
      </c>
      <c r="J2692" t="s">
        <v>8265</v>
      </c>
      <c r="K2692" t="s">
        <v>914</v>
      </c>
      <c r="L2692" s="5"/>
      <c r="M2692" s="5"/>
      <c r="N2692" t="s">
        <v>82</v>
      </c>
      <c r="O2692" t="s">
        <v>8266</v>
      </c>
      <c r="R2692">
        <v>1</v>
      </c>
      <c r="T2692" s="5" t="s">
        <v>38</v>
      </c>
      <c r="W2692">
        <v>206</v>
      </c>
      <c r="X2692" t="s">
        <v>311</v>
      </c>
      <c r="Y2692" t="str">
        <f>VLOOKUP(C2692,'[1]DBS_KPY Sorumlular'!A:C,2,FALSE)</f>
        <v>Erkan AKDOĞAN</v>
      </c>
      <c r="Z2692" t="str">
        <f>VLOOKUP(C2692,'[1]DBS_KPY Sorumlular'!A:C,3,FALSE)</f>
        <v>Kadir TOPÇU</v>
      </c>
      <c r="AA2692" t="str">
        <f>VLOOKUP(K2692,[1]!Tablo3[#Data],2,FALSE)</f>
        <v>Tayfun VİÇE</v>
      </c>
    </row>
    <row r="2693" spans="1:27" x14ac:dyDescent="0.25">
      <c r="A2693">
        <v>4012</v>
      </c>
      <c r="B2693" t="s">
        <v>27</v>
      </c>
      <c r="C2693" t="s">
        <v>304</v>
      </c>
      <c r="D2693" t="s">
        <v>305</v>
      </c>
      <c r="G2693" t="s">
        <v>96</v>
      </c>
      <c r="H2693" t="s">
        <v>8267</v>
      </c>
      <c r="I2693" s="4">
        <v>44347.875</v>
      </c>
      <c r="J2693" t="s">
        <v>8268</v>
      </c>
      <c r="K2693" t="s">
        <v>914</v>
      </c>
      <c r="L2693" s="5"/>
      <c r="M2693" s="5"/>
      <c r="N2693" t="s">
        <v>82</v>
      </c>
      <c r="O2693" t="s">
        <v>8269</v>
      </c>
      <c r="R2693">
        <v>1</v>
      </c>
      <c r="T2693" s="5" t="s">
        <v>38</v>
      </c>
      <c r="W2693">
        <v>24</v>
      </c>
      <c r="X2693" t="s">
        <v>8133</v>
      </c>
      <c r="Y2693" t="str">
        <f>VLOOKUP(C2693,'[1]DBS_KPY Sorumlular'!A:C,2,FALSE)</f>
        <v>Erkan AKDOĞAN</v>
      </c>
      <c r="Z2693" t="str">
        <f>VLOOKUP(C2693,'[1]DBS_KPY Sorumlular'!A:C,3,FALSE)</f>
        <v>Kadir TOPÇU</v>
      </c>
      <c r="AA2693" t="str">
        <f>VLOOKUP(K2693,[1]!Tablo3[#Data],2,FALSE)</f>
        <v>Tayfun VİÇE</v>
      </c>
    </row>
    <row r="2694" spans="1:27" x14ac:dyDescent="0.25">
      <c r="A2694">
        <v>4012</v>
      </c>
      <c r="B2694" t="s">
        <v>27</v>
      </c>
      <c r="C2694" t="s">
        <v>304</v>
      </c>
      <c r="D2694" t="s">
        <v>305</v>
      </c>
      <c r="G2694" t="s">
        <v>96</v>
      </c>
      <c r="H2694" t="s">
        <v>8267</v>
      </c>
      <c r="I2694" s="4">
        <v>44347.875</v>
      </c>
      <c r="J2694" t="s">
        <v>8268</v>
      </c>
      <c r="K2694" t="s">
        <v>914</v>
      </c>
      <c r="L2694" s="5"/>
      <c r="M2694" s="5"/>
      <c r="N2694" t="s">
        <v>82</v>
      </c>
      <c r="O2694" t="s">
        <v>8269</v>
      </c>
      <c r="R2694">
        <v>1</v>
      </c>
      <c r="T2694" s="5" t="s">
        <v>38</v>
      </c>
      <c r="W2694">
        <v>206</v>
      </c>
      <c r="X2694" t="s">
        <v>311</v>
      </c>
      <c r="Y2694" t="str">
        <f>VLOOKUP(C2694,'[1]DBS_KPY Sorumlular'!A:C,2,FALSE)</f>
        <v>Erkan AKDOĞAN</v>
      </c>
      <c r="Z2694" t="str">
        <f>VLOOKUP(C2694,'[1]DBS_KPY Sorumlular'!A:C,3,FALSE)</f>
        <v>Kadir TOPÇU</v>
      </c>
      <c r="AA2694" t="str">
        <f>VLOOKUP(K2694,[1]!Tablo3[#Data],2,FALSE)</f>
        <v>Tayfun VİÇE</v>
      </c>
    </row>
    <row r="2695" spans="1:27" x14ac:dyDescent="0.25">
      <c r="A2695">
        <v>4013</v>
      </c>
      <c r="B2695" t="s">
        <v>27</v>
      </c>
      <c r="C2695" t="s">
        <v>304</v>
      </c>
      <c r="D2695" t="s">
        <v>305</v>
      </c>
      <c r="G2695" t="s">
        <v>96</v>
      </c>
      <c r="H2695" t="s">
        <v>8270</v>
      </c>
      <c r="I2695" s="4">
        <v>44712.875</v>
      </c>
      <c r="J2695" t="s">
        <v>8271</v>
      </c>
      <c r="K2695" t="s">
        <v>914</v>
      </c>
      <c r="L2695" s="5"/>
      <c r="M2695" s="5"/>
      <c r="N2695" t="s">
        <v>82</v>
      </c>
      <c r="O2695" t="s">
        <v>8272</v>
      </c>
      <c r="R2695">
        <v>1</v>
      </c>
      <c r="T2695" s="5" t="s">
        <v>38</v>
      </c>
      <c r="W2695">
        <v>24</v>
      </c>
      <c r="X2695" t="s">
        <v>8133</v>
      </c>
      <c r="Y2695" t="str">
        <f>VLOOKUP(C2695,'[1]DBS_KPY Sorumlular'!A:C,2,FALSE)</f>
        <v>Erkan AKDOĞAN</v>
      </c>
      <c r="Z2695" t="str">
        <f>VLOOKUP(C2695,'[1]DBS_KPY Sorumlular'!A:C,3,FALSE)</f>
        <v>Kadir TOPÇU</v>
      </c>
      <c r="AA2695" t="str">
        <f>VLOOKUP(K2695,[1]!Tablo3[#Data],2,FALSE)</f>
        <v>Tayfun VİÇE</v>
      </c>
    </row>
    <row r="2696" spans="1:27" x14ac:dyDescent="0.25">
      <c r="A2696">
        <v>4013</v>
      </c>
      <c r="B2696" t="s">
        <v>27</v>
      </c>
      <c r="C2696" t="s">
        <v>304</v>
      </c>
      <c r="D2696" t="s">
        <v>305</v>
      </c>
      <c r="G2696" t="s">
        <v>96</v>
      </c>
      <c r="H2696" t="s">
        <v>8270</v>
      </c>
      <c r="I2696" s="4">
        <v>44712.875</v>
      </c>
      <c r="J2696" t="s">
        <v>8271</v>
      </c>
      <c r="K2696" t="s">
        <v>914</v>
      </c>
      <c r="L2696" s="5"/>
      <c r="M2696" s="5"/>
      <c r="N2696" t="s">
        <v>82</v>
      </c>
      <c r="O2696" t="s">
        <v>8272</v>
      </c>
      <c r="R2696">
        <v>1</v>
      </c>
      <c r="T2696" s="5" t="s">
        <v>38</v>
      </c>
      <c r="W2696">
        <v>206</v>
      </c>
      <c r="X2696" t="s">
        <v>311</v>
      </c>
      <c r="Y2696" t="str">
        <f>VLOOKUP(C2696,'[1]DBS_KPY Sorumlular'!A:C,2,FALSE)</f>
        <v>Erkan AKDOĞAN</v>
      </c>
      <c r="Z2696" t="str">
        <f>VLOOKUP(C2696,'[1]DBS_KPY Sorumlular'!A:C,3,FALSE)</f>
        <v>Kadir TOPÇU</v>
      </c>
      <c r="AA2696" t="str">
        <f>VLOOKUP(K2696,[1]!Tablo3[#Data],2,FALSE)</f>
        <v>Tayfun VİÇE</v>
      </c>
    </row>
    <row r="2697" spans="1:27" x14ac:dyDescent="0.25">
      <c r="A2697">
        <v>4014</v>
      </c>
      <c r="B2697" t="s">
        <v>27</v>
      </c>
      <c r="C2697" t="s">
        <v>304</v>
      </c>
      <c r="D2697" t="s">
        <v>305</v>
      </c>
      <c r="G2697" t="s">
        <v>96</v>
      </c>
      <c r="H2697" t="s">
        <v>8273</v>
      </c>
      <c r="I2697" s="4">
        <v>44712.875</v>
      </c>
      <c r="J2697" t="s">
        <v>8274</v>
      </c>
      <c r="K2697" t="s">
        <v>914</v>
      </c>
      <c r="L2697" s="5"/>
      <c r="M2697" s="5"/>
      <c r="N2697" t="s">
        <v>82</v>
      </c>
      <c r="O2697" t="s">
        <v>8275</v>
      </c>
      <c r="R2697">
        <v>1</v>
      </c>
      <c r="T2697" s="5" t="s">
        <v>38</v>
      </c>
      <c r="W2697">
        <v>24</v>
      </c>
      <c r="X2697" t="s">
        <v>8133</v>
      </c>
      <c r="Y2697" t="str">
        <f>VLOOKUP(C2697,'[1]DBS_KPY Sorumlular'!A:C,2,FALSE)</f>
        <v>Erkan AKDOĞAN</v>
      </c>
      <c r="Z2697" t="str">
        <f>VLOOKUP(C2697,'[1]DBS_KPY Sorumlular'!A:C,3,FALSE)</f>
        <v>Kadir TOPÇU</v>
      </c>
      <c r="AA2697" t="str">
        <f>VLOOKUP(K2697,[1]!Tablo3[#Data],2,FALSE)</f>
        <v>Tayfun VİÇE</v>
      </c>
    </row>
    <row r="2698" spans="1:27" x14ac:dyDescent="0.25">
      <c r="A2698">
        <v>4014</v>
      </c>
      <c r="B2698" t="s">
        <v>27</v>
      </c>
      <c r="C2698" t="s">
        <v>304</v>
      </c>
      <c r="D2698" t="s">
        <v>305</v>
      </c>
      <c r="G2698" t="s">
        <v>96</v>
      </c>
      <c r="H2698" t="s">
        <v>8273</v>
      </c>
      <c r="I2698" s="4">
        <v>44712.875</v>
      </c>
      <c r="J2698" t="s">
        <v>8274</v>
      </c>
      <c r="K2698" t="s">
        <v>914</v>
      </c>
      <c r="L2698" s="5"/>
      <c r="M2698" s="5"/>
      <c r="N2698" t="s">
        <v>82</v>
      </c>
      <c r="O2698" t="s">
        <v>8275</v>
      </c>
      <c r="R2698">
        <v>1</v>
      </c>
      <c r="T2698" s="5" t="s">
        <v>38</v>
      </c>
      <c r="W2698">
        <v>206</v>
      </c>
      <c r="X2698" t="s">
        <v>311</v>
      </c>
      <c r="Y2698" t="str">
        <f>VLOOKUP(C2698,'[1]DBS_KPY Sorumlular'!A:C,2,FALSE)</f>
        <v>Erkan AKDOĞAN</v>
      </c>
      <c r="Z2698" t="str">
        <f>VLOOKUP(C2698,'[1]DBS_KPY Sorumlular'!A:C,3,FALSE)</f>
        <v>Kadir TOPÇU</v>
      </c>
      <c r="AA2698" t="str">
        <f>VLOOKUP(K2698,[1]!Tablo3[#Data],2,FALSE)</f>
        <v>Tayfun VİÇE</v>
      </c>
    </row>
    <row r="2699" spans="1:27" x14ac:dyDescent="0.25">
      <c r="A2699">
        <v>4015</v>
      </c>
      <c r="B2699" t="s">
        <v>27</v>
      </c>
      <c r="C2699" t="s">
        <v>304</v>
      </c>
      <c r="D2699" t="s">
        <v>305</v>
      </c>
      <c r="G2699" t="s">
        <v>96</v>
      </c>
      <c r="H2699" t="s">
        <v>8276</v>
      </c>
      <c r="I2699" s="4">
        <v>45077.875</v>
      </c>
      <c r="J2699" t="s">
        <v>8277</v>
      </c>
      <c r="K2699" t="s">
        <v>914</v>
      </c>
      <c r="L2699" s="5"/>
      <c r="M2699" s="5"/>
      <c r="N2699" t="s">
        <v>82</v>
      </c>
      <c r="O2699" t="s">
        <v>8278</v>
      </c>
      <c r="R2699">
        <v>1</v>
      </c>
      <c r="T2699" s="5" t="s">
        <v>38</v>
      </c>
      <c r="W2699">
        <v>24</v>
      </c>
      <c r="X2699" t="s">
        <v>8133</v>
      </c>
      <c r="Y2699" t="str">
        <f>VLOOKUP(C2699,'[1]DBS_KPY Sorumlular'!A:C,2,FALSE)</f>
        <v>Erkan AKDOĞAN</v>
      </c>
      <c r="Z2699" t="str">
        <f>VLOOKUP(C2699,'[1]DBS_KPY Sorumlular'!A:C,3,FALSE)</f>
        <v>Kadir TOPÇU</v>
      </c>
      <c r="AA2699" t="str">
        <f>VLOOKUP(K2699,[1]!Tablo3[#Data],2,FALSE)</f>
        <v>Tayfun VİÇE</v>
      </c>
    </row>
    <row r="2700" spans="1:27" x14ac:dyDescent="0.25">
      <c r="A2700">
        <v>4015</v>
      </c>
      <c r="B2700" t="s">
        <v>27</v>
      </c>
      <c r="C2700" t="s">
        <v>304</v>
      </c>
      <c r="D2700" t="s">
        <v>305</v>
      </c>
      <c r="G2700" t="s">
        <v>96</v>
      </c>
      <c r="H2700" t="s">
        <v>8276</v>
      </c>
      <c r="I2700" s="4">
        <v>45077.875</v>
      </c>
      <c r="J2700" t="s">
        <v>8277</v>
      </c>
      <c r="K2700" t="s">
        <v>914</v>
      </c>
      <c r="L2700" s="5"/>
      <c r="M2700" s="5"/>
      <c r="N2700" t="s">
        <v>82</v>
      </c>
      <c r="O2700" t="s">
        <v>8278</v>
      </c>
      <c r="R2700">
        <v>1</v>
      </c>
      <c r="T2700" s="5" t="s">
        <v>38</v>
      </c>
      <c r="W2700">
        <v>206</v>
      </c>
      <c r="X2700" t="s">
        <v>311</v>
      </c>
      <c r="Y2700" t="str">
        <f>VLOOKUP(C2700,'[1]DBS_KPY Sorumlular'!A:C,2,FALSE)</f>
        <v>Erkan AKDOĞAN</v>
      </c>
      <c r="Z2700" t="str">
        <f>VLOOKUP(C2700,'[1]DBS_KPY Sorumlular'!A:C,3,FALSE)</f>
        <v>Kadir TOPÇU</v>
      </c>
      <c r="AA2700" t="str">
        <f>VLOOKUP(K2700,[1]!Tablo3[#Data],2,FALSE)</f>
        <v>Tayfun VİÇE</v>
      </c>
    </row>
    <row r="2701" spans="1:27" x14ac:dyDescent="0.25">
      <c r="A2701">
        <v>4016</v>
      </c>
      <c r="B2701" t="s">
        <v>27</v>
      </c>
      <c r="C2701" t="s">
        <v>304</v>
      </c>
      <c r="D2701" t="s">
        <v>305</v>
      </c>
      <c r="G2701" t="s">
        <v>96</v>
      </c>
      <c r="H2701" t="s">
        <v>8279</v>
      </c>
      <c r="I2701" s="4">
        <v>45443.875</v>
      </c>
      <c r="J2701" t="s">
        <v>8280</v>
      </c>
      <c r="K2701" t="s">
        <v>914</v>
      </c>
      <c r="L2701" s="5"/>
      <c r="M2701" s="5" t="s">
        <v>8281</v>
      </c>
      <c r="N2701" t="s">
        <v>82</v>
      </c>
      <c r="O2701" t="s">
        <v>8282</v>
      </c>
      <c r="R2701">
        <v>1</v>
      </c>
      <c r="T2701" s="5" t="s">
        <v>38</v>
      </c>
      <c r="W2701">
        <v>24</v>
      </c>
      <c r="X2701" t="s">
        <v>8133</v>
      </c>
      <c r="Y2701" t="str">
        <f>VLOOKUP(C2701,'[1]DBS_KPY Sorumlular'!A:C,2,FALSE)</f>
        <v>Erkan AKDOĞAN</v>
      </c>
      <c r="Z2701" t="str">
        <f>VLOOKUP(C2701,'[1]DBS_KPY Sorumlular'!A:C,3,FALSE)</f>
        <v>Kadir TOPÇU</v>
      </c>
      <c r="AA2701" t="str">
        <f>VLOOKUP(K2701,[1]!Tablo3[#Data],2,FALSE)</f>
        <v>Tayfun VİÇE</v>
      </c>
    </row>
    <row r="2702" spans="1:27" x14ac:dyDescent="0.25">
      <c r="A2702">
        <v>4016</v>
      </c>
      <c r="B2702" t="s">
        <v>27</v>
      </c>
      <c r="C2702" t="s">
        <v>304</v>
      </c>
      <c r="D2702" t="s">
        <v>305</v>
      </c>
      <c r="G2702" t="s">
        <v>96</v>
      </c>
      <c r="H2702" t="s">
        <v>8279</v>
      </c>
      <c r="I2702" s="4">
        <v>45443.875</v>
      </c>
      <c r="J2702" t="s">
        <v>8280</v>
      </c>
      <c r="K2702" t="s">
        <v>914</v>
      </c>
      <c r="L2702" s="5"/>
      <c r="M2702" s="5" t="s">
        <v>8281</v>
      </c>
      <c r="N2702" t="s">
        <v>82</v>
      </c>
      <c r="O2702" t="s">
        <v>8282</v>
      </c>
      <c r="R2702">
        <v>1</v>
      </c>
      <c r="T2702" s="5" t="s">
        <v>38</v>
      </c>
      <c r="W2702">
        <v>206</v>
      </c>
      <c r="X2702" t="s">
        <v>311</v>
      </c>
      <c r="Y2702" t="str">
        <f>VLOOKUP(C2702,'[1]DBS_KPY Sorumlular'!A:C,2,FALSE)</f>
        <v>Erkan AKDOĞAN</v>
      </c>
      <c r="Z2702" t="str">
        <f>VLOOKUP(C2702,'[1]DBS_KPY Sorumlular'!A:C,3,FALSE)</f>
        <v>Kadir TOPÇU</v>
      </c>
      <c r="AA2702" t="str">
        <f>VLOOKUP(K2702,[1]!Tablo3[#Data],2,FALSE)</f>
        <v>Tayfun VİÇE</v>
      </c>
    </row>
    <row r="2703" spans="1:27" x14ac:dyDescent="0.25">
      <c r="A2703">
        <v>4017</v>
      </c>
      <c r="B2703" t="s">
        <v>27</v>
      </c>
      <c r="C2703" t="s">
        <v>304</v>
      </c>
      <c r="D2703" t="s">
        <v>305</v>
      </c>
      <c r="G2703" t="s">
        <v>96</v>
      </c>
      <c r="H2703" t="s">
        <v>8283</v>
      </c>
      <c r="I2703" s="4">
        <v>44347.875</v>
      </c>
      <c r="J2703" t="s">
        <v>8115</v>
      </c>
      <c r="K2703" t="s">
        <v>1002</v>
      </c>
      <c r="L2703" s="5"/>
      <c r="M2703" s="5"/>
      <c r="N2703" t="s">
        <v>82</v>
      </c>
      <c r="O2703" t="s">
        <v>8284</v>
      </c>
      <c r="R2703">
        <v>1</v>
      </c>
      <c r="T2703" s="5" t="s">
        <v>38</v>
      </c>
      <c r="W2703">
        <v>206</v>
      </c>
      <c r="X2703" t="s">
        <v>311</v>
      </c>
      <c r="Y2703" t="str">
        <f>VLOOKUP(C2703,'[1]DBS_KPY Sorumlular'!A:C,2,FALSE)</f>
        <v>Erkan AKDOĞAN</v>
      </c>
      <c r="Z2703" t="str">
        <f>VLOOKUP(C2703,'[1]DBS_KPY Sorumlular'!A:C,3,FALSE)</f>
        <v>Kadir TOPÇU</v>
      </c>
      <c r="AA2703" t="str">
        <f>VLOOKUP(K2703,[1]!Tablo3[#Data],2,FALSE)</f>
        <v>Kadir TOPÇU</v>
      </c>
    </row>
    <row r="2704" spans="1:27" x14ac:dyDescent="0.25">
      <c r="A2704">
        <v>4018</v>
      </c>
      <c r="B2704" t="s">
        <v>27</v>
      </c>
      <c r="C2704" t="s">
        <v>304</v>
      </c>
      <c r="D2704" t="s">
        <v>305</v>
      </c>
      <c r="G2704" t="s">
        <v>96</v>
      </c>
      <c r="H2704" t="s">
        <v>8285</v>
      </c>
      <c r="I2704" s="4">
        <v>45077.875</v>
      </c>
      <c r="J2704" t="s">
        <v>8286</v>
      </c>
      <c r="K2704" t="s">
        <v>1002</v>
      </c>
      <c r="L2704" s="5"/>
      <c r="M2704" s="5"/>
      <c r="N2704" t="s">
        <v>82</v>
      </c>
      <c r="O2704" t="s">
        <v>8287</v>
      </c>
      <c r="R2704">
        <v>1</v>
      </c>
      <c r="T2704" s="5" t="s">
        <v>38</v>
      </c>
      <c r="W2704">
        <v>206</v>
      </c>
      <c r="X2704" t="s">
        <v>311</v>
      </c>
      <c r="Y2704" t="str">
        <f>VLOOKUP(C2704,'[1]DBS_KPY Sorumlular'!A:C,2,FALSE)</f>
        <v>Erkan AKDOĞAN</v>
      </c>
      <c r="Z2704" t="str">
        <f>VLOOKUP(C2704,'[1]DBS_KPY Sorumlular'!A:C,3,FALSE)</f>
        <v>Kadir TOPÇU</v>
      </c>
      <c r="AA2704" t="str">
        <f>VLOOKUP(K2704,[1]!Tablo3[#Data],2,FALSE)</f>
        <v>Kadir TOPÇU</v>
      </c>
    </row>
    <row r="2705" spans="1:27" x14ac:dyDescent="0.25">
      <c r="A2705">
        <v>4019</v>
      </c>
      <c r="B2705" t="s">
        <v>27</v>
      </c>
      <c r="C2705" t="s">
        <v>304</v>
      </c>
      <c r="D2705" t="s">
        <v>305</v>
      </c>
      <c r="G2705" t="s">
        <v>96</v>
      </c>
      <c r="H2705" t="s">
        <v>8288</v>
      </c>
      <c r="I2705" s="4">
        <v>45077.875</v>
      </c>
      <c r="J2705" t="s">
        <v>8115</v>
      </c>
      <c r="K2705" t="s">
        <v>1002</v>
      </c>
      <c r="L2705" s="5"/>
      <c r="M2705" s="5"/>
      <c r="N2705" t="s">
        <v>82</v>
      </c>
      <c r="O2705" t="s">
        <v>8289</v>
      </c>
      <c r="R2705">
        <v>1</v>
      </c>
      <c r="T2705" s="5" t="s">
        <v>38</v>
      </c>
      <c r="W2705">
        <v>206</v>
      </c>
      <c r="X2705" t="s">
        <v>311</v>
      </c>
      <c r="Y2705" t="str">
        <f>VLOOKUP(C2705,'[1]DBS_KPY Sorumlular'!A:C,2,FALSE)</f>
        <v>Erkan AKDOĞAN</v>
      </c>
      <c r="Z2705" t="str">
        <f>VLOOKUP(C2705,'[1]DBS_KPY Sorumlular'!A:C,3,FALSE)</f>
        <v>Kadir TOPÇU</v>
      </c>
      <c r="AA2705" t="str">
        <f>VLOOKUP(K2705,[1]!Tablo3[#Data],2,FALSE)</f>
        <v>Kadir TOPÇU</v>
      </c>
    </row>
    <row r="2706" spans="1:27" x14ac:dyDescent="0.25">
      <c r="A2706">
        <v>4020</v>
      </c>
      <c r="B2706" t="s">
        <v>27</v>
      </c>
      <c r="C2706" t="s">
        <v>304</v>
      </c>
      <c r="D2706" t="s">
        <v>305</v>
      </c>
      <c r="G2706" t="s">
        <v>96</v>
      </c>
      <c r="H2706" t="s">
        <v>8290</v>
      </c>
      <c r="I2706" s="4">
        <v>44347.875</v>
      </c>
      <c r="J2706" t="s">
        <v>8291</v>
      </c>
      <c r="K2706" t="s">
        <v>1029</v>
      </c>
      <c r="L2706" s="5"/>
      <c r="M2706" s="5"/>
      <c r="N2706" t="s">
        <v>82</v>
      </c>
      <c r="O2706" t="s">
        <v>8292</v>
      </c>
      <c r="R2706">
        <v>1</v>
      </c>
      <c r="T2706" s="5" t="s">
        <v>38</v>
      </c>
      <c r="W2706">
        <v>24</v>
      </c>
      <c r="X2706" t="s">
        <v>8133</v>
      </c>
      <c r="Y2706" t="str">
        <f>VLOOKUP(C2706,'[1]DBS_KPY Sorumlular'!A:C,2,FALSE)</f>
        <v>Erkan AKDOĞAN</v>
      </c>
      <c r="Z2706" t="str">
        <f>VLOOKUP(C2706,'[1]DBS_KPY Sorumlular'!A:C,3,FALSE)</f>
        <v>Kadir TOPÇU</v>
      </c>
      <c r="AA2706" t="str">
        <f>VLOOKUP(K2706,[1]!Tablo3[#Data],2,FALSE)</f>
        <v>Tayfun VİÇE</v>
      </c>
    </row>
    <row r="2707" spans="1:27" x14ac:dyDescent="0.25">
      <c r="A2707">
        <v>4020</v>
      </c>
      <c r="B2707" t="s">
        <v>27</v>
      </c>
      <c r="C2707" t="s">
        <v>304</v>
      </c>
      <c r="D2707" t="s">
        <v>305</v>
      </c>
      <c r="G2707" t="s">
        <v>96</v>
      </c>
      <c r="H2707" t="s">
        <v>8290</v>
      </c>
      <c r="I2707" s="4">
        <v>44347.875</v>
      </c>
      <c r="J2707" t="s">
        <v>8291</v>
      </c>
      <c r="K2707" t="s">
        <v>1029</v>
      </c>
      <c r="L2707" s="5"/>
      <c r="M2707" s="5"/>
      <c r="N2707" t="s">
        <v>82</v>
      </c>
      <c r="O2707" t="s">
        <v>8292</v>
      </c>
      <c r="R2707">
        <v>1</v>
      </c>
      <c r="T2707" s="5" t="s">
        <v>38</v>
      </c>
      <c r="W2707">
        <v>206</v>
      </c>
      <c r="X2707" t="s">
        <v>311</v>
      </c>
      <c r="Y2707" t="str">
        <f>VLOOKUP(C2707,'[1]DBS_KPY Sorumlular'!A:C,2,FALSE)</f>
        <v>Erkan AKDOĞAN</v>
      </c>
      <c r="Z2707" t="str">
        <f>VLOOKUP(C2707,'[1]DBS_KPY Sorumlular'!A:C,3,FALSE)</f>
        <v>Kadir TOPÇU</v>
      </c>
      <c r="AA2707" t="str">
        <f>VLOOKUP(K2707,[1]!Tablo3[#Data],2,FALSE)</f>
        <v>Tayfun VİÇE</v>
      </c>
    </row>
    <row r="2708" spans="1:27" x14ac:dyDescent="0.25">
      <c r="A2708">
        <v>4021</v>
      </c>
      <c r="B2708" t="s">
        <v>27</v>
      </c>
      <c r="C2708" t="s">
        <v>304</v>
      </c>
      <c r="D2708" t="s">
        <v>305</v>
      </c>
      <c r="G2708" t="s">
        <v>96</v>
      </c>
      <c r="H2708" t="s">
        <v>8293</v>
      </c>
      <c r="I2708" s="4">
        <v>44347.875</v>
      </c>
      <c r="J2708" t="s">
        <v>8294</v>
      </c>
      <c r="K2708" t="s">
        <v>1029</v>
      </c>
      <c r="L2708" s="5"/>
      <c r="M2708" s="5"/>
      <c r="N2708" t="s">
        <v>82</v>
      </c>
      <c r="O2708" t="s">
        <v>8295</v>
      </c>
      <c r="R2708">
        <v>1</v>
      </c>
      <c r="T2708" s="5" t="s">
        <v>38</v>
      </c>
      <c r="W2708">
        <v>24</v>
      </c>
      <c r="X2708" t="s">
        <v>8133</v>
      </c>
      <c r="Y2708" t="str">
        <f>VLOOKUP(C2708,'[1]DBS_KPY Sorumlular'!A:C,2,FALSE)</f>
        <v>Erkan AKDOĞAN</v>
      </c>
      <c r="Z2708" t="str">
        <f>VLOOKUP(C2708,'[1]DBS_KPY Sorumlular'!A:C,3,FALSE)</f>
        <v>Kadir TOPÇU</v>
      </c>
      <c r="AA2708" t="str">
        <f>VLOOKUP(K2708,[1]!Tablo3[#Data],2,FALSE)</f>
        <v>Tayfun VİÇE</v>
      </c>
    </row>
    <row r="2709" spans="1:27" x14ac:dyDescent="0.25">
      <c r="A2709">
        <v>4021</v>
      </c>
      <c r="B2709" t="s">
        <v>27</v>
      </c>
      <c r="C2709" t="s">
        <v>304</v>
      </c>
      <c r="D2709" t="s">
        <v>305</v>
      </c>
      <c r="G2709" t="s">
        <v>96</v>
      </c>
      <c r="H2709" t="s">
        <v>8293</v>
      </c>
      <c r="I2709" s="4">
        <v>44347.875</v>
      </c>
      <c r="J2709" t="s">
        <v>8294</v>
      </c>
      <c r="K2709" t="s">
        <v>1029</v>
      </c>
      <c r="L2709" s="5"/>
      <c r="M2709" s="5"/>
      <c r="N2709" t="s">
        <v>82</v>
      </c>
      <c r="O2709" t="s">
        <v>8295</v>
      </c>
      <c r="R2709">
        <v>1</v>
      </c>
      <c r="T2709" s="5" t="s">
        <v>38</v>
      </c>
      <c r="W2709">
        <v>206</v>
      </c>
      <c r="X2709" t="s">
        <v>311</v>
      </c>
      <c r="Y2709" t="str">
        <f>VLOOKUP(C2709,'[1]DBS_KPY Sorumlular'!A:C,2,FALSE)</f>
        <v>Erkan AKDOĞAN</v>
      </c>
      <c r="Z2709" t="str">
        <f>VLOOKUP(C2709,'[1]DBS_KPY Sorumlular'!A:C,3,FALSE)</f>
        <v>Kadir TOPÇU</v>
      </c>
      <c r="AA2709" t="str">
        <f>VLOOKUP(K2709,[1]!Tablo3[#Data],2,FALSE)</f>
        <v>Tayfun VİÇE</v>
      </c>
    </row>
    <row r="2710" spans="1:27" x14ac:dyDescent="0.25">
      <c r="A2710">
        <v>4022</v>
      </c>
      <c r="B2710" t="s">
        <v>27</v>
      </c>
      <c r="C2710" t="s">
        <v>304</v>
      </c>
      <c r="D2710" t="s">
        <v>305</v>
      </c>
      <c r="G2710" t="s">
        <v>96</v>
      </c>
      <c r="H2710" t="s">
        <v>8296</v>
      </c>
      <c r="I2710" s="4">
        <v>44712.875</v>
      </c>
      <c r="J2710" t="s">
        <v>8297</v>
      </c>
      <c r="K2710" t="s">
        <v>1029</v>
      </c>
      <c r="L2710" s="5"/>
      <c r="M2710" s="5"/>
      <c r="N2710" t="s">
        <v>82</v>
      </c>
      <c r="O2710" t="s">
        <v>8298</v>
      </c>
      <c r="R2710">
        <v>1</v>
      </c>
      <c r="T2710" s="5" t="s">
        <v>38</v>
      </c>
      <c r="W2710">
        <v>24</v>
      </c>
      <c r="X2710" t="s">
        <v>8133</v>
      </c>
      <c r="Y2710" t="str">
        <f>VLOOKUP(C2710,'[1]DBS_KPY Sorumlular'!A:C,2,FALSE)</f>
        <v>Erkan AKDOĞAN</v>
      </c>
      <c r="Z2710" t="str">
        <f>VLOOKUP(C2710,'[1]DBS_KPY Sorumlular'!A:C,3,FALSE)</f>
        <v>Kadir TOPÇU</v>
      </c>
      <c r="AA2710" t="str">
        <f>VLOOKUP(K2710,[1]!Tablo3[#Data],2,FALSE)</f>
        <v>Tayfun VİÇE</v>
      </c>
    </row>
    <row r="2711" spans="1:27" x14ac:dyDescent="0.25">
      <c r="A2711">
        <v>4022</v>
      </c>
      <c r="B2711" t="s">
        <v>27</v>
      </c>
      <c r="C2711" t="s">
        <v>304</v>
      </c>
      <c r="D2711" t="s">
        <v>305</v>
      </c>
      <c r="G2711" t="s">
        <v>96</v>
      </c>
      <c r="H2711" t="s">
        <v>8296</v>
      </c>
      <c r="I2711" s="4">
        <v>44712.875</v>
      </c>
      <c r="J2711" t="s">
        <v>8297</v>
      </c>
      <c r="K2711" t="s">
        <v>1029</v>
      </c>
      <c r="L2711" s="5"/>
      <c r="M2711" s="5"/>
      <c r="N2711" t="s">
        <v>82</v>
      </c>
      <c r="O2711" t="s">
        <v>8298</v>
      </c>
      <c r="R2711">
        <v>1</v>
      </c>
      <c r="T2711" s="5" t="s">
        <v>38</v>
      </c>
      <c r="W2711">
        <v>206</v>
      </c>
      <c r="X2711" t="s">
        <v>311</v>
      </c>
      <c r="Y2711" t="str">
        <f>VLOOKUP(C2711,'[1]DBS_KPY Sorumlular'!A:C,2,FALSE)</f>
        <v>Erkan AKDOĞAN</v>
      </c>
      <c r="Z2711" t="str">
        <f>VLOOKUP(C2711,'[1]DBS_KPY Sorumlular'!A:C,3,FALSE)</f>
        <v>Kadir TOPÇU</v>
      </c>
      <c r="AA2711" t="str">
        <f>VLOOKUP(K2711,[1]!Tablo3[#Data],2,FALSE)</f>
        <v>Tayfun VİÇE</v>
      </c>
    </row>
    <row r="2712" spans="1:27" x14ac:dyDescent="0.25">
      <c r="A2712">
        <v>4023</v>
      </c>
      <c r="B2712" t="s">
        <v>27</v>
      </c>
      <c r="C2712" t="s">
        <v>304</v>
      </c>
      <c r="D2712" t="s">
        <v>305</v>
      </c>
      <c r="G2712" t="s">
        <v>96</v>
      </c>
      <c r="H2712" t="s">
        <v>8299</v>
      </c>
      <c r="I2712" s="4">
        <v>45077.875</v>
      </c>
      <c r="J2712" t="s">
        <v>8300</v>
      </c>
      <c r="K2712" t="s">
        <v>1029</v>
      </c>
      <c r="L2712" s="5"/>
      <c r="M2712" s="5"/>
      <c r="N2712" t="s">
        <v>82</v>
      </c>
      <c r="O2712" t="s">
        <v>8301</v>
      </c>
      <c r="R2712">
        <v>1</v>
      </c>
      <c r="T2712" s="5" t="s">
        <v>38</v>
      </c>
      <c r="W2712">
        <v>24</v>
      </c>
      <c r="X2712" t="s">
        <v>8133</v>
      </c>
      <c r="Y2712" t="str">
        <f>VLOOKUP(C2712,'[1]DBS_KPY Sorumlular'!A:C,2,FALSE)</f>
        <v>Erkan AKDOĞAN</v>
      </c>
      <c r="Z2712" t="str">
        <f>VLOOKUP(C2712,'[1]DBS_KPY Sorumlular'!A:C,3,FALSE)</f>
        <v>Kadir TOPÇU</v>
      </c>
      <c r="AA2712" t="str">
        <f>VLOOKUP(K2712,[1]!Tablo3[#Data],2,FALSE)</f>
        <v>Tayfun VİÇE</v>
      </c>
    </row>
    <row r="2713" spans="1:27" x14ac:dyDescent="0.25">
      <c r="A2713">
        <v>4023</v>
      </c>
      <c r="B2713" t="s">
        <v>27</v>
      </c>
      <c r="C2713" t="s">
        <v>304</v>
      </c>
      <c r="D2713" t="s">
        <v>305</v>
      </c>
      <c r="G2713" t="s">
        <v>96</v>
      </c>
      <c r="H2713" t="s">
        <v>8299</v>
      </c>
      <c r="I2713" s="4">
        <v>45077.875</v>
      </c>
      <c r="J2713" t="s">
        <v>8300</v>
      </c>
      <c r="K2713" t="s">
        <v>1029</v>
      </c>
      <c r="L2713" s="5"/>
      <c r="M2713" s="5"/>
      <c r="N2713" t="s">
        <v>82</v>
      </c>
      <c r="O2713" t="s">
        <v>8301</v>
      </c>
      <c r="R2713">
        <v>1</v>
      </c>
      <c r="T2713" s="5" t="s">
        <v>38</v>
      </c>
      <c r="W2713">
        <v>206</v>
      </c>
      <c r="X2713" t="s">
        <v>311</v>
      </c>
      <c r="Y2713" t="str">
        <f>VLOOKUP(C2713,'[1]DBS_KPY Sorumlular'!A:C,2,FALSE)</f>
        <v>Erkan AKDOĞAN</v>
      </c>
      <c r="Z2713" t="str">
        <f>VLOOKUP(C2713,'[1]DBS_KPY Sorumlular'!A:C,3,FALSE)</f>
        <v>Kadir TOPÇU</v>
      </c>
      <c r="AA2713" t="str">
        <f>VLOOKUP(K2713,[1]!Tablo3[#Data],2,FALSE)</f>
        <v>Tayfun VİÇE</v>
      </c>
    </row>
    <row r="2714" spans="1:27" x14ac:dyDescent="0.25">
      <c r="A2714">
        <v>4024</v>
      </c>
      <c r="B2714" t="s">
        <v>27</v>
      </c>
      <c r="C2714" t="s">
        <v>304</v>
      </c>
      <c r="D2714" t="s">
        <v>305</v>
      </c>
      <c r="G2714" t="s">
        <v>96</v>
      </c>
      <c r="H2714" t="s">
        <v>8302</v>
      </c>
      <c r="I2714" s="4">
        <v>44347.875</v>
      </c>
      <c r="J2714" t="s">
        <v>8080</v>
      </c>
      <c r="K2714" t="s">
        <v>280</v>
      </c>
      <c r="L2714" s="5"/>
      <c r="M2714" s="5"/>
      <c r="N2714" t="s">
        <v>82</v>
      </c>
      <c r="O2714" t="s">
        <v>8303</v>
      </c>
      <c r="R2714">
        <v>1</v>
      </c>
      <c r="T2714" s="5" t="s">
        <v>38</v>
      </c>
      <c r="W2714">
        <v>206</v>
      </c>
      <c r="X2714" t="s">
        <v>311</v>
      </c>
      <c r="Y2714" t="str">
        <f>VLOOKUP(C2714,'[1]DBS_KPY Sorumlular'!A:C,2,FALSE)</f>
        <v>Erkan AKDOĞAN</v>
      </c>
      <c r="Z2714" t="str">
        <f>VLOOKUP(C2714,'[1]DBS_KPY Sorumlular'!A:C,3,FALSE)</f>
        <v>Kadir TOPÇU</v>
      </c>
      <c r="AA2714" t="str">
        <f>VLOOKUP(K2714,[1]!Tablo3[#Data],2,FALSE)</f>
        <v>Erkan AKDOĞAN</v>
      </c>
    </row>
    <row r="2715" spans="1:27" x14ac:dyDescent="0.25">
      <c r="A2715">
        <v>4025</v>
      </c>
      <c r="B2715" t="s">
        <v>27</v>
      </c>
      <c r="C2715" t="s">
        <v>304</v>
      </c>
      <c r="D2715" t="s">
        <v>305</v>
      </c>
      <c r="G2715" t="s">
        <v>96</v>
      </c>
      <c r="H2715" t="s">
        <v>8304</v>
      </c>
      <c r="I2715" s="4">
        <v>44712.875</v>
      </c>
      <c r="J2715" t="s">
        <v>8115</v>
      </c>
      <c r="K2715" t="s">
        <v>280</v>
      </c>
      <c r="L2715" s="5"/>
      <c r="M2715" s="5"/>
      <c r="N2715" t="s">
        <v>82</v>
      </c>
      <c r="O2715" t="s">
        <v>8305</v>
      </c>
      <c r="R2715">
        <v>1</v>
      </c>
      <c r="T2715" s="5" t="s">
        <v>38</v>
      </c>
      <c r="W2715">
        <v>206</v>
      </c>
      <c r="X2715" t="s">
        <v>311</v>
      </c>
      <c r="Y2715" t="str">
        <f>VLOOKUP(C2715,'[1]DBS_KPY Sorumlular'!A:C,2,FALSE)</f>
        <v>Erkan AKDOĞAN</v>
      </c>
      <c r="Z2715" t="str">
        <f>VLOOKUP(C2715,'[1]DBS_KPY Sorumlular'!A:C,3,FALSE)</f>
        <v>Kadir TOPÇU</v>
      </c>
      <c r="AA2715" t="str">
        <f>VLOOKUP(K2715,[1]!Tablo3[#Data],2,FALSE)</f>
        <v>Erkan AKDOĞAN</v>
      </c>
    </row>
    <row r="2716" spans="1:27" x14ac:dyDescent="0.25">
      <c r="A2716">
        <v>4026</v>
      </c>
      <c r="B2716" t="s">
        <v>27</v>
      </c>
      <c r="C2716" t="s">
        <v>304</v>
      </c>
      <c r="D2716" t="s">
        <v>305</v>
      </c>
      <c r="G2716" t="s">
        <v>96</v>
      </c>
      <c r="H2716" t="s">
        <v>8306</v>
      </c>
      <c r="I2716" s="4">
        <v>45443.875</v>
      </c>
      <c r="J2716" t="s">
        <v>8115</v>
      </c>
      <c r="K2716" t="s">
        <v>280</v>
      </c>
      <c r="L2716" s="5"/>
      <c r="M2716" s="5"/>
      <c r="N2716" t="s">
        <v>82</v>
      </c>
      <c r="O2716" t="s">
        <v>8307</v>
      </c>
      <c r="R2716">
        <v>1</v>
      </c>
      <c r="T2716" s="5" t="s">
        <v>38</v>
      </c>
      <c r="W2716">
        <v>206</v>
      </c>
      <c r="X2716" t="s">
        <v>311</v>
      </c>
      <c r="Y2716" t="str">
        <f>VLOOKUP(C2716,'[1]DBS_KPY Sorumlular'!A:C,2,FALSE)</f>
        <v>Erkan AKDOĞAN</v>
      </c>
      <c r="Z2716" t="str">
        <f>VLOOKUP(C2716,'[1]DBS_KPY Sorumlular'!A:C,3,FALSE)</f>
        <v>Kadir TOPÇU</v>
      </c>
      <c r="AA2716" t="str">
        <f>VLOOKUP(K2716,[1]!Tablo3[#Data],2,FALSE)</f>
        <v>Erkan AKDOĞAN</v>
      </c>
    </row>
    <row r="2717" spans="1:27" x14ac:dyDescent="0.25">
      <c r="A2717">
        <v>4027</v>
      </c>
      <c r="B2717" t="s">
        <v>27</v>
      </c>
      <c r="C2717" t="s">
        <v>304</v>
      </c>
      <c r="D2717" t="s">
        <v>305</v>
      </c>
      <c r="G2717" t="s">
        <v>96</v>
      </c>
      <c r="H2717" t="s">
        <v>8079</v>
      </c>
      <c r="I2717" s="4">
        <v>44347.875</v>
      </c>
      <c r="J2717" t="s">
        <v>8308</v>
      </c>
      <c r="K2717" t="s">
        <v>1157</v>
      </c>
      <c r="L2717" s="5"/>
      <c r="M2717" s="5"/>
      <c r="N2717" t="s">
        <v>82</v>
      </c>
      <c r="O2717" t="s">
        <v>8309</v>
      </c>
      <c r="R2717">
        <v>1</v>
      </c>
      <c r="T2717" s="5" t="s">
        <v>38</v>
      </c>
      <c r="Y2717" t="str">
        <f>VLOOKUP(C2717,'[1]DBS_KPY Sorumlular'!A:C,2,FALSE)</f>
        <v>Erkan AKDOĞAN</v>
      </c>
      <c r="Z2717" t="str">
        <f>VLOOKUP(C2717,'[1]DBS_KPY Sorumlular'!A:C,3,FALSE)</f>
        <v>Kadir TOPÇU</v>
      </c>
      <c r="AA2717" t="str">
        <f>VLOOKUP(K2717,[1]!Tablo3[#Data],2,FALSE)</f>
        <v>Tayfun VİÇE</v>
      </c>
    </row>
    <row r="2718" spans="1:27" x14ac:dyDescent="0.25">
      <c r="A2718">
        <v>4028</v>
      </c>
      <c r="B2718" t="s">
        <v>27</v>
      </c>
      <c r="C2718" t="s">
        <v>304</v>
      </c>
      <c r="D2718" t="s">
        <v>305</v>
      </c>
      <c r="G2718" t="s">
        <v>96</v>
      </c>
      <c r="H2718" t="s">
        <v>8310</v>
      </c>
      <c r="I2718" s="4">
        <v>44347.875</v>
      </c>
      <c r="J2718" t="s">
        <v>8311</v>
      </c>
      <c r="K2718" t="s">
        <v>1157</v>
      </c>
      <c r="L2718" s="5"/>
      <c r="M2718" s="5"/>
      <c r="N2718" t="s">
        <v>82</v>
      </c>
      <c r="O2718" t="s">
        <v>8312</v>
      </c>
      <c r="R2718">
        <v>1</v>
      </c>
      <c r="T2718" s="5" t="s">
        <v>38</v>
      </c>
      <c r="Y2718" t="str">
        <f>VLOOKUP(C2718,'[1]DBS_KPY Sorumlular'!A:C,2,FALSE)</f>
        <v>Erkan AKDOĞAN</v>
      </c>
      <c r="Z2718" t="str">
        <f>VLOOKUP(C2718,'[1]DBS_KPY Sorumlular'!A:C,3,FALSE)</f>
        <v>Kadir TOPÇU</v>
      </c>
      <c r="AA2718" t="str">
        <f>VLOOKUP(K2718,[1]!Tablo3[#Data],2,FALSE)</f>
        <v>Tayfun VİÇE</v>
      </c>
    </row>
    <row r="2719" spans="1:27" x14ac:dyDescent="0.25">
      <c r="A2719">
        <v>4029</v>
      </c>
      <c r="B2719" t="s">
        <v>27</v>
      </c>
      <c r="C2719" t="s">
        <v>304</v>
      </c>
      <c r="D2719" t="s">
        <v>305</v>
      </c>
      <c r="G2719" t="s">
        <v>96</v>
      </c>
      <c r="H2719" t="s">
        <v>8313</v>
      </c>
      <c r="I2719" s="4">
        <v>44347.875</v>
      </c>
      <c r="J2719" t="s">
        <v>8314</v>
      </c>
      <c r="K2719" t="s">
        <v>1157</v>
      </c>
      <c r="L2719" s="5"/>
      <c r="M2719" s="5"/>
      <c r="N2719" t="s">
        <v>82</v>
      </c>
      <c r="O2719" t="s">
        <v>8315</v>
      </c>
      <c r="R2719">
        <v>1</v>
      </c>
      <c r="T2719" s="5" t="s">
        <v>38</v>
      </c>
      <c r="Y2719" t="str">
        <f>VLOOKUP(C2719,'[1]DBS_KPY Sorumlular'!A:C,2,FALSE)</f>
        <v>Erkan AKDOĞAN</v>
      </c>
      <c r="Z2719" t="str">
        <f>VLOOKUP(C2719,'[1]DBS_KPY Sorumlular'!A:C,3,FALSE)</f>
        <v>Kadir TOPÇU</v>
      </c>
      <c r="AA2719" t="str">
        <f>VLOOKUP(K2719,[1]!Tablo3[#Data],2,FALSE)</f>
        <v>Tayfun VİÇE</v>
      </c>
    </row>
    <row r="2720" spans="1:27" x14ac:dyDescent="0.25">
      <c r="A2720">
        <v>4030</v>
      </c>
      <c r="B2720" t="s">
        <v>27</v>
      </c>
      <c r="C2720" t="s">
        <v>304</v>
      </c>
      <c r="D2720" t="s">
        <v>305</v>
      </c>
      <c r="G2720" t="s">
        <v>96</v>
      </c>
      <c r="H2720" t="s">
        <v>8136</v>
      </c>
      <c r="I2720" s="4">
        <v>44712.875</v>
      </c>
      <c r="J2720" t="s">
        <v>8316</v>
      </c>
      <c r="K2720" t="s">
        <v>1157</v>
      </c>
      <c r="L2720" s="5"/>
      <c r="M2720" s="5"/>
      <c r="N2720" t="s">
        <v>82</v>
      </c>
      <c r="O2720" t="s">
        <v>8317</v>
      </c>
      <c r="R2720">
        <v>1</v>
      </c>
      <c r="T2720" s="5" t="s">
        <v>38</v>
      </c>
      <c r="Y2720" t="str">
        <f>VLOOKUP(C2720,'[1]DBS_KPY Sorumlular'!A:C,2,FALSE)</f>
        <v>Erkan AKDOĞAN</v>
      </c>
      <c r="Z2720" t="str">
        <f>VLOOKUP(C2720,'[1]DBS_KPY Sorumlular'!A:C,3,FALSE)</f>
        <v>Kadir TOPÇU</v>
      </c>
      <c r="AA2720" t="str">
        <f>VLOOKUP(K2720,[1]!Tablo3[#Data],2,FALSE)</f>
        <v>Tayfun VİÇE</v>
      </c>
    </row>
    <row r="2721" spans="1:27" x14ac:dyDescent="0.25">
      <c r="A2721">
        <v>4031</v>
      </c>
      <c r="B2721" t="s">
        <v>27</v>
      </c>
      <c r="C2721" t="s">
        <v>304</v>
      </c>
      <c r="D2721" t="s">
        <v>305</v>
      </c>
      <c r="G2721" t="s">
        <v>96</v>
      </c>
      <c r="H2721" t="s">
        <v>8318</v>
      </c>
      <c r="I2721" s="4">
        <v>45077.875</v>
      </c>
      <c r="J2721" t="s">
        <v>8319</v>
      </c>
      <c r="K2721" t="s">
        <v>1221</v>
      </c>
      <c r="L2721" s="5"/>
      <c r="M2721" s="5"/>
      <c r="N2721" t="s">
        <v>82</v>
      </c>
      <c r="O2721" t="s">
        <v>8320</v>
      </c>
      <c r="R2721">
        <v>1</v>
      </c>
      <c r="T2721" s="5" t="s">
        <v>38</v>
      </c>
      <c r="Y2721" t="str">
        <f>VLOOKUP(C2721,'[1]DBS_KPY Sorumlular'!A:C,2,FALSE)</f>
        <v>Erkan AKDOĞAN</v>
      </c>
      <c r="Z2721" t="str">
        <f>VLOOKUP(C2721,'[1]DBS_KPY Sorumlular'!A:C,3,FALSE)</f>
        <v>Kadir TOPÇU</v>
      </c>
      <c r="AA2721" t="str">
        <f>VLOOKUP(K2721,[1]!Tablo3[#Data],2,FALSE)</f>
        <v>Tayfun VİÇE</v>
      </c>
    </row>
    <row r="2722" spans="1:27" x14ac:dyDescent="0.25">
      <c r="A2722">
        <v>4032</v>
      </c>
      <c r="B2722" t="s">
        <v>27</v>
      </c>
      <c r="C2722" t="s">
        <v>304</v>
      </c>
      <c r="D2722" t="s">
        <v>305</v>
      </c>
      <c r="G2722" t="s">
        <v>96</v>
      </c>
      <c r="H2722" t="s">
        <v>8321</v>
      </c>
      <c r="I2722" s="4">
        <v>43982.875</v>
      </c>
      <c r="J2722" t="s">
        <v>8115</v>
      </c>
      <c r="K2722" t="s">
        <v>926</v>
      </c>
      <c r="L2722" s="5"/>
      <c r="M2722" s="5"/>
      <c r="N2722" t="s">
        <v>82</v>
      </c>
      <c r="O2722" t="s">
        <v>8322</v>
      </c>
      <c r="R2722">
        <v>1</v>
      </c>
      <c r="T2722" s="5" t="s">
        <v>38</v>
      </c>
      <c r="Y2722" t="str">
        <f>VLOOKUP(C2722,'[1]DBS_KPY Sorumlular'!A:C,2,FALSE)</f>
        <v>Erkan AKDOĞAN</v>
      </c>
      <c r="Z2722" t="str">
        <f>VLOOKUP(C2722,'[1]DBS_KPY Sorumlular'!A:C,3,FALSE)</f>
        <v>Kadir TOPÇU</v>
      </c>
      <c r="AA2722" t="str">
        <f>VLOOKUP(K2722,[1]!Tablo3[#Data],2,FALSE)</f>
        <v>Kadir TOPÇU</v>
      </c>
    </row>
    <row r="2723" spans="1:27" x14ac:dyDescent="0.25">
      <c r="A2723">
        <v>4033</v>
      </c>
      <c r="B2723" t="s">
        <v>27</v>
      </c>
      <c r="C2723" t="s">
        <v>304</v>
      </c>
      <c r="D2723" t="s">
        <v>305</v>
      </c>
      <c r="G2723" t="s">
        <v>96</v>
      </c>
      <c r="H2723" t="s">
        <v>8323</v>
      </c>
      <c r="I2723" s="4">
        <v>44347.875</v>
      </c>
      <c r="J2723" t="s">
        <v>8115</v>
      </c>
      <c r="K2723" t="s">
        <v>926</v>
      </c>
      <c r="L2723" s="5"/>
      <c r="M2723" s="5"/>
      <c r="N2723" t="s">
        <v>82</v>
      </c>
      <c r="O2723" t="s">
        <v>8324</v>
      </c>
      <c r="R2723">
        <v>1</v>
      </c>
      <c r="T2723" s="5" t="s">
        <v>38</v>
      </c>
      <c r="Y2723" t="str">
        <f>VLOOKUP(C2723,'[1]DBS_KPY Sorumlular'!A:C,2,FALSE)</f>
        <v>Erkan AKDOĞAN</v>
      </c>
      <c r="Z2723" t="str">
        <f>VLOOKUP(C2723,'[1]DBS_KPY Sorumlular'!A:C,3,FALSE)</f>
        <v>Kadir TOPÇU</v>
      </c>
      <c r="AA2723" t="str">
        <f>VLOOKUP(K2723,[1]!Tablo3[#Data],2,FALSE)</f>
        <v>Kadir TOPÇU</v>
      </c>
    </row>
    <row r="2724" spans="1:27" x14ac:dyDescent="0.25">
      <c r="A2724">
        <v>4034</v>
      </c>
      <c r="B2724" t="s">
        <v>27</v>
      </c>
      <c r="C2724" t="s">
        <v>304</v>
      </c>
      <c r="D2724" t="s">
        <v>305</v>
      </c>
      <c r="G2724" t="s">
        <v>96</v>
      </c>
      <c r="H2724" t="s">
        <v>8325</v>
      </c>
      <c r="I2724" s="4">
        <v>44347.875</v>
      </c>
      <c r="J2724" t="s">
        <v>8080</v>
      </c>
      <c r="K2724" t="s">
        <v>926</v>
      </c>
      <c r="L2724" s="5"/>
      <c r="M2724" s="5"/>
      <c r="N2724" t="s">
        <v>82</v>
      </c>
      <c r="O2724" t="s">
        <v>8326</v>
      </c>
      <c r="R2724">
        <v>1</v>
      </c>
      <c r="T2724" s="5" t="s">
        <v>38</v>
      </c>
      <c r="Y2724" t="str">
        <f>VLOOKUP(C2724,'[1]DBS_KPY Sorumlular'!A:C,2,FALSE)</f>
        <v>Erkan AKDOĞAN</v>
      </c>
      <c r="Z2724" t="str">
        <f>VLOOKUP(C2724,'[1]DBS_KPY Sorumlular'!A:C,3,FALSE)</f>
        <v>Kadir TOPÇU</v>
      </c>
      <c r="AA2724" t="str">
        <f>VLOOKUP(K2724,[1]!Tablo3[#Data],2,FALSE)</f>
        <v>Kadir TOPÇU</v>
      </c>
    </row>
    <row r="2725" spans="1:27" x14ac:dyDescent="0.25">
      <c r="A2725">
        <v>4035</v>
      </c>
      <c r="B2725" t="s">
        <v>27</v>
      </c>
      <c r="C2725" t="s">
        <v>304</v>
      </c>
      <c r="D2725" t="s">
        <v>305</v>
      </c>
      <c r="G2725" t="s">
        <v>96</v>
      </c>
      <c r="H2725" t="s">
        <v>8327</v>
      </c>
      <c r="I2725" s="4">
        <v>45077.875</v>
      </c>
      <c r="J2725" t="s">
        <v>8080</v>
      </c>
      <c r="K2725" t="s">
        <v>926</v>
      </c>
      <c r="L2725" s="5"/>
      <c r="M2725" s="5"/>
      <c r="N2725" t="s">
        <v>82</v>
      </c>
      <c r="O2725" t="s">
        <v>8328</v>
      </c>
      <c r="R2725">
        <v>1</v>
      </c>
      <c r="T2725" s="5" t="s">
        <v>38</v>
      </c>
      <c r="Y2725" t="str">
        <f>VLOOKUP(C2725,'[1]DBS_KPY Sorumlular'!A:C,2,FALSE)</f>
        <v>Erkan AKDOĞAN</v>
      </c>
      <c r="Z2725" t="str">
        <f>VLOOKUP(C2725,'[1]DBS_KPY Sorumlular'!A:C,3,FALSE)</f>
        <v>Kadir TOPÇU</v>
      </c>
      <c r="AA2725" t="str">
        <f>VLOOKUP(K2725,[1]!Tablo3[#Data],2,FALSE)</f>
        <v>Kadir TOPÇU</v>
      </c>
    </row>
    <row r="2726" spans="1:27" x14ac:dyDescent="0.25">
      <c r="A2726">
        <v>4036</v>
      </c>
      <c r="B2726" t="s">
        <v>27</v>
      </c>
      <c r="C2726" t="s">
        <v>304</v>
      </c>
      <c r="D2726" t="s">
        <v>305</v>
      </c>
      <c r="G2726" t="s">
        <v>96</v>
      </c>
      <c r="H2726" t="s">
        <v>8329</v>
      </c>
      <c r="I2726" s="4">
        <v>44712.875</v>
      </c>
      <c r="J2726" t="s">
        <v>8115</v>
      </c>
      <c r="K2726" t="s">
        <v>1334</v>
      </c>
      <c r="L2726" s="5"/>
      <c r="M2726" s="5"/>
      <c r="N2726" t="s">
        <v>82</v>
      </c>
      <c r="O2726" t="s">
        <v>8330</v>
      </c>
      <c r="R2726">
        <v>1</v>
      </c>
      <c r="T2726" s="5" t="s">
        <v>38</v>
      </c>
      <c r="Y2726" t="str">
        <f>VLOOKUP(C2726,'[1]DBS_KPY Sorumlular'!A:C,2,FALSE)</f>
        <v>Erkan AKDOĞAN</v>
      </c>
      <c r="Z2726" t="str">
        <f>VLOOKUP(C2726,'[1]DBS_KPY Sorumlular'!A:C,3,FALSE)</f>
        <v>Kadir TOPÇU</v>
      </c>
      <c r="AA2726" t="str">
        <f>VLOOKUP(K2726,[1]!Tablo3[#Data],2,FALSE)</f>
        <v>Erkan AKDOĞAN</v>
      </c>
    </row>
    <row r="2727" spans="1:27" x14ac:dyDescent="0.25">
      <c r="A2727">
        <v>4037</v>
      </c>
      <c r="B2727" t="s">
        <v>27</v>
      </c>
      <c r="C2727" t="s">
        <v>304</v>
      </c>
      <c r="D2727" t="s">
        <v>305</v>
      </c>
      <c r="G2727" t="s">
        <v>96</v>
      </c>
      <c r="H2727" t="s">
        <v>8331</v>
      </c>
      <c r="I2727" s="4">
        <v>44712.875</v>
      </c>
      <c r="J2727" t="s">
        <v>8115</v>
      </c>
      <c r="K2727" t="s">
        <v>1334</v>
      </c>
      <c r="L2727" s="5"/>
      <c r="M2727" s="5"/>
      <c r="N2727" t="s">
        <v>82</v>
      </c>
      <c r="O2727" t="s">
        <v>8332</v>
      </c>
      <c r="R2727">
        <v>1</v>
      </c>
      <c r="T2727" s="5" t="s">
        <v>38</v>
      </c>
      <c r="Y2727" t="str">
        <f>VLOOKUP(C2727,'[1]DBS_KPY Sorumlular'!A:C,2,FALSE)</f>
        <v>Erkan AKDOĞAN</v>
      </c>
      <c r="Z2727" t="str">
        <f>VLOOKUP(C2727,'[1]DBS_KPY Sorumlular'!A:C,3,FALSE)</f>
        <v>Kadir TOPÇU</v>
      </c>
      <c r="AA2727" t="str">
        <f>VLOOKUP(K2727,[1]!Tablo3[#Data],2,FALSE)</f>
        <v>Erkan AKDOĞAN</v>
      </c>
    </row>
    <row r="2728" spans="1:27" x14ac:dyDescent="0.25">
      <c r="A2728">
        <v>4038</v>
      </c>
      <c r="B2728" t="s">
        <v>27</v>
      </c>
      <c r="C2728" t="s">
        <v>304</v>
      </c>
      <c r="D2728" t="s">
        <v>305</v>
      </c>
      <c r="G2728" t="s">
        <v>96</v>
      </c>
      <c r="H2728" t="s">
        <v>8333</v>
      </c>
      <c r="I2728" s="4">
        <v>44712.875</v>
      </c>
      <c r="J2728" t="s">
        <v>8334</v>
      </c>
      <c r="K2728" t="s">
        <v>1334</v>
      </c>
      <c r="L2728" s="5"/>
      <c r="M2728" s="5"/>
      <c r="N2728" t="s">
        <v>82</v>
      </c>
      <c r="O2728" t="s">
        <v>8332</v>
      </c>
      <c r="R2728">
        <v>1</v>
      </c>
      <c r="T2728" s="5" t="s">
        <v>38</v>
      </c>
      <c r="Y2728" t="str">
        <f>VLOOKUP(C2728,'[1]DBS_KPY Sorumlular'!A:C,2,FALSE)</f>
        <v>Erkan AKDOĞAN</v>
      </c>
      <c r="Z2728" t="str">
        <f>VLOOKUP(C2728,'[1]DBS_KPY Sorumlular'!A:C,3,FALSE)</f>
        <v>Kadir TOPÇU</v>
      </c>
      <c r="AA2728" t="str">
        <f>VLOOKUP(K2728,[1]!Tablo3[#Data],2,FALSE)</f>
        <v>Erkan AKDOĞAN</v>
      </c>
    </row>
    <row r="2729" spans="1:27" x14ac:dyDescent="0.25">
      <c r="A2729">
        <v>4039</v>
      </c>
      <c r="B2729" t="s">
        <v>27</v>
      </c>
      <c r="C2729" t="s">
        <v>304</v>
      </c>
      <c r="D2729" t="s">
        <v>305</v>
      </c>
      <c r="G2729" t="s">
        <v>96</v>
      </c>
      <c r="H2729" t="s">
        <v>8335</v>
      </c>
      <c r="I2729" s="4">
        <v>45077.875</v>
      </c>
      <c r="J2729" t="s">
        <v>8336</v>
      </c>
      <c r="K2729" t="s">
        <v>1334</v>
      </c>
      <c r="L2729" s="5"/>
      <c r="M2729" s="5"/>
      <c r="N2729" t="s">
        <v>82</v>
      </c>
      <c r="O2729" t="s">
        <v>8337</v>
      </c>
      <c r="R2729">
        <v>1</v>
      </c>
      <c r="T2729" s="5" t="s">
        <v>38</v>
      </c>
      <c r="Y2729" t="str">
        <f>VLOOKUP(C2729,'[1]DBS_KPY Sorumlular'!A:C,2,FALSE)</f>
        <v>Erkan AKDOĞAN</v>
      </c>
      <c r="Z2729" t="str">
        <f>VLOOKUP(C2729,'[1]DBS_KPY Sorumlular'!A:C,3,FALSE)</f>
        <v>Kadir TOPÇU</v>
      </c>
      <c r="AA2729" t="str">
        <f>VLOOKUP(K2729,[1]!Tablo3[#Data],2,FALSE)</f>
        <v>Erkan AKDOĞAN</v>
      </c>
    </row>
    <row r="2730" spans="1:27" x14ac:dyDescent="0.25">
      <c r="A2730">
        <v>4040</v>
      </c>
      <c r="B2730" t="s">
        <v>27</v>
      </c>
      <c r="C2730" t="s">
        <v>304</v>
      </c>
      <c r="D2730" t="s">
        <v>305</v>
      </c>
      <c r="G2730" t="s">
        <v>96</v>
      </c>
      <c r="H2730" t="s">
        <v>8338</v>
      </c>
      <c r="I2730" s="4">
        <v>45077.875</v>
      </c>
      <c r="J2730" t="s">
        <v>8339</v>
      </c>
      <c r="K2730" t="s">
        <v>1334</v>
      </c>
      <c r="L2730" s="5"/>
      <c r="M2730" s="5"/>
      <c r="N2730" t="s">
        <v>82</v>
      </c>
      <c r="O2730" t="s">
        <v>8332</v>
      </c>
      <c r="R2730">
        <v>1</v>
      </c>
      <c r="T2730" s="5" t="s">
        <v>38</v>
      </c>
      <c r="Y2730" t="str">
        <f>VLOOKUP(C2730,'[1]DBS_KPY Sorumlular'!A:C,2,FALSE)</f>
        <v>Erkan AKDOĞAN</v>
      </c>
      <c r="Z2730" t="str">
        <f>VLOOKUP(C2730,'[1]DBS_KPY Sorumlular'!A:C,3,FALSE)</f>
        <v>Kadir TOPÇU</v>
      </c>
      <c r="AA2730" t="str">
        <f>VLOOKUP(K2730,[1]!Tablo3[#Data],2,FALSE)</f>
        <v>Erkan AKDOĞAN</v>
      </c>
    </row>
    <row r="2731" spans="1:27" x14ac:dyDescent="0.25">
      <c r="A2731">
        <v>4041</v>
      </c>
      <c r="B2731" t="s">
        <v>27</v>
      </c>
      <c r="C2731" t="s">
        <v>304</v>
      </c>
      <c r="D2731" t="s">
        <v>305</v>
      </c>
      <c r="G2731" t="s">
        <v>96</v>
      </c>
      <c r="H2731" t="s">
        <v>8340</v>
      </c>
      <c r="I2731" s="4">
        <v>45077.875</v>
      </c>
      <c r="J2731" t="s">
        <v>8115</v>
      </c>
      <c r="K2731" t="s">
        <v>1334</v>
      </c>
      <c r="L2731" s="5"/>
      <c r="M2731" s="5"/>
      <c r="N2731" t="s">
        <v>82</v>
      </c>
      <c r="O2731" t="s">
        <v>8341</v>
      </c>
      <c r="R2731">
        <v>1</v>
      </c>
      <c r="T2731" s="5" t="s">
        <v>38</v>
      </c>
      <c r="Y2731" t="str">
        <f>VLOOKUP(C2731,'[1]DBS_KPY Sorumlular'!A:C,2,FALSE)</f>
        <v>Erkan AKDOĞAN</v>
      </c>
      <c r="Z2731" t="str">
        <f>VLOOKUP(C2731,'[1]DBS_KPY Sorumlular'!A:C,3,FALSE)</f>
        <v>Kadir TOPÇU</v>
      </c>
      <c r="AA2731" t="str">
        <f>VLOOKUP(K2731,[1]!Tablo3[#Data],2,FALSE)</f>
        <v>Erkan AKDOĞAN</v>
      </c>
    </row>
    <row r="2732" spans="1:27" x14ac:dyDescent="0.25">
      <c r="A2732">
        <v>4042</v>
      </c>
      <c r="B2732" t="s">
        <v>27</v>
      </c>
      <c r="C2732" t="s">
        <v>304</v>
      </c>
      <c r="D2732" t="s">
        <v>305</v>
      </c>
      <c r="G2732" t="s">
        <v>96</v>
      </c>
      <c r="H2732" t="s">
        <v>8342</v>
      </c>
      <c r="I2732" s="4">
        <v>45077.875</v>
      </c>
      <c r="J2732" t="s">
        <v>8343</v>
      </c>
      <c r="K2732" t="s">
        <v>1334</v>
      </c>
      <c r="L2732" s="5"/>
      <c r="M2732" s="5"/>
      <c r="N2732" t="s">
        <v>82</v>
      </c>
      <c r="O2732" t="s">
        <v>8344</v>
      </c>
      <c r="R2732">
        <v>1</v>
      </c>
      <c r="T2732" s="5" t="s">
        <v>38</v>
      </c>
      <c r="Y2732" t="str">
        <f>VLOOKUP(C2732,'[1]DBS_KPY Sorumlular'!A:C,2,FALSE)</f>
        <v>Erkan AKDOĞAN</v>
      </c>
      <c r="Z2732" t="str">
        <f>VLOOKUP(C2732,'[1]DBS_KPY Sorumlular'!A:C,3,FALSE)</f>
        <v>Kadir TOPÇU</v>
      </c>
      <c r="AA2732" t="str">
        <f>VLOOKUP(K2732,[1]!Tablo3[#Data],2,FALSE)</f>
        <v>Erkan AKDOĞAN</v>
      </c>
    </row>
    <row r="2733" spans="1:27" x14ac:dyDescent="0.25">
      <c r="A2733">
        <v>4043</v>
      </c>
      <c r="B2733" t="s">
        <v>27</v>
      </c>
      <c r="C2733" t="s">
        <v>304</v>
      </c>
      <c r="D2733" t="s">
        <v>305</v>
      </c>
      <c r="G2733" t="s">
        <v>96</v>
      </c>
      <c r="H2733" t="s">
        <v>8345</v>
      </c>
      <c r="I2733" s="4">
        <v>45077.875</v>
      </c>
      <c r="J2733" t="s">
        <v>8346</v>
      </c>
      <c r="K2733" t="s">
        <v>1334</v>
      </c>
      <c r="L2733" s="5"/>
      <c r="M2733" s="5"/>
      <c r="N2733" t="s">
        <v>82</v>
      </c>
      <c r="O2733" t="s">
        <v>8347</v>
      </c>
      <c r="R2733">
        <v>1</v>
      </c>
      <c r="T2733" s="5" t="s">
        <v>38</v>
      </c>
      <c r="Y2733" t="str">
        <f>VLOOKUP(C2733,'[1]DBS_KPY Sorumlular'!A:C,2,FALSE)</f>
        <v>Erkan AKDOĞAN</v>
      </c>
      <c r="Z2733" t="str">
        <f>VLOOKUP(C2733,'[1]DBS_KPY Sorumlular'!A:C,3,FALSE)</f>
        <v>Kadir TOPÇU</v>
      </c>
      <c r="AA2733" t="str">
        <f>VLOOKUP(K2733,[1]!Tablo3[#Data],2,FALSE)</f>
        <v>Erkan AKDOĞAN</v>
      </c>
    </row>
    <row r="2734" spans="1:27" x14ac:dyDescent="0.25">
      <c r="A2734">
        <v>4044</v>
      </c>
      <c r="B2734" t="s">
        <v>27</v>
      </c>
      <c r="C2734" t="s">
        <v>304</v>
      </c>
      <c r="D2734" t="s">
        <v>305</v>
      </c>
      <c r="G2734" t="s">
        <v>96</v>
      </c>
      <c r="H2734" t="s">
        <v>8348</v>
      </c>
      <c r="I2734" s="4">
        <v>44712.875</v>
      </c>
      <c r="J2734" t="s">
        <v>8115</v>
      </c>
      <c r="K2734" t="s">
        <v>1360</v>
      </c>
      <c r="L2734" s="5"/>
      <c r="M2734" s="5"/>
      <c r="N2734" t="s">
        <v>82</v>
      </c>
      <c r="O2734" t="s">
        <v>8349</v>
      </c>
      <c r="R2734">
        <v>1</v>
      </c>
      <c r="T2734" s="5" t="s">
        <v>38</v>
      </c>
      <c r="Y2734" t="str">
        <f>VLOOKUP(C2734,'[1]DBS_KPY Sorumlular'!A:C,2,FALSE)</f>
        <v>Erkan AKDOĞAN</v>
      </c>
      <c r="Z2734" t="str">
        <f>VLOOKUP(C2734,'[1]DBS_KPY Sorumlular'!A:C,3,FALSE)</f>
        <v>Kadir TOPÇU</v>
      </c>
      <c r="AA2734" t="str">
        <f>VLOOKUP(K2734,[1]!Tablo3[#Data],2,FALSE)</f>
        <v>Kadir TOPÇU</v>
      </c>
    </row>
    <row r="2735" spans="1:27" x14ac:dyDescent="0.25">
      <c r="A2735">
        <v>4045</v>
      </c>
      <c r="B2735" t="s">
        <v>27</v>
      </c>
      <c r="C2735" t="s">
        <v>304</v>
      </c>
      <c r="D2735" t="s">
        <v>305</v>
      </c>
      <c r="G2735" t="s">
        <v>96</v>
      </c>
      <c r="H2735" t="s">
        <v>8350</v>
      </c>
      <c r="I2735" s="4">
        <v>45077.875</v>
      </c>
      <c r="J2735" t="s">
        <v>8351</v>
      </c>
      <c r="K2735" t="s">
        <v>1360</v>
      </c>
      <c r="L2735" s="5"/>
      <c r="M2735" s="5"/>
      <c r="N2735" t="s">
        <v>82</v>
      </c>
      <c r="O2735" t="s">
        <v>8352</v>
      </c>
      <c r="R2735">
        <v>1</v>
      </c>
      <c r="T2735" s="5" t="s">
        <v>38</v>
      </c>
      <c r="Y2735" t="str">
        <f>VLOOKUP(C2735,'[1]DBS_KPY Sorumlular'!A:C,2,FALSE)</f>
        <v>Erkan AKDOĞAN</v>
      </c>
      <c r="Z2735" t="str">
        <f>VLOOKUP(C2735,'[1]DBS_KPY Sorumlular'!A:C,3,FALSE)</f>
        <v>Kadir TOPÇU</v>
      </c>
      <c r="AA2735" t="str">
        <f>VLOOKUP(K2735,[1]!Tablo3[#Data],2,FALSE)</f>
        <v>Kadir TOPÇU</v>
      </c>
    </row>
    <row r="2736" spans="1:27" x14ac:dyDescent="0.25">
      <c r="A2736">
        <v>4046</v>
      </c>
      <c r="B2736" t="s">
        <v>27</v>
      </c>
      <c r="C2736" t="s">
        <v>304</v>
      </c>
      <c r="D2736" t="s">
        <v>305</v>
      </c>
      <c r="G2736" t="s">
        <v>96</v>
      </c>
      <c r="H2736" t="s">
        <v>8353</v>
      </c>
      <c r="I2736" s="4">
        <v>45077.875</v>
      </c>
      <c r="J2736" t="s">
        <v>8334</v>
      </c>
      <c r="K2736" t="s">
        <v>1360</v>
      </c>
      <c r="L2736" s="5"/>
      <c r="M2736" s="5"/>
      <c r="N2736" t="s">
        <v>82</v>
      </c>
      <c r="O2736" t="s">
        <v>8354</v>
      </c>
      <c r="R2736">
        <v>1</v>
      </c>
      <c r="T2736" s="5" t="s">
        <v>38</v>
      </c>
      <c r="Y2736" t="str">
        <f>VLOOKUP(C2736,'[1]DBS_KPY Sorumlular'!A:C,2,FALSE)</f>
        <v>Erkan AKDOĞAN</v>
      </c>
      <c r="Z2736" t="str">
        <f>VLOOKUP(C2736,'[1]DBS_KPY Sorumlular'!A:C,3,FALSE)</f>
        <v>Kadir TOPÇU</v>
      </c>
      <c r="AA2736" t="str">
        <f>VLOOKUP(K2736,[1]!Tablo3[#Data],2,FALSE)</f>
        <v>Kadir TOPÇU</v>
      </c>
    </row>
    <row r="2737" spans="1:27" x14ac:dyDescent="0.25">
      <c r="A2737">
        <v>4047</v>
      </c>
      <c r="B2737" t="s">
        <v>27</v>
      </c>
      <c r="C2737" t="s">
        <v>304</v>
      </c>
      <c r="D2737" t="s">
        <v>305</v>
      </c>
      <c r="G2737" t="s">
        <v>96</v>
      </c>
      <c r="H2737" t="s">
        <v>8355</v>
      </c>
      <c r="I2737" s="4">
        <v>43982.875</v>
      </c>
      <c r="J2737" t="s">
        <v>8356</v>
      </c>
      <c r="K2737" t="s">
        <v>1398</v>
      </c>
      <c r="L2737" s="5"/>
      <c r="M2737" s="5"/>
      <c r="N2737" t="s">
        <v>82</v>
      </c>
      <c r="O2737" t="s">
        <v>8357</v>
      </c>
      <c r="R2737">
        <v>1</v>
      </c>
      <c r="T2737" s="5" t="s">
        <v>38</v>
      </c>
      <c r="Y2737" t="str">
        <f>VLOOKUP(C2737,'[1]DBS_KPY Sorumlular'!A:C,2,FALSE)</f>
        <v>Erkan AKDOĞAN</v>
      </c>
      <c r="Z2737" t="str">
        <f>VLOOKUP(C2737,'[1]DBS_KPY Sorumlular'!A:C,3,FALSE)</f>
        <v>Kadir TOPÇU</v>
      </c>
      <c r="AA2737" t="str">
        <f>VLOOKUP(K2737,[1]!Tablo3[#Data],2,FALSE)</f>
        <v>Tayfun VİÇE</v>
      </c>
    </row>
    <row r="2738" spans="1:27" x14ac:dyDescent="0.25">
      <c r="A2738">
        <v>4048</v>
      </c>
      <c r="B2738" t="s">
        <v>27</v>
      </c>
      <c r="C2738" t="s">
        <v>304</v>
      </c>
      <c r="D2738" t="s">
        <v>305</v>
      </c>
      <c r="G2738" t="s">
        <v>96</v>
      </c>
      <c r="H2738" t="s">
        <v>8358</v>
      </c>
      <c r="I2738" s="4">
        <v>44347.875</v>
      </c>
      <c r="J2738" t="s">
        <v>8359</v>
      </c>
      <c r="K2738" t="s">
        <v>1398</v>
      </c>
      <c r="L2738" s="5"/>
      <c r="M2738" s="5"/>
      <c r="N2738" t="s">
        <v>82</v>
      </c>
      <c r="O2738" t="s">
        <v>8357</v>
      </c>
      <c r="R2738">
        <v>1</v>
      </c>
      <c r="T2738" s="5" t="s">
        <v>38</v>
      </c>
      <c r="Y2738" t="str">
        <f>VLOOKUP(C2738,'[1]DBS_KPY Sorumlular'!A:C,2,FALSE)</f>
        <v>Erkan AKDOĞAN</v>
      </c>
      <c r="Z2738" t="str">
        <f>VLOOKUP(C2738,'[1]DBS_KPY Sorumlular'!A:C,3,FALSE)</f>
        <v>Kadir TOPÇU</v>
      </c>
      <c r="AA2738" t="str">
        <f>VLOOKUP(K2738,[1]!Tablo3[#Data],2,FALSE)</f>
        <v>Tayfun VİÇE</v>
      </c>
    </row>
    <row r="2739" spans="1:27" x14ac:dyDescent="0.25">
      <c r="A2739">
        <v>4049</v>
      </c>
      <c r="B2739" t="s">
        <v>27</v>
      </c>
      <c r="C2739" t="s">
        <v>304</v>
      </c>
      <c r="D2739" t="s">
        <v>305</v>
      </c>
      <c r="G2739" t="s">
        <v>96</v>
      </c>
      <c r="H2739" t="s">
        <v>8360</v>
      </c>
      <c r="I2739" s="4">
        <v>44347.875</v>
      </c>
      <c r="J2739" t="s">
        <v>8361</v>
      </c>
      <c r="K2739" t="s">
        <v>423</v>
      </c>
      <c r="L2739" s="5"/>
      <c r="M2739" s="5"/>
      <c r="N2739" t="s">
        <v>82</v>
      </c>
      <c r="O2739" t="s">
        <v>8362</v>
      </c>
      <c r="R2739">
        <v>1</v>
      </c>
      <c r="T2739" s="5" t="s">
        <v>38</v>
      </c>
      <c r="Y2739" t="str">
        <f>VLOOKUP(C2739,'[1]DBS_KPY Sorumlular'!A:C,2,FALSE)</f>
        <v>Erkan AKDOĞAN</v>
      </c>
      <c r="Z2739" t="str">
        <f>VLOOKUP(C2739,'[1]DBS_KPY Sorumlular'!A:C,3,FALSE)</f>
        <v>Kadir TOPÇU</v>
      </c>
      <c r="AA2739" t="str">
        <f>VLOOKUP(K2739,[1]!Tablo3[#Data],2,FALSE)</f>
        <v>Kadir TOPÇU</v>
      </c>
    </row>
    <row r="2740" spans="1:27" x14ac:dyDescent="0.25">
      <c r="A2740">
        <v>4050</v>
      </c>
      <c r="B2740" t="s">
        <v>27</v>
      </c>
      <c r="C2740" t="s">
        <v>304</v>
      </c>
      <c r="D2740" t="s">
        <v>305</v>
      </c>
      <c r="G2740" t="s">
        <v>96</v>
      </c>
      <c r="H2740" t="s">
        <v>8363</v>
      </c>
      <c r="I2740" s="4">
        <v>45077.875</v>
      </c>
      <c r="J2740" t="s">
        <v>8364</v>
      </c>
      <c r="K2740" t="s">
        <v>423</v>
      </c>
      <c r="L2740" s="5"/>
      <c r="M2740" s="5"/>
      <c r="N2740" t="s">
        <v>82</v>
      </c>
      <c r="O2740" t="s">
        <v>8365</v>
      </c>
      <c r="R2740">
        <v>1</v>
      </c>
      <c r="T2740" s="5" t="s">
        <v>38</v>
      </c>
      <c r="Y2740" t="str">
        <f>VLOOKUP(C2740,'[1]DBS_KPY Sorumlular'!A:C,2,FALSE)</f>
        <v>Erkan AKDOĞAN</v>
      </c>
      <c r="Z2740" t="str">
        <f>VLOOKUP(C2740,'[1]DBS_KPY Sorumlular'!A:C,3,FALSE)</f>
        <v>Kadir TOPÇU</v>
      </c>
      <c r="AA2740" t="str">
        <f>VLOOKUP(K2740,[1]!Tablo3[#Data],2,FALSE)</f>
        <v>Kadir TOPÇU</v>
      </c>
    </row>
    <row r="2741" spans="1:27" x14ac:dyDescent="0.25">
      <c r="A2741">
        <v>4051</v>
      </c>
      <c r="B2741" t="s">
        <v>27</v>
      </c>
      <c r="C2741" t="s">
        <v>304</v>
      </c>
      <c r="D2741" t="s">
        <v>305</v>
      </c>
      <c r="G2741" t="s">
        <v>96</v>
      </c>
      <c r="H2741" t="s">
        <v>8366</v>
      </c>
      <c r="I2741" s="4">
        <v>45443.875</v>
      </c>
      <c r="J2741" t="s">
        <v>8367</v>
      </c>
      <c r="K2741" t="s">
        <v>423</v>
      </c>
      <c r="L2741" s="5"/>
      <c r="M2741" s="5"/>
      <c r="N2741" t="s">
        <v>82</v>
      </c>
      <c r="O2741" t="s">
        <v>8368</v>
      </c>
      <c r="R2741">
        <v>1</v>
      </c>
      <c r="T2741" s="5" t="s">
        <v>38</v>
      </c>
      <c r="Y2741" t="str">
        <f>VLOOKUP(C2741,'[1]DBS_KPY Sorumlular'!A:C,2,FALSE)</f>
        <v>Erkan AKDOĞAN</v>
      </c>
      <c r="Z2741" t="str">
        <f>VLOOKUP(C2741,'[1]DBS_KPY Sorumlular'!A:C,3,FALSE)</f>
        <v>Kadir TOPÇU</v>
      </c>
      <c r="AA2741" t="str">
        <f>VLOOKUP(K2741,[1]!Tablo3[#Data],2,FALSE)</f>
        <v>Kadir TOPÇU</v>
      </c>
    </row>
    <row r="2742" spans="1:27" x14ac:dyDescent="0.25">
      <c r="A2742">
        <v>4052</v>
      </c>
      <c r="B2742" t="s">
        <v>27</v>
      </c>
      <c r="C2742" t="s">
        <v>304</v>
      </c>
      <c r="D2742" t="s">
        <v>305</v>
      </c>
      <c r="G2742" t="s">
        <v>96</v>
      </c>
      <c r="H2742" t="s">
        <v>8369</v>
      </c>
      <c r="I2742" s="4">
        <v>44712.875</v>
      </c>
      <c r="J2742" t="s">
        <v>8370</v>
      </c>
      <c r="K2742" t="s">
        <v>1471</v>
      </c>
      <c r="L2742" s="5"/>
      <c r="M2742" s="5"/>
      <c r="N2742" t="s">
        <v>82</v>
      </c>
      <c r="O2742" t="s">
        <v>8371</v>
      </c>
      <c r="R2742">
        <v>1</v>
      </c>
      <c r="T2742" s="5" t="s">
        <v>38</v>
      </c>
      <c r="Y2742" t="str">
        <f>VLOOKUP(C2742,'[1]DBS_KPY Sorumlular'!A:C,2,FALSE)</f>
        <v>Erkan AKDOĞAN</v>
      </c>
      <c r="Z2742" t="str">
        <f>VLOOKUP(C2742,'[1]DBS_KPY Sorumlular'!A:C,3,FALSE)</f>
        <v>Kadir TOPÇU</v>
      </c>
      <c r="AA2742" t="str">
        <f>VLOOKUP(K2742,[1]!Tablo3[#Data],2,FALSE)</f>
        <v>Tayfun VİÇE</v>
      </c>
    </row>
    <row r="2743" spans="1:27" x14ac:dyDescent="0.25">
      <c r="A2743">
        <v>4053</v>
      </c>
      <c r="B2743" t="s">
        <v>27</v>
      </c>
      <c r="C2743" t="s">
        <v>304</v>
      </c>
      <c r="D2743" t="s">
        <v>305</v>
      </c>
      <c r="G2743" t="s">
        <v>96</v>
      </c>
      <c r="H2743" t="s">
        <v>8372</v>
      </c>
      <c r="I2743" s="4">
        <v>43982.875</v>
      </c>
      <c r="J2743" t="s">
        <v>8373</v>
      </c>
      <c r="K2743" t="s">
        <v>143</v>
      </c>
      <c r="L2743" s="5"/>
      <c r="M2743" s="5"/>
      <c r="N2743" t="s">
        <v>82</v>
      </c>
      <c r="O2743" t="s">
        <v>8374</v>
      </c>
      <c r="R2743">
        <v>1</v>
      </c>
      <c r="T2743" s="5" t="s">
        <v>38</v>
      </c>
      <c r="Y2743" t="str">
        <f>VLOOKUP(C2743,'[1]DBS_KPY Sorumlular'!A:C,2,FALSE)</f>
        <v>Erkan AKDOĞAN</v>
      </c>
      <c r="Z2743" t="str">
        <f>VLOOKUP(C2743,'[1]DBS_KPY Sorumlular'!A:C,3,FALSE)</f>
        <v>Kadir TOPÇU</v>
      </c>
      <c r="AA2743" t="str">
        <f>VLOOKUP(K2743,[1]!Tablo3[#Data],2,FALSE)</f>
        <v>Tayfun VİÇE</v>
      </c>
    </row>
    <row r="2744" spans="1:27" x14ac:dyDescent="0.25">
      <c r="A2744">
        <v>4054</v>
      </c>
      <c r="B2744" t="s">
        <v>27</v>
      </c>
      <c r="C2744" t="s">
        <v>304</v>
      </c>
      <c r="D2744" t="s">
        <v>305</v>
      </c>
      <c r="G2744" t="s">
        <v>96</v>
      </c>
      <c r="H2744" t="s">
        <v>8375</v>
      </c>
      <c r="I2744" s="4">
        <v>44347.875</v>
      </c>
      <c r="J2744" t="s">
        <v>8376</v>
      </c>
      <c r="K2744" t="s">
        <v>143</v>
      </c>
      <c r="L2744" s="5"/>
      <c r="M2744" s="5"/>
      <c r="N2744" t="s">
        <v>82</v>
      </c>
      <c r="O2744" t="s">
        <v>8377</v>
      </c>
      <c r="R2744">
        <v>1</v>
      </c>
      <c r="T2744" s="5" t="s">
        <v>38</v>
      </c>
      <c r="Y2744" t="str">
        <f>VLOOKUP(C2744,'[1]DBS_KPY Sorumlular'!A:C,2,FALSE)</f>
        <v>Erkan AKDOĞAN</v>
      </c>
      <c r="Z2744" t="str">
        <f>VLOOKUP(C2744,'[1]DBS_KPY Sorumlular'!A:C,3,FALSE)</f>
        <v>Kadir TOPÇU</v>
      </c>
      <c r="AA2744" t="str">
        <f>VLOOKUP(K2744,[1]!Tablo3[#Data],2,FALSE)</f>
        <v>Tayfun VİÇE</v>
      </c>
    </row>
    <row r="2745" spans="1:27" x14ac:dyDescent="0.25">
      <c r="A2745">
        <v>4055</v>
      </c>
      <c r="B2745" t="s">
        <v>27</v>
      </c>
      <c r="C2745" t="s">
        <v>304</v>
      </c>
      <c r="D2745" t="s">
        <v>305</v>
      </c>
      <c r="G2745" t="s">
        <v>96</v>
      </c>
      <c r="H2745" t="s">
        <v>8378</v>
      </c>
      <c r="I2745" s="4">
        <v>44712.875</v>
      </c>
      <c r="J2745" t="s">
        <v>8379</v>
      </c>
      <c r="K2745" t="s">
        <v>1528</v>
      </c>
      <c r="L2745" s="5"/>
      <c r="M2745" s="5"/>
      <c r="N2745" t="s">
        <v>82</v>
      </c>
      <c r="O2745" t="s">
        <v>8380</v>
      </c>
      <c r="R2745">
        <v>1</v>
      </c>
      <c r="T2745" s="5" t="s">
        <v>38</v>
      </c>
      <c r="Y2745" t="str">
        <f>VLOOKUP(C2745,'[1]DBS_KPY Sorumlular'!A:C,2,FALSE)</f>
        <v>Erkan AKDOĞAN</v>
      </c>
      <c r="Z2745" t="str">
        <f>VLOOKUP(C2745,'[1]DBS_KPY Sorumlular'!A:C,3,FALSE)</f>
        <v>Kadir TOPÇU</v>
      </c>
      <c r="AA2745" t="str">
        <f>VLOOKUP(K2745,[1]!Tablo3[#Data],2,FALSE)</f>
        <v>Tayfun VİÇE</v>
      </c>
    </row>
    <row r="2746" spans="1:27" x14ac:dyDescent="0.25">
      <c r="A2746">
        <v>4056</v>
      </c>
      <c r="B2746" t="s">
        <v>27</v>
      </c>
      <c r="C2746" t="s">
        <v>304</v>
      </c>
      <c r="D2746" t="s">
        <v>305</v>
      </c>
      <c r="G2746" t="s">
        <v>96</v>
      </c>
      <c r="H2746" t="s">
        <v>8381</v>
      </c>
      <c r="I2746" s="4">
        <v>44712.875</v>
      </c>
      <c r="J2746" t="s">
        <v>8382</v>
      </c>
      <c r="K2746" t="s">
        <v>1550</v>
      </c>
      <c r="L2746" s="5"/>
      <c r="M2746" s="5"/>
      <c r="N2746" t="s">
        <v>82</v>
      </c>
      <c r="O2746" t="s">
        <v>8383</v>
      </c>
      <c r="R2746">
        <v>1</v>
      </c>
      <c r="T2746" s="5" t="s">
        <v>38</v>
      </c>
      <c r="Y2746" t="str">
        <f>VLOOKUP(C2746,'[1]DBS_KPY Sorumlular'!A:C,2,FALSE)</f>
        <v>Erkan AKDOĞAN</v>
      </c>
      <c r="Z2746" t="str">
        <f>VLOOKUP(C2746,'[1]DBS_KPY Sorumlular'!A:C,3,FALSE)</f>
        <v>Kadir TOPÇU</v>
      </c>
      <c r="AA2746" t="str">
        <f>VLOOKUP(K2746,[1]!Tablo3[#Data],2,FALSE)</f>
        <v>Kadir TOPÇU</v>
      </c>
    </row>
    <row r="2747" spans="1:27" x14ac:dyDescent="0.25">
      <c r="A2747">
        <v>4057</v>
      </c>
      <c r="B2747" t="s">
        <v>27</v>
      </c>
      <c r="C2747" t="s">
        <v>304</v>
      </c>
      <c r="D2747" t="s">
        <v>305</v>
      </c>
      <c r="G2747" t="s">
        <v>96</v>
      </c>
      <c r="H2747" t="s">
        <v>8384</v>
      </c>
      <c r="I2747" s="4">
        <v>45077.875</v>
      </c>
      <c r="J2747" t="s">
        <v>8385</v>
      </c>
      <c r="K2747" t="s">
        <v>1550</v>
      </c>
      <c r="L2747" s="5"/>
      <c r="M2747" s="5"/>
      <c r="N2747" t="s">
        <v>82</v>
      </c>
      <c r="O2747" t="s">
        <v>8386</v>
      </c>
      <c r="R2747">
        <v>1</v>
      </c>
      <c r="T2747" s="5" t="s">
        <v>38</v>
      </c>
      <c r="Y2747" t="str">
        <f>VLOOKUP(C2747,'[1]DBS_KPY Sorumlular'!A:C,2,FALSE)</f>
        <v>Erkan AKDOĞAN</v>
      </c>
      <c r="Z2747" t="str">
        <f>VLOOKUP(C2747,'[1]DBS_KPY Sorumlular'!A:C,3,FALSE)</f>
        <v>Kadir TOPÇU</v>
      </c>
      <c r="AA2747" t="str">
        <f>VLOOKUP(K2747,[1]!Tablo3[#Data],2,FALSE)</f>
        <v>Kadir TOPÇU</v>
      </c>
    </row>
    <row r="2748" spans="1:27" x14ac:dyDescent="0.25">
      <c r="A2748">
        <v>4058</v>
      </c>
      <c r="B2748" t="s">
        <v>27</v>
      </c>
      <c r="C2748" t="s">
        <v>304</v>
      </c>
      <c r="D2748" t="s">
        <v>305</v>
      </c>
      <c r="G2748" t="s">
        <v>96</v>
      </c>
      <c r="H2748" t="s">
        <v>8387</v>
      </c>
      <c r="I2748" s="4">
        <v>45077.875</v>
      </c>
      <c r="J2748" t="s">
        <v>8388</v>
      </c>
      <c r="K2748" t="s">
        <v>1550</v>
      </c>
      <c r="L2748" s="5"/>
      <c r="M2748" s="5"/>
      <c r="N2748" t="s">
        <v>82</v>
      </c>
      <c r="O2748" t="s">
        <v>8389</v>
      </c>
      <c r="R2748">
        <v>1</v>
      </c>
      <c r="T2748" s="5" t="s">
        <v>38</v>
      </c>
      <c r="Y2748" t="str">
        <f>VLOOKUP(C2748,'[1]DBS_KPY Sorumlular'!A:C,2,FALSE)</f>
        <v>Erkan AKDOĞAN</v>
      </c>
      <c r="Z2748" t="str">
        <f>VLOOKUP(C2748,'[1]DBS_KPY Sorumlular'!A:C,3,FALSE)</f>
        <v>Kadir TOPÇU</v>
      </c>
      <c r="AA2748" t="str">
        <f>VLOOKUP(K2748,[1]!Tablo3[#Data],2,FALSE)</f>
        <v>Kadir TOPÇU</v>
      </c>
    </row>
    <row r="2749" spans="1:27" x14ac:dyDescent="0.25">
      <c r="A2749">
        <v>4059</v>
      </c>
      <c r="B2749" t="s">
        <v>27</v>
      </c>
      <c r="C2749" t="s">
        <v>304</v>
      </c>
      <c r="D2749" t="s">
        <v>305</v>
      </c>
      <c r="G2749" t="s">
        <v>96</v>
      </c>
      <c r="H2749" t="s">
        <v>8390</v>
      </c>
      <c r="I2749" s="4">
        <v>45443.875</v>
      </c>
      <c r="J2749" t="s">
        <v>6353</v>
      </c>
      <c r="K2749" t="s">
        <v>914</v>
      </c>
      <c r="L2749" s="5"/>
      <c r="M2749" s="5"/>
      <c r="N2749" t="s">
        <v>82</v>
      </c>
      <c r="O2749" t="s">
        <v>8275</v>
      </c>
      <c r="R2749">
        <v>1</v>
      </c>
      <c r="T2749" s="5" t="s">
        <v>38</v>
      </c>
      <c r="Y2749" t="str">
        <f>VLOOKUP(C2749,'[1]DBS_KPY Sorumlular'!A:C,2,FALSE)</f>
        <v>Erkan AKDOĞAN</v>
      </c>
      <c r="Z2749" t="str">
        <f>VLOOKUP(C2749,'[1]DBS_KPY Sorumlular'!A:C,3,FALSE)</f>
        <v>Kadir TOPÇU</v>
      </c>
      <c r="AA2749" t="str">
        <f>VLOOKUP(K2749,[1]!Tablo3[#Data],2,FALSE)</f>
        <v>Tayfun VİÇE</v>
      </c>
    </row>
    <row r="2750" spans="1:27" x14ac:dyDescent="0.25">
      <c r="A2750">
        <v>4060</v>
      </c>
      <c r="B2750" t="s">
        <v>27</v>
      </c>
      <c r="C2750" t="s">
        <v>304</v>
      </c>
      <c r="D2750" t="s">
        <v>305</v>
      </c>
      <c r="G2750" t="s">
        <v>96</v>
      </c>
      <c r="H2750" t="s">
        <v>8391</v>
      </c>
      <c r="I2750" s="4">
        <v>45443.875</v>
      </c>
      <c r="J2750" t="s">
        <v>6353</v>
      </c>
      <c r="K2750" t="s">
        <v>1029</v>
      </c>
      <c r="L2750" s="5"/>
      <c r="M2750" s="5"/>
      <c r="N2750" t="s">
        <v>82</v>
      </c>
      <c r="O2750" t="s">
        <v>8392</v>
      </c>
      <c r="R2750">
        <v>1</v>
      </c>
      <c r="T2750" s="5" t="s">
        <v>38</v>
      </c>
      <c r="Y2750" t="str">
        <f>VLOOKUP(C2750,'[1]DBS_KPY Sorumlular'!A:C,2,FALSE)</f>
        <v>Erkan AKDOĞAN</v>
      </c>
      <c r="Z2750" t="str">
        <f>VLOOKUP(C2750,'[1]DBS_KPY Sorumlular'!A:C,3,FALSE)</f>
        <v>Kadir TOPÇU</v>
      </c>
      <c r="AA2750" t="str">
        <f>VLOOKUP(K2750,[1]!Tablo3[#Data],2,FALSE)</f>
        <v>Tayfun VİÇE</v>
      </c>
    </row>
    <row r="2751" spans="1:27" x14ac:dyDescent="0.25">
      <c r="A2751">
        <v>4061</v>
      </c>
      <c r="B2751" t="s">
        <v>27</v>
      </c>
      <c r="C2751" t="s">
        <v>402</v>
      </c>
      <c r="D2751" t="s">
        <v>403</v>
      </c>
      <c r="G2751" t="s">
        <v>384</v>
      </c>
      <c r="H2751" t="s">
        <v>8393</v>
      </c>
      <c r="I2751" s="4">
        <v>45077.875</v>
      </c>
      <c r="K2751" t="s">
        <v>33</v>
      </c>
      <c r="L2751" s="5"/>
      <c r="M2751" s="5"/>
      <c r="N2751" t="s">
        <v>82</v>
      </c>
      <c r="O2751" t="s">
        <v>8394</v>
      </c>
      <c r="R2751">
        <v>1</v>
      </c>
      <c r="T2751" s="5"/>
      <c r="W2751">
        <v>138</v>
      </c>
      <c r="X2751" t="s">
        <v>881</v>
      </c>
      <c r="Y2751" t="str">
        <f>VLOOKUP(C2751,'[1]DBS_KPY Sorumlular'!A:C,2,FALSE)</f>
        <v>Tayfun VİÇE</v>
      </c>
      <c r="Z2751" t="str">
        <f>VLOOKUP(C2751,'[1]DBS_KPY Sorumlular'!A:C,3,FALSE)</f>
        <v>Mehmet Ali YAVUZ</v>
      </c>
      <c r="AA2751" t="str">
        <f>VLOOKUP(K2751,[1]!Tablo3[#Data],2,FALSE)</f>
        <v>Tayfun VİÇE</v>
      </c>
    </row>
    <row r="2752" spans="1:27" x14ac:dyDescent="0.25">
      <c r="A2752">
        <v>4062</v>
      </c>
      <c r="B2752" t="s">
        <v>27</v>
      </c>
      <c r="C2752" t="s">
        <v>402</v>
      </c>
      <c r="D2752" t="s">
        <v>403</v>
      </c>
      <c r="G2752" t="s">
        <v>384</v>
      </c>
      <c r="H2752" t="s">
        <v>8395</v>
      </c>
      <c r="I2752" s="4">
        <v>43982.875</v>
      </c>
      <c r="K2752" t="s">
        <v>152</v>
      </c>
      <c r="L2752" s="5"/>
      <c r="M2752" s="5"/>
      <c r="N2752" t="s">
        <v>82</v>
      </c>
      <c r="O2752" t="s">
        <v>8396</v>
      </c>
      <c r="R2752">
        <v>1</v>
      </c>
      <c r="T2752" s="5"/>
      <c r="W2752">
        <v>32</v>
      </c>
      <c r="X2752" t="s">
        <v>4412</v>
      </c>
      <c r="Y2752" t="str">
        <f>VLOOKUP(C2752,'[1]DBS_KPY Sorumlular'!A:C,2,FALSE)</f>
        <v>Tayfun VİÇE</v>
      </c>
      <c r="Z2752" t="str">
        <f>VLOOKUP(C2752,'[1]DBS_KPY Sorumlular'!A:C,3,FALSE)</f>
        <v>Mehmet Ali YAVUZ</v>
      </c>
      <c r="AA2752" t="str">
        <f>VLOOKUP(K2752,[1]!Tablo3[#Data],2,FALSE)</f>
        <v>Erkan AKDOĞAN</v>
      </c>
    </row>
    <row r="2753" spans="1:27" x14ac:dyDescent="0.25">
      <c r="A2753">
        <v>4063</v>
      </c>
      <c r="B2753" t="s">
        <v>27</v>
      </c>
      <c r="C2753" t="s">
        <v>402</v>
      </c>
      <c r="D2753" t="s">
        <v>403</v>
      </c>
      <c r="G2753" t="s">
        <v>384</v>
      </c>
      <c r="H2753" t="s">
        <v>8397</v>
      </c>
      <c r="I2753" s="4">
        <v>45443.875</v>
      </c>
      <c r="K2753" t="s">
        <v>232</v>
      </c>
      <c r="L2753" s="5"/>
      <c r="M2753" s="5"/>
      <c r="N2753" t="s">
        <v>82</v>
      </c>
      <c r="O2753" t="s">
        <v>8398</v>
      </c>
      <c r="R2753">
        <v>1</v>
      </c>
      <c r="T2753" s="5"/>
      <c r="W2753">
        <v>8</v>
      </c>
      <c r="X2753" t="s">
        <v>8399</v>
      </c>
      <c r="Y2753" t="str">
        <f>VLOOKUP(C2753,'[1]DBS_KPY Sorumlular'!A:C,2,FALSE)</f>
        <v>Tayfun VİÇE</v>
      </c>
      <c r="Z2753" t="str">
        <f>VLOOKUP(C2753,'[1]DBS_KPY Sorumlular'!A:C,3,FALSE)</f>
        <v>Mehmet Ali YAVUZ</v>
      </c>
      <c r="AA2753" t="str">
        <f>VLOOKUP(K2753,[1]!Tablo3[#Data],2,FALSE)</f>
        <v>Erkan AKDOĞAN</v>
      </c>
    </row>
    <row r="2754" spans="1:27" x14ac:dyDescent="0.25">
      <c r="A2754">
        <v>4064</v>
      </c>
      <c r="B2754" t="s">
        <v>27</v>
      </c>
      <c r="C2754" t="s">
        <v>402</v>
      </c>
      <c r="D2754" t="s">
        <v>403</v>
      </c>
      <c r="G2754" t="s">
        <v>384</v>
      </c>
      <c r="H2754" t="s">
        <v>8400</v>
      </c>
      <c r="I2754" s="4">
        <v>45868.875</v>
      </c>
      <c r="K2754" t="s">
        <v>226</v>
      </c>
      <c r="L2754" s="5" t="s">
        <v>8401</v>
      </c>
      <c r="M2754" s="5" t="s">
        <v>8402</v>
      </c>
      <c r="N2754" t="s">
        <v>46</v>
      </c>
      <c r="O2754" t="s">
        <v>8403</v>
      </c>
      <c r="R2754">
        <v>0.4</v>
      </c>
      <c r="T2754" s="5"/>
      <c r="W2754">
        <v>60</v>
      </c>
      <c r="X2754" t="s">
        <v>503</v>
      </c>
      <c r="Y2754" t="str">
        <f>VLOOKUP(C2754,'[1]DBS_KPY Sorumlular'!A:C,2,FALSE)</f>
        <v>Tayfun VİÇE</v>
      </c>
      <c r="Z2754" t="str">
        <f>VLOOKUP(C2754,'[1]DBS_KPY Sorumlular'!A:C,3,FALSE)</f>
        <v>Mehmet Ali YAVUZ</v>
      </c>
      <c r="AA2754" t="str">
        <f>VLOOKUP(K2754,[1]!Tablo3[#Data],2,FALSE)</f>
        <v>Kadir TOPÇU</v>
      </c>
    </row>
    <row r="2755" spans="1:27" x14ac:dyDescent="0.25">
      <c r="A2755">
        <v>4065</v>
      </c>
      <c r="B2755" t="s">
        <v>27</v>
      </c>
      <c r="C2755" t="s">
        <v>402</v>
      </c>
      <c r="D2755" t="s">
        <v>403</v>
      </c>
      <c r="G2755" t="s">
        <v>384</v>
      </c>
      <c r="H2755" t="s">
        <v>8404</v>
      </c>
      <c r="I2755" s="4">
        <v>43982.875</v>
      </c>
      <c r="K2755" t="s">
        <v>217</v>
      </c>
      <c r="L2755" s="5"/>
      <c r="M2755" s="5"/>
      <c r="N2755" t="s">
        <v>82</v>
      </c>
      <c r="O2755" t="s">
        <v>8405</v>
      </c>
      <c r="R2755">
        <v>1</v>
      </c>
      <c r="T2755" s="5"/>
      <c r="W2755">
        <v>8</v>
      </c>
      <c r="X2755" t="s">
        <v>8399</v>
      </c>
      <c r="Y2755" t="str">
        <f>VLOOKUP(C2755,'[1]DBS_KPY Sorumlular'!A:C,2,FALSE)</f>
        <v>Tayfun VİÇE</v>
      </c>
      <c r="Z2755" t="str">
        <f>VLOOKUP(C2755,'[1]DBS_KPY Sorumlular'!A:C,3,FALSE)</f>
        <v>Mehmet Ali YAVUZ</v>
      </c>
      <c r="AA2755" t="str">
        <f>VLOOKUP(K2755,[1]!Tablo3[#Data],2,FALSE)</f>
        <v>Erkan AKDOĞAN</v>
      </c>
    </row>
    <row r="2756" spans="1:27" x14ac:dyDescent="0.25">
      <c r="A2756">
        <v>4066</v>
      </c>
      <c r="B2756" t="s">
        <v>27</v>
      </c>
      <c r="C2756" t="s">
        <v>402</v>
      </c>
      <c r="D2756" t="s">
        <v>403</v>
      </c>
      <c r="G2756" t="s">
        <v>384</v>
      </c>
      <c r="H2756" t="s">
        <v>8406</v>
      </c>
      <c r="I2756" s="4">
        <v>44347.875</v>
      </c>
      <c r="K2756" t="s">
        <v>217</v>
      </c>
      <c r="L2756" s="5"/>
      <c r="M2756" s="5"/>
      <c r="N2756" t="s">
        <v>82</v>
      </c>
      <c r="O2756" t="s">
        <v>8407</v>
      </c>
      <c r="R2756">
        <v>1</v>
      </c>
      <c r="T2756" s="5"/>
      <c r="W2756">
        <v>32</v>
      </c>
      <c r="X2756" t="s">
        <v>4412</v>
      </c>
      <c r="Y2756" t="str">
        <f>VLOOKUP(C2756,'[1]DBS_KPY Sorumlular'!A:C,2,FALSE)</f>
        <v>Tayfun VİÇE</v>
      </c>
      <c r="Z2756" t="str">
        <f>VLOOKUP(C2756,'[1]DBS_KPY Sorumlular'!A:C,3,FALSE)</f>
        <v>Mehmet Ali YAVUZ</v>
      </c>
      <c r="AA2756" t="str">
        <f>VLOOKUP(K2756,[1]!Tablo3[#Data],2,FALSE)</f>
        <v>Erkan AKDOĞAN</v>
      </c>
    </row>
    <row r="2757" spans="1:27" x14ac:dyDescent="0.25">
      <c r="A2757">
        <v>4067</v>
      </c>
      <c r="B2757" t="s">
        <v>27</v>
      </c>
      <c r="C2757" t="s">
        <v>402</v>
      </c>
      <c r="D2757" t="s">
        <v>403</v>
      </c>
      <c r="G2757" t="s">
        <v>384</v>
      </c>
      <c r="H2757" t="s">
        <v>8408</v>
      </c>
      <c r="I2757" s="4">
        <v>45443.875</v>
      </c>
      <c r="K2757" t="s">
        <v>217</v>
      </c>
      <c r="L2757" s="5"/>
      <c r="M2757" s="5"/>
      <c r="N2757" t="s">
        <v>82</v>
      </c>
      <c r="O2757" t="s">
        <v>8409</v>
      </c>
      <c r="R2757">
        <v>1</v>
      </c>
      <c r="T2757" s="5"/>
      <c r="W2757">
        <v>241</v>
      </c>
      <c r="X2757" t="s">
        <v>3500</v>
      </c>
      <c r="Y2757" t="str">
        <f>VLOOKUP(C2757,'[1]DBS_KPY Sorumlular'!A:C,2,FALSE)</f>
        <v>Tayfun VİÇE</v>
      </c>
      <c r="Z2757" t="str">
        <f>VLOOKUP(C2757,'[1]DBS_KPY Sorumlular'!A:C,3,FALSE)</f>
        <v>Mehmet Ali YAVUZ</v>
      </c>
      <c r="AA2757" t="str">
        <f>VLOOKUP(K2757,[1]!Tablo3[#Data],2,FALSE)</f>
        <v>Erkan AKDOĞAN</v>
      </c>
    </row>
    <row r="2758" spans="1:27" x14ac:dyDescent="0.25">
      <c r="A2758">
        <v>4068</v>
      </c>
      <c r="B2758" t="s">
        <v>27</v>
      </c>
      <c r="C2758" t="s">
        <v>402</v>
      </c>
      <c r="D2758" t="s">
        <v>403</v>
      </c>
      <c r="G2758" t="s">
        <v>384</v>
      </c>
      <c r="H2758" t="s">
        <v>8410</v>
      </c>
      <c r="I2758" s="4">
        <v>45656.875</v>
      </c>
      <c r="K2758" t="s">
        <v>217</v>
      </c>
      <c r="L2758" s="5"/>
      <c r="M2758" s="5"/>
      <c r="N2758" t="s">
        <v>82</v>
      </c>
      <c r="O2758" t="s">
        <v>8411</v>
      </c>
      <c r="R2758">
        <v>1</v>
      </c>
      <c r="T2758" s="5"/>
      <c r="W2758">
        <v>270</v>
      </c>
      <c r="X2758" t="s">
        <v>8412</v>
      </c>
      <c r="Y2758" t="str">
        <f>VLOOKUP(C2758,'[1]DBS_KPY Sorumlular'!A:C,2,FALSE)</f>
        <v>Tayfun VİÇE</v>
      </c>
      <c r="Z2758" t="str">
        <f>VLOOKUP(C2758,'[1]DBS_KPY Sorumlular'!A:C,3,FALSE)</f>
        <v>Mehmet Ali YAVUZ</v>
      </c>
      <c r="AA2758" t="str">
        <f>VLOOKUP(K2758,[1]!Tablo3[#Data],2,FALSE)</f>
        <v>Erkan AKDOĞAN</v>
      </c>
    </row>
    <row r="2759" spans="1:27" x14ac:dyDescent="0.25">
      <c r="A2759">
        <v>4069</v>
      </c>
      <c r="B2759" t="s">
        <v>27</v>
      </c>
      <c r="C2759" t="s">
        <v>402</v>
      </c>
      <c r="D2759" t="s">
        <v>403</v>
      </c>
      <c r="G2759" t="s">
        <v>384</v>
      </c>
      <c r="H2759" t="s">
        <v>8413</v>
      </c>
      <c r="I2759" s="4">
        <v>45656.875</v>
      </c>
      <c r="K2759" t="s">
        <v>217</v>
      </c>
      <c r="L2759" s="5"/>
      <c r="M2759" s="5"/>
      <c r="N2759" t="s">
        <v>82</v>
      </c>
      <c r="O2759" t="s">
        <v>8414</v>
      </c>
      <c r="R2759">
        <v>1</v>
      </c>
      <c r="T2759" s="5"/>
      <c r="W2759">
        <v>270</v>
      </c>
      <c r="X2759" t="s">
        <v>8412</v>
      </c>
      <c r="Y2759" t="str">
        <f>VLOOKUP(C2759,'[1]DBS_KPY Sorumlular'!A:C,2,FALSE)</f>
        <v>Tayfun VİÇE</v>
      </c>
      <c r="Z2759" t="str">
        <f>VLOOKUP(C2759,'[1]DBS_KPY Sorumlular'!A:C,3,FALSE)</f>
        <v>Mehmet Ali YAVUZ</v>
      </c>
      <c r="AA2759" t="str">
        <f>VLOOKUP(K2759,[1]!Tablo3[#Data],2,FALSE)</f>
        <v>Erkan AKDOĞAN</v>
      </c>
    </row>
    <row r="2760" spans="1:27" x14ac:dyDescent="0.25">
      <c r="A2760">
        <v>4071</v>
      </c>
      <c r="B2760" t="s">
        <v>27</v>
      </c>
      <c r="C2760" t="s">
        <v>402</v>
      </c>
      <c r="D2760" t="s">
        <v>403</v>
      </c>
      <c r="G2760" t="s">
        <v>384</v>
      </c>
      <c r="H2760" t="s">
        <v>8415</v>
      </c>
      <c r="I2760" s="4">
        <v>45077.875</v>
      </c>
      <c r="K2760" t="s">
        <v>325</v>
      </c>
      <c r="L2760" s="5"/>
      <c r="M2760" s="5"/>
      <c r="N2760" t="s">
        <v>82</v>
      </c>
      <c r="O2760" t="s">
        <v>8416</v>
      </c>
      <c r="R2760">
        <v>1</v>
      </c>
      <c r="T2760" s="5"/>
      <c r="W2760">
        <v>32</v>
      </c>
      <c r="X2760" t="s">
        <v>4412</v>
      </c>
      <c r="Y2760" t="str">
        <f>VLOOKUP(C2760,'[1]DBS_KPY Sorumlular'!A:C,2,FALSE)</f>
        <v>Tayfun VİÇE</v>
      </c>
      <c r="Z2760" t="str">
        <f>VLOOKUP(C2760,'[1]DBS_KPY Sorumlular'!A:C,3,FALSE)</f>
        <v>Mehmet Ali YAVUZ</v>
      </c>
      <c r="AA2760" t="str">
        <f>VLOOKUP(K2760,[1]!Tablo3[#Data],2,FALSE)</f>
        <v>Kadir TOPÇU</v>
      </c>
    </row>
    <row r="2761" spans="1:27" x14ac:dyDescent="0.25">
      <c r="A2761">
        <v>4072</v>
      </c>
      <c r="B2761" t="s">
        <v>27</v>
      </c>
      <c r="C2761" t="s">
        <v>402</v>
      </c>
      <c r="D2761" t="s">
        <v>403</v>
      </c>
      <c r="G2761" t="s">
        <v>384</v>
      </c>
      <c r="H2761" t="s">
        <v>8417</v>
      </c>
      <c r="I2761" s="4">
        <v>45897.875</v>
      </c>
      <c r="K2761" t="s">
        <v>226</v>
      </c>
      <c r="L2761" s="5" t="s">
        <v>8401</v>
      </c>
      <c r="M2761" s="5" t="s">
        <v>8402</v>
      </c>
      <c r="N2761" t="s">
        <v>46</v>
      </c>
      <c r="O2761" t="s">
        <v>8418</v>
      </c>
      <c r="R2761">
        <v>0.75</v>
      </c>
      <c r="T2761" s="5"/>
      <c r="W2761">
        <v>60</v>
      </c>
      <c r="X2761" t="s">
        <v>503</v>
      </c>
      <c r="Y2761" t="str">
        <f>VLOOKUP(C2761,'[1]DBS_KPY Sorumlular'!A:C,2,FALSE)</f>
        <v>Tayfun VİÇE</v>
      </c>
      <c r="Z2761" t="str">
        <f>VLOOKUP(C2761,'[1]DBS_KPY Sorumlular'!A:C,3,FALSE)</f>
        <v>Mehmet Ali YAVUZ</v>
      </c>
      <c r="AA2761" t="str">
        <f>VLOOKUP(K2761,[1]!Tablo3[#Data],2,FALSE)</f>
        <v>Kadir TOPÇU</v>
      </c>
    </row>
    <row r="2762" spans="1:27" x14ac:dyDescent="0.25">
      <c r="A2762">
        <v>4073</v>
      </c>
      <c r="B2762" t="s">
        <v>27</v>
      </c>
      <c r="C2762" t="s">
        <v>402</v>
      </c>
      <c r="D2762" t="s">
        <v>403</v>
      </c>
      <c r="G2762" t="s">
        <v>384</v>
      </c>
      <c r="H2762" t="s">
        <v>8419</v>
      </c>
      <c r="I2762" s="4">
        <v>45897.875</v>
      </c>
      <c r="K2762" t="s">
        <v>226</v>
      </c>
      <c r="L2762" s="5" t="s">
        <v>8401</v>
      </c>
      <c r="M2762" s="5" t="s">
        <v>8420</v>
      </c>
      <c r="N2762" t="s">
        <v>46</v>
      </c>
      <c r="O2762" t="s">
        <v>8421</v>
      </c>
      <c r="R2762">
        <v>0.9</v>
      </c>
      <c r="T2762" s="5"/>
      <c r="W2762">
        <v>32</v>
      </c>
      <c r="X2762" t="s">
        <v>4412</v>
      </c>
      <c r="Y2762" t="str">
        <f>VLOOKUP(C2762,'[1]DBS_KPY Sorumlular'!A:C,2,FALSE)</f>
        <v>Tayfun VİÇE</v>
      </c>
      <c r="Z2762" t="str">
        <f>VLOOKUP(C2762,'[1]DBS_KPY Sorumlular'!A:C,3,FALSE)</f>
        <v>Mehmet Ali YAVUZ</v>
      </c>
      <c r="AA2762" t="str">
        <f>VLOOKUP(K2762,[1]!Tablo3[#Data],2,FALSE)</f>
        <v>Kadir TOPÇU</v>
      </c>
    </row>
    <row r="2763" spans="1:27" x14ac:dyDescent="0.25">
      <c r="A2763">
        <v>4074</v>
      </c>
      <c r="B2763" t="s">
        <v>27</v>
      </c>
      <c r="C2763" t="s">
        <v>402</v>
      </c>
      <c r="D2763" t="s">
        <v>403</v>
      </c>
      <c r="G2763" t="s">
        <v>384</v>
      </c>
      <c r="H2763" t="s">
        <v>8422</v>
      </c>
      <c r="I2763" s="4">
        <v>45443.875</v>
      </c>
      <c r="K2763" t="s">
        <v>232</v>
      </c>
      <c r="L2763" s="5"/>
      <c r="M2763" s="5" t="s">
        <v>8423</v>
      </c>
      <c r="N2763" t="s">
        <v>82</v>
      </c>
      <c r="O2763" t="s">
        <v>8424</v>
      </c>
      <c r="R2763">
        <v>1</v>
      </c>
      <c r="T2763" s="5"/>
      <c r="W2763">
        <v>270</v>
      </c>
      <c r="X2763" t="s">
        <v>8412</v>
      </c>
      <c r="Y2763" t="str">
        <f>VLOOKUP(C2763,'[1]DBS_KPY Sorumlular'!A:C,2,FALSE)</f>
        <v>Tayfun VİÇE</v>
      </c>
      <c r="Z2763" t="str">
        <f>VLOOKUP(C2763,'[1]DBS_KPY Sorumlular'!A:C,3,FALSE)</f>
        <v>Mehmet Ali YAVUZ</v>
      </c>
      <c r="AA2763" t="str">
        <f>VLOOKUP(K2763,[1]!Tablo3[#Data],2,FALSE)</f>
        <v>Erkan AKDOĞAN</v>
      </c>
    </row>
    <row r="2764" spans="1:27" x14ac:dyDescent="0.25">
      <c r="A2764">
        <v>4075</v>
      </c>
      <c r="B2764" t="s">
        <v>27</v>
      </c>
      <c r="C2764" t="s">
        <v>402</v>
      </c>
      <c r="D2764" t="s">
        <v>403</v>
      </c>
      <c r="G2764" t="s">
        <v>384</v>
      </c>
      <c r="H2764" t="s">
        <v>8425</v>
      </c>
      <c r="I2764" s="4">
        <v>45443.875</v>
      </c>
      <c r="K2764" t="s">
        <v>217</v>
      </c>
      <c r="L2764" s="5"/>
      <c r="M2764" s="5" t="s">
        <v>8423</v>
      </c>
      <c r="N2764" t="s">
        <v>82</v>
      </c>
      <c r="O2764" t="s">
        <v>8426</v>
      </c>
      <c r="R2764">
        <v>1</v>
      </c>
      <c r="T2764" s="5"/>
      <c r="W2764">
        <v>270</v>
      </c>
      <c r="X2764" t="s">
        <v>8412</v>
      </c>
      <c r="Y2764" t="str">
        <f>VLOOKUP(C2764,'[1]DBS_KPY Sorumlular'!A:C,2,FALSE)</f>
        <v>Tayfun VİÇE</v>
      </c>
      <c r="Z2764" t="str">
        <f>VLOOKUP(C2764,'[1]DBS_KPY Sorumlular'!A:C,3,FALSE)</f>
        <v>Mehmet Ali YAVUZ</v>
      </c>
      <c r="AA2764" t="str">
        <f>VLOOKUP(K2764,[1]!Tablo3[#Data],2,FALSE)</f>
        <v>Erkan AKDOĞAN</v>
      </c>
    </row>
    <row r="2765" spans="1:27" x14ac:dyDescent="0.25">
      <c r="A2765">
        <v>4076</v>
      </c>
      <c r="B2765" t="s">
        <v>27</v>
      </c>
      <c r="C2765" t="s">
        <v>402</v>
      </c>
      <c r="D2765" t="s">
        <v>403</v>
      </c>
      <c r="G2765" t="s">
        <v>384</v>
      </c>
      <c r="H2765" t="s">
        <v>8427</v>
      </c>
      <c r="I2765" s="4">
        <v>45443.875</v>
      </c>
      <c r="K2765" t="s">
        <v>325</v>
      </c>
      <c r="L2765" s="5"/>
      <c r="M2765" s="5" t="s">
        <v>8423</v>
      </c>
      <c r="N2765" t="s">
        <v>82</v>
      </c>
      <c r="O2765" t="s">
        <v>8428</v>
      </c>
      <c r="R2765">
        <v>1</v>
      </c>
      <c r="T2765" s="5"/>
      <c r="W2765">
        <v>270</v>
      </c>
      <c r="X2765" t="s">
        <v>8412</v>
      </c>
      <c r="Y2765" t="str">
        <f>VLOOKUP(C2765,'[1]DBS_KPY Sorumlular'!A:C,2,FALSE)</f>
        <v>Tayfun VİÇE</v>
      </c>
      <c r="Z2765" t="str">
        <f>VLOOKUP(C2765,'[1]DBS_KPY Sorumlular'!A:C,3,FALSE)</f>
        <v>Mehmet Ali YAVUZ</v>
      </c>
      <c r="AA2765" t="str">
        <f>VLOOKUP(K2765,[1]!Tablo3[#Data],2,FALSE)</f>
        <v>Kadir TOPÇU</v>
      </c>
    </row>
    <row r="2766" spans="1:27" x14ac:dyDescent="0.25">
      <c r="A2766">
        <v>4077</v>
      </c>
      <c r="B2766" t="s">
        <v>27</v>
      </c>
      <c r="C2766" t="s">
        <v>402</v>
      </c>
      <c r="D2766" t="s">
        <v>403</v>
      </c>
      <c r="G2766" t="s">
        <v>384</v>
      </c>
      <c r="H2766" t="s">
        <v>8429</v>
      </c>
      <c r="I2766" s="4">
        <v>43982.875</v>
      </c>
      <c r="K2766" t="s">
        <v>364</v>
      </c>
      <c r="L2766" s="5" t="s">
        <v>8430</v>
      </c>
      <c r="M2766" s="5"/>
      <c r="N2766" t="s">
        <v>82</v>
      </c>
      <c r="O2766" t="s">
        <v>8431</v>
      </c>
      <c r="R2766">
        <v>1</v>
      </c>
      <c r="T2766" s="5"/>
      <c r="W2766">
        <v>32</v>
      </c>
      <c r="X2766" t="s">
        <v>4412</v>
      </c>
      <c r="Y2766" t="str">
        <f>VLOOKUP(C2766,'[1]DBS_KPY Sorumlular'!A:C,2,FALSE)</f>
        <v>Tayfun VİÇE</v>
      </c>
      <c r="Z2766" t="str">
        <f>VLOOKUP(C2766,'[1]DBS_KPY Sorumlular'!A:C,3,FALSE)</f>
        <v>Mehmet Ali YAVUZ</v>
      </c>
      <c r="AA2766" t="str">
        <f>VLOOKUP(K2766,[1]!Tablo3[#Data],2,FALSE)</f>
        <v>Kadir TOPÇU</v>
      </c>
    </row>
    <row r="2767" spans="1:27" x14ac:dyDescent="0.25">
      <c r="A2767">
        <v>4078</v>
      </c>
      <c r="B2767" t="s">
        <v>27</v>
      </c>
      <c r="C2767" t="s">
        <v>402</v>
      </c>
      <c r="D2767" t="s">
        <v>403</v>
      </c>
      <c r="G2767" t="s">
        <v>384</v>
      </c>
      <c r="H2767" t="s">
        <v>8432</v>
      </c>
      <c r="I2767" s="4">
        <v>43982.875</v>
      </c>
      <c r="K2767" t="s">
        <v>364</v>
      </c>
      <c r="L2767" s="5" t="s">
        <v>8430</v>
      </c>
      <c r="M2767" s="5"/>
      <c r="N2767" t="s">
        <v>82</v>
      </c>
      <c r="O2767" t="s">
        <v>8433</v>
      </c>
      <c r="R2767">
        <v>1</v>
      </c>
      <c r="T2767" s="5"/>
      <c r="W2767">
        <v>32</v>
      </c>
      <c r="X2767" t="s">
        <v>4412</v>
      </c>
      <c r="Y2767" t="str">
        <f>VLOOKUP(C2767,'[1]DBS_KPY Sorumlular'!A:C,2,FALSE)</f>
        <v>Tayfun VİÇE</v>
      </c>
      <c r="Z2767" t="str">
        <f>VLOOKUP(C2767,'[1]DBS_KPY Sorumlular'!A:C,3,FALSE)</f>
        <v>Mehmet Ali YAVUZ</v>
      </c>
      <c r="AA2767" t="str">
        <f>VLOOKUP(K2767,[1]!Tablo3[#Data],2,FALSE)</f>
        <v>Kadir TOPÇU</v>
      </c>
    </row>
    <row r="2768" spans="1:27" x14ac:dyDescent="0.25">
      <c r="A2768">
        <v>4079</v>
      </c>
      <c r="B2768" t="s">
        <v>27</v>
      </c>
      <c r="C2768" t="s">
        <v>402</v>
      </c>
      <c r="D2768" t="s">
        <v>403</v>
      </c>
      <c r="G2768" t="s">
        <v>384</v>
      </c>
      <c r="H2768" t="s">
        <v>8434</v>
      </c>
      <c r="I2768" s="4">
        <v>44347.875</v>
      </c>
      <c r="K2768" t="s">
        <v>364</v>
      </c>
      <c r="L2768" s="5" t="s">
        <v>8430</v>
      </c>
      <c r="M2768" s="5"/>
      <c r="N2768" t="s">
        <v>82</v>
      </c>
      <c r="O2768" t="s">
        <v>8435</v>
      </c>
      <c r="R2768">
        <v>1</v>
      </c>
      <c r="T2768" s="5"/>
      <c r="W2768">
        <v>32</v>
      </c>
      <c r="X2768" t="s">
        <v>4412</v>
      </c>
      <c r="Y2768" t="str">
        <f>VLOOKUP(C2768,'[1]DBS_KPY Sorumlular'!A:C,2,FALSE)</f>
        <v>Tayfun VİÇE</v>
      </c>
      <c r="Z2768" t="str">
        <f>VLOOKUP(C2768,'[1]DBS_KPY Sorumlular'!A:C,3,FALSE)</f>
        <v>Mehmet Ali YAVUZ</v>
      </c>
      <c r="AA2768" t="str">
        <f>VLOOKUP(K2768,[1]!Tablo3[#Data],2,FALSE)</f>
        <v>Kadir TOPÇU</v>
      </c>
    </row>
    <row r="2769" spans="1:27" x14ac:dyDescent="0.25">
      <c r="A2769">
        <v>4080</v>
      </c>
      <c r="B2769" t="s">
        <v>27</v>
      </c>
      <c r="C2769" t="s">
        <v>402</v>
      </c>
      <c r="D2769" t="s">
        <v>403</v>
      </c>
      <c r="G2769" t="s">
        <v>384</v>
      </c>
      <c r="H2769" t="s">
        <v>8436</v>
      </c>
      <c r="I2769" s="4">
        <v>44347.875</v>
      </c>
      <c r="K2769" t="s">
        <v>364</v>
      </c>
      <c r="L2769" s="5" t="s">
        <v>8430</v>
      </c>
      <c r="M2769" s="5"/>
      <c r="N2769" t="s">
        <v>82</v>
      </c>
      <c r="O2769" t="s">
        <v>8437</v>
      </c>
      <c r="R2769">
        <v>1</v>
      </c>
      <c r="T2769" s="5"/>
      <c r="W2769">
        <v>32</v>
      </c>
      <c r="X2769" t="s">
        <v>4412</v>
      </c>
      <c r="Y2769" t="str">
        <f>VLOOKUP(C2769,'[1]DBS_KPY Sorumlular'!A:C,2,FALSE)</f>
        <v>Tayfun VİÇE</v>
      </c>
      <c r="Z2769" t="str">
        <f>VLOOKUP(C2769,'[1]DBS_KPY Sorumlular'!A:C,3,FALSE)</f>
        <v>Mehmet Ali YAVUZ</v>
      </c>
      <c r="AA2769" t="str">
        <f>VLOOKUP(K2769,[1]!Tablo3[#Data],2,FALSE)</f>
        <v>Kadir TOPÇU</v>
      </c>
    </row>
    <row r="2770" spans="1:27" x14ac:dyDescent="0.25">
      <c r="A2770">
        <v>4081</v>
      </c>
      <c r="B2770" t="s">
        <v>27</v>
      </c>
      <c r="C2770" t="s">
        <v>402</v>
      </c>
      <c r="D2770" t="s">
        <v>403</v>
      </c>
      <c r="G2770" t="s">
        <v>384</v>
      </c>
      <c r="H2770" t="s">
        <v>8438</v>
      </c>
      <c r="I2770" s="4">
        <v>44347.875</v>
      </c>
      <c r="K2770" t="s">
        <v>364</v>
      </c>
      <c r="L2770" s="5"/>
      <c r="M2770" s="5"/>
      <c r="N2770" t="s">
        <v>82</v>
      </c>
      <c r="O2770" t="s">
        <v>8439</v>
      </c>
      <c r="R2770">
        <v>1</v>
      </c>
      <c r="T2770" s="5"/>
      <c r="W2770">
        <v>26</v>
      </c>
      <c r="X2770" t="s">
        <v>7503</v>
      </c>
      <c r="Y2770" t="str">
        <f>VLOOKUP(C2770,'[1]DBS_KPY Sorumlular'!A:C,2,FALSE)</f>
        <v>Tayfun VİÇE</v>
      </c>
      <c r="Z2770" t="str">
        <f>VLOOKUP(C2770,'[1]DBS_KPY Sorumlular'!A:C,3,FALSE)</f>
        <v>Mehmet Ali YAVUZ</v>
      </c>
      <c r="AA2770" t="str">
        <f>VLOOKUP(K2770,[1]!Tablo3[#Data],2,FALSE)</f>
        <v>Kadir TOPÇU</v>
      </c>
    </row>
    <row r="2771" spans="1:27" x14ac:dyDescent="0.25">
      <c r="A2771">
        <v>4082</v>
      </c>
      <c r="B2771" t="s">
        <v>27</v>
      </c>
      <c r="C2771" t="s">
        <v>402</v>
      </c>
      <c r="D2771" t="s">
        <v>403</v>
      </c>
      <c r="G2771" t="s">
        <v>384</v>
      </c>
      <c r="H2771" t="s">
        <v>8440</v>
      </c>
      <c r="I2771" s="4">
        <v>44347.875</v>
      </c>
      <c r="K2771" t="s">
        <v>364</v>
      </c>
      <c r="L2771" s="5"/>
      <c r="M2771" s="5"/>
      <c r="N2771" t="s">
        <v>82</v>
      </c>
      <c r="O2771" t="s">
        <v>8441</v>
      </c>
      <c r="R2771">
        <v>1</v>
      </c>
      <c r="T2771" s="5"/>
      <c r="W2771">
        <v>157</v>
      </c>
      <c r="X2771" t="s">
        <v>3495</v>
      </c>
      <c r="Y2771" t="str">
        <f>VLOOKUP(C2771,'[1]DBS_KPY Sorumlular'!A:C,2,FALSE)</f>
        <v>Tayfun VİÇE</v>
      </c>
      <c r="Z2771" t="str">
        <f>VLOOKUP(C2771,'[1]DBS_KPY Sorumlular'!A:C,3,FALSE)</f>
        <v>Mehmet Ali YAVUZ</v>
      </c>
      <c r="AA2771" t="str">
        <f>VLOOKUP(K2771,[1]!Tablo3[#Data],2,FALSE)</f>
        <v>Kadir TOPÇU</v>
      </c>
    </row>
    <row r="2772" spans="1:27" x14ac:dyDescent="0.25">
      <c r="A2772">
        <v>4083</v>
      </c>
      <c r="B2772" t="s">
        <v>27</v>
      </c>
      <c r="C2772" t="s">
        <v>402</v>
      </c>
      <c r="D2772" t="s">
        <v>403</v>
      </c>
      <c r="G2772" t="s">
        <v>384</v>
      </c>
      <c r="H2772" t="s">
        <v>8442</v>
      </c>
      <c r="I2772" s="4">
        <v>44347.875</v>
      </c>
      <c r="K2772" t="s">
        <v>364</v>
      </c>
      <c r="L2772" s="5"/>
      <c r="M2772" s="5"/>
      <c r="N2772" t="s">
        <v>82</v>
      </c>
      <c r="O2772" t="s">
        <v>8443</v>
      </c>
      <c r="R2772">
        <v>1</v>
      </c>
      <c r="T2772" s="5"/>
      <c r="W2772">
        <v>32</v>
      </c>
      <c r="X2772" t="s">
        <v>4412</v>
      </c>
      <c r="Y2772" t="str">
        <f>VLOOKUP(C2772,'[1]DBS_KPY Sorumlular'!A:C,2,FALSE)</f>
        <v>Tayfun VİÇE</v>
      </c>
      <c r="Z2772" t="str">
        <f>VLOOKUP(C2772,'[1]DBS_KPY Sorumlular'!A:C,3,FALSE)</f>
        <v>Mehmet Ali YAVUZ</v>
      </c>
      <c r="AA2772" t="str">
        <f>VLOOKUP(K2772,[1]!Tablo3[#Data],2,FALSE)</f>
        <v>Kadir TOPÇU</v>
      </c>
    </row>
    <row r="2773" spans="1:27" x14ac:dyDescent="0.25">
      <c r="A2773">
        <v>4084</v>
      </c>
      <c r="B2773" t="s">
        <v>27</v>
      </c>
      <c r="C2773" t="s">
        <v>402</v>
      </c>
      <c r="D2773" t="s">
        <v>403</v>
      </c>
      <c r="G2773" t="s">
        <v>384</v>
      </c>
      <c r="H2773" t="s">
        <v>8444</v>
      </c>
      <c r="I2773" s="4">
        <v>44712.875</v>
      </c>
      <c r="K2773" t="s">
        <v>364</v>
      </c>
      <c r="L2773" s="5"/>
      <c r="M2773" s="5"/>
      <c r="N2773" t="s">
        <v>82</v>
      </c>
      <c r="O2773" t="s">
        <v>8445</v>
      </c>
      <c r="R2773">
        <v>1</v>
      </c>
      <c r="T2773" s="5"/>
      <c r="W2773">
        <v>32</v>
      </c>
      <c r="X2773" t="s">
        <v>4412</v>
      </c>
      <c r="Y2773" t="str">
        <f>VLOOKUP(C2773,'[1]DBS_KPY Sorumlular'!A:C,2,FALSE)</f>
        <v>Tayfun VİÇE</v>
      </c>
      <c r="Z2773" t="str">
        <f>VLOOKUP(C2773,'[1]DBS_KPY Sorumlular'!A:C,3,FALSE)</f>
        <v>Mehmet Ali YAVUZ</v>
      </c>
      <c r="AA2773" t="str">
        <f>VLOOKUP(K2773,[1]!Tablo3[#Data],2,FALSE)</f>
        <v>Kadir TOPÇU</v>
      </c>
    </row>
    <row r="2774" spans="1:27" x14ac:dyDescent="0.25">
      <c r="A2774">
        <v>4085</v>
      </c>
      <c r="B2774" t="s">
        <v>27</v>
      </c>
      <c r="C2774" t="s">
        <v>402</v>
      </c>
      <c r="D2774" t="s">
        <v>403</v>
      </c>
      <c r="G2774" t="s">
        <v>384</v>
      </c>
      <c r="H2774" t="s">
        <v>8446</v>
      </c>
      <c r="I2774" s="4">
        <v>44712.875</v>
      </c>
      <c r="K2774" t="s">
        <v>364</v>
      </c>
      <c r="L2774" s="5"/>
      <c r="M2774" s="5"/>
      <c r="N2774" t="s">
        <v>82</v>
      </c>
      <c r="O2774" t="s">
        <v>8447</v>
      </c>
      <c r="R2774">
        <v>1</v>
      </c>
      <c r="T2774" s="5"/>
      <c r="W2774">
        <v>8</v>
      </c>
      <c r="X2774" t="s">
        <v>8399</v>
      </c>
      <c r="Y2774" t="str">
        <f>VLOOKUP(C2774,'[1]DBS_KPY Sorumlular'!A:C,2,FALSE)</f>
        <v>Tayfun VİÇE</v>
      </c>
      <c r="Z2774" t="str">
        <f>VLOOKUP(C2774,'[1]DBS_KPY Sorumlular'!A:C,3,FALSE)</f>
        <v>Mehmet Ali YAVUZ</v>
      </c>
      <c r="AA2774" t="str">
        <f>VLOOKUP(K2774,[1]!Tablo3[#Data],2,FALSE)</f>
        <v>Kadir TOPÇU</v>
      </c>
    </row>
    <row r="2775" spans="1:27" x14ac:dyDescent="0.25">
      <c r="A2775">
        <v>4086</v>
      </c>
      <c r="B2775" t="s">
        <v>27</v>
      </c>
      <c r="C2775" t="s">
        <v>402</v>
      </c>
      <c r="D2775" t="s">
        <v>403</v>
      </c>
      <c r="G2775" t="s">
        <v>384</v>
      </c>
      <c r="H2775" t="s">
        <v>8448</v>
      </c>
      <c r="I2775" s="4">
        <v>44712.875</v>
      </c>
      <c r="K2775" t="s">
        <v>364</v>
      </c>
      <c r="L2775" s="5"/>
      <c r="M2775" s="5"/>
      <c r="N2775" t="s">
        <v>82</v>
      </c>
      <c r="O2775" t="s">
        <v>8449</v>
      </c>
      <c r="R2775">
        <v>1</v>
      </c>
      <c r="T2775" s="5"/>
      <c r="W2775">
        <v>32</v>
      </c>
      <c r="X2775" t="s">
        <v>4412</v>
      </c>
      <c r="Y2775" t="str">
        <f>VLOOKUP(C2775,'[1]DBS_KPY Sorumlular'!A:C,2,FALSE)</f>
        <v>Tayfun VİÇE</v>
      </c>
      <c r="Z2775" t="str">
        <f>VLOOKUP(C2775,'[1]DBS_KPY Sorumlular'!A:C,3,FALSE)</f>
        <v>Mehmet Ali YAVUZ</v>
      </c>
      <c r="AA2775" t="str">
        <f>VLOOKUP(K2775,[1]!Tablo3[#Data],2,FALSE)</f>
        <v>Kadir TOPÇU</v>
      </c>
    </row>
    <row r="2776" spans="1:27" x14ac:dyDescent="0.25">
      <c r="A2776">
        <v>4087</v>
      </c>
      <c r="B2776" t="s">
        <v>27</v>
      </c>
      <c r="C2776" t="s">
        <v>402</v>
      </c>
      <c r="D2776" t="s">
        <v>403</v>
      </c>
      <c r="G2776" t="s">
        <v>384</v>
      </c>
      <c r="H2776" t="s">
        <v>8450</v>
      </c>
      <c r="I2776" s="4">
        <v>44712.875</v>
      </c>
      <c r="K2776" t="s">
        <v>364</v>
      </c>
      <c r="L2776" s="5"/>
      <c r="M2776" s="5"/>
      <c r="N2776" t="s">
        <v>82</v>
      </c>
      <c r="O2776" t="s">
        <v>8451</v>
      </c>
      <c r="R2776">
        <v>1</v>
      </c>
      <c r="T2776" s="5"/>
      <c r="W2776">
        <v>32</v>
      </c>
      <c r="X2776" t="s">
        <v>4412</v>
      </c>
      <c r="Y2776" t="str">
        <f>VLOOKUP(C2776,'[1]DBS_KPY Sorumlular'!A:C,2,FALSE)</f>
        <v>Tayfun VİÇE</v>
      </c>
      <c r="Z2776" t="str">
        <f>VLOOKUP(C2776,'[1]DBS_KPY Sorumlular'!A:C,3,FALSE)</f>
        <v>Mehmet Ali YAVUZ</v>
      </c>
      <c r="AA2776" t="str">
        <f>VLOOKUP(K2776,[1]!Tablo3[#Data],2,FALSE)</f>
        <v>Kadir TOPÇU</v>
      </c>
    </row>
    <row r="2777" spans="1:27" x14ac:dyDescent="0.25">
      <c r="A2777">
        <v>4088</v>
      </c>
      <c r="B2777" t="s">
        <v>27</v>
      </c>
      <c r="C2777" t="s">
        <v>402</v>
      </c>
      <c r="D2777" t="s">
        <v>403</v>
      </c>
      <c r="G2777" t="s">
        <v>384</v>
      </c>
      <c r="H2777" t="s">
        <v>8452</v>
      </c>
      <c r="I2777" s="4">
        <v>44712.875</v>
      </c>
      <c r="K2777" t="s">
        <v>364</v>
      </c>
      <c r="L2777" s="5"/>
      <c r="M2777" s="5"/>
      <c r="N2777" t="s">
        <v>82</v>
      </c>
      <c r="O2777" t="s">
        <v>8453</v>
      </c>
      <c r="R2777">
        <v>1</v>
      </c>
      <c r="T2777" s="5"/>
      <c r="W2777">
        <v>131</v>
      </c>
      <c r="X2777" t="s">
        <v>61</v>
      </c>
      <c r="Y2777" t="str">
        <f>VLOOKUP(C2777,'[1]DBS_KPY Sorumlular'!A:C,2,FALSE)</f>
        <v>Tayfun VİÇE</v>
      </c>
      <c r="Z2777" t="str">
        <f>VLOOKUP(C2777,'[1]DBS_KPY Sorumlular'!A:C,3,FALSE)</f>
        <v>Mehmet Ali YAVUZ</v>
      </c>
      <c r="AA2777" t="str">
        <f>VLOOKUP(K2777,[1]!Tablo3[#Data],2,FALSE)</f>
        <v>Kadir TOPÇU</v>
      </c>
    </row>
    <row r="2778" spans="1:27" x14ac:dyDescent="0.25">
      <c r="A2778">
        <v>4089</v>
      </c>
      <c r="B2778" t="s">
        <v>27</v>
      </c>
      <c r="C2778" t="s">
        <v>402</v>
      </c>
      <c r="D2778" t="s">
        <v>403</v>
      </c>
      <c r="G2778" t="s">
        <v>384</v>
      </c>
      <c r="H2778" t="s">
        <v>8454</v>
      </c>
      <c r="I2778" s="4">
        <v>45077.875</v>
      </c>
      <c r="K2778" t="s">
        <v>364</v>
      </c>
      <c r="L2778" s="5"/>
      <c r="M2778" s="5"/>
      <c r="N2778" t="s">
        <v>82</v>
      </c>
      <c r="O2778" t="s">
        <v>8455</v>
      </c>
      <c r="R2778">
        <v>1</v>
      </c>
      <c r="T2778" s="5"/>
      <c r="W2778">
        <v>76</v>
      </c>
      <c r="X2778" t="s">
        <v>443</v>
      </c>
      <c r="Y2778" t="str">
        <f>VLOOKUP(C2778,'[1]DBS_KPY Sorumlular'!A:C,2,FALSE)</f>
        <v>Tayfun VİÇE</v>
      </c>
      <c r="Z2778" t="str">
        <f>VLOOKUP(C2778,'[1]DBS_KPY Sorumlular'!A:C,3,FALSE)</f>
        <v>Mehmet Ali YAVUZ</v>
      </c>
      <c r="AA2778" t="str">
        <f>VLOOKUP(K2778,[1]!Tablo3[#Data],2,FALSE)</f>
        <v>Kadir TOPÇU</v>
      </c>
    </row>
    <row r="2779" spans="1:27" x14ac:dyDescent="0.25">
      <c r="A2779">
        <v>4090</v>
      </c>
      <c r="B2779" t="s">
        <v>27</v>
      </c>
      <c r="C2779" t="s">
        <v>402</v>
      </c>
      <c r="D2779" t="s">
        <v>403</v>
      </c>
      <c r="G2779" t="s">
        <v>384</v>
      </c>
      <c r="H2779" t="s">
        <v>8456</v>
      </c>
      <c r="I2779" s="4">
        <v>45077.875</v>
      </c>
      <c r="K2779" t="s">
        <v>364</v>
      </c>
      <c r="L2779" s="5"/>
      <c r="M2779" s="5"/>
      <c r="N2779" t="s">
        <v>82</v>
      </c>
      <c r="O2779" t="s">
        <v>8457</v>
      </c>
      <c r="R2779">
        <v>1</v>
      </c>
      <c r="T2779" s="5"/>
      <c r="W2779">
        <v>8</v>
      </c>
      <c r="X2779" t="s">
        <v>8399</v>
      </c>
      <c r="Y2779" t="str">
        <f>VLOOKUP(C2779,'[1]DBS_KPY Sorumlular'!A:C,2,FALSE)</f>
        <v>Tayfun VİÇE</v>
      </c>
      <c r="Z2779" t="str">
        <f>VLOOKUP(C2779,'[1]DBS_KPY Sorumlular'!A:C,3,FALSE)</f>
        <v>Mehmet Ali YAVUZ</v>
      </c>
      <c r="AA2779" t="str">
        <f>VLOOKUP(K2779,[1]!Tablo3[#Data],2,FALSE)</f>
        <v>Kadir TOPÇU</v>
      </c>
    </row>
    <row r="2780" spans="1:27" x14ac:dyDescent="0.25">
      <c r="A2780">
        <v>4091</v>
      </c>
      <c r="B2780" t="s">
        <v>27</v>
      </c>
      <c r="C2780" t="s">
        <v>402</v>
      </c>
      <c r="D2780" t="s">
        <v>403</v>
      </c>
      <c r="G2780" t="s">
        <v>384</v>
      </c>
      <c r="H2780" t="s">
        <v>8458</v>
      </c>
      <c r="I2780" s="4">
        <v>45077.875</v>
      </c>
      <c r="K2780" t="s">
        <v>364</v>
      </c>
      <c r="L2780" s="5"/>
      <c r="M2780" s="5"/>
      <c r="N2780" t="s">
        <v>82</v>
      </c>
      <c r="O2780" t="s">
        <v>8459</v>
      </c>
      <c r="R2780">
        <v>1</v>
      </c>
      <c r="T2780" s="5"/>
      <c r="W2780">
        <v>8</v>
      </c>
      <c r="X2780" t="s">
        <v>8399</v>
      </c>
      <c r="Y2780" t="str">
        <f>VLOOKUP(C2780,'[1]DBS_KPY Sorumlular'!A:C,2,FALSE)</f>
        <v>Tayfun VİÇE</v>
      </c>
      <c r="Z2780" t="str">
        <f>VLOOKUP(C2780,'[1]DBS_KPY Sorumlular'!A:C,3,FALSE)</f>
        <v>Mehmet Ali YAVUZ</v>
      </c>
      <c r="AA2780" t="str">
        <f>VLOOKUP(K2780,[1]!Tablo3[#Data],2,FALSE)</f>
        <v>Kadir TOPÇU</v>
      </c>
    </row>
    <row r="2781" spans="1:27" x14ac:dyDescent="0.25">
      <c r="A2781">
        <v>4092</v>
      </c>
      <c r="B2781" t="s">
        <v>27</v>
      </c>
      <c r="C2781" t="s">
        <v>402</v>
      </c>
      <c r="D2781" t="s">
        <v>403</v>
      </c>
      <c r="G2781" t="s">
        <v>384</v>
      </c>
      <c r="H2781" t="s">
        <v>8460</v>
      </c>
      <c r="I2781" s="4">
        <v>45077.875</v>
      </c>
      <c r="K2781" t="s">
        <v>364</v>
      </c>
      <c r="L2781" s="5"/>
      <c r="M2781" s="5"/>
      <c r="N2781" t="s">
        <v>82</v>
      </c>
      <c r="O2781" t="s">
        <v>8461</v>
      </c>
      <c r="R2781">
        <v>1</v>
      </c>
      <c r="T2781" s="5"/>
      <c r="W2781">
        <v>36</v>
      </c>
      <c r="X2781" t="s">
        <v>1051</v>
      </c>
      <c r="Y2781" t="str">
        <f>VLOOKUP(C2781,'[1]DBS_KPY Sorumlular'!A:C,2,FALSE)</f>
        <v>Tayfun VİÇE</v>
      </c>
      <c r="Z2781" t="str">
        <f>VLOOKUP(C2781,'[1]DBS_KPY Sorumlular'!A:C,3,FALSE)</f>
        <v>Mehmet Ali YAVUZ</v>
      </c>
      <c r="AA2781" t="str">
        <f>VLOOKUP(K2781,[1]!Tablo3[#Data],2,FALSE)</f>
        <v>Kadir TOPÇU</v>
      </c>
    </row>
    <row r="2782" spans="1:27" x14ac:dyDescent="0.25">
      <c r="A2782">
        <v>4093</v>
      </c>
      <c r="B2782" t="s">
        <v>27</v>
      </c>
      <c r="C2782" t="s">
        <v>402</v>
      </c>
      <c r="D2782" t="s">
        <v>403</v>
      </c>
      <c r="G2782" t="s">
        <v>384</v>
      </c>
      <c r="H2782" t="s">
        <v>8462</v>
      </c>
      <c r="I2782" s="4">
        <v>45077.875</v>
      </c>
      <c r="K2782" t="s">
        <v>364</v>
      </c>
      <c r="L2782" s="5" t="s">
        <v>8430</v>
      </c>
      <c r="M2782" s="5"/>
      <c r="N2782" t="s">
        <v>82</v>
      </c>
      <c r="O2782" t="s">
        <v>8463</v>
      </c>
      <c r="R2782">
        <v>1</v>
      </c>
      <c r="T2782" s="5"/>
      <c r="W2782">
        <v>270</v>
      </c>
      <c r="X2782" t="s">
        <v>8412</v>
      </c>
      <c r="Y2782" t="str">
        <f>VLOOKUP(C2782,'[1]DBS_KPY Sorumlular'!A:C,2,FALSE)</f>
        <v>Tayfun VİÇE</v>
      </c>
      <c r="Z2782" t="str">
        <f>VLOOKUP(C2782,'[1]DBS_KPY Sorumlular'!A:C,3,FALSE)</f>
        <v>Mehmet Ali YAVUZ</v>
      </c>
      <c r="AA2782" t="str">
        <f>VLOOKUP(K2782,[1]!Tablo3[#Data],2,FALSE)</f>
        <v>Kadir TOPÇU</v>
      </c>
    </row>
    <row r="2783" spans="1:27" x14ac:dyDescent="0.25">
      <c r="A2783">
        <v>4094</v>
      </c>
      <c r="B2783" t="s">
        <v>27</v>
      </c>
      <c r="C2783" t="s">
        <v>402</v>
      </c>
      <c r="D2783" t="s">
        <v>403</v>
      </c>
      <c r="G2783" t="s">
        <v>384</v>
      </c>
      <c r="H2783" t="s">
        <v>8464</v>
      </c>
      <c r="I2783" s="4">
        <v>45443.875</v>
      </c>
      <c r="K2783" t="s">
        <v>181</v>
      </c>
      <c r="L2783" s="5"/>
      <c r="M2783" s="5" t="s">
        <v>8423</v>
      </c>
      <c r="N2783" t="s">
        <v>82</v>
      </c>
      <c r="O2783" t="s">
        <v>8465</v>
      </c>
      <c r="R2783">
        <v>1</v>
      </c>
      <c r="T2783" s="5"/>
      <c r="W2783">
        <v>270</v>
      </c>
      <c r="X2783" t="s">
        <v>8412</v>
      </c>
      <c r="Y2783" t="str">
        <f>VLOOKUP(C2783,'[1]DBS_KPY Sorumlular'!A:C,2,FALSE)</f>
        <v>Tayfun VİÇE</v>
      </c>
      <c r="Z2783" t="str">
        <f>VLOOKUP(C2783,'[1]DBS_KPY Sorumlular'!A:C,3,FALSE)</f>
        <v>Mehmet Ali YAVUZ</v>
      </c>
      <c r="AA2783" t="str">
        <f>VLOOKUP(K2783,[1]!Tablo3[#Data],2,FALSE)</f>
        <v>Erkan AKDOĞAN</v>
      </c>
    </row>
    <row r="2784" spans="1:27" x14ac:dyDescent="0.25">
      <c r="A2784">
        <v>4095</v>
      </c>
      <c r="B2784" t="s">
        <v>27</v>
      </c>
      <c r="C2784" t="s">
        <v>402</v>
      </c>
      <c r="D2784" t="s">
        <v>403</v>
      </c>
      <c r="G2784" t="s">
        <v>384</v>
      </c>
      <c r="H2784" t="s">
        <v>8466</v>
      </c>
      <c r="I2784" s="4">
        <v>45443.875</v>
      </c>
      <c r="K2784" t="s">
        <v>181</v>
      </c>
      <c r="L2784" s="5"/>
      <c r="M2784" s="5" t="s">
        <v>8423</v>
      </c>
      <c r="N2784" t="s">
        <v>82</v>
      </c>
      <c r="O2784" t="s">
        <v>8467</v>
      </c>
      <c r="R2784">
        <v>1</v>
      </c>
      <c r="T2784" s="5"/>
      <c r="W2784">
        <v>270</v>
      </c>
      <c r="X2784" t="s">
        <v>8412</v>
      </c>
      <c r="Y2784" t="str">
        <f>VLOOKUP(C2784,'[1]DBS_KPY Sorumlular'!A:C,2,FALSE)</f>
        <v>Tayfun VİÇE</v>
      </c>
      <c r="Z2784" t="str">
        <f>VLOOKUP(C2784,'[1]DBS_KPY Sorumlular'!A:C,3,FALSE)</f>
        <v>Mehmet Ali YAVUZ</v>
      </c>
      <c r="AA2784" t="str">
        <f>VLOOKUP(K2784,[1]!Tablo3[#Data],2,FALSE)</f>
        <v>Erkan AKDOĞAN</v>
      </c>
    </row>
    <row r="2785" spans="1:27" x14ac:dyDescent="0.25">
      <c r="A2785">
        <v>4096</v>
      </c>
      <c r="B2785" t="s">
        <v>27</v>
      </c>
      <c r="C2785" t="s">
        <v>402</v>
      </c>
      <c r="D2785" t="s">
        <v>403</v>
      </c>
      <c r="G2785" t="s">
        <v>384</v>
      </c>
      <c r="H2785" t="s">
        <v>8468</v>
      </c>
      <c r="I2785" s="4">
        <v>44347.875</v>
      </c>
      <c r="K2785" t="s">
        <v>435</v>
      </c>
      <c r="L2785" s="5"/>
      <c r="M2785" s="5"/>
      <c r="N2785" t="s">
        <v>82</v>
      </c>
      <c r="O2785" t="s">
        <v>8469</v>
      </c>
      <c r="R2785">
        <v>1</v>
      </c>
      <c r="T2785" s="5"/>
      <c r="W2785">
        <v>32</v>
      </c>
      <c r="X2785" t="s">
        <v>4412</v>
      </c>
      <c r="Y2785" t="str">
        <f>VLOOKUP(C2785,'[1]DBS_KPY Sorumlular'!A:C,2,FALSE)</f>
        <v>Tayfun VİÇE</v>
      </c>
      <c r="Z2785" t="str">
        <f>VLOOKUP(C2785,'[1]DBS_KPY Sorumlular'!A:C,3,FALSE)</f>
        <v>Mehmet Ali YAVUZ</v>
      </c>
      <c r="AA2785" t="str">
        <f>VLOOKUP(K2785,[1]!Tablo3[#Data],2,FALSE)</f>
        <v>Tayfun VİÇE</v>
      </c>
    </row>
    <row r="2786" spans="1:27" x14ac:dyDescent="0.25">
      <c r="A2786">
        <v>4097</v>
      </c>
      <c r="B2786" t="s">
        <v>27</v>
      </c>
      <c r="C2786" t="s">
        <v>402</v>
      </c>
      <c r="D2786" t="s">
        <v>403</v>
      </c>
      <c r="G2786" t="s">
        <v>384</v>
      </c>
      <c r="H2786" t="s">
        <v>8470</v>
      </c>
      <c r="I2786" s="4">
        <v>44712.875</v>
      </c>
      <c r="K2786" t="s">
        <v>435</v>
      </c>
      <c r="L2786" s="5"/>
      <c r="M2786" s="5"/>
      <c r="N2786" t="s">
        <v>82</v>
      </c>
      <c r="O2786" t="s">
        <v>8471</v>
      </c>
      <c r="R2786">
        <v>1</v>
      </c>
      <c r="T2786" s="5"/>
      <c r="W2786">
        <v>32</v>
      </c>
      <c r="X2786" t="s">
        <v>4412</v>
      </c>
      <c r="Y2786" t="str">
        <f>VLOOKUP(C2786,'[1]DBS_KPY Sorumlular'!A:C,2,FALSE)</f>
        <v>Tayfun VİÇE</v>
      </c>
      <c r="Z2786" t="str">
        <f>VLOOKUP(C2786,'[1]DBS_KPY Sorumlular'!A:C,3,FALSE)</f>
        <v>Mehmet Ali YAVUZ</v>
      </c>
      <c r="AA2786" t="str">
        <f>VLOOKUP(K2786,[1]!Tablo3[#Data],2,FALSE)</f>
        <v>Tayfun VİÇE</v>
      </c>
    </row>
    <row r="2787" spans="1:27" x14ac:dyDescent="0.25">
      <c r="A2787">
        <v>4098</v>
      </c>
      <c r="B2787" t="s">
        <v>27</v>
      </c>
      <c r="C2787" t="s">
        <v>402</v>
      </c>
      <c r="D2787" t="s">
        <v>403</v>
      </c>
      <c r="G2787" t="s">
        <v>384</v>
      </c>
      <c r="H2787" t="s">
        <v>8472</v>
      </c>
      <c r="I2787" s="4">
        <v>45077.875</v>
      </c>
      <c r="K2787" t="s">
        <v>435</v>
      </c>
      <c r="L2787" s="5"/>
      <c r="M2787" s="5"/>
      <c r="N2787" t="s">
        <v>82</v>
      </c>
      <c r="O2787" t="s">
        <v>8473</v>
      </c>
      <c r="R2787">
        <v>1</v>
      </c>
      <c r="T2787" s="5"/>
      <c r="W2787">
        <v>177</v>
      </c>
      <c r="X2787" t="s">
        <v>2818</v>
      </c>
      <c r="Y2787" t="str">
        <f>VLOOKUP(C2787,'[1]DBS_KPY Sorumlular'!A:C,2,FALSE)</f>
        <v>Tayfun VİÇE</v>
      </c>
      <c r="Z2787" t="str">
        <f>VLOOKUP(C2787,'[1]DBS_KPY Sorumlular'!A:C,3,FALSE)</f>
        <v>Mehmet Ali YAVUZ</v>
      </c>
      <c r="AA2787" t="str">
        <f>VLOOKUP(K2787,[1]!Tablo3[#Data],2,FALSE)</f>
        <v>Tayfun VİÇE</v>
      </c>
    </row>
    <row r="2788" spans="1:27" x14ac:dyDescent="0.25">
      <c r="A2788">
        <v>4099</v>
      </c>
      <c r="B2788" t="s">
        <v>27</v>
      </c>
      <c r="C2788" t="s">
        <v>402</v>
      </c>
      <c r="D2788" t="s">
        <v>403</v>
      </c>
      <c r="G2788" t="s">
        <v>384</v>
      </c>
      <c r="H2788" t="s">
        <v>8474</v>
      </c>
      <c r="I2788" s="4">
        <v>45077.875</v>
      </c>
      <c r="K2788" t="s">
        <v>435</v>
      </c>
      <c r="L2788" s="5" t="s">
        <v>8430</v>
      </c>
      <c r="M2788" s="5"/>
      <c r="N2788" t="s">
        <v>82</v>
      </c>
      <c r="O2788" t="s">
        <v>8475</v>
      </c>
      <c r="R2788">
        <v>1</v>
      </c>
      <c r="T2788" s="5"/>
      <c r="W2788">
        <v>32</v>
      </c>
      <c r="X2788" t="s">
        <v>4412</v>
      </c>
      <c r="Y2788" t="str">
        <f>VLOOKUP(C2788,'[1]DBS_KPY Sorumlular'!A:C,2,FALSE)</f>
        <v>Tayfun VİÇE</v>
      </c>
      <c r="Z2788" t="str">
        <f>VLOOKUP(C2788,'[1]DBS_KPY Sorumlular'!A:C,3,FALSE)</f>
        <v>Mehmet Ali YAVUZ</v>
      </c>
      <c r="AA2788" t="str">
        <f>VLOOKUP(K2788,[1]!Tablo3[#Data],2,FALSE)</f>
        <v>Tayfun VİÇE</v>
      </c>
    </row>
    <row r="2789" spans="1:27" x14ac:dyDescent="0.25">
      <c r="A2789">
        <v>4100</v>
      </c>
      <c r="B2789" t="s">
        <v>27</v>
      </c>
      <c r="C2789" t="s">
        <v>402</v>
      </c>
      <c r="D2789" t="s">
        <v>403</v>
      </c>
      <c r="G2789" t="s">
        <v>384</v>
      </c>
      <c r="H2789" t="s">
        <v>8476</v>
      </c>
      <c r="I2789" s="4">
        <v>45077.875</v>
      </c>
      <c r="K2789" t="s">
        <v>435</v>
      </c>
      <c r="L2789" s="5"/>
      <c r="M2789" s="5"/>
      <c r="N2789" t="s">
        <v>82</v>
      </c>
      <c r="O2789" t="s">
        <v>8477</v>
      </c>
      <c r="R2789">
        <v>1</v>
      </c>
      <c r="T2789" s="5"/>
      <c r="W2789">
        <v>32</v>
      </c>
      <c r="X2789" t="s">
        <v>4412</v>
      </c>
      <c r="Y2789" t="str">
        <f>VLOOKUP(C2789,'[1]DBS_KPY Sorumlular'!A:C,2,FALSE)</f>
        <v>Tayfun VİÇE</v>
      </c>
      <c r="Z2789" t="str">
        <f>VLOOKUP(C2789,'[1]DBS_KPY Sorumlular'!A:C,3,FALSE)</f>
        <v>Mehmet Ali YAVUZ</v>
      </c>
      <c r="AA2789" t="str">
        <f>VLOOKUP(K2789,[1]!Tablo3[#Data],2,FALSE)</f>
        <v>Tayfun VİÇE</v>
      </c>
    </row>
    <row r="2790" spans="1:27" x14ac:dyDescent="0.25">
      <c r="A2790">
        <v>4101</v>
      </c>
      <c r="B2790" t="s">
        <v>27</v>
      </c>
      <c r="C2790" t="s">
        <v>402</v>
      </c>
      <c r="D2790" t="s">
        <v>403</v>
      </c>
      <c r="G2790" t="s">
        <v>384</v>
      </c>
      <c r="H2790" t="s">
        <v>8478</v>
      </c>
      <c r="I2790" s="4">
        <v>45077.875</v>
      </c>
      <c r="K2790" t="s">
        <v>435</v>
      </c>
      <c r="L2790" s="5"/>
      <c r="M2790" s="5"/>
      <c r="N2790" t="s">
        <v>82</v>
      </c>
      <c r="O2790" t="s">
        <v>8479</v>
      </c>
      <c r="R2790">
        <v>1</v>
      </c>
      <c r="T2790" s="5"/>
      <c r="W2790">
        <v>29</v>
      </c>
      <c r="X2790" t="s">
        <v>7107</v>
      </c>
      <c r="Y2790" t="str">
        <f>VLOOKUP(C2790,'[1]DBS_KPY Sorumlular'!A:C,2,FALSE)</f>
        <v>Tayfun VİÇE</v>
      </c>
      <c r="Z2790" t="str">
        <f>VLOOKUP(C2790,'[1]DBS_KPY Sorumlular'!A:C,3,FALSE)</f>
        <v>Mehmet Ali YAVUZ</v>
      </c>
      <c r="AA2790" t="str">
        <f>VLOOKUP(K2790,[1]!Tablo3[#Data],2,FALSE)</f>
        <v>Tayfun VİÇE</v>
      </c>
    </row>
    <row r="2791" spans="1:27" x14ac:dyDescent="0.25">
      <c r="A2791">
        <v>4102</v>
      </c>
      <c r="B2791" t="s">
        <v>27</v>
      </c>
      <c r="C2791" t="s">
        <v>402</v>
      </c>
      <c r="D2791" t="s">
        <v>403</v>
      </c>
      <c r="G2791" t="s">
        <v>384</v>
      </c>
      <c r="H2791" t="s">
        <v>8480</v>
      </c>
      <c r="I2791" s="4">
        <v>45077.875</v>
      </c>
      <c r="K2791" t="s">
        <v>435</v>
      </c>
      <c r="L2791" s="5"/>
      <c r="M2791" s="5"/>
      <c r="N2791" t="s">
        <v>82</v>
      </c>
      <c r="O2791" t="s">
        <v>8481</v>
      </c>
      <c r="R2791">
        <v>1</v>
      </c>
      <c r="T2791" s="5"/>
      <c r="W2791">
        <v>66</v>
      </c>
      <c r="X2791" t="s">
        <v>8482</v>
      </c>
      <c r="Y2791" t="str">
        <f>VLOOKUP(C2791,'[1]DBS_KPY Sorumlular'!A:C,2,FALSE)</f>
        <v>Tayfun VİÇE</v>
      </c>
      <c r="Z2791" t="str">
        <f>VLOOKUP(C2791,'[1]DBS_KPY Sorumlular'!A:C,3,FALSE)</f>
        <v>Mehmet Ali YAVUZ</v>
      </c>
      <c r="AA2791" t="str">
        <f>VLOOKUP(K2791,[1]!Tablo3[#Data],2,FALSE)</f>
        <v>Tayfun VİÇE</v>
      </c>
    </row>
    <row r="2792" spans="1:27" x14ac:dyDescent="0.25">
      <c r="A2792">
        <v>4103</v>
      </c>
      <c r="B2792" t="s">
        <v>27</v>
      </c>
      <c r="C2792" t="s">
        <v>402</v>
      </c>
      <c r="D2792" t="s">
        <v>403</v>
      </c>
      <c r="G2792" t="s">
        <v>384</v>
      </c>
      <c r="H2792" t="s">
        <v>8483</v>
      </c>
      <c r="I2792" s="4">
        <v>45077.875</v>
      </c>
      <c r="K2792" t="s">
        <v>435</v>
      </c>
      <c r="L2792" s="5"/>
      <c r="M2792" s="5"/>
      <c r="N2792" t="s">
        <v>82</v>
      </c>
      <c r="O2792" t="s">
        <v>8484</v>
      </c>
      <c r="R2792">
        <v>1</v>
      </c>
      <c r="T2792" s="5"/>
      <c r="W2792">
        <v>8</v>
      </c>
      <c r="X2792" t="s">
        <v>8399</v>
      </c>
      <c r="Y2792" t="str">
        <f>VLOOKUP(C2792,'[1]DBS_KPY Sorumlular'!A:C,2,FALSE)</f>
        <v>Tayfun VİÇE</v>
      </c>
      <c r="Z2792" t="str">
        <f>VLOOKUP(C2792,'[1]DBS_KPY Sorumlular'!A:C,3,FALSE)</f>
        <v>Mehmet Ali YAVUZ</v>
      </c>
      <c r="AA2792" t="str">
        <f>VLOOKUP(K2792,[1]!Tablo3[#Data],2,FALSE)</f>
        <v>Tayfun VİÇE</v>
      </c>
    </row>
    <row r="2793" spans="1:27" x14ac:dyDescent="0.25">
      <c r="A2793">
        <v>4104</v>
      </c>
      <c r="B2793" t="s">
        <v>27</v>
      </c>
      <c r="C2793" t="s">
        <v>402</v>
      </c>
      <c r="D2793" t="s">
        <v>403</v>
      </c>
      <c r="G2793" t="s">
        <v>384</v>
      </c>
      <c r="H2793" t="s">
        <v>8485</v>
      </c>
      <c r="I2793" s="4">
        <v>45443.875</v>
      </c>
      <c r="K2793" t="s">
        <v>435</v>
      </c>
      <c r="L2793" s="5"/>
      <c r="M2793" s="5"/>
      <c r="N2793" t="s">
        <v>82</v>
      </c>
      <c r="O2793" t="s">
        <v>8486</v>
      </c>
      <c r="R2793">
        <v>1</v>
      </c>
      <c r="T2793" s="5"/>
      <c r="W2793">
        <v>32</v>
      </c>
      <c r="X2793" t="s">
        <v>4412</v>
      </c>
      <c r="Y2793" t="str">
        <f>VLOOKUP(C2793,'[1]DBS_KPY Sorumlular'!A:C,2,FALSE)</f>
        <v>Tayfun VİÇE</v>
      </c>
      <c r="Z2793" t="str">
        <f>VLOOKUP(C2793,'[1]DBS_KPY Sorumlular'!A:C,3,FALSE)</f>
        <v>Mehmet Ali YAVUZ</v>
      </c>
      <c r="AA2793" t="str">
        <f>VLOOKUP(K2793,[1]!Tablo3[#Data],2,FALSE)</f>
        <v>Tayfun VİÇE</v>
      </c>
    </row>
    <row r="2794" spans="1:27" x14ac:dyDescent="0.25">
      <c r="A2794">
        <v>4105</v>
      </c>
      <c r="B2794" t="s">
        <v>27</v>
      </c>
      <c r="C2794" t="s">
        <v>402</v>
      </c>
      <c r="D2794" t="s">
        <v>403</v>
      </c>
      <c r="G2794" t="s">
        <v>384</v>
      </c>
      <c r="H2794" t="s">
        <v>8487</v>
      </c>
      <c r="I2794" s="4">
        <v>45443.875</v>
      </c>
      <c r="K2794" t="s">
        <v>435</v>
      </c>
      <c r="L2794" s="5"/>
      <c r="M2794" s="5"/>
      <c r="N2794" t="s">
        <v>82</v>
      </c>
      <c r="O2794" t="s">
        <v>8488</v>
      </c>
      <c r="R2794">
        <v>1</v>
      </c>
      <c r="T2794" s="5"/>
      <c r="W2794">
        <v>114</v>
      </c>
      <c r="X2794" t="s">
        <v>136</v>
      </c>
      <c r="Y2794" t="str">
        <f>VLOOKUP(C2794,'[1]DBS_KPY Sorumlular'!A:C,2,FALSE)</f>
        <v>Tayfun VİÇE</v>
      </c>
      <c r="Z2794" t="str">
        <f>VLOOKUP(C2794,'[1]DBS_KPY Sorumlular'!A:C,3,FALSE)</f>
        <v>Mehmet Ali YAVUZ</v>
      </c>
      <c r="AA2794" t="str">
        <f>VLOOKUP(K2794,[1]!Tablo3[#Data],2,FALSE)</f>
        <v>Tayfun VİÇE</v>
      </c>
    </row>
    <row r="2795" spans="1:27" x14ac:dyDescent="0.25">
      <c r="A2795">
        <v>4106</v>
      </c>
      <c r="B2795" t="s">
        <v>27</v>
      </c>
      <c r="C2795" t="s">
        <v>402</v>
      </c>
      <c r="D2795" t="s">
        <v>403</v>
      </c>
      <c r="G2795" t="s">
        <v>384</v>
      </c>
      <c r="H2795" t="s">
        <v>8489</v>
      </c>
      <c r="I2795" s="4">
        <v>45443.875</v>
      </c>
      <c r="K2795" t="s">
        <v>181</v>
      </c>
      <c r="L2795" s="5"/>
      <c r="M2795" s="5" t="s">
        <v>8423</v>
      </c>
      <c r="N2795" t="s">
        <v>82</v>
      </c>
      <c r="O2795" t="s">
        <v>8490</v>
      </c>
      <c r="R2795">
        <v>1</v>
      </c>
      <c r="T2795" s="5"/>
      <c r="W2795">
        <v>270</v>
      </c>
      <c r="X2795" t="s">
        <v>8412</v>
      </c>
      <c r="Y2795" t="str">
        <f>VLOOKUP(C2795,'[1]DBS_KPY Sorumlular'!A:C,2,FALSE)</f>
        <v>Tayfun VİÇE</v>
      </c>
      <c r="Z2795" t="str">
        <f>VLOOKUP(C2795,'[1]DBS_KPY Sorumlular'!A:C,3,FALSE)</f>
        <v>Mehmet Ali YAVUZ</v>
      </c>
      <c r="AA2795" t="str">
        <f>VLOOKUP(K2795,[1]!Tablo3[#Data],2,FALSE)</f>
        <v>Erkan AKDOĞAN</v>
      </c>
    </row>
    <row r="2796" spans="1:27" x14ac:dyDescent="0.25">
      <c r="A2796">
        <v>4107</v>
      </c>
      <c r="B2796" t="s">
        <v>27</v>
      </c>
      <c r="C2796" t="s">
        <v>402</v>
      </c>
      <c r="D2796" t="s">
        <v>403</v>
      </c>
      <c r="G2796" t="s">
        <v>384</v>
      </c>
      <c r="H2796" t="s">
        <v>8491</v>
      </c>
      <c r="I2796" s="4">
        <v>45443.875</v>
      </c>
      <c r="K2796" t="s">
        <v>181</v>
      </c>
      <c r="L2796" s="5"/>
      <c r="M2796" s="5" t="s">
        <v>8423</v>
      </c>
      <c r="N2796" t="s">
        <v>82</v>
      </c>
      <c r="O2796" t="s">
        <v>8492</v>
      </c>
      <c r="R2796">
        <v>1</v>
      </c>
      <c r="T2796" s="5"/>
      <c r="W2796">
        <v>270</v>
      </c>
      <c r="X2796" t="s">
        <v>8412</v>
      </c>
      <c r="Y2796" t="str">
        <f>VLOOKUP(C2796,'[1]DBS_KPY Sorumlular'!A:C,2,FALSE)</f>
        <v>Tayfun VİÇE</v>
      </c>
      <c r="Z2796" t="str">
        <f>VLOOKUP(C2796,'[1]DBS_KPY Sorumlular'!A:C,3,FALSE)</f>
        <v>Mehmet Ali YAVUZ</v>
      </c>
      <c r="AA2796" t="str">
        <f>VLOOKUP(K2796,[1]!Tablo3[#Data],2,FALSE)</f>
        <v>Erkan AKDOĞAN</v>
      </c>
    </row>
    <row r="2797" spans="1:27" x14ac:dyDescent="0.25">
      <c r="A2797">
        <v>4108</v>
      </c>
      <c r="B2797" t="s">
        <v>27</v>
      </c>
      <c r="C2797" t="s">
        <v>402</v>
      </c>
      <c r="D2797" t="s">
        <v>403</v>
      </c>
      <c r="G2797" t="s">
        <v>384</v>
      </c>
      <c r="H2797" t="s">
        <v>8493</v>
      </c>
      <c r="I2797" s="4">
        <v>45443.875</v>
      </c>
      <c r="K2797" t="s">
        <v>364</v>
      </c>
      <c r="L2797" s="5"/>
      <c r="M2797" s="5" t="s">
        <v>8423</v>
      </c>
      <c r="N2797" t="s">
        <v>82</v>
      </c>
      <c r="O2797" t="s">
        <v>8494</v>
      </c>
      <c r="R2797">
        <v>1</v>
      </c>
      <c r="T2797" s="5"/>
      <c r="W2797">
        <v>270</v>
      </c>
      <c r="X2797" t="s">
        <v>8412</v>
      </c>
      <c r="Y2797" t="str">
        <f>VLOOKUP(C2797,'[1]DBS_KPY Sorumlular'!A:C,2,FALSE)</f>
        <v>Tayfun VİÇE</v>
      </c>
      <c r="Z2797" t="str">
        <f>VLOOKUP(C2797,'[1]DBS_KPY Sorumlular'!A:C,3,FALSE)</f>
        <v>Mehmet Ali YAVUZ</v>
      </c>
      <c r="AA2797" t="str">
        <f>VLOOKUP(K2797,[1]!Tablo3[#Data],2,FALSE)</f>
        <v>Kadir TOPÇU</v>
      </c>
    </row>
    <row r="2798" spans="1:27" x14ac:dyDescent="0.25">
      <c r="A2798">
        <v>4109</v>
      </c>
      <c r="B2798" t="s">
        <v>27</v>
      </c>
      <c r="C2798" t="s">
        <v>402</v>
      </c>
      <c r="D2798" t="s">
        <v>403</v>
      </c>
      <c r="G2798" t="s">
        <v>384</v>
      </c>
      <c r="H2798" t="s">
        <v>8495</v>
      </c>
      <c r="I2798" s="4">
        <v>45443.875</v>
      </c>
      <c r="K2798" t="s">
        <v>364</v>
      </c>
      <c r="L2798" s="5"/>
      <c r="M2798" s="5" t="s">
        <v>8423</v>
      </c>
      <c r="N2798" t="s">
        <v>82</v>
      </c>
      <c r="O2798" t="s">
        <v>8496</v>
      </c>
      <c r="R2798">
        <v>1</v>
      </c>
      <c r="T2798" s="5"/>
      <c r="W2798">
        <v>270</v>
      </c>
      <c r="X2798" t="s">
        <v>8412</v>
      </c>
      <c r="Y2798" t="str">
        <f>VLOOKUP(C2798,'[1]DBS_KPY Sorumlular'!A:C,2,FALSE)</f>
        <v>Tayfun VİÇE</v>
      </c>
      <c r="Z2798" t="str">
        <f>VLOOKUP(C2798,'[1]DBS_KPY Sorumlular'!A:C,3,FALSE)</f>
        <v>Mehmet Ali YAVUZ</v>
      </c>
      <c r="AA2798" t="str">
        <f>VLOOKUP(K2798,[1]!Tablo3[#Data],2,FALSE)</f>
        <v>Kadir TOPÇU</v>
      </c>
    </row>
    <row r="2799" spans="1:27" x14ac:dyDescent="0.25">
      <c r="A2799">
        <v>4110</v>
      </c>
      <c r="B2799" t="s">
        <v>27</v>
      </c>
      <c r="C2799" t="s">
        <v>402</v>
      </c>
      <c r="D2799" t="s">
        <v>403</v>
      </c>
      <c r="G2799" t="s">
        <v>384</v>
      </c>
      <c r="H2799" t="s">
        <v>8497</v>
      </c>
      <c r="I2799" s="4">
        <v>44347.875</v>
      </c>
      <c r="K2799" t="s">
        <v>459</v>
      </c>
      <c r="L2799" s="5" t="s">
        <v>8430</v>
      </c>
      <c r="M2799" s="5"/>
      <c r="N2799" t="s">
        <v>82</v>
      </c>
      <c r="O2799" t="s">
        <v>8498</v>
      </c>
      <c r="R2799">
        <v>1</v>
      </c>
      <c r="T2799" s="5"/>
      <c r="W2799">
        <v>32</v>
      </c>
      <c r="X2799" t="s">
        <v>4412</v>
      </c>
      <c r="Y2799" t="str">
        <f>VLOOKUP(C2799,'[1]DBS_KPY Sorumlular'!A:C,2,FALSE)</f>
        <v>Tayfun VİÇE</v>
      </c>
      <c r="Z2799" t="str">
        <f>VLOOKUP(C2799,'[1]DBS_KPY Sorumlular'!A:C,3,FALSE)</f>
        <v>Mehmet Ali YAVUZ</v>
      </c>
      <c r="AA2799" t="str">
        <f>VLOOKUP(K2799,[1]!Tablo3[#Data],2,FALSE)</f>
        <v>Erkan AKDOĞAN</v>
      </c>
    </row>
    <row r="2800" spans="1:27" x14ac:dyDescent="0.25">
      <c r="A2800">
        <v>4111</v>
      </c>
      <c r="B2800" t="s">
        <v>27</v>
      </c>
      <c r="C2800" t="s">
        <v>402</v>
      </c>
      <c r="D2800" t="s">
        <v>403</v>
      </c>
      <c r="G2800" t="s">
        <v>384</v>
      </c>
      <c r="H2800" t="s">
        <v>8499</v>
      </c>
      <c r="I2800" s="4">
        <v>44712.875</v>
      </c>
      <c r="K2800" t="s">
        <v>636</v>
      </c>
      <c r="L2800" s="5" t="s">
        <v>8430</v>
      </c>
      <c r="M2800" s="5"/>
      <c r="N2800" t="s">
        <v>82</v>
      </c>
      <c r="O2800" t="s">
        <v>8500</v>
      </c>
      <c r="R2800">
        <v>1</v>
      </c>
      <c r="T2800" s="5"/>
      <c r="W2800">
        <v>32</v>
      </c>
      <c r="X2800" t="s">
        <v>4412</v>
      </c>
      <c r="Y2800" t="str">
        <f>VLOOKUP(C2800,'[1]DBS_KPY Sorumlular'!A:C,2,FALSE)</f>
        <v>Tayfun VİÇE</v>
      </c>
      <c r="Z2800" t="str">
        <f>VLOOKUP(C2800,'[1]DBS_KPY Sorumlular'!A:C,3,FALSE)</f>
        <v>Mehmet Ali YAVUZ</v>
      </c>
      <c r="AA2800" t="str">
        <f>VLOOKUP(K2800,[1]!Tablo3[#Data],2,FALSE)</f>
        <v>Erkan AKDOĞAN</v>
      </c>
    </row>
    <row r="2801" spans="1:27" x14ac:dyDescent="0.25">
      <c r="A2801">
        <v>4112</v>
      </c>
      <c r="B2801" t="s">
        <v>27</v>
      </c>
      <c r="C2801" t="s">
        <v>402</v>
      </c>
      <c r="D2801" t="s">
        <v>403</v>
      </c>
      <c r="G2801" t="s">
        <v>384</v>
      </c>
      <c r="H2801" t="s">
        <v>8501</v>
      </c>
      <c r="I2801" s="4">
        <v>43616.875</v>
      </c>
      <c r="K2801" t="s">
        <v>226</v>
      </c>
      <c r="L2801" s="5"/>
      <c r="M2801" s="5"/>
      <c r="N2801" t="s">
        <v>82</v>
      </c>
      <c r="O2801" t="s">
        <v>8502</v>
      </c>
      <c r="R2801">
        <v>1</v>
      </c>
      <c r="T2801" s="5"/>
      <c r="W2801">
        <v>154</v>
      </c>
      <c r="X2801" t="s">
        <v>4370</v>
      </c>
      <c r="Y2801" t="str">
        <f>VLOOKUP(C2801,'[1]DBS_KPY Sorumlular'!A:C,2,FALSE)</f>
        <v>Tayfun VİÇE</v>
      </c>
      <c r="Z2801" t="str">
        <f>VLOOKUP(C2801,'[1]DBS_KPY Sorumlular'!A:C,3,FALSE)</f>
        <v>Mehmet Ali YAVUZ</v>
      </c>
      <c r="AA2801" t="str">
        <f>VLOOKUP(K2801,[1]!Tablo3[#Data],2,FALSE)</f>
        <v>Kadir TOPÇU</v>
      </c>
    </row>
    <row r="2802" spans="1:27" x14ac:dyDescent="0.25">
      <c r="A2802">
        <v>4113</v>
      </c>
      <c r="B2802" t="s">
        <v>27</v>
      </c>
      <c r="C2802" t="s">
        <v>402</v>
      </c>
      <c r="D2802" t="s">
        <v>403</v>
      </c>
      <c r="G2802" t="s">
        <v>384</v>
      </c>
      <c r="H2802" t="s">
        <v>8503</v>
      </c>
      <c r="I2802" s="4">
        <v>43982.875</v>
      </c>
      <c r="K2802" t="s">
        <v>226</v>
      </c>
      <c r="L2802" s="5"/>
      <c r="M2802" s="5"/>
      <c r="N2802" t="s">
        <v>82</v>
      </c>
      <c r="O2802" t="s">
        <v>8504</v>
      </c>
      <c r="R2802">
        <v>1</v>
      </c>
      <c r="T2802" s="5"/>
      <c r="W2802">
        <v>32</v>
      </c>
      <c r="X2802" t="s">
        <v>4412</v>
      </c>
      <c r="Y2802" t="str">
        <f>VLOOKUP(C2802,'[1]DBS_KPY Sorumlular'!A:C,2,FALSE)</f>
        <v>Tayfun VİÇE</v>
      </c>
      <c r="Z2802" t="str">
        <f>VLOOKUP(C2802,'[1]DBS_KPY Sorumlular'!A:C,3,FALSE)</f>
        <v>Mehmet Ali YAVUZ</v>
      </c>
      <c r="AA2802" t="str">
        <f>VLOOKUP(K2802,[1]!Tablo3[#Data],2,FALSE)</f>
        <v>Kadir TOPÇU</v>
      </c>
    </row>
    <row r="2803" spans="1:27" x14ac:dyDescent="0.25">
      <c r="A2803">
        <v>4114</v>
      </c>
      <c r="B2803" t="s">
        <v>27</v>
      </c>
      <c r="C2803" t="s">
        <v>402</v>
      </c>
      <c r="D2803" t="s">
        <v>403</v>
      </c>
      <c r="G2803" t="s">
        <v>384</v>
      </c>
      <c r="H2803" t="s">
        <v>8505</v>
      </c>
      <c r="I2803" s="4">
        <v>43982.875</v>
      </c>
      <c r="K2803" t="s">
        <v>226</v>
      </c>
      <c r="L2803" s="5"/>
      <c r="M2803" s="5"/>
      <c r="N2803" t="s">
        <v>82</v>
      </c>
      <c r="O2803" t="s">
        <v>8506</v>
      </c>
      <c r="R2803">
        <v>1</v>
      </c>
      <c r="T2803" s="5"/>
      <c r="W2803">
        <v>177</v>
      </c>
      <c r="X2803" t="s">
        <v>2818</v>
      </c>
      <c r="Y2803" t="str">
        <f>VLOOKUP(C2803,'[1]DBS_KPY Sorumlular'!A:C,2,FALSE)</f>
        <v>Tayfun VİÇE</v>
      </c>
      <c r="Z2803" t="str">
        <f>VLOOKUP(C2803,'[1]DBS_KPY Sorumlular'!A:C,3,FALSE)</f>
        <v>Mehmet Ali YAVUZ</v>
      </c>
      <c r="AA2803" t="str">
        <f>VLOOKUP(K2803,[1]!Tablo3[#Data],2,FALSE)</f>
        <v>Kadir TOPÇU</v>
      </c>
    </row>
    <row r="2804" spans="1:27" x14ac:dyDescent="0.25">
      <c r="A2804">
        <v>4115</v>
      </c>
      <c r="B2804" t="s">
        <v>27</v>
      </c>
      <c r="C2804" t="s">
        <v>402</v>
      </c>
      <c r="D2804" t="s">
        <v>403</v>
      </c>
      <c r="G2804" t="s">
        <v>384</v>
      </c>
      <c r="H2804" t="s">
        <v>8507</v>
      </c>
      <c r="I2804" s="4">
        <v>43982.875</v>
      </c>
      <c r="K2804" t="s">
        <v>226</v>
      </c>
      <c r="L2804" s="5"/>
      <c r="M2804" s="5"/>
      <c r="N2804" t="s">
        <v>82</v>
      </c>
      <c r="O2804" t="s">
        <v>8508</v>
      </c>
      <c r="R2804">
        <v>1</v>
      </c>
      <c r="T2804" s="5"/>
      <c r="W2804">
        <v>8</v>
      </c>
      <c r="X2804" t="s">
        <v>8399</v>
      </c>
      <c r="Y2804" t="str">
        <f>VLOOKUP(C2804,'[1]DBS_KPY Sorumlular'!A:C,2,FALSE)</f>
        <v>Tayfun VİÇE</v>
      </c>
      <c r="Z2804" t="str">
        <f>VLOOKUP(C2804,'[1]DBS_KPY Sorumlular'!A:C,3,FALSE)</f>
        <v>Mehmet Ali YAVUZ</v>
      </c>
      <c r="AA2804" t="str">
        <f>VLOOKUP(K2804,[1]!Tablo3[#Data],2,FALSE)</f>
        <v>Kadir TOPÇU</v>
      </c>
    </row>
    <row r="2805" spans="1:27" x14ac:dyDescent="0.25">
      <c r="A2805">
        <v>4116</v>
      </c>
      <c r="B2805" t="s">
        <v>27</v>
      </c>
      <c r="C2805" t="s">
        <v>402</v>
      </c>
      <c r="D2805" t="s">
        <v>403</v>
      </c>
      <c r="G2805" t="s">
        <v>384</v>
      </c>
      <c r="H2805" t="s">
        <v>8509</v>
      </c>
      <c r="I2805" s="4">
        <v>43982.875</v>
      </c>
      <c r="K2805" t="s">
        <v>226</v>
      </c>
      <c r="L2805" s="5"/>
      <c r="M2805" s="5"/>
      <c r="N2805" t="s">
        <v>82</v>
      </c>
      <c r="O2805" t="s">
        <v>8510</v>
      </c>
      <c r="R2805">
        <v>1</v>
      </c>
      <c r="T2805" s="5"/>
      <c r="W2805">
        <v>207</v>
      </c>
      <c r="X2805" t="s">
        <v>472</v>
      </c>
      <c r="Y2805" t="str">
        <f>VLOOKUP(C2805,'[1]DBS_KPY Sorumlular'!A:C,2,FALSE)</f>
        <v>Tayfun VİÇE</v>
      </c>
      <c r="Z2805" t="str">
        <f>VLOOKUP(C2805,'[1]DBS_KPY Sorumlular'!A:C,3,FALSE)</f>
        <v>Mehmet Ali YAVUZ</v>
      </c>
      <c r="AA2805" t="str">
        <f>VLOOKUP(K2805,[1]!Tablo3[#Data],2,FALSE)</f>
        <v>Kadir TOPÇU</v>
      </c>
    </row>
    <row r="2806" spans="1:27" x14ac:dyDescent="0.25">
      <c r="A2806">
        <v>4117</v>
      </c>
      <c r="B2806" t="s">
        <v>27</v>
      </c>
      <c r="C2806" t="s">
        <v>402</v>
      </c>
      <c r="D2806" t="s">
        <v>403</v>
      </c>
      <c r="G2806" t="s">
        <v>384</v>
      </c>
      <c r="H2806" t="s">
        <v>8511</v>
      </c>
      <c r="I2806" s="4">
        <v>43982.875</v>
      </c>
      <c r="K2806" t="s">
        <v>226</v>
      </c>
      <c r="L2806" s="5"/>
      <c r="M2806" s="5"/>
      <c r="N2806" t="s">
        <v>82</v>
      </c>
      <c r="O2806" t="s">
        <v>8512</v>
      </c>
      <c r="R2806">
        <v>1</v>
      </c>
      <c r="T2806" s="5"/>
      <c r="W2806">
        <v>32</v>
      </c>
      <c r="X2806" t="s">
        <v>4412</v>
      </c>
      <c r="Y2806" t="str">
        <f>VLOOKUP(C2806,'[1]DBS_KPY Sorumlular'!A:C,2,FALSE)</f>
        <v>Tayfun VİÇE</v>
      </c>
      <c r="Z2806" t="str">
        <f>VLOOKUP(C2806,'[1]DBS_KPY Sorumlular'!A:C,3,FALSE)</f>
        <v>Mehmet Ali YAVUZ</v>
      </c>
      <c r="AA2806" t="str">
        <f>VLOOKUP(K2806,[1]!Tablo3[#Data],2,FALSE)</f>
        <v>Kadir TOPÇU</v>
      </c>
    </row>
    <row r="2807" spans="1:27" x14ac:dyDescent="0.25">
      <c r="A2807">
        <v>4118</v>
      </c>
      <c r="B2807" t="s">
        <v>27</v>
      </c>
      <c r="C2807" t="s">
        <v>402</v>
      </c>
      <c r="D2807" t="s">
        <v>403</v>
      </c>
      <c r="G2807" t="s">
        <v>384</v>
      </c>
      <c r="H2807" t="s">
        <v>8513</v>
      </c>
      <c r="I2807" s="4">
        <v>43982.875</v>
      </c>
      <c r="K2807" t="s">
        <v>226</v>
      </c>
      <c r="L2807" s="5"/>
      <c r="M2807" s="5"/>
      <c r="N2807" t="s">
        <v>82</v>
      </c>
      <c r="O2807" t="s">
        <v>8514</v>
      </c>
      <c r="R2807">
        <v>1</v>
      </c>
      <c r="T2807" s="5"/>
      <c r="W2807">
        <v>196</v>
      </c>
      <c r="X2807" t="s">
        <v>7066</v>
      </c>
      <c r="Y2807" t="str">
        <f>VLOOKUP(C2807,'[1]DBS_KPY Sorumlular'!A:C,2,FALSE)</f>
        <v>Tayfun VİÇE</v>
      </c>
      <c r="Z2807" t="str">
        <f>VLOOKUP(C2807,'[1]DBS_KPY Sorumlular'!A:C,3,FALSE)</f>
        <v>Mehmet Ali YAVUZ</v>
      </c>
      <c r="AA2807" t="str">
        <f>VLOOKUP(K2807,[1]!Tablo3[#Data],2,FALSE)</f>
        <v>Kadir TOPÇU</v>
      </c>
    </row>
    <row r="2808" spans="1:27" x14ac:dyDescent="0.25">
      <c r="A2808">
        <v>4119</v>
      </c>
      <c r="B2808" t="s">
        <v>27</v>
      </c>
      <c r="C2808" t="s">
        <v>402</v>
      </c>
      <c r="D2808" t="s">
        <v>403</v>
      </c>
      <c r="G2808" t="s">
        <v>384</v>
      </c>
      <c r="H2808" t="s">
        <v>8515</v>
      </c>
      <c r="I2808" s="4">
        <v>43982.875</v>
      </c>
      <c r="K2808" t="s">
        <v>226</v>
      </c>
      <c r="L2808" s="5" t="s">
        <v>8430</v>
      </c>
      <c r="M2808" s="5"/>
      <c r="N2808" t="s">
        <v>82</v>
      </c>
      <c r="O2808" t="s">
        <v>8516</v>
      </c>
      <c r="R2808">
        <v>1</v>
      </c>
      <c r="T2808" s="5"/>
      <c r="W2808">
        <v>158</v>
      </c>
      <c r="X2808" t="s">
        <v>8517</v>
      </c>
      <c r="Y2808" t="str">
        <f>VLOOKUP(C2808,'[1]DBS_KPY Sorumlular'!A:C,2,FALSE)</f>
        <v>Tayfun VİÇE</v>
      </c>
      <c r="Z2808" t="str">
        <f>VLOOKUP(C2808,'[1]DBS_KPY Sorumlular'!A:C,3,FALSE)</f>
        <v>Mehmet Ali YAVUZ</v>
      </c>
      <c r="AA2808" t="str">
        <f>VLOOKUP(K2808,[1]!Tablo3[#Data],2,FALSE)</f>
        <v>Kadir TOPÇU</v>
      </c>
    </row>
    <row r="2809" spans="1:27" x14ac:dyDescent="0.25">
      <c r="A2809">
        <v>4120</v>
      </c>
      <c r="B2809" t="s">
        <v>27</v>
      </c>
      <c r="C2809" t="s">
        <v>402</v>
      </c>
      <c r="D2809" t="s">
        <v>403</v>
      </c>
      <c r="G2809" t="s">
        <v>384</v>
      </c>
      <c r="H2809" t="s">
        <v>8518</v>
      </c>
      <c r="I2809" s="4">
        <v>43982.875</v>
      </c>
      <c r="K2809" t="s">
        <v>423</v>
      </c>
      <c r="L2809" s="5"/>
      <c r="M2809" s="5"/>
      <c r="N2809" t="s">
        <v>82</v>
      </c>
      <c r="O2809" t="s">
        <v>8519</v>
      </c>
      <c r="R2809">
        <v>1</v>
      </c>
      <c r="T2809" s="5"/>
      <c r="W2809">
        <v>154</v>
      </c>
      <c r="X2809" t="s">
        <v>4370</v>
      </c>
      <c r="Y2809" t="str">
        <f>VLOOKUP(C2809,'[1]DBS_KPY Sorumlular'!A:C,2,FALSE)</f>
        <v>Tayfun VİÇE</v>
      </c>
      <c r="Z2809" t="str">
        <f>VLOOKUP(C2809,'[1]DBS_KPY Sorumlular'!A:C,3,FALSE)</f>
        <v>Mehmet Ali YAVUZ</v>
      </c>
      <c r="AA2809" t="str">
        <f>VLOOKUP(K2809,[1]!Tablo3[#Data],2,FALSE)</f>
        <v>Kadir TOPÇU</v>
      </c>
    </row>
    <row r="2810" spans="1:27" x14ac:dyDescent="0.25">
      <c r="A2810">
        <v>4121</v>
      </c>
      <c r="B2810" t="s">
        <v>27</v>
      </c>
      <c r="C2810" t="s">
        <v>402</v>
      </c>
      <c r="D2810" t="s">
        <v>403</v>
      </c>
      <c r="G2810" t="s">
        <v>384</v>
      </c>
      <c r="H2810" t="s">
        <v>8520</v>
      </c>
      <c r="I2810" s="4">
        <v>44347.875</v>
      </c>
      <c r="K2810" t="s">
        <v>226</v>
      </c>
      <c r="L2810" s="5" t="s">
        <v>8430</v>
      </c>
      <c r="M2810" s="5"/>
      <c r="N2810" t="s">
        <v>82</v>
      </c>
      <c r="O2810" t="s">
        <v>8521</v>
      </c>
      <c r="R2810">
        <v>1</v>
      </c>
      <c r="T2810" s="5"/>
      <c r="W2810">
        <v>32</v>
      </c>
      <c r="X2810" t="s">
        <v>4412</v>
      </c>
      <c r="Y2810" t="str">
        <f>VLOOKUP(C2810,'[1]DBS_KPY Sorumlular'!A:C,2,FALSE)</f>
        <v>Tayfun VİÇE</v>
      </c>
      <c r="Z2810" t="str">
        <f>VLOOKUP(C2810,'[1]DBS_KPY Sorumlular'!A:C,3,FALSE)</f>
        <v>Mehmet Ali YAVUZ</v>
      </c>
      <c r="AA2810" t="str">
        <f>VLOOKUP(K2810,[1]!Tablo3[#Data],2,FALSE)</f>
        <v>Kadir TOPÇU</v>
      </c>
    </row>
    <row r="2811" spans="1:27" x14ac:dyDescent="0.25">
      <c r="A2811">
        <v>4122</v>
      </c>
      <c r="B2811" t="s">
        <v>27</v>
      </c>
      <c r="C2811" t="s">
        <v>402</v>
      </c>
      <c r="D2811" t="s">
        <v>403</v>
      </c>
      <c r="G2811" t="s">
        <v>384</v>
      </c>
      <c r="H2811" t="s">
        <v>8522</v>
      </c>
      <c r="I2811" s="4">
        <v>44347.875</v>
      </c>
      <c r="K2811" t="s">
        <v>226</v>
      </c>
      <c r="L2811" s="5"/>
      <c r="M2811" s="5"/>
      <c r="N2811" t="s">
        <v>82</v>
      </c>
      <c r="O2811" t="s">
        <v>8523</v>
      </c>
      <c r="R2811">
        <v>1</v>
      </c>
      <c r="T2811" s="5"/>
      <c r="W2811">
        <v>32</v>
      </c>
      <c r="X2811" t="s">
        <v>4412</v>
      </c>
      <c r="Y2811" t="str">
        <f>VLOOKUP(C2811,'[1]DBS_KPY Sorumlular'!A:C,2,FALSE)</f>
        <v>Tayfun VİÇE</v>
      </c>
      <c r="Z2811" t="str">
        <f>VLOOKUP(C2811,'[1]DBS_KPY Sorumlular'!A:C,3,FALSE)</f>
        <v>Mehmet Ali YAVUZ</v>
      </c>
      <c r="AA2811" t="str">
        <f>VLOOKUP(K2811,[1]!Tablo3[#Data],2,FALSE)</f>
        <v>Kadir TOPÇU</v>
      </c>
    </row>
    <row r="2812" spans="1:27" x14ac:dyDescent="0.25">
      <c r="A2812">
        <v>4123</v>
      </c>
      <c r="B2812" t="s">
        <v>27</v>
      </c>
      <c r="C2812" t="s">
        <v>402</v>
      </c>
      <c r="D2812" t="s">
        <v>403</v>
      </c>
      <c r="G2812" t="s">
        <v>384</v>
      </c>
      <c r="H2812" t="s">
        <v>8524</v>
      </c>
      <c r="I2812" s="4">
        <v>44347.875</v>
      </c>
      <c r="K2812" t="s">
        <v>226</v>
      </c>
      <c r="L2812" s="5"/>
      <c r="M2812" s="5"/>
      <c r="N2812" t="s">
        <v>82</v>
      </c>
      <c r="O2812" t="s">
        <v>8525</v>
      </c>
      <c r="R2812">
        <v>1</v>
      </c>
      <c r="T2812" s="5"/>
      <c r="W2812">
        <v>9</v>
      </c>
      <c r="X2812" t="s">
        <v>8526</v>
      </c>
      <c r="Y2812" t="str">
        <f>VLOOKUP(C2812,'[1]DBS_KPY Sorumlular'!A:C,2,FALSE)</f>
        <v>Tayfun VİÇE</v>
      </c>
      <c r="Z2812" t="str">
        <f>VLOOKUP(C2812,'[1]DBS_KPY Sorumlular'!A:C,3,FALSE)</f>
        <v>Mehmet Ali YAVUZ</v>
      </c>
      <c r="AA2812" t="str">
        <f>VLOOKUP(K2812,[1]!Tablo3[#Data],2,FALSE)</f>
        <v>Kadir TOPÇU</v>
      </c>
    </row>
    <row r="2813" spans="1:27" x14ac:dyDescent="0.25">
      <c r="A2813">
        <v>4124</v>
      </c>
      <c r="B2813" t="s">
        <v>27</v>
      </c>
      <c r="C2813" t="s">
        <v>402</v>
      </c>
      <c r="D2813" t="s">
        <v>403</v>
      </c>
      <c r="G2813" t="s">
        <v>384</v>
      </c>
      <c r="H2813" t="s">
        <v>8527</v>
      </c>
      <c r="I2813" s="4">
        <v>44347.875</v>
      </c>
      <c r="K2813" t="s">
        <v>226</v>
      </c>
      <c r="L2813" s="5"/>
      <c r="M2813" s="5"/>
      <c r="N2813" t="s">
        <v>82</v>
      </c>
      <c r="O2813" t="s">
        <v>8528</v>
      </c>
      <c r="R2813">
        <v>1</v>
      </c>
      <c r="T2813" s="5"/>
      <c r="W2813">
        <v>22</v>
      </c>
      <c r="X2813" t="s">
        <v>1473</v>
      </c>
      <c r="Y2813" t="str">
        <f>VLOOKUP(C2813,'[1]DBS_KPY Sorumlular'!A:C,2,FALSE)</f>
        <v>Tayfun VİÇE</v>
      </c>
      <c r="Z2813" t="str">
        <f>VLOOKUP(C2813,'[1]DBS_KPY Sorumlular'!A:C,3,FALSE)</f>
        <v>Mehmet Ali YAVUZ</v>
      </c>
      <c r="AA2813" t="str">
        <f>VLOOKUP(K2813,[1]!Tablo3[#Data],2,FALSE)</f>
        <v>Kadir TOPÇU</v>
      </c>
    </row>
    <row r="2814" spans="1:27" x14ac:dyDescent="0.25">
      <c r="A2814">
        <v>4125</v>
      </c>
      <c r="B2814" t="s">
        <v>27</v>
      </c>
      <c r="C2814" t="s">
        <v>402</v>
      </c>
      <c r="D2814" t="s">
        <v>403</v>
      </c>
      <c r="G2814" t="s">
        <v>384</v>
      </c>
      <c r="H2814" t="s">
        <v>8529</v>
      </c>
      <c r="I2814" s="4">
        <v>44347.875</v>
      </c>
      <c r="K2814" t="s">
        <v>226</v>
      </c>
      <c r="L2814" s="5" t="s">
        <v>8430</v>
      </c>
      <c r="M2814" s="5"/>
      <c r="N2814" t="s">
        <v>82</v>
      </c>
      <c r="O2814" t="s">
        <v>8530</v>
      </c>
      <c r="R2814">
        <v>1</v>
      </c>
      <c r="T2814" s="5"/>
      <c r="W2814">
        <v>32</v>
      </c>
      <c r="X2814" t="s">
        <v>4412</v>
      </c>
      <c r="Y2814" t="str">
        <f>VLOOKUP(C2814,'[1]DBS_KPY Sorumlular'!A:C,2,FALSE)</f>
        <v>Tayfun VİÇE</v>
      </c>
      <c r="Z2814" t="str">
        <f>VLOOKUP(C2814,'[1]DBS_KPY Sorumlular'!A:C,3,FALSE)</f>
        <v>Mehmet Ali YAVUZ</v>
      </c>
      <c r="AA2814" t="str">
        <f>VLOOKUP(K2814,[1]!Tablo3[#Data],2,FALSE)</f>
        <v>Kadir TOPÇU</v>
      </c>
    </row>
    <row r="2815" spans="1:27" x14ac:dyDescent="0.25">
      <c r="A2815">
        <v>4126</v>
      </c>
      <c r="B2815" t="s">
        <v>27</v>
      </c>
      <c r="C2815" t="s">
        <v>402</v>
      </c>
      <c r="D2815" t="s">
        <v>403</v>
      </c>
      <c r="G2815" t="s">
        <v>384</v>
      </c>
      <c r="H2815" t="s">
        <v>8531</v>
      </c>
      <c r="I2815" s="4">
        <v>44347.875</v>
      </c>
      <c r="K2815" t="s">
        <v>226</v>
      </c>
      <c r="L2815" s="5" t="s">
        <v>8430</v>
      </c>
      <c r="M2815" s="5"/>
      <c r="N2815" t="s">
        <v>82</v>
      </c>
      <c r="O2815" t="s">
        <v>8532</v>
      </c>
      <c r="R2815">
        <v>1</v>
      </c>
      <c r="T2815" s="5"/>
      <c r="W2815">
        <v>32</v>
      </c>
      <c r="X2815" t="s">
        <v>4412</v>
      </c>
      <c r="Y2815" t="str">
        <f>VLOOKUP(C2815,'[1]DBS_KPY Sorumlular'!A:C,2,FALSE)</f>
        <v>Tayfun VİÇE</v>
      </c>
      <c r="Z2815" t="str">
        <f>VLOOKUP(C2815,'[1]DBS_KPY Sorumlular'!A:C,3,FALSE)</f>
        <v>Mehmet Ali YAVUZ</v>
      </c>
      <c r="AA2815" t="str">
        <f>VLOOKUP(K2815,[1]!Tablo3[#Data],2,FALSE)</f>
        <v>Kadir TOPÇU</v>
      </c>
    </row>
    <row r="2816" spans="1:27" x14ac:dyDescent="0.25">
      <c r="A2816">
        <v>4127</v>
      </c>
      <c r="B2816" t="s">
        <v>27</v>
      </c>
      <c r="C2816" t="s">
        <v>402</v>
      </c>
      <c r="D2816" t="s">
        <v>403</v>
      </c>
      <c r="G2816" t="s">
        <v>384</v>
      </c>
      <c r="H2816" t="s">
        <v>8533</v>
      </c>
      <c r="I2816" s="4">
        <v>44712.875</v>
      </c>
      <c r="K2816" t="s">
        <v>226</v>
      </c>
      <c r="L2816" s="5" t="s">
        <v>8430</v>
      </c>
      <c r="M2816" s="5"/>
      <c r="N2816" t="s">
        <v>82</v>
      </c>
      <c r="O2816" t="s">
        <v>8534</v>
      </c>
      <c r="R2816">
        <v>1</v>
      </c>
      <c r="T2816" s="5"/>
      <c r="W2816">
        <v>32</v>
      </c>
      <c r="X2816" t="s">
        <v>4412</v>
      </c>
      <c r="Y2816" t="str">
        <f>VLOOKUP(C2816,'[1]DBS_KPY Sorumlular'!A:C,2,FALSE)</f>
        <v>Tayfun VİÇE</v>
      </c>
      <c r="Z2816" t="str">
        <f>VLOOKUP(C2816,'[1]DBS_KPY Sorumlular'!A:C,3,FALSE)</f>
        <v>Mehmet Ali YAVUZ</v>
      </c>
      <c r="AA2816" t="str">
        <f>VLOOKUP(K2816,[1]!Tablo3[#Data],2,FALSE)</f>
        <v>Kadir TOPÇU</v>
      </c>
    </row>
    <row r="2817" spans="1:27" x14ac:dyDescent="0.25">
      <c r="A2817">
        <v>4128</v>
      </c>
      <c r="B2817" t="s">
        <v>27</v>
      </c>
      <c r="C2817" t="s">
        <v>402</v>
      </c>
      <c r="D2817" t="s">
        <v>403</v>
      </c>
      <c r="G2817" t="s">
        <v>384</v>
      </c>
      <c r="H2817" t="s">
        <v>8535</v>
      </c>
      <c r="I2817" s="4">
        <v>44712.875</v>
      </c>
      <c r="K2817" t="s">
        <v>226</v>
      </c>
      <c r="L2817" s="5"/>
      <c r="M2817" s="5"/>
      <c r="N2817" t="s">
        <v>82</v>
      </c>
      <c r="O2817" t="s">
        <v>8536</v>
      </c>
      <c r="R2817">
        <v>1</v>
      </c>
      <c r="T2817" s="5"/>
      <c r="W2817">
        <v>241</v>
      </c>
      <c r="X2817" t="s">
        <v>3500</v>
      </c>
      <c r="Y2817" t="str">
        <f>VLOOKUP(C2817,'[1]DBS_KPY Sorumlular'!A:C,2,FALSE)</f>
        <v>Tayfun VİÇE</v>
      </c>
      <c r="Z2817" t="str">
        <f>VLOOKUP(C2817,'[1]DBS_KPY Sorumlular'!A:C,3,FALSE)</f>
        <v>Mehmet Ali YAVUZ</v>
      </c>
      <c r="AA2817" t="str">
        <f>VLOOKUP(K2817,[1]!Tablo3[#Data],2,FALSE)</f>
        <v>Kadir TOPÇU</v>
      </c>
    </row>
    <row r="2818" spans="1:27" x14ac:dyDescent="0.25">
      <c r="A2818">
        <v>4129</v>
      </c>
      <c r="B2818" t="s">
        <v>27</v>
      </c>
      <c r="C2818" t="s">
        <v>402</v>
      </c>
      <c r="D2818" t="s">
        <v>403</v>
      </c>
      <c r="G2818" t="s">
        <v>384</v>
      </c>
      <c r="H2818" t="s">
        <v>8537</v>
      </c>
      <c r="I2818" s="4">
        <v>44712.875</v>
      </c>
      <c r="K2818" t="s">
        <v>226</v>
      </c>
      <c r="L2818" s="5"/>
      <c r="M2818" s="5"/>
      <c r="N2818" t="s">
        <v>82</v>
      </c>
      <c r="O2818" t="s">
        <v>8538</v>
      </c>
      <c r="R2818">
        <v>1</v>
      </c>
      <c r="T2818" s="5"/>
      <c r="W2818">
        <v>182</v>
      </c>
      <c r="X2818" t="s">
        <v>785</v>
      </c>
      <c r="Y2818" t="str">
        <f>VLOOKUP(C2818,'[1]DBS_KPY Sorumlular'!A:C,2,FALSE)</f>
        <v>Tayfun VİÇE</v>
      </c>
      <c r="Z2818" t="str">
        <f>VLOOKUP(C2818,'[1]DBS_KPY Sorumlular'!A:C,3,FALSE)</f>
        <v>Mehmet Ali YAVUZ</v>
      </c>
      <c r="AA2818" t="str">
        <f>VLOOKUP(K2818,[1]!Tablo3[#Data],2,FALSE)</f>
        <v>Kadir TOPÇU</v>
      </c>
    </row>
    <row r="2819" spans="1:27" x14ac:dyDescent="0.25">
      <c r="A2819">
        <v>4130</v>
      </c>
      <c r="B2819" t="s">
        <v>27</v>
      </c>
      <c r="C2819" t="s">
        <v>402</v>
      </c>
      <c r="D2819" t="s">
        <v>403</v>
      </c>
      <c r="G2819" t="s">
        <v>384</v>
      </c>
      <c r="H2819" t="s">
        <v>8539</v>
      </c>
      <c r="I2819" s="4">
        <v>44712.875</v>
      </c>
      <c r="K2819" t="s">
        <v>226</v>
      </c>
      <c r="L2819" s="5" t="s">
        <v>8430</v>
      </c>
      <c r="M2819" s="5"/>
      <c r="N2819" t="s">
        <v>82</v>
      </c>
      <c r="O2819" t="s">
        <v>8540</v>
      </c>
      <c r="R2819">
        <v>1</v>
      </c>
      <c r="T2819" s="5"/>
      <c r="W2819">
        <v>32</v>
      </c>
      <c r="X2819" t="s">
        <v>4412</v>
      </c>
      <c r="Y2819" t="str">
        <f>VLOOKUP(C2819,'[1]DBS_KPY Sorumlular'!A:C,2,FALSE)</f>
        <v>Tayfun VİÇE</v>
      </c>
      <c r="Z2819" t="str">
        <f>VLOOKUP(C2819,'[1]DBS_KPY Sorumlular'!A:C,3,FALSE)</f>
        <v>Mehmet Ali YAVUZ</v>
      </c>
      <c r="AA2819" t="str">
        <f>VLOOKUP(K2819,[1]!Tablo3[#Data],2,FALSE)</f>
        <v>Kadir TOPÇU</v>
      </c>
    </row>
    <row r="2820" spans="1:27" x14ac:dyDescent="0.25">
      <c r="A2820">
        <v>4131</v>
      </c>
      <c r="B2820" t="s">
        <v>27</v>
      </c>
      <c r="C2820" t="s">
        <v>402</v>
      </c>
      <c r="D2820" t="s">
        <v>403</v>
      </c>
      <c r="G2820" t="s">
        <v>384</v>
      </c>
      <c r="H2820" t="s">
        <v>8541</v>
      </c>
      <c r="I2820" s="4">
        <v>44712.875</v>
      </c>
      <c r="K2820" t="s">
        <v>226</v>
      </c>
      <c r="L2820" s="5" t="s">
        <v>8430</v>
      </c>
      <c r="M2820" s="5"/>
      <c r="N2820" t="s">
        <v>82</v>
      </c>
      <c r="O2820" t="s">
        <v>8542</v>
      </c>
      <c r="R2820">
        <v>1</v>
      </c>
      <c r="T2820" s="5"/>
      <c r="W2820">
        <v>32</v>
      </c>
      <c r="X2820" t="s">
        <v>4412</v>
      </c>
      <c r="Y2820" t="str">
        <f>VLOOKUP(C2820,'[1]DBS_KPY Sorumlular'!A:C,2,FALSE)</f>
        <v>Tayfun VİÇE</v>
      </c>
      <c r="Z2820" t="str">
        <f>VLOOKUP(C2820,'[1]DBS_KPY Sorumlular'!A:C,3,FALSE)</f>
        <v>Mehmet Ali YAVUZ</v>
      </c>
      <c r="AA2820" t="str">
        <f>VLOOKUP(K2820,[1]!Tablo3[#Data],2,FALSE)</f>
        <v>Kadir TOPÇU</v>
      </c>
    </row>
    <row r="2821" spans="1:27" x14ac:dyDescent="0.25">
      <c r="A2821">
        <v>4132</v>
      </c>
      <c r="B2821" t="s">
        <v>27</v>
      </c>
      <c r="C2821" t="s">
        <v>402</v>
      </c>
      <c r="D2821" t="s">
        <v>403</v>
      </c>
      <c r="G2821" t="s">
        <v>384</v>
      </c>
      <c r="H2821" t="s">
        <v>8543</v>
      </c>
      <c r="I2821" s="4">
        <v>44712.875</v>
      </c>
      <c r="K2821" t="s">
        <v>226</v>
      </c>
      <c r="L2821" s="5"/>
      <c r="M2821" s="5"/>
      <c r="N2821" t="s">
        <v>82</v>
      </c>
      <c r="O2821" t="s">
        <v>8544</v>
      </c>
      <c r="R2821">
        <v>1</v>
      </c>
      <c r="T2821" s="5"/>
      <c r="W2821">
        <v>8</v>
      </c>
      <c r="X2821" t="s">
        <v>8399</v>
      </c>
      <c r="Y2821" t="str">
        <f>VLOOKUP(C2821,'[1]DBS_KPY Sorumlular'!A:C,2,FALSE)</f>
        <v>Tayfun VİÇE</v>
      </c>
      <c r="Z2821" t="str">
        <f>VLOOKUP(C2821,'[1]DBS_KPY Sorumlular'!A:C,3,FALSE)</f>
        <v>Mehmet Ali YAVUZ</v>
      </c>
      <c r="AA2821" t="str">
        <f>VLOOKUP(K2821,[1]!Tablo3[#Data],2,FALSE)</f>
        <v>Kadir TOPÇU</v>
      </c>
    </row>
    <row r="2822" spans="1:27" x14ac:dyDescent="0.25">
      <c r="A2822">
        <v>4133</v>
      </c>
      <c r="B2822" t="s">
        <v>27</v>
      </c>
      <c r="C2822" t="s">
        <v>402</v>
      </c>
      <c r="D2822" t="s">
        <v>403</v>
      </c>
      <c r="G2822" t="s">
        <v>384</v>
      </c>
      <c r="H2822" t="s">
        <v>8545</v>
      </c>
      <c r="I2822" s="4">
        <v>44712.875</v>
      </c>
      <c r="K2822" t="s">
        <v>678</v>
      </c>
      <c r="L2822" s="5" t="s">
        <v>8546</v>
      </c>
      <c r="M2822" s="5"/>
      <c r="N2822" t="s">
        <v>82</v>
      </c>
      <c r="O2822" t="s">
        <v>8547</v>
      </c>
      <c r="R2822">
        <v>1</v>
      </c>
      <c r="T2822" s="5"/>
      <c r="W2822">
        <v>196</v>
      </c>
      <c r="X2822" t="s">
        <v>7066</v>
      </c>
      <c r="Y2822" t="str">
        <f>VLOOKUP(C2822,'[1]DBS_KPY Sorumlular'!A:C,2,FALSE)</f>
        <v>Tayfun VİÇE</v>
      </c>
      <c r="Z2822" t="str">
        <f>VLOOKUP(C2822,'[1]DBS_KPY Sorumlular'!A:C,3,FALSE)</f>
        <v>Mehmet Ali YAVUZ</v>
      </c>
      <c r="AA2822" t="str">
        <f>VLOOKUP(K2822,[1]!Tablo3[#Data],2,FALSE)</f>
        <v>Kadir TOPÇU</v>
      </c>
    </row>
    <row r="2823" spans="1:27" x14ac:dyDescent="0.25">
      <c r="A2823">
        <v>4134</v>
      </c>
      <c r="B2823" t="s">
        <v>27</v>
      </c>
      <c r="C2823" t="s">
        <v>402</v>
      </c>
      <c r="D2823" t="s">
        <v>403</v>
      </c>
      <c r="G2823" t="s">
        <v>384</v>
      </c>
      <c r="H2823" t="s">
        <v>8548</v>
      </c>
      <c r="I2823" s="4">
        <v>45077.875</v>
      </c>
      <c r="K2823" t="s">
        <v>226</v>
      </c>
      <c r="L2823" s="5"/>
      <c r="M2823" s="5"/>
      <c r="N2823" t="s">
        <v>82</v>
      </c>
      <c r="O2823" t="s">
        <v>8549</v>
      </c>
      <c r="R2823">
        <v>1</v>
      </c>
      <c r="T2823" s="5"/>
      <c r="W2823">
        <v>154</v>
      </c>
      <c r="X2823" t="s">
        <v>4370</v>
      </c>
      <c r="Y2823" t="str">
        <f>VLOOKUP(C2823,'[1]DBS_KPY Sorumlular'!A:C,2,FALSE)</f>
        <v>Tayfun VİÇE</v>
      </c>
      <c r="Z2823" t="str">
        <f>VLOOKUP(C2823,'[1]DBS_KPY Sorumlular'!A:C,3,FALSE)</f>
        <v>Mehmet Ali YAVUZ</v>
      </c>
      <c r="AA2823" t="str">
        <f>VLOOKUP(K2823,[1]!Tablo3[#Data],2,FALSE)</f>
        <v>Kadir TOPÇU</v>
      </c>
    </row>
    <row r="2824" spans="1:27" x14ac:dyDescent="0.25">
      <c r="A2824">
        <v>4135</v>
      </c>
      <c r="B2824" t="s">
        <v>27</v>
      </c>
      <c r="C2824" t="s">
        <v>402</v>
      </c>
      <c r="D2824" t="s">
        <v>403</v>
      </c>
      <c r="G2824" t="s">
        <v>384</v>
      </c>
      <c r="H2824" t="s">
        <v>8550</v>
      </c>
      <c r="I2824" s="4">
        <v>45077.875</v>
      </c>
      <c r="K2824" t="s">
        <v>226</v>
      </c>
      <c r="L2824" s="5"/>
      <c r="M2824" s="5"/>
      <c r="N2824" t="s">
        <v>82</v>
      </c>
      <c r="O2824" t="s">
        <v>8551</v>
      </c>
      <c r="R2824">
        <v>1</v>
      </c>
      <c r="T2824" s="5"/>
      <c r="W2824">
        <v>32</v>
      </c>
      <c r="X2824" t="s">
        <v>4412</v>
      </c>
      <c r="Y2824" t="str">
        <f>VLOOKUP(C2824,'[1]DBS_KPY Sorumlular'!A:C,2,FALSE)</f>
        <v>Tayfun VİÇE</v>
      </c>
      <c r="Z2824" t="str">
        <f>VLOOKUP(C2824,'[1]DBS_KPY Sorumlular'!A:C,3,FALSE)</f>
        <v>Mehmet Ali YAVUZ</v>
      </c>
      <c r="AA2824" t="str">
        <f>VLOOKUP(K2824,[1]!Tablo3[#Data],2,FALSE)</f>
        <v>Kadir TOPÇU</v>
      </c>
    </row>
    <row r="2825" spans="1:27" x14ac:dyDescent="0.25">
      <c r="A2825">
        <v>4136</v>
      </c>
      <c r="B2825" t="s">
        <v>27</v>
      </c>
      <c r="C2825" t="s">
        <v>402</v>
      </c>
      <c r="D2825" t="s">
        <v>403</v>
      </c>
      <c r="G2825" t="s">
        <v>384</v>
      </c>
      <c r="H2825" t="s">
        <v>8552</v>
      </c>
      <c r="I2825" s="4">
        <v>45077.875</v>
      </c>
      <c r="K2825" t="s">
        <v>226</v>
      </c>
      <c r="L2825" s="5" t="s">
        <v>8430</v>
      </c>
      <c r="M2825" s="5"/>
      <c r="N2825" t="s">
        <v>82</v>
      </c>
      <c r="O2825" t="s">
        <v>8553</v>
      </c>
      <c r="R2825">
        <v>1</v>
      </c>
      <c r="T2825" s="5"/>
      <c r="W2825">
        <v>32</v>
      </c>
      <c r="X2825" t="s">
        <v>4412</v>
      </c>
      <c r="Y2825" t="str">
        <f>VLOOKUP(C2825,'[1]DBS_KPY Sorumlular'!A:C,2,FALSE)</f>
        <v>Tayfun VİÇE</v>
      </c>
      <c r="Z2825" t="str">
        <f>VLOOKUP(C2825,'[1]DBS_KPY Sorumlular'!A:C,3,FALSE)</f>
        <v>Mehmet Ali YAVUZ</v>
      </c>
      <c r="AA2825" t="str">
        <f>VLOOKUP(K2825,[1]!Tablo3[#Data],2,FALSE)</f>
        <v>Kadir TOPÇU</v>
      </c>
    </row>
    <row r="2826" spans="1:27" x14ac:dyDescent="0.25">
      <c r="A2826">
        <v>4137</v>
      </c>
      <c r="B2826" t="s">
        <v>27</v>
      </c>
      <c r="C2826" t="s">
        <v>402</v>
      </c>
      <c r="D2826" t="s">
        <v>403</v>
      </c>
      <c r="G2826" t="s">
        <v>384</v>
      </c>
      <c r="H2826" t="s">
        <v>8554</v>
      </c>
      <c r="I2826" s="4">
        <v>45077.875</v>
      </c>
      <c r="K2826" t="s">
        <v>226</v>
      </c>
      <c r="L2826" s="5"/>
      <c r="M2826" s="5"/>
      <c r="N2826" t="s">
        <v>82</v>
      </c>
      <c r="O2826" t="s">
        <v>8555</v>
      </c>
      <c r="R2826">
        <v>1</v>
      </c>
      <c r="T2826" s="5"/>
      <c r="W2826">
        <v>32</v>
      </c>
      <c r="X2826" t="s">
        <v>4412</v>
      </c>
      <c r="Y2826" t="str">
        <f>VLOOKUP(C2826,'[1]DBS_KPY Sorumlular'!A:C,2,FALSE)</f>
        <v>Tayfun VİÇE</v>
      </c>
      <c r="Z2826" t="str">
        <f>VLOOKUP(C2826,'[1]DBS_KPY Sorumlular'!A:C,3,FALSE)</f>
        <v>Mehmet Ali YAVUZ</v>
      </c>
      <c r="AA2826" t="str">
        <f>VLOOKUP(K2826,[1]!Tablo3[#Data],2,FALSE)</f>
        <v>Kadir TOPÇU</v>
      </c>
    </row>
    <row r="2827" spans="1:27" x14ac:dyDescent="0.25">
      <c r="A2827">
        <v>4138</v>
      </c>
      <c r="B2827" t="s">
        <v>27</v>
      </c>
      <c r="C2827" t="s">
        <v>402</v>
      </c>
      <c r="D2827" t="s">
        <v>403</v>
      </c>
      <c r="G2827" t="s">
        <v>384</v>
      </c>
      <c r="H2827" t="s">
        <v>8556</v>
      </c>
      <c r="I2827" s="4">
        <v>45077.875</v>
      </c>
      <c r="K2827" t="s">
        <v>226</v>
      </c>
      <c r="L2827" s="5" t="s">
        <v>8430</v>
      </c>
      <c r="M2827" s="5"/>
      <c r="N2827" t="s">
        <v>82</v>
      </c>
      <c r="O2827" t="s">
        <v>8557</v>
      </c>
      <c r="R2827">
        <v>1</v>
      </c>
      <c r="T2827" s="5"/>
      <c r="W2827">
        <v>32</v>
      </c>
      <c r="X2827" t="s">
        <v>4412</v>
      </c>
      <c r="Y2827" t="str">
        <f>VLOOKUP(C2827,'[1]DBS_KPY Sorumlular'!A:C,2,FALSE)</f>
        <v>Tayfun VİÇE</v>
      </c>
      <c r="Z2827" t="str">
        <f>VLOOKUP(C2827,'[1]DBS_KPY Sorumlular'!A:C,3,FALSE)</f>
        <v>Mehmet Ali YAVUZ</v>
      </c>
      <c r="AA2827" t="str">
        <f>VLOOKUP(K2827,[1]!Tablo3[#Data],2,FALSE)</f>
        <v>Kadir TOPÇU</v>
      </c>
    </row>
    <row r="2828" spans="1:27" x14ac:dyDescent="0.25">
      <c r="A2828">
        <v>4139</v>
      </c>
      <c r="B2828" t="s">
        <v>27</v>
      </c>
      <c r="C2828" t="s">
        <v>402</v>
      </c>
      <c r="D2828" t="s">
        <v>403</v>
      </c>
      <c r="G2828" t="s">
        <v>384</v>
      </c>
      <c r="H2828" t="s">
        <v>8558</v>
      </c>
      <c r="I2828" s="4">
        <v>45077.875</v>
      </c>
      <c r="K2828" t="s">
        <v>226</v>
      </c>
      <c r="L2828" s="5"/>
      <c r="M2828" s="5"/>
      <c r="N2828" t="s">
        <v>82</v>
      </c>
      <c r="O2828" t="s">
        <v>8559</v>
      </c>
      <c r="R2828">
        <v>1</v>
      </c>
      <c r="T2828" s="5"/>
      <c r="W2828">
        <v>32</v>
      </c>
      <c r="X2828" t="s">
        <v>4412</v>
      </c>
      <c r="Y2828" t="str">
        <f>VLOOKUP(C2828,'[1]DBS_KPY Sorumlular'!A:C,2,FALSE)</f>
        <v>Tayfun VİÇE</v>
      </c>
      <c r="Z2828" t="str">
        <f>VLOOKUP(C2828,'[1]DBS_KPY Sorumlular'!A:C,3,FALSE)</f>
        <v>Mehmet Ali YAVUZ</v>
      </c>
      <c r="AA2828" t="str">
        <f>VLOOKUP(K2828,[1]!Tablo3[#Data],2,FALSE)</f>
        <v>Kadir TOPÇU</v>
      </c>
    </row>
    <row r="2829" spans="1:27" x14ac:dyDescent="0.25">
      <c r="A2829">
        <v>4140</v>
      </c>
      <c r="B2829" t="s">
        <v>27</v>
      </c>
      <c r="C2829" t="s">
        <v>402</v>
      </c>
      <c r="D2829" t="s">
        <v>403</v>
      </c>
      <c r="G2829" t="s">
        <v>384</v>
      </c>
      <c r="H2829" t="s">
        <v>8560</v>
      </c>
      <c r="I2829" s="4">
        <v>45077.875</v>
      </c>
      <c r="K2829" t="s">
        <v>226</v>
      </c>
      <c r="L2829" s="5"/>
      <c r="M2829" s="5"/>
      <c r="N2829" t="s">
        <v>82</v>
      </c>
      <c r="O2829" t="s">
        <v>8561</v>
      </c>
      <c r="R2829">
        <v>1</v>
      </c>
      <c r="T2829" s="5"/>
      <c r="W2829">
        <v>131</v>
      </c>
      <c r="X2829" t="s">
        <v>61</v>
      </c>
      <c r="Y2829" t="str">
        <f>VLOOKUP(C2829,'[1]DBS_KPY Sorumlular'!A:C,2,FALSE)</f>
        <v>Tayfun VİÇE</v>
      </c>
      <c r="Z2829" t="str">
        <f>VLOOKUP(C2829,'[1]DBS_KPY Sorumlular'!A:C,3,FALSE)</f>
        <v>Mehmet Ali YAVUZ</v>
      </c>
      <c r="AA2829" t="str">
        <f>VLOOKUP(K2829,[1]!Tablo3[#Data],2,FALSE)</f>
        <v>Kadir TOPÇU</v>
      </c>
    </row>
    <row r="2830" spans="1:27" x14ac:dyDescent="0.25">
      <c r="A2830">
        <v>4141</v>
      </c>
      <c r="B2830" t="s">
        <v>27</v>
      </c>
      <c r="C2830" t="s">
        <v>402</v>
      </c>
      <c r="D2830" t="s">
        <v>403</v>
      </c>
      <c r="G2830" t="s">
        <v>384</v>
      </c>
      <c r="H2830" t="s">
        <v>8562</v>
      </c>
      <c r="I2830" s="4">
        <v>45077.875</v>
      </c>
      <c r="K2830" t="s">
        <v>226</v>
      </c>
      <c r="L2830" s="5"/>
      <c r="M2830" s="5"/>
      <c r="N2830" t="s">
        <v>82</v>
      </c>
      <c r="O2830" t="s">
        <v>8563</v>
      </c>
      <c r="R2830">
        <v>1</v>
      </c>
      <c r="T2830" s="5"/>
      <c r="W2830">
        <v>32</v>
      </c>
      <c r="X2830" t="s">
        <v>4412</v>
      </c>
      <c r="Y2830" t="str">
        <f>VLOOKUP(C2830,'[1]DBS_KPY Sorumlular'!A:C,2,FALSE)</f>
        <v>Tayfun VİÇE</v>
      </c>
      <c r="Z2830" t="str">
        <f>VLOOKUP(C2830,'[1]DBS_KPY Sorumlular'!A:C,3,FALSE)</f>
        <v>Mehmet Ali YAVUZ</v>
      </c>
      <c r="AA2830" t="str">
        <f>VLOOKUP(K2830,[1]!Tablo3[#Data],2,FALSE)</f>
        <v>Kadir TOPÇU</v>
      </c>
    </row>
    <row r="2831" spans="1:27" x14ac:dyDescent="0.25">
      <c r="A2831">
        <v>4142</v>
      </c>
      <c r="B2831" t="s">
        <v>27</v>
      </c>
      <c r="C2831" t="s">
        <v>402</v>
      </c>
      <c r="D2831" t="s">
        <v>403</v>
      </c>
      <c r="G2831" t="s">
        <v>384</v>
      </c>
      <c r="H2831" t="s">
        <v>8564</v>
      </c>
      <c r="I2831" s="4">
        <v>45077.875</v>
      </c>
      <c r="K2831" t="s">
        <v>226</v>
      </c>
      <c r="L2831" s="5" t="s">
        <v>8430</v>
      </c>
      <c r="M2831" s="5"/>
      <c r="N2831" t="s">
        <v>82</v>
      </c>
      <c r="O2831" t="s">
        <v>8565</v>
      </c>
      <c r="R2831">
        <v>1</v>
      </c>
      <c r="T2831" s="5"/>
      <c r="W2831">
        <v>32</v>
      </c>
      <c r="X2831" t="s">
        <v>4412</v>
      </c>
      <c r="Y2831" t="str">
        <f>VLOOKUP(C2831,'[1]DBS_KPY Sorumlular'!A:C,2,FALSE)</f>
        <v>Tayfun VİÇE</v>
      </c>
      <c r="Z2831" t="str">
        <f>VLOOKUP(C2831,'[1]DBS_KPY Sorumlular'!A:C,3,FALSE)</f>
        <v>Mehmet Ali YAVUZ</v>
      </c>
      <c r="AA2831" t="str">
        <f>VLOOKUP(K2831,[1]!Tablo3[#Data],2,FALSE)</f>
        <v>Kadir TOPÇU</v>
      </c>
    </row>
    <row r="2832" spans="1:27" x14ac:dyDescent="0.25">
      <c r="A2832">
        <v>4143</v>
      </c>
      <c r="B2832" t="s">
        <v>27</v>
      </c>
      <c r="C2832" t="s">
        <v>402</v>
      </c>
      <c r="D2832" t="s">
        <v>403</v>
      </c>
      <c r="G2832" t="s">
        <v>384</v>
      </c>
      <c r="H2832" t="s">
        <v>8566</v>
      </c>
      <c r="I2832" s="4">
        <v>45077.875</v>
      </c>
      <c r="K2832" t="s">
        <v>226</v>
      </c>
      <c r="L2832" s="5"/>
      <c r="M2832" s="5"/>
      <c r="N2832" t="s">
        <v>82</v>
      </c>
      <c r="O2832" t="s">
        <v>8567</v>
      </c>
      <c r="R2832">
        <v>1</v>
      </c>
      <c r="T2832" s="5"/>
      <c r="W2832">
        <v>241</v>
      </c>
      <c r="X2832" t="s">
        <v>3500</v>
      </c>
      <c r="Y2832" t="str">
        <f>VLOOKUP(C2832,'[1]DBS_KPY Sorumlular'!A:C,2,FALSE)</f>
        <v>Tayfun VİÇE</v>
      </c>
      <c r="Z2832" t="str">
        <f>VLOOKUP(C2832,'[1]DBS_KPY Sorumlular'!A:C,3,FALSE)</f>
        <v>Mehmet Ali YAVUZ</v>
      </c>
      <c r="AA2832" t="str">
        <f>VLOOKUP(K2832,[1]!Tablo3[#Data],2,FALSE)</f>
        <v>Kadir TOPÇU</v>
      </c>
    </row>
    <row r="2833" spans="1:27" x14ac:dyDescent="0.25">
      <c r="A2833">
        <v>4144</v>
      </c>
      <c r="B2833" t="s">
        <v>27</v>
      </c>
      <c r="C2833" t="s">
        <v>402</v>
      </c>
      <c r="D2833" t="s">
        <v>403</v>
      </c>
      <c r="G2833" t="s">
        <v>384</v>
      </c>
      <c r="H2833" t="s">
        <v>8568</v>
      </c>
      <c r="I2833" s="4">
        <v>45443.875</v>
      </c>
      <c r="K2833" t="s">
        <v>226</v>
      </c>
      <c r="L2833" s="5"/>
      <c r="M2833" s="5"/>
      <c r="N2833" t="s">
        <v>82</v>
      </c>
      <c r="O2833" t="s">
        <v>8569</v>
      </c>
      <c r="R2833">
        <v>1</v>
      </c>
      <c r="T2833" s="5"/>
      <c r="W2833">
        <v>134</v>
      </c>
      <c r="X2833" t="s">
        <v>1577</v>
      </c>
      <c r="Y2833" t="str">
        <f>VLOOKUP(C2833,'[1]DBS_KPY Sorumlular'!A:C,2,FALSE)</f>
        <v>Tayfun VİÇE</v>
      </c>
      <c r="Z2833" t="str">
        <f>VLOOKUP(C2833,'[1]DBS_KPY Sorumlular'!A:C,3,FALSE)</f>
        <v>Mehmet Ali YAVUZ</v>
      </c>
      <c r="AA2833" t="str">
        <f>VLOOKUP(K2833,[1]!Tablo3[#Data],2,FALSE)</f>
        <v>Kadir TOPÇU</v>
      </c>
    </row>
    <row r="2834" spans="1:27" x14ac:dyDescent="0.25">
      <c r="A2834">
        <v>4146</v>
      </c>
      <c r="B2834" t="s">
        <v>27</v>
      </c>
      <c r="C2834" t="s">
        <v>402</v>
      </c>
      <c r="D2834" t="s">
        <v>403</v>
      </c>
      <c r="G2834" t="s">
        <v>384</v>
      </c>
      <c r="H2834" t="s">
        <v>8570</v>
      </c>
      <c r="I2834" s="4">
        <v>45443.875</v>
      </c>
      <c r="K2834" t="s">
        <v>423</v>
      </c>
      <c r="L2834" s="5"/>
      <c r="M2834" s="5"/>
      <c r="N2834" t="s">
        <v>82</v>
      </c>
      <c r="O2834" t="s">
        <v>8571</v>
      </c>
      <c r="R2834">
        <v>1</v>
      </c>
      <c r="T2834" s="5"/>
      <c r="W2834">
        <v>36</v>
      </c>
      <c r="X2834" t="s">
        <v>1051</v>
      </c>
      <c r="Y2834" t="str">
        <f>VLOOKUP(C2834,'[1]DBS_KPY Sorumlular'!A:C,2,FALSE)</f>
        <v>Tayfun VİÇE</v>
      </c>
      <c r="Z2834" t="str">
        <f>VLOOKUP(C2834,'[1]DBS_KPY Sorumlular'!A:C,3,FALSE)</f>
        <v>Mehmet Ali YAVUZ</v>
      </c>
      <c r="AA2834" t="str">
        <f>VLOOKUP(K2834,[1]!Tablo3[#Data],2,FALSE)</f>
        <v>Kadir TOPÇU</v>
      </c>
    </row>
    <row r="2835" spans="1:27" x14ac:dyDescent="0.25">
      <c r="A2835">
        <v>4147</v>
      </c>
      <c r="B2835" t="s">
        <v>27</v>
      </c>
      <c r="C2835" t="s">
        <v>402</v>
      </c>
      <c r="D2835" t="s">
        <v>403</v>
      </c>
      <c r="G2835" t="s">
        <v>384</v>
      </c>
      <c r="H2835" t="s">
        <v>8572</v>
      </c>
      <c r="I2835" s="4">
        <v>45443.875</v>
      </c>
      <c r="K2835" t="s">
        <v>226</v>
      </c>
      <c r="L2835" s="5"/>
      <c r="M2835" s="5"/>
      <c r="N2835" t="s">
        <v>82</v>
      </c>
      <c r="O2835" t="s">
        <v>8573</v>
      </c>
      <c r="R2835">
        <v>1</v>
      </c>
      <c r="T2835" s="5"/>
      <c r="W2835">
        <v>241</v>
      </c>
      <c r="X2835" t="s">
        <v>3500</v>
      </c>
      <c r="Y2835" t="str">
        <f>VLOOKUP(C2835,'[1]DBS_KPY Sorumlular'!A:C,2,FALSE)</f>
        <v>Tayfun VİÇE</v>
      </c>
      <c r="Z2835" t="str">
        <f>VLOOKUP(C2835,'[1]DBS_KPY Sorumlular'!A:C,3,FALSE)</f>
        <v>Mehmet Ali YAVUZ</v>
      </c>
      <c r="AA2835" t="str">
        <f>VLOOKUP(K2835,[1]!Tablo3[#Data],2,FALSE)</f>
        <v>Kadir TOPÇU</v>
      </c>
    </row>
    <row r="2836" spans="1:27" x14ac:dyDescent="0.25">
      <c r="A2836">
        <v>4148</v>
      </c>
      <c r="B2836" t="s">
        <v>27</v>
      </c>
      <c r="C2836" t="s">
        <v>402</v>
      </c>
      <c r="D2836" t="s">
        <v>403</v>
      </c>
      <c r="G2836" t="s">
        <v>384</v>
      </c>
      <c r="H2836" t="s">
        <v>8574</v>
      </c>
      <c r="I2836" s="4">
        <v>45443.875</v>
      </c>
      <c r="K2836" t="s">
        <v>226</v>
      </c>
      <c r="L2836" s="5"/>
      <c r="M2836" s="5"/>
      <c r="N2836" t="s">
        <v>82</v>
      </c>
      <c r="O2836" t="s">
        <v>8575</v>
      </c>
      <c r="R2836">
        <v>1</v>
      </c>
      <c r="T2836" s="5"/>
      <c r="W2836">
        <v>32</v>
      </c>
      <c r="X2836" t="s">
        <v>4412</v>
      </c>
      <c r="Y2836" t="str">
        <f>VLOOKUP(C2836,'[1]DBS_KPY Sorumlular'!A:C,2,FALSE)</f>
        <v>Tayfun VİÇE</v>
      </c>
      <c r="Z2836" t="str">
        <f>VLOOKUP(C2836,'[1]DBS_KPY Sorumlular'!A:C,3,FALSE)</f>
        <v>Mehmet Ali YAVUZ</v>
      </c>
      <c r="AA2836" t="str">
        <f>VLOOKUP(K2836,[1]!Tablo3[#Data],2,FALSE)</f>
        <v>Kadir TOPÇU</v>
      </c>
    </row>
    <row r="2837" spans="1:27" x14ac:dyDescent="0.25">
      <c r="A2837">
        <v>4149</v>
      </c>
      <c r="B2837" t="s">
        <v>27</v>
      </c>
      <c r="C2837" t="s">
        <v>402</v>
      </c>
      <c r="D2837" t="s">
        <v>403</v>
      </c>
      <c r="G2837" t="s">
        <v>384</v>
      </c>
      <c r="H2837" t="s">
        <v>8576</v>
      </c>
      <c r="I2837" s="4">
        <v>45656.875</v>
      </c>
      <c r="K2837" t="s">
        <v>226</v>
      </c>
      <c r="L2837" s="5"/>
      <c r="M2837" s="5"/>
      <c r="N2837" t="s">
        <v>82</v>
      </c>
      <c r="O2837" t="s">
        <v>8577</v>
      </c>
      <c r="R2837">
        <v>1</v>
      </c>
      <c r="T2837" s="5"/>
      <c r="W2837">
        <v>196</v>
      </c>
      <c r="X2837" t="s">
        <v>7066</v>
      </c>
      <c r="Y2837" t="str">
        <f>VLOOKUP(C2837,'[1]DBS_KPY Sorumlular'!A:C,2,FALSE)</f>
        <v>Tayfun VİÇE</v>
      </c>
      <c r="Z2837" t="str">
        <f>VLOOKUP(C2837,'[1]DBS_KPY Sorumlular'!A:C,3,FALSE)</f>
        <v>Mehmet Ali YAVUZ</v>
      </c>
      <c r="AA2837" t="str">
        <f>VLOOKUP(K2837,[1]!Tablo3[#Data],2,FALSE)</f>
        <v>Kadir TOPÇU</v>
      </c>
    </row>
    <row r="2838" spans="1:27" x14ac:dyDescent="0.25">
      <c r="A2838">
        <v>4150</v>
      </c>
      <c r="B2838" t="s">
        <v>27</v>
      </c>
      <c r="C2838" t="s">
        <v>402</v>
      </c>
      <c r="D2838" t="s">
        <v>403</v>
      </c>
      <c r="G2838" t="s">
        <v>384</v>
      </c>
      <c r="H2838" t="s">
        <v>8578</v>
      </c>
      <c r="I2838" s="4">
        <v>45443.875</v>
      </c>
      <c r="K2838" t="s">
        <v>435</v>
      </c>
      <c r="L2838" s="5"/>
      <c r="M2838" s="5" t="s">
        <v>8423</v>
      </c>
      <c r="N2838" t="s">
        <v>82</v>
      </c>
      <c r="O2838" t="s">
        <v>8579</v>
      </c>
      <c r="R2838">
        <v>1</v>
      </c>
      <c r="T2838" s="5"/>
      <c r="W2838">
        <v>270</v>
      </c>
      <c r="X2838" t="s">
        <v>8412</v>
      </c>
      <c r="Y2838" t="str">
        <f>VLOOKUP(C2838,'[1]DBS_KPY Sorumlular'!A:C,2,FALSE)</f>
        <v>Tayfun VİÇE</v>
      </c>
      <c r="Z2838" t="str">
        <f>VLOOKUP(C2838,'[1]DBS_KPY Sorumlular'!A:C,3,FALSE)</f>
        <v>Mehmet Ali YAVUZ</v>
      </c>
      <c r="AA2838" t="str">
        <f>VLOOKUP(K2838,[1]!Tablo3[#Data],2,FALSE)</f>
        <v>Tayfun VİÇE</v>
      </c>
    </row>
    <row r="2839" spans="1:27" x14ac:dyDescent="0.25">
      <c r="A2839">
        <v>4151</v>
      </c>
      <c r="B2839" t="s">
        <v>27</v>
      </c>
      <c r="C2839" t="s">
        <v>402</v>
      </c>
      <c r="D2839" t="s">
        <v>403</v>
      </c>
      <c r="G2839" t="s">
        <v>384</v>
      </c>
      <c r="H2839" t="s">
        <v>8580</v>
      </c>
      <c r="I2839" s="4">
        <v>45443.875</v>
      </c>
      <c r="K2839" t="s">
        <v>435</v>
      </c>
      <c r="L2839" s="5" t="s">
        <v>8581</v>
      </c>
      <c r="M2839" s="5" t="s">
        <v>8423</v>
      </c>
      <c r="N2839" t="s">
        <v>82</v>
      </c>
      <c r="O2839" t="s">
        <v>8582</v>
      </c>
      <c r="R2839">
        <v>1</v>
      </c>
      <c r="T2839" s="5"/>
      <c r="W2839">
        <v>270</v>
      </c>
      <c r="X2839" t="s">
        <v>8412</v>
      </c>
      <c r="Y2839" t="str">
        <f>VLOOKUP(C2839,'[1]DBS_KPY Sorumlular'!A:C,2,FALSE)</f>
        <v>Tayfun VİÇE</v>
      </c>
      <c r="Z2839" t="str">
        <f>VLOOKUP(C2839,'[1]DBS_KPY Sorumlular'!A:C,3,FALSE)</f>
        <v>Mehmet Ali YAVUZ</v>
      </c>
      <c r="AA2839" t="str">
        <f>VLOOKUP(K2839,[1]!Tablo3[#Data],2,FALSE)</f>
        <v>Tayfun VİÇE</v>
      </c>
    </row>
    <row r="2840" spans="1:27" x14ac:dyDescent="0.25">
      <c r="A2840">
        <v>4152</v>
      </c>
      <c r="B2840" t="s">
        <v>27</v>
      </c>
      <c r="C2840" t="s">
        <v>402</v>
      </c>
      <c r="D2840" t="s">
        <v>403</v>
      </c>
      <c r="G2840" t="s">
        <v>384</v>
      </c>
      <c r="H2840" t="s">
        <v>8583</v>
      </c>
      <c r="I2840" s="4">
        <v>44347.875</v>
      </c>
      <c r="K2840" t="s">
        <v>423</v>
      </c>
      <c r="L2840" s="5" t="s">
        <v>8401</v>
      </c>
      <c r="M2840" s="5"/>
      <c r="N2840" t="s">
        <v>82</v>
      </c>
      <c r="O2840" t="s">
        <v>8584</v>
      </c>
      <c r="R2840">
        <v>1</v>
      </c>
      <c r="T2840" s="5"/>
      <c r="W2840">
        <v>66</v>
      </c>
      <c r="X2840" t="s">
        <v>8482</v>
      </c>
      <c r="Y2840" t="str">
        <f>VLOOKUP(C2840,'[1]DBS_KPY Sorumlular'!A:C,2,FALSE)</f>
        <v>Tayfun VİÇE</v>
      </c>
      <c r="Z2840" t="str">
        <f>VLOOKUP(C2840,'[1]DBS_KPY Sorumlular'!A:C,3,FALSE)</f>
        <v>Mehmet Ali YAVUZ</v>
      </c>
      <c r="AA2840" t="str">
        <f>VLOOKUP(K2840,[1]!Tablo3[#Data],2,FALSE)</f>
        <v>Kadir TOPÇU</v>
      </c>
    </row>
    <row r="2841" spans="1:27" x14ac:dyDescent="0.25">
      <c r="A2841">
        <v>4153</v>
      </c>
      <c r="B2841" t="s">
        <v>27</v>
      </c>
      <c r="C2841" t="s">
        <v>402</v>
      </c>
      <c r="D2841" t="s">
        <v>403</v>
      </c>
      <c r="G2841" t="s">
        <v>384</v>
      </c>
      <c r="H2841" t="s">
        <v>8585</v>
      </c>
      <c r="I2841" s="4">
        <v>45443.875</v>
      </c>
      <c r="K2841" t="s">
        <v>435</v>
      </c>
      <c r="L2841" s="5"/>
      <c r="M2841" s="5" t="s">
        <v>8423</v>
      </c>
      <c r="N2841" t="s">
        <v>82</v>
      </c>
      <c r="O2841" t="s">
        <v>8586</v>
      </c>
      <c r="R2841">
        <v>1</v>
      </c>
      <c r="T2841" s="5"/>
      <c r="W2841">
        <v>270</v>
      </c>
      <c r="X2841" t="s">
        <v>8412</v>
      </c>
      <c r="Y2841" t="str">
        <f>VLOOKUP(C2841,'[1]DBS_KPY Sorumlular'!A:C,2,FALSE)</f>
        <v>Tayfun VİÇE</v>
      </c>
      <c r="Z2841" t="str">
        <f>VLOOKUP(C2841,'[1]DBS_KPY Sorumlular'!A:C,3,FALSE)</f>
        <v>Mehmet Ali YAVUZ</v>
      </c>
      <c r="AA2841" t="str">
        <f>VLOOKUP(K2841,[1]!Tablo3[#Data],2,FALSE)</f>
        <v>Tayfun VİÇE</v>
      </c>
    </row>
    <row r="2842" spans="1:27" x14ac:dyDescent="0.25">
      <c r="A2842">
        <v>4154</v>
      </c>
      <c r="B2842" t="s">
        <v>27</v>
      </c>
      <c r="C2842" t="s">
        <v>402</v>
      </c>
      <c r="D2842" t="s">
        <v>403</v>
      </c>
      <c r="G2842" t="s">
        <v>384</v>
      </c>
      <c r="H2842" t="s">
        <v>8587</v>
      </c>
      <c r="I2842" s="4">
        <v>45443.875</v>
      </c>
      <c r="K2842" t="s">
        <v>435</v>
      </c>
      <c r="L2842" s="5"/>
      <c r="M2842" s="5" t="s">
        <v>8423</v>
      </c>
      <c r="N2842" t="s">
        <v>82</v>
      </c>
      <c r="O2842" t="s">
        <v>8588</v>
      </c>
      <c r="R2842">
        <v>1</v>
      </c>
      <c r="T2842" s="5"/>
      <c r="W2842">
        <v>270</v>
      </c>
      <c r="X2842" t="s">
        <v>8412</v>
      </c>
      <c r="Y2842" t="str">
        <f>VLOOKUP(C2842,'[1]DBS_KPY Sorumlular'!A:C,2,FALSE)</f>
        <v>Tayfun VİÇE</v>
      </c>
      <c r="Z2842" t="str">
        <f>VLOOKUP(C2842,'[1]DBS_KPY Sorumlular'!A:C,3,FALSE)</f>
        <v>Mehmet Ali YAVUZ</v>
      </c>
      <c r="AA2842" t="str">
        <f>VLOOKUP(K2842,[1]!Tablo3[#Data],2,FALSE)</f>
        <v>Tayfun VİÇE</v>
      </c>
    </row>
    <row r="2843" spans="1:27" x14ac:dyDescent="0.25">
      <c r="A2843">
        <v>4155</v>
      </c>
      <c r="B2843" t="s">
        <v>27</v>
      </c>
      <c r="C2843" t="s">
        <v>402</v>
      </c>
      <c r="D2843" t="s">
        <v>403</v>
      </c>
      <c r="G2843" t="s">
        <v>384</v>
      </c>
      <c r="H2843" t="s">
        <v>8589</v>
      </c>
      <c r="I2843" s="4">
        <v>45443.875</v>
      </c>
      <c r="K2843" t="s">
        <v>226</v>
      </c>
      <c r="L2843" s="5"/>
      <c r="M2843" s="5" t="s">
        <v>8423</v>
      </c>
      <c r="N2843" t="s">
        <v>82</v>
      </c>
      <c r="O2843" t="s">
        <v>8590</v>
      </c>
      <c r="R2843">
        <v>1</v>
      </c>
      <c r="T2843" s="5"/>
      <c r="W2843">
        <v>270</v>
      </c>
      <c r="X2843" t="s">
        <v>8412</v>
      </c>
      <c r="Y2843" t="str">
        <f>VLOOKUP(C2843,'[1]DBS_KPY Sorumlular'!A:C,2,FALSE)</f>
        <v>Tayfun VİÇE</v>
      </c>
      <c r="Z2843" t="str">
        <f>VLOOKUP(C2843,'[1]DBS_KPY Sorumlular'!A:C,3,FALSE)</f>
        <v>Mehmet Ali YAVUZ</v>
      </c>
      <c r="AA2843" t="str">
        <f>VLOOKUP(K2843,[1]!Tablo3[#Data],2,FALSE)</f>
        <v>Kadir TOPÇU</v>
      </c>
    </row>
    <row r="2844" spans="1:27" x14ac:dyDescent="0.25">
      <c r="A2844">
        <v>4156</v>
      </c>
      <c r="B2844" t="s">
        <v>27</v>
      </c>
      <c r="C2844" t="s">
        <v>402</v>
      </c>
      <c r="D2844" t="s">
        <v>403</v>
      </c>
      <c r="G2844" t="s">
        <v>384</v>
      </c>
      <c r="H2844" t="s">
        <v>8591</v>
      </c>
      <c r="I2844" s="4">
        <v>45443.875</v>
      </c>
      <c r="K2844" t="s">
        <v>226</v>
      </c>
      <c r="L2844" s="5"/>
      <c r="M2844" s="5" t="s">
        <v>8423</v>
      </c>
      <c r="N2844" t="s">
        <v>82</v>
      </c>
      <c r="O2844" t="s">
        <v>8592</v>
      </c>
      <c r="R2844">
        <v>1</v>
      </c>
      <c r="T2844" s="5"/>
      <c r="W2844">
        <v>270</v>
      </c>
      <c r="X2844" t="s">
        <v>8412</v>
      </c>
      <c r="Y2844" t="str">
        <f>VLOOKUP(C2844,'[1]DBS_KPY Sorumlular'!A:C,2,FALSE)</f>
        <v>Tayfun VİÇE</v>
      </c>
      <c r="Z2844" t="str">
        <f>VLOOKUP(C2844,'[1]DBS_KPY Sorumlular'!A:C,3,FALSE)</f>
        <v>Mehmet Ali YAVUZ</v>
      </c>
      <c r="AA2844" t="str">
        <f>VLOOKUP(K2844,[1]!Tablo3[#Data],2,FALSE)</f>
        <v>Kadir TOPÇU</v>
      </c>
    </row>
    <row r="2845" spans="1:27" x14ac:dyDescent="0.25">
      <c r="A2845">
        <v>4157</v>
      </c>
      <c r="B2845" t="s">
        <v>27</v>
      </c>
      <c r="C2845" t="s">
        <v>402</v>
      </c>
      <c r="D2845" t="s">
        <v>403</v>
      </c>
      <c r="G2845" t="s">
        <v>384</v>
      </c>
      <c r="H2845" t="s">
        <v>8593</v>
      </c>
      <c r="I2845" s="4">
        <v>44347.875</v>
      </c>
      <c r="K2845" t="s">
        <v>226</v>
      </c>
      <c r="L2845" s="5" t="s">
        <v>8401</v>
      </c>
      <c r="M2845" s="5"/>
      <c r="N2845" t="s">
        <v>82</v>
      </c>
      <c r="O2845" t="s">
        <v>8594</v>
      </c>
      <c r="R2845">
        <v>1</v>
      </c>
      <c r="T2845" s="5"/>
      <c r="W2845">
        <v>117</v>
      </c>
      <c r="X2845" t="s">
        <v>8595</v>
      </c>
      <c r="Y2845" t="str">
        <f>VLOOKUP(C2845,'[1]DBS_KPY Sorumlular'!A:C,2,FALSE)</f>
        <v>Tayfun VİÇE</v>
      </c>
      <c r="Z2845" t="str">
        <f>VLOOKUP(C2845,'[1]DBS_KPY Sorumlular'!A:C,3,FALSE)</f>
        <v>Mehmet Ali YAVUZ</v>
      </c>
      <c r="AA2845" t="str">
        <f>VLOOKUP(K2845,[1]!Tablo3[#Data],2,FALSE)</f>
        <v>Kadir TOPÇU</v>
      </c>
    </row>
    <row r="2846" spans="1:27" x14ac:dyDescent="0.25">
      <c r="A2846">
        <v>4158</v>
      </c>
      <c r="B2846" t="s">
        <v>27</v>
      </c>
      <c r="C2846" t="s">
        <v>402</v>
      </c>
      <c r="D2846" t="s">
        <v>403</v>
      </c>
      <c r="G2846" t="s">
        <v>384</v>
      </c>
      <c r="H2846" t="s">
        <v>8596</v>
      </c>
      <c r="I2846" s="4">
        <v>45443.875</v>
      </c>
      <c r="K2846" t="s">
        <v>226</v>
      </c>
      <c r="L2846" s="5" t="s">
        <v>8430</v>
      </c>
      <c r="M2846" s="5"/>
      <c r="N2846" t="s">
        <v>82</v>
      </c>
      <c r="O2846" t="s">
        <v>8597</v>
      </c>
      <c r="R2846">
        <v>1</v>
      </c>
      <c r="T2846" s="5"/>
      <c r="W2846">
        <v>32</v>
      </c>
      <c r="X2846" t="s">
        <v>4412</v>
      </c>
      <c r="Y2846" t="str">
        <f>VLOOKUP(C2846,'[1]DBS_KPY Sorumlular'!A:C,2,FALSE)</f>
        <v>Tayfun VİÇE</v>
      </c>
      <c r="Z2846" t="str">
        <f>VLOOKUP(C2846,'[1]DBS_KPY Sorumlular'!A:C,3,FALSE)</f>
        <v>Mehmet Ali YAVUZ</v>
      </c>
      <c r="AA2846" t="str">
        <f>VLOOKUP(K2846,[1]!Tablo3[#Data],2,FALSE)</f>
        <v>Kadir TOPÇU</v>
      </c>
    </row>
    <row r="2847" spans="1:27" x14ac:dyDescent="0.25">
      <c r="A2847">
        <v>4159</v>
      </c>
      <c r="B2847" t="s">
        <v>27</v>
      </c>
      <c r="C2847" t="s">
        <v>402</v>
      </c>
      <c r="D2847" t="s">
        <v>403</v>
      </c>
      <c r="G2847" t="s">
        <v>384</v>
      </c>
      <c r="H2847" t="s">
        <v>8598</v>
      </c>
      <c r="I2847" s="4">
        <v>45443.875</v>
      </c>
      <c r="K2847" t="s">
        <v>226</v>
      </c>
      <c r="L2847" s="5" t="s">
        <v>8401</v>
      </c>
      <c r="M2847" s="5"/>
      <c r="N2847" t="s">
        <v>82</v>
      </c>
      <c r="O2847" t="s">
        <v>8599</v>
      </c>
      <c r="R2847">
        <v>1</v>
      </c>
      <c r="T2847" s="5"/>
      <c r="W2847">
        <v>66</v>
      </c>
      <c r="X2847" t="s">
        <v>8482</v>
      </c>
      <c r="Y2847" t="str">
        <f>VLOOKUP(C2847,'[1]DBS_KPY Sorumlular'!A:C,2,FALSE)</f>
        <v>Tayfun VİÇE</v>
      </c>
      <c r="Z2847" t="str">
        <f>VLOOKUP(C2847,'[1]DBS_KPY Sorumlular'!A:C,3,FALSE)</f>
        <v>Mehmet Ali YAVUZ</v>
      </c>
      <c r="AA2847" t="str">
        <f>VLOOKUP(K2847,[1]!Tablo3[#Data],2,FALSE)</f>
        <v>Kadir TOPÇU</v>
      </c>
    </row>
    <row r="2848" spans="1:27" x14ac:dyDescent="0.25">
      <c r="A2848">
        <v>4160</v>
      </c>
      <c r="B2848" t="s">
        <v>27</v>
      </c>
      <c r="C2848" t="s">
        <v>402</v>
      </c>
      <c r="D2848" t="s">
        <v>403</v>
      </c>
      <c r="G2848" t="s">
        <v>384</v>
      </c>
      <c r="H2848" t="s">
        <v>8600</v>
      </c>
      <c r="I2848" s="4">
        <v>45443.875</v>
      </c>
      <c r="K2848" t="s">
        <v>226</v>
      </c>
      <c r="L2848" s="5" t="s">
        <v>8401</v>
      </c>
      <c r="M2848" s="5"/>
      <c r="N2848" t="s">
        <v>82</v>
      </c>
      <c r="O2848" t="s">
        <v>8601</v>
      </c>
      <c r="R2848">
        <v>1</v>
      </c>
      <c r="T2848" s="5"/>
      <c r="W2848">
        <v>66</v>
      </c>
      <c r="X2848" t="s">
        <v>8482</v>
      </c>
      <c r="Y2848" t="str">
        <f>VLOOKUP(C2848,'[1]DBS_KPY Sorumlular'!A:C,2,FALSE)</f>
        <v>Tayfun VİÇE</v>
      </c>
      <c r="Z2848" t="str">
        <f>VLOOKUP(C2848,'[1]DBS_KPY Sorumlular'!A:C,3,FALSE)</f>
        <v>Mehmet Ali YAVUZ</v>
      </c>
      <c r="AA2848" t="str">
        <f>VLOOKUP(K2848,[1]!Tablo3[#Data],2,FALSE)</f>
        <v>Kadir TOPÇU</v>
      </c>
    </row>
    <row r="2849" spans="1:27" x14ac:dyDescent="0.25">
      <c r="A2849">
        <v>4161</v>
      </c>
      <c r="B2849" t="s">
        <v>27</v>
      </c>
      <c r="C2849" t="s">
        <v>402</v>
      </c>
      <c r="D2849" t="s">
        <v>403</v>
      </c>
      <c r="G2849" t="s">
        <v>384</v>
      </c>
      <c r="H2849" t="s">
        <v>8602</v>
      </c>
      <c r="I2849" s="4">
        <v>45443.875</v>
      </c>
      <c r="K2849" t="s">
        <v>226</v>
      </c>
      <c r="L2849" s="5" t="s">
        <v>8401</v>
      </c>
      <c r="M2849" s="5" t="s">
        <v>8423</v>
      </c>
      <c r="N2849" t="s">
        <v>82</v>
      </c>
      <c r="O2849" t="s">
        <v>8603</v>
      </c>
      <c r="R2849">
        <v>1</v>
      </c>
      <c r="T2849" s="5"/>
      <c r="W2849">
        <v>270</v>
      </c>
      <c r="X2849" t="s">
        <v>8412</v>
      </c>
      <c r="Y2849" t="str">
        <f>VLOOKUP(C2849,'[1]DBS_KPY Sorumlular'!A:C,2,FALSE)</f>
        <v>Tayfun VİÇE</v>
      </c>
      <c r="Z2849" t="str">
        <f>VLOOKUP(C2849,'[1]DBS_KPY Sorumlular'!A:C,3,FALSE)</f>
        <v>Mehmet Ali YAVUZ</v>
      </c>
      <c r="AA2849" t="str">
        <f>VLOOKUP(K2849,[1]!Tablo3[#Data],2,FALSE)</f>
        <v>Kadir TOPÇU</v>
      </c>
    </row>
    <row r="2850" spans="1:27" x14ac:dyDescent="0.25">
      <c r="A2850">
        <v>4162</v>
      </c>
      <c r="B2850" t="s">
        <v>27</v>
      </c>
      <c r="C2850" t="s">
        <v>402</v>
      </c>
      <c r="D2850" t="s">
        <v>403</v>
      </c>
      <c r="G2850" t="s">
        <v>384</v>
      </c>
      <c r="H2850" t="s">
        <v>8604</v>
      </c>
      <c r="I2850" s="4">
        <v>45443.875</v>
      </c>
      <c r="K2850" t="s">
        <v>226</v>
      </c>
      <c r="L2850" s="5" t="s">
        <v>8401</v>
      </c>
      <c r="M2850" s="5" t="s">
        <v>8423</v>
      </c>
      <c r="N2850" t="s">
        <v>82</v>
      </c>
      <c r="O2850" t="s">
        <v>8605</v>
      </c>
      <c r="R2850">
        <v>1</v>
      </c>
      <c r="T2850" s="5"/>
      <c r="W2850">
        <v>270</v>
      </c>
      <c r="X2850" t="s">
        <v>8412</v>
      </c>
      <c r="Y2850" t="str">
        <f>VLOOKUP(C2850,'[1]DBS_KPY Sorumlular'!A:C,2,FALSE)</f>
        <v>Tayfun VİÇE</v>
      </c>
      <c r="Z2850" t="str">
        <f>VLOOKUP(C2850,'[1]DBS_KPY Sorumlular'!A:C,3,FALSE)</f>
        <v>Mehmet Ali YAVUZ</v>
      </c>
      <c r="AA2850" t="str">
        <f>VLOOKUP(K2850,[1]!Tablo3[#Data],2,FALSE)</f>
        <v>Kadir TOPÇU</v>
      </c>
    </row>
    <row r="2851" spans="1:27" x14ac:dyDescent="0.25">
      <c r="A2851">
        <v>4164</v>
      </c>
      <c r="B2851" t="s">
        <v>27</v>
      </c>
      <c r="C2851" t="s">
        <v>402</v>
      </c>
      <c r="D2851" t="s">
        <v>403</v>
      </c>
      <c r="G2851" t="s">
        <v>384</v>
      </c>
      <c r="H2851" t="s">
        <v>8606</v>
      </c>
      <c r="I2851" s="4">
        <v>45443.875</v>
      </c>
      <c r="K2851" t="s">
        <v>226</v>
      </c>
      <c r="L2851" s="5" t="s">
        <v>8401</v>
      </c>
      <c r="M2851" s="5" t="s">
        <v>8423</v>
      </c>
      <c r="N2851" t="s">
        <v>82</v>
      </c>
      <c r="O2851" t="s">
        <v>8607</v>
      </c>
      <c r="R2851">
        <v>1</v>
      </c>
      <c r="T2851" s="5"/>
      <c r="W2851">
        <v>270</v>
      </c>
      <c r="X2851" t="s">
        <v>8412</v>
      </c>
      <c r="Y2851" t="str">
        <f>VLOOKUP(C2851,'[1]DBS_KPY Sorumlular'!A:C,2,FALSE)</f>
        <v>Tayfun VİÇE</v>
      </c>
      <c r="Z2851" t="str">
        <f>VLOOKUP(C2851,'[1]DBS_KPY Sorumlular'!A:C,3,FALSE)</f>
        <v>Mehmet Ali YAVUZ</v>
      </c>
      <c r="AA2851" t="str">
        <f>VLOOKUP(K2851,[1]!Tablo3[#Data],2,FALSE)</f>
        <v>Kadir TOPÇU</v>
      </c>
    </row>
    <row r="2852" spans="1:27" x14ac:dyDescent="0.25">
      <c r="A2852">
        <v>4165</v>
      </c>
      <c r="B2852" t="s">
        <v>27</v>
      </c>
      <c r="C2852" t="s">
        <v>402</v>
      </c>
      <c r="D2852" t="s">
        <v>403</v>
      </c>
      <c r="G2852" t="s">
        <v>384</v>
      </c>
      <c r="H2852" t="s">
        <v>8608</v>
      </c>
      <c r="I2852" s="4">
        <v>45443.875</v>
      </c>
      <c r="K2852" t="s">
        <v>226</v>
      </c>
      <c r="L2852" s="5" t="s">
        <v>8401</v>
      </c>
      <c r="M2852" s="5" t="s">
        <v>8423</v>
      </c>
      <c r="N2852" t="s">
        <v>82</v>
      </c>
      <c r="O2852" t="s">
        <v>8609</v>
      </c>
      <c r="R2852">
        <v>1</v>
      </c>
      <c r="T2852" s="5"/>
      <c r="W2852">
        <v>270</v>
      </c>
      <c r="X2852" t="s">
        <v>8412</v>
      </c>
      <c r="Y2852" t="str">
        <f>VLOOKUP(C2852,'[1]DBS_KPY Sorumlular'!A:C,2,FALSE)</f>
        <v>Tayfun VİÇE</v>
      </c>
      <c r="Z2852" t="str">
        <f>VLOOKUP(C2852,'[1]DBS_KPY Sorumlular'!A:C,3,FALSE)</f>
        <v>Mehmet Ali YAVUZ</v>
      </c>
      <c r="AA2852" t="str">
        <f>VLOOKUP(K2852,[1]!Tablo3[#Data],2,FALSE)</f>
        <v>Kadir TOPÇU</v>
      </c>
    </row>
    <row r="2853" spans="1:27" x14ac:dyDescent="0.25">
      <c r="A2853">
        <v>4166</v>
      </c>
      <c r="B2853" t="s">
        <v>27</v>
      </c>
      <c r="C2853" t="s">
        <v>402</v>
      </c>
      <c r="D2853" t="s">
        <v>403</v>
      </c>
      <c r="G2853" t="s">
        <v>384</v>
      </c>
      <c r="H2853" t="s">
        <v>8610</v>
      </c>
      <c r="I2853" s="4">
        <v>45443.875</v>
      </c>
      <c r="K2853" t="s">
        <v>226</v>
      </c>
      <c r="L2853" s="5" t="s">
        <v>8401</v>
      </c>
      <c r="M2853" s="5" t="s">
        <v>8423</v>
      </c>
      <c r="N2853" t="s">
        <v>82</v>
      </c>
      <c r="O2853" t="s">
        <v>8611</v>
      </c>
      <c r="R2853">
        <v>1</v>
      </c>
      <c r="T2853" s="5"/>
      <c r="W2853">
        <v>270</v>
      </c>
      <c r="X2853" t="s">
        <v>8412</v>
      </c>
      <c r="Y2853" t="str">
        <f>VLOOKUP(C2853,'[1]DBS_KPY Sorumlular'!A:C,2,FALSE)</f>
        <v>Tayfun VİÇE</v>
      </c>
      <c r="Z2853" t="str">
        <f>VLOOKUP(C2853,'[1]DBS_KPY Sorumlular'!A:C,3,FALSE)</f>
        <v>Mehmet Ali YAVUZ</v>
      </c>
      <c r="AA2853" t="str">
        <f>VLOOKUP(K2853,[1]!Tablo3[#Data],2,FALSE)</f>
        <v>Kadir TOPÇU</v>
      </c>
    </row>
    <row r="2854" spans="1:27" x14ac:dyDescent="0.25">
      <c r="A2854">
        <v>4167</v>
      </c>
      <c r="B2854" t="s">
        <v>27</v>
      </c>
      <c r="C2854" t="s">
        <v>402</v>
      </c>
      <c r="D2854" t="s">
        <v>403</v>
      </c>
      <c r="G2854" t="s">
        <v>384</v>
      </c>
      <c r="H2854" t="s">
        <v>8612</v>
      </c>
      <c r="I2854" s="4">
        <v>45443.875</v>
      </c>
      <c r="K2854" t="s">
        <v>226</v>
      </c>
      <c r="L2854" s="5" t="s">
        <v>8401</v>
      </c>
      <c r="M2854" s="5" t="s">
        <v>8423</v>
      </c>
      <c r="N2854" t="s">
        <v>82</v>
      </c>
      <c r="O2854" t="s">
        <v>8613</v>
      </c>
      <c r="R2854">
        <v>1</v>
      </c>
      <c r="T2854" s="5"/>
      <c r="W2854">
        <v>270</v>
      </c>
      <c r="X2854" t="s">
        <v>8412</v>
      </c>
      <c r="Y2854" t="str">
        <f>VLOOKUP(C2854,'[1]DBS_KPY Sorumlular'!A:C,2,FALSE)</f>
        <v>Tayfun VİÇE</v>
      </c>
      <c r="Z2854" t="str">
        <f>VLOOKUP(C2854,'[1]DBS_KPY Sorumlular'!A:C,3,FALSE)</f>
        <v>Mehmet Ali YAVUZ</v>
      </c>
      <c r="AA2854" t="str">
        <f>VLOOKUP(K2854,[1]!Tablo3[#Data],2,FALSE)</f>
        <v>Kadir TOPÇU</v>
      </c>
    </row>
    <row r="2855" spans="1:27" x14ac:dyDescent="0.25">
      <c r="A2855">
        <v>4168</v>
      </c>
      <c r="B2855" t="s">
        <v>27</v>
      </c>
      <c r="C2855" t="s">
        <v>402</v>
      </c>
      <c r="D2855" t="s">
        <v>403</v>
      </c>
      <c r="G2855" t="s">
        <v>384</v>
      </c>
      <c r="H2855" t="s">
        <v>8614</v>
      </c>
      <c r="I2855" s="4">
        <v>45443.875</v>
      </c>
      <c r="K2855" t="s">
        <v>226</v>
      </c>
      <c r="L2855" s="5" t="s">
        <v>8401</v>
      </c>
      <c r="M2855" s="5" t="s">
        <v>8423</v>
      </c>
      <c r="N2855" t="s">
        <v>82</v>
      </c>
      <c r="O2855" t="s">
        <v>8615</v>
      </c>
      <c r="R2855">
        <v>1</v>
      </c>
      <c r="T2855" s="5"/>
      <c r="W2855">
        <v>270</v>
      </c>
      <c r="X2855" t="s">
        <v>8412</v>
      </c>
      <c r="Y2855" t="str">
        <f>VLOOKUP(C2855,'[1]DBS_KPY Sorumlular'!A:C,2,FALSE)</f>
        <v>Tayfun VİÇE</v>
      </c>
      <c r="Z2855" t="str">
        <f>VLOOKUP(C2855,'[1]DBS_KPY Sorumlular'!A:C,3,FALSE)</f>
        <v>Mehmet Ali YAVUZ</v>
      </c>
      <c r="AA2855" t="str">
        <f>VLOOKUP(K2855,[1]!Tablo3[#Data],2,FALSE)</f>
        <v>Kadir TOPÇU</v>
      </c>
    </row>
    <row r="2856" spans="1:27" x14ac:dyDescent="0.25">
      <c r="A2856">
        <v>4169</v>
      </c>
      <c r="B2856" t="s">
        <v>27</v>
      </c>
      <c r="C2856" t="s">
        <v>402</v>
      </c>
      <c r="D2856" t="s">
        <v>403</v>
      </c>
      <c r="G2856" t="s">
        <v>384</v>
      </c>
      <c r="H2856" t="s">
        <v>8616</v>
      </c>
      <c r="I2856" s="4">
        <v>45443.875</v>
      </c>
      <c r="K2856" t="s">
        <v>226</v>
      </c>
      <c r="L2856" s="5" t="s">
        <v>8401</v>
      </c>
      <c r="M2856" s="5" t="s">
        <v>8423</v>
      </c>
      <c r="N2856" t="s">
        <v>82</v>
      </c>
      <c r="O2856" t="s">
        <v>8617</v>
      </c>
      <c r="R2856">
        <v>1</v>
      </c>
      <c r="T2856" s="5"/>
      <c r="W2856">
        <v>270</v>
      </c>
      <c r="X2856" t="s">
        <v>8412</v>
      </c>
      <c r="Y2856" t="str">
        <f>VLOOKUP(C2856,'[1]DBS_KPY Sorumlular'!A:C,2,FALSE)</f>
        <v>Tayfun VİÇE</v>
      </c>
      <c r="Z2856" t="str">
        <f>VLOOKUP(C2856,'[1]DBS_KPY Sorumlular'!A:C,3,FALSE)</f>
        <v>Mehmet Ali YAVUZ</v>
      </c>
      <c r="AA2856" t="str">
        <f>VLOOKUP(K2856,[1]!Tablo3[#Data],2,FALSE)</f>
        <v>Kadir TOPÇU</v>
      </c>
    </row>
    <row r="2857" spans="1:27" x14ac:dyDescent="0.25">
      <c r="A2857">
        <v>4170</v>
      </c>
      <c r="B2857" t="s">
        <v>27</v>
      </c>
      <c r="C2857" t="s">
        <v>402</v>
      </c>
      <c r="D2857" t="s">
        <v>403</v>
      </c>
      <c r="G2857" t="s">
        <v>384</v>
      </c>
      <c r="H2857" t="s">
        <v>8618</v>
      </c>
      <c r="I2857" s="4">
        <v>45443.875</v>
      </c>
      <c r="K2857" t="s">
        <v>226</v>
      </c>
      <c r="L2857" s="5" t="s">
        <v>8401</v>
      </c>
      <c r="M2857" s="5" t="s">
        <v>8423</v>
      </c>
      <c r="N2857" t="s">
        <v>82</v>
      </c>
      <c r="O2857" t="s">
        <v>8619</v>
      </c>
      <c r="R2857">
        <v>1</v>
      </c>
      <c r="T2857" s="5"/>
      <c r="W2857">
        <v>270</v>
      </c>
      <c r="X2857" t="s">
        <v>8412</v>
      </c>
      <c r="Y2857" t="str">
        <f>VLOOKUP(C2857,'[1]DBS_KPY Sorumlular'!A:C,2,FALSE)</f>
        <v>Tayfun VİÇE</v>
      </c>
      <c r="Z2857" t="str">
        <f>VLOOKUP(C2857,'[1]DBS_KPY Sorumlular'!A:C,3,FALSE)</f>
        <v>Mehmet Ali YAVUZ</v>
      </c>
      <c r="AA2857" t="str">
        <f>VLOOKUP(K2857,[1]!Tablo3[#Data],2,FALSE)</f>
        <v>Kadir TOPÇU</v>
      </c>
    </row>
    <row r="2858" spans="1:27" x14ac:dyDescent="0.25">
      <c r="A2858">
        <v>4171</v>
      </c>
      <c r="B2858" t="s">
        <v>27</v>
      </c>
      <c r="C2858" t="s">
        <v>402</v>
      </c>
      <c r="D2858" t="s">
        <v>403</v>
      </c>
      <c r="G2858" t="s">
        <v>384</v>
      </c>
      <c r="H2858" t="s">
        <v>8620</v>
      </c>
      <c r="I2858" s="4">
        <v>45443.875</v>
      </c>
      <c r="K2858" t="s">
        <v>226</v>
      </c>
      <c r="L2858" s="5" t="s">
        <v>8401</v>
      </c>
      <c r="M2858" s="5" t="s">
        <v>8423</v>
      </c>
      <c r="N2858" t="s">
        <v>82</v>
      </c>
      <c r="O2858" t="s">
        <v>8621</v>
      </c>
      <c r="R2858">
        <v>1</v>
      </c>
      <c r="T2858" s="5"/>
      <c r="W2858">
        <v>270</v>
      </c>
      <c r="X2858" t="s">
        <v>8412</v>
      </c>
      <c r="Y2858" t="str">
        <f>VLOOKUP(C2858,'[1]DBS_KPY Sorumlular'!A:C,2,FALSE)</f>
        <v>Tayfun VİÇE</v>
      </c>
      <c r="Z2858" t="str">
        <f>VLOOKUP(C2858,'[1]DBS_KPY Sorumlular'!A:C,3,FALSE)</f>
        <v>Mehmet Ali YAVUZ</v>
      </c>
      <c r="AA2858" t="str">
        <f>VLOOKUP(K2858,[1]!Tablo3[#Data],2,FALSE)</f>
        <v>Kadir TOPÇU</v>
      </c>
    </row>
    <row r="2859" spans="1:27" x14ac:dyDescent="0.25">
      <c r="A2859">
        <v>4172</v>
      </c>
      <c r="B2859" t="s">
        <v>27</v>
      </c>
      <c r="C2859" t="s">
        <v>402</v>
      </c>
      <c r="D2859" t="s">
        <v>403</v>
      </c>
      <c r="G2859" t="s">
        <v>384</v>
      </c>
      <c r="H2859" t="s">
        <v>8622</v>
      </c>
      <c r="I2859" s="4">
        <v>45443.875</v>
      </c>
      <c r="K2859" t="s">
        <v>226</v>
      </c>
      <c r="L2859" s="5" t="s">
        <v>8401</v>
      </c>
      <c r="M2859" s="5" t="s">
        <v>8423</v>
      </c>
      <c r="N2859" t="s">
        <v>82</v>
      </c>
      <c r="O2859" t="s">
        <v>8623</v>
      </c>
      <c r="R2859">
        <v>1</v>
      </c>
      <c r="T2859" s="5"/>
      <c r="W2859">
        <v>270</v>
      </c>
      <c r="X2859" t="s">
        <v>8412</v>
      </c>
      <c r="Y2859" t="str">
        <f>VLOOKUP(C2859,'[1]DBS_KPY Sorumlular'!A:C,2,FALSE)</f>
        <v>Tayfun VİÇE</v>
      </c>
      <c r="Z2859" t="str">
        <f>VLOOKUP(C2859,'[1]DBS_KPY Sorumlular'!A:C,3,FALSE)</f>
        <v>Mehmet Ali YAVUZ</v>
      </c>
      <c r="AA2859" t="str">
        <f>VLOOKUP(K2859,[1]!Tablo3[#Data],2,FALSE)</f>
        <v>Kadir TOPÇU</v>
      </c>
    </row>
    <row r="2860" spans="1:27" x14ac:dyDescent="0.25">
      <c r="A2860">
        <v>4173</v>
      </c>
      <c r="B2860" t="s">
        <v>27</v>
      </c>
      <c r="C2860" t="s">
        <v>402</v>
      </c>
      <c r="D2860" t="s">
        <v>403</v>
      </c>
      <c r="G2860" t="s">
        <v>384</v>
      </c>
      <c r="H2860" t="s">
        <v>8624</v>
      </c>
      <c r="I2860" s="4">
        <v>45443.875</v>
      </c>
      <c r="K2860" t="s">
        <v>226</v>
      </c>
      <c r="L2860" s="5" t="s">
        <v>8401</v>
      </c>
      <c r="M2860" s="5" t="s">
        <v>8423</v>
      </c>
      <c r="N2860" t="s">
        <v>82</v>
      </c>
      <c r="O2860" t="s">
        <v>8625</v>
      </c>
      <c r="R2860">
        <v>1</v>
      </c>
      <c r="T2860" s="5"/>
      <c r="W2860">
        <v>270</v>
      </c>
      <c r="X2860" t="s">
        <v>8412</v>
      </c>
      <c r="Y2860" t="str">
        <f>VLOOKUP(C2860,'[1]DBS_KPY Sorumlular'!A:C,2,FALSE)</f>
        <v>Tayfun VİÇE</v>
      </c>
      <c r="Z2860" t="str">
        <f>VLOOKUP(C2860,'[1]DBS_KPY Sorumlular'!A:C,3,FALSE)</f>
        <v>Mehmet Ali YAVUZ</v>
      </c>
      <c r="AA2860" t="str">
        <f>VLOOKUP(K2860,[1]!Tablo3[#Data],2,FALSE)</f>
        <v>Kadir TOPÇU</v>
      </c>
    </row>
    <row r="2861" spans="1:27" x14ac:dyDescent="0.25">
      <c r="A2861">
        <v>4174</v>
      </c>
      <c r="B2861" t="s">
        <v>27</v>
      </c>
      <c r="C2861" t="s">
        <v>402</v>
      </c>
      <c r="D2861" t="s">
        <v>403</v>
      </c>
      <c r="G2861" t="s">
        <v>384</v>
      </c>
      <c r="H2861" t="s">
        <v>8626</v>
      </c>
      <c r="I2861" s="4">
        <v>45443.875</v>
      </c>
      <c r="K2861" t="s">
        <v>226</v>
      </c>
      <c r="L2861" s="5" t="s">
        <v>8401</v>
      </c>
      <c r="M2861" s="5" t="s">
        <v>8423</v>
      </c>
      <c r="N2861" t="s">
        <v>82</v>
      </c>
      <c r="O2861" t="s">
        <v>8627</v>
      </c>
      <c r="R2861">
        <v>1</v>
      </c>
      <c r="T2861" s="5"/>
      <c r="W2861">
        <v>270</v>
      </c>
      <c r="X2861" t="s">
        <v>8412</v>
      </c>
      <c r="Y2861" t="str">
        <f>VLOOKUP(C2861,'[1]DBS_KPY Sorumlular'!A:C,2,FALSE)</f>
        <v>Tayfun VİÇE</v>
      </c>
      <c r="Z2861" t="str">
        <f>VLOOKUP(C2861,'[1]DBS_KPY Sorumlular'!A:C,3,FALSE)</f>
        <v>Mehmet Ali YAVUZ</v>
      </c>
      <c r="AA2861" t="str">
        <f>VLOOKUP(K2861,[1]!Tablo3[#Data],2,FALSE)</f>
        <v>Kadir TOPÇU</v>
      </c>
    </row>
    <row r="2862" spans="1:27" x14ac:dyDescent="0.25">
      <c r="A2862">
        <v>4175</v>
      </c>
      <c r="B2862" t="s">
        <v>27</v>
      </c>
      <c r="C2862" t="s">
        <v>402</v>
      </c>
      <c r="D2862" t="s">
        <v>403</v>
      </c>
      <c r="G2862" t="s">
        <v>384</v>
      </c>
      <c r="H2862" t="s">
        <v>8628</v>
      </c>
      <c r="I2862" s="4">
        <v>45443.875</v>
      </c>
      <c r="K2862" t="s">
        <v>226</v>
      </c>
      <c r="L2862" s="5" t="s">
        <v>8401</v>
      </c>
      <c r="M2862" s="5" t="s">
        <v>8423</v>
      </c>
      <c r="N2862" t="s">
        <v>82</v>
      </c>
      <c r="O2862" t="s">
        <v>8629</v>
      </c>
      <c r="R2862">
        <v>1</v>
      </c>
      <c r="T2862" s="5"/>
      <c r="W2862">
        <v>270</v>
      </c>
      <c r="X2862" t="s">
        <v>8412</v>
      </c>
      <c r="Y2862" t="str">
        <f>VLOOKUP(C2862,'[1]DBS_KPY Sorumlular'!A:C,2,FALSE)</f>
        <v>Tayfun VİÇE</v>
      </c>
      <c r="Z2862" t="str">
        <f>VLOOKUP(C2862,'[1]DBS_KPY Sorumlular'!A:C,3,FALSE)</f>
        <v>Mehmet Ali YAVUZ</v>
      </c>
      <c r="AA2862" t="str">
        <f>VLOOKUP(K2862,[1]!Tablo3[#Data],2,FALSE)</f>
        <v>Kadir TOPÇU</v>
      </c>
    </row>
    <row r="2863" spans="1:27" x14ac:dyDescent="0.25">
      <c r="A2863">
        <v>4176</v>
      </c>
      <c r="B2863" t="s">
        <v>27</v>
      </c>
      <c r="C2863" t="s">
        <v>402</v>
      </c>
      <c r="D2863" t="s">
        <v>403</v>
      </c>
      <c r="G2863" t="s">
        <v>384</v>
      </c>
      <c r="H2863" t="s">
        <v>8630</v>
      </c>
      <c r="I2863" s="4">
        <v>45443.875</v>
      </c>
      <c r="K2863" t="s">
        <v>226</v>
      </c>
      <c r="L2863" s="5" t="s">
        <v>8401</v>
      </c>
      <c r="M2863" s="5" t="s">
        <v>8423</v>
      </c>
      <c r="N2863" t="s">
        <v>82</v>
      </c>
      <c r="O2863" t="s">
        <v>8631</v>
      </c>
      <c r="R2863">
        <v>1</v>
      </c>
      <c r="T2863" s="5"/>
      <c r="W2863">
        <v>270</v>
      </c>
      <c r="X2863" t="s">
        <v>8412</v>
      </c>
      <c r="Y2863" t="str">
        <f>VLOOKUP(C2863,'[1]DBS_KPY Sorumlular'!A:C,2,FALSE)</f>
        <v>Tayfun VİÇE</v>
      </c>
      <c r="Z2863" t="str">
        <f>VLOOKUP(C2863,'[1]DBS_KPY Sorumlular'!A:C,3,FALSE)</f>
        <v>Mehmet Ali YAVUZ</v>
      </c>
      <c r="AA2863" t="str">
        <f>VLOOKUP(K2863,[1]!Tablo3[#Data],2,FALSE)</f>
        <v>Kadir TOPÇU</v>
      </c>
    </row>
    <row r="2864" spans="1:27" x14ac:dyDescent="0.25">
      <c r="A2864">
        <v>4177</v>
      </c>
      <c r="B2864" t="s">
        <v>27</v>
      </c>
      <c r="C2864" t="s">
        <v>402</v>
      </c>
      <c r="D2864" t="s">
        <v>403</v>
      </c>
      <c r="G2864" t="s">
        <v>384</v>
      </c>
      <c r="H2864" t="s">
        <v>8632</v>
      </c>
      <c r="I2864" s="4">
        <v>45443.875</v>
      </c>
      <c r="K2864" t="s">
        <v>226</v>
      </c>
      <c r="L2864" s="5" t="s">
        <v>8401</v>
      </c>
      <c r="M2864" s="5" t="s">
        <v>8423</v>
      </c>
      <c r="N2864" t="s">
        <v>82</v>
      </c>
      <c r="O2864" t="s">
        <v>8633</v>
      </c>
      <c r="R2864">
        <v>1</v>
      </c>
      <c r="T2864" s="5"/>
      <c r="W2864">
        <v>270</v>
      </c>
      <c r="X2864" t="s">
        <v>8412</v>
      </c>
      <c r="Y2864" t="str">
        <f>VLOOKUP(C2864,'[1]DBS_KPY Sorumlular'!A:C,2,FALSE)</f>
        <v>Tayfun VİÇE</v>
      </c>
      <c r="Z2864" t="str">
        <f>VLOOKUP(C2864,'[1]DBS_KPY Sorumlular'!A:C,3,FALSE)</f>
        <v>Mehmet Ali YAVUZ</v>
      </c>
      <c r="AA2864" t="str">
        <f>VLOOKUP(K2864,[1]!Tablo3[#Data],2,FALSE)</f>
        <v>Kadir TOPÇU</v>
      </c>
    </row>
    <row r="2865" spans="1:27" x14ac:dyDescent="0.25">
      <c r="A2865">
        <v>4178</v>
      </c>
      <c r="B2865" t="s">
        <v>27</v>
      </c>
      <c r="C2865" t="s">
        <v>402</v>
      </c>
      <c r="D2865" t="s">
        <v>403</v>
      </c>
      <c r="G2865" t="s">
        <v>384</v>
      </c>
      <c r="H2865" t="s">
        <v>8634</v>
      </c>
      <c r="I2865" s="4">
        <v>45443.875</v>
      </c>
      <c r="K2865" t="s">
        <v>226</v>
      </c>
      <c r="L2865" s="5" t="s">
        <v>8401</v>
      </c>
      <c r="M2865" s="5" t="s">
        <v>8423</v>
      </c>
      <c r="N2865" t="s">
        <v>82</v>
      </c>
      <c r="O2865" t="s">
        <v>8635</v>
      </c>
      <c r="R2865">
        <v>1</v>
      </c>
      <c r="T2865" s="5"/>
      <c r="W2865">
        <v>270</v>
      </c>
      <c r="X2865" t="s">
        <v>8412</v>
      </c>
      <c r="Y2865" t="str">
        <f>VLOOKUP(C2865,'[1]DBS_KPY Sorumlular'!A:C,2,FALSE)</f>
        <v>Tayfun VİÇE</v>
      </c>
      <c r="Z2865" t="str">
        <f>VLOOKUP(C2865,'[1]DBS_KPY Sorumlular'!A:C,3,FALSE)</f>
        <v>Mehmet Ali YAVUZ</v>
      </c>
      <c r="AA2865" t="str">
        <f>VLOOKUP(K2865,[1]!Tablo3[#Data],2,FALSE)</f>
        <v>Kadir TOPÇU</v>
      </c>
    </row>
    <row r="2866" spans="1:27" x14ac:dyDescent="0.25">
      <c r="A2866">
        <v>4179</v>
      </c>
      <c r="B2866" t="s">
        <v>27</v>
      </c>
      <c r="C2866" t="s">
        <v>402</v>
      </c>
      <c r="D2866" t="s">
        <v>403</v>
      </c>
      <c r="G2866" t="s">
        <v>384</v>
      </c>
      <c r="H2866" t="s">
        <v>8636</v>
      </c>
      <c r="I2866" s="4">
        <v>45443.875</v>
      </c>
      <c r="K2866" t="s">
        <v>226</v>
      </c>
      <c r="L2866" s="5" t="s">
        <v>8401</v>
      </c>
      <c r="M2866" s="5" t="s">
        <v>8423</v>
      </c>
      <c r="N2866" t="s">
        <v>82</v>
      </c>
      <c r="O2866" t="s">
        <v>8637</v>
      </c>
      <c r="R2866">
        <v>1</v>
      </c>
      <c r="T2866" s="5"/>
      <c r="W2866">
        <v>270</v>
      </c>
      <c r="X2866" t="s">
        <v>8412</v>
      </c>
      <c r="Y2866" t="str">
        <f>VLOOKUP(C2866,'[1]DBS_KPY Sorumlular'!A:C,2,FALSE)</f>
        <v>Tayfun VİÇE</v>
      </c>
      <c r="Z2866" t="str">
        <f>VLOOKUP(C2866,'[1]DBS_KPY Sorumlular'!A:C,3,FALSE)</f>
        <v>Mehmet Ali YAVUZ</v>
      </c>
      <c r="AA2866" t="str">
        <f>VLOOKUP(K2866,[1]!Tablo3[#Data],2,FALSE)</f>
        <v>Kadir TOPÇU</v>
      </c>
    </row>
    <row r="2867" spans="1:27" x14ac:dyDescent="0.25">
      <c r="A2867">
        <v>4180</v>
      </c>
      <c r="B2867" t="s">
        <v>27</v>
      </c>
      <c r="C2867" t="s">
        <v>402</v>
      </c>
      <c r="D2867" t="s">
        <v>403</v>
      </c>
      <c r="G2867" t="s">
        <v>384</v>
      </c>
      <c r="H2867" t="s">
        <v>8638</v>
      </c>
      <c r="I2867" s="4">
        <v>45443.875</v>
      </c>
      <c r="K2867" t="s">
        <v>226</v>
      </c>
      <c r="L2867" s="5" t="s">
        <v>8401</v>
      </c>
      <c r="M2867" s="5" t="s">
        <v>8423</v>
      </c>
      <c r="N2867" t="s">
        <v>82</v>
      </c>
      <c r="O2867" t="s">
        <v>8639</v>
      </c>
      <c r="R2867">
        <v>1</v>
      </c>
      <c r="T2867" s="5"/>
      <c r="W2867">
        <v>270</v>
      </c>
      <c r="X2867" t="s">
        <v>8412</v>
      </c>
      <c r="Y2867" t="str">
        <f>VLOOKUP(C2867,'[1]DBS_KPY Sorumlular'!A:C,2,FALSE)</f>
        <v>Tayfun VİÇE</v>
      </c>
      <c r="Z2867" t="str">
        <f>VLOOKUP(C2867,'[1]DBS_KPY Sorumlular'!A:C,3,FALSE)</f>
        <v>Mehmet Ali YAVUZ</v>
      </c>
      <c r="AA2867" t="str">
        <f>VLOOKUP(K2867,[1]!Tablo3[#Data],2,FALSE)</f>
        <v>Kadir TOPÇU</v>
      </c>
    </row>
    <row r="2868" spans="1:27" x14ac:dyDescent="0.25">
      <c r="A2868">
        <v>4181</v>
      </c>
      <c r="B2868" t="s">
        <v>27</v>
      </c>
      <c r="C2868" t="s">
        <v>402</v>
      </c>
      <c r="D2868" t="s">
        <v>403</v>
      </c>
      <c r="G2868" t="s">
        <v>384</v>
      </c>
      <c r="H2868" t="s">
        <v>8640</v>
      </c>
      <c r="I2868" s="4">
        <v>45443.875</v>
      </c>
      <c r="K2868" t="s">
        <v>226</v>
      </c>
      <c r="L2868" s="5" t="s">
        <v>8401</v>
      </c>
      <c r="M2868" s="5" t="s">
        <v>8423</v>
      </c>
      <c r="N2868" t="s">
        <v>82</v>
      </c>
      <c r="O2868" t="s">
        <v>8641</v>
      </c>
      <c r="R2868">
        <v>1</v>
      </c>
      <c r="T2868" s="5"/>
      <c r="W2868">
        <v>270</v>
      </c>
      <c r="X2868" t="s">
        <v>8412</v>
      </c>
      <c r="Y2868" t="str">
        <f>VLOOKUP(C2868,'[1]DBS_KPY Sorumlular'!A:C,2,FALSE)</f>
        <v>Tayfun VİÇE</v>
      </c>
      <c r="Z2868" t="str">
        <f>VLOOKUP(C2868,'[1]DBS_KPY Sorumlular'!A:C,3,FALSE)</f>
        <v>Mehmet Ali YAVUZ</v>
      </c>
      <c r="AA2868" t="str">
        <f>VLOOKUP(K2868,[1]!Tablo3[#Data],2,FALSE)</f>
        <v>Kadir TOPÇU</v>
      </c>
    </row>
    <row r="2869" spans="1:27" x14ac:dyDescent="0.25">
      <c r="A2869">
        <v>4182</v>
      </c>
      <c r="B2869" t="s">
        <v>27</v>
      </c>
      <c r="C2869" t="s">
        <v>402</v>
      </c>
      <c r="D2869" t="s">
        <v>403</v>
      </c>
      <c r="G2869" t="s">
        <v>384</v>
      </c>
      <c r="H2869" t="s">
        <v>8642</v>
      </c>
      <c r="I2869" s="4">
        <v>45443.875</v>
      </c>
      <c r="K2869" t="s">
        <v>226</v>
      </c>
      <c r="L2869" s="5" t="s">
        <v>8401</v>
      </c>
      <c r="M2869" s="5" t="s">
        <v>8423</v>
      </c>
      <c r="N2869" t="s">
        <v>82</v>
      </c>
      <c r="O2869" t="s">
        <v>8641</v>
      </c>
      <c r="R2869">
        <v>1</v>
      </c>
      <c r="T2869" s="5"/>
      <c r="W2869">
        <v>270</v>
      </c>
      <c r="X2869" t="s">
        <v>8412</v>
      </c>
      <c r="Y2869" t="str">
        <f>VLOOKUP(C2869,'[1]DBS_KPY Sorumlular'!A:C,2,FALSE)</f>
        <v>Tayfun VİÇE</v>
      </c>
      <c r="Z2869" t="str">
        <f>VLOOKUP(C2869,'[1]DBS_KPY Sorumlular'!A:C,3,FALSE)</f>
        <v>Mehmet Ali YAVUZ</v>
      </c>
      <c r="AA2869" t="str">
        <f>VLOOKUP(K2869,[1]!Tablo3[#Data],2,FALSE)</f>
        <v>Kadir TOPÇU</v>
      </c>
    </row>
    <row r="2870" spans="1:27" x14ac:dyDescent="0.25">
      <c r="A2870">
        <v>4183</v>
      </c>
      <c r="B2870" t="s">
        <v>27</v>
      </c>
      <c r="C2870" t="s">
        <v>402</v>
      </c>
      <c r="D2870" t="s">
        <v>403</v>
      </c>
      <c r="G2870" t="s">
        <v>384</v>
      </c>
      <c r="H2870" t="s">
        <v>8643</v>
      </c>
      <c r="I2870" s="4">
        <v>45443.875</v>
      </c>
      <c r="K2870" t="s">
        <v>226</v>
      </c>
      <c r="L2870" s="5" t="s">
        <v>8401</v>
      </c>
      <c r="M2870" s="5" t="s">
        <v>8423</v>
      </c>
      <c r="N2870" t="s">
        <v>82</v>
      </c>
      <c r="O2870" t="s">
        <v>8644</v>
      </c>
      <c r="R2870">
        <v>1</v>
      </c>
      <c r="T2870" s="5"/>
      <c r="W2870">
        <v>270</v>
      </c>
      <c r="X2870" t="s">
        <v>8412</v>
      </c>
      <c r="Y2870" t="str">
        <f>VLOOKUP(C2870,'[1]DBS_KPY Sorumlular'!A:C,2,FALSE)</f>
        <v>Tayfun VİÇE</v>
      </c>
      <c r="Z2870" t="str">
        <f>VLOOKUP(C2870,'[1]DBS_KPY Sorumlular'!A:C,3,FALSE)</f>
        <v>Mehmet Ali YAVUZ</v>
      </c>
      <c r="AA2870" t="str">
        <f>VLOOKUP(K2870,[1]!Tablo3[#Data],2,FALSE)</f>
        <v>Kadir TOPÇU</v>
      </c>
    </row>
    <row r="2871" spans="1:27" x14ac:dyDescent="0.25">
      <c r="A2871">
        <v>4184</v>
      </c>
      <c r="B2871" t="s">
        <v>27</v>
      </c>
      <c r="C2871" t="s">
        <v>402</v>
      </c>
      <c r="D2871" t="s">
        <v>403</v>
      </c>
      <c r="G2871" t="s">
        <v>384</v>
      </c>
      <c r="H2871" t="s">
        <v>8645</v>
      </c>
      <c r="I2871" s="4">
        <v>45443.875</v>
      </c>
      <c r="K2871" t="s">
        <v>226</v>
      </c>
      <c r="L2871" s="5" t="s">
        <v>8401</v>
      </c>
      <c r="M2871" s="5" t="s">
        <v>8423</v>
      </c>
      <c r="N2871" t="s">
        <v>82</v>
      </c>
      <c r="O2871" t="s">
        <v>8646</v>
      </c>
      <c r="R2871">
        <v>1</v>
      </c>
      <c r="T2871" s="5"/>
      <c r="W2871">
        <v>270</v>
      </c>
      <c r="X2871" t="s">
        <v>8412</v>
      </c>
      <c r="Y2871" t="str">
        <f>VLOOKUP(C2871,'[1]DBS_KPY Sorumlular'!A:C,2,FALSE)</f>
        <v>Tayfun VİÇE</v>
      </c>
      <c r="Z2871" t="str">
        <f>VLOOKUP(C2871,'[1]DBS_KPY Sorumlular'!A:C,3,FALSE)</f>
        <v>Mehmet Ali YAVUZ</v>
      </c>
      <c r="AA2871" t="str">
        <f>VLOOKUP(K2871,[1]!Tablo3[#Data],2,FALSE)</f>
        <v>Kadir TOPÇU</v>
      </c>
    </row>
    <row r="2872" spans="1:27" x14ac:dyDescent="0.25">
      <c r="A2872">
        <v>4185</v>
      </c>
      <c r="B2872" t="s">
        <v>27</v>
      </c>
      <c r="C2872" t="s">
        <v>402</v>
      </c>
      <c r="D2872" t="s">
        <v>403</v>
      </c>
      <c r="G2872" t="s">
        <v>384</v>
      </c>
      <c r="H2872" t="s">
        <v>8647</v>
      </c>
      <c r="I2872" s="4">
        <v>45443.875</v>
      </c>
      <c r="K2872" t="s">
        <v>226</v>
      </c>
      <c r="L2872" s="5" t="s">
        <v>8401</v>
      </c>
      <c r="M2872" s="5" t="s">
        <v>8423</v>
      </c>
      <c r="N2872" t="s">
        <v>82</v>
      </c>
      <c r="O2872" t="s">
        <v>8648</v>
      </c>
      <c r="R2872">
        <v>1</v>
      </c>
      <c r="T2872" s="5"/>
      <c r="W2872">
        <v>270</v>
      </c>
      <c r="X2872" t="s">
        <v>8412</v>
      </c>
      <c r="Y2872" t="str">
        <f>VLOOKUP(C2872,'[1]DBS_KPY Sorumlular'!A:C,2,FALSE)</f>
        <v>Tayfun VİÇE</v>
      </c>
      <c r="Z2872" t="str">
        <f>VLOOKUP(C2872,'[1]DBS_KPY Sorumlular'!A:C,3,FALSE)</f>
        <v>Mehmet Ali YAVUZ</v>
      </c>
      <c r="AA2872" t="str">
        <f>VLOOKUP(K2872,[1]!Tablo3[#Data],2,FALSE)</f>
        <v>Kadir TOPÇU</v>
      </c>
    </row>
    <row r="2873" spans="1:27" x14ac:dyDescent="0.25">
      <c r="A2873">
        <v>4186</v>
      </c>
      <c r="B2873" t="s">
        <v>27</v>
      </c>
      <c r="C2873" t="s">
        <v>402</v>
      </c>
      <c r="D2873" t="s">
        <v>403</v>
      </c>
      <c r="G2873" t="s">
        <v>384</v>
      </c>
      <c r="H2873" t="s">
        <v>8649</v>
      </c>
      <c r="I2873" s="4">
        <v>45443.875</v>
      </c>
      <c r="K2873" t="s">
        <v>226</v>
      </c>
      <c r="L2873" s="5" t="s">
        <v>8401</v>
      </c>
      <c r="M2873" s="5" t="s">
        <v>8423</v>
      </c>
      <c r="N2873" t="s">
        <v>82</v>
      </c>
      <c r="O2873" t="s">
        <v>8650</v>
      </c>
      <c r="R2873">
        <v>1</v>
      </c>
      <c r="T2873" s="5"/>
      <c r="W2873">
        <v>270</v>
      </c>
      <c r="X2873" t="s">
        <v>8412</v>
      </c>
      <c r="Y2873" t="str">
        <f>VLOOKUP(C2873,'[1]DBS_KPY Sorumlular'!A:C,2,FALSE)</f>
        <v>Tayfun VİÇE</v>
      </c>
      <c r="Z2873" t="str">
        <f>VLOOKUP(C2873,'[1]DBS_KPY Sorumlular'!A:C,3,FALSE)</f>
        <v>Mehmet Ali YAVUZ</v>
      </c>
      <c r="AA2873" t="str">
        <f>VLOOKUP(K2873,[1]!Tablo3[#Data],2,FALSE)</f>
        <v>Kadir TOPÇU</v>
      </c>
    </row>
    <row r="2874" spans="1:27" x14ac:dyDescent="0.25">
      <c r="A2874">
        <v>4187</v>
      </c>
      <c r="B2874" t="s">
        <v>27</v>
      </c>
      <c r="C2874" t="s">
        <v>402</v>
      </c>
      <c r="D2874" t="s">
        <v>403</v>
      </c>
      <c r="G2874" t="s">
        <v>384</v>
      </c>
      <c r="H2874" t="s">
        <v>8651</v>
      </c>
      <c r="I2874" s="4">
        <v>45443.875</v>
      </c>
      <c r="K2874" t="s">
        <v>98</v>
      </c>
      <c r="L2874" s="5" t="s">
        <v>8401</v>
      </c>
      <c r="M2874" s="5" t="s">
        <v>8423</v>
      </c>
      <c r="N2874" t="s">
        <v>82</v>
      </c>
      <c r="O2874" t="s">
        <v>8652</v>
      </c>
      <c r="R2874">
        <v>1</v>
      </c>
      <c r="T2874" s="5"/>
      <c r="W2874">
        <v>270</v>
      </c>
      <c r="X2874" t="s">
        <v>8412</v>
      </c>
      <c r="Y2874" t="str">
        <f>VLOOKUP(C2874,'[1]DBS_KPY Sorumlular'!A:C,2,FALSE)</f>
        <v>Tayfun VİÇE</v>
      </c>
      <c r="Z2874" t="str">
        <f>VLOOKUP(C2874,'[1]DBS_KPY Sorumlular'!A:C,3,FALSE)</f>
        <v>Mehmet Ali YAVUZ</v>
      </c>
      <c r="AA2874" t="str">
        <f>VLOOKUP(K2874,[1]!Tablo3[#Data],2,FALSE)</f>
        <v>Tayfun VİÇE</v>
      </c>
    </row>
    <row r="2875" spans="1:27" x14ac:dyDescent="0.25">
      <c r="A2875">
        <v>4188</v>
      </c>
      <c r="B2875" t="s">
        <v>27</v>
      </c>
      <c r="C2875" t="s">
        <v>402</v>
      </c>
      <c r="D2875" t="s">
        <v>403</v>
      </c>
      <c r="G2875" t="s">
        <v>384</v>
      </c>
      <c r="H2875" t="s">
        <v>8653</v>
      </c>
      <c r="I2875" s="4">
        <v>45443.875</v>
      </c>
      <c r="K2875" t="s">
        <v>226</v>
      </c>
      <c r="L2875" s="5" t="s">
        <v>8401</v>
      </c>
      <c r="M2875" s="5" t="s">
        <v>8423</v>
      </c>
      <c r="N2875" t="s">
        <v>82</v>
      </c>
      <c r="O2875" t="s">
        <v>8654</v>
      </c>
      <c r="R2875">
        <v>1</v>
      </c>
      <c r="T2875" s="5"/>
      <c r="W2875">
        <v>270</v>
      </c>
      <c r="X2875" t="s">
        <v>8412</v>
      </c>
      <c r="Y2875" t="str">
        <f>VLOOKUP(C2875,'[1]DBS_KPY Sorumlular'!A:C,2,FALSE)</f>
        <v>Tayfun VİÇE</v>
      </c>
      <c r="Z2875" t="str">
        <f>VLOOKUP(C2875,'[1]DBS_KPY Sorumlular'!A:C,3,FALSE)</f>
        <v>Mehmet Ali YAVUZ</v>
      </c>
      <c r="AA2875" t="str">
        <f>VLOOKUP(K2875,[1]!Tablo3[#Data],2,FALSE)</f>
        <v>Kadir TOPÇU</v>
      </c>
    </row>
    <row r="2876" spans="1:27" x14ac:dyDescent="0.25">
      <c r="A2876">
        <v>4189</v>
      </c>
      <c r="B2876" t="s">
        <v>27</v>
      </c>
      <c r="C2876" t="s">
        <v>402</v>
      </c>
      <c r="D2876" t="s">
        <v>403</v>
      </c>
      <c r="G2876" t="s">
        <v>384</v>
      </c>
      <c r="H2876" t="s">
        <v>8655</v>
      </c>
      <c r="I2876" s="4">
        <v>45443.875</v>
      </c>
      <c r="K2876" t="s">
        <v>226</v>
      </c>
      <c r="L2876" s="5" t="s">
        <v>8401</v>
      </c>
      <c r="M2876" s="5" t="s">
        <v>8423</v>
      </c>
      <c r="N2876" t="s">
        <v>82</v>
      </c>
      <c r="O2876" t="s">
        <v>8656</v>
      </c>
      <c r="R2876">
        <v>1</v>
      </c>
      <c r="T2876" s="5"/>
      <c r="W2876">
        <v>270</v>
      </c>
      <c r="X2876" t="s">
        <v>8412</v>
      </c>
      <c r="Y2876" t="str">
        <f>VLOOKUP(C2876,'[1]DBS_KPY Sorumlular'!A:C,2,FALSE)</f>
        <v>Tayfun VİÇE</v>
      </c>
      <c r="Z2876" t="str">
        <f>VLOOKUP(C2876,'[1]DBS_KPY Sorumlular'!A:C,3,FALSE)</f>
        <v>Mehmet Ali YAVUZ</v>
      </c>
      <c r="AA2876" t="str">
        <f>VLOOKUP(K2876,[1]!Tablo3[#Data],2,FALSE)</f>
        <v>Kadir TOPÇU</v>
      </c>
    </row>
    <row r="2877" spans="1:27" x14ac:dyDescent="0.25">
      <c r="A2877">
        <v>4190</v>
      </c>
      <c r="B2877" t="s">
        <v>27</v>
      </c>
      <c r="C2877" t="s">
        <v>402</v>
      </c>
      <c r="D2877" t="s">
        <v>403</v>
      </c>
      <c r="G2877" t="s">
        <v>384</v>
      </c>
      <c r="H2877" t="s">
        <v>8657</v>
      </c>
      <c r="I2877" s="4">
        <v>45443.875</v>
      </c>
      <c r="K2877" t="s">
        <v>226</v>
      </c>
      <c r="L2877" s="5" t="s">
        <v>8401</v>
      </c>
      <c r="M2877" s="5" t="s">
        <v>8423</v>
      </c>
      <c r="N2877" t="s">
        <v>82</v>
      </c>
      <c r="O2877" t="s">
        <v>8658</v>
      </c>
      <c r="R2877">
        <v>1</v>
      </c>
      <c r="T2877" s="5"/>
      <c r="W2877">
        <v>270</v>
      </c>
      <c r="X2877" t="s">
        <v>8412</v>
      </c>
      <c r="Y2877" t="str">
        <f>VLOOKUP(C2877,'[1]DBS_KPY Sorumlular'!A:C,2,FALSE)</f>
        <v>Tayfun VİÇE</v>
      </c>
      <c r="Z2877" t="str">
        <f>VLOOKUP(C2877,'[1]DBS_KPY Sorumlular'!A:C,3,FALSE)</f>
        <v>Mehmet Ali YAVUZ</v>
      </c>
      <c r="AA2877" t="str">
        <f>VLOOKUP(K2877,[1]!Tablo3[#Data],2,FALSE)</f>
        <v>Kadir TOPÇU</v>
      </c>
    </row>
    <row r="2878" spans="1:27" x14ac:dyDescent="0.25">
      <c r="A2878">
        <v>4191</v>
      </c>
      <c r="B2878" t="s">
        <v>27</v>
      </c>
      <c r="C2878" t="s">
        <v>402</v>
      </c>
      <c r="D2878" t="s">
        <v>403</v>
      </c>
      <c r="G2878" t="s">
        <v>384</v>
      </c>
      <c r="H2878" t="s">
        <v>8659</v>
      </c>
      <c r="I2878" s="4">
        <v>45443.875</v>
      </c>
      <c r="K2878" t="s">
        <v>226</v>
      </c>
      <c r="L2878" s="5" t="s">
        <v>8401</v>
      </c>
      <c r="M2878" s="5" t="s">
        <v>8423</v>
      </c>
      <c r="N2878" t="s">
        <v>82</v>
      </c>
      <c r="O2878" t="s">
        <v>8660</v>
      </c>
      <c r="R2878">
        <v>1</v>
      </c>
      <c r="T2878" s="5"/>
      <c r="W2878">
        <v>270</v>
      </c>
      <c r="X2878" t="s">
        <v>8412</v>
      </c>
      <c r="Y2878" t="str">
        <f>VLOOKUP(C2878,'[1]DBS_KPY Sorumlular'!A:C,2,FALSE)</f>
        <v>Tayfun VİÇE</v>
      </c>
      <c r="Z2878" t="str">
        <f>VLOOKUP(C2878,'[1]DBS_KPY Sorumlular'!A:C,3,FALSE)</f>
        <v>Mehmet Ali YAVUZ</v>
      </c>
      <c r="AA2878" t="str">
        <f>VLOOKUP(K2878,[1]!Tablo3[#Data],2,FALSE)</f>
        <v>Kadir TOPÇU</v>
      </c>
    </row>
    <row r="2879" spans="1:27" x14ac:dyDescent="0.25">
      <c r="A2879">
        <v>4192</v>
      </c>
      <c r="B2879" t="s">
        <v>27</v>
      </c>
      <c r="C2879" t="s">
        <v>402</v>
      </c>
      <c r="D2879" t="s">
        <v>403</v>
      </c>
      <c r="G2879" t="s">
        <v>384</v>
      </c>
      <c r="H2879" t="s">
        <v>8661</v>
      </c>
      <c r="I2879" s="4">
        <v>45443.875</v>
      </c>
      <c r="K2879" t="s">
        <v>226</v>
      </c>
      <c r="L2879" s="5" t="s">
        <v>8401</v>
      </c>
      <c r="M2879" s="5" t="s">
        <v>8423</v>
      </c>
      <c r="N2879" t="s">
        <v>82</v>
      </c>
      <c r="O2879" t="s">
        <v>8662</v>
      </c>
      <c r="R2879">
        <v>1</v>
      </c>
      <c r="T2879" s="5"/>
      <c r="W2879">
        <v>270</v>
      </c>
      <c r="X2879" t="s">
        <v>8412</v>
      </c>
      <c r="Y2879" t="str">
        <f>VLOOKUP(C2879,'[1]DBS_KPY Sorumlular'!A:C,2,FALSE)</f>
        <v>Tayfun VİÇE</v>
      </c>
      <c r="Z2879" t="str">
        <f>VLOOKUP(C2879,'[1]DBS_KPY Sorumlular'!A:C,3,FALSE)</f>
        <v>Mehmet Ali YAVUZ</v>
      </c>
      <c r="AA2879" t="str">
        <f>VLOOKUP(K2879,[1]!Tablo3[#Data],2,FALSE)</f>
        <v>Kadir TOPÇU</v>
      </c>
    </row>
    <row r="2880" spans="1:27" x14ac:dyDescent="0.25">
      <c r="A2880">
        <v>4193</v>
      </c>
      <c r="B2880" t="s">
        <v>27</v>
      </c>
      <c r="C2880" t="s">
        <v>402</v>
      </c>
      <c r="D2880" t="s">
        <v>403</v>
      </c>
      <c r="G2880" t="s">
        <v>384</v>
      </c>
      <c r="H2880" t="s">
        <v>8663</v>
      </c>
      <c r="I2880" s="4">
        <v>45443.875</v>
      </c>
      <c r="K2880" t="s">
        <v>226</v>
      </c>
      <c r="L2880" s="5" t="s">
        <v>8401</v>
      </c>
      <c r="M2880" s="5" t="s">
        <v>8423</v>
      </c>
      <c r="N2880" t="s">
        <v>82</v>
      </c>
      <c r="O2880" t="s">
        <v>8664</v>
      </c>
      <c r="R2880">
        <v>1</v>
      </c>
      <c r="T2880" s="5"/>
      <c r="W2880">
        <v>270</v>
      </c>
      <c r="X2880" t="s">
        <v>8412</v>
      </c>
      <c r="Y2880" t="str">
        <f>VLOOKUP(C2880,'[1]DBS_KPY Sorumlular'!A:C,2,FALSE)</f>
        <v>Tayfun VİÇE</v>
      </c>
      <c r="Z2880" t="str">
        <f>VLOOKUP(C2880,'[1]DBS_KPY Sorumlular'!A:C,3,FALSE)</f>
        <v>Mehmet Ali YAVUZ</v>
      </c>
      <c r="AA2880" t="str">
        <f>VLOOKUP(K2880,[1]!Tablo3[#Data],2,FALSE)</f>
        <v>Kadir TOPÇU</v>
      </c>
    </row>
    <row r="2881" spans="1:27" x14ac:dyDescent="0.25">
      <c r="A2881">
        <v>4194</v>
      </c>
      <c r="B2881" t="s">
        <v>27</v>
      </c>
      <c r="C2881" t="s">
        <v>402</v>
      </c>
      <c r="D2881" t="s">
        <v>403</v>
      </c>
      <c r="G2881" t="s">
        <v>384</v>
      </c>
      <c r="H2881" t="s">
        <v>8665</v>
      </c>
      <c r="I2881" s="4">
        <v>45443.875</v>
      </c>
      <c r="K2881" t="s">
        <v>226</v>
      </c>
      <c r="L2881" s="5" t="s">
        <v>8401</v>
      </c>
      <c r="M2881" s="5" t="s">
        <v>8423</v>
      </c>
      <c r="N2881" t="s">
        <v>82</v>
      </c>
      <c r="O2881" t="s">
        <v>8666</v>
      </c>
      <c r="R2881">
        <v>1</v>
      </c>
      <c r="T2881" s="5"/>
      <c r="W2881">
        <v>270</v>
      </c>
      <c r="X2881" t="s">
        <v>8412</v>
      </c>
      <c r="Y2881" t="str">
        <f>VLOOKUP(C2881,'[1]DBS_KPY Sorumlular'!A:C,2,FALSE)</f>
        <v>Tayfun VİÇE</v>
      </c>
      <c r="Z2881" t="str">
        <f>VLOOKUP(C2881,'[1]DBS_KPY Sorumlular'!A:C,3,FALSE)</f>
        <v>Mehmet Ali YAVUZ</v>
      </c>
      <c r="AA2881" t="str">
        <f>VLOOKUP(K2881,[1]!Tablo3[#Data],2,FALSE)</f>
        <v>Kadir TOPÇU</v>
      </c>
    </row>
    <row r="2882" spans="1:27" x14ac:dyDescent="0.25">
      <c r="A2882">
        <v>4195</v>
      </c>
      <c r="B2882" t="s">
        <v>27</v>
      </c>
      <c r="C2882" t="s">
        <v>402</v>
      </c>
      <c r="D2882" t="s">
        <v>403</v>
      </c>
      <c r="G2882" t="s">
        <v>384</v>
      </c>
      <c r="H2882" t="s">
        <v>8667</v>
      </c>
      <c r="I2882" s="4">
        <v>45443.875</v>
      </c>
      <c r="K2882" t="s">
        <v>226</v>
      </c>
      <c r="L2882" s="5" t="s">
        <v>8401</v>
      </c>
      <c r="M2882" s="5" t="s">
        <v>8423</v>
      </c>
      <c r="N2882" t="s">
        <v>82</v>
      </c>
      <c r="O2882" t="s">
        <v>8668</v>
      </c>
      <c r="R2882">
        <v>1</v>
      </c>
      <c r="T2882" s="5"/>
      <c r="W2882">
        <v>270</v>
      </c>
      <c r="X2882" t="s">
        <v>8412</v>
      </c>
      <c r="Y2882" t="str">
        <f>VLOOKUP(C2882,'[1]DBS_KPY Sorumlular'!A:C,2,FALSE)</f>
        <v>Tayfun VİÇE</v>
      </c>
      <c r="Z2882" t="str">
        <f>VLOOKUP(C2882,'[1]DBS_KPY Sorumlular'!A:C,3,FALSE)</f>
        <v>Mehmet Ali YAVUZ</v>
      </c>
      <c r="AA2882" t="str">
        <f>VLOOKUP(K2882,[1]!Tablo3[#Data],2,FALSE)</f>
        <v>Kadir TOPÇU</v>
      </c>
    </row>
    <row r="2883" spans="1:27" x14ac:dyDescent="0.25">
      <c r="A2883">
        <v>4196</v>
      </c>
      <c r="B2883" t="s">
        <v>27</v>
      </c>
      <c r="C2883" t="s">
        <v>402</v>
      </c>
      <c r="D2883" t="s">
        <v>403</v>
      </c>
      <c r="G2883" t="s">
        <v>384</v>
      </c>
      <c r="H2883" t="s">
        <v>8669</v>
      </c>
      <c r="I2883" s="4">
        <v>45443.875</v>
      </c>
      <c r="K2883" t="s">
        <v>226</v>
      </c>
      <c r="L2883" s="5" t="s">
        <v>8401</v>
      </c>
      <c r="M2883" s="5" t="s">
        <v>8423</v>
      </c>
      <c r="N2883" t="s">
        <v>82</v>
      </c>
      <c r="O2883" t="s">
        <v>8670</v>
      </c>
      <c r="R2883">
        <v>1</v>
      </c>
      <c r="T2883" s="5"/>
      <c r="W2883">
        <v>270</v>
      </c>
      <c r="X2883" t="s">
        <v>8412</v>
      </c>
      <c r="Y2883" t="str">
        <f>VLOOKUP(C2883,'[1]DBS_KPY Sorumlular'!A:C,2,FALSE)</f>
        <v>Tayfun VİÇE</v>
      </c>
      <c r="Z2883" t="str">
        <f>VLOOKUP(C2883,'[1]DBS_KPY Sorumlular'!A:C,3,FALSE)</f>
        <v>Mehmet Ali YAVUZ</v>
      </c>
      <c r="AA2883" t="str">
        <f>VLOOKUP(K2883,[1]!Tablo3[#Data],2,FALSE)</f>
        <v>Kadir TOPÇU</v>
      </c>
    </row>
    <row r="2884" spans="1:27" x14ac:dyDescent="0.25">
      <c r="A2884">
        <v>4197</v>
      </c>
      <c r="B2884" t="s">
        <v>27</v>
      </c>
      <c r="C2884" t="s">
        <v>402</v>
      </c>
      <c r="D2884" t="s">
        <v>403</v>
      </c>
      <c r="G2884" t="s">
        <v>384</v>
      </c>
      <c r="H2884" t="s">
        <v>8671</v>
      </c>
      <c r="I2884" s="4">
        <v>45443.875</v>
      </c>
      <c r="K2884" t="s">
        <v>226</v>
      </c>
      <c r="L2884" s="5" t="s">
        <v>8401</v>
      </c>
      <c r="M2884" s="5" t="s">
        <v>8423</v>
      </c>
      <c r="N2884" t="s">
        <v>82</v>
      </c>
      <c r="O2884" t="s">
        <v>8672</v>
      </c>
      <c r="R2884">
        <v>1</v>
      </c>
      <c r="T2884" s="5"/>
      <c r="W2884">
        <v>270</v>
      </c>
      <c r="X2884" t="s">
        <v>8412</v>
      </c>
      <c r="Y2884" t="str">
        <f>VLOOKUP(C2884,'[1]DBS_KPY Sorumlular'!A:C,2,FALSE)</f>
        <v>Tayfun VİÇE</v>
      </c>
      <c r="Z2884" t="str">
        <f>VLOOKUP(C2884,'[1]DBS_KPY Sorumlular'!A:C,3,FALSE)</f>
        <v>Mehmet Ali YAVUZ</v>
      </c>
      <c r="AA2884" t="str">
        <f>VLOOKUP(K2884,[1]!Tablo3[#Data],2,FALSE)</f>
        <v>Kadir TOPÇU</v>
      </c>
    </row>
    <row r="2885" spans="1:27" x14ac:dyDescent="0.25">
      <c r="A2885">
        <v>4198</v>
      </c>
      <c r="B2885" t="s">
        <v>27</v>
      </c>
      <c r="C2885" t="s">
        <v>402</v>
      </c>
      <c r="D2885" t="s">
        <v>403</v>
      </c>
      <c r="G2885" t="s">
        <v>384</v>
      </c>
      <c r="H2885" t="s">
        <v>8673</v>
      </c>
      <c r="I2885" s="4">
        <v>45443.875</v>
      </c>
      <c r="K2885" t="s">
        <v>226</v>
      </c>
      <c r="L2885" s="5" t="s">
        <v>8401</v>
      </c>
      <c r="M2885" s="5" t="s">
        <v>8423</v>
      </c>
      <c r="N2885" t="s">
        <v>82</v>
      </c>
      <c r="O2885" t="s">
        <v>8674</v>
      </c>
      <c r="R2885">
        <v>1</v>
      </c>
      <c r="T2885" s="5"/>
      <c r="W2885">
        <v>270</v>
      </c>
      <c r="X2885" t="s">
        <v>8412</v>
      </c>
      <c r="Y2885" t="str">
        <f>VLOOKUP(C2885,'[1]DBS_KPY Sorumlular'!A:C,2,FALSE)</f>
        <v>Tayfun VİÇE</v>
      </c>
      <c r="Z2885" t="str">
        <f>VLOOKUP(C2885,'[1]DBS_KPY Sorumlular'!A:C,3,FALSE)</f>
        <v>Mehmet Ali YAVUZ</v>
      </c>
      <c r="AA2885" t="str">
        <f>VLOOKUP(K2885,[1]!Tablo3[#Data],2,FALSE)</f>
        <v>Kadir TOPÇU</v>
      </c>
    </row>
    <row r="2886" spans="1:27" x14ac:dyDescent="0.25">
      <c r="A2886">
        <v>4199</v>
      </c>
      <c r="B2886" t="s">
        <v>27</v>
      </c>
      <c r="C2886" t="s">
        <v>402</v>
      </c>
      <c r="D2886" t="s">
        <v>403</v>
      </c>
      <c r="G2886" t="s">
        <v>384</v>
      </c>
      <c r="H2886" t="s">
        <v>8675</v>
      </c>
      <c r="I2886" s="4">
        <v>45443.875</v>
      </c>
      <c r="K2886" t="s">
        <v>226</v>
      </c>
      <c r="L2886" s="5" t="s">
        <v>8401</v>
      </c>
      <c r="M2886" s="5" t="s">
        <v>8423</v>
      </c>
      <c r="N2886" t="s">
        <v>82</v>
      </c>
      <c r="O2886" t="s">
        <v>8676</v>
      </c>
      <c r="R2886">
        <v>1</v>
      </c>
      <c r="T2886" s="5"/>
      <c r="W2886">
        <v>270</v>
      </c>
      <c r="X2886" t="s">
        <v>8412</v>
      </c>
      <c r="Y2886" t="str">
        <f>VLOOKUP(C2886,'[1]DBS_KPY Sorumlular'!A:C,2,FALSE)</f>
        <v>Tayfun VİÇE</v>
      </c>
      <c r="Z2886" t="str">
        <f>VLOOKUP(C2886,'[1]DBS_KPY Sorumlular'!A:C,3,FALSE)</f>
        <v>Mehmet Ali YAVUZ</v>
      </c>
      <c r="AA2886" t="str">
        <f>VLOOKUP(K2886,[1]!Tablo3[#Data],2,FALSE)</f>
        <v>Kadir TOPÇU</v>
      </c>
    </row>
    <row r="2887" spans="1:27" x14ac:dyDescent="0.25">
      <c r="A2887">
        <v>4200</v>
      </c>
      <c r="B2887" t="s">
        <v>27</v>
      </c>
      <c r="C2887" t="s">
        <v>402</v>
      </c>
      <c r="D2887" t="s">
        <v>403</v>
      </c>
      <c r="G2887" t="s">
        <v>384</v>
      </c>
      <c r="H2887" t="s">
        <v>8677</v>
      </c>
      <c r="I2887" s="4">
        <v>45443.875</v>
      </c>
      <c r="K2887" t="s">
        <v>226</v>
      </c>
      <c r="L2887" s="5" t="s">
        <v>8401</v>
      </c>
      <c r="M2887" s="5" t="s">
        <v>8423</v>
      </c>
      <c r="N2887" t="s">
        <v>82</v>
      </c>
      <c r="O2887" t="s">
        <v>8678</v>
      </c>
      <c r="R2887">
        <v>1</v>
      </c>
      <c r="T2887" s="5"/>
      <c r="W2887">
        <v>270</v>
      </c>
      <c r="X2887" t="s">
        <v>8412</v>
      </c>
      <c r="Y2887" t="str">
        <f>VLOOKUP(C2887,'[1]DBS_KPY Sorumlular'!A:C,2,FALSE)</f>
        <v>Tayfun VİÇE</v>
      </c>
      <c r="Z2887" t="str">
        <f>VLOOKUP(C2887,'[1]DBS_KPY Sorumlular'!A:C,3,FALSE)</f>
        <v>Mehmet Ali YAVUZ</v>
      </c>
      <c r="AA2887" t="str">
        <f>VLOOKUP(K2887,[1]!Tablo3[#Data],2,FALSE)</f>
        <v>Kadir TOPÇU</v>
      </c>
    </row>
    <row r="2888" spans="1:27" x14ac:dyDescent="0.25">
      <c r="A2888">
        <v>4201</v>
      </c>
      <c r="B2888" t="s">
        <v>27</v>
      </c>
      <c r="C2888" t="s">
        <v>402</v>
      </c>
      <c r="D2888" t="s">
        <v>403</v>
      </c>
      <c r="G2888" t="s">
        <v>384</v>
      </c>
      <c r="H2888" t="s">
        <v>8679</v>
      </c>
      <c r="I2888" s="4">
        <v>45443.875</v>
      </c>
      <c r="K2888" t="s">
        <v>226</v>
      </c>
      <c r="L2888" s="5" t="s">
        <v>8401</v>
      </c>
      <c r="M2888" s="5" t="s">
        <v>8423</v>
      </c>
      <c r="N2888" t="s">
        <v>82</v>
      </c>
      <c r="O2888" t="s">
        <v>8680</v>
      </c>
      <c r="R2888">
        <v>1</v>
      </c>
      <c r="T2888" s="5"/>
      <c r="W2888">
        <v>270</v>
      </c>
      <c r="X2888" t="s">
        <v>8412</v>
      </c>
      <c r="Y2888" t="str">
        <f>VLOOKUP(C2888,'[1]DBS_KPY Sorumlular'!A:C,2,FALSE)</f>
        <v>Tayfun VİÇE</v>
      </c>
      <c r="Z2888" t="str">
        <f>VLOOKUP(C2888,'[1]DBS_KPY Sorumlular'!A:C,3,FALSE)</f>
        <v>Mehmet Ali YAVUZ</v>
      </c>
      <c r="AA2888" t="str">
        <f>VLOOKUP(K2888,[1]!Tablo3[#Data],2,FALSE)</f>
        <v>Kadir TOPÇU</v>
      </c>
    </row>
    <row r="2889" spans="1:27" x14ac:dyDescent="0.25">
      <c r="A2889">
        <v>4202</v>
      </c>
      <c r="B2889" t="s">
        <v>27</v>
      </c>
      <c r="C2889" t="s">
        <v>402</v>
      </c>
      <c r="D2889" t="s">
        <v>403</v>
      </c>
      <c r="G2889" t="s">
        <v>384</v>
      </c>
      <c r="H2889" t="s">
        <v>8681</v>
      </c>
      <c r="I2889" s="4">
        <v>45443.875</v>
      </c>
      <c r="K2889" t="s">
        <v>226</v>
      </c>
      <c r="L2889" s="5" t="s">
        <v>8401</v>
      </c>
      <c r="M2889" s="5" t="s">
        <v>8423</v>
      </c>
      <c r="N2889" t="s">
        <v>82</v>
      </c>
      <c r="O2889" t="s">
        <v>8682</v>
      </c>
      <c r="R2889">
        <v>1</v>
      </c>
      <c r="T2889" s="5"/>
      <c r="W2889">
        <v>270</v>
      </c>
      <c r="X2889" t="s">
        <v>8412</v>
      </c>
      <c r="Y2889" t="str">
        <f>VLOOKUP(C2889,'[1]DBS_KPY Sorumlular'!A:C,2,FALSE)</f>
        <v>Tayfun VİÇE</v>
      </c>
      <c r="Z2889" t="str">
        <f>VLOOKUP(C2889,'[1]DBS_KPY Sorumlular'!A:C,3,FALSE)</f>
        <v>Mehmet Ali YAVUZ</v>
      </c>
      <c r="AA2889" t="str">
        <f>VLOOKUP(K2889,[1]!Tablo3[#Data],2,FALSE)</f>
        <v>Kadir TOPÇU</v>
      </c>
    </row>
    <row r="2890" spans="1:27" x14ac:dyDescent="0.25">
      <c r="A2890">
        <v>4203</v>
      </c>
      <c r="B2890" t="s">
        <v>27</v>
      </c>
      <c r="C2890" t="s">
        <v>402</v>
      </c>
      <c r="D2890" t="s">
        <v>403</v>
      </c>
      <c r="G2890" t="s">
        <v>384</v>
      </c>
      <c r="H2890" t="s">
        <v>8683</v>
      </c>
      <c r="I2890" s="4">
        <v>45443.875</v>
      </c>
      <c r="K2890" t="s">
        <v>226</v>
      </c>
      <c r="L2890" s="5" t="s">
        <v>8401</v>
      </c>
      <c r="M2890" s="5" t="s">
        <v>8423</v>
      </c>
      <c r="N2890" t="s">
        <v>82</v>
      </c>
      <c r="O2890" t="s">
        <v>8684</v>
      </c>
      <c r="R2890">
        <v>1</v>
      </c>
      <c r="T2890" s="5"/>
      <c r="W2890">
        <v>270</v>
      </c>
      <c r="X2890" t="s">
        <v>8412</v>
      </c>
      <c r="Y2890" t="str">
        <f>VLOOKUP(C2890,'[1]DBS_KPY Sorumlular'!A:C,2,FALSE)</f>
        <v>Tayfun VİÇE</v>
      </c>
      <c r="Z2890" t="str">
        <f>VLOOKUP(C2890,'[1]DBS_KPY Sorumlular'!A:C,3,FALSE)</f>
        <v>Mehmet Ali YAVUZ</v>
      </c>
      <c r="AA2890" t="str">
        <f>VLOOKUP(K2890,[1]!Tablo3[#Data],2,FALSE)</f>
        <v>Kadir TOPÇU</v>
      </c>
    </row>
    <row r="2891" spans="1:27" x14ac:dyDescent="0.25">
      <c r="A2891">
        <v>4204</v>
      </c>
      <c r="B2891" t="s">
        <v>27</v>
      </c>
      <c r="C2891" t="s">
        <v>402</v>
      </c>
      <c r="D2891" t="s">
        <v>403</v>
      </c>
      <c r="G2891" t="s">
        <v>384</v>
      </c>
      <c r="H2891" t="s">
        <v>8685</v>
      </c>
      <c r="I2891" s="4">
        <v>45443.875</v>
      </c>
      <c r="K2891" t="s">
        <v>226</v>
      </c>
      <c r="L2891" s="5" t="s">
        <v>8401</v>
      </c>
      <c r="M2891" s="5" t="s">
        <v>8423</v>
      </c>
      <c r="N2891" t="s">
        <v>82</v>
      </c>
      <c r="O2891" t="s">
        <v>8686</v>
      </c>
      <c r="R2891">
        <v>1</v>
      </c>
      <c r="T2891" s="5"/>
      <c r="W2891">
        <v>270</v>
      </c>
      <c r="X2891" t="s">
        <v>8412</v>
      </c>
      <c r="Y2891" t="str">
        <f>VLOOKUP(C2891,'[1]DBS_KPY Sorumlular'!A:C,2,FALSE)</f>
        <v>Tayfun VİÇE</v>
      </c>
      <c r="Z2891" t="str">
        <f>VLOOKUP(C2891,'[1]DBS_KPY Sorumlular'!A:C,3,FALSE)</f>
        <v>Mehmet Ali YAVUZ</v>
      </c>
      <c r="AA2891" t="str">
        <f>VLOOKUP(K2891,[1]!Tablo3[#Data],2,FALSE)</f>
        <v>Kadir TOPÇU</v>
      </c>
    </row>
    <row r="2892" spans="1:27" x14ac:dyDescent="0.25">
      <c r="A2892">
        <v>4205</v>
      </c>
      <c r="B2892" t="s">
        <v>27</v>
      </c>
      <c r="C2892" t="s">
        <v>402</v>
      </c>
      <c r="D2892" t="s">
        <v>403</v>
      </c>
      <c r="G2892" t="s">
        <v>384</v>
      </c>
      <c r="H2892" t="s">
        <v>8687</v>
      </c>
      <c r="I2892" s="4">
        <v>45443.875</v>
      </c>
      <c r="K2892" t="s">
        <v>226</v>
      </c>
      <c r="L2892" s="5" t="s">
        <v>8401</v>
      </c>
      <c r="M2892" s="5" t="s">
        <v>8423</v>
      </c>
      <c r="N2892" t="s">
        <v>82</v>
      </c>
      <c r="O2892" t="s">
        <v>8688</v>
      </c>
      <c r="R2892">
        <v>1</v>
      </c>
      <c r="T2892" s="5"/>
      <c r="W2892">
        <v>270</v>
      </c>
      <c r="X2892" t="s">
        <v>8412</v>
      </c>
      <c r="Y2892" t="str">
        <f>VLOOKUP(C2892,'[1]DBS_KPY Sorumlular'!A:C,2,FALSE)</f>
        <v>Tayfun VİÇE</v>
      </c>
      <c r="Z2892" t="str">
        <f>VLOOKUP(C2892,'[1]DBS_KPY Sorumlular'!A:C,3,FALSE)</f>
        <v>Mehmet Ali YAVUZ</v>
      </c>
      <c r="AA2892" t="str">
        <f>VLOOKUP(K2892,[1]!Tablo3[#Data],2,FALSE)</f>
        <v>Kadir TOPÇU</v>
      </c>
    </row>
    <row r="2893" spans="1:27" x14ac:dyDescent="0.25">
      <c r="A2893">
        <v>4206</v>
      </c>
      <c r="B2893" t="s">
        <v>27</v>
      </c>
      <c r="C2893" t="s">
        <v>402</v>
      </c>
      <c r="D2893" t="s">
        <v>403</v>
      </c>
      <c r="G2893" t="s">
        <v>384</v>
      </c>
      <c r="H2893" t="s">
        <v>8689</v>
      </c>
      <c r="I2893" s="4">
        <v>45443.875</v>
      </c>
      <c r="K2893" t="s">
        <v>226</v>
      </c>
      <c r="L2893" s="5" t="s">
        <v>8401</v>
      </c>
      <c r="M2893" s="5" t="s">
        <v>8423</v>
      </c>
      <c r="N2893" t="s">
        <v>82</v>
      </c>
      <c r="O2893" t="s">
        <v>8690</v>
      </c>
      <c r="R2893">
        <v>1</v>
      </c>
      <c r="T2893" s="5"/>
      <c r="W2893">
        <v>270</v>
      </c>
      <c r="X2893" t="s">
        <v>8412</v>
      </c>
      <c r="Y2893" t="str">
        <f>VLOOKUP(C2893,'[1]DBS_KPY Sorumlular'!A:C,2,FALSE)</f>
        <v>Tayfun VİÇE</v>
      </c>
      <c r="Z2893" t="str">
        <f>VLOOKUP(C2893,'[1]DBS_KPY Sorumlular'!A:C,3,FALSE)</f>
        <v>Mehmet Ali YAVUZ</v>
      </c>
      <c r="AA2893" t="str">
        <f>VLOOKUP(K2893,[1]!Tablo3[#Data],2,FALSE)</f>
        <v>Kadir TOPÇU</v>
      </c>
    </row>
    <row r="2894" spans="1:27" x14ac:dyDescent="0.25">
      <c r="A2894">
        <v>4207</v>
      </c>
      <c r="B2894" t="s">
        <v>27</v>
      </c>
      <c r="C2894" t="s">
        <v>402</v>
      </c>
      <c r="D2894" t="s">
        <v>403</v>
      </c>
      <c r="G2894" t="s">
        <v>384</v>
      </c>
      <c r="H2894" t="s">
        <v>8691</v>
      </c>
      <c r="I2894" s="4">
        <v>45443.875</v>
      </c>
      <c r="K2894" t="s">
        <v>226</v>
      </c>
      <c r="L2894" s="5" t="s">
        <v>8401</v>
      </c>
      <c r="M2894" s="5" t="s">
        <v>8423</v>
      </c>
      <c r="N2894" t="s">
        <v>82</v>
      </c>
      <c r="O2894" t="s">
        <v>8692</v>
      </c>
      <c r="R2894">
        <v>1</v>
      </c>
      <c r="T2894" s="5"/>
      <c r="W2894">
        <v>270</v>
      </c>
      <c r="X2894" t="s">
        <v>8412</v>
      </c>
      <c r="Y2894" t="str">
        <f>VLOOKUP(C2894,'[1]DBS_KPY Sorumlular'!A:C,2,FALSE)</f>
        <v>Tayfun VİÇE</v>
      </c>
      <c r="Z2894" t="str">
        <f>VLOOKUP(C2894,'[1]DBS_KPY Sorumlular'!A:C,3,FALSE)</f>
        <v>Mehmet Ali YAVUZ</v>
      </c>
      <c r="AA2894" t="str">
        <f>VLOOKUP(K2894,[1]!Tablo3[#Data],2,FALSE)</f>
        <v>Kadir TOPÇU</v>
      </c>
    </row>
    <row r="2895" spans="1:27" x14ac:dyDescent="0.25">
      <c r="A2895">
        <v>4210</v>
      </c>
      <c r="B2895" t="s">
        <v>27</v>
      </c>
      <c r="C2895" t="s">
        <v>402</v>
      </c>
      <c r="D2895" t="s">
        <v>403</v>
      </c>
      <c r="G2895" t="s">
        <v>384</v>
      </c>
      <c r="H2895" t="s">
        <v>8693</v>
      </c>
      <c r="I2895" s="4">
        <v>45443.875</v>
      </c>
      <c r="K2895" t="s">
        <v>226</v>
      </c>
      <c r="L2895" s="5" t="s">
        <v>8401</v>
      </c>
      <c r="M2895" s="5" t="s">
        <v>8423</v>
      </c>
      <c r="N2895" t="s">
        <v>82</v>
      </c>
      <c r="O2895" t="s">
        <v>8694</v>
      </c>
      <c r="R2895">
        <v>1</v>
      </c>
      <c r="T2895" s="5"/>
      <c r="W2895">
        <v>270</v>
      </c>
      <c r="X2895" t="s">
        <v>8412</v>
      </c>
      <c r="Y2895" t="str">
        <f>VLOOKUP(C2895,'[1]DBS_KPY Sorumlular'!A:C,2,FALSE)</f>
        <v>Tayfun VİÇE</v>
      </c>
      <c r="Z2895" t="str">
        <f>VLOOKUP(C2895,'[1]DBS_KPY Sorumlular'!A:C,3,FALSE)</f>
        <v>Mehmet Ali YAVUZ</v>
      </c>
      <c r="AA2895" t="str">
        <f>VLOOKUP(K2895,[1]!Tablo3[#Data],2,FALSE)</f>
        <v>Kadir TOPÇU</v>
      </c>
    </row>
    <row r="2896" spans="1:27" x14ac:dyDescent="0.25">
      <c r="A2896">
        <v>4211</v>
      </c>
      <c r="B2896" t="s">
        <v>27</v>
      </c>
      <c r="C2896" t="s">
        <v>402</v>
      </c>
      <c r="D2896" t="s">
        <v>403</v>
      </c>
      <c r="G2896" t="s">
        <v>384</v>
      </c>
      <c r="H2896" t="s">
        <v>8695</v>
      </c>
      <c r="I2896" s="4">
        <v>45443.875</v>
      </c>
      <c r="K2896" t="s">
        <v>226</v>
      </c>
      <c r="L2896" s="5" t="s">
        <v>8401</v>
      </c>
      <c r="M2896" s="5" t="s">
        <v>8423</v>
      </c>
      <c r="N2896" t="s">
        <v>82</v>
      </c>
      <c r="O2896" t="s">
        <v>8696</v>
      </c>
      <c r="R2896">
        <v>1</v>
      </c>
      <c r="T2896" s="5"/>
      <c r="W2896">
        <v>270</v>
      </c>
      <c r="X2896" t="s">
        <v>8412</v>
      </c>
      <c r="Y2896" t="str">
        <f>VLOOKUP(C2896,'[1]DBS_KPY Sorumlular'!A:C,2,FALSE)</f>
        <v>Tayfun VİÇE</v>
      </c>
      <c r="Z2896" t="str">
        <f>VLOOKUP(C2896,'[1]DBS_KPY Sorumlular'!A:C,3,FALSE)</f>
        <v>Mehmet Ali YAVUZ</v>
      </c>
      <c r="AA2896" t="str">
        <f>VLOOKUP(K2896,[1]!Tablo3[#Data],2,FALSE)</f>
        <v>Kadir TOPÇU</v>
      </c>
    </row>
    <row r="2897" spans="1:27" x14ac:dyDescent="0.25">
      <c r="A2897">
        <v>4212</v>
      </c>
      <c r="B2897" t="s">
        <v>27</v>
      </c>
      <c r="C2897" t="s">
        <v>402</v>
      </c>
      <c r="D2897" t="s">
        <v>403</v>
      </c>
      <c r="G2897" t="s">
        <v>384</v>
      </c>
      <c r="H2897" t="s">
        <v>8697</v>
      </c>
      <c r="I2897" s="4">
        <v>45443.875</v>
      </c>
      <c r="K2897" t="s">
        <v>226</v>
      </c>
      <c r="L2897" s="5" t="s">
        <v>8401</v>
      </c>
      <c r="M2897" s="5" t="s">
        <v>8423</v>
      </c>
      <c r="N2897" t="s">
        <v>82</v>
      </c>
      <c r="O2897" t="s">
        <v>8698</v>
      </c>
      <c r="R2897">
        <v>1</v>
      </c>
      <c r="T2897" s="5"/>
      <c r="W2897">
        <v>270</v>
      </c>
      <c r="X2897" t="s">
        <v>8412</v>
      </c>
      <c r="Y2897" t="str">
        <f>VLOOKUP(C2897,'[1]DBS_KPY Sorumlular'!A:C,2,FALSE)</f>
        <v>Tayfun VİÇE</v>
      </c>
      <c r="Z2897" t="str">
        <f>VLOOKUP(C2897,'[1]DBS_KPY Sorumlular'!A:C,3,FALSE)</f>
        <v>Mehmet Ali YAVUZ</v>
      </c>
      <c r="AA2897" t="str">
        <f>VLOOKUP(K2897,[1]!Tablo3[#Data],2,FALSE)</f>
        <v>Kadir TOPÇU</v>
      </c>
    </row>
    <row r="2898" spans="1:27" x14ac:dyDescent="0.25">
      <c r="A2898">
        <v>4213</v>
      </c>
      <c r="B2898" t="s">
        <v>27</v>
      </c>
      <c r="C2898" t="s">
        <v>402</v>
      </c>
      <c r="D2898" t="s">
        <v>403</v>
      </c>
      <c r="G2898" t="s">
        <v>384</v>
      </c>
      <c r="H2898" t="s">
        <v>8699</v>
      </c>
      <c r="I2898" s="4">
        <v>45443.875</v>
      </c>
      <c r="K2898" t="s">
        <v>226</v>
      </c>
      <c r="L2898" s="5" t="s">
        <v>8401</v>
      </c>
      <c r="M2898" s="5" t="s">
        <v>8423</v>
      </c>
      <c r="N2898" t="s">
        <v>82</v>
      </c>
      <c r="O2898" t="s">
        <v>8700</v>
      </c>
      <c r="R2898">
        <v>1</v>
      </c>
      <c r="T2898" s="5"/>
      <c r="W2898">
        <v>270</v>
      </c>
      <c r="X2898" t="s">
        <v>8412</v>
      </c>
      <c r="Y2898" t="str">
        <f>VLOOKUP(C2898,'[1]DBS_KPY Sorumlular'!A:C,2,FALSE)</f>
        <v>Tayfun VİÇE</v>
      </c>
      <c r="Z2898" t="str">
        <f>VLOOKUP(C2898,'[1]DBS_KPY Sorumlular'!A:C,3,FALSE)</f>
        <v>Mehmet Ali YAVUZ</v>
      </c>
      <c r="AA2898" t="str">
        <f>VLOOKUP(K2898,[1]!Tablo3[#Data],2,FALSE)</f>
        <v>Kadir TOPÇU</v>
      </c>
    </row>
    <row r="2899" spans="1:27" x14ac:dyDescent="0.25">
      <c r="A2899">
        <v>4214</v>
      </c>
      <c r="B2899" t="s">
        <v>27</v>
      </c>
      <c r="C2899" t="s">
        <v>402</v>
      </c>
      <c r="D2899" t="s">
        <v>403</v>
      </c>
      <c r="G2899" t="s">
        <v>384</v>
      </c>
      <c r="H2899" t="s">
        <v>8701</v>
      </c>
      <c r="I2899" s="4">
        <v>45443.875</v>
      </c>
      <c r="K2899" t="s">
        <v>226</v>
      </c>
      <c r="L2899" s="5" t="s">
        <v>8401</v>
      </c>
      <c r="M2899" s="5" t="s">
        <v>8423</v>
      </c>
      <c r="N2899" t="s">
        <v>82</v>
      </c>
      <c r="O2899" t="s">
        <v>8702</v>
      </c>
      <c r="R2899">
        <v>1</v>
      </c>
      <c r="T2899" s="5"/>
      <c r="W2899">
        <v>270</v>
      </c>
      <c r="X2899" t="s">
        <v>8412</v>
      </c>
      <c r="Y2899" t="str">
        <f>VLOOKUP(C2899,'[1]DBS_KPY Sorumlular'!A:C,2,FALSE)</f>
        <v>Tayfun VİÇE</v>
      </c>
      <c r="Z2899" t="str">
        <f>VLOOKUP(C2899,'[1]DBS_KPY Sorumlular'!A:C,3,FALSE)</f>
        <v>Mehmet Ali YAVUZ</v>
      </c>
      <c r="AA2899" t="str">
        <f>VLOOKUP(K2899,[1]!Tablo3[#Data],2,FALSE)</f>
        <v>Kadir TOPÇU</v>
      </c>
    </row>
    <row r="2900" spans="1:27" x14ac:dyDescent="0.25">
      <c r="A2900">
        <v>4215</v>
      </c>
      <c r="B2900" t="s">
        <v>27</v>
      </c>
      <c r="C2900" t="s">
        <v>402</v>
      </c>
      <c r="D2900" t="s">
        <v>403</v>
      </c>
      <c r="G2900" t="s">
        <v>384</v>
      </c>
      <c r="H2900" t="s">
        <v>8703</v>
      </c>
      <c r="I2900" s="4">
        <v>45443.875</v>
      </c>
      <c r="K2900" t="s">
        <v>226</v>
      </c>
      <c r="L2900" s="5" t="s">
        <v>8401</v>
      </c>
      <c r="M2900" s="5" t="s">
        <v>8423</v>
      </c>
      <c r="N2900" t="s">
        <v>82</v>
      </c>
      <c r="O2900" t="s">
        <v>8704</v>
      </c>
      <c r="R2900">
        <v>1</v>
      </c>
      <c r="T2900" s="5"/>
      <c r="W2900">
        <v>270</v>
      </c>
      <c r="X2900" t="s">
        <v>8412</v>
      </c>
      <c r="Y2900" t="str">
        <f>VLOOKUP(C2900,'[1]DBS_KPY Sorumlular'!A:C,2,FALSE)</f>
        <v>Tayfun VİÇE</v>
      </c>
      <c r="Z2900" t="str">
        <f>VLOOKUP(C2900,'[1]DBS_KPY Sorumlular'!A:C,3,FALSE)</f>
        <v>Mehmet Ali YAVUZ</v>
      </c>
      <c r="AA2900" t="str">
        <f>VLOOKUP(K2900,[1]!Tablo3[#Data],2,FALSE)</f>
        <v>Kadir TOPÇU</v>
      </c>
    </row>
    <row r="2901" spans="1:27" x14ac:dyDescent="0.25">
      <c r="A2901">
        <v>4216</v>
      </c>
      <c r="B2901" t="s">
        <v>27</v>
      </c>
      <c r="C2901" t="s">
        <v>402</v>
      </c>
      <c r="D2901" t="s">
        <v>403</v>
      </c>
      <c r="G2901" t="s">
        <v>384</v>
      </c>
      <c r="H2901" t="s">
        <v>8705</v>
      </c>
      <c r="I2901" s="4">
        <v>45443.875</v>
      </c>
      <c r="K2901" t="s">
        <v>226</v>
      </c>
      <c r="L2901" s="5" t="s">
        <v>8401</v>
      </c>
      <c r="M2901" s="5" t="s">
        <v>8423</v>
      </c>
      <c r="N2901" t="s">
        <v>82</v>
      </c>
      <c r="O2901" t="s">
        <v>8706</v>
      </c>
      <c r="R2901">
        <v>1</v>
      </c>
      <c r="T2901" s="5"/>
      <c r="W2901">
        <v>270</v>
      </c>
      <c r="X2901" t="s">
        <v>8412</v>
      </c>
      <c r="Y2901" t="str">
        <f>VLOOKUP(C2901,'[1]DBS_KPY Sorumlular'!A:C,2,FALSE)</f>
        <v>Tayfun VİÇE</v>
      </c>
      <c r="Z2901" t="str">
        <f>VLOOKUP(C2901,'[1]DBS_KPY Sorumlular'!A:C,3,FALSE)</f>
        <v>Mehmet Ali YAVUZ</v>
      </c>
      <c r="AA2901" t="str">
        <f>VLOOKUP(K2901,[1]!Tablo3[#Data],2,FALSE)</f>
        <v>Kadir TOPÇU</v>
      </c>
    </row>
    <row r="2902" spans="1:27" x14ac:dyDescent="0.25">
      <c r="A2902">
        <v>4217</v>
      </c>
      <c r="B2902" t="s">
        <v>27</v>
      </c>
      <c r="C2902" t="s">
        <v>402</v>
      </c>
      <c r="D2902" t="s">
        <v>403</v>
      </c>
      <c r="G2902" t="s">
        <v>384</v>
      </c>
      <c r="H2902" t="s">
        <v>8707</v>
      </c>
      <c r="I2902" s="4">
        <v>45443.875</v>
      </c>
      <c r="K2902" t="s">
        <v>226</v>
      </c>
      <c r="L2902" s="5" t="s">
        <v>8401</v>
      </c>
      <c r="M2902" s="5" t="s">
        <v>8423</v>
      </c>
      <c r="N2902" t="s">
        <v>82</v>
      </c>
      <c r="O2902" t="s">
        <v>8708</v>
      </c>
      <c r="R2902">
        <v>1</v>
      </c>
      <c r="T2902" s="5"/>
      <c r="W2902">
        <v>270</v>
      </c>
      <c r="X2902" t="s">
        <v>8412</v>
      </c>
      <c r="Y2902" t="str">
        <f>VLOOKUP(C2902,'[1]DBS_KPY Sorumlular'!A:C,2,FALSE)</f>
        <v>Tayfun VİÇE</v>
      </c>
      <c r="Z2902" t="str">
        <f>VLOOKUP(C2902,'[1]DBS_KPY Sorumlular'!A:C,3,FALSE)</f>
        <v>Mehmet Ali YAVUZ</v>
      </c>
      <c r="AA2902" t="str">
        <f>VLOOKUP(K2902,[1]!Tablo3[#Data],2,FALSE)</f>
        <v>Kadir TOPÇU</v>
      </c>
    </row>
    <row r="2903" spans="1:27" x14ac:dyDescent="0.25">
      <c r="A2903">
        <v>4218</v>
      </c>
      <c r="B2903" t="s">
        <v>27</v>
      </c>
      <c r="C2903" t="s">
        <v>402</v>
      </c>
      <c r="D2903" t="s">
        <v>403</v>
      </c>
      <c r="G2903" t="s">
        <v>384</v>
      </c>
      <c r="H2903" t="s">
        <v>8709</v>
      </c>
      <c r="I2903" s="4">
        <v>45443.875</v>
      </c>
      <c r="K2903" t="s">
        <v>226</v>
      </c>
      <c r="L2903" s="5" t="s">
        <v>8401</v>
      </c>
      <c r="M2903" s="5" t="s">
        <v>8423</v>
      </c>
      <c r="N2903" t="s">
        <v>82</v>
      </c>
      <c r="O2903" t="s">
        <v>8710</v>
      </c>
      <c r="R2903">
        <v>1</v>
      </c>
      <c r="T2903" s="5"/>
      <c r="W2903">
        <v>270</v>
      </c>
      <c r="X2903" t="s">
        <v>8412</v>
      </c>
      <c r="Y2903" t="str">
        <f>VLOOKUP(C2903,'[1]DBS_KPY Sorumlular'!A:C,2,FALSE)</f>
        <v>Tayfun VİÇE</v>
      </c>
      <c r="Z2903" t="str">
        <f>VLOOKUP(C2903,'[1]DBS_KPY Sorumlular'!A:C,3,FALSE)</f>
        <v>Mehmet Ali YAVUZ</v>
      </c>
      <c r="AA2903" t="str">
        <f>VLOOKUP(K2903,[1]!Tablo3[#Data],2,FALSE)</f>
        <v>Kadir TOPÇU</v>
      </c>
    </row>
    <row r="2904" spans="1:27" x14ac:dyDescent="0.25">
      <c r="A2904">
        <v>4219</v>
      </c>
      <c r="B2904" t="s">
        <v>27</v>
      </c>
      <c r="C2904" t="s">
        <v>402</v>
      </c>
      <c r="D2904" t="s">
        <v>403</v>
      </c>
      <c r="G2904" t="s">
        <v>384</v>
      </c>
      <c r="H2904" t="s">
        <v>8711</v>
      </c>
      <c r="I2904" s="4">
        <v>45443.875</v>
      </c>
      <c r="K2904" t="s">
        <v>226</v>
      </c>
      <c r="L2904" s="5" t="s">
        <v>8401</v>
      </c>
      <c r="M2904" s="5" t="s">
        <v>8423</v>
      </c>
      <c r="N2904" t="s">
        <v>82</v>
      </c>
      <c r="O2904" t="s">
        <v>8712</v>
      </c>
      <c r="R2904">
        <v>1</v>
      </c>
      <c r="T2904" s="5"/>
      <c r="W2904">
        <v>270</v>
      </c>
      <c r="X2904" t="s">
        <v>8412</v>
      </c>
      <c r="Y2904" t="str">
        <f>VLOOKUP(C2904,'[1]DBS_KPY Sorumlular'!A:C,2,FALSE)</f>
        <v>Tayfun VİÇE</v>
      </c>
      <c r="Z2904" t="str">
        <f>VLOOKUP(C2904,'[1]DBS_KPY Sorumlular'!A:C,3,FALSE)</f>
        <v>Mehmet Ali YAVUZ</v>
      </c>
      <c r="AA2904" t="str">
        <f>VLOOKUP(K2904,[1]!Tablo3[#Data],2,FALSE)</f>
        <v>Kadir TOPÇU</v>
      </c>
    </row>
    <row r="2905" spans="1:27" x14ac:dyDescent="0.25">
      <c r="A2905">
        <v>4220</v>
      </c>
      <c r="B2905" t="s">
        <v>27</v>
      </c>
      <c r="C2905" t="s">
        <v>402</v>
      </c>
      <c r="D2905" t="s">
        <v>403</v>
      </c>
      <c r="G2905" t="s">
        <v>384</v>
      </c>
      <c r="H2905" t="s">
        <v>8713</v>
      </c>
      <c r="I2905" s="4">
        <v>45443.875</v>
      </c>
      <c r="K2905" t="s">
        <v>226</v>
      </c>
      <c r="L2905" s="5" t="s">
        <v>8401</v>
      </c>
      <c r="M2905" s="5" t="s">
        <v>8423</v>
      </c>
      <c r="N2905" t="s">
        <v>82</v>
      </c>
      <c r="O2905" t="s">
        <v>8714</v>
      </c>
      <c r="R2905">
        <v>1</v>
      </c>
      <c r="T2905" s="5"/>
      <c r="W2905">
        <v>270</v>
      </c>
      <c r="X2905" t="s">
        <v>8412</v>
      </c>
      <c r="Y2905" t="str">
        <f>VLOOKUP(C2905,'[1]DBS_KPY Sorumlular'!A:C,2,FALSE)</f>
        <v>Tayfun VİÇE</v>
      </c>
      <c r="Z2905" t="str">
        <f>VLOOKUP(C2905,'[1]DBS_KPY Sorumlular'!A:C,3,FALSE)</f>
        <v>Mehmet Ali YAVUZ</v>
      </c>
      <c r="AA2905" t="str">
        <f>VLOOKUP(K2905,[1]!Tablo3[#Data],2,FALSE)</f>
        <v>Kadir TOPÇU</v>
      </c>
    </row>
    <row r="2906" spans="1:27" x14ac:dyDescent="0.25">
      <c r="A2906">
        <v>4221</v>
      </c>
      <c r="B2906" t="s">
        <v>27</v>
      </c>
      <c r="C2906" t="s">
        <v>402</v>
      </c>
      <c r="D2906" t="s">
        <v>403</v>
      </c>
      <c r="G2906" t="s">
        <v>384</v>
      </c>
      <c r="H2906" t="s">
        <v>8715</v>
      </c>
      <c r="I2906" s="4">
        <v>45443.875</v>
      </c>
      <c r="K2906" t="s">
        <v>226</v>
      </c>
      <c r="L2906" s="5" t="s">
        <v>8401</v>
      </c>
      <c r="M2906" s="5" t="s">
        <v>8423</v>
      </c>
      <c r="N2906" t="s">
        <v>82</v>
      </c>
      <c r="O2906" t="s">
        <v>8716</v>
      </c>
      <c r="R2906">
        <v>1</v>
      </c>
      <c r="T2906" s="5"/>
      <c r="W2906">
        <v>270</v>
      </c>
      <c r="X2906" t="s">
        <v>8412</v>
      </c>
      <c r="Y2906" t="str">
        <f>VLOOKUP(C2906,'[1]DBS_KPY Sorumlular'!A:C,2,FALSE)</f>
        <v>Tayfun VİÇE</v>
      </c>
      <c r="Z2906" t="str">
        <f>VLOOKUP(C2906,'[1]DBS_KPY Sorumlular'!A:C,3,FALSE)</f>
        <v>Mehmet Ali YAVUZ</v>
      </c>
      <c r="AA2906" t="str">
        <f>VLOOKUP(K2906,[1]!Tablo3[#Data],2,FALSE)</f>
        <v>Kadir TOPÇU</v>
      </c>
    </row>
    <row r="2907" spans="1:27" x14ac:dyDescent="0.25">
      <c r="A2907">
        <v>4222</v>
      </c>
      <c r="B2907" t="s">
        <v>27</v>
      </c>
      <c r="C2907" t="s">
        <v>402</v>
      </c>
      <c r="D2907" t="s">
        <v>403</v>
      </c>
      <c r="G2907" t="s">
        <v>384</v>
      </c>
      <c r="H2907" t="s">
        <v>8717</v>
      </c>
      <c r="I2907" s="4">
        <v>45443.875</v>
      </c>
      <c r="K2907" t="s">
        <v>226</v>
      </c>
      <c r="L2907" s="5" t="s">
        <v>8401</v>
      </c>
      <c r="M2907" s="5" t="s">
        <v>8423</v>
      </c>
      <c r="N2907" t="s">
        <v>82</v>
      </c>
      <c r="O2907" t="s">
        <v>8718</v>
      </c>
      <c r="R2907">
        <v>1</v>
      </c>
      <c r="T2907" s="5"/>
      <c r="W2907">
        <v>270</v>
      </c>
      <c r="X2907" t="s">
        <v>8412</v>
      </c>
      <c r="Y2907" t="str">
        <f>VLOOKUP(C2907,'[1]DBS_KPY Sorumlular'!A:C,2,FALSE)</f>
        <v>Tayfun VİÇE</v>
      </c>
      <c r="Z2907" t="str">
        <f>VLOOKUP(C2907,'[1]DBS_KPY Sorumlular'!A:C,3,FALSE)</f>
        <v>Mehmet Ali YAVUZ</v>
      </c>
      <c r="AA2907" t="str">
        <f>VLOOKUP(K2907,[1]!Tablo3[#Data],2,FALSE)</f>
        <v>Kadir TOPÇU</v>
      </c>
    </row>
    <row r="2908" spans="1:27" x14ac:dyDescent="0.25">
      <c r="A2908">
        <v>4223</v>
      </c>
      <c r="B2908" t="s">
        <v>27</v>
      </c>
      <c r="C2908" t="s">
        <v>402</v>
      </c>
      <c r="D2908" t="s">
        <v>403</v>
      </c>
      <c r="G2908" t="s">
        <v>384</v>
      </c>
      <c r="H2908" t="s">
        <v>8719</v>
      </c>
      <c r="I2908" s="4">
        <v>45443.875</v>
      </c>
      <c r="K2908" t="s">
        <v>226</v>
      </c>
      <c r="L2908" s="5" t="s">
        <v>8401</v>
      </c>
      <c r="M2908" s="5" t="s">
        <v>8423</v>
      </c>
      <c r="N2908" t="s">
        <v>82</v>
      </c>
      <c r="O2908" t="s">
        <v>8720</v>
      </c>
      <c r="R2908">
        <v>1</v>
      </c>
      <c r="T2908" s="5"/>
      <c r="W2908">
        <v>270</v>
      </c>
      <c r="X2908" t="s">
        <v>8412</v>
      </c>
      <c r="Y2908" t="str">
        <f>VLOOKUP(C2908,'[1]DBS_KPY Sorumlular'!A:C,2,FALSE)</f>
        <v>Tayfun VİÇE</v>
      </c>
      <c r="Z2908" t="str">
        <f>VLOOKUP(C2908,'[1]DBS_KPY Sorumlular'!A:C,3,FALSE)</f>
        <v>Mehmet Ali YAVUZ</v>
      </c>
      <c r="AA2908" t="str">
        <f>VLOOKUP(K2908,[1]!Tablo3[#Data],2,FALSE)</f>
        <v>Kadir TOPÇU</v>
      </c>
    </row>
    <row r="2909" spans="1:27" x14ac:dyDescent="0.25">
      <c r="A2909">
        <v>4224</v>
      </c>
      <c r="B2909" t="s">
        <v>27</v>
      </c>
      <c r="C2909" t="s">
        <v>402</v>
      </c>
      <c r="D2909" t="s">
        <v>403</v>
      </c>
      <c r="G2909" t="s">
        <v>384</v>
      </c>
      <c r="H2909" t="s">
        <v>8721</v>
      </c>
      <c r="I2909" s="4">
        <v>45443.875</v>
      </c>
      <c r="K2909" t="s">
        <v>226</v>
      </c>
      <c r="L2909" s="5" t="s">
        <v>8401</v>
      </c>
      <c r="M2909" s="5" t="s">
        <v>8423</v>
      </c>
      <c r="N2909" t="s">
        <v>82</v>
      </c>
      <c r="O2909" t="s">
        <v>8722</v>
      </c>
      <c r="R2909">
        <v>1</v>
      </c>
      <c r="T2909" s="5"/>
      <c r="W2909">
        <v>270</v>
      </c>
      <c r="X2909" t="s">
        <v>8412</v>
      </c>
      <c r="Y2909" t="str">
        <f>VLOOKUP(C2909,'[1]DBS_KPY Sorumlular'!A:C,2,FALSE)</f>
        <v>Tayfun VİÇE</v>
      </c>
      <c r="Z2909" t="str">
        <f>VLOOKUP(C2909,'[1]DBS_KPY Sorumlular'!A:C,3,FALSE)</f>
        <v>Mehmet Ali YAVUZ</v>
      </c>
      <c r="AA2909" t="str">
        <f>VLOOKUP(K2909,[1]!Tablo3[#Data],2,FALSE)</f>
        <v>Kadir TOPÇU</v>
      </c>
    </row>
    <row r="2910" spans="1:27" x14ac:dyDescent="0.25">
      <c r="A2910">
        <v>4225</v>
      </c>
      <c r="B2910" t="s">
        <v>27</v>
      </c>
      <c r="C2910" t="s">
        <v>402</v>
      </c>
      <c r="D2910" t="s">
        <v>403</v>
      </c>
      <c r="G2910" t="s">
        <v>384</v>
      </c>
      <c r="H2910" t="s">
        <v>8723</v>
      </c>
      <c r="I2910" s="4">
        <v>45443.875</v>
      </c>
      <c r="K2910" t="s">
        <v>226</v>
      </c>
      <c r="L2910" s="5" t="s">
        <v>8401</v>
      </c>
      <c r="M2910" s="5" t="s">
        <v>8423</v>
      </c>
      <c r="N2910" t="s">
        <v>82</v>
      </c>
      <c r="O2910" t="s">
        <v>8724</v>
      </c>
      <c r="R2910">
        <v>1</v>
      </c>
      <c r="T2910" s="5"/>
      <c r="W2910">
        <v>270</v>
      </c>
      <c r="X2910" t="s">
        <v>8412</v>
      </c>
      <c r="Y2910" t="str">
        <f>VLOOKUP(C2910,'[1]DBS_KPY Sorumlular'!A:C,2,FALSE)</f>
        <v>Tayfun VİÇE</v>
      </c>
      <c r="Z2910" t="str">
        <f>VLOOKUP(C2910,'[1]DBS_KPY Sorumlular'!A:C,3,FALSE)</f>
        <v>Mehmet Ali YAVUZ</v>
      </c>
      <c r="AA2910" t="str">
        <f>VLOOKUP(K2910,[1]!Tablo3[#Data],2,FALSE)</f>
        <v>Kadir TOPÇU</v>
      </c>
    </row>
    <row r="2911" spans="1:27" x14ac:dyDescent="0.25">
      <c r="A2911">
        <v>4226</v>
      </c>
      <c r="B2911" t="s">
        <v>27</v>
      </c>
      <c r="C2911" t="s">
        <v>402</v>
      </c>
      <c r="D2911" t="s">
        <v>403</v>
      </c>
      <c r="G2911" t="s">
        <v>384</v>
      </c>
      <c r="H2911" t="s">
        <v>8725</v>
      </c>
      <c r="I2911" s="4">
        <v>45443.875</v>
      </c>
      <c r="K2911" t="s">
        <v>226</v>
      </c>
      <c r="L2911" s="5" t="s">
        <v>8401</v>
      </c>
      <c r="M2911" s="5" t="s">
        <v>8423</v>
      </c>
      <c r="N2911" t="s">
        <v>82</v>
      </c>
      <c r="O2911" t="s">
        <v>8726</v>
      </c>
      <c r="R2911">
        <v>1</v>
      </c>
      <c r="T2911" s="5"/>
      <c r="W2911">
        <v>270</v>
      </c>
      <c r="X2911" t="s">
        <v>8412</v>
      </c>
      <c r="Y2911" t="str">
        <f>VLOOKUP(C2911,'[1]DBS_KPY Sorumlular'!A:C,2,FALSE)</f>
        <v>Tayfun VİÇE</v>
      </c>
      <c r="Z2911" t="str">
        <f>VLOOKUP(C2911,'[1]DBS_KPY Sorumlular'!A:C,3,FALSE)</f>
        <v>Mehmet Ali YAVUZ</v>
      </c>
      <c r="AA2911" t="str">
        <f>VLOOKUP(K2911,[1]!Tablo3[#Data],2,FALSE)</f>
        <v>Kadir TOPÇU</v>
      </c>
    </row>
    <row r="2912" spans="1:27" x14ac:dyDescent="0.25">
      <c r="A2912">
        <v>4227</v>
      </c>
      <c r="B2912" t="s">
        <v>27</v>
      </c>
      <c r="C2912" t="s">
        <v>402</v>
      </c>
      <c r="D2912" t="s">
        <v>403</v>
      </c>
      <c r="G2912" t="s">
        <v>384</v>
      </c>
      <c r="H2912" t="s">
        <v>8727</v>
      </c>
      <c r="I2912" s="4">
        <v>45443.875</v>
      </c>
      <c r="K2912" t="s">
        <v>226</v>
      </c>
      <c r="L2912" s="5" t="s">
        <v>8401</v>
      </c>
      <c r="M2912" s="5" t="s">
        <v>8423</v>
      </c>
      <c r="N2912" t="s">
        <v>82</v>
      </c>
      <c r="O2912" t="s">
        <v>8728</v>
      </c>
      <c r="R2912">
        <v>1</v>
      </c>
      <c r="T2912" s="5"/>
      <c r="W2912">
        <v>270</v>
      </c>
      <c r="X2912" t="s">
        <v>8412</v>
      </c>
      <c r="Y2912" t="str">
        <f>VLOOKUP(C2912,'[1]DBS_KPY Sorumlular'!A:C,2,FALSE)</f>
        <v>Tayfun VİÇE</v>
      </c>
      <c r="Z2912" t="str">
        <f>VLOOKUP(C2912,'[1]DBS_KPY Sorumlular'!A:C,3,FALSE)</f>
        <v>Mehmet Ali YAVUZ</v>
      </c>
      <c r="AA2912" t="str">
        <f>VLOOKUP(K2912,[1]!Tablo3[#Data],2,FALSE)</f>
        <v>Kadir TOPÇU</v>
      </c>
    </row>
    <row r="2913" spans="1:27" x14ac:dyDescent="0.25">
      <c r="A2913">
        <v>4228</v>
      </c>
      <c r="B2913" t="s">
        <v>27</v>
      </c>
      <c r="C2913" t="s">
        <v>402</v>
      </c>
      <c r="D2913" t="s">
        <v>403</v>
      </c>
      <c r="G2913" t="s">
        <v>384</v>
      </c>
      <c r="H2913" t="s">
        <v>8729</v>
      </c>
      <c r="I2913" s="4">
        <v>45443.875</v>
      </c>
      <c r="K2913" t="s">
        <v>226</v>
      </c>
      <c r="L2913" s="5" t="s">
        <v>8401</v>
      </c>
      <c r="M2913" s="5" t="s">
        <v>8423</v>
      </c>
      <c r="N2913" t="s">
        <v>82</v>
      </c>
      <c r="O2913" t="s">
        <v>8730</v>
      </c>
      <c r="R2913">
        <v>1</v>
      </c>
      <c r="T2913" s="5"/>
      <c r="W2913">
        <v>270</v>
      </c>
      <c r="X2913" t="s">
        <v>8412</v>
      </c>
      <c r="Y2913" t="str">
        <f>VLOOKUP(C2913,'[1]DBS_KPY Sorumlular'!A:C,2,FALSE)</f>
        <v>Tayfun VİÇE</v>
      </c>
      <c r="Z2913" t="str">
        <f>VLOOKUP(C2913,'[1]DBS_KPY Sorumlular'!A:C,3,FALSE)</f>
        <v>Mehmet Ali YAVUZ</v>
      </c>
      <c r="AA2913" t="str">
        <f>VLOOKUP(K2913,[1]!Tablo3[#Data],2,FALSE)</f>
        <v>Kadir TOPÇU</v>
      </c>
    </row>
    <row r="2914" spans="1:27" x14ac:dyDescent="0.25">
      <c r="A2914">
        <v>4229</v>
      </c>
      <c r="B2914" t="s">
        <v>27</v>
      </c>
      <c r="C2914" t="s">
        <v>402</v>
      </c>
      <c r="D2914" t="s">
        <v>403</v>
      </c>
      <c r="G2914" t="s">
        <v>384</v>
      </c>
      <c r="H2914" t="s">
        <v>8731</v>
      </c>
      <c r="I2914" s="4">
        <v>45443.875</v>
      </c>
      <c r="K2914" t="s">
        <v>226</v>
      </c>
      <c r="L2914" s="5" t="s">
        <v>8401</v>
      </c>
      <c r="M2914" s="5" t="s">
        <v>8423</v>
      </c>
      <c r="N2914" t="s">
        <v>82</v>
      </c>
      <c r="O2914" t="s">
        <v>8732</v>
      </c>
      <c r="R2914">
        <v>1</v>
      </c>
      <c r="T2914" s="5"/>
      <c r="W2914">
        <v>270</v>
      </c>
      <c r="X2914" t="s">
        <v>8412</v>
      </c>
      <c r="Y2914" t="str">
        <f>VLOOKUP(C2914,'[1]DBS_KPY Sorumlular'!A:C,2,FALSE)</f>
        <v>Tayfun VİÇE</v>
      </c>
      <c r="Z2914" t="str">
        <f>VLOOKUP(C2914,'[1]DBS_KPY Sorumlular'!A:C,3,FALSE)</f>
        <v>Mehmet Ali YAVUZ</v>
      </c>
      <c r="AA2914" t="str">
        <f>VLOOKUP(K2914,[1]!Tablo3[#Data],2,FALSE)</f>
        <v>Kadir TOPÇU</v>
      </c>
    </row>
    <row r="2915" spans="1:27" x14ac:dyDescent="0.25">
      <c r="A2915">
        <v>4230</v>
      </c>
      <c r="B2915" t="s">
        <v>27</v>
      </c>
      <c r="C2915" t="s">
        <v>402</v>
      </c>
      <c r="D2915" t="s">
        <v>403</v>
      </c>
      <c r="G2915" t="s">
        <v>384</v>
      </c>
      <c r="H2915" t="s">
        <v>8733</v>
      </c>
      <c r="I2915" s="4">
        <v>45443.875</v>
      </c>
      <c r="K2915" t="s">
        <v>226</v>
      </c>
      <c r="L2915" s="5" t="s">
        <v>8401</v>
      </c>
      <c r="M2915" s="5" t="s">
        <v>8423</v>
      </c>
      <c r="N2915" t="s">
        <v>82</v>
      </c>
      <c r="O2915" t="s">
        <v>8734</v>
      </c>
      <c r="R2915">
        <v>1</v>
      </c>
      <c r="T2915" s="5"/>
      <c r="W2915">
        <v>270</v>
      </c>
      <c r="X2915" t="s">
        <v>8412</v>
      </c>
      <c r="Y2915" t="str">
        <f>VLOOKUP(C2915,'[1]DBS_KPY Sorumlular'!A:C,2,FALSE)</f>
        <v>Tayfun VİÇE</v>
      </c>
      <c r="Z2915" t="str">
        <f>VLOOKUP(C2915,'[1]DBS_KPY Sorumlular'!A:C,3,FALSE)</f>
        <v>Mehmet Ali YAVUZ</v>
      </c>
      <c r="AA2915" t="str">
        <f>VLOOKUP(K2915,[1]!Tablo3[#Data],2,FALSE)</f>
        <v>Kadir TOPÇU</v>
      </c>
    </row>
    <row r="2916" spans="1:27" x14ac:dyDescent="0.25">
      <c r="A2916">
        <v>4231</v>
      </c>
      <c r="B2916" t="s">
        <v>27</v>
      </c>
      <c r="C2916" t="s">
        <v>402</v>
      </c>
      <c r="D2916" t="s">
        <v>403</v>
      </c>
      <c r="G2916" t="s">
        <v>384</v>
      </c>
      <c r="H2916" t="s">
        <v>8735</v>
      </c>
      <c r="I2916" s="4">
        <v>45443.875</v>
      </c>
      <c r="K2916" t="s">
        <v>226</v>
      </c>
      <c r="L2916" s="5" t="s">
        <v>8401</v>
      </c>
      <c r="M2916" s="5" t="s">
        <v>8423</v>
      </c>
      <c r="N2916" t="s">
        <v>82</v>
      </c>
      <c r="O2916" t="s">
        <v>8736</v>
      </c>
      <c r="R2916">
        <v>1</v>
      </c>
      <c r="T2916" s="5"/>
      <c r="W2916">
        <v>270</v>
      </c>
      <c r="X2916" t="s">
        <v>8412</v>
      </c>
      <c r="Y2916" t="str">
        <f>VLOOKUP(C2916,'[1]DBS_KPY Sorumlular'!A:C,2,FALSE)</f>
        <v>Tayfun VİÇE</v>
      </c>
      <c r="Z2916" t="str">
        <f>VLOOKUP(C2916,'[1]DBS_KPY Sorumlular'!A:C,3,FALSE)</f>
        <v>Mehmet Ali YAVUZ</v>
      </c>
      <c r="AA2916" t="str">
        <f>VLOOKUP(K2916,[1]!Tablo3[#Data],2,FALSE)</f>
        <v>Kadir TOPÇU</v>
      </c>
    </row>
    <row r="2917" spans="1:27" x14ac:dyDescent="0.25">
      <c r="A2917">
        <v>4233</v>
      </c>
      <c r="B2917" t="s">
        <v>27</v>
      </c>
      <c r="C2917" t="s">
        <v>402</v>
      </c>
      <c r="D2917" t="s">
        <v>403</v>
      </c>
      <c r="G2917" t="s">
        <v>384</v>
      </c>
      <c r="H2917" t="s">
        <v>8737</v>
      </c>
      <c r="I2917" s="4">
        <v>45443.875</v>
      </c>
      <c r="K2917" t="s">
        <v>226</v>
      </c>
      <c r="L2917" s="5" t="s">
        <v>8401</v>
      </c>
      <c r="M2917" s="5" t="s">
        <v>8423</v>
      </c>
      <c r="N2917" t="s">
        <v>82</v>
      </c>
      <c r="O2917" t="s">
        <v>8738</v>
      </c>
      <c r="R2917">
        <v>1</v>
      </c>
      <c r="T2917" s="5"/>
      <c r="W2917">
        <v>270</v>
      </c>
      <c r="X2917" t="s">
        <v>8412</v>
      </c>
      <c r="Y2917" t="str">
        <f>VLOOKUP(C2917,'[1]DBS_KPY Sorumlular'!A:C,2,FALSE)</f>
        <v>Tayfun VİÇE</v>
      </c>
      <c r="Z2917" t="str">
        <f>VLOOKUP(C2917,'[1]DBS_KPY Sorumlular'!A:C,3,FALSE)</f>
        <v>Mehmet Ali YAVUZ</v>
      </c>
      <c r="AA2917" t="str">
        <f>VLOOKUP(K2917,[1]!Tablo3[#Data],2,FALSE)</f>
        <v>Kadir TOPÇU</v>
      </c>
    </row>
    <row r="2918" spans="1:27" x14ac:dyDescent="0.25">
      <c r="A2918">
        <v>4235</v>
      </c>
      <c r="B2918" t="s">
        <v>27</v>
      </c>
      <c r="C2918" t="s">
        <v>402</v>
      </c>
      <c r="D2918" t="s">
        <v>403</v>
      </c>
      <c r="G2918" t="s">
        <v>384</v>
      </c>
      <c r="H2918" t="s">
        <v>8739</v>
      </c>
      <c r="I2918" s="4">
        <v>45443.875</v>
      </c>
      <c r="K2918" t="s">
        <v>226</v>
      </c>
      <c r="L2918" s="5" t="s">
        <v>8401</v>
      </c>
      <c r="M2918" s="5" t="s">
        <v>8423</v>
      </c>
      <c r="N2918" t="s">
        <v>82</v>
      </c>
      <c r="O2918" t="s">
        <v>8740</v>
      </c>
      <c r="R2918">
        <v>1</v>
      </c>
      <c r="T2918" s="5"/>
      <c r="W2918">
        <v>270</v>
      </c>
      <c r="X2918" t="s">
        <v>8412</v>
      </c>
      <c r="Y2918" t="str">
        <f>VLOOKUP(C2918,'[1]DBS_KPY Sorumlular'!A:C,2,FALSE)</f>
        <v>Tayfun VİÇE</v>
      </c>
      <c r="Z2918" t="str">
        <f>VLOOKUP(C2918,'[1]DBS_KPY Sorumlular'!A:C,3,FALSE)</f>
        <v>Mehmet Ali YAVUZ</v>
      </c>
      <c r="AA2918" t="str">
        <f>VLOOKUP(K2918,[1]!Tablo3[#Data],2,FALSE)</f>
        <v>Kadir TOPÇU</v>
      </c>
    </row>
    <row r="2919" spans="1:27" x14ac:dyDescent="0.25">
      <c r="A2919">
        <v>4236</v>
      </c>
      <c r="B2919" t="s">
        <v>27</v>
      </c>
      <c r="C2919" t="s">
        <v>402</v>
      </c>
      <c r="D2919" t="s">
        <v>403</v>
      </c>
      <c r="G2919" t="s">
        <v>384</v>
      </c>
      <c r="H2919" t="s">
        <v>8741</v>
      </c>
      <c r="I2919" s="4">
        <v>45443.875</v>
      </c>
      <c r="K2919" t="s">
        <v>226</v>
      </c>
      <c r="L2919" s="5" t="s">
        <v>8401</v>
      </c>
      <c r="M2919" s="5" t="s">
        <v>8423</v>
      </c>
      <c r="N2919" t="s">
        <v>82</v>
      </c>
      <c r="O2919" t="s">
        <v>8742</v>
      </c>
      <c r="R2919">
        <v>1</v>
      </c>
      <c r="T2919" s="5"/>
      <c r="W2919">
        <v>270</v>
      </c>
      <c r="X2919" t="s">
        <v>8412</v>
      </c>
      <c r="Y2919" t="str">
        <f>VLOOKUP(C2919,'[1]DBS_KPY Sorumlular'!A:C,2,FALSE)</f>
        <v>Tayfun VİÇE</v>
      </c>
      <c r="Z2919" t="str">
        <f>VLOOKUP(C2919,'[1]DBS_KPY Sorumlular'!A:C,3,FALSE)</f>
        <v>Mehmet Ali YAVUZ</v>
      </c>
      <c r="AA2919" t="str">
        <f>VLOOKUP(K2919,[1]!Tablo3[#Data],2,FALSE)</f>
        <v>Kadir TOPÇU</v>
      </c>
    </row>
    <row r="2920" spans="1:27" x14ac:dyDescent="0.25">
      <c r="A2920">
        <v>4237</v>
      </c>
      <c r="B2920" t="s">
        <v>27</v>
      </c>
      <c r="C2920" t="s">
        <v>402</v>
      </c>
      <c r="D2920" t="s">
        <v>403</v>
      </c>
      <c r="G2920" t="s">
        <v>384</v>
      </c>
      <c r="H2920" t="s">
        <v>8743</v>
      </c>
      <c r="I2920" s="4">
        <v>45443.875</v>
      </c>
      <c r="K2920" t="s">
        <v>226</v>
      </c>
      <c r="L2920" s="5" t="s">
        <v>8401</v>
      </c>
      <c r="M2920" s="5" t="s">
        <v>8423</v>
      </c>
      <c r="N2920" t="s">
        <v>82</v>
      </c>
      <c r="O2920" t="s">
        <v>8744</v>
      </c>
      <c r="R2920">
        <v>1</v>
      </c>
      <c r="T2920" s="5"/>
      <c r="W2920">
        <v>270</v>
      </c>
      <c r="X2920" t="s">
        <v>8412</v>
      </c>
      <c r="Y2920" t="str">
        <f>VLOOKUP(C2920,'[1]DBS_KPY Sorumlular'!A:C,2,FALSE)</f>
        <v>Tayfun VİÇE</v>
      </c>
      <c r="Z2920" t="str">
        <f>VLOOKUP(C2920,'[1]DBS_KPY Sorumlular'!A:C,3,FALSE)</f>
        <v>Mehmet Ali YAVUZ</v>
      </c>
      <c r="AA2920" t="str">
        <f>VLOOKUP(K2920,[1]!Tablo3[#Data],2,FALSE)</f>
        <v>Kadir TOPÇU</v>
      </c>
    </row>
    <row r="2921" spans="1:27" x14ac:dyDescent="0.25">
      <c r="A2921">
        <v>4239</v>
      </c>
      <c r="B2921" t="s">
        <v>27</v>
      </c>
      <c r="C2921" t="s">
        <v>402</v>
      </c>
      <c r="D2921" t="s">
        <v>403</v>
      </c>
      <c r="G2921" t="s">
        <v>384</v>
      </c>
      <c r="H2921" t="s">
        <v>8745</v>
      </c>
      <c r="I2921" s="4">
        <v>45443.875</v>
      </c>
      <c r="K2921" t="s">
        <v>226</v>
      </c>
      <c r="L2921" s="5" t="s">
        <v>8401</v>
      </c>
      <c r="M2921" s="5" t="s">
        <v>8423</v>
      </c>
      <c r="N2921" t="s">
        <v>82</v>
      </c>
      <c r="O2921" t="s">
        <v>8746</v>
      </c>
      <c r="R2921">
        <v>1</v>
      </c>
      <c r="T2921" s="5"/>
      <c r="W2921">
        <v>270</v>
      </c>
      <c r="X2921" t="s">
        <v>8412</v>
      </c>
      <c r="Y2921" t="str">
        <f>VLOOKUP(C2921,'[1]DBS_KPY Sorumlular'!A:C,2,FALSE)</f>
        <v>Tayfun VİÇE</v>
      </c>
      <c r="Z2921" t="str">
        <f>VLOOKUP(C2921,'[1]DBS_KPY Sorumlular'!A:C,3,FALSE)</f>
        <v>Mehmet Ali YAVUZ</v>
      </c>
      <c r="AA2921" t="str">
        <f>VLOOKUP(K2921,[1]!Tablo3[#Data],2,FALSE)</f>
        <v>Kadir TOPÇU</v>
      </c>
    </row>
    <row r="2922" spans="1:27" x14ac:dyDescent="0.25">
      <c r="A2922">
        <v>4241</v>
      </c>
      <c r="B2922" t="s">
        <v>27</v>
      </c>
      <c r="C2922" t="s">
        <v>402</v>
      </c>
      <c r="D2922" t="s">
        <v>403</v>
      </c>
      <c r="G2922" t="s">
        <v>384</v>
      </c>
      <c r="H2922" t="s">
        <v>8747</v>
      </c>
      <c r="I2922" s="4">
        <v>45443.875</v>
      </c>
      <c r="K2922" t="s">
        <v>226</v>
      </c>
      <c r="L2922" s="5" t="s">
        <v>8401</v>
      </c>
      <c r="M2922" s="5" t="s">
        <v>8423</v>
      </c>
      <c r="N2922" t="s">
        <v>82</v>
      </c>
      <c r="O2922" t="s">
        <v>8748</v>
      </c>
      <c r="R2922">
        <v>1</v>
      </c>
      <c r="T2922" s="5"/>
      <c r="W2922">
        <v>270</v>
      </c>
      <c r="X2922" t="s">
        <v>8412</v>
      </c>
      <c r="Y2922" t="str">
        <f>VLOOKUP(C2922,'[1]DBS_KPY Sorumlular'!A:C,2,FALSE)</f>
        <v>Tayfun VİÇE</v>
      </c>
      <c r="Z2922" t="str">
        <f>VLOOKUP(C2922,'[1]DBS_KPY Sorumlular'!A:C,3,FALSE)</f>
        <v>Mehmet Ali YAVUZ</v>
      </c>
      <c r="AA2922" t="str">
        <f>VLOOKUP(K2922,[1]!Tablo3[#Data],2,FALSE)</f>
        <v>Kadir TOPÇU</v>
      </c>
    </row>
    <row r="2923" spans="1:27" x14ac:dyDescent="0.25">
      <c r="A2923">
        <v>4242</v>
      </c>
      <c r="B2923" t="s">
        <v>27</v>
      </c>
      <c r="C2923" t="s">
        <v>402</v>
      </c>
      <c r="D2923" t="s">
        <v>403</v>
      </c>
      <c r="G2923" t="s">
        <v>384</v>
      </c>
      <c r="H2923" t="s">
        <v>8749</v>
      </c>
      <c r="I2923" s="4">
        <v>45443.875</v>
      </c>
      <c r="K2923" t="s">
        <v>364</v>
      </c>
      <c r="L2923" s="5" t="s">
        <v>8401</v>
      </c>
      <c r="M2923" s="5" t="s">
        <v>8423</v>
      </c>
      <c r="N2923" t="s">
        <v>82</v>
      </c>
      <c r="O2923" t="s">
        <v>8750</v>
      </c>
      <c r="R2923">
        <v>1</v>
      </c>
      <c r="T2923" s="5"/>
      <c r="W2923">
        <v>270</v>
      </c>
      <c r="X2923" t="s">
        <v>8412</v>
      </c>
      <c r="Y2923" t="str">
        <f>VLOOKUP(C2923,'[1]DBS_KPY Sorumlular'!A:C,2,FALSE)</f>
        <v>Tayfun VİÇE</v>
      </c>
      <c r="Z2923" t="str">
        <f>VLOOKUP(C2923,'[1]DBS_KPY Sorumlular'!A:C,3,FALSE)</f>
        <v>Mehmet Ali YAVUZ</v>
      </c>
      <c r="AA2923" t="str">
        <f>VLOOKUP(K2923,[1]!Tablo3[#Data],2,FALSE)</f>
        <v>Kadir TOPÇU</v>
      </c>
    </row>
    <row r="2924" spans="1:27" x14ac:dyDescent="0.25">
      <c r="A2924">
        <v>4243</v>
      </c>
      <c r="B2924" t="s">
        <v>27</v>
      </c>
      <c r="C2924" t="s">
        <v>402</v>
      </c>
      <c r="D2924" t="s">
        <v>403</v>
      </c>
      <c r="G2924" t="s">
        <v>384</v>
      </c>
      <c r="H2924" t="s">
        <v>8751</v>
      </c>
      <c r="I2924" s="4">
        <v>45443.875</v>
      </c>
      <c r="K2924" t="s">
        <v>364</v>
      </c>
      <c r="L2924" s="5"/>
      <c r="M2924" s="5" t="s">
        <v>8423</v>
      </c>
      <c r="N2924" t="s">
        <v>82</v>
      </c>
      <c r="O2924" t="s">
        <v>8752</v>
      </c>
      <c r="R2924">
        <v>1</v>
      </c>
      <c r="T2924" s="5"/>
      <c r="W2924">
        <v>270</v>
      </c>
      <c r="X2924" t="s">
        <v>8412</v>
      </c>
      <c r="Y2924" t="str">
        <f>VLOOKUP(C2924,'[1]DBS_KPY Sorumlular'!A:C,2,FALSE)</f>
        <v>Tayfun VİÇE</v>
      </c>
      <c r="Z2924" t="str">
        <f>VLOOKUP(C2924,'[1]DBS_KPY Sorumlular'!A:C,3,FALSE)</f>
        <v>Mehmet Ali YAVUZ</v>
      </c>
      <c r="AA2924" t="str">
        <f>VLOOKUP(K2924,[1]!Tablo3[#Data],2,FALSE)</f>
        <v>Kadir TOPÇU</v>
      </c>
    </row>
    <row r="2925" spans="1:27" x14ac:dyDescent="0.25">
      <c r="A2925">
        <v>4244</v>
      </c>
      <c r="B2925" t="s">
        <v>27</v>
      </c>
      <c r="C2925" t="s">
        <v>402</v>
      </c>
      <c r="D2925" t="s">
        <v>403</v>
      </c>
      <c r="G2925" t="s">
        <v>384</v>
      </c>
      <c r="H2925" t="s">
        <v>8753</v>
      </c>
      <c r="I2925" s="4">
        <v>45443.875</v>
      </c>
      <c r="K2925" t="s">
        <v>435</v>
      </c>
      <c r="L2925" s="5"/>
      <c r="M2925" s="5" t="s">
        <v>8423</v>
      </c>
      <c r="N2925" t="s">
        <v>82</v>
      </c>
      <c r="O2925" t="s">
        <v>8754</v>
      </c>
      <c r="R2925">
        <v>1</v>
      </c>
      <c r="T2925" s="5"/>
      <c r="W2925">
        <v>270</v>
      </c>
      <c r="X2925" t="s">
        <v>8412</v>
      </c>
      <c r="Y2925" t="str">
        <f>VLOOKUP(C2925,'[1]DBS_KPY Sorumlular'!A:C,2,FALSE)</f>
        <v>Tayfun VİÇE</v>
      </c>
      <c r="Z2925" t="str">
        <f>VLOOKUP(C2925,'[1]DBS_KPY Sorumlular'!A:C,3,FALSE)</f>
        <v>Mehmet Ali YAVUZ</v>
      </c>
      <c r="AA2925" t="str">
        <f>VLOOKUP(K2925,[1]!Tablo3[#Data],2,FALSE)</f>
        <v>Tayfun VİÇE</v>
      </c>
    </row>
    <row r="2926" spans="1:27" x14ac:dyDescent="0.25">
      <c r="A2926">
        <v>4245</v>
      </c>
      <c r="B2926" t="s">
        <v>27</v>
      </c>
      <c r="C2926" t="s">
        <v>402</v>
      </c>
      <c r="D2926" t="s">
        <v>403</v>
      </c>
      <c r="G2926" t="s">
        <v>384</v>
      </c>
      <c r="H2926" t="s">
        <v>8755</v>
      </c>
      <c r="I2926" s="4">
        <v>45443.875</v>
      </c>
      <c r="K2926" t="s">
        <v>226</v>
      </c>
      <c r="L2926" s="5" t="s">
        <v>8430</v>
      </c>
      <c r="M2926" s="5" t="s">
        <v>8423</v>
      </c>
      <c r="N2926" t="s">
        <v>82</v>
      </c>
      <c r="O2926" t="s">
        <v>8756</v>
      </c>
      <c r="R2926">
        <v>1</v>
      </c>
      <c r="T2926" s="5"/>
      <c r="W2926">
        <v>270</v>
      </c>
      <c r="X2926" t="s">
        <v>8412</v>
      </c>
      <c r="Y2926" t="str">
        <f>VLOOKUP(C2926,'[1]DBS_KPY Sorumlular'!A:C,2,FALSE)</f>
        <v>Tayfun VİÇE</v>
      </c>
      <c r="Z2926" t="str">
        <f>VLOOKUP(C2926,'[1]DBS_KPY Sorumlular'!A:C,3,FALSE)</f>
        <v>Mehmet Ali YAVUZ</v>
      </c>
      <c r="AA2926" t="str">
        <f>VLOOKUP(K2926,[1]!Tablo3[#Data],2,FALSE)</f>
        <v>Kadir TOPÇU</v>
      </c>
    </row>
    <row r="2927" spans="1:27" x14ac:dyDescent="0.25">
      <c r="A2927">
        <v>4246</v>
      </c>
      <c r="B2927" t="s">
        <v>27</v>
      </c>
      <c r="C2927" t="s">
        <v>402</v>
      </c>
      <c r="D2927" t="s">
        <v>403</v>
      </c>
      <c r="G2927" t="s">
        <v>384</v>
      </c>
      <c r="H2927" t="s">
        <v>8757</v>
      </c>
      <c r="I2927" s="4">
        <v>45443.875</v>
      </c>
      <c r="K2927" t="s">
        <v>435</v>
      </c>
      <c r="L2927" s="5"/>
      <c r="M2927" s="5" t="s">
        <v>8423</v>
      </c>
      <c r="N2927" t="s">
        <v>82</v>
      </c>
      <c r="O2927" t="s">
        <v>8758</v>
      </c>
      <c r="R2927">
        <v>1</v>
      </c>
      <c r="T2927" s="5"/>
      <c r="W2927">
        <v>270</v>
      </c>
      <c r="X2927" t="s">
        <v>8412</v>
      </c>
      <c r="Y2927" t="str">
        <f>VLOOKUP(C2927,'[1]DBS_KPY Sorumlular'!A:C,2,FALSE)</f>
        <v>Tayfun VİÇE</v>
      </c>
      <c r="Z2927" t="str">
        <f>VLOOKUP(C2927,'[1]DBS_KPY Sorumlular'!A:C,3,FALSE)</f>
        <v>Mehmet Ali YAVUZ</v>
      </c>
      <c r="AA2927" t="str">
        <f>VLOOKUP(K2927,[1]!Tablo3[#Data],2,FALSE)</f>
        <v>Tayfun VİÇE</v>
      </c>
    </row>
    <row r="2928" spans="1:27" x14ac:dyDescent="0.25">
      <c r="A2928">
        <v>4247</v>
      </c>
      <c r="B2928" t="s">
        <v>27</v>
      </c>
      <c r="C2928" t="s">
        <v>402</v>
      </c>
      <c r="D2928" t="s">
        <v>403</v>
      </c>
      <c r="G2928" t="s">
        <v>384</v>
      </c>
      <c r="H2928" t="s">
        <v>8759</v>
      </c>
      <c r="I2928" s="4">
        <v>45656.875</v>
      </c>
      <c r="K2928" t="s">
        <v>435</v>
      </c>
      <c r="L2928" s="5"/>
      <c r="M2928" s="5"/>
      <c r="N2928" t="s">
        <v>82</v>
      </c>
      <c r="O2928" t="s">
        <v>8760</v>
      </c>
      <c r="R2928">
        <v>1</v>
      </c>
      <c r="T2928" s="5"/>
      <c r="W2928">
        <v>270</v>
      </c>
      <c r="X2928" t="s">
        <v>8412</v>
      </c>
      <c r="Y2928" t="str">
        <f>VLOOKUP(C2928,'[1]DBS_KPY Sorumlular'!A:C,2,FALSE)</f>
        <v>Tayfun VİÇE</v>
      </c>
      <c r="Z2928" t="str">
        <f>VLOOKUP(C2928,'[1]DBS_KPY Sorumlular'!A:C,3,FALSE)</f>
        <v>Mehmet Ali YAVUZ</v>
      </c>
      <c r="AA2928" t="str">
        <f>VLOOKUP(K2928,[1]!Tablo3[#Data],2,FALSE)</f>
        <v>Tayfun VİÇE</v>
      </c>
    </row>
    <row r="2929" spans="1:27" x14ac:dyDescent="0.25">
      <c r="A2929">
        <v>4248</v>
      </c>
      <c r="B2929" t="s">
        <v>27</v>
      </c>
      <c r="C2929" t="s">
        <v>402</v>
      </c>
      <c r="D2929" t="s">
        <v>403</v>
      </c>
      <c r="G2929" t="s">
        <v>384</v>
      </c>
      <c r="H2929" t="s">
        <v>8761</v>
      </c>
      <c r="I2929" s="4">
        <v>45443.875</v>
      </c>
      <c r="K2929" t="s">
        <v>226</v>
      </c>
      <c r="L2929" s="5"/>
      <c r="M2929" s="5" t="s">
        <v>8423</v>
      </c>
      <c r="N2929" t="s">
        <v>82</v>
      </c>
      <c r="O2929" t="s">
        <v>8762</v>
      </c>
      <c r="R2929">
        <v>1</v>
      </c>
      <c r="T2929" s="5"/>
      <c r="W2929">
        <v>270</v>
      </c>
      <c r="X2929" t="s">
        <v>8412</v>
      </c>
      <c r="Y2929" t="str">
        <f>VLOOKUP(C2929,'[1]DBS_KPY Sorumlular'!A:C,2,FALSE)</f>
        <v>Tayfun VİÇE</v>
      </c>
      <c r="Z2929" t="str">
        <f>VLOOKUP(C2929,'[1]DBS_KPY Sorumlular'!A:C,3,FALSE)</f>
        <v>Mehmet Ali YAVUZ</v>
      </c>
      <c r="AA2929" t="str">
        <f>VLOOKUP(K2929,[1]!Tablo3[#Data],2,FALSE)</f>
        <v>Kadir TOPÇU</v>
      </c>
    </row>
    <row r="2930" spans="1:27" x14ac:dyDescent="0.25">
      <c r="A2930">
        <v>4249</v>
      </c>
      <c r="B2930" t="s">
        <v>27</v>
      </c>
      <c r="C2930" t="s">
        <v>402</v>
      </c>
      <c r="D2930" t="s">
        <v>403</v>
      </c>
      <c r="G2930" t="s">
        <v>384</v>
      </c>
      <c r="H2930" t="s">
        <v>8763</v>
      </c>
      <c r="I2930" s="4">
        <v>45443.875</v>
      </c>
      <c r="K2930" t="s">
        <v>226</v>
      </c>
      <c r="L2930" s="5"/>
      <c r="M2930" s="5" t="s">
        <v>8423</v>
      </c>
      <c r="N2930" t="s">
        <v>82</v>
      </c>
      <c r="O2930" t="s">
        <v>8764</v>
      </c>
      <c r="R2930">
        <v>1</v>
      </c>
      <c r="T2930" s="5"/>
      <c r="W2930">
        <v>270</v>
      </c>
      <c r="X2930" t="s">
        <v>8412</v>
      </c>
      <c r="Y2930" t="str">
        <f>VLOOKUP(C2930,'[1]DBS_KPY Sorumlular'!A:C,2,FALSE)</f>
        <v>Tayfun VİÇE</v>
      </c>
      <c r="Z2930" t="str">
        <f>VLOOKUP(C2930,'[1]DBS_KPY Sorumlular'!A:C,3,FALSE)</f>
        <v>Mehmet Ali YAVUZ</v>
      </c>
      <c r="AA2930" t="str">
        <f>VLOOKUP(K2930,[1]!Tablo3[#Data],2,FALSE)</f>
        <v>Kadir TOPÇU</v>
      </c>
    </row>
    <row r="2931" spans="1:27" x14ac:dyDescent="0.25">
      <c r="A2931">
        <v>4250</v>
      </c>
      <c r="B2931" t="s">
        <v>27</v>
      </c>
      <c r="C2931" t="s">
        <v>402</v>
      </c>
      <c r="D2931" t="s">
        <v>403</v>
      </c>
      <c r="G2931" t="s">
        <v>384</v>
      </c>
      <c r="H2931" t="s">
        <v>8765</v>
      </c>
      <c r="I2931" s="4">
        <v>45443.875</v>
      </c>
      <c r="K2931" t="s">
        <v>435</v>
      </c>
      <c r="L2931" s="5"/>
      <c r="M2931" s="5" t="s">
        <v>8423</v>
      </c>
      <c r="N2931" t="s">
        <v>82</v>
      </c>
      <c r="O2931" t="s">
        <v>8766</v>
      </c>
      <c r="R2931">
        <v>1</v>
      </c>
      <c r="T2931" s="5"/>
      <c r="W2931">
        <v>270</v>
      </c>
      <c r="X2931" t="s">
        <v>8412</v>
      </c>
      <c r="Y2931" t="str">
        <f>VLOOKUP(C2931,'[1]DBS_KPY Sorumlular'!A:C,2,FALSE)</f>
        <v>Tayfun VİÇE</v>
      </c>
      <c r="Z2931" t="str">
        <f>VLOOKUP(C2931,'[1]DBS_KPY Sorumlular'!A:C,3,FALSE)</f>
        <v>Mehmet Ali YAVUZ</v>
      </c>
      <c r="AA2931" t="str">
        <f>VLOOKUP(K2931,[1]!Tablo3[#Data],2,FALSE)</f>
        <v>Tayfun VİÇE</v>
      </c>
    </row>
    <row r="2932" spans="1:27" x14ac:dyDescent="0.25">
      <c r="A2932">
        <v>4251</v>
      </c>
      <c r="B2932" t="s">
        <v>27</v>
      </c>
      <c r="C2932" t="s">
        <v>402</v>
      </c>
      <c r="D2932" t="s">
        <v>403</v>
      </c>
      <c r="G2932" t="s">
        <v>384</v>
      </c>
      <c r="H2932" t="s">
        <v>8767</v>
      </c>
      <c r="I2932" s="4">
        <v>45443.875</v>
      </c>
      <c r="K2932" t="s">
        <v>226</v>
      </c>
      <c r="L2932" s="5"/>
      <c r="M2932" s="5" t="s">
        <v>8423</v>
      </c>
      <c r="N2932" t="s">
        <v>82</v>
      </c>
      <c r="O2932" t="s">
        <v>8768</v>
      </c>
      <c r="R2932">
        <v>1</v>
      </c>
      <c r="T2932" s="5"/>
      <c r="W2932">
        <v>270</v>
      </c>
      <c r="X2932" t="s">
        <v>8412</v>
      </c>
      <c r="Y2932" t="str">
        <f>VLOOKUP(C2932,'[1]DBS_KPY Sorumlular'!A:C,2,FALSE)</f>
        <v>Tayfun VİÇE</v>
      </c>
      <c r="Z2932" t="str">
        <f>VLOOKUP(C2932,'[1]DBS_KPY Sorumlular'!A:C,3,FALSE)</f>
        <v>Mehmet Ali YAVUZ</v>
      </c>
      <c r="AA2932" t="str">
        <f>VLOOKUP(K2932,[1]!Tablo3[#Data],2,FALSE)</f>
        <v>Kadir TOPÇU</v>
      </c>
    </row>
    <row r="2933" spans="1:27" x14ac:dyDescent="0.25">
      <c r="A2933">
        <v>4252</v>
      </c>
      <c r="B2933" t="s">
        <v>27</v>
      </c>
      <c r="C2933" t="s">
        <v>402</v>
      </c>
      <c r="D2933" t="s">
        <v>403</v>
      </c>
      <c r="G2933" t="s">
        <v>384</v>
      </c>
      <c r="H2933" t="s">
        <v>8769</v>
      </c>
      <c r="I2933" s="4">
        <v>45443.875</v>
      </c>
      <c r="K2933" t="s">
        <v>364</v>
      </c>
      <c r="L2933" s="5"/>
      <c r="M2933" s="5" t="s">
        <v>8423</v>
      </c>
      <c r="N2933" t="s">
        <v>82</v>
      </c>
      <c r="O2933" t="s">
        <v>8770</v>
      </c>
      <c r="R2933">
        <v>1</v>
      </c>
      <c r="T2933" s="5"/>
      <c r="W2933">
        <v>270</v>
      </c>
      <c r="X2933" t="s">
        <v>8412</v>
      </c>
      <c r="Y2933" t="str">
        <f>VLOOKUP(C2933,'[1]DBS_KPY Sorumlular'!A:C,2,FALSE)</f>
        <v>Tayfun VİÇE</v>
      </c>
      <c r="Z2933" t="str">
        <f>VLOOKUP(C2933,'[1]DBS_KPY Sorumlular'!A:C,3,FALSE)</f>
        <v>Mehmet Ali YAVUZ</v>
      </c>
      <c r="AA2933" t="str">
        <f>VLOOKUP(K2933,[1]!Tablo3[#Data],2,FALSE)</f>
        <v>Kadir TOPÇU</v>
      </c>
    </row>
    <row r="2934" spans="1:27" x14ac:dyDescent="0.25">
      <c r="A2934">
        <v>4253</v>
      </c>
      <c r="B2934" t="s">
        <v>27</v>
      </c>
      <c r="C2934" t="s">
        <v>402</v>
      </c>
      <c r="D2934" t="s">
        <v>403</v>
      </c>
      <c r="G2934" t="s">
        <v>384</v>
      </c>
      <c r="H2934" t="s">
        <v>8771</v>
      </c>
      <c r="I2934" s="4">
        <v>45443.875</v>
      </c>
      <c r="K2934" t="s">
        <v>364</v>
      </c>
      <c r="L2934" s="5"/>
      <c r="M2934" s="5" t="s">
        <v>8423</v>
      </c>
      <c r="N2934" t="s">
        <v>82</v>
      </c>
      <c r="O2934" t="s">
        <v>8772</v>
      </c>
      <c r="R2934">
        <v>1</v>
      </c>
      <c r="T2934" s="5"/>
      <c r="W2934">
        <v>270</v>
      </c>
      <c r="X2934" t="s">
        <v>8412</v>
      </c>
      <c r="Y2934" t="str">
        <f>VLOOKUP(C2934,'[1]DBS_KPY Sorumlular'!A:C,2,FALSE)</f>
        <v>Tayfun VİÇE</v>
      </c>
      <c r="Z2934" t="str">
        <f>VLOOKUP(C2934,'[1]DBS_KPY Sorumlular'!A:C,3,FALSE)</f>
        <v>Mehmet Ali YAVUZ</v>
      </c>
      <c r="AA2934" t="str">
        <f>VLOOKUP(K2934,[1]!Tablo3[#Data],2,FALSE)</f>
        <v>Kadir TOPÇU</v>
      </c>
    </row>
    <row r="2935" spans="1:27" x14ac:dyDescent="0.25">
      <c r="A2935">
        <v>4254</v>
      </c>
      <c r="B2935" t="s">
        <v>27</v>
      </c>
      <c r="C2935" t="s">
        <v>402</v>
      </c>
      <c r="D2935" t="s">
        <v>403</v>
      </c>
      <c r="G2935" t="s">
        <v>384</v>
      </c>
      <c r="H2935" t="s">
        <v>8773</v>
      </c>
      <c r="I2935" s="4">
        <v>44347.875</v>
      </c>
      <c r="K2935" t="s">
        <v>611</v>
      </c>
      <c r="L2935" s="5"/>
      <c r="M2935" s="5"/>
      <c r="N2935" t="s">
        <v>82</v>
      </c>
      <c r="O2935" t="s">
        <v>8774</v>
      </c>
      <c r="R2935">
        <v>1</v>
      </c>
      <c r="T2935" s="5"/>
      <c r="W2935">
        <v>32</v>
      </c>
      <c r="X2935" t="s">
        <v>4412</v>
      </c>
      <c r="Y2935" t="str">
        <f>VLOOKUP(C2935,'[1]DBS_KPY Sorumlular'!A:C,2,FALSE)</f>
        <v>Tayfun VİÇE</v>
      </c>
      <c r="Z2935" t="str">
        <f>VLOOKUP(C2935,'[1]DBS_KPY Sorumlular'!A:C,3,FALSE)</f>
        <v>Mehmet Ali YAVUZ</v>
      </c>
      <c r="AA2935" t="str">
        <f>VLOOKUP(K2935,[1]!Tablo3[#Data],2,FALSE)</f>
        <v>Kadir TOPÇU</v>
      </c>
    </row>
    <row r="2936" spans="1:27" x14ac:dyDescent="0.25">
      <c r="A2936">
        <v>4255</v>
      </c>
      <c r="B2936" t="s">
        <v>27</v>
      </c>
      <c r="C2936" t="s">
        <v>402</v>
      </c>
      <c r="D2936" t="s">
        <v>403</v>
      </c>
      <c r="G2936" t="s">
        <v>384</v>
      </c>
      <c r="H2936" t="s">
        <v>8775</v>
      </c>
      <c r="I2936" s="4">
        <v>44347.875</v>
      </c>
      <c r="K2936" t="s">
        <v>611</v>
      </c>
      <c r="L2936" s="5"/>
      <c r="M2936" s="5"/>
      <c r="N2936" t="s">
        <v>82</v>
      </c>
      <c r="O2936" t="s">
        <v>8776</v>
      </c>
      <c r="R2936">
        <v>1</v>
      </c>
      <c r="T2936" s="5"/>
      <c r="W2936">
        <v>32</v>
      </c>
      <c r="X2936" t="s">
        <v>4412</v>
      </c>
      <c r="Y2936" t="str">
        <f>VLOOKUP(C2936,'[1]DBS_KPY Sorumlular'!A:C,2,FALSE)</f>
        <v>Tayfun VİÇE</v>
      </c>
      <c r="Z2936" t="str">
        <f>VLOOKUP(C2936,'[1]DBS_KPY Sorumlular'!A:C,3,FALSE)</f>
        <v>Mehmet Ali YAVUZ</v>
      </c>
      <c r="AA2936" t="str">
        <f>VLOOKUP(K2936,[1]!Tablo3[#Data],2,FALSE)</f>
        <v>Kadir TOPÇU</v>
      </c>
    </row>
    <row r="2937" spans="1:27" x14ac:dyDescent="0.25">
      <c r="A2937">
        <v>4256</v>
      </c>
      <c r="B2937" t="s">
        <v>27</v>
      </c>
      <c r="C2937" t="s">
        <v>402</v>
      </c>
      <c r="D2937" t="s">
        <v>403</v>
      </c>
      <c r="G2937" t="s">
        <v>384</v>
      </c>
      <c r="H2937" t="s">
        <v>8777</v>
      </c>
      <c r="I2937" s="4">
        <v>44712.875</v>
      </c>
      <c r="K2937" t="s">
        <v>611</v>
      </c>
      <c r="L2937" s="5"/>
      <c r="M2937" s="5"/>
      <c r="N2937" t="s">
        <v>82</v>
      </c>
      <c r="O2937" t="s">
        <v>8778</v>
      </c>
      <c r="R2937">
        <v>1</v>
      </c>
      <c r="T2937" s="5"/>
      <c r="W2937">
        <v>221</v>
      </c>
      <c r="X2937" t="s">
        <v>1005</v>
      </c>
      <c r="Y2937" t="str">
        <f>VLOOKUP(C2937,'[1]DBS_KPY Sorumlular'!A:C,2,FALSE)</f>
        <v>Tayfun VİÇE</v>
      </c>
      <c r="Z2937" t="str">
        <f>VLOOKUP(C2937,'[1]DBS_KPY Sorumlular'!A:C,3,FALSE)</f>
        <v>Mehmet Ali YAVUZ</v>
      </c>
      <c r="AA2937" t="str">
        <f>VLOOKUP(K2937,[1]!Tablo3[#Data],2,FALSE)</f>
        <v>Kadir TOPÇU</v>
      </c>
    </row>
    <row r="2938" spans="1:27" x14ac:dyDescent="0.25">
      <c r="A2938">
        <v>4257</v>
      </c>
      <c r="B2938" t="s">
        <v>27</v>
      </c>
      <c r="C2938" t="s">
        <v>402</v>
      </c>
      <c r="D2938" t="s">
        <v>403</v>
      </c>
      <c r="G2938" t="s">
        <v>384</v>
      </c>
      <c r="H2938" t="s">
        <v>8779</v>
      </c>
      <c r="I2938" s="4">
        <v>45077.875</v>
      </c>
      <c r="K2938" t="s">
        <v>611</v>
      </c>
      <c r="L2938" s="5"/>
      <c r="M2938" s="5"/>
      <c r="N2938" t="s">
        <v>82</v>
      </c>
      <c r="O2938" t="s">
        <v>8780</v>
      </c>
      <c r="R2938">
        <v>1</v>
      </c>
      <c r="T2938" s="5"/>
      <c r="W2938">
        <v>32</v>
      </c>
      <c r="X2938" t="s">
        <v>4412</v>
      </c>
      <c r="Y2938" t="str">
        <f>VLOOKUP(C2938,'[1]DBS_KPY Sorumlular'!A:C,2,FALSE)</f>
        <v>Tayfun VİÇE</v>
      </c>
      <c r="Z2938" t="str">
        <f>VLOOKUP(C2938,'[1]DBS_KPY Sorumlular'!A:C,3,FALSE)</f>
        <v>Mehmet Ali YAVUZ</v>
      </c>
      <c r="AA2938" t="str">
        <f>VLOOKUP(K2938,[1]!Tablo3[#Data],2,FALSE)</f>
        <v>Kadir TOPÇU</v>
      </c>
    </row>
    <row r="2939" spans="1:27" x14ac:dyDescent="0.25">
      <c r="A2939">
        <v>4258</v>
      </c>
      <c r="B2939" t="s">
        <v>27</v>
      </c>
      <c r="C2939" t="s">
        <v>402</v>
      </c>
      <c r="D2939" t="s">
        <v>403</v>
      </c>
      <c r="G2939" t="s">
        <v>384</v>
      </c>
      <c r="H2939" t="s">
        <v>8781</v>
      </c>
      <c r="I2939" s="4">
        <v>44347.875</v>
      </c>
      <c r="K2939" t="s">
        <v>678</v>
      </c>
      <c r="L2939" s="5"/>
      <c r="M2939" s="5"/>
      <c r="N2939" t="s">
        <v>82</v>
      </c>
      <c r="O2939" t="s">
        <v>8782</v>
      </c>
      <c r="R2939">
        <v>1</v>
      </c>
      <c r="T2939" s="5"/>
      <c r="W2939">
        <v>131</v>
      </c>
      <c r="X2939" t="s">
        <v>61</v>
      </c>
      <c r="Y2939" t="str">
        <f>VLOOKUP(C2939,'[1]DBS_KPY Sorumlular'!A:C,2,FALSE)</f>
        <v>Tayfun VİÇE</v>
      </c>
      <c r="Z2939" t="str">
        <f>VLOOKUP(C2939,'[1]DBS_KPY Sorumlular'!A:C,3,FALSE)</f>
        <v>Mehmet Ali YAVUZ</v>
      </c>
      <c r="AA2939" t="str">
        <f>VLOOKUP(K2939,[1]!Tablo3[#Data],2,FALSE)</f>
        <v>Kadir TOPÇU</v>
      </c>
    </row>
    <row r="2940" spans="1:27" x14ac:dyDescent="0.25">
      <c r="A2940">
        <v>4259</v>
      </c>
      <c r="B2940" t="s">
        <v>27</v>
      </c>
      <c r="C2940" t="s">
        <v>402</v>
      </c>
      <c r="D2940" t="s">
        <v>403</v>
      </c>
      <c r="G2940" t="s">
        <v>384</v>
      </c>
      <c r="H2940" t="s">
        <v>8783</v>
      </c>
      <c r="I2940" s="4">
        <v>44347.875</v>
      </c>
      <c r="K2940" t="s">
        <v>678</v>
      </c>
      <c r="L2940" s="5"/>
      <c r="M2940" s="5"/>
      <c r="N2940" t="s">
        <v>82</v>
      </c>
      <c r="O2940" t="s">
        <v>8784</v>
      </c>
      <c r="R2940">
        <v>1</v>
      </c>
      <c r="T2940" s="5"/>
      <c r="W2940">
        <v>32</v>
      </c>
      <c r="X2940" t="s">
        <v>4412</v>
      </c>
      <c r="Y2940" t="str">
        <f>VLOOKUP(C2940,'[1]DBS_KPY Sorumlular'!A:C,2,FALSE)</f>
        <v>Tayfun VİÇE</v>
      </c>
      <c r="Z2940" t="str">
        <f>VLOOKUP(C2940,'[1]DBS_KPY Sorumlular'!A:C,3,FALSE)</f>
        <v>Mehmet Ali YAVUZ</v>
      </c>
      <c r="AA2940" t="str">
        <f>VLOOKUP(K2940,[1]!Tablo3[#Data],2,FALSE)</f>
        <v>Kadir TOPÇU</v>
      </c>
    </row>
    <row r="2941" spans="1:27" x14ac:dyDescent="0.25">
      <c r="A2941">
        <v>4260</v>
      </c>
      <c r="B2941" t="s">
        <v>27</v>
      </c>
      <c r="C2941" t="s">
        <v>402</v>
      </c>
      <c r="D2941" t="s">
        <v>403</v>
      </c>
      <c r="G2941" t="s">
        <v>384</v>
      </c>
      <c r="H2941" t="s">
        <v>8785</v>
      </c>
      <c r="I2941" s="4">
        <v>44347.875</v>
      </c>
      <c r="K2941" t="s">
        <v>678</v>
      </c>
      <c r="L2941" s="5" t="s">
        <v>8546</v>
      </c>
      <c r="M2941" s="5"/>
      <c r="N2941" t="s">
        <v>82</v>
      </c>
      <c r="O2941" t="s">
        <v>8786</v>
      </c>
      <c r="R2941">
        <v>1</v>
      </c>
      <c r="T2941" s="5"/>
      <c r="W2941">
        <v>131</v>
      </c>
      <c r="X2941" t="s">
        <v>61</v>
      </c>
      <c r="Y2941" t="str">
        <f>VLOOKUP(C2941,'[1]DBS_KPY Sorumlular'!A:C,2,FALSE)</f>
        <v>Tayfun VİÇE</v>
      </c>
      <c r="Z2941" t="str">
        <f>VLOOKUP(C2941,'[1]DBS_KPY Sorumlular'!A:C,3,FALSE)</f>
        <v>Mehmet Ali YAVUZ</v>
      </c>
      <c r="AA2941" t="str">
        <f>VLOOKUP(K2941,[1]!Tablo3[#Data],2,FALSE)</f>
        <v>Kadir TOPÇU</v>
      </c>
    </row>
    <row r="2942" spans="1:27" x14ac:dyDescent="0.25">
      <c r="A2942">
        <v>4261</v>
      </c>
      <c r="B2942" t="s">
        <v>27</v>
      </c>
      <c r="C2942" t="s">
        <v>402</v>
      </c>
      <c r="D2942" t="s">
        <v>403</v>
      </c>
      <c r="G2942" t="s">
        <v>384</v>
      </c>
      <c r="H2942" t="s">
        <v>8787</v>
      </c>
      <c r="I2942" s="4">
        <v>44712.875</v>
      </c>
      <c r="K2942" t="s">
        <v>678</v>
      </c>
      <c r="L2942" s="5" t="s">
        <v>8546</v>
      </c>
      <c r="M2942" s="5"/>
      <c r="N2942" t="s">
        <v>82</v>
      </c>
      <c r="O2942" t="s">
        <v>8788</v>
      </c>
      <c r="R2942">
        <v>1</v>
      </c>
      <c r="T2942" s="5"/>
      <c r="W2942">
        <v>196</v>
      </c>
      <c r="X2942" t="s">
        <v>7066</v>
      </c>
      <c r="Y2942" t="str">
        <f>VLOOKUP(C2942,'[1]DBS_KPY Sorumlular'!A:C,2,FALSE)</f>
        <v>Tayfun VİÇE</v>
      </c>
      <c r="Z2942" t="str">
        <f>VLOOKUP(C2942,'[1]DBS_KPY Sorumlular'!A:C,3,FALSE)</f>
        <v>Mehmet Ali YAVUZ</v>
      </c>
      <c r="AA2942" t="str">
        <f>VLOOKUP(K2942,[1]!Tablo3[#Data],2,FALSE)</f>
        <v>Kadir TOPÇU</v>
      </c>
    </row>
    <row r="2943" spans="1:27" x14ac:dyDescent="0.25">
      <c r="A2943">
        <v>4262</v>
      </c>
      <c r="B2943" t="s">
        <v>27</v>
      </c>
      <c r="C2943" t="s">
        <v>402</v>
      </c>
      <c r="D2943" t="s">
        <v>403</v>
      </c>
      <c r="G2943" t="s">
        <v>384</v>
      </c>
      <c r="H2943" t="s">
        <v>8789</v>
      </c>
      <c r="I2943" s="4">
        <v>44347.875</v>
      </c>
      <c r="K2943" t="s">
        <v>678</v>
      </c>
      <c r="L2943" s="5" t="s">
        <v>8546</v>
      </c>
      <c r="M2943" s="5"/>
      <c r="N2943" t="s">
        <v>82</v>
      </c>
      <c r="O2943" t="s">
        <v>8790</v>
      </c>
      <c r="R2943">
        <v>1</v>
      </c>
      <c r="T2943" s="5"/>
      <c r="W2943">
        <v>196</v>
      </c>
      <c r="X2943" t="s">
        <v>7066</v>
      </c>
      <c r="Y2943" t="str">
        <f>VLOOKUP(C2943,'[1]DBS_KPY Sorumlular'!A:C,2,FALSE)</f>
        <v>Tayfun VİÇE</v>
      </c>
      <c r="Z2943" t="str">
        <f>VLOOKUP(C2943,'[1]DBS_KPY Sorumlular'!A:C,3,FALSE)</f>
        <v>Mehmet Ali YAVUZ</v>
      </c>
      <c r="AA2943" t="str">
        <f>VLOOKUP(K2943,[1]!Tablo3[#Data],2,FALSE)</f>
        <v>Kadir TOPÇU</v>
      </c>
    </row>
    <row r="2944" spans="1:27" x14ac:dyDescent="0.25">
      <c r="A2944">
        <v>4263</v>
      </c>
      <c r="B2944" t="s">
        <v>27</v>
      </c>
      <c r="C2944" t="s">
        <v>402</v>
      </c>
      <c r="D2944" t="s">
        <v>403</v>
      </c>
      <c r="G2944" t="s">
        <v>384</v>
      </c>
      <c r="H2944" t="s">
        <v>8791</v>
      </c>
      <c r="I2944" s="4">
        <v>44347.875</v>
      </c>
      <c r="K2944" t="s">
        <v>678</v>
      </c>
      <c r="L2944" s="5"/>
      <c r="M2944" s="5"/>
      <c r="N2944" t="s">
        <v>82</v>
      </c>
      <c r="O2944" t="s">
        <v>8792</v>
      </c>
      <c r="R2944">
        <v>1</v>
      </c>
      <c r="T2944" s="5"/>
      <c r="W2944">
        <v>32</v>
      </c>
      <c r="X2944" t="s">
        <v>4412</v>
      </c>
      <c r="Y2944" t="str">
        <f>VLOOKUP(C2944,'[1]DBS_KPY Sorumlular'!A:C,2,FALSE)</f>
        <v>Tayfun VİÇE</v>
      </c>
      <c r="Z2944" t="str">
        <f>VLOOKUP(C2944,'[1]DBS_KPY Sorumlular'!A:C,3,FALSE)</f>
        <v>Mehmet Ali YAVUZ</v>
      </c>
      <c r="AA2944" t="str">
        <f>VLOOKUP(K2944,[1]!Tablo3[#Data],2,FALSE)</f>
        <v>Kadir TOPÇU</v>
      </c>
    </row>
    <row r="2945" spans="1:27" x14ac:dyDescent="0.25">
      <c r="A2945">
        <v>4264</v>
      </c>
      <c r="B2945" t="s">
        <v>27</v>
      </c>
      <c r="C2945" t="s">
        <v>402</v>
      </c>
      <c r="D2945" t="s">
        <v>403</v>
      </c>
      <c r="G2945" t="s">
        <v>384</v>
      </c>
      <c r="H2945" t="s">
        <v>8793</v>
      </c>
      <c r="I2945" s="4">
        <v>44347.875</v>
      </c>
      <c r="K2945" t="s">
        <v>678</v>
      </c>
      <c r="L2945" s="5"/>
      <c r="M2945" s="5"/>
      <c r="N2945" t="s">
        <v>82</v>
      </c>
      <c r="O2945" t="s">
        <v>8794</v>
      </c>
      <c r="R2945">
        <v>1</v>
      </c>
      <c r="T2945" s="5"/>
      <c r="W2945">
        <v>64</v>
      </c>
      <c r="X2945" t="s">
        <v>5394</v>
      </c>
      <c r="Y2945" t="str">
        <f>VLOOKUP(C2945,'[1]DBS_KPY Sorumlular'!A:C,2,FALSE)</f>
        <v>Tayfun VİÇE</v>
      </c>
      <c r="Z2945" t="str">
        <f>VLOOKUP(C2945,'[1]DBS_KPY Sorumlular'!A:C,3,FALSE)</f>
        <v>Mehmet Ali YAVUZ</v>
      </c>
      <c r="AA2945" t="str">
        <f>VLOOKUP(K2945,[1]!Tablo3[#Data],2,FALSE)</f>
        <v>Kadir TOPÇU</v>
      </c>
    </row>
    <row r="2946" spans="1:27" x14ac:dyDescent="0.25">
      <c r="A2946">
        <v>4265</v>
      </c>
      <c r="B2946" t="s">
        <v>27</v>
      </c>
      <c r="C2946" t="s">
        <v>402</v>
      </c>
      <c r="D2946" t="s">
        <v>403</v>
      </c>
      <c r="G2946" t="s">
        <v>384</v>
      </c>
      <c r="H2946" t="s">
        <v>8795</v>
      </c>
      <c r="I2946" s="4">
        <v>44712.875</v>
      </c>
      <c r="K2946" t="s">
        <v>678</v>
      </c>
      <c r="L2946" s="5" t="s">
        <v>8546</v>
      </c>
      <c r="M2946" s="5"/>
      <c r="N2946" t="s">
        <v>82</v>
      </c>
      <c r="O2946" t="s">
        <v>8796</v>
      </c>
      <c r="R2946">
        <v>1</v>
      </c>
      <c r="T2946" s="5"/>
      <c r="W2946">
        <v>131</v>
      </c>
      <c r="X2946" t="s">
        <v>61</v>
      </c>
      <c r="Y2946" t="str">
        <f>VLOOKUP(C2946,'[1]DBS_KPY Sorumlular'!A:C,2,FALSE)</f>
        <v>Tayfun VİÇE</v>
      </c>
      <c r="Z2946" t="str">
        <f>VLOOKUP(C2946,'[1]DBS_KPY Sorumlular'!A:C,3,FALSE)</f>
        <v>Mehmet Ali YAVUZ</v>
      </c>
      <c r="AA2946" t="str">
        <f>VLOOKUP(K2946,[1]!Tablo3[#Data],2,FALSE)</f>
        <v>Kadir TOPÇU</v>
      </c>
    </row>
    <row r="2947" spans="1:27" x14ac:dyDescent="0.25">
      <c r="A2947">
        <v>4266</v>
      </c>
      <c r="B2947" t="s">
        <v>27</v>
      </c>
      <c r="C2947" t="s">
        <v>402</v>
      </c>
      <c r="D2947" t="s">
        <v>403</v>
      </c>
      <c r="G2947" t="s">
        <v>384</v>
      </c>
      <c r="H2947" t="s">
        <v>8797</v>
      </c>
      <c r="I2947" s="4">
        <v>44712.875</v>
      </c>
      <c r="K2947" t="s">
        <v>678</v>
      </c>
      <c r="L2947" s="5"/>
      <c r="M2947" s="5"/>
      <c r="N2947" t="s">
        <v>82</v>
      </c>
      <c r="O2947" t="s">
        <v>8798</v>
      </c>
      <c r="R2947">
        <v>1</v>
      </c>
      <c r="T2947" s="5"/>
      <c r="W2947">
        <v>131</v>
      </c>
      <c r="X2947" t="s">
        <v>61</v>
      </c>
      <c r="Y2947" t="str">
        <f>VLOOKUP(C2947,'[1]DBS_KPY Sorumlular'!A:C,2,FALSE)</f>
        <v>Tayfun VİÇE</v>
      </c>
      <c r="Z2947" t="str">
        <f>VLOOKUP(C2947,'[1]DBS_KPY Sorumlular'!A:C,3,FALSE)</f>
        <v>Mehmet Ali YAVUZ</v>
      </c>
      <c r="AA2947" t="str">
        <f>VLOOKUP(K2947,[1]!Tablo3[#Data],2,FALSE)</f>
        <v>Kadir TOPÇU</v>
      </c>
    </row>
    <row r="2948" spans="1:27" x14ac:dyDescent="0.25">
      <c r="A2948">
        <v>4267</v>
      </c>
      <c r="B2948" t="s">
        <v>27</v>
      </c>
      <c r="C2948" t="s">
        <v>402</v>
      </c>
      <c r="D2948" t="s">
        <v>403</v>
      </c>
      <c r="G2948" t="s">
        <v>384</v>
      </c>
      <c r="H2948" t="s">
        <v>8799</v>
      </c>
      <c r="I2948" s="4">
        <v>44712.875</v>
      </c>
      <c r="K2948" t="s">
        <v>678</v>
      </c>
      <c r="L2948" s="5"/>
      <c r="M2948" s="5"/>
      <c r="N2948" t="s">
        <v>82</v>
      </c>
      <c r="O2948" t="s">
        <v>8800</v>
      </c>
      <c r="R2948">
        <v>1</v>
      </c>
      <c r="T2948" s="5"/>
      <c r="W2948">
        <v>32</v>
      </c>
      <c r="X2948" t="s">
        <v>4412</v>
      </c>
      <c r="Y2948" t="str">
        <f>VLOOKUP(C2948,'[1]DBS_KPY Sorumlular'!A:C,2,FALSE)</f>
        <v>Tayfun VİÇE</v>
      </c>
      <c r="Z2948" t="str">
        <f>VLOOKUP(C2948,'[1]DBS_KPY Sorumlular'!A:C,3,FALSE)</f>
        <v>Mehmet Ali YAVUZ</v>
      </c>
      <c r="AA2948" t="str">
        <f>VLOOKUP(K2948,[1]!Tablo3[#Data],2,FALSE)</f>
        <v>Kadir TOPÇU</v>
      </c>
    </row>
    <row r="2949" spans="1:27" x14ac:dyDescent="0.25">
      <c r="A2949">
        <v>4268</v>
      </c>
      <c r="B2949" t="s">
        <v>27</v>
      </c>
      <c r="C2949" t="s">
        <v>402</v>
      </c>
      <c r="D2949" t="s">
        <v>403</v>
      </c>
      <c r="G2949" t="s">
        <v>384</v>
      </c>
      <c r="H2949" t="s">
        <v>8801</v>
      </c>
      <c r="I2949" s="4">
        <v>44712.875</v>
      </c>
      <c r="K2949" t="s">
        <v>678</v>
      </c>
      <c r="L2949" s="5"/>
      <c r="M2949" s="5"/>
      <c r="N2949" t="s">
        <v>82</v>
      </c>
      <c r="O2949" t="s">
        <v>8802</v>
      </c>
      <c r="R2949">
        <v>1</v>
      </c>
      <c r="T2949" s="5"/>
      <c r="W2949">
        <v>131</v>
      </c>
      <c r="X2949" t="s">
        <v>61</v>
      </c>
      <c r="Y2949" t="str">
        <f>VLOOKUP(C2949,'[1]DBS_KPY Sorumlular'!A:C,2,FALSE)</f>
        <v>Tayfun VİÇE</v>
      </c>
      <c r="Z2949" t="str">
        <f>VLOOKUP(C2949,'[1]DBS_KPY Sorumlular'!A:C,3,FALSE)</f>
        <v>Mehmet Ali YAVUZ</v>
      </c>
      <c r="AA2949" t="str">
        <f>VLOOKUP(K2949,[1]!Tablo3[#Data],2,FALSE)</f>
        <v>Kadir TOPÇU</v>
      </c>
    </row>
    <row r="2950" spans="1:27" x14ac:dyDescent="0.25">
      <c r="A2950">
        <v>4269</v>
      </c>
      <c r="B2950" t="s">
        <v>27</v>
      </c>
      <c r="C2950" t="s">
        <v>402</v>
      </c>
      <c r="D2950" t="s">
        <v>403</v>
      </c>
      <c r="G2950" t="s">
        <v>384</v>
      </c>
      <c r="H2950" t="s">
        <v>8803</v>
      </c>
      <c r="I2950" s="4">
        <v>44712.875</v>
      </c>
      <c r="K2950" t="s">
        <v>678</v>
      </c>
      <c r="L2950" s="5"/>
      <c r="M2950" s="5"/>
      <c r="N2950" t="s">
        <v>82</v>
      </c>
      <c r="O2950" t="s">
        <v>8804</v>
      </c>
      <c r="R2950">
        <v>1</v>
      </c>
      <c r="T2950" s="5"/>
      <c r="W2950">
        <v>131</v>
      </c>
      <c r="X2950" t="s">
        <v>61</v>
      </c>
      <c r="Y2950" t="str">
        <f>VLOOKUP(C2950,'[1]DBS_KPY Sorumlular'!A:C,2,FALSE)</f>
        <v>Tayfun VİÇE</v>
      </c>
      <c r="Z2950" t="str">
        <f>VLOOKUP(C2950,'[1]DBS_KPY Sorumlular'!A:C,3,FALSE)</f>
        <v>Mehmet Ali YAVUZ</v>
      </c>
      <c r="AA2950" t="str">
        <f>VLOOKUP(K2950,[1]!Tablo3[#Data],2,FALSE)</f>
        <v>Kadir TOPÇU</v>
      </c>
    </row>
    <row r="2951" spans="1:27" x14ac:dyDescent="0.25">
      <c r="A2951">
        <v>4270</v>
      </c>
      <c r="B2951" t="s">
        <v>27</v>
      </c>
      <c r="C2951" t="s">
        <v>402</v>
      </c>
      <c r="D2951" t="s">
        <v>403</v>
      </c>
      <c r="G2951" t="s">
        <v>384</v>
      </c>
      <c r="H2951" t="s">
        <v>8805</v>
      </c>
      <c r="I2951" s="4">
        <v>44712.875</v>
      </c>
      <c r="K2951" t="s">
        <v>678</v>
      </c>
      <c r="L2951" s="5" t="s">
        <v>8546</v>
      </c>
      <c r="M2951" s="5"/>
      <c r="N2951" t="s">
        <v>82</v>
      </c>
      <c r="O2951" t="s">
        <v>8806</v>
      </c>
      <c r="R2951">
        <v>1</v>
      </c>
      <c r="T2951" s="5"/>
      <c r="W2951">
        <v>196</v>
      </c>
      <c r="X2951" t="s">
        <v>7066</v>
      </c>
      <c r="Y2951" t="str">
        <f>VLOOKUP(C2951,'[1]DBS_KPY Sorumlular'!A:C,2,FALSE)</f>
        <v>Tayfun VİÇE</v>
      </c>
      <c r="Z2951" t="str">
        <f>VLOOKUP(C2951,'[1]DBS_KPY Sorumlular'!A:C,3,FALSE)</f>
        <v>Mehmet Ali YAVUZ</v>
      </c>
      <c r="AA2951" t="str">
        <f>VLOOKUP(K2951,[1]!Tablo3[#Data],2,FALSE)</f>
        <v>Kadir TOPÇU</v>
      </c>
    </row>
    <row r="2952" spans="1:27" x14ac:dyDescent="0.25">
      <c r="A2952">
        <v>4271</v>
      </c>
      <c r="B2952" t="s">
        <v>27</v>
      </c>
      <c r="C2952" t="s">
        <v>402</v>
      </c>
      <c r="D2952" t="s">
        <v>403</v>
      </c>
      <c r="G2952" t="s">
        <v>384</v>
      </c>
      <c r="H2952" t="s">
        <v>8807</v>
      </c>
      <c r="I2952" s="4">
        <v>45077.875</v>
      </c>
      <c r="K2952" t="s">
        <v>678</v>
      </c>
      <c r="L2952" s="5"/>
      <c r="M2952" s="5"/>
      <c r="N2952" t="s">
        <v>82</v>
      </c>
      <c r="O2952" t="s">
        <v>8808</v>
      </c>
      <c r="R2952">
        <v>1</v>
      </c>
      <c r="T2952" s="5"/>
      <c r="W2952">
        <v>131</v>
      </c>
      <c r="X2952" t="s">
        <v>61</v>
      </c>
      <c r="Y2952" t="str">
        <f>VLOOKUP(C2952,'[1]DBS_KPY Sorumlular'!A:C,2,FALSE)</f>
        <v>Tayfun VİÇE</v>
      </c>
      <c r="Z2952" t="str">
        <f>VLOOKUP(C2952,'[1]DBS_KPY Sorumlular'!A:C,3,FALSE)</f>
        <v>Mehmet Ali YAVUZ</v>
      </c>
      <c r="AA2952" t="str">
        <f>VLOOKUP(K2952,[1]!Tablo3[#Data],2,FALSE)</f>
        <v>Kadir TOPÇU</v>
      </c>
    </row>
    <row r="2953" spans="1:27" x14ac:dyDescent="0.25">
      <c r="A2953">
        <v>4272</v>
      </c>
      <c r="B2953" t="s">
        <v>27</v>
      </c>
      <c r="C2953" t="s">
        <v>402</v>
      </c>
      <c r="D2953" t="s">
        <v>403</v>
      </c>
      <c r="G2953" t="s">
        <v>384</v>
      </c>
      <c r="H2953" t="s">
        <v>8809</v>
      </c>
      <c r="I2953" s="4">
        <v>45077.875</v>
      </c>
      <c r="K2953" t="s">
        <v>678</v>
      </c>
      <c r="L2953" s="5"/>
      <c r="M2953" s="5"/>
      <c r="N2953" t="s">
        <v>82</v>
      </c>
      <c r="O2953" t="s">
        <v>8810</v>
      </c>
      <c r="R2953">
        <v>1</v>
      </c>
      <c r="T2953" s="5"/>
      <c r="W2953">
        <v>131</v>
      </c>
      <c r="X2953" t="s">
        <v>61</v>
      </c>
      <c r="Y2953" t="str">
        <f>VLOOKUP(C2953,'[1]DBS_KPY Sorumlular'!A:C,2,FALSE)</f>
        <v>Tayfun VİÇE</v>
      </c>
      <c r="Z2953" t="str">
        <f>VLOOKUP(C2953,'[1]DBS_KPY Sorumlular'!A:C,3,FALSE)</f>
        <v>Mehmet Ali YAVUZ</v>
      </c>
      <c r="AA2953" t="str">
        <f>VLOOKUP(K2953,[1]!Tablo3[#Data],2,FALSE)</f>
        <v>Kadir TOPÇU</v>
      </c>
    </row>
    <row r="2954" spans="1:27" x14ac:dyDescent="0.25">
      <c r="A2954">
        <v>4273</v>
      </c>
      <c r="B2954" t="s">
        <v>27</v>
      </c>
      <c r="C2954" t="s">
        <v>402</v>
      </c>
      <c r="D2954" t="s">
        <v>403</v>
      </c>
      <c r="G2954" t="s">
        <v>384</v>
      </c>
      <c r="H2954" t="s">
        <v>8811</v>
      </c>
      <c r="I2954" s="4">
        <v>45077.875</v>
      </c>
      <c r="K2954" t="s">
        <v>678</v>
      </c>
      <c r="L2954" s="5"/>
      <c r="M2954" s="5"/>
      <c r="N2954" t="s">
        <v>82</v>
      </c>
      <c r="O2954" t="s">
        <v>8812</v>
      </c>
      <c r="R2954">
        <v>1</v>
      </c>
      <c r="T2954" s="5"/>
      <c r="W2954">
        <v>131</v>
      </c>
      <c r="X2954" t="s">
        <v>61</v>
      </c>
      <c r="Y2954" t="str">
        <f>VLOOKUP(C2954,'[1]DBS_KPY Sorumlular'!A:C,2,FALSE)</f>
        <v>Tayfun VİÇE</v>
      </c>
      <c r="Z2954" t="str">
        <f>VLOOKUP(C2954,'[1]DBS_KPY Sorumlular'!A:C,3,FALSE)</f>
        <v>Mehmet Ali YAVUZ</v>
      </c>
      <c r="AA2954" t="str">
        <f>VLOOKUP(K2954,[1]!Tablo3[#Data],2,FALSE)</f>
        <v>Kadir TOPÇU</v>
      </c>
    </row>
    <row r="2955" spans="1:27" x14ac:dyDescent="0.25">
      <c r="A2955">
        <v>4274</v>
      </c>
      <c r="B2955" t="s">
        <v>27</v>
      </c>
      <c r="C2955" t="s">
        <v>402</v>
      </c>
      <c r="D2955" t="s">
        <v>403</v>
      </c>
      <c r="G2955" t="s">
        <v>384</v>
      </c>
      <c r="H2955" t="s">
        <v>8813</v>
      </c>
      <c r="I2955" s="4">
        <v>45077.875</v>
      </c>
      <c r="K2955" t="s">
        <v>678</v>
      </c>
      <c r="L2955" s="5"/>
      <c r="M2955" s="5"/>
      <c r="N2955" t="s">
        <v>82</v>
      </c>
      <c r="O2955" t="s">
        <v>8814</v>
      </c>
      <c r="R2955">
        <v>1</v>
      </c>
      <c r="T2955" s="5"/>
      <c r="W2955">
        <v>131</v>
      </c>
      <c r="X2955" t="s">
        <v>61</v>
      </c>
      <c r="Y2955" t="str">
        <f>VLOOKUP(C2955,'[1]DBS_KPY Sorumlular'!A:C,2,FALSE)</f>
        <v>Tayfun VİÇE</v>
      </c>
      <c r="Z2955" t="str">
        <f>VLOOKUP(C2955,'[1]DBS_KPY Sorumlular'!A:C,3,FALSE)</f>
        <v>Mehmet Ali YAVUZ</v>
      </c>
      <c r="AA2955" t="str">
        <f>VLOOKUP(K2955,[1]!Tablo3[#Data],2,FALSE)</f>
        <v>Kadir TOPÇU</v>
      </c>
    </row>
    <row r="2956" spans="1:27" x14ac:dyDescent="0.25">
      <c r="A2956">
        <v>4275</v>
      </c>
      <c r="B2956" t="s">
        <v>27</v>
      </c>
      <c r="C2956" t="s">
        <v>402</v>
      </c>
      <c r="D2956" t="s">
        <v>403</v>
      </c>
      <c r="G2956" t="s">
        <v>384</v>
      </c>
      <c r="H2956" t="s">
        <v>8815</v>
      </c>
      <c r="I2956" s="4">
        <v>45077.875</v>
      </c>
      <c r="K2956" t="s">
        <v>678</v>
      </c>
      <c r="L2956" s="5"/>
      <c r="M2956" s="5"/>
      <c r="N2956" t="s">
        <v>82</v>
      </c>
      <c r="O2956" t="s">
        <v>8816</v>
      </c>
      <c r="R2956">
        <v>1</v>
      </c>
      <c r="T2956" s="5"/>
      <c r="W2956">
        <v>131</v>
      </c>
      <c r="X2956" t="s">
        <v>61</v>
      </c>
      <c r="Y2956" t="str">
        <f>VLOOKUP(C2956,'[1]DBS_KPY Sorumlular'!A:C,2,FALSE)</f>
        <v>Tayfun VİÇE</v>
      </c>
      <c r="Z2956" t="str">
        <f>VLOOKUP(C2956,'[1]DBS_KPY Sorumlular'!A:C,3,FALSE)</f>
        <v>Mehmet Ali YAVUZ</v>
      </c>
      <c r="AA2956" t="str">
        <f>VLOOKUP(K2956,[1]!Tablo3[#Data],2,FALSE)</f>
        <v>Kadir TOPÇU</v>
      </c>
    </row>
    <row r="2957" spans="1:27" x14ac:dyDescent="0.25">
      <c r="A2957">
        <v>4276</v>
      </c>
      <c r="B2957" t="s">
        <v>27</v>
      </c>
      <c r="C2957" t="s">
        <v>402</v>
      </c>
      <c r="D2957" t="s">
        <v>403</v>
      </c>
      <c r="G2957" t="s">
        <v>384</v>
      </c>
      <c r="H2957" t="s">
        <v>8817</v>
      </c>
      <c r="I2957" s="4">
        <v>45443.875</v>
      </c>
      <c r="K2957" t="s">
        <v>678</v>
      </c>
      <c r="L2957" s="5"/>
      <c r="M2957" s="5"/>
      <c r="N2957" t="s">
        <v>82</v>
      </c>
      <c r="O2957" t="s">
        <v>8818</v>
      </c>
      <c r="R2957">
        <v>1</v>
      </c>
      <c r="T2957" s="5"/>
      <c r="W2957">
        <v>196</v>
      </c>
      <c r="X2957" t="s">
        <v>7066</v>
      </c>
      <c r="Y2957" t="str">
        <f>VLOOKUP(C2957,'[1]DBS_KPY Sorumlular'!A:C,2,FALSE)</f>
        <v>Tayfun VİÇE</v>
      </c>
      <c r="Z2957" t="str">
        <f>VLOOKUP(C2957,'[1]DBS_KPY Sorumlular'!A:C,3,FALSE)</f>
        <v>Mehmet Ali YAVUZ</v>
      </c>
      <c r="AA2957" t="str">
        <f>VLOOKUP(K2957,[1]!Tablo3[#Data],2,FALSE)</f>
        <v>Kadir TOPÇU</v>
      </c>
    </row>
    <row r="2958" spans="1:27" x14ac:dyDescent="0.25">
      <c r="A2958">
        <v>4277</v>
      </c>
      <c r="B2958" t="s">
        <v>27</v>
      </c>
      <c r="C2958" t="s">
        <v>402</v>
      </c>
      <c r="D2958" t="s">
        <v>403</v>
      </c>
      <c r="G2958" t="s">
        <v>384</v>
      </c>
      <c r="H2958" t="s">
        <v>8819</v>
      </c>
      <c r="I2958" s="4">
        <v>45077.875</v>
      </c>
      <c r="K2958" t="s">
        <v>678</v>
      </c>
      <c r="L2958" s="5"/>
      <c r="M2958" s="5"/>
      <c r="N2958" t="s">
        <v>82</v>
      </c>
      <c r="O2958" t="s">
        <v>8820</v>
      </c>
      <c r="R2958">
        <v>1</v>
      </c>
      <c r="T2958" s="5"/>
      <c r="W2958">
        <v>64</v>
      </c>
      <c r="X2958" t="s">
        <v>5394</v>
      </c>
      <c r="Y2958" t="str">
        <f>VLOOKUP(C2958,'[1]DBS_KPY Sorumlular'!A:C,2,FALSE)</f>
        <v>Tayfun VİÇE</v>
      </c>
      <c r="Z2958" t="str">
        <f>VLOOKUP(C2958,'[1]DBS_KPY Sorumlular'!A:C,3,FALSE)</f>
        <v>Mehmet Ali YAVUZ</v>
      </c>
      <c r="AA2958" t="str">
        <f>VLOOKUP(K2958,[1]!Tablo3[#Data],2,FALSE)</f>
        <v>Kadir TOPÇU</v>
      </c>
    </row>
    <row r="2959" spans="1:27" x14ac:dyDescent="0.25">
      <c r="A2959">
        <v>4278</v>
      </c>
      <c r="B2959" t="s">
        <v>27</v>
      </c>
      <c r="C2959" t="s">
        <v>402</v>
      </c>
      <c r="D2959" t="s">
        <v>403</v>
      </c>
      <c r="G2959" t="s">
        <v>384</v>
      </c>
      <c r="H2959" t="s">
        <v>8821</v>
      </c>
      <c r="I2959" s="4">
        <v>45077.875</v>
      </c>
      <c r="K2959" t="s">
        <v>678</v>
      </c>
      <c r="L2959" s="5"/>
      <c r="M2959" s="5"/>
      <c r="N2959" t="s">
        <v>82</v>
      </c>
      <c r="O2959" t="s">
        <v>8822</v>
      </c>
      <c r="R2959">
        <v>1</v>
      </c>
      <c r="T2959" s="5"/>
      <c r="W2959">
        <v>64</v>
      </c>
      <c r="X2959" t="s">
        <v>5394</v>
      </c>
      <c r="Y2959" t="str">
        <f>VLOOKUP(C2959,'[1]DBS_KPY Sorumlular'!A:C,2,FALSE)</f>
        <v>Tayfun VİÇE</v>
      </c>
      <c r="Z2959" t="str">
        <f>VLOOKUP(C2959,'[1]DBS_KPY Sorumlular'!A:C,3,FALSE)</f>
        <v>Mehmet Ali YAVUZ</v>
      </c>
      <c r="AA2959" t="str">
        <f>VLOOKUP(K2959,[1]!Tablo3[#Data],2,FALSE)</f>
        <v>Kadir TOPÇU</v>
      </c>
    </row>
    <row r="2960" spans="1:27" x14ac:dyDescent="0.25">
      <c r="A2960">
        <v>4279</v>
      </c>
      <c r="B2960" t="s">
        <v>27</v>
      </c>
      <c r="C2960" t="s">
        <v>402</v>
      </c>
      <c r="D2960" t="s">
        <v>403</v>
      </c>
      <c r="G2960" t="s">
        <v>384</v>
      </c>
      <c r="H2960" t="s">
        <v>8823</v>
      </c>
      <c r="I2960" s="4">
        <v>45077.875</v>
      </c>
      <c r="K2960" t="s">
        <v>678</v>
      </c>
      <c r="L2960" s="5"/>
      <c r="M2960" s="5"/>
      <c r="N2960" t="s">
        <v>82</v>
      </c>
      <c r="O2960" t="s">
        <v>8824</v>
      </c>
      <c r="R2960">
        <v>1</v>
      </c>
      <c r="T2960" s="5"/>
      <c r="W2960">
        <v>64</v>
      </c>
      <c r="X2960" t="s">
        <v>5394</v>
      </c>
      <c r="Y2960" t="str">
        <f>VLOOKUP(C2960,'[1]DBS_KPY Sorumlular'!A:C,2,FALSE)</f>
        <v>Tayfun VİÇE</v>
      </c>
      <c r="Z2960" t="str">
        <f>VLOOKUP(C2960,'[1]DBS_KPY Sorumlular'!A:C,3,FALSE)</f>
        <v>Mehmet Ali YAVUZ</v>
      </c>
      <c r="AA2960" t="str">
        <f>VLOOKUP(K2960,[1]!Tablo3[#Data],2,FALSE)</f>
        <v>Kadir TOPÇU</v>
      </c>
    </row>
    <row r="2961" spans="1:27" x14ac:dyDescent="0.25">
      <c r="A2961">
        <v>4280</v>
      </c>
      <c r="B2961" t="s">
        <v>27</v>
      </c>
      <c r="C2961" t="s">
        <v>402</v>
      </c>
      <c r="D2961" t="s">
        <v>403</v>
      </c>
      <c r="G2961" t="s">
        <v>384</v>
      </c>
      <c r="H2961" t="s">
        <v>8825</v>
      </c>
      <c r="I2961" s="4">
        <v>45077.875</v>
      </c>
      <c r="K2961" t="s">
        <v>678</v>
      </c>
      <c r="L2961" s="5"/>
      <c r="M2961" s="5"/>
      <c r="N2961" t="s">
        <v>82</v>
      </c>
      <c r="O2961" t="s">
        <v>8826</v>
      </c>
      <c r="R2961">
        <v>1</v>
      </c>
      <c r="T2961" s="5"/>
      <c r="W2961">
        <v>64</v>
      </c>
      <c r="X2961" t="s">
        <v>5394</v>
      </c>
      <c r="Y2961" t="str">
        <f>VLOOKUP(C2961,'[1]DBS_KPY Sorumlular'!A:C,2,FALSE)</f>
        <v>Tayfun VİÇE</v>
      </c>
      <c r="Z2961" t="str">
        <f>VLOOKUP(C2961,'[1]DBS_KPY Sorumlular'!A:C,3,FALSE)</f>
        <v>Mehmet Ali YAVUZ</v>
      </c>
      <c r="AA2961" t="str">
        <f>VLOOKUP(K2961,[1]!Tablo3[#Data],2,FALSE)</f>
        <v>Kadir TOPÇU</v>
      </c>
    </row>
    <row r="2962" spans="1:27" x14ac:dyDescent="0.25">
      <c r="A2962">
        <v>4281</v>
      </c>
      <c r="B2962" t="s">
        <v>27</v>
      </c>
      <c r="C2962" t="s">
        <v>402</v>
      </c>
      <c r="D2962" t="s">
        <v>403</v>
      </c>
      <c r="G2962" t="s">
        <v>384</v>
      </c>
      <c r="H2962" t="s">
        <v>8827</v>
      </c>
      <c r="I2962" s="4">
        <v>44712.875</v>
      </c>
      <c r="K2962" t="s">
        <v>678</v>
      </c>
      <c r="L2962" s="5"/>
      <c r="M2962" s="5"/>
      <c r="N2962" t="s">
        <v>82</v>
      </c>
      <c r="O2962" t="s">
        <v>8828</v>
      </c>
      <c r="R2962">
        <v>1</v>
      </c>
      <c r="T2962" s="5"/>
      <c r="W2962">
        <v>154</v>
      </c>
      <c r="X2962" t="s">
        <v>4370</v>
      </c>
      <c r="Y2962" t="str">
        <f>VLOOKUP(C2962,'[1]DBS_KPY Sorumlular'!A:C,2,FALSE)</f>
        <v>Tayfun VİÇE</v>
      </c>
      <c r="Z2962" t="str">
        <f>VLOOKUP(C2962,'[1]DBS_KPY Sorumlular'!A:C,3,FALSE)</f>
        <v>Mehmet Ali YAVUZ</v>
      </c>
      <c r="AA2962" t="str">
        <f>VLOOKUP(K2962,[1]!Tablo3[#Data],2,FALSE)</f>
        <v>Kadir TOPÇU</v>
      </c>
    </row>
    <row r="2963" spans="1:27" x14ac:dyDescent="0.25">
      <c r="A2963">
        <v>4282</v>
      </c>
      <c r="B2963" t="s">
        <v>27</v>
      </c>
      <c r="C2963" t="s">
        <v>402</v>
      </c>
      <c r="D2963" t="s">
        <v>403</v>
      </c>
      <c r="G2963" t="s">
        <v>384</v>
      </c>
      <c r="H2963" t="s">
        <v>8829</v>
      </c>
      <c r="I2963" s="4">
        <v>45077.875</v>
      </c>
      <c r="K2963" t="s">
        <v>678</v>
      </c>
      <c r="L2963" s="5"/>
      <c r="M2963" s="5"/>
      <c r="N2963" t="s">
        <v>82</v>
      </c>
      <c r="O2963" t="s">
        <v>8830</v>
      </c>
      <c r="R2963">
        <v>1</v>
      </c>
      <c r="T2963" s="5"/>
      <c r="W2963">
        <v>196</v>
      </c>
      <c r="X2963" t="s">
        <v>7066</v>
      </c>
      <c r="Y2963" t="str">
        <f>VLOOKUP(C2963,'[1]DBS_KPY Sorumlular'!A:C,2,FALSE)</f>
        <v>Tayfun VİÇE</v>
      </c>
      <c r="Z2963" t="str">
        <f>VLOOKUP(C2963,'[1]DBS_KPY Sorumlular'!A:C,3,FALSE)</f>
        <v>Mehmet Ali YAVUZ</v>
      </c>
      <c r="AA2963" t="str">
        <f>VLOOKUP(K2963,[1]!Tablo3[#Data],2,FALSE)</f>
        <v>Kadir TOPÇU</v>
      </c>
    </row>
    <row r="2964" spans="1:27" x14ac:dyDescent="0.25">
      <c r="A2964">
        <v>4283</v>
      </c>
      <c r="B2964" t="s">
        <v>27</v>
      </c>
      <c r="C2964" t="s">
        <v>402</v>
      </c>
      <c r="D2964" t="s">
        <v>403</v>
      </c>
      <c r="G2964" t="s">
        <v>384</v>
      </c>
      <c r="H2964" t="s">
        <v>8831</v>
      </c>
      <c r="I2964" s="4">
        <v>45443.875</v>
      </c>
      <c r="K2964" t="s">
        <v>678</v>
      </c>
      <c r="L2964" s="5"/>
      <c r="M2964" s="5"/>
      <c r="N2964" t="s">
        <v>82</v>
      </c>
      <c r="O2964" t="s">
        <v>8832</v>
      </c>
      <c r="R2964">
        <v>1</v>
      </c>
      <c r="T2964" s="5"/>
      <c r="W2964">
        <v>131</v>
      </c>
      <c r="X2964" t="s">
        <v>61</v>
      </c>
      <c r="Y2964" t="str">
        <f>VLOOKUP(C2964,'[1]DBS_KPY Sorumlular'!A:C,2,FALSE)</f>
        <v>Tayfun VİÇE</v>
      </c>
      <c r="Z2964" t="str">
        <f>VLOOKUP(C2964,'[1]DBS_KPY Sorumlular'!A:C,3,FALSE)</f>
        <v>Mehmet Ali YAVUZ</v>
      </c>
      <c r="AA2964" t="str">
        <f>VLOOKUP(K2964,[1]!Tablo3[#Data],2,FALSE)</f>
        <v>Kadir TOPÇU</v>
      </c>
    </row>
    <row r="2965" spans="1:27" x14ac:dyDescent="0.25">
      <c r="A2965">
        <v>4284</v>
      </c>
      <c r="B2965" t="s">
        <v>27</v>
      </c>
      <c r="C2965" t="s">
        <v>402</v>
      </c>
      <c r="D2965" t="s">
        <v>403</v>
      </c>
      <c r="G2965" t="s">
        <v>384</v>
      </c>
      <c r="H2965" t="s">
        <v>8833</v>
      </c>
      <c r="I2965" s="4">
        <v>45077.875</v>
      </c>
      <c r="K2965" t="s">
        <v>678</v>
      </c>
      <c r="L2965" s="5"/>
      <c r="M2965" s="5"/>
      <c r="N2965" t="s">
        <v>82</v>
      </c>
      <c r="O2965" t="s">
        <v>8834</v>
      </c>
      <c r="R2965">
        <v>1</v>
      </c>
      <c r="T2965" s="5"/>
      <c r="W2965">
        <v>196</v>
      </c>
      <c r="X2965" t="s">
        <v>7066</v>
      </c>
      <c r="Y2965" t="str">
        <f>VLOOKUP(C2965,'[1]DBS_KPY Sorumlular'!A:C,2,FALSE)</f>
        <v>Tayfun VİÇE</v>
      </c>
      <c r="Z2965" t="str">
        <f>VLOOKUP(C2965,'[1]DBS_KPY Sorumlular'!A:C,3,FALSE)</f>
        <v>Mehmet Ali YAVUZ</v>
      </c>
      <c r="AA2965" t="str">
        <f>VLOOKUP(K2965,[1]!Tablo3[#Data],2,FALSE)</f>
        <v>Kadir TOPÇU</v>
      </c>
    </row>
    <row r="2966" spans="1:27" x14ac:dyDescent="0.25">
      <c r="A2966">
        <v>4285</v>
      </c>
      <c r="B2966" t="s">
        <v>27</v>
      </c>
      <c r="C2966" t="s">
        <v>402</v>
      </c>
      <c r="D2966" t="s">
        <v>403</v>
      </c>
      <c r="G2966" t="s">
        <v>384</v>
      </c>
      <c r="H2966" t="s">
        <v>8835</v>
      </c>
      <c r="I2966" s="4">
        <v>45077.875</v>
      </c>
      <c r="K2966" t="s">
        <v>678</v>
      </c>
      <c r="L2966" s="5"/>
      <c r="M2966" s="5"/>
      <c r="N2966" t="s">
        <v>82</v>
      </c>
      <c r="O2966" t="s">
        <v>8836</v>
      </c>
      <c r="R2966">
        <v>1</v>
      </c>
      <c r="T2966" s="5"/>
      <c r="W2966">
        <v>131</v>
      </c>
      <c r="X2966" t="s">
        <v>61</v>
      </c>
      <c r="Y2966" t="str">
        <f>VLOOKUP(C2966,'[1]DBS_KPY Sorumlular'!A:C,2,FALSE)</f>
        <v>Tayfun VİÇE</v>
      </c>
      <c r="Z2966" t="str">
        <f>VLOOKUP(C2966,'[1]DBS_KPY Sorumlular'!A:C,3,FALSE)</f>
        <v>Mehmet Ali YAVUZ</v>
      </c>
      <c r="AA2966" t="str">
        <f>VLOOKUP(K2966,[1]!Tablo3[#Data],2,FALSE)</f>
        <v>Kadir TOPÇU</v>
      </c>
    </row>
    <row r="2967" spans="1:27" x14ac:dyDescent="0.25">
      <c r="A2967">
        <v>4286</v>
      </c>
      <c r="B2967" t="s">
        <v>27</v>
      </c>
      <c r="C2967" t="s">
        <v>402</v>
      </c>
      <c r="D2967" t="s">
        <v>403</v>
      </c>
      <c r="G2967" t="s">
        <v>384</v>
      </c>
      <c r="H2967" t="s">
        <v>8837</v>
      </c>
      <c r="I2967" s="4">
        <v>45077.875</v>
      </c>
      <c r="K2967" t="s">
        <v>678</v>
      </c>
      <c r="L2967" s="5"/>
      <c r="M2967" s="5"/>
      <c r="N2967" t="s">
        <v>82</v>
      </c>
      <c r="O2967" t="s">
        <v>8838</v>
      </c>
      <c r="R2967">
        <v>1</v>
      </c>
      <c r="T2967" s="5"/>
      <c r="W2967">
        <v>131</v>
      </c>
      <c r="X2967" t="s">
        <v>61</v>
      </c>
      <c r="Y2967" t="str">
        <f>VLOOKUP(C2967,'[1]DBS_KPY Sorumlular'!A:C,2,FALSE)</f>
        <v>Tayfun VİÇE</v>
      </c>
      <c r="Z2967" t="str">
        <f>VLOOKUP(C2967,'[1]DBS_KPY Sorumlular'!A:C,3,FALSE)</f>
        <v>Mehmet Ali YAVUZ</v>
      </c>
      <c r="AA2967" t="str">
        <f>VLOOKUP(K2967,[1]!Tablo3[#Data],2,FALSE)</f>
        <v>Kadir TOPÇU</v>
      </c>
    </row>
    <row r="2968" spans="1:27" x14ac:dyDescent="0.25">
      <c r="A2968">
        <v>4287</v>
      </c>
      <c r="B2968" t="s">
        <v>27</v>
      </c>
      <c r="C2968" t="s">
        <v>402</v>
      </c>
      <c r="D2968" t="s">
        <v>403</v>
      </c>
      <c r="G2968" t="s">
        <v>384</v>
      </c>
      <c r="H2968" t="s">
        <v>8839</v>
      </c>
      <c r="I2968" s="4">
        <v>45443.875</v>
      </c>
      <c r="K2968" t="s">
        <v>678</v>
      </c>
      <c r="L2968" s="5"/>
      <c r="M2968" s="5"/>
      <c r="N2968" t="s">
        <v>82</v>
      </c>
      <c r="O2968" t="s">
        <v>8840</v>
      </c>
      <c r="R2968">
        <v>1</v>
      </c>
      <c r="T2968" s="5"/>
      <c r="W2968">
        <v>131</v>
      </c>
      <c r="X2968" t="s">
        <v>61</v>
      </c>
      <c r="Y2968" t="str">
        <f>VLOOKUP(C2968,'[1]DBS_KPY Sorumlular'!A:C,2,FALSE)</f>
        <v>Tayfun VİÇE</v>
      </c>
      <c r="Z2968" t="str">
        <f>VLOOKUP(C2968,'[1]DBS_KPY Sorumlular'!A:C,3,FALSE)</f>
        <v>Mehmet Ali YAVUZ</v>
      </c>
      <c r="AA2968" t="str">
        <f>VLOOKUP(K2968,[1]!Tablo3[#Data],2,FALSE)</f>
        <v>Kadir TOPÇU</v>
      </c>
    </row>
    <row r="2969" spans="1:27" x14ac:dyDescent="0.25">
      <c r="A2969">
        <v>4288</v>
      </c>
      <c r="B2969" t="s">
        <v>27</v>
      </c>
      <c r="C2969" t="s">
        <v>402</v>
      </c>
      <c r="D2969" t="s">
        <v>403</v>
      </c>
      <c r="G2969" t="s">
        <v>384</v>
      </c>
      <c r="H2969" t="s">
        <v>8841</v>
      </c>
      <c r="I2969" s="4">
        <v>45443.875</v>
      </c>
      <c r="K2969" t="s">
        <v>678</v>
      </c>
      <c r="L2969" s="5"/>
      <c r="M2969" s="5"/>
      <c r="N2969" t="s">
        <v>82</v>
      </c>
      <c r="O2969" t="s">
        <v>8842</v>
      </c>
      <c r="R2969">
        <v>1</v>
      </c>
      <c r="T2969" s="5"/>
      <c r="W2969">
        <v>131</v>
      </c>
      <c r="X2969" t="s">
        <v>61</v>
      </c>
      <c r="Y2969" t="str">
        <f>VLOOKUP(C2969,'[1]DBS_KPY Sorumlular'!A:C,2,FALSE)</f>
        <v>Tayfun VİÇE</v>
      </c>
      <c r="Z2969" t="str">
        <f>VLOOKUP(C2969,'[1]DBS_KPY Sorumlular'!A:C,3,FALSE)</f>
        <v>Mehmet Ali YAVUZ</v>
      </c>
      <c r="AA2969" t="str">
        <f>VLOOKUP(K2969,[1]!Tablo3[#Data],2,FALSE)</f>
        <v>Kadir TOPÇU</v>
      </c>
    </row>
    <row r="2970" spans="1:27" x14ac:dyDescent="0.25">
      <c r="A2970">
        <v>4289</v>
      </c>
      <c r="B2970" t="s">
        <v>27</v>
      </c>
      <c r="C2970" t="s">
        <v>402</v>
      </c>
      <c r="D2970" t="s">
        <v>403</v>
      </c>
      <c r="G2970" t="s">
        <v>384</v>
      </c>
      <c r="H2970" t="s">
        <v>8843</v>
      </c>
      <c r="I2970" s="4">
        <v>45443.875</v>
      </c>
      <c r="K2970" t="s">
        <v>678</v>
      </c>
      <c r="L2970" s="5"/>
      <c r="M2970" s="5"/>
      <c r="N2970" t="s">
        <v>82</v>
      </c>
      <c r="O2970" t="s">
        <v>8844</v>
      </c>
      <c r="R2970">
        <v>1</v>
      </c>
      <c r="T2970" s="5"/>
      <c r="W2970">
        <v>8</v>
      </c>
      <c r="X2970" t="s">
        <v>8399</v>
      </c>
      <c r="Y2970" t="str">
        <f>VLOOKUP(C2970,'[1]DBS_KPY Sorumlular'!A:C,2,FALSE)</f>
        <v>Tayfun VİÇE</v>
      </c>
      <c r="Z2970" t="str">
        <f>VLOOKUP(C2970,'[1]DBS_KPY Sorumlular'!A:C,3,FALSE)</f>
        <v>Mehmet Ali YAVUZ</v>
      </c>
      <c r="AA2970" t="str">
        <f>VLOOKUP(K2970,[1]!Tablo3[#Data],2,FALSE)</f>
        <v>Kadir TOPÇU</v>
      </c>
    </row>
    <row r="2971" spans="1:27" x14ac:dyDescent="0.25">
      <c r="A2971">
        <v>4290</v>
      </c>
      <c r="B2971" t="s">
        <v>27</v>
      </c>
      <c r="C2971" t="s">
        <v>402</v>
      </c>
      <c r="D2971" t="s">
        <v>403</v>
      </c>
      <c r="G2971" t="s">
        <v>384</v>
      </c>
      <c r="H2971" t="s">
        <v>8845</v>
      </c>
      <c r="I2971" s="4">
        <v>45656.875</v>
      </c>
      <c r="K2971" t="s">
        <v>678</v>
      </c>
      <c r="L2971" s="5"/>
      <c r="M2971" s="5"/>
      <c r="N2971" t="s">
        <v>82</v>
      </c>
      <c r="O2971" t="s">
        <v>8846</v>
      </c>
      <c r="R2971">
        <v>1</v>
      </c>
      <c r="T2971" s="5"/>
      <c r="W2971">
        <v>196</v>
      </c>
      <c r="X2971" t="s">
        <v>7066</v>
      </c>
      <c r="Y2971" t="str">
        <f>VLOOKUP(C2971,'[1]DBS_KPY Sorumlular'!A:C,2,FALSE)</f>
        <v>Tayfun VİÇE</v>
      </c>
      <c r="Z2971" t="str">
        <f>VLOOKUP(C2971,'[1]DBS_KPY Sorumlular'!A:C,3,FALSE)</f>
        <v>Mehmet Ali YAVUZ</v>
      </c>
      <c r="AA2971" t="str">
        <f>VLOOKUP(K2971,[1]!Tablo3[#Data],2,FALSE)</f>
        <v>Kadir TOPÇU</v>
      </c>
    </row>
    <row r="2972" spans="1:27" x14ac:dyDescent="0.25">
      <c r="A2972">
        <v>4292</v>
      </c>
      <c r="B2972" t="s">
        <v>27</v>
      </c>
      <c r="C2972" t="s">
        <v>402</v>
      </c>
      <c r="D2972" t="s">
        <v>403</v>
      </c>
      <c r="G2972" t="s">
        <v>384</v>
      </c>
      <c r="H2972" t="s">
        <v>8847</v>
      </c>
      <c r="I2972" s="4">
        <v>45443.875</v>
      </c>
      <c r="K2972" t="s">
        <v>678</v>
      </c>
      <c r="L2972" s="5"/>
      <c r="M2972" s="5" t="s">
        <v>8423</v>
      </c>
      <c r="N2972" t="s">
        <v>82</v>
      </c>
      <c r="O2972" t="s">
        <v>8848</v>
      </c>
      <c r="R2972">
        <v>1</v>
      </c>
      <c r="T2972" s="5"/>
      <c r="W2972">
        <v>270</v>
      </c>
      <c r="X2972" t="s">
        <v>8412</v>
      </c>
      <c r="Y2972" t="str">
        <f>VLOOKUP(C2972,'[1]DBS_KPY Sorumlular'!A:C,2,FALSE)</f>
        <v>Tayfun VİÇE</v>
      </c>
      <c r="Z2972" t="str">
        <f>VLOOKUP(C2972,'[1]DBS_KPY Sorumlular'!A:C,3,FALSE)</f>
        <v>Mehmet Ali YAVUZ</v>
      </c>
      <c r="AA2972" t="str">
        <f>VLOOKUP(K2972,[1]!Tablo3[#Data],2,FALSE)</f>
        <v>Kadir TOPÇU</v>
      </c>
    </row>
    <row r="2973" spans="1:27" x14ac:dyDescent="0.25">
      <c r="A2973">
        <v>4293</v>
      </c>
      <c r="B2973" t="s">
        <v>27</v>
      </c>
      <c r="C2973" t="s">
        <v>402</v>
      </c>
      <c r="D2973" t="s">
        <v>403</v>
      </c>
      <c r="G2973" t="s">
        <v>384</v>
      </c>
      <c r="H2973" t="s">
        <v>8849</v>
      </c>
      <c r="I2973" s="4">
        <v>45443.875</v>
      </c>
      <c r="K2973" t="s">
        <v>678</v>
      </c>
      <c r="L2973" s="5"/>
      <c r="M2973" s="5" t="s">
        <v>8423</v>
      </c>
      <c r="N2973" t="s">
        <v>82</v>
      </c>
      <c r="O2973" t="s">
        <v>8850</v>
      </c>
      <c r="R2973">
        <v>1</v>
      </c>
      <c r="T2973" s="5"/>
      <c r="W2973">
        <v>270</v>
      </c>
      <c r="X2973" t="s">
        <v>8412</v>
      </c>
      <c r="Y2973" t="str">
        <f>VLOOKUP(C2973,'[1]DBS_KPY Sorumlular'!A:C,2,FALSE)</f>
        <v>Tayfun VİÇE</v>
      </c>
      <c r="Z2973" t="str">
        <f>VLOOKUP(C2973,'[1]DBS_KPY Sorumlular'!A:C,3,FALSE)</f>
        <v>Mehmet Ali YAVUZ</v>
      </c>
      <c r="AA2973" t="str">
        <f>VLOOKUP(K2973,[1]!Tablo3[#Data],2,FALSE)</f>
        <v>Kadir TOPÇU</v>
      </c>
    </row>
    <row r="2974" spans="1:27" x14ac:dyDescent="0.25">
      <c r="A2974">
        <v>4294</v>
      </c>
      <c r="B2974" t="s">
        <v>27</v>
      </c>
      <c r="C2974" t="s">
        <v>402</v>
      </c>
      <c r="D2974" t="s">
        <v>403</v>
      </c>
      <c r="G2974" t="s">
        <v>384</v>
      </c>
      <c r="H2974" t="s">
        <v>8851</v>
      </c>
      <c r="I2974" s="4">
        <v>45443.875</v>
      </c>
      <c r="K2974" t="s">
        <v>678</v>
      </c>
      <c r="L2974" s="5"/>
      <c r="M2974" s="5" t="s">
        <v>8423</v>
      </c>
      <c r="N2974" t="s">
        <v>82</v>
      </c>
      <c r="O2974" t="s">
        <v>8852</v>
      </c>
      <c r="R2974">
        <v>1</v>
      </c>
      <c r="T2974" s="5"/>
      <c r="W2974">
        <v>270</v>
      </c>
      <c r="X2974" t="s">
        <v>8412</v>
      </c>
      <c r="Y2974" t="str">
        <f>VLOOKUP(C2974,'[1]DBS_KPY Sorumlular'!A:C,2,FALSE)</f>
        <v>Tayfun VİÇE</v>
      </c>
      <c r="Z2974" t="str">
        <f>VLOOKUP(C2974,'[1]DBS_KPY Sorumlular'!A:C,3,FALSE)</f>
        <v>Mehmet Ali YAVUZ</v>
      </c>
      <c r="AA2974" t="str">
        <f>VLOOKUP(K2974,[1]!Tablo3[#Data],2,FALSE)</f>
        <v>Kadir TOPÇU</v>
      </c>
    </row>
    <row r="2975" spans="1:27" x14ac:dyDescent="0.25">
      <c r="A2975">
        <v>4295</v>
      </c>
      <c r="B2975" t="s">
        <v>27</v>
      </c>
      <c r="C2975" t="s">
        <v>402</v>
      </c>
      <c r="D2975" t="s">
        <v>403</v>
      </c>
      <c r="G2975" t="s">
        <v>384</v>
      </c>
      <c r="H2975" t="s">
        <v>8853</v>
      </c>
      <c r="I2975" s="4">
        <v>45443.875</v>
      </c>
      <c r="K2975" t="s">
        <v>678</v>
      </c>
      <c r="L2975" s="5"/>
      <c r="M2975" s="5" t="s">
        <v>8423</v>
      </c>
      <c r="N2975" t="s">
        <v>82</v>
      </c>
      <c r="O2975" t="s">
        <v>8854</v>
      </c>
      <c r="R2975">
        <v>1</v>
      </c>
      <c r="T2975" s="5"/>
      <c r="W2975">
        <v>270</v>
      </c>
      <c r="X2975" t="s">
        <v>8412</v>
      </c>
      <c r="Y2975" t="str">
        <f>VLOOKUP(C2975,'[1]DBS_KPY Sorumlular'!A:C,2,FALSE)</f>
        <v>Tayfun VİÇE</v>
      </c>
      <c r="Z2975" t="str">
        <f>VLOOKUP(C2975,'[1]DBS_KPY Sorumlular'!A:C,3,FALSE)</f>
        <v>Mehmet Ali YAVUZ</v>
      </c>
      <c r="AA2975" t="str">
        <f>VLOOKUP(K2975,[1]!Tablo3[#Data],2,FALSE)</f>
        <v>Kadir TOPÇU</v>
      </c>
    </row>
    <row r="2976" spans="1:27" x14ac:dyDescent="0.25">
      <c r="A2976">
        <v>4296</v>
      </c>
      <c r="B2976" t="s">
        <v>27</v>
      </c>
      <c r="C2976" t="s">
        <v>402</v>
      </c>
      <c r="D2976" t="s">
        <v>403</v>
      </c>
      <c r="G2976" t="s">
        <v>384</v>
      </c>
      <c r="H2976" t="s">
        <v>8855</v>
      </c>
      <c r="I2976" s="4">
        <v>45443.875</v>
      </c>
      <c r="K2976" t="s">
        <v>678</v>
      </c>
      <c r="L2976" s="5"/>
      <c r="M2976" s="5" t="s">
        <v>8423</v>
      </c>
      <c r="N2976" t="s">
        <v>82</v>
      </c>
      <c r="O2976" t="s">
        <v>8856</v>
      </c>
      <c r="R2976">
        <v>1</v>
      </c>
      <c r="T2976" s="5"/>
      <c r="W2976">
        <v>270</v>
      </c>
      <c r="X2976" t="s">
        <v>8412</v>
      </c>
      <c r="Y2976" t="str">
        <f>VLOOKUP(C2976,'[1]DBS_KPY Sorumlular'!A:C,2,FALSE)</f>
        <v>Tayfun VİÇE</v>
      </c>
      <c r="Z2976" t="str">
        <f>VLOOKUP(C2976,'[1]DBS_KPY Sorumlular'!A:C,3,FALSE)</f>
        <v>Mehmet Ali YAVUZ</v>
      </c>
      <c r="AA2976" t="str">
        <f>VLOOKUP(K2976,[1]!Tablo3[#Data],2,FALSE)</f>
        <v>Kadir TOPÇU</v>
      </c>
    </row>
    <row r="2977" spans="1:27" x14ac:dyDescent="0.25">
      <c r="A2977">
        <v>4297</v>
      </c>
      <c r="B2977" t="s">
        <v>27</v>
      </c>
      <c r="C2977" t="s">
        <v>402</v>
      </c>
      <c r="D2977" t="s">
        <v>403</v>
      </c>
      <c r="G2977" t="s">
        <v>384</v>
      </c>
      <c r="H2977" t="s">
        <v>8857</v>
      </c>
      <c r="I2977" s="4">
        <v>45443.875</v>
      </c>
      <c r="K2977" t="s">
        <v>678</v>
      </c>
      <c r="L2977" s="5"/>
      <c r="M2977" s="5" t="s">
        <v>8423</v>
      </c>
      <c r="N2977" t="s">
        <v>82</v>
      </c>
      <c r="O2977" t="s">
        <v>8858</v>
      </c>
      <c r="R2977">
        <v>1</v>
      </c>
      <c r="T2977" s="5"/>
      <c r="W2977">
        <v>270</v>
      </c>
      <c r="X2977" t="s">
        <v>8412</v>
      </c>
      <c r="Y2977" t="str">
        <f>VLOOKUP(C2977,'[1]DBS_KPY Sorumlular'!A:C,2,FALSE)</f>
        <v>Tayfun VİÇE</v>
      </c>
      <c r="Z2977" t="str">
        <f>VLOOKUP(C2977,'[1]DBS_KPY Sorumlular'!A:C,3,FALSE)</f>
        <v>Mehmet Ali YAVUZ</v>
      </c>
      <c r="AA2977" t="str">
        <f>VLOOKUP(K2977,[1]!Tablo3[#Data],2,FALSE)</f>
        <v>Kadir TOPÇU</v>
      </c>
    </row>
    <row r="2978" spans="1:27" x14ac:dyDescent="0.25">
      <c r="A2978">
        <v>4298</v>
      </c>
      <c r="B2978" t="s">
        <v>27</v>
      </c>
      <c r="C2978" t="s">
        <v>402</v>
      </c>
      <c r="D2978" t="s">
        <v>403</v>
      </c>
      <c r="G2978" t="s">
        <v>384</v>
      </c>
      <c r="H2978" t="s">
        <v>8859</v>
      </c>
      <c r="I2978" s="4">
        <v>45443.875</v>
      </c>
      <c r="K2978" t="s">
        <v>226</v>
      </c>
      <c r="L2978" s="5"/>
      <c r="M2978" s="5" t="s">
        <v>8423</v>
      </c>
      <c r="N2978" t="s">
        <v>82</v>
      </c>
      <c r="O2978" t="s">
        <v>8860</v>
      </c>
      <c r="R2978">
        <v>1</v>
      </c>
      <c r="T2978" s="5"/>
      <c r="W2978">
        <v>270</v>
      </c>
      <c r="X2978" t="s">
        <v>8412</v>
      </c>
      <c r="Y2978" t="str">
        <f>VLOOKUP(C2978,'[1]DBS_KPY Sorumlular'!A:C,2,FALSE)</f>
        <v>Tayfun VİÇE</v>
      </c>
      <c r="Z2978" t="str">
        <f>VLOOKUP(C2978,'[1]DBS_KPY Sorumlular'!A:C,3,FALSE)</f>
        <v>Mehmet Ali YAVUZ</v>
      </c>
      <c r="AA2978" t="str">
        <f>VLOOKUP(K2978,[1]!Tablo3[#Data],2,FALSE)</f>
        <v>Kadir TOPÇU</v>
      </c>
    </row>
    <row r="2979" spans="1:27" x14ac:dyDescent="0.25">
      <c r="A2979">
        <v>4299</v>
      </c>
      <c r="B2979" t="s">
        <v>27</v>
      </c>
      <c r="C2979" t="s">
        <v>402</v>
      </c>
      <c r="D2979" t="s">
        <v>403</v>
      </c>
      <c r="G2979" t="s">
        <v>384</v>
      </c>
      <c r="H2979" t="s">
        <v>8861</v>
      </c>
      <c r="I2979" s="4">
        <v>45443.875</v>
      </c>
      <c r="K2979" t="s">
        <v>678</v>
      </c>
      <c r="L2979" s="5"/>
      <c r="M2979" s="5" t="s">
        <v>8423</v>
      </c>
      <c r="N2979" t="s">
        <v>82</v>
      </c>
      <c r="O2979" t="s">
        <v>8862</v>
      </c>
      <c r="R2979">
        <v>1</v>
      </c>
      <c r="T2979" s="5"/>
      <c r="W2979">
        <v>270</v>
      </c>
      <c r="X2979" t="s">
        <v>8412</v>
      </c>
      <c r="Y2979" t="str">
        <f>VLOOKUP(C2979,'[1]DBS_KPY Sorumlular'!A:C,2,FALSE)</f>
        <v>Tayfun VİÇE</v>
      </c>
      <c r="Z2979" t="str">
        <f>VLOOKUP(C2979,'[1]DBS_KPY Sorumlular'!A:C,3,FALSE)</f>
        <v>Mehmet Ali YAVUZ</v>
      </c>
      <c r="AA2979" t="str">
        <f>VLOOKUP(K2979,[1]!Tablo3[#Data],2,FALSE)</f>
        <v>Kadir TOPÇU</v>
      </c>
    </row>
    <row r="2980" spans="1:27" x14ac:dyDescent="0.25">
      <c r="A2980">
        <v>4300</v>
      </c>
      <c r="B2980" t="s">
        <v>27</v>
      </c>
      <c r="C2980" t="s">
        <v>402</v>
      </c>
      <c r="D2980" t="s">
        <v>403</v>
      </c>
      <c r="G2980" t="s">
        <v>384</v>
      </c>
      <c r="H2980" t="s">
        <v>8863</v>
      </c>
      <c r="I2980" s="4">
        <v>45443.875</v>
      </c>
      <c r="K2980" t="s">
        <v>678</v>
      </c>
      <c r="L2980" s="5"/>
      <c r="M2980" s="5" t="s">
        <v>8423</v>
      </c>
      <c r="N2980" t="s">
        <v>82</v>
      </c>
      <c r="O2980" t="s">
        <v>8864</v>
      </c>
      <c r="R2980">
        <v>1</v>
      </c>
      <c r="T2980" s="5"/>
      <c r="W2980">
        <v>270</v>
      </c>
      <c r="X2980" t="s">
        <v>8412</v>
      </c>
      <c r="Y2980" t="str">
        <f>VLOOKUP(C2980,'[1]DBS_KPY Sorumlular'!A:C,2,FALSE)</f>
        <v>Tayfun VİÇE</v>
      </c>
      <c r="Z2980" t="str">
        <f>VLOOKUP(C2980,'[1]DBS_KPY Sorumlular'!A:C,3,FALSE)</f>
        <v>Mehmet Ali YAVUZ</v>
      </c>
      <c r="AA2980" t="str">
        <f>VLOOKUP(K2980,[1]!Tablo3[#Data],2,FALSE)</f>
        <v>Kadir TOPÇU</v>
      </c>
    </row>
    <row r="2981" spans="1:27" x14ac:dyDescent="0.25">
      <c r="A2981">
        <v>4301</v>
      </c>
      <c r="B2981" t="s">
        <v>27</v>
      </c>
      <c r="C2981" t="s">
        <v>402</v>
      </c>
      <c r="D2981" t="s">
        <v>403</v>
      </c>
      <c r="G2981" t="s">
        <v>384</v>
      </c>
      <c r="H2981" t="s">
        <v>8865</v>
      </c>
      <c r="I2981" s="4">
        <v>45443.875</v>
      </c>
      <c r="K2981" t="s">
        <v>678</v>
      </c>
      <c r="L2981" s="5"/>
      <c r="M2981" s="5" t="s">
        <v>8423</v>
      </c>
      <c r="N2981" t="s">
        <v>82</v>
      </c>
      <c r="O2981" t="s">
        <v>8866</v>
      </c>
      <c r="R2981">
        <v>1</v>
      </c>
      <c r="T2981" s="5"/>
      <c r="W2981">
        <v>270</v>
      </c>
      <c r="X2981" t="s">
        <v>8412</v>
      </c>
      <c r="Y2981" t="str">
        <f>VLOOKUP(C2981,'[1]DBS_KPY Sorumlular'!A:C,2,FALSE)</f>
        <v>Tayfun VİÇE</v>
      </c>
      <c r="Z2981" t="str">
        <f>VLOOKUP(C2981,'[1]DBS_KPY Sorumlular'!A:C,3,FALSE)</f>
        <v>Mehmet Ali YAVUZ</v>
      </c>
      <c r="AA2981" t="str">
        <f>VLOOKUP(K2981,[1]!Tablo3[#Data],2,FALSE)</f>
        <v>Kadir TOPÇU</v>
      </c>
    </row>
    <row r="2982" spans="1:27" x14ac:dyDescent="0.25">
      <c r="A2982">
        <v>4302</v>
      </c>
      <c r="B2982" t="s">
        <v>27</v>
      </c>
      <c r="C2982" t="s">
        <v>402</v>
      </c>
      <c r="D2982" t="s">
        <v>403</v>
      </c>
      <c r="G2982" t="s">
        <v>384</v>
      </c>
      <c r="H2982" t="s">
        <v>8867</v>
      </c>
      <c r="I2982" s="4">
        <v>45443.875</v>
      </c>
      <c r="K2982" t="s">
        <v>678</v>
      </c>
      <c r="L2982" s="5"/>
      <c r="M2982" s="5" t="s">
        <v>8423</v>
      </c>
      <c r="N2982" t="s">
        <v>82</v>
      </c>
      <c r="O2982" t="s">
        <v>8868</v>
      </c>
      <c r="R2982">
        <v>1</v>
      </c>
      <c r="T2982" s="5"/>
      <c r="W2982">
        <v>270</v>
      </c>
      <c r="X2982" t="s">
        <v>8412</v>
      </c>
      <c r="Y2982" t="str">
        <f>VLOOKUP(C2982,'[1]DBS_KPY Sorumlular'!A:C,2,FALSE)</f>
        <v>Tayfun VİÇE</v>
      </c>
      <c r="Z2982" t="str">
        <f>VLOOKUP(C2982,'[1]DBS_KPY Sorumlular'!A:C,3,FALSE)</f>
        <v>Mehmet Ali YAVUZ</v>
      </c>
      <c r="AA2982" t="str">
        <f>VLOOKUP(K2982,[1]!Tablo3[#Data],2,FALSE)</f>
        <v>Kadir TOPÇU</v>
      </c>
    </row>
    <row r="2983" spans="1:27" x14ac:dyDescent="0.25">
      <c r="A2983">
        <v>4303</v>
      </c>
      <c r="B2983" t="s">
        <v>27</v>
      </c>
      <c r="C2983" t="s">
        <v>402</v>
      </c>
      <c r="D2983" t="s">
        <v>403</v>
      </c>
      <c r="G2983" t="s">
        <v>384</v>
      </c>
      <c r="H2983" t="s">
        <v>8869</v>
      </c>
      <c r="I2983" s="4">
        <v>45443.875</v>
      </c>
      <c r="K2983" t="s">
        <v>226</v>
      </c>
      <c r="L2983" s="5"/>
      <c r="M2983" s="5" t="s">
        <v>8423</v>
      </c>
      <c r="N2983" t="s">
        <v>82</v>
      </c>
      <c r="O2983" t="s">
        <v>8870</v>
      </c>
      <c r="R2983">
        <v>1</v>
      </c>
      <c r="T2983" s="5"/>
      <c r="W2983">
        <v>270</v>
      </c>
      <c r="X2983" t="s">
        <v>8412</v>
      </c>
      <c r="Y2983" t="str">
        <f>VLOOKUP(C2983,'[1]DBS_KPY Sorumlular'!A:C,2,FALSE)</f>
        <v>Tayfun VİÇE</v>
      </c>
      <c r="Z2983" t="str">
        <f>VLOOKUP(C2983,'[1]DBS_KPY Sorumlular'!A:C,3,FALSE)</f>
        <v>Mehmet Ali YAVUZ</v>
      </c>
      <c r="AA2983" t="str">
        <f>VLOOKUP(K2983,[1]!Tablo3[#Data],2,FALSE)</f>
        <v>Kadir TOPÇU</v>
      </c>
    </row>
    <row r="2984" spans="1:27" x14ac:dyDescent="0.25">
      <c r="A2984">
        <v>4304</v>
      </c>
      <c r="B2984" t="s">
        <v>27</v>
      </c>
      <c r="C2984" t="s">
        <v>402</v>
      </c>
      <c r="D2984" t="s">
        <v>403</v>
      </c>
      <c r="G2984" t="s">
        <v>384</v>
      </c>
      <c r="H2984" t="s">
        <v>8871</v>
      </c>
      <c r="I2984" s="4">
        <v>45443.875</v>
      </c>
      <c r="K2984" t="s">
        <v>835</v>
      </c>
      <c r="L2984" s="5"/>
      <c r="M2984" s="5" t="s">
        <v>8423</v>
      </c>
      <c r="N2984" t="s">
        <v>82</v>
      </c>
      <c r="O2984" t="s">
        <v>8872</v>
      </c>
      <c r="R2984">
        <v>1</v>
      </c>
      <c r="T2984" s="5"/>
      <c r="W2984">
        <v>270</v>
      </c>
      <c r="X2984" t="s">
        <v>8412</v>
      </c>
      <c r="Y2984" t="str">
        <f>VLOOKUP(C2984,'[1]DBS_KPY Sorumlular'!A:C,2,FALSE)</f>
        <v>Tayfun VİÇE</v>
      </c>
      <c r="Z2984" t="str">
        <f>VLOOKUP(C2984,'[1]DBS_KPY Sorumlular'!A:C,3,FALSE)</f>
        <v>Mehmet Ali YAVUZ</v>
      </c>
      <c r="AA2984" t="str">
        <f>VLOOKUP(K2984,[1]!Tablo3[#Data],2,FALSE)</f>
        <v>Kadir TOPÇU</v>
      </c>
    </row>
    <row r="2985" spans="1:27" x14ac:dyDescent="0.25">
      <c r="A2985">
        <v>4305</v>
      </c>
      <c r="B2985" t="s">
        <v>27</v>
      </c>
      <c r="C2985" t="s">
        <v>402</v>
      </c>
      <c r="D2985" t="s">
        <v>403</v>
      </c>
      <c r="G2985" t="s">
        <v>384</v>
      </c>
      <c r="H2985" t="s">
        <v>8873</v>
      </c>
      <c r="I2985" s="4">
        <v>45443.875</v>
      </c>
      <c r="K2985" t="s">
        <v>678</v>
      </c>
      <c r="L2985" s="5"/>
      <c r="M2985" s="5" t="s">
        <v>8423</v>
      </c>
      <c r="N2985" t="s">
        <v>82</v>
      </c>
      <c r="O2985" t="s">
        <v>8874</v>
      </c>
      <c r="R2985">
        <v>1</v>
      </c>
      <c r="T2985" s="5"/>
      <c r="W2985">
        <v>270</v>
      </c>
      <c r="X2985" t="s">
        <v>8412</v>
      </c>
      <c r="Y2985" t="str">
        <f>VLOOKUP(C2985,'[1]DBS_KPY Sorumlular'!A:C,2,FALSE)</f>
        <v>Tayfun VİÇE</v>
      </c>
      <c r="Z2985" t="str">
        <f>VLOOKUP(C2985,'[1]DBS_KPY Sorumlular'!A:C,3,FALSE)</f>
        <v>Mehmet Ali YAVUZ</v>
      </c>
      <c r="AA2985" t="str">
        <f>VLOOKUP(K2985,[1]!Tablo3[#Data],2,FALSE)</f>
        <v>Kadir TOPÇU</v>
      </c>
    </row>
    <row r="2986" spans="1:27" x14ac:dyDescent="0.25">
      <c r="A2986">
        <v>4306</v>
      </c>
      <c r="B2986" t="s">
        <v>27</v>
      </c>
      <c r="C2986" t="s">
        <v>402</v>
      </c>
      <c r="D2986" t="s">
        <v>403</v>
      </c>
      <c r="G2986" t="s">
        <v>384</v>
      </c>
      <c r="H2986" t="s">
        <v>8875</v>
      </c>
      <c r="I2986" s="4">
        <v>45443.875</v>
      </c>
      <c r="K2986" t="s">
        <v>678</v>
      </c>
      <c r="L2986" s="5"/>
      <c r="M2986" s="5" t="s">
        <v>8423</v>
      </c>
      <c r="N2986" t="s">
        <v>82</v>
      </c>
      <c r="O2986" t="s">
        <v>8876</v>
      </c>
      <c r="R2986">
        <v>1</v>
      </c>
      <c r="T2986" s="5"/>
      <c r="W2986">
        <v>270</v>
      </c>
      <c r="X2986" t="s">
        <v>8412</v>
      </c>
      <c r="Y2986" t="str">
        <f>VLOOKUP(C2986,'[1]DBS_KPY Sorumlular'!A:C,2,FALSE)</f>
        <v>Tayfun VİÇE</v>
      </c>
      <c r="Z2986" t="str">
        <f>VLOOKUP(C2986,'[1]DBS_KPY Sorumlular'!A:C,3,FALSE)</f>
        <v>Mehmet Ali YAVUZ</v>
      </c>
      <c r="AA2986" t="str">
        <f>VLOOKUP(K2986,[1]!Tablo3[#Data],2,FALSE)</f>
        <v>Kadir TOPÇU</v>
      </c>
    </row>
    <row r="2987" spans="1:27" x14ac:dyDescent="0.25">
      <c r="A2987">
        <v>4307</v>
      </c>
      <c r="B2987" t="s">
        <v>27</v>
      </c>
      <c r="C2987" t="s">
        <v>402</v>
      </c>
      <c r="D2987" t="s">
        <v>403</v>
      </c>
      <c r="G2987" t="s">
        <v>384</v>
      </c>
      <c r="H2987" t="s">
        <v>8877</v>
      </c>
      <c r="I2987" s="4">
        <v>45443.875</v>
      </c>
      <c r="K2987" t="s">
        <v>226</v>
      </c>
      <c r="L2987" s="5"/>
      <c r="M2987" s="5" t="s">
        <v>8423</v>
      </c>
      <c r="N2987" t="s">
        <v>82</v>
      </c>
      <c r="O2987" t="s">
        <v>8878</v>
      </c>
      <c r="R2987">
        <v>1</v>
      </c>
      <c r="T2987" s="5"/>
      <c r="W2987">
        <v>270</v>
      </c>
      <c r="X2987" t="s">
        <v>8412</v>
      </c>
      <c r="Y2987" t="str">
        <f>VLOOKUP(C2987,'[1]DBS_KPY Sorumlular'!A:C,2,FALSE)</f>
        <v>Tayfun VİÇE</v>
      </c>
      <c r="Z2987" t="str">
        <f>VLOOKUP(C2987,'[1]DBS_KPY Sorumlular'!A:C,3,FALSE)</f>
        <v>Mehmet Ali YAVUZ</v>
      </c>
      <c r="AA2987" t="str">
        <f>VLOOKUP(K2987,[1]!Tablo3[#Data],2,FALSE)</f>
        <v>Kadir TOPÇU</v>
      </c>
    </row>
    <row r="2988" spans="1:27" x14ac:dyDescent="0.25">
      <c r="A2988">
        <v>4308</v>
      </c>
      <c r="B2988" t="s">
        <v>27</v>
      </c>
      <c r="C2988" t="s">
        <v>402</v>
      </c>
      <c r="D2988" t="s">
        <v>403</v>
      </c>
      <c r="G2988" t="s">
        <v>384</v>
      </c>
      <c r="H2988" t="s">
        <v>8879</v>
      </c>
      <c r="I2988" s="4">
        <v>45443.875</v>
      </c>
      <c r="K2988" t="s">
        <v>226</v>
      </c>
      <c r="L2988" s="5"/>
      <c r="M2988" s="5" t="s">
        <v>8423</v>
      </c>
      <c r="N2988" t="s">
        <v>82</v>
      </c>
      <c r="O2988" t="s">
        <v>8880</v>
      </c>
      <c r="R2988">
        <v>1</v>
      </c>
      <c r="T2988" s="5"/>
      <c r="W2988">
        <v>270</v>
      </c>
      <c r="X2988" t="s">
        <v>8412</v>
      </c>
      <c r="Y2988" t="str">
        <f>VLOOKUP(C2988,'[1]DBS_KPY Sorumlular'!A:C,2,FALSE)</f>
        <v>Tayfun VİÇE</v>
      </c>
      <c r="Z2988" t="str">
        <f>VLOOKUP(C2988,'[1]DBS_KPY Sorumlular'!A:C,3,FALSE)</f>
        <v>Mehmet Ali YAVUZ</v>
      </c>
      <c r="AA2988" t="str">
        <f>VLOOKUP(K2988,[1]!Tablo3[#Data],2,FALSE)</f>
        <v>Kadir TOPÇU</v>
      </c>
    </row>
    <row r="2989" spans="1:27" x14ac:dyDescent="0.25">
      <c r="A2989">
        <v>4309</v>
      </c>
      <c r="B2989" t="s">
        <v>27</v>
      </c>
      <c r="C2989" t="s">
        <v>402</v>
      </c>
      <c r="D2989" t="s">
        <v>403</v>
      </c>
      <c r="G2989" t="s">
        <v>384</v>
      </c>
      <c r="H2989" t="s">
        <v>8881</v>
      </c>
      <c r="I2989" s="4">
        <v>45443.875</v>
      </c>
      <c r="K2989" t="s">
        <v>678</v>
      </c>
      <c r="L2989" s="5"/>
      <c r="M2989" s="5" t="s">
        <v>8423</v>
      </c>
      <c r="N2989" t="s">
        <v>82</v>
      </c>
      <c r="O2989" t="s">
        <v>8882</v>
      </c>
      <c r="R2989">
        <v>1</v>
      </c>
      <c r="T2989" s="5"/>
      <c r="W2989">
        <v>270</v>
      </c>
      <c r="X2989" t="s">
        <v>8412</v>
      </c>
      <c r="Y2989" t="str">
        <f>VLOOKUP(C2989,'[1]DBS_KPY Sorumlular'!A:C,2,FALSE)</f>
        <v>Tayfun VİÇE</v>
      </c>
      <c r="Z2989" t="str">
        <f>VLOOKUP(C2989,'[1]DBS_KPY Sorumlular'!A:C,3,FALSE)</f>
        <v>Mehmet Ali YAVUZ</v>
      </c>
      <c r="AA2989" t="str">
        <f>VLOOKUP(K2989,[1]!Tablo3[#Data],2,FALSE)</f>
        <v>Kadir TOPÇU</v>
      </c>
    </row>
    <row r="2990" spans="1:27" x14ac:dyDescent="0.25">
      <c r="A2990">
        <v>4310</v>
      </c>
      <c r="B2990" t="s">
        <v>27</v>
      </c>
      <c r="C2990" t="s">
        <v>402</v>
      </c>
      <c r="D2990" t="s">
        <v>403</v>
      </c>
      <c r="G2990" t="s">
        <v>384</v>
      </c>
      <c r="H2990" t="s">
        <v>8883</v>
      </c>
      <c r="I2990" s="4">
        <v>45443.875</v>
      </c>
      <c r="K2990" t="s">
        <v>678</v>
      </c>
      <c r="L2990" s="5"/>
      <c r="M2990" s="5" t="s">
        <v>8423</v>
      </c>
      <c r="N2990" t="s">
        <v>82</v>
      </c>
      <c r="O2990" t="s">
        <v>8884</v>
      </c>
      <c r="R2990">
        <v>1</v>
      </c>
      <c r="T2990" s="5"/>
      <c r="W2990">
        <v>270</v>
      </c>
      <c r="X2990" t="s">
        <v>8412</v>
      </c>
      <c r="Y2990" t="str">
        <f>VLOOKUP(C2990,'[1]DBS_KPY Sorumlular'!A:C,2,FALSE)</f>
        <v>Tayfun VİÇE</v>
      </c>
      <c r="Z2990" t="str">
        <f>VLOOKUP(C2990,'[1]DBS_KPY Sorumlular'!A:C,3,FALSE)</f>
        <v>Mehmet Ali YAVUZ</v>
      </c>
      <c r="AA2990" t="str">
        <f>VLOOKUP(K2990,[1]!Tablo3[#Data],2,FALSE)</f>
        <v>Kadir TOPÇU</v>
      </c>
    </row>
    <row r="2991" spans="1:27" x14ac:dyDescent="0.25">
      <c r="A2991">
        <v>4311</v>
      </c>
      <c r="B2991" t="s">
        <v>27</v>
      </c>
      <c r="C2991" t="s">
        <v>402</v>
      </c>
      <c r="D2991" t="s">
        <v>403</v>
      </c>
      <c r="G2991" t="s">
        <v>384</v>
      </c>
      <c r="H2991" t="s">
        <v>8885</v>
      </c>
      <c r="I2991" s="4">
        <v>45443.875</v>
      </c>
      <c r="K2991" t="s">
        <v>226</v>
      </c>
      <c r="L2991" s="5"/>
      <c r="M2991" s="5" t="s">
        <v>8423</v>
      </c>
      <c r="N2991" t="s">
        <v>82</v>
      </c>
      <c r="O2991" t="s">
        <v>8886</v>
      </c>
      <c r="R2991">
        <v>1</v>
      </c>
      <c r="T2991" s="5"/>
      <c r="W2991">
        <v>270</v>
      </c>
      <c r="X2991" t="s">
        <v>8412</v>
      </c>
      <c r="Y2991" t="str">
        <f>VLOOKUP(C2991,'[1]DBS_KPY Sorumlular'!A:C,2,FALSE)</f>
        <v>Tayfun VİÇE</v>
      </c>
      <c r="Z2991" t="str">
        <f>VLOOKUP(C2991,'[1]DBS_KPY Sorumlular'!A:C,3,FALSE)</f>
        <v>Mehmet Ali YAVUZ</v>
      </c>
      <c r="AA2991" t="str">
        <f>VLOOKUP(K2991,[1]!Tablo3[#Data],2,FALSE)</f>
        <v>Kadir TOPÇU</v>
      </c>
    </row>
    <row r="2992" spans="1:27" x14ac:dyDescent="0.25">
      <c r="A2992">
        <v>4312</v>
      </c>
      <c r="B2992" t="s">
        <v>27</v>
      </c>
      <c r="C2992" t="s">
        <v>402</v>
      </c>
      <c r="D2992" t="s">
        <v>403</v>
      </c>
      <c r="G2992" t="s">
        <v>384</v>
      </c>
      <c r="H2992" t="s">
        <v>8887</v>
      </c>
      <c r="I2992" s="4">
        <v>45443.875</v>
      </c>
      <c r="K2992" t="s">
        <v>678</v>
      </c>
      <c r="L2992" s="5"/>
      <c r="M2992" s="5" t="s">
        <v>8423</v>
      </c>
      <c r="N2992" t="s">
        <v>82</v>
      </c>
      <c r="O2992" t="s">
        <v>8888</v>
      </c>
      <c r="R2992">
        <v>1</v>
      </c>
      <c r="T2992" s="5"/>
      <c r="W2992">
        <v>270</v>
      </c>
      <c r="X2992" t="s">
        <v>8412</v>
      </c>
      <c r="Y2992" t="str">
        <f>VLOOKUP(C2992,'[1]DBS_KPY Sorumlular'!A:C,2,FALSE)</f>
        <v>Tayfun VİÇE</v>
      </c>
      <c r="Z2992" t="str">
        <f>VLOOKUP(C2992,'[1]DBS_KPY Sorumlular'!A:C,3,FALSE)</f>
        <v>Mehmet Ali YAVUZ</v>
      </c>
      <c r="AA2992" t="str">
        <f>VLOOKUP(K2992,[1]!Tablo3[#Data],2,FALSE)</f>
        <v>Kadir TOPÇU</v>
      </c>
    </row>
    <row r="2993" spans="1:27" x14ac:dyDescent="0.25">
      <c r="A2993">
        <v>4313</v>
      </c>
      <c r="B2993" t="s">
        <v>27</v>
      </c>
      <c r="C2993" t="s">
        <v>402</v>
      </c>
      <c r="D2993" t="s">
        <v>403</v>
      </c>
      <c r="G2993" t="s">
        <v>384</v>
      </c>
      <c r="H2993" t="s">
        <v>8889</v>
      </c>
      <c r="I2993" s="4">
        <v>45443.875</v>
      </c>
      <c r="K2993" t="s">
        <v>678</v>
      </c>
      <c r="L2993" s="5"/>
      <c r="M2993" s="5"/>
      <c r="N2993" t="s">
        <v>82</v>
      </c>
      <c r="O2993" t="s">
        <v>8890</v>
      </c>
      <c r="R2993">
        <v>1</v>
      </c>
      <c r="T2993" s="5"/>
      <c r="W2993">
        <v>270</v>
      </c>
      <c r="X2993" t="s">
        <v>8412</v>
      </c>
      <c r="Y2993" t="str">
        <f>VLOOKUP(C2993,'[1]DBS_KPY Sorumlular'!A:C,2,FALSE)</f>
        <v>Tayfun VİÇE</v>
      </c>
      <c r="Z2993" t="str">
        <f>VLOOKUP(C2993,'[1]DBS_KPY Sorumlular'!A:C,3,FALSE)</f>
        <v>Mehmet Ali YAVUZ</v>
      </c>
      <c r="AA2993" t="str">
        <f>VLOOKUP(K2993,[1]!Tablo3[#Data],2,FALSE)</f>
        <v>Kadir TOPÇU</v>
      </c>
    </row>
    <row r="2994" spans="1:27" x14ac:dyDescent="0.25">
      <c r="A2994">
        <v>4314</v>
      </c>
      <c r="B2994" t="s">
        <v>27</v>
      </c>
      <c r="C2994" t="s">
        <v>402</v>
      </c>
      <c r="D2994" t="s">
        <v>403</v>
      </c>
      <c r="G2994" t="s">
        <v>384</v>
      </c>
      <c r="H2994" t="s">
        <v>8891</v>
      </c>
      <c r="I2994" s="4">
        <v>45443.875</v>
      </c>
      <c r="K2994" t="s">
        <v>678</v>
      </c>
      <c r="L2994" s="5"/>
      <c r="M2994" s="5" t="s">
        <v>8423</v>
      </c>
      <c r="N2994" t="s">
        <v>82</v>
      </c>
      <c r="O2994" t="s">
        <v>8892</v>
      </c>
      <c r="R2994">
        <v>1</v>
      </c>
      <c r="T2994" s="5"/>
      <c r="W2994">
        <v>270</v>
      </c>
      <c r="X2994" t="s">
        <v>8412</v>
      </c>
      <c r="Y2994" t="str">
        <f>VLOOKUP(C2994,'[1]DBS_KPY Sorumlular'!A:C,2,FALSE)</f>
        <v>Tayfun VİÇE</v>
      </c>
      <c r="Z2994" t="str">
        <f>VLOOKUP(C2994,'[1]DBS_KPY Sorumlular'!A:C,3,FALSE)</f>
        <v>Mehmet Ali YAVUZ</v>
      </c>
      <c r="AA2994" t="str">
        <f>VLOOKUP(K2994,[1]!Tablo3[#Data],2,FALSE)</f>
        <v>Kadir TOPÇU</v>
      </c>
    </row>
    <row r="2995" spans="1:27" x14ac:dyDescent="0.25">
      <c r="A2995">
        <v>4315</v>
      </c>
      <c r="B2995" t="s">
        <v>27</v>
      </c>
      <c r="C2995" t="s">
        <v>402</v>
      </c>
      <c r="D2995" t="s">
        <v>403</v>
      </c>
      <c r="G2995" t="s">
        <v>384</v>
      </c>
      <c r="H2995" t="s">
        <v>8893</v>
      </c>
      <c r="I2995" s="4">
        <v>45443.875</v>
      </c>
      <c r="K2995" t="s">
        <v>678</v>
      </c>
      <c r="L2995" s="5"/>
      <c r="M2995" s="5" t="s">
        <v>8423</v>
      </c>
      <c r="N2995" t="s">
        <v>82</v>
      </c>
      <c r="O2995" t="s">
        <v>8894</v>
      </c>
      <c r="R2995">
        <v>1</v>
      </c>
      <c r="T2995" s="5"/>
      <c r="W2995">
        <v>270</v>
      </c>
      <c r="X2995" t="s">
        <v>8412</v>
      </c>
      <c r="Y2995" t="str">
        <f>VLOOKUP(C2995,'[1]DBS_KPY Sorumlular'!A:C,2,FALSE)</f>
        <v>Tayfun VİÇE</v>
      </c>
      <c r="Z2995" t="str">
        <f>VLOOKUP(C2995,'[1]DBS_KPY Sorumlular'!A:C,3,FALSE)</f>
        <v>Mehmet Ali YAVUZ</v>
      </c>
      <c r="AA2995" t="str">
        <f>VLOOKUP(K2995,[1]!Tablo3[#Data],2,FALSE)</f>
        <v>Kadir TOPÇU</v>
      </c>
    </row>
    <row r="2996" spans="1:27" x14ac:dyDescent="0.25">
      <c r="A2996">
        <v>4316</v>
      </c>
      <c r="B2996" t="s">
        <v>27</v>
      </c>
      <c r="C2996" t="s">
        <v>402</v>
      </c>
      <c r="D2996" t="s">
        <v>403</v>
      </c>
      <c r="G2996" t="s">
        <v>384</v>
      </c>
      <c r="H2996" t="s">
        <v>8895</v>
      </c>
      <c r="I2996" s="4">
        <v>45443.875</v>
      </c>
      <c r="K2996" t="s">
        <v>226</v>
      </c>
      <c r="L2996" s="5"/>
      <c r="M2996" s="5" t="s">
        <v>8423</v>
      </c>
      <c r="N2996" t="s">
        <v>82</v>
      </c>
      <c r="O2996" t="s">
        <v>8896</v>
      </c>
      <c r="R2996">
        <v>1</v>
      </c>
      <c r="T2996" s="5"/>
      <c r="W2996">
        <v>270</v>
      </c>
      <c r="X2996" t="s">
        <v>8412</v>
      </c>
      <c r="Y2996" t="str">
        <f>VLOOKUP(C2996,'[1]DBS_KPY Sorumlular'!A:C,2,FALSE)</f>
        <v>Tayfun VİÇE</v>
      </c>
      <c r="Z2996" t="str">
        <f>VLOOKUP(C2996,'[1]DBS_KPY Sorumlular'!A:C,3,FALSE)</f>
        <v>Mehmet Ali YAVUZ</v>
      </c>
      <c r="AA2996" t="str">
        <f>VLOOKUP(K2996,[1]!Tablo3[#Data],2,FALSE)</f>
        <v>Kadir TOPÇU</v>
      </c>
    </row>
    <row r="2997" spans="1:27" x14ac:dyDescent="0.25">
      <c r="A2997">
        <v>4318</v>
      </c>
      <c r="B2997" t="s">
        <v>27</v>
      </c>
      <c r="C2997" t="s">
        <v>402</v>
      </c>
      <c r="D2997" t="s">
        <v>403</v>
      </c>
      <c r="G2997" t="s">
        <v>384</v>
      </c>
      <c r="H2997" t="s">
        <v>8897</v>
      </c>
      <c r="I2997" s="4">
        <v>45443.875</v>
      </c>
      <c r="K2997" t="s">
        <v>678</v>
      </c>
      <c r="L2997" s="5"/>
      <c r="M2997" s="5"/>
      <c r="N2997" t="s">
        <v>82</v>
      </c>
      <c r="O2997" t="s">
        <v>8898</v>
      </c>
      <c r="R2997">
        <v>1</v>
      </c>
      <c r="T2997" s="5"/>
      <c r="W2997">
        <v>270</v>
      </c>
      <c r="X2997" t="s">
        <v>8412</v>
      </c>
      <c r="Y2997" t="str">
        <f>VLOOKUP(C2997,'[1]DBS_KPY Sorumlular'!A:C,2,FALSE)</f>
        <v>Tayfun VİÇE</v>
      </c>
      <c r="Z2997" t="str">
        <f>VLOOKUP(C2997,'[1]DBS_KPY Sorumlular'!A:C,3,FALSE)</f>
        <v>Mehmet Ali YAVUZ</v>
      </c>
      <c r="AA2997" t="str">
        <f>VLOOKUP(K2997,[1]!Tablo3[#Data],2,FALSE)</f>
        <v>Kadir TOPÇU</v>
      </c>
    </row>
    <row r="2998" spans="1:27" x14ac:dyDescent="0.25">
      <c r="A2998">
        <v>4319</v>
      </c>
      <c r="B2998" t="s">
        <v>27</v>
      </c>
      <c r="C2998" t="s">
        <v>402</v>
      </c>
      <c r="D2998" t="s">
        <v>403</v>
      </c>
      <c r="G2998" t="s">
        <v>384</v>
      </c>
      <c r="H2998" t="s">
        <v>8899</v>
      </c>
      <c r="I2998" s="4">
        <v>45443.875</v>
      </c>
      <c r="K2998" t="s">
        <v>226</v>
      </c>
      <c r="L2998" s="5"/>
      <c r="M2998" s="5" t="s">
        <v>8423</v>
      </c>
      <c r="N2998" t="s">
        <v>82</v>
      </c>
      <c r="O2998" t="s">
        <v>8900</v>
      </c>
      <c r="R2998">
        <v>1</v>
      </c>
      <c r="T2998" s="5"/>
      <c r="W2998">
        <v>270</v>
      </c>
      <c r="X2998" t="s">
        <v>8412</v>
      </c>
      <c r="Y2998" t="str">
        <f>VLOOKUP(C2998,'[1]DBS_KPY Sorumlular'!A:C,2,FALSE)</f>
        <v>Tayfun VİÇE</v>
      </c>
      <c r="Z2998" t="str">
        <f>VLOOKUP(C2998,'[1]DBS_KPY Sorumlular'!A:C,3,FALSE)</f>
        <v>Mehmet Ali YAVUZ</v>
      </c>
      <c r="AA2998" t="str">
        <f>VLOOKUP(K2998,[1]!Tablo3[#Data],2,FALSE)</f>
        <v>Kadir TOPÇU</v>
      </c>
    </row>
    <row r="2999" spans="1:27" x14ac:dyDescent="0.25">
      <c r="A2999">
        <v>4320</v>
      </c>
      <c r="B2999" t="s">
        <v>27</v>
      </c>
      <c r="C2999" t="s">
        <v>402</v>
      </c>
      <c r="D2999" t="s">
        <v>403</v>
      </c>
      <c r="G2999" t="s">
        <v>384</v>
      </c>
      <c r="H2999" t="s">
        <v>8901</v>
      </c>
      <c r="I2999" s="4">
        <v>45443.875</v>
      </c>
      <c r="K2999" t="s">
        <v>226</v>
      </c>
      <c r="L2999" s="5"/>
      <c r="M2999" s="5" t="s">
        <v>8423</v>
      </c>
      <c r="N2999" t="s">
        <v>82</v>
      </c>
      <c r="O2999" t="s">
        <v>8902</v>
      </c>
      <c r="R2999">
        <v>1</v>
      </c>
      <c r="T2999" s="5"/>
      <c r="W2999">
        <v>270</v>
      </c>
      <c r="X2999" t="s">
        <v>8412</v>
      </c>
      <c r="Y2999" t="str">
        <f>VLOOKUP(C2999,'[1]DBS_KPY Sorumlular'!A:C,2,FALSE)</f>
        <v>Tayfun VİÇE</v>
      </c>
      <c r="Z2999" t="str">
        <f>VLOOKUP(C2999,'[1]DBS_KPY Sorumlular'!A:C,3,FALSE)</f>
        <v>Mehmet Ali YAVUZ</v>
      </c>
      <c r="AA2999" t="str">
        <f>VLOOKUP(K2999,[1]!Tablo3[#Data],2,FALSE)</f>
        <v>Kadir TOPÇU</v>
      </c>
    </row>
    <row r="3000" spans="1:27" x14ac:dyDescent="0.25">
      <c r="A3000">
        <v>4321</v>
      </c>
      <c r="B3000" t="s">
        <v>27</v>
      </c>
      <c r="C3000" t="s">
        <v>402</v>
      </c>
      <c r="D3000" t="s">
        <v>403</v>
      </c>
      <c r="G3000" t="s">
        <v>384</v>
      </c>
      <c r="H3000" t="s">
        <v>8903</v>
      </c>
      <c r="I3000" s="4">
        <v>45443.875</v>
      </c>
      <c r="K3000" t="s">
        <v>678</v>
      </c>
      <c r="L3000" s="5"/>
      <c r="M3000" s="5" t="s">
        <v>8423</v>
      </c>
      <c r="N3000" t="s">
        <v>82</v>
      </c>
      <c r="O3000" t="s">
        <v>8904</v>
      </c>
      <c r="R3000">
        <v>1</v>
      </c>
      <c r="T3000" s="5"/>
      <c r="W3000">
        <v>270</v>
      </c>
      <c r="X3000" t="s">
        <v>8412</v>
      </c>
      <c r="Y3000" t="str">
        <f>VLOOKUP(C3000,'[1]DBS_KPY Sorumlular'!A:C,2,FALSE)</f>
        <v>Tayfun VİÇE</v>
      </c>
      <c r="Z3000" t="str">
        <f>VLOOKUP(C3000,'[1]DBS_KPY Sorumlular'!A:C,3,FALSE)</f>
        <v>Mehmet Ali YAVUZ</v>
      </c>
      <c r="AA3000" t="str">
        <f>VLOOKUP(K3000,[1]!Tablo3[#Data],2,FALSE)</f>
        <v>Kadir TOPÇU</v>
      </c>
    </row>
    <row r="3001" spans="1:27" x14ac:dyDescent="0.25">
      <c r="A3001">
        <v>4322</v>
      </c>
      <c r="B3001" t="s">
        <v>27</v>
      </c>
      <c r="C3001" t="s">
        <v>402</v>
      </c>
      <c r="D3001" t="s">
        <v>403</v>
      </c>
      <c r="G3001" t="s">
        <v>384</v>
      </c>
      <c r="H3001" t="s">
        <v>8905</v>
      </c>
      <c r="I3001" s="4">
        <v>45443.875</v>
      </c>
      <c r="K3001" t="s">
        <v>678</v>
      </c>
      <c r="L3001" s="5"/>
      <c r="M3001" s="5" t="s">
        <v>8423</v>
      </c>
      <c r="N3001" t="s">
        <v>82</v>
      </c>
      <c r="O3001" t="s">
        <v>8906</v>
      </c>
      <c r="R3001">
        <v>1</v>
      </c>
      <c r="T3001" s="5"/>
      <c r="W3001">
        <v>270</v>
      </c>
      <c r="X3001" t="s">
        <v>8412</v>
      </c>
      <c r="Y3001" t="str">
        <f>VLOOKUP(C3001,'[1]DBS_KPY Sorumlular'!A:C,2,FALSE)</f>
        <v>Tayfun VİÇE</v>
      </c>
      <c r="Z3001" t="str">
        <f>VLOOKUP(C3001,'[1]DBS_KPY Sorumlular'!A:C,3,FALSE)</f>
        <v>Mehmet Ali YAVUZ</v>
      </c>
      <c r="AA3001" t="str">
        <f>VLOOKUP(K3001,[1]!Tablo3[#Data],2,FALSE)</f>
        <v>Kadir TOPÇU</v>
      </c>
    </row>
    <row r="3002" spans="1:27" x14ac:dyDescent="0.25">
      <c r="A3002">
        <v>4323</v>
      </c>
      <c r="B3002" t="s">
        <v>27</v>
      </c>
      <c r="C3002" t="s">
        <v>402</v>
      </c>
      <c r="D3002" t="s">
        <v>403</v>
      </c>
      <c r="G3002" t="s">
        <v>384</v>
      </c>
      <c r="H3002" t="s">
        <v>8907</v>
      </c>
      <c r="I3002" s="4">
        <v>45443.875</v>
      </c>
      <c r="K3002" t="s">
        <v>678</v>
      </c>
      <c r="L3002" s="5"/>
      <c r="M3002" s="5" t="s">
        <v>8423</v>
      </c>
      <c r="N3002" t="s">
        <v>82</v>
      </c>
      <c r="O3002" t="s">
        <v>8908</v>
      </c>
      <c r="R3002">
        <v>1</v>
      </c>
      <c r="T3002" s="5"/>
      <c r="W3002">
        <v>270</v>
      </c>
      <c r="X3002" t="s">
        <v>8412</v>
      </c>
      <c r="Y3002" t="str">
        <f>VLOOKUP(C3002,'[1]DBS_KPY Sorumlular'!A:C,2,FALSE)</f>
        <v>Tayfun VİÇE</v>
      </c>
      <c r="Z3002" t="str">
        <f>VLOOKUP(C3002,'[1]DBS_KPY Sorumlular'!A:C,3,FALSE)</f>
        <v>Mehmet Ali YAVUZ</v>
      </c>
      <c r="AA3002" t="str">
        <f>VLOOKUP(K3002,[1]!Tablo3[#Data],2,FALSE)</f>
        <v>Kadir TOPÇU</v>
      </c>
    </row>
    <row r="3003" spans="1:27" x14ac:dyDescent="0.25">
      <c r="A3003">
        <v>4324</v>
      </c>
      <c r="B3003" t="s">
        <v>27</v>
      </c>
      <c r="C3003" t="s">
        <v>402</v>
      </c>
      <c r="D3003" t="s">
        <v>403</v>
      </c>
      <c r="G3003" t="s">
        <v>384</v>
      </c>
      <c r="H3003" t="s">
        <v>8909</v>
      </c>
      <c r="I3003" s="4">
        <v>45443.875</v>
      </c>
      <c r="K3003" t="s">
        <v>226</v>
      </c>
      <c r="L3003" s="5"/>
      <c r="M3003" s="5" t="s">
        <v>8423</v>
      </c>
      <c r="N3003" t="s">
        <v>82</v>
      </c>
      <c r="O3003" t="s">
        <v>8910</v>
      </c>
      <c r="R3003">
        <v>1</v>
      </c>
      <c r="T3003" s="5"/>
      <c r="W3003">
        <v>270</v>
      </c>
      <c r="X3003" t="s">
        <v>8412</v>
      </c>
      <c r="Y3003" t="str">
        <f>VLOOKUP(C3003,'[1]DBS_KPY Sorumlular'!A:C,2,FALSE)</f>
        <v>Tayfun VİÇE</v>
      </c>
      <c r="Z3003" t="str">
        <f>VLOOKUP(C3003,'[1]DBS_KPY Sorumlular'!A:C,3,FALSE)</f>
        <v>Mehmet Ali YAVUZ</v>
      </c>
      <c r="AA3003" t="str">
        <f>VLOOKUP(K3003,[1]!Tablo3[#Data],2,FALSE)</f>
        <v>Kadir TOPÇU</v>
      </c>
    </row>
    <row r="3004" spans="1:27" x14ac:dyDescent="0.25">
      <c r="A3004">
        <v>4325</v>
      </c>
      <c r="B3004" t="s">
        <v>27</v>
      </c>
      <c r="C3004" t="s">
        <v>402</v>
      </c>
      <c r="D3004" t="s">
        <v>403</v>
      </c>
      <c r="G3004" t="s">
        <v>384</v>
      </c>
      <c r="H3004" t="s">
        <v>8911</v>
      </c>
      <c r="I3004" s="4">
        <v>45443.875</v>
      </c>
      <c r="K3004" t="s">
        <v>678</v>
      </c>
      <c r="L3004" s="5"/>
      <c r="M3004" s="5" t="s">
        <v>8423</v>
      </c>
      <c r="N3004" t="s">
        <v>82</v>
      </c>
      <c r="O3004" t="s">
        <v>8912</v>
      </c>
      <c r="R3004">
        <v>1</v>
      </c>
      <c r="T3004" s="5"/>
      <c r="W3004">
        <v>270</v>
      </c>
      <c r="X3004" t="s">
        <v>8412</v>
      </c>
      <c r="Y3004" t="str">
        <f>VLOOKUP(C3004,'[1]DBS_KPY Sorumlular'!A:C,2,FALSE)</f>
        <v>Tayfun VİÇE</v>
      </c>
      <c r="Z3004" t="str">
        <f>VLOOKUP(C3004,'[1]DBS_KPY Sorumlular'!A:C,3,FALSE)</f>
        <v>Mehmet Ali YAVUZ</v>
      </c>
      <c r="AA3004" t="str">
        <f>VLOOKUP(K3004,[1]!Tablo3[#Data],2,FALSE)</f>
        <v>Kadir TOPÇU</v>
      </c>
    </row>
    <row r="3005" spans="1:27" x14ac:dyDescent="0.25">
      <c r="A3005">
        <v>4326</v>
      </c>
      <c r="B3005" t="s">
        <v>27</v>
      </c>
      <c r="C3005" t="s">
        <v>402</v>
      </c>
      <c r="D3005" t="s">
        <v>403</v>
      </c>
      <c r="G3005" t="s">
        <v>384</v>
      </c>
      <c r="H3005" t="s">
        <v>8913</v>
      </c>
      <c r="I3005" s="4">
        <v>45443.875</v>
      </c>
      <c r="K3005" t="s">
        <v>678</v>
      </c>
      <c r="L3005" s="5"/>
      <c r="M3005" s="5" t="s">
        <v>8423</v>
      </c>
      <c r="N3005" t="s">
        <v>82</v>
      </c>
      <c r="O3005" t="s">
        <v>8914</v>
      </c>
      <c r="R3005">
        <v>1</v>
      </c>
      <c r="T3005" s="5"/>
      <c r="W3005">
        <v>270</v>
      </c>
      <c r="X3005" t="s">
        <v>8412</v>
      </c>
      <c r="Y3005" t="str">
        <f>VLOOKUP(C3005,'[1]DBS_KPY Sorumlular'!A:C,2,FALSE)</f>
        <v>Tayfun VİÇE</v>
      </c>
      <c r="Z3005" t="str">
        <f>VLOOKUP(C3005,'[1]DBS_KPY Sorumlular'!A:C,3,FALSE)</f>
        <v>Mehmet Ali YAVUZ</v>
      </c>
      <c r="AA3005" t="str">
        <f>VLOOKUP(K3005,[1]!Tablo3[#Data],2,FALSE)</f>
        <v>Kadir TOPÇU</v>
      </c>
    </row>
    <row r="3006" spans="1:27" x14ac:dyDescent="0.25">
      <c r="A3006">
        <v>4327</v>
      </c>
      <c r="B3006" t="s">
        <v>27</v>
      </c>
      <c r="C3006" t="s">
        <v>402</v>
      </c>
      <c r="D3006" t="s">
        <v>403</v>
      </c>
      <c r="G3006" t="s">
        <v>384</v>
      </c>
      <c r="H3006" t="s">
        <v>8915</v>
      </c>
      <c r="I3006" s="4">
        <v>45443.875</v>
      </c>
      <c r="K3006" t="s">
        <v>226</v>
      </c>
      <c r="L3006" s="5"/>
      <c r="M3006" s="5" t="s">
        <v>8423</v>
      </c>
      <c r="N3006" t="s">
        <v>82</v>
      </c>
      <c r="O3006" t="s">
        <v>8916</v>
      </c>
      <c r="R3006">
        <v>1</v>
      </c>
      <c r="T3006" s="5"/>
      <c r="W3006">
        <v>270</v>
      </c>
      <c r="X3006" t="s">
        <v>8412</v>
      </c>
      <c r="Y3006" t="str">
        <f>VLOOKUP(C3006,'[1]DBS_KPY Sorumlular'!A:C,2,FALSE)</f>
        <v>Tayfun VİÇE</v>
      </c>
      <c r="Z3006" t="str">
        <f>VLOOKUP(C3006,'[1]DBS_KPY Sorumlular'!A:C,3,FALSE)</f>
        <v>Mehmet Ali YAVUZ</v>
      </c>
      <c r="AA3006" t="str">
        <f>VLOOKUP(K3006,[1]!Tablo3[#Data],2,FALSE)</f>
        <v>Kadir TOPÇU</v>
      </c>
    </row>
    <row r="3007" spans="1:27" x14ac:dyDescent="0.25">
      <c r="A3007">
        <v>4328</v>
      </c>
      <c r="B3007" t="s">
        <v>27</v>
      </c>
      <c r="C3007" t="s">
        <v>402</v>
      </c>
      <c r="D3007" t="s">
        <v>403</v>
      </c>
      <c r="G3007" t="s">
        <v>384</v>
      </c>
      <c r="H3007" t="s">
        <v>8917</v>
      </c>
      <c r="I3007" s="4">
        <v>45443.875</v>
      </c>
      <c r="K3007" t="s">
        <v>678</v>
      </c>
      <c r="L3007" s="5"/>
      <c r="M3007" s="5" t="s">
        <v>8423</v>
      </c>
      <c r="N3007" t="s">
        <v>82</v>
      </c>
      <c r="O3007" t="s">
        <v>8918</v>
      </c>
      <c r="R3007">
        <v>1</v>
      </c>
      <c r="T3007" s="5"/>
      <c r="W3007">
        <v>270</v>
      </c>
      <c r="X3007" t="s">
        <v>8412</v>
      </c>
      <c r="Y3007" t="str">
        <f>VLOOKUP(C3007,'[1]DBS_KPY Sorumlular'!A:C,2,FALSE)</f>
        <v>Tayfun VİÇE</v>
      </c>
      <c r="Z3007" t="str">
        <f>VLOOKUP(C3007,'[1]DBS_KPY Sorumlular'!A:C,3,FALSE)</f>
        <v>Mehmet Ali YAVUZ</v>
      </c>
      <c r="AA3007" t="str">
        <f>VLOOKUP(K3007,[1]!Tablo3[#Data],2,FALSE)</f>
        <v>Kadir TOPÇU</v>
      </c>
    </row>
    <row r="3008" spans="1:27" x14ac:dyDescent="0.25">
      <c r="A3008">
        <v>4329</v>
      </c>
      <c r="B3008" t="s">
        <v>27</v>
      </c>
      <c r="C3008" t="s">
        <v>402</v>
      </c>
      <c r="D3008" t="s">
        <v>403</v>
      </c>
      <c r="G3008" t="s">
        <v>384</v>
      </c>
      <c r="H3008" t="s">
        <v>8919</v>
      </c>
      <c r="I3008" s="4">
        <v>45443.875</v>
      </c>
      <c r="K3008" t="s">
        <v>678</v>
      </c>
      <c r="L3008" s="5"/>
      <c r="M3008" s="5" t="s">
        <v>8423</v>
      </c>
      <c r="N3008" t="s">
        <v>82</v>
      </c>
      <c r="O3008" t="s">
        <v>8920</v>
      </c>
      <c r="R3008">
        <v>1</v>
      </c>
      <c r="T3008" s="5"/>
      <c r="W3008">
        <v>270</v>
      </c>
      <c r="X3008" t="s">
        <v>8412</v>
      </c>
      <c r="Y3008" t="str">
        <f>VLOOKUP(C3008,'[1]DBS_KPY Sorumlular'!A:C,2,FALSE)</f>
        <v>Tayfun VİÇE</v>
      </c>
      <c r="Z3008" t="str">
        <f>VLOOKUP(C3008,'[1]DBS_KPY Sorumlular'!A:C,3,FALSE)</f>
        <v>Mehmet Ali YAVUZ</v>
      </c>
      <c r="AA3008" t="str">
        <f>VLOOKUP(K3008,[1]!Tablo3[#Data],2,FALSE)</f>
        <v>Kadir TOPÇU</v>
      </c>
    </row>
    <row r="3009" spans="1:27" x14ac:dyDescent="0.25">
      <c r="A3009">
        <v>4330</v>
      </c>
      <c r="B3009" t="s">
        <v>27</v>
      </c>
      <c r="C3009" t="s">
        <v>402</v>
      </c>
      <c r="D3009" t="s">
        <v>403</v>
      </c>
      <c r="G3009" t="s">
        <v>384</v>
      </c>
      <c r="H3009" t="s">
        <v>8921</v>
      </c>
      <c r="I3009" s="4">
        <v>45443.875</v>
      </c>
      <c r="K3009" t="s">
        <v>678</v>
      </c>
      <c r="L3009" s="5"/>
      <c r="M3009" s="5" t="s">
        <v>8423</v>
      </c>
      <c r="N3009" t="s">
        <v>82</v>
      </c>
      <c r="O3009" t="s">
        <v>8922</v>
      </c>
      <c r="R3009">
        <v>1</v>
      </c>
      <c r="T3009" s="5"/>
      <c r="W3009">
        <v>270</v>
      </c>
      <c r="X3009" t="s">
        <v>8412</v>
      </c>
      <c r="Y3009" t="str">
        <f>VLOOKUP(C3009,'[1]DBS_KPY Sorumlular'!A:C,2,FALSE)</f>
        <v>Tayfun VİÇE</v>
      </c>
      <c r="Z3009" t="str">
        <f>VLOOKUP(C3009,'[1]DBS_KPY Sorumlular'!A:C,3,FALSE)</f>
        <v>Mehmet Ali YAVUZ</v>
      </c>
      <c r="AA3009" t="str">
        <f>VLOOKUP(K3009,[1]!Tablo3[#Data],2,FALSE)</f>
        <v>Kadir TOPÇU</v>
      </c>
    </row>
    <row r="3010" spans="1:27" x14ac:dyDescent="0.25">
      <c r="A3010">
        <v>4331</v>
      </c>
      <c r="B3010" t="s">
        <v>27</v>
      </c>
      <c r="C3010" t="s">
        <v>402</v>
      </c>
      <c r="D3010" t="s">
        <v>403</v>
      </c>
      <c r="G3010" t="s">
        <v>384</v>
      </c>
      <c r="H3010" t="s">
        <v>8923</v>
      </c>
      <c r="I3010" s="4">
        <v>45443.875</v>
      </c>
      <c r="K3010" t="s">
        <v>226</v>
      </c>
      <c r="L3010" s="5"/>
      <c r="M3010" s="5" t="s">
        <v>8423</v>
      </c>
      <c r="N3010" t="s">
        <v>82</v>
      </c>
      <c r="O3010" t="s">
        <v>8924</v>
      </c>
      <c r="R3010">
        <v>1</v>
      </c>
      <c r="T3010" s="5"/>
      <c r="W3010">
        <v>270</v>
      </c>
      <c r="X3010" t="s">
        <v>8412</v>
      </c>
      <c r="Y3010" t="str">
        <f>VLOOKUP(C3010,'[1]DBS_KPY Sorumlular'!A:C,2,FALSE)</f>
        <v>Tayfun VİÇE</v>
      </c>
      <c r="Z3010" t="str">
        <f>VLOOKUP(C3010,'[1]DBS_KPY Sorumlular'!A:C,3,FALSE)</f>
        <v>Mehmet Ali YAVUZ</v>
      </c>
      <c r="AA3010" t="str">
        <f>VLOOKUP(K3010,[1]!Tablo3[#Data],2,FALSE)</f>
        <v>Kadir TOPÇU</v>
      </c>
    </row>
    <row r="3011" spans="1:27" x14ac:dyDescent="0.25">
      <c r="A3011">
        <v>4332</v>
      </c>
      <c r="B3011" t="s">
        <v>27</v>
      </c>
      <c r="C3011" t="s">
        <v>402</v>
      </c>
      <c r="D3011" t="s">
        <v>403</v>
      </c>
      <c r="G3011" t="s">
        <v>384</v>
      </c>
      <c r="H3011" t="s">
        <v>8925</v>
      </c>
      <c r="I3011" s="4">
        <v>45443.875</v>
      </c>
      <c r="K3011" t="s">
        <v>678</v>
      </c>
      <c r="L3011" s="5"/>
      <c r="M3011" s="5" t="s">
        <v>8423</v>
      </c>
      <c r="N3011" t="s">
        <v>82</v>
      </c>
      <c r="O3011" t="s">
        <v>8926</v>
      </c>
      <c r="R3011">
        <v>1</v>
      </c>
      <c r="T3011" s="5"/>
      <c r="W3011">
        <v>270</v>
      </c>
      <c r="X3011" t="s">
        <v>8412</v>
      </c>
      <c r="Y3011" t="str">
        <f>VLOOKUP(C3011,'[1]DBS_KPY Sorumlular'!A:C,2,FALSE)</f>
        <v>Tayfun VİÇE</v>
      </c>
      <c r="Z3011" t="str">
        <f>VLOOKUP(C3011,'[1]DBS_KPY Sorumlular'!A:C,3,FALSE)</f>
        <v>Mehmet Ali YAVUZ</v>
      </c>
      <c r="AA3011" t="str">
        <f>VLOOKUP(K3011,[1]!Tablo3[#Data],2,FALSE)</f>
        <v>Kadir TOPÇU</v>
      </c>
    </row>
    <row r="3012" spans="1:27" x14ac:dyDescent="0.25">
      <c r="A3012">
        <v>4337</v>
      </c>
      <c r="B3012" t="s">
        <v>27</v>
      </c>
      <c r="C3012" t="s">
        <v>402</v>
      </c>
      <c r="D3012" t="s">
        <v>403</v>
      </c>
      <c r="G3012" t="s">
        <v>384</v>
      </c>
      <c r="H3012" t="s">
        <v>8927</v>
      </c>
      <c r="I3012" s="4">
        <v>45443.875</v>
      </c>
      <c r="K3012" t="s">
        <v>226</v>
      </c>
      <c r="L3012" s="5"/>
      <c r="M3012" s="5" t="s">
        <v>8423</v>
      </c>
      <c r="N3012" t="s">
        <v>82</v>
      </c>
      <c r="O3012" t="s">
        <v>8928</v>
      </c>
      <c r="R3012">
        <v>1</v>
      </c>
      <c r="T3012" s="5"/>
      <c r="W3012">
        <v>270</v>
      </c>
      <c r="X3012" t="s">
        <v>8412</v>
      </c>
      <c r="Y3012" t="str">
        <f>VLOOKUP(C3012,'[1]DBS_KPY Sorumlular'!A:C,2,FALSE)</f>
        <v>Tayfun VİÇE</v>
      </c>
      <c r="Z3012" t="str">
        <f>VLOOKUP(C3012,'[1]DBS_KPY Sorumlular'!A:C,3,FALSE)</f>
        <v>Mehmet Ali YAVUZ</v>
      </c>
      <c r="AA3012" t="str">
        <f>VLOOKUP(K3012,[1]!Tablo3[#Data],2,FALSE)</f>
        <v>Kadir TOPÇU</v>
      </c>
    </row>
    <row r="3013" spans="1:27" x14ac:dyDescent="0.25">
      <c r="A3013">
        <v>4338</v>
      </c>
      <c r="B3013" t="s">
        <v>27</v>
      </c>
      <c r="C3013" t="s">
        <v>402</v>
      </c>
      <c r="D3013" t="s">
        <v>403</v>
      </c>
      <c r="G3013" t="s">
        <v>384</v>
      </c>
      <c r="H3013" t="s">
        <v>8929</v>
      </c>
      <c r="I3013" s="4">
        <v>45443.875</v>
      </c>
      <c r="K3013" t="s">
        <v>226</v>
      </c>
      <c r="L3013" s="5"/>
      <c r="M3013" s="5" t="s">
        <v>8423</v>
      </c>
      <c r="N3013" t="s">
        <v>82</v>
      </c>
      <c r="O3013" t="s">
        <v>8930</v>
      </c>
      <c r="R3013">
        <v>1</v>
      </c>
      <c r="T3013" s="5"/>
      <c r="W3013">
        <v>270</v>
      </c>
      <c r="X3013" t="s">
        <v>8412</v>
      </c>
      <c r="Y3013" t="str">
        <f>VLOOKUP(C3013,'[1]DBS_KPY Sorumlular'!A:C,2,FALSE)</f>
        <v>Tayfun VİÇE</v>
      </c>
      <c r="Z3013" t="str">
        <f>VLOOKUP(C3013,'[1]DBS_KPY Sorumlular'!A:C,3,FALSE)</f>
        <v>Mehmet Ali YAVUZ</v>
      </c>
      <c r="AA3013" t="str">
        <f>VLOOKUP(K3013,[1]!Tablo3[#Data],2,FALSE)</f>
        <v>Kadir TOPÇU</v>
      </c>
    </row>
    <row r="3014" spans="1:27" x14ac:dyDescent="0.25">
      <c r="A3014">
        <v>4339</v>
      </c>
      <c r="B3014" t="s">
        <v>27</v>
      </c>
      <c r="C3014" t="s">
        <v>402</v>
      </c>
      <c r="D3014" t="s">
        <v>403</v>
      </c>
      <c r="G3014" t="s">
        <v>384</v>
      </c>
      <c r="H3014" t="s">
        <v>8931</v>
      </c>
      <c r="I3014" s="4">
        <v>45443.875</v>
      </c>
      <c r="K3014" t="s">
        <v>226</v>
      </c>
      <c r="L3014" s="5"/>
      <c r="M3014" s="5" t="s">
        <v>8423</v>
      </c>
      <c r="N3014" t="s">
        <v>82</v>
      </c>
      <c r="O3014" t="s">
        <v>8932</v>
      </c>
      <c r="R3014">
        <v>1</v>
      </c>
      <c r="T3014" s="5"/>
      <c r="W3014">
        <v>270</v>
      </c>
      <c r="X3014" t="s">
        <v>8412</v>
      </c>
      <c r="Y3014" t="str">
        <f>VLOOKUP(C3014,'[1]DBS_KPY Sorumlular'!A:C,2,FALSE)</f>
        <v>Tayfun VİÇE</v>
      </c>
      <c r="Z3014" t="str">
        <f>VLOOKUP(C3014,'[1]DBS_KPY Sorumlular'!A:C,3,FALSE)</f>
        <v>Mehmet Ali YAVUZ</v>
      </c>
      <c r="AA3014" t="str">
        <f>VLOOKUP(K3014,[1]!Tablo3[#Data],2,FALSE)</f>
        <v>Kadir TOPÇU</v>
      </c>
    </row>
    <row r="3015" spans="1:27" x14ac:dyDescent="0.25">
      <c r="A3015">
        <v>4340</v>
      </c>
      <c r="B3015" t="s">
        <v>27</v>
      </c>
      <c r="C3015" t="s">
        <v>402</v>
      </c>
      <c r="D3015" t="s">
        <v>403</v>
      </c>
      <c r="G3015" t="s">
        <v>384</v>
      </c>
      <c r="H3015" t="s">
        <v>8933</v>
      </c>
      <c r="I3015" s="4">
        <v>45443.875</v>
      </c>
      <c r="K3015" t="s">
        <v>678</v>
      </c>
      <c r="L3015" s="5"/>
      <c r="M3015" s="5" t="s">
        <v>8423</v>
      </c>
      <c r="N3015" t="s">
        <v>82</v>
      </c>
      <c r="O3015" t="s">
        <v>8934</v>
      </c>
      <c r="R3015">
        <v>1</v>
      </c>
      <c r="T3015" s="5"/>
      <c r="W3015">
        <v>270</v>
      </c>
      <c r="X3015" t="s">
        <v>8412</v>
      </c>
      <c r="Y3015" t="str">
        <f>VLOOKUP(C3015,'[1]DBS_KPY Sorumlular'!A:C,2,FALSE)</f>
        <v>Tayfun VİÇE</v>
      </c>
      <c r="Z3015" t="str">
        <f>VLOOKUP(C3015,'[1]DBS_KPY Sorumlular'!A:C,3,FALSE)</f>
        <v>Mehmet Ali YAVUZ</v>
      </c>
      <c r="AA3015" t="str">
        <f>VLOOKUP(K3015,[1]!Tablo3[#Data],2,FALSE)</f>
        <v>Kadir TOPÇU</v>
      </c>
    </row>
    <row r="3016" spans="1:27" x14ac:dyDescent="0.25">
      <c r="A3016">
        <v>4342</v>
      </c>
      <c r="B3016" t="s">
        <v>27</v>
      </c>
      <c r="C3016" t="s">
        <v>402</v>
      </c>
      <c r="D3016" t="s">
        <v>403</v>
      </c>
      <c r="G3016" t="s">
        <v>384</v>
      </c>
      <c r="H3016" t="s">
        <v>8935</v>
      </c>
      <c r="I3016" s="4">
        <v>45443.875</v>
      </c>
      <c r="K3016" t="s">
        <v>678</v>
      </c>
      <c r="L3016" s="5"/>
      <c r="M3016" s="5" t="s">
        <v>8423</v>
      </c>
      <c r="N3016" t="s">
        <v>82</v>
      </c>
      <c r="O3016" t="s">
        <v>8936</v>
      </c>
      <c r="R3016">
        <v>1</v>
      </c>
      <c r="T3016" s="5"/>
      <c r="W3016">
        <v>270</v>
      </c>
      <c r="X3016" t="s">
        <v>8412</v>
      </c>
      <c r="Y3016" t="str">
        <f>VLOOKUP(C3016,'[1]DBS_KPY Sorumlular'!A:C,2,FALSE)</f>
        <v>Tayfun VİÇE</v>
      </c>
      <c r="Z3016" t="str">
        <f>VLOOKUP(C3016,'[1]DBS_KPY Sorumlular'!A:C,3,FALSE)</f>
        <v>Mehmet Ali YAVUZ</v>
      </c>
      <c r="AA3016" t="str">
        <f>VLOOKUP(K3016,[1]!Tablo3[#Data],2,FALSE)</f>
        <v>Kadir TOPÇU</v>
      </c>
    </row>
    <row r="3017" spans="1:27" x14ac:dyDescent="0.25">
      <c r="A3017">
        <v>4343</v>
      </c>
      <c r="B3017" t="s">
        <v>27</v>
      </c>
      <c r="C3017" t="s">
        <v>402</v>
      </c>
      <c r="D3017" t="s">
        <v>403</v>
      </c>
      <c r="G3017" t="s">
        <v>384</v>
      </c>
      <c r="H3017" t="s">
        <v>8937</v>
      </c>
      <c r="I3017" s="4">
        <v>45443.875</v>
      </c>
      <c r="K3017" t="s">
        <v>678</v>
      </c>
      <c r="L3017" s="5"/>
      <c r="M3017" s="5" t="s">
        <v>8423</v>
      </c>
      <c r="N3017" t="s">
        <v>82</v>
      </c>
      <c r="O3017" t="s">
        <v>8938</v>
      </c>
      <c r="R3017">
        <v>1</v>
      </c>
      <c r="T3017" s="5"/>
      <c r="W3017">
        <v>270</v>
      </c>
      <c r="X3017" t="s">
        <v>8412</v>
      </c>
      <c r="Y3017" t="str">
        <f>VLOOKUP(C3017,'[1]DBS_KPY Sorumlular'!A:C,2,FALSE)</f>
        <v>Tayfun VİÇE</v>
      </c>
      <c r="Z3017" t="str">
        <f>VLOOKUP(C3017,'[1]DBS_KPY Sorumlular'!A:C,3,FALSE)</f>
        <v>Mehmet Ali YAVUZ</v>
      </c>
      <c r="AA3017" t="str">
        <f>VLOOKUP(K3017,[1]!Tablo3[#Data],2,FALSE)</f>
        <v>Kadir TOPÇU</v>
      </c>
    </row>
    <row r="3018" spans="1:27" x14ac:dyDescent="0.25">
      <c r="A3018">
        <v>4344</v>
      </c>
      <c r="B3018" t="s">
        <v>27</v>
      </c>
      <c r="C3018" t="s">
        <v>402</v>
      </c>
      <c r="D3018" t="s">
        <v>403</v>
      </c>
      <c r="G3018" t="s">
        <v>384</v>
      </c>
      <c r="H3018" t="s">
        <v>8939</v>
      </c>
      <c r="I3018" s="4">
        <v>45443.875</v>
      </c>
      <c r="K3018" t="s">
        <v>743</v>
      </c>
      <c r="L3018" s="5"/>
      <c r="M3018" s="5" t="s">
        <v>8423</v>
      </c>
      <c r="N3018" t="s">
        <v>82</v>
      </c>
      <c r="O3018" t="s">
        <v>8940</v>
      </c>
      <c r="R3018">
        <v>1</v>
      </c>
      <c r="T3018" s="5"/>
      <c r="W3018">
        <v>270</v>
      </c>
      <c r="X3018" t="s">
        <v>8412</v>
      </c>
      <c r="Y3018" t="str">
        <f>VLOOKUP(C3018,'[1]DBS_KPY Sorumlular'!A:C,2,FALSE)</f>
        <v>Tayfun VİÇE</v>
      </c>
      <c r="Z3018" t="str">
        <f>VLOOKUP(C3018,'[1]DBS_KPY Sorumlular'!A:C,3,FALSE)</f>
        <v>Mehmet Ali YAVUZ</v>
      </c>
      <c r="AA3018" t="str">
        <f>VLOOKUP(K3018,[1]!Tablo3[#Data],2,FALSE)</f>
        <v>Kadir TOPÇU</v>
      </c>
    </row>
    <row r="3019" spans="1:27" x14ac:dyDescent="0.25">
      <c r="A3019">
        <v>4345</v>
      </c>
      <c r="B3019" t="s">
        <v>27</v>
      </c>
      <c r="C3019" t="s">
        <v>402</v>
      </c>
      <c r="D3019" t="s">
        <v>403</v>
      </c>
      <c r="G3019" t="s">
        <v>384</v>
      </c>
      <c r="H3019" t="s">
        <v>8941</v>
      </c>
      <c r="I3019" s="4">
        <v>45443.875</v>
      </c>
      <c r="K3019" t="s">
        <v>678</v>
      </c>
      <c r="L3019" s="5"/>
      <c r="M3019" s="5" t="s">
        <v>8423</v>
      </c>
      <c r="N3019" t="s">
        <v>82</v>
      </c>
      <c r="O3019" t="s">
        <v>8942</v>
      </c>
      <c r="R3019">
        <v>1</v>
      </c>
      <c r="T3019" s="5"/>
      <c r="W3019">
        <v>270</v>
      </c>
      <c r="X3019" t="s">
        <v>8412</v>
      </c>
      <c r="Y3019" t="str">
        <f>VLOOKUP(C3019,'[1]DBS_KPY Sorumlular'!A:C,2,FALSE)</f>
        <v>Tayfun VİÇE</v>
      </c>
      <c r="Z3019" t="str">
        <f>VLOOKUP(C3019,'[1]DBS_KPY Sorumlular'!A:C,3,FALSE)</f>
        <v>Mehmet Ali YAVUZ</v>
      </c>
      <c r="AA3019" t="str">
        <f>VLOOKUP(K3019,[1]!Tablo3[#Data],2,FALSE)</f>
        <v>Kadir TOPÇU</v>
      </c>
    </row>
    <row r="3020" spans="1:27" x14ac:dyDescent="0.25">
      <c r="A3020">
        <v>4346</v>
      </c>
      <c r="B3020" t="s">
        <v>27</v>
      </c>
      <c r="C3020" t="s">
        <v>402</v>
      </c>
      <c r="D3020" t="s">
        <v>403</v>
      </c>
      <c r="G3020" t="s">
        <v>384</v>
      </c>
      <c r="H3020" t="s">
        <v>8943</v>
      </c>
      <c r="I3020" s="4">
        <v>45443.875</v>
      </c>
      <c r="K3020" t="s">
        <v>678</v>
      </c>
      <c r="L3020" s="5"/>
      <c r="M3020" s="5"/>
      <c r="N3020" t="s">
        <v>82</v>
      </c>
      <c r="O3020" t="s">
        <v>8944</v>
      </c>
      <c r="R3020">
        <v>1</v>
      </c>
      <c r="T3020" s="5"/>
      <c r="W3020">
        <v>131</v>
      </c>
      <c r="X3020" t="s">
        <v>61</v>
      </c>
      <c r="Y3020" t="str">
        <f>VLOOKUP(C3020,'[1]DBS_KPY Sorumlular'!A:C,2,FALSE)</f>
        <v>Tayfun VİÇE</v>
      </c>
      <c r="Z3020" t="str">
        <f>VLOOKUP(C3020,'[1]DBS_KPY Sorumlular'!A:C,3,FALSE)</f>
        <v>Mehmet Ali YAVUZ</v>
      </c>
      <c r="AA3020" t="str">
        <f>VLOOKUP(K3020,[1]!Tablo3[#Data],2,FALSE)</f>
        <v>Kadir TOPÇU</v>
      </c>
    </row>
    <row r="3021" spans="1:27" x14ac:dyDescent="0.25">
      <c r="A3021">
        <v>4347</v>
      </c>
      <c r="B3021" t="s">
        <v>27</v>
      </c>
      <c r="C3021" t="s">
        <v>402</v>
      </c>
      <c r="D3021" t="s">
        <v>403</v>
      </c>
      <c r="G3021" t="s">
        <v>384</v>
      </c>
      <c r="H3021" t="s">
        <v>8945</v>
      </c>
      <c r="I3021" s="4">
        <v>45443.875</v>
      </c>
      <c r="K3021" t="s">
        <v>678</v>
      </c>
      <c r="L3021" s="5"/>
      <c r="M3021" s="5" t="s">
        <v>8423</v>
      </c>
      <c r="N3021" t="s">
        <v>82</v>
      </c>
      <c r="O3021" t="s">
        <v>8946</v>
      </c>
      <c r="R3021">
        <v>1</v>
      </c>
      <c r="T3021" s="5"/>
      <c r="W3021">
        <v>270</v>
      </c>
      <c r="X3021" t="s">
        <v>8412</v>
      </c>
      <c r="Y3021" t="str">
        <f>VLOOKUP(C3021,'[1]DBS_KPY Sorumlular'!A:C,2,FALSE)</f>
        <v>Tayfun VİÇE</v>
      </c>
      <c r="Z3021" t="str">
        <f>VLOOKUP(C3021,'[1]DBS_KPY Sorumlular'!A:C,3,FALSE)</f>
        <v>Mehmet Ali YAVUZ</v>
      </c>
      <c r="AA3021" t="str">
        <f>VLOOKUP(K3021,[1]!Tablo3[#Data],2,FALSE)</f>
        <v>Kadir TOPÇU</v>
      </c>
    </row>
    <row r="3022" spans="1:27" x14ac:dyDescent="0.25">
      <c r="A3022">
        <v>4349</v>
      </c>
      <c r="B3022" t="s">
        <v>27</v>
      </c>
      <c r="C3022" t="s">
        <v>402</v>
      </c>
      <c r="D3022" t="s">
        <v>403</v>
      </c>
      <c r="G3022" t="s">
        <v>384</v>
      </c>
      <c r="H3022" t="s">
        <v>8947</v>
      </c>
      <c r="I3022" s="4">
        <v>45443.875</v>
      </c>
      <c r="K3022" t="s">
        <v>226</v>
      </c>
      <c r="L3022" s="5"/>
      <c r="M3022" s="5" t="s">
        <v>8423</v>
      </c>
      <c r="N3022" t="s">
        <v>82</v>
      </c>
      <c r="O3022" t="s">
        <v>8948</v>
      </c>
      <c r="R3022">
        <v>1</v>
      </c>
      <c r="T3022" s="5"/>
      <c r="W3022">
        <v>270</v>
      </c>
      <c r="X3022" t="s">
        <v>8412</v>
      </c>
      <c r="Y3022" t="str">
        <f>VLOOKUP(C3022,'[1]DBS_KPY Sorumlular'!A:C,2,FALSE)</f>
        <v>Tayfun VİÇE</v>
      </c>
      <c r="Z3022" t="str">
        <f>VLOOKUP(C3022,'[1]DBS_KPY Sorumlular'!A:C,3,FALSE)</f>
        <v>Mehmet Ali YAVUZ</v>
      </c>
      <c r="AA3022" t="str">
        <f>VLOOKUP(K3022,[1]!Tablo3[#Data],2,FALSE)</f>
        <v>Kadir TOPÇU</v>
      </c>
    </row>
    <row r="3023" spans="1:27" x14ac:dyDescent="0.25">
      <c r="A3023">
        <v>4350</v>
      </c>
      <c r="B3023" t="s">
        <v>27</v>
      </c>
      <c r="C3023" t="s">
        <v>402</v>
      </c>
      <c r="D3023" t="s">
        <v>403</v>
      </c>
      <c r="G3023" t="s">
        <v>384</v>
      </c>
      <c r="H3023" t="s">
        <v>8949</v>
      </c>
      <c r="I3023" s="4">
        <v>45443.875</v>
      </c>
      <c r="K3023" t="s">
        <v>678</v>
      </c>
      <c r="L3023" s="5"/>
      <c r="M3023" s="5" t="s">
        <v>8423</v>
      </c>
      <c r="N3023" t="s">
        <v>82</v>
      </c>
      <c r="O3023" t="s">
        <v>8950</v>
      </c>
      <c r="R3023">
        <v>1</v>
      </c>
      <c r="T3023" s="5"/>
      <c r="W3023">
        <v>270</v>
      </c>
      <c r="X3023" t="s">
        <v>8412</v>
      </c>
      <c r="Y3023" t="str">
        <f>VLOOKUP(C3023,'[1]DBS_KPY Sorumlular'!A:C,2,FALSE)</f>
        <v>Tayfun VİÇE</v>
      </c>
      <c r="Z3023" t="str">
        <f>VLOOKUP(C3023,'[1]DBS_KPY Sorumlular'!A:C,3,FALSE)</f>
        <v>Mehmet Ali YAVUZ</v>
      </c>
      <c r="AA3023" t="str">
        <f>VLOOKUP(K3023,[1]!Tablo3[#Data],2,FALSE)</f>
        <v>Kadir TOPÇU</v>
      </c>
    </row>
    <row r="3024" spans="1:27" x14ac:dyDescent="0.25">
      <c r="A3024">
        <v>4351</v>
      </c>
      <c r="B3024" t="s">
        <v>27</v>
      </c>
      <c r="C3024" t="s">
        <v>402</v>
      </c>
      <c r="D3024" t="s">
        <v>403</v>
      </c>
      <c r="G3024" t="s">
        <v>384</v>
      </c>
      <c r="H3024" t="s">
        <v>8951</v>
      </c>
      <c r="I3024" s="4">
        <v>45443.875</v>
      </c>
      <c r="K3024" t="s">
        <v>678</v>
      </c>
      <c r="L3024" s="5" t="s">
        <v>8430</v>
      </c>
      <c r="M3024" s="5"/>
      <c r="N3024" t="s">
        <v>82</v>
      </c>
      <c r="O3024" t="s">
        <v>8952</v>
      </c>
      <c r="R3024">
        <v>1</v>
      </c>
      <c r="T3024" s="5"/>
      <c r="W3024">
        <v>270</v>
      </c>
      <c r="X3024" t="s">
        <v>8412</v>
      </c>
      <c r="Y3024" t="str">
        <f>VLOOKUP(C3024,'[1]DBS_KPY Sorumlular'!A:C,2,FALSE)</f>
        <v>Tayfun VİÇE</v>
      </c>
      <c r="Z3024" t="str">
        <f>VLOOKUP(C3024,'[1]DBS_KPY Sorumlular'!A:C,3,FALSE)</f>
        <v>Mehmet Ali YAVUZ</v>
      </c>
      <c r="AA3024" t="str">
        <f>VLOOKUP(K3024,[1]!Tablo3[#Data],2,FALSE)</f>
        <v>Kadir TOPÇU</v>
      </c>
    </row>
    <row r="3025" spans="1:27" x14ac:dyDescent="0.25">
      <c r="A3025">
        <v>4352</v>
      </c>
      <c r="B3025" t="s">
        <v>27</v>
      </c>
      <c r="C3025" t="s">
        <v>402</v>
      </c>
      <c r="D3025" t="s">
        <v>403</v>
      </c>
      <c r="G3025" t="s">
        <v>384</v>
      </c>
      <c r="H3025" t="s">
        <v>8953</v>
      </c>
      <c r="I3025" s="4">
        <v>45443.875</v>
      </c>
      <c r="K3025" t="s">
        <v>678</v>
      </c>
      <c r="L3025" s="5"/>
      <c r="M3025" s="5" t="s">
        <v>8423</v>
      </c>
      <c r="N3025" t="s">
        <v>82</v>
      </c>
      <c r="O3025" t="s">
        <v>8954</v>
      </c>
      <c r="R3025">
        <v>1</v>
      </c>
      <c r="T3025" s="5"/>
      <c r="W3025">
        <v>270</v>
      </c>
      <c r="X3025" t="s">
        <v>8412</v>
      </c>
      <c r="Y3025" t="str">
        <f>VLOOKUP(C3025,'[1]DBS_KPY Sorumlular'!A:C,2,FALSE)</f>
        <v>Tayfun VİÇE</v>
      </c>
      <c r="Z3025" t="str">
        <f>VLOOKUP(C3025,'[1]DBS_KPY Sorumlular'!A:C,3,FALSE)</f>
        <v>Mehmet Ali YAVUZ</v>
      </c>
      <c r="AA3025" t="str">
        <f>VLOOKUP(K3025,[1]!Tablo3[#Data],2,FALSE)</f>
        <v>Kadir TOPÇU</v>
      </c>
    </row>
    <row r="3026" spans="1:27" x14ac:dyDescent="0.25">
      <c r="A3026">
        <v>4353</v>
      </c>
      <c r="B3026" t="s">
        <v>27</v>
      </c>
      <c r="C3026" t="s">
        <v>402</v>
      </c>
      <c r="D3026" t="s">
        <v>403</v>
      </c>
      <c r="G3026" t="s">
        <v>384</v>
      </c>
      <c r="H3026" t="s">
        <v>8955</v>
      </c>
      <c r="I3026" s="4">
        <v>45443.875</v>
      </c>
      <c r="K3026" t="s">
        <v>678</v>
      </c>
      <c r="L3026" s="5" t="s">
        <v>8546</v>
      </c>
      <c r="M3026" s="5" t="s">
        <v>8423</v>
      </c>
      <c r="N3026" t="s">
        <v>82</v>
      </c>
      <c r="O3026" t="s">
        <v>8956</v>
      </c>
      <c r="R3026">
        <v>1</v>
      </c>
      <c r="T3026" s="5"/>
      <c r="W3026">
        <v>270</v>
      </c>
      <c r="X3026" t="s">
        <v>8412</v>
      </c>
      <c r="Y3026" t="str">
        <f>VLOOKUP(C3026,'[1]DBS_KPY Sorumlular'!A:C,2,FALSE)</f>
        <v>Tayfun VİÇE</v>
      </c>
      <c r="Z3026" t="str">
        <f>VLOOKUP(C3026,'[1]DBS_KPY Sorumlular'!A:C,3,FALSE)</f>
        <v>Mehmet Ali YAVUZ</v>
      </c>
      <c r="AA3026" t="str">
        <f>VLOOKUP(K3026,[1]!Tablo3[#Data],2,FALSE)</f>
        <v>Kadir TOPÇU</v>
      </c>
    </row>
    <row r="3027" spans="1:27" x14ac:dyDescent="0.25">
      <c r="A3027">
        <v>4354</v>
      </c>
      <c r="B3027" t="s">
        <v>27</v>
      </c>
      <c r="C3027" t="s">
        <v>402</v>
      </c>
      <c r="D3027" t="s">
        <v>403</v>
      </c>
      <c r="G3027" t="s">
        <v>384</v>
      </c>
      <c r="H3027" t="s">
        <v>8957</v>
      </c>
      <c r="I3027" s="4">
        <v>45443.875</v>
      </c>
      <c r="K3027" t="s">
        <v>678</v>
      </c>
      <c r="L3027" s="5"/>
      <c r="M3027" s="5" t="s">
        <v>8423</v>
      </c>
      <c r="N3027" t="s">
        <v>82</v>
      </c>
      <c r="O3027" t="s">
        <v>8958</v>
      </c>
      <c r="R3027">
        <v>1</v>
      </c>
      <c r="T3027" s="5"/>
      <c r="W3027">
        <v>270</v>
      </c>
      <c r="X3027" t="s">
        <v>8412</v>
      </c>
      <c r="Y3027" t="str">
        <f>VLOOKUP(C3027,'[1]DBS_KPY Sorumlular'!A:C,2,FALSE)</f>
        <v>Tayfun VİÇE</v>
      </c>
      <c r="Z3027" t="str">
        <f>VLOOKUP(C3027,'[1]DBS_KPY Sorumlular'!A:C,3,FALSE)</f>
        <v>Mehmet Ali YAVUZ</v>
      </c>
      <c r="AA3027" t="str">
        <f>VLOOKUP(K3027,[1]!Tablo3[#Data],2,FALSE)</f>
        <v>Kadir TOPÇU</v>
      </c>
    </row>
    <row r="3028" spans="1:27" x14ac:dyDescent="0.25">
      <c r="A3028">
        <v>4355</v>
      </c>
      <c r="B3028" t="s">
        <v>27</v>
      </c>
      <c r="C3028" t="s">
        <v>402</v>
      </c>
      <c r="D3028" t="s">
        <v>403</v>
      </c>
      <c r="G3028" t="s">
        <v>384</v>
      </c>
      <c r="H3028" t="s">
        <v>8959</v>
      </c>
      <c r="I3028" s="4">
        <v>45443.875</v>
      </c>
      <c r="K3028" t="s">
        <v>678</v>
      </c>
      <c r="L3028" s="5"/>
      <c r="M3028" s="5" t="s">
        <v>8423</v>
      </c>
      <c r="N3028" t="s">
        <v>82</v>
      </c>
      <c r="O3028" t="s">
        <v>8960</v>
      </c>
      <c r="R3028">
        <v>1</v>
      </c>
      <c r="T3028" s="5"/>
      <c r="W3028">
        <v>270</v>
      </c>
      <c r="X3028" t="s">
        <v>8412</v>
      </c>
      <c r="Y3028" t="str">
        <f>VLOOKUP(C3028,'[1]DBS_KPY Sorumlular'!A:C,2,FALSE)</f>
        <v>Tayfun VİÇE</v>
      </c>
      <c r="Z3028" t="str">
        <f>VLOOKUP(C3028,'[1]DBS_KPY Sorumlular'!A:C,3,FALSE)</f>
        <v>Mehmet Ali YAVUZ</v>
      </c>
      <c r="AA3028" t="str">
        <f>VLOOKUP(K3028,[1]!Tablo3[#Data],2,FALSE)</f>
        <v>Kadir TOPÇU</v>
      </c>
    </row>
    <row r="3029" spans="1:27" x14ac:dyDescent="0.25">
      <c r="A3029">
        <v>4356</v>
      </c>
      <c r="B3029" t="s">
        <v>27</v>
      </c>
      <c r="C3029" t="s">
        <v>402</v>
      </c>
      <c r="D3029" t="s">
        <v>403</v>
      </c>
      <c r="G3029" t="s">
        <v>384</v>
      </c>
      <c r="H3029" t="s">
        <v>8961</v>
      </c>
      <c r="I3029" s="4">
        <v>45443.875</v>
      </c>
      <c r="K3029" t="s">
        <v>226</v>
      </c>
      <c r="L3029" s="5"/>
      <c r="M3029" s="5" t="s">
        <v>8423</v>
      </c>
      <c r="N3029" t="s">
        <v>82</v>
      </c>
      <c r="O3029" t="s">
        <v>8962</v>
      </c>
      <c r="R3029">
        <v>1</v>
      </c>
      <c r="T3029" s="5"/>
      <c r="W3029">
        <v>270</v>
      </c>
      <c r="X3029" t="s">
        <v>8412</v>
      </c>
      <c r="Y3029" t="str">
        <f>VLOOKUP(C3029,'[1]DBS_KPY Sorumlular'!A:C,2,FALSE)</f>
        <v>Tayfun VİÇE</v>
      </c>
      <c r="Z3029" t="str">
        <f>VLOOKUP(C3029,'[1]DBS_KPY Sorumlular'!A:C,3,FALSE)</f>
        <v>Mehmet Ali YAVUZ</v>
      </c>
      <c r="AA3029" t="str">
        <f>VLOOKUP(K3029,[1]!Tablo3[#Data],2,FALSE)</f>
        <v>Kadir TOPÇU</v>
      </c>
    </row>
    <row r="3030" spans="1:27" x14ac:dyDescent="0.25">
      <c r="A3030">
        <v>4357</v>
      </c>
      <c r="B3030" t="s">
        <v>27</v>
      </c>
      <c r="C3030" t="s">
        <v>402</v>
      </c>
      <c r="D3030" t="s">
        <v>403</v>
      </c>
      <c r="G3030" t="s">
        <v>384</v>
      </c>
      <c r="H3030" t="s">
        <v>8963</v>
      </c>
      <c r="I3030" s="4">
        <v>45443.875</v>
      </c>
      <c r="K3030" t="s">
        <v>678</v>
      </c>
      <c r="L3030" s="5"/>
      <c r="M3030" s="5" t="s">
        <v>8423</v>
      </c>
      <c r="N3030" t="s">
        <v>82</v>
      </c>
      <c r="O3030" t="s">
        <v>8964</v>
      </c>
      <c r="R3030">
        <v>1</v>
      </c>
      <c r="T3030" s="5"/>
      <c r="W3030">
        <v>270</v>
      </c>
      <c r="X3030" t="s">
        <v>8412</v>
      </c>
      <c r="Y3030" t="str">
        <f>VLOOKUP(C3030,'[1]DBS_KPY Sorumlular'!A:C,2,FALSE)</f>
        <v>Tayfun VİÇE</v>
      </c>
      <c r="Z3030" t="str">
        <f>VLOOKUP(C3030,'[1]DBS_KPY Sorumlular'!A:C,3,FALSE)</f>
        <v>Mehmet Ali YAVUZ</v>
      </c>
      <c r="AA3030" t="str">
        <f>VLOOKUP(K3030,[1]!Tablo3[#Data],2,FALSE)</f>
        <v>Kadir TOPÇU</v>
      </c>
    </row>
    <row r="3031" spans="1:27" x14ac:dyDescent="0.25">
      <c r="A3031">
        <v>4358</v>
      </c>
      <c r="B3031" t="s">
        <v>27</v>
      </c>
      <c r="C3031" t="s">
        <v>402</v>
      </c>
      <c r="D3031" t="s">
        <v>403</v>
      </c>
      <c r="G3031" t="s">
        <v>384</v>
      </c>
      <c r="H3031" t="s">
        <v>8965</v>
      </c>
      <c r="I3031" s="4">
        <v>45443.875</v>
      </c>
      <c r="K3031" t="s">
        <v>226</v>
      </c>
      <c r="L3031" s="5"/>
      <c r="M3031" s="5" t="s">
        <v>8423</v>
      </c>
      <c r="N3031" t="s">
        <v>82</v>
      </c>
      <c r="O3031" t="s">
        <v>8966</v>
      </c>
      <c r="R3031">
        <v>1</v>
      </c>
      <c r="T3031" s="5"/>
      <c r="W3031">
        <v>270</v>
      </c>
      <c r="X3031" t="s">
        <v>8412</v>
      </c>
      <c r="Y3031" t="str">
        <f>VLOOKUP(C3031,'[1]DBS_KPY Sorumlular'!A:C,2,FALSE)</f>
        <v>Tayfun VİÇE</v>
      </c>
      <c r="Z3031" t="str">
        <f>VLOOKUP(C3031,'[1]DBS_KPY Sorumlular'!A:C,3,FALSE)</f>
        <v>Mehmet Ali YAVUZ</v>
      </c>
      <c r="AA3031" t="str">
        <f>VLOOKUP(K3031,[1]!Tablo3[#Data],2,FALSE)</f>
        <v>Kadir TOPÇU</v>
      </c>
    </row>
    <row r="3032" spans="1:27" x14ac:dyDescent="0.25">
      <c r="A3032">
        <v>4359</v>
      </c>
      <c r="B3032" t="s">
        <v>27</v>
      </c>
      <c r="C3032" t="s">
        <v>402</v>
      </c>
      <c r="D3032" t="s">
        <v>403</v>
      </c>
      <c r="G3032" t="s">
        <v>384</v>
      </c>
      <c r="H3032" t="s">
        <v>8967</v>
      </c>
      <c r="I3032" s="4">
        <v>45443.875</v>
      </c>
      <c r="K3032" t="s">
        <v>743</v>
      </c>
      <c r="L3032" s="5"/>
      <c r="M3032" s="5" t="s">
        <v>8423</v>
      </c>
      <c r="N3032" t="s">
        <v>82</v>
      </c>
      <c r="O3032" t="s">
        <v>8968</v>
      </c>
      <c r="R3032">
        <v>1</v>
      </c>
      <c r="T3032" s="5"/>
      <c r="W3032">
        <v>270</v>
      </c>
      <c r="X3032" t="s">
        <v>8412</v>
      </c>
      <c r="Y3032" t="str">
        <f>VLOOKUP(C3032,'[1]DBS_KPY Sorumlular'!A:C,2,FALSE)</f>
        <v>Tayfun VİÇE</v>
      </c>
      <c r="Z3032" t="str">
        <f>VLOOKUP(C3032,'[1]DBS_KPY Sorumlular'!A:C,3,FALSE)</f>
        <v>Mehmet Ali YAVUZ</v>
      </c>
      <c r="AA3032" t="str">
        <f>VLOOKUP(K3032,[1]!Tablo3[#Data],2,FALSE)</f>
        <v>Kadir TOPÇU</v>
      </c>
    </row>
    <row r="3033" spans="1:27" x14ac:dyDescent="0.25">
      <c r="A3033">
        <v>4360</v>
      </c>
      <c r="B3033" t="s">
        <v>27</v>
      </c>
      <c r="C3033" t="s">
        <v>402</v>
      </c>
      <c r="D3033" t="s">
        <v>403</v>
      </c>
      <c r="G3033" t="s">
        <v>384</v>
      </c>
      <c r="H3033" t="s">
        <v>8969</v>
      </c>
      <c r="I3033" s="4">
        <v>45443.875</v>
      </c>
      <c r="K3033" t="s">
        <v>226</v>
      </c>
      <c r="L3033" s="5"/>
      <c r="M3033" s="5" t="s">
        <v>8423</v>
      </c>
      <c r="N3033" t="s">
        <v>82</v>
      </c>
      <c r="O3033" t="s">
        <v>8970</v>
      </c>
      <c r="R3033">
        <v>1</v>
      </c>
      <c r="T3033" s="5"/>
      <c r="W3033">
        <v>270</v>
      </c>
      <c r="X3033" t="s">
        <v>8412</v>
      </c>
      <c r="Y3033" t="str">
        <f>VLOOKUP(C3033,'[1]DBS_KPY Sorumlular'!A:C,2,FALSE)</f>
        <v>Tayfun VİÇE</v>
      </c>
      <c r="Z3033" t="str">
        <f>VLOOKUP(C3033,'[1]DBS_KPY Sorumlular'!A:C,3,FALSE)</f>
        <v>Mehmet Ali YAVUZ</v>
      </c>
      <c r="AA3033" t="str">
        <f>VLOOKUP(K3033,[1]!Tablo3[#Data],2,FALSE)</f>
        <v>Kadir TOPÇU</v>
      </c>
    </row>
    <row r="3034" spans="1:27" x14ac:dyDescent="0.25">
      <c r="A3034">
        <v>4361</v>
      </c>
      <c r="B3034" t="s">
        <v>27</v>
      </c>
      <c r="C3034" t="s">
        <v>402</v>
      </c>
      <c r="D3034" t="s">
        <v>403</v>
      </c>
      <c r="G3034" t="s">
        <v>384</v>
      </c>
      <c r="H3034" t="s">
        <v>8971</v>
      </c>
      <c r="I3034" s="4">
        <v>45443.875</v>
      </c>
      <c r="K3034" t="s">
        <v>678</v>
      </c>
      <c r="L3034" s="5"/>
      <c r="M3034" s="5" t="s">
        <v>8423</v>
      </c>
      <c r="N3034" t="s">
        <v>82</v>
      </c>
      <c r="O3034" t="s">
        <v>8972</v>
      </c>
      <c r="R3034">
        <v>1</v>
      </c>
      <c r="T3034" s="5"/>
      <c r="W3034">
        <v>270</v>
      </c>
      <c r="X3034" t="s">
        <v>8412</v>
      </c>
      <c r="Y3034" t="str">
        <f>VLOOKUP(C3034,'[1]DBS_KPY Sorumlular'!A:C,2,FALSE)</f>
        <v>Tayfun VİÇE</v>
      </c>
      <c r="Z3034" t="str">
        <f>VLOOKUP(C3034,'[1]DBS_KPY Sorumlular'!A:C,3,FALSE)</f>
        <v>Mehmet Ali YAVUZ</v>
      </c>
      <c r="AA3034" t="str">
        <f>VLOOKUP(K3034,[1]!Tablo3[#Data],2,FALSE)</f>
        <v>Kadir TOPÇU</v>
      </c>
    </row>
    <row r="3035" spans="1:27" x14ac:dyDescent="0.25">
      <c r="A3035">
        <v>4362</v>
      </c>
      <c r="B3035" t="s">
        <v>27</v>
      </c>
      <c r="C3035" t="s">
        <v>402</v>
      </c>
      <c r="D3035" t="s">
        <v>403</v>
      </c>
      <c r="G3035" t="s">
        <v>384</v>
      </c>
      <c r="H3035" t="s">
        <v>8973</v>
      </c>
      <c r="I3035" s="4">
        <v>45443.875</v>
      </c>
      <c r="K3035" t="s">
        <v>678</v>
      </c>
      <c r="L3035" s="5"/>
      <c r="M3035" s="5" t="s">
        <v>8423</v>
      </c>
      <c r="N3035" t="s">
        <v>82</v>
      </c>
      <c r="O3035" t="s">
        <v>8974</v>
      </c>
      <c r="R3035">
        <v>1</v>
      </c>
      <c r="T3035" s="5"/>
      <c r="W3035">
        <v>270</v>
      </c>
      <c r="X3035" t="s">
        <v>8412</v>
      </c>
      <c r="Y3035" t="str">
        <f>VLOOKUP(C3035,'[1]DBS_KPY Sorumlular'!A:C,2,FALSE)</f>
        <v>Tayfun VİÇE</v>
      </c>
      <c r="Z3035" t="str">
        <f>VLOOKUP(C3035,'[1]DBS_KPY Sorumlular'!A:C,3,FALSE)</f>
        <v>Mehmet Ali YAVUZ</v>
      </c>
      <c r="AA3035" t="str">
        <f>VLOOKUP(K3035,[1]!Tablo3[#Data],2,FALSE)</f>
        <v>Kadir TOPÇU</v>
      </c>
    </row>
    <row r="3036" spans="1:27" x14ac:dyDescent="0.25">
      <c r="A3036">
        <v>4363</v>
      </c>
      <c r="B3036" t="s">
        <v>27</v>
      </c>
      <c r="C3036" t="s">
        <v>402</v>
      </c>
      <c r="D3036" t="s">
        <v>403</v>
      </c>
      <c r="G3036" t="s">
        <v>384</v>
      </c>
      <c r="H3036" t="s">
        <v>8975</v>
      </c>
      <c r="I3036" s="4">
        <v>45443.875</v>
      </c>
      <c r="K3036" t="s">
        <v>678</v>
      </c>
      <c r="L3036" s="5"/>
      <c r="M3036" s="5" t="s">
        <v>8423</v>
      </c>
      <c r="N3036" t="s">
        <v>82</v>
      </c>
      <c r="O3036" t="s">
        <v>8976</v>
      </c>
      <c r="R3036">
        <v>1</v>
      </c>
      <c r="T3036" s="5"/>
      <c r="W3036">
        <v>270</v>
      </c>
      <c r="X3036" t="s">
        <v>8412</v>
      </c>
      <c r="Y3036" t="str">
        <f>VLOOKUP(C3036,'[1]DBS_KPY Sorumlular'!A:C,2,FALSE)</f>
        <v>Tayfun VİÇE</v>
      </c>
      <c r="Z3036" t="str">
        <f>VLOOKUP(C3036,'[1]DBS_KPY Sorumlular'!A:C,3,FALSE)</f>
        <v>Mehmet Ali YAVUZ</v>
      </c>
      <c r="AA3036" t="str">
        <f>VLOOKUP(K3036,[1]!Tablo3[#Data],2,FALSE)</f>
        <v>Kadir TOPÇU</v>
      </c>
    </row>
    <row r="3037" spans="1:27" x14ac:dyDescent="0.25">
      <c r="A3037">
        <v>4364</v>
      </c>
      <c r="B3037" t="s">
        <v>27</v>
      </c>
      <c r="C3037" t="s">
        <v>402</v>
      </c>
      <c r="D3037" t="s">
        <v>403</v>
      </c>
      <c r="G3037" t="s">
        <v>384</v>
      </c>
      <c r="H3037" t="s">
        <v>8977</v>
      </c>
      <c r="I3037" s="4">
        <v>45443.875</v>
      </c>
      <c r="K3037" t="s">
        <v>678</v>
      </c>
      <c r="L3037" s="5"/>
      <c r="M3037" s="5" t="s">
        <v>8423</v>
      </c>
      <c r="N3037" t="s">
        <v>82</v>
      </c>
      <c r="O3037" t="s">
        <v>8978</v>
      </c>
      <c r="R3037">
        <v>1</v>
      </c>
      <c r="T3037" s="5"/>
      <c r="W3037">
        <v>270</v>
      </c>
      <c r="X3037" t="s">
        <v>8412</v>
      </c>
      <c r="Y3037" t="str">
        <f>VLOOKUP(C3037,'[1]DBS_KPY Sorumlular'!A:C,2,FALSE)</f>
        <v>Tayfun VİÇE</v>
      </c>
      <c r="Z3037" t="str">
        <f>VLOOKUP(C3037,'[1]DBS_KPY Sorumlular'!A:C,3,FALSE)</f>
        <v>Mehmet Ali YAVUZ</v>
      </c>
      <c r="AA3037" t="str">
        <f>VLOOKUP(K3037,[1]!Tablo3[#Data],2,FALSE)</f>
        <v>Kadir TOPÇU</v>
      </c>
    </row>
    <row r="3038" spans="1:27" x14ac:dyDescent="0.25">
      <c r="A3038">
        <v>4365</v>
      </c>
      <c r="B3038" t="s">
        <v>27</v>
      </c>
      <c r="C3038" t="s">
        <v>402</v>
      </c>
      <c r="D3038" t="s">
        <v>403</v>
      </c>
      <c r="G3038" t="s">
        <v>384</v>
      </c>
      <c r="H3038" t="s">
        <v>8979</v>
      </c>
      <c r="I3038" s="4">
        <v>45443.875</v>
      </c>
      <c r="K3038" t="s">
        <v>226</v>
      </c>
      <c r="L3038" s="5"/>
      <c r="M3038" s="5" t="s">
        <v>8423</v>
      </c>
      <c r="N3038" t="s">
        <v>82</v>
      </c>
      <c r="O3038" t="s">
        <v>8980</v>
      </c>
      <c r="R3038">
        <v>1</v>
      </c>
      <c r="T3038" s="5"/>
      <c r="W3038">
        <v>270</v>
      </c>
      <c r="X3038" t="s">
        <v>8412</v>
      </c>
      <c r="Y3038" t="str">
        <f>VLOOKUP(C3038,'[1]DBS_KPY Sorumlular'!A:C,2,FALSE)</f>
        <v>Tayfun VİÇE</v>
      </c>
      <c r="Z3038" t="str">
        <f>VLOOKUP(C3038,'[1]DBS_KPY Sorumlular'!A:C,3,FALSE)</f>
        <v>Mehmet Ali YAVUZ</v>
      </c>
      <c r="AA3038" t="str">
        <f>VLOOKUP(K3038,[1]!Tablo3[#Data],2,FALSE)</f>
        <v>Kadir TOPÇU</v>
      </c>
    </row>
    <row r="3039" spans="1:27" x14ac:dyDescent="0.25">
      <c r="A3039">
        <v>4366</v>
      </c>
      <c r="B3039" t="s">
        <v>27</v>
      </c>
      <c r="C3039" t="s">
        <v>402</v>
      </c>
      <c r="D3039" t="s">
        <v>403</v>
      </c>
      <c r="G3039" t="s">
        <v>384</v>
      </c>
      <c r="H3039" t="s">
        <v>8981</v>
      </c>
      <c r="I3039" s="4">
        <v>45443.875</v>
      </c>
      <c r="K3039" t="s">
        <v>226</v>
      </c>
      <c r="L3039" s="5"/>
      <c r="M3039" s="5" t="s">
        <v>8423</v>
      </c>
      <c r="N3039" t="s">
        <v>82</v>
      </c>
      <c r="O3039" t="s">
        <v>8982</v>
      </c>
      <c r="R3039">
        <v>1</v>
      </c>
      <c r="T3039" s="5"/>
      <c r="W3039">
        <v>270</v>
      </c>
      <c r="X3039" t="s">
        <v>8412</v>
      </c>
      <c r="Y3039" t="str">
        <f>VLOOKUP(C3039,'[1]DBS_KPY Sorumlular'!A:C,2,FALSE)</f>
        <v>Tayfun VİÇE</v>
      </c>
      <c r="Z3039" t="str">
        <f>VLOOKUP(C3039,'[1]DBS_KPY Sorumlular'!A:C,3,FALSE)</f>
        <v>Mehmet Ali YAVUZ</v>
      </c>
      <c r="AA3039" t="str">
        <f>VLOOKUP(K3039,[1]!Tablo3[#Data],2,FALSE)</f>
        <v>Kadir TOPÇU</v>
      </c>
    </row>
    <row r="3040" spans="1:27" x14ac:dyDescent="0.25">
      <c r="A3040">
        <v>4367</v>
      </c>
      <c r="B3040" t="s">
        <v>27</v>
      </c>
      <c r="C3040" t="s">
        <v>402</v>
      </c>
      <c r="D3040" t="s">
        <v>403</v>
      </c>
      <c r="G3040" t="s">
        <v>384</v>
      </c>
      <c r="H3040" t="s">
        <v>8983</v>
      </c>
      <c r="I3040" s="4">
        <v>45443.875</v>
      </c>
      <c r="K3040" t="s">
        <v>678</v>
      </c>
      <c r="L3040" s="5"/>
      <c r="M3040" s="5" t="s">
        <v>8423</v>
      </c>
      <c r="N3040" t="s">
        <v>82</v>
      </c>
      <c r="O3040" t="s">
        <v>8984</v>
      </c>
      <c r="R3040">
        <v>1</v>
      </c>
      <c r="T3040" s="5"/>
      <c r="W3040">
        <v>270</v>
      </c>
      <c r="X3040" t="s">
        <v>8412</v>
      </c>
      <c r="Y3040" t="str">
        <f>VLOOKUP(C3040,'[1]DBS_KPY Sorumlular'!A:C,2,FALSE)</f>
        <v>Tayfun VİÇE</v>
      </c>
      <c r="Z3040" t="str">
        <f>VLOOKUP(C3040,'[1]DBS_KPY Sorumlular'!A:C,3,FALSE)</f>
        <v>Mehmet Ali YAVUZ</v>
      </c>
      <c r="AA3040" t="str">
        <f>VLOOKUP(K3040,[1]!Tablo3[#Data],2,FALSE)</f>
        <v>Kadir TOPÇU</v>
      </c>
    </row>
    <row r="3041" spans="1:27" x14ac:dyDescent="0.25">
      <c r="A3041">
        <v>4368</v>
      </c>
      <c r="B3041" t="s">
        <v>27</v>
      </c>
      <c r="C3041" t="s">
        <v>402</v>
      </c>
      <c r="D3041" t="s">
        <v>403</v>
      </c>
      <c r="G3041" t="s">
        <v>384</v>
      </c>
      <c r="H3041" t="s">
        <v>8985</v>
      </c>
      <c r="I3041" s="4">
        <v>45443.875</v>
      </c>
      <c r="K3041" t="s">
        <v>678</v>
      </c>
      <c r="L3041" s="5"/>
      <c r="M3041" s="5" t="s">
        <v>8423</v>
      </c>
      <c r="N3041" t="s">
        <v>82</v>
      </c>
      <c r="O3041" t="s">
        <v>8986</v>
      </c>
      <c r="R3041">
        <v>1</v>
      </c>
      <c r="T3041" s="5"/>
      <c r="W3041">
        <v>270</v>
      </c>
      <c r="X3041" t="s">
        <v>8412</v>
      </c>
      <c r="Y3041" t="str">
        <f>VLOOKUP(C3041,'[1]DBS_KPY Sorumlular'!A:C,2,FALSE)</f>
        <v>Tayfun VİÇE</v>
      </c>
      <c r="Z3041" t="str">
        <f>VLOOKUP(C3041,'[1]DBS_KPY Sorumlular'!A:C,3,FALSE)</f>
        <v>Mehmet Ali YAVUZ</v>
      </c>
      <c r="AA3041" t="str">
        <f>VLOOKUP(K3041,[1]!Tablo3[#Data],2,FALSE)</f>
        <v>Kadir TOPÇU</v>
      </c>
    </row>
    <row r="3042" spans="1:27" x14ac:dyDescent="0.25">
      <c r="A3042">
        <v>4369</v>
      </c>
      <c r="B3042" t="s">
        <v>27</v>
      </c>
      <c r="C3042" t="s">
        <v>402</v>
      </c>
      <c r="D3042" t="s">
        <v>403</v>
      </c>
      <c r="G3042" t="s">
        <v>384</v>
      </c>
      <c r="H3042" t="s">
        <v>8987</v>
      </c>
      <c r="I3042" s="4">
        <v>45443.875</v>
      </c>
      <c r="K3042" t="s">
        <v>678</v>
      </c>
      <c r="L3042" s="5"/>
      <c r="M3042" s="5" t="s">
        <v>8423</v>
      </c>
      <c r="N3042" t="s">
        <v>82</v>
      </c>
      <c r="O3042" t="s">
        <v>8988</v>
      </c>
      <c r="R3042">
        <v>1</v>
      </c>
      <c r="T3042" s="5"/>
      <c r="W3042">
        <v>270</v>
      </c>
      <c r="X3042" t="s">
        <v>8412</v>
      </c>
      <c r="Y3042" t="str">
        <f>VLOOKUP(C3042,'[1]DBS_KPY Sorumlular'!A:C,2,FALSE)</f>
        <v>Tayfun VİÇE</v>
      </c>
      <c r="Z3042" t="str">
        <f>VLOOKUP(C3042,'[1]DBS_KPY Sorumlular'!A:C,3,FALSE)</f>
        <v>Mehmet Ali YAVUZ</v>
      </c>
      <c r="AA3042" t="str">
        <f>VLOOKUP(K3042,[1]!Tablo3[#Data],2,FALSE)</f>
        <v>Kadir TOPÇU</v>
      </c>
    </row>
    <row r="3043" spans="1:27" x14ac:dyDescent="0.25">
      <c r="A3043">
        <v>4370</v>
      </c>
      <c r="B3043" t="s">
        <v>27</v>
      </c>
      <c r="C3043" t="s">
        <v>402</v>
      </c>
      <c r="D3043" t="s">
        <v>403</v>
      </c>
      <c r="G3043" t="s">
        <v>384</v>
      </c>
      <c r="H3043" t="s">
        <v>8989</v>
      </c>
      <c r="I3043" s="4">
        <v>45443.875</v>
      </c>
      <c r="K3043" t="s">
        <v>678</v>
      </c>
      <c r="L3043" s="5"/>
      <c r="M3043" s="5" t="s">
        <v>8423</v>
      </c>
      <c r="N3043" t="s">
        <v>82</v>
      </c>
      <c r="O3043" t="s">
        <v>8990</v>
      </c>
      <c r="R3043">
        <v>1</v>
      </c>
      <c r="T3043" s="5"/>
      <c r="W3043">
        <v>270</v>
      </c>
      <c r="X3043" t="s">
        <v>8412</v>
      </c>
      <c r="Y3043" t="str">
        <f>VLOOKUP(C3043,'[1]DBS_KPY Sorumlular'!A:C,2,FALSE)</f>
        <v>Tayfun VİÇE</v>
      </c>
      <c r="Z3043" t="str">
        <f>VLOOKUP(C3043,'[1]DBS_KPY Sorumlular'!A:C,3,FALSE)</f>
        <v>Mehmet Ali YAVUZ</v>
      </c>
      <c r="AA3043" t="str">
        <f>VLOOKUP(K3043,[1]!Tablo3[#Data],2,FALSE)</f>
        <v>Kadir TOPÇU</v>
      </c>
    </row>
    <row r="3044" spans="1:27" x14ac:dyDescent="0.25">
      <c r="A3044">
        <v>4371</v>
      </c>
      <c r="B3044" t="s">
        <v>27</v>
      </c>
      <c r="C3044" t="s">
        <v>402</v>
      </c>
      <c r="D3044" t="s">
        <v>403</v>
      </c>
      <c r="G3044" t="s">
        <v>384</v>
      </c>
      <c r="H3044" t="s">
        <v>8991</v>
      </c>
      <c r="I3044" s="4">
        <v>45443.875</v>
      </c>
      <c r="K3044" t="s">
        <v>678</v>
      </c>
      <c r="L3044" s="5"/>
      <c r="M3044" s="5" t="s">
        <v>8423</v>
      </c>
      <c r="N3044" t="s">
        <v>82</v>
      </c>
      <c r="O3044" t="s">
        <v>8992</v>
      </c>
      <c r="R3044">
        <v>1</v>
      </c>
      <c r="T3044" s="5"/>
      <c r="W3044">
        <v>270</v>
      </c>
      <c r="X3044" t="s">
        <v>8412</v>
      </c>
      <c r="Y3044" t="str">
        <f>VLOOKUP(C3044,'[1]DBS_KPY Sorumlular'!A:C,2,FALSE)</f>
        <v>Tayfun VİÇE</v>
      </c>
      <c r="Z3044" t="str">
        <f>VLOOKUP(C3044,'[1]DBS_KPY Sorumlular'!A:C,3,FALSE)</f>
        <v>Mehmet Ali YAVUZ</v>
      </c>
      <c r="AA3044" t="str">
        <f>VLOOKUP(K3044,[1]!Tablo3[#Data],2,FALSE)</f>
        <v>Kadir TOPÇU</v>
      </c>
    </row>
    <row r="3045" spans="1:27" x14ac:dyDescent="0.25">
      <c r="A3045">
        <v>4372</v>
      </c>
      <c r="B3045" t="s">
        <v>27</v>
      </c>
      <c r="C3045" t="s">
        <v>402</v>
      </c>
      <c r="D3045" t="s">
        <v>403</v>
      </c>
      <c r="G3045" t="s">
        <v>384</v>
      </c>
      <c r="H3045" t="s">
        <v>8993</v>
      </c>
      <c r="I3045" s="4">
        <v>45443.875</v>
      </c>
      <c r="K3045" t="s">
        <v>678</v>
      </c>
      <c r="L3045" s="5"/>
      <c r="M3045" s="5"/>
      <c r="N3045" t="s">
        <v>82</v>
      </c>
      <c r="O3045" t="s">
        <v>8994</v>
      </c>
      <c r="R3045">
        <v>1</v>
      </c>
      <c r="T3045" s="5"/>
      <c r="W3045">
        <v>64</v>
      </c>
      <c r="X3045" t="s">
        <v>5394</v>
      </c>
      <c r="Y3045" t="str">
        <f>VLOOKUP(C3045,'[1]DBS_KPY Sorumlular'!A:C,2,FALSE)</f>
        <v>Tayfun VİÇE</v>
      </c>
      <c r="Z3045" t="str">
        <f>VLOOKUP(C3045,'[1]DBS_KPY Sorumlular'!A:C,3,FALSE)</f>
        <v>Mehmet Ali YAVUZ</v>
      </c>
      <c r="AA3045" t="str">
        <f>VLOOKUP(K3045,[1]!Tablo3[#Data],2,FALSE)</f>
        <v>Kadir TOPÇU</v>
      </c>
    </row>
    <row r="3046" spans="1:27" x14ac:dyDescent="0.25">
      <c r="A3046">
        <v>4373</v>
      </c>
      <c r="B3046" t="s">
        <v>27</v>
      </c>
      <c r="C3046" t="s">
        <v>402</v>
      </c>
      <c r="D3046" t="s">
        <v>403</v>
      </c>
      <c r="G3046" t="s">
        <v>384</v>
      </c>
      <c r="H3046" t="s">
        <v>8995</v>
      </c>
      <c r="I3046" s="4">
        <v>45443.875</v>
      </c>
      <c r="K3046" t="s">
        <v>226</v>
      </c>
      <c r="L3046" s="5"/>
      <c r="M3046" s="5" t="s">
        <v>8423</v>
      </c>
      <c r="N3046" t="s">
        <v>82</v>
      </c>
      <c r="O3046" t="s">
        <v>8996</v>
      </c>
      <c r="R3046">
        <v>1</v>
      </c>
      <c r="T3046" s="5"/>
      <c r="W3046">
        <v>270</v>
      </c>
      <c r="X3046" t="s">
        <v>8412</v>
      </c>
      <c r="Y3046" t="str">
        <f>VLOOKUP(C3046,'[1]DBS_KPY Sorumlular'!A:C,2,FALSE)</f>
        <v>Tayfun VİÇE</v>
      </c>
      <c r="Z3046" t="str">
        <f>VLOOKUP(C3046,'[1]DBS_KPY Sorumlular'!A:C,3,FALSE)</f>
        <v>Mehmet Ali YAVUZ</v>
      </c>
      <c r="AA3046" t="str">
        <f>VLOOKUP(K3046,[1]!Tablo3[#Data],2,FALSE)</f>
        <v>Kadir TOPÇU</v>
      </c>
    </row>
    <row r="3047" spans="1:27" x14ac:dyDescent="0.25">
      <c r="A3047">
        <v>4374</v>
      </c>
      <c r="B3047" t="s">
        <v>27</v>
      </c>
      <c r="C3047" t="s">
        <v>402</v>
      </c>
      <c r="D3047" t="s">
        <v>403</v>
      </c>
      <c r="G3047" t="s">
        <v>384</v>
      </c>
      <c r="H3047" t="s">
        <v>8997</v>
      </c>
      <c r="I3047" s="4">
        <v>45443.875</v>
      </c>
      <c r="K3047" t="s">
        <v>743</v>
      </c>
      <c r="L3047" s="5"/>
      <c r="M3047" s="5" t="s">
        <v>8423</v>
      </c>
      <c r="N3047" t="s">
        <v>82</v>
      </c>
      <c r="O3047" t="s">
        <v>8998</v>
      </c>
      <c r="R3047">
        <v>1</v>
      </c>
      <c r="T3047" s="5"/>
      <c r="W3047">
        <v>270</v>
      </c>
      <c r="X3047" t="s">
        <v>8412</v>
      </c>
      <c r="Y3047" t="str">
        <f>VLOOKUP(C3047,'[1]DBS_KPY Sorumlular'!A:C,2,FALSE)</f>
        <v>Tayfun VİÇE</v>
      </c>
      <c r="Z3047" t="str">
        <f>VLOOKUP(C3047,'[1]DBS_KPY Sorumlular'!A:C,3,FALSE)</f>
        <v>Mehmet Ali YAVUZ</v>
      </c>
      <c r="AA3047" t="str">
        <f>VLOOKUP(K3047,[1]!Tablo3[#Data],2,FALSE)</f>
        <v>Kadir TOPÇU</v>
      </c>
    </row>
    <row r="3048" spans="1:27" x14ac:dyDescent="0.25">
      <c r="A3048">
        <v>4375</v>
      </c>
      <c r="B3048" t="s">
        <v>27</v>
      </c>
      <c r="C3048" t="s">
        <v>402</v>
      </c>
      <c r="D3048" t="s">
        <v>403</v>
      </c>
      <c r="G3048" t="s">
        <v>384</v>
      </c>
      <c r="H3048" t="s">
        <v>8999</v>
      </c>
      <c r="I3048" s="4">
        <v>45443.875</v>
      </c>
      <c r="K3048" t="s">
        <v>678</v>
      </c>
      <c r="L3048" s="5"/>
      <c r="M3048" s="5" t="s">
        <v>8423</v>
      </c>
      <c r="N3048" t="s">
        <v>82</v>
      </c>
      <c r="O3048" t="s">
        <v>9000</v>
      </c>
      <c r="R3048">
        <v>1</v>
      </c>
      <c r="T3048" s="5"/>
      <c r="W3048">
        <v>270</v>
      </c>
      <c r="X3048" t="s">
        <v>8412</v>
      </c>
      <c r="Y3048" t="str">
        <f>VLOOKUP(C3048,'[1]DBS_KPY Sorumlular'!A:C,2,FALSE)</f>
        <v>Tayfun VİÇE</v>
      </c>
      <c r="Z3048" t="str">
        <f>VLOOKUP(C3048,'[1]DBS_KPY Sorumlular'!A:C,3,FALSE)</f>
        <v>Mehmet Ali YAVUZ</v>
      </c>
      <c r="AA3048" t="str">
        <f>VLOOKUP(K3048,[1]!Tablo3[#Data],2,FALSE)</f>
        <v>Kadir TOPÇU</v>
      </c>
    </row>
    <row r="3049" spans="1:27" x14ac:dyDescent="0.25">
      <c r="A3049">
        <v>4376</v>
      </c>
      <c r="B3049" t="s">
        <v>27</v>
      </c>
      <c r="C3049" t="s">
        <v>402</v>
      </c>
      <c r="D3049" t="s">
        <v>403</v>
      </c>
      <c r="G3049" t="s">
        <v>384</v>
      </c>
      <c r="H3049" t="s">
        <v>9001</v>
      </c>
      <c r="I3049" s="4">
        <v>45443.875</v>
      </c>
      <c r="K3049" t="s">
        <v>226</v>
      </c>
      <c r="L3049" s="5"/>
      <c r="M3049" s="5" t="s">
        <v>8423</v>
      </c>
      <c r="N3049" t="s">
        <v>82</v>
      </c>
      <c r="O3049" t="s">
        <v>9002</v>
      </c>
      <c r="R3049">
        <v>1</v>
      </c>
      <c r="T3049" s="5"/>
      <c r="W3049">
        <v>270</v>
      </c>
      <c r="X3049" t="s">
        <v>8412</v>
      </c>
      <c r="Y3049" t="str">
        <f>VLOOKUP(C3049,'[1]DBS_KPY Sorumlular'!A:C,2,FALSE)</f>
        <v>Tayfun VİÇE</v>
      </c>
      <c r="Z3049" t="str">
        <f>VLOOKUP(C3049,'[1]DBS_KPY Sorumlular'!A:C,3,FALSE)</f>
        <v>Mehmet Ali YAVUZ</v>
      </c>
      <c r="AA3049" t="str">
        <f>VLOOKUP(K3049,[1]!Tablo3[#Data],2,FALSE)</f>
        <v>Kadir TOPÇU</v>
      </c>
    </row>
    <row r="3050" spans="1:27" x14ac:dyDescent="0.25">
      <c r="A3050">
        <v>4377</v>
      </c>
      <c r="B3050" t="s">
        <v>27</v>
      </c>
      <c r="C3050" t="s">
        <v>402</v>
      </c>
      <c r="D3050" t="s">
        <v>403</v>
      </c>
      <c r="G3050" t="s">
        <v>384</v>
      </c>
      <c r="H3050" t="s">
        <v>9003</v>
      </c>
      <c r="I3050" s="4">
        <v>45443.875</v>
      </c>
      <c r="K3050" t="s">
        <v>743</v>
      </c>
      <c r="L3050" s="5"/>
      <c r="M3050" s="5" t="s">
        <v>8423</v>
      </c>
      <c r="N3050" t="s">
        <v>82</v>
      </c>
      <c r="O3050" t="s">
        <v>9004</v>
      </c>
      <c r="R3050">
        <v>1</v>
      </c>
      <c r="T3050" s="5"/>
      <c r="W3050">
        <v>270</v>
      </c>
      <c r="X3050" t="s">
        <v>8412</v>
      </c>
      <c r="Y3050" t="str">
        <f>VLOOKUP(C3050,'[1]DBS_KPY Sorumlular'!A:C,2,FALSE)</f>
        <v>Tayfun VİÇE</v>
      </c>
      <c r="Z3050" t="str">
        <f>VLOOKUP(C3050,'[1]DBS_KPY Sorumlular'!A:C,3,FALSE)</f>
        <v>Mehmet Ali YAVUZ</v>
      </c>
      <c r="AA3050" t="str">
        <f>VLOOKUP(K3050,[1]!Tablo3[#Data],2,FALSE)</f>
        <v>Kadir TOPÇU</v>
      </c>
    </row>
    <row r="3051" spans="1:27" x14ac:dyDescent="0.25">
      <c r="A3051">
        <v>4378</v>
      </c>
      <c r="B3051" t="s">
        <v>27</v>
      </c>
      <c r="C3051" t="s">
        <v>402</v>
      </c>
      <c r="D3051" t="s">
        <v>403</v>
      </c>
      <c r="G3051" t="s">
        <v>384</v>
      </c>
      <c r="H3051" t="s">
        <v>9005</v>
      </c>
      <c r="I3051" s="4">
        <v>45443.875</v>
      </c>
      <c r="K3051" t="s">
        <v>678</v>
      </c>
      <c r="L3051" s="5"/>
      <c r="M3051" s="5" t="s">
        <v>8423</v>
      </c>
      <c r="N3051" t="s">
        <v>82</v>
      </c>
      <c r="O3051" t="s">
        <v>9006</v>
      </c>
      <c r="R3051">
        <v>1</v>
      </c>
      <c r="T3051" s="5"/>
      <c r="W3051">
        <v>270</v>
      </c>
      <c r="X3051" t="s">
        <v>8412</v>
      </c>
      <c r="Y3051" t="str">
        <f>VLOOKUP(C3051,'[1]DBS_KPY Sorumlular'!A:C,2,FALSE)</f>
        <v>Tayfun VİÇE</v>
      </c>
      <c r="Z3051" t="str">
        <f>VLOOKUP(C3051,'[1]DBS_KPY Sorumlular'!A:C,3,FALSE)</f>
        <v>Mehmet Ali YAVUZ</v>
      </c>
      <c r="AA3051" t="str">
        <f>VLOOKUP(K3051,[1]!Tablo3[#Data],2,FALSE)</f>
        <v>Kadir TOPÇU</v>
      </c>
    </row>
    <row r="3052" spans="1:27" x14ac:dyDescent="0.25">
      <c r="A3052">
        <v>4379</v>
      </c>
      <c r="B3052" t="s">
        <v>27</v>
      </c>
      <c r="C3052" t="s">
        <v>402</v>
      </c>
      <c r="D3052" t="s">
        <v>403</v>
      </c>
      <c r="G3052" t="s">
        <v>384</v>
      </c>
      <c r="H3052" t="s">
        <v>9007</v>
      </c>
      <c r="I3052" s="4">
        <v>44347.875</v>
      </c>
      <c r="K3052" t="s">
        <v>678</v>
      </c>
      <c r="L3052" s="5" t="s">
        <v>8546</v>
      </c>
      <c r="M3052" s="5"/>
      <c r="N3052" t="s">
        <v>82</v>
      </c>
      <c r="O3052" t="s">
        <v>9008</v>
      </c>
      <c r="R3052">
        <v>1</v>
      </c>
      <c r="T3052" s="5"/>
      <c r="W3052">
        <v>270</v>
      </c>
      <c r="X3052" t="s">
        <v>8412</v>
      </c>
      <c r="Y3052" t="str">
        <f>VLOOKUP(C3052,'[1]DBS_KPY Sorumlular'!A:C,2,FALSE)</f>
        <v>Tayfun VİÇE</v>
      </c>
      <c r="Z3052" t="str">
        <f>VLOOKUP(C3052,'[1]DBS_KPY Sorumlular'!A:C,3,FALSE)</f>
        <v>Mehmet Ali YAVUZ</v>
      </c>
      <c r="AA3052" t="str">
        <f>VLOOKUP(K3052,[1]!Tablo3[#Data],2,FALSE)</f>
        <v>Kadir TOPÇU</v>
      </c>
    </row>
    <row r="3053" spans="1:27" x14ac:dyDescent="0.25">
      <c r="A3053">
        <v>4380</v>
      </c>
      <c r="B3053" t="s">
        <v>27</v>
      </c>
      <c r="C3053" t="s">
        <v>402</v>
      </c>
      <c r="D3053" t="s">
        <v>403</v>
      </c>
      <c r="G3053" t="s">
        <v>384</v>
      </c>
      <c r="H3053" t="s">
        <v>9009</v>
      </c>
      <c r="I3053" s="4">
        <v>45443.875</v>
      </c>
      <c r="K3053" t="s">
        <v>678</v>
      </c>
      <c r="L3053" s="5"/>
      <c r="M3053" s="5" t="s">
        <v>8423</v>
      </c>
      <c r="N3053" t="s">
        <v>82</v>
      </c>
      <c r="O3053" t="s">
        <v>9010</v>
      </c>
      <c r="R3053">
        <v>1</v>
      </c>
      <c r="T3053" s="5"/>
      <c r="W3053">
        <v>270</v>
      </c>
      <c r="X3053" t="s">
        <v>8412</v>
      </c>
      <c r="Y3053" t="str">
        <f>VLOOKUP(C3053,'[1]DBS_KPY Sorumlular'!A:C,2,FALSE)</f>
        <v>Tayfun VİÇE</v>
      </c>
      <c r="Z3053" t="str">
        <f>VLOOKUP(C3053,'[1]DBS_KPY Sorumlular'!A:C,3,FALSE)</f>
        <v>Mehmet Ali YAVUZ</v>
      </c>
      <c r="AA3053" t="str">
        <f>VLOOKUP(K3053,[1]!Tablo3[#Data],2,FALSE)</f>
        <v>Kadir TOPÇU</v>
      </c>
    </row>
    <row r="3054" spans="1:27" x14ac:dyDescent="0.25">
      <c r="A3054">
        <v>4381</v>
      </c>
      <c r="B3054" t="s">
        <v>27</v>
      </c>
      <c r="C3054" t="s">
        <v>402</v>
      </c>
      <c r="D3054" t="s">
        <v>403</v>
      </c>
      <c r="G3054" t="s">
        <v>384</v>
      </c>
      <c r="H3054" t="s">
        <v>9011</v>
      </c>
      <c r="I3054" s="4">
        <v>45443.875</v>
      </c>
      <c r="K3054" t="s">
        <v>226</v>
      </c>
      <c r="L3054" s="5"/>
      <c r="M3054" s="5" t="s">
        <v>8423</v>
      </c>
      <c r="N3054" t="s">
        <v>82</v>
      </c>
      <c r="O3054" t="s">
        <v>9012</v>
      </c>
      <c r="R3054">
        <v>1</v>
      </c>
      <c r="T3054" s="5"/>
      <c r="W3054">
        <v>270</v>
      </c>
      <c r="X3054" t="s">
        <v>8412</v>
      </c>
      <c r="Y3054" t="str">
        <f>VLOOKUP(C3054,'[1]DBS_KPY Sorumlular'!A:C,2,FALSE)</f>
        <v>Tayfun VİÇE</v>
      </c>
      <c r="Z3054" t="str">
        <f>VLOOKUP(C3054,'[1]DBS_KPY Sorumlular'!A:C,3,FALSE)</f>
        <v>Mehmet Ali YAVUZ</v>
      </c>
      <c r="AA3054" t="str">
        <f>VLOOKUP(K3054,[1]!Tablo3[#Data],2,FALSE)</f>
        <v>Kadir TOPÇU</v>
      </c>
    </row>
    <row r="3055" spans="1:27" x14ac:dyDescent="0.25">
      <c r="A3055">
        <v>4382</v>
      </c>
      <c r="B3055" t="s">
        <v>27</v>
      </c>
      <c r="C3055" t="s">
        <v>402</v>
      </c>
      <c r="D3055" t="s">
        <v>403</v>
      </c>
      <c r="G3055" t="s">
        <v>384</v>
      </c>
      <c r="H3055" t="s">
        <v>9013</v>
      </c>
      <c r="I3055" s="4">
        <v>45443.875</v>
      </c>
      <c r="K3055" t="s">
        <v>678</v>
      </c>
      <c r="L3055" s="5"/>
      <c r="M3055" s="5" t="s">
        <v>8423</v>
      </c>
      <c r="N3055" t="s">
        <v>82</v>
      </c>
      <c r="O3055" t="s">
        <v>9014</v>
      </c>
      <c r="R3055">
        <v>1</v>
      </c>
      <c r="T3055" s="5"/>
      <c r="W3055">
        <v>270</v>
      </c>
      <c r="X3055" t="s">
        <v>8412</v>
      </c>
      <c r="Y3055" t="str">
        <f>VLOOKUP(C3055,'[1]DBS_KPY Sorumlular'!A:C,2,FALSE)</f>
        <v>Tayfun VİÇE</v>
      </c>
      <c r="Z3055" t="str">
        <f>VLOOKUP(C3055,'[1]DBS_KPY Sorumlular'!A:C,3,FALSE)</f>
        <v>Mehmet Ali YAVUZ</v>
      </c>
      <c r="AA3055" t="str">
        <f>VLOOKUP(K3055,[1]!Tablo3[#Data],2,FALSE)</f>
        <v>Kadir TOPÇU</v>
      </c>
    </row>
    <row r="3056" spans="1:27" x14ac:dyDescent="0.25">
      <c r="A3056">
        <v>4383</v>
      </c>
      <c r="B3056" t="s">
        <v>27</v>
      </c>
      <c r="C3056" t="s">
        <v>402</v>
      </c>
      <c r="D3056" t="s">
        <v>403</v>
      </c>
      <c r="G3056" t="s">
        <v>384</v>
      </c>
      <c r="H3056" t="s">
        <v>9015</v>
      </c>
      <c r="I3056" s="4">
        <v>45443.875</v>
      </c>
      <c r="K3056" t="s">
        <v>226</v>
      </c>
      <c r="L3056" s="5"/>
      <c r="M3056" s="5" t="s">
        <v>8423</v>
      </c>
      <c r="N3056" t="s">
        <v>82</v>
      </c>
      <c r="O3056" t="s">
        <v>9016</v>
      </c>
      <c r="R3056">
        <v>1</v>
      </c>
      <c r="T3056" s="5"/>
      <c r="W3056">
        <v>270</v>
      </c>
      <c r="X3056" t="s">
        <v>8412</v>
      </c>
      <c r="Y3056" t="str">
        <f>VLOOKUP(C3056,'[1]DBS_KPY Sorumlular'!A:C,2,FALSE)</f>
        <v>Tayfun VİÇE</v>
      </c>
      <c r="Z3056" t="str">
        <f>VLOOKUP(C3056,'[1]DBS_KPY Sorumlular'!A:C,3,FALSE)</f>
        <v>Mehmet Ali YAVUZ</v>
      </c>
      <c r="AA3056" t="str">
        <f>VLOOKUP(K3056,[1]!Tablo3[#Data],2,FALSE)</f>
        <v>Kadir TOPÇU</v>
      </c>
    </row>
    <row r="3057" spans="1:27" x14ac:dyDescent="0.25">
      <c r="A3057">
        <v>4384</v>
      </c>
      <c r="B3057" t="s">
        <v>27</v>
      </c>
      <c r="C3057" t="s">
        <v>402</v>
      </c>
      <c r="D3057" t="s">
        <v>403</v>
      </c>
      <c r="G3057" t="s">
        <v>384</v>
      </c>
      <c r="H3057" t="s">
        <v>9017</v>
      </c>
      <c r="I3057" s="4">
        <v>45443.875</v>
      </c>
      <c r="K3057" t="s">
        <v>678</v>
      </c>
      <c r="L3057" s="5"/>
      <c r="M3057" s="5" t="s">
        <v>8423</v>
      </c>
      <c r="N3057" t="s">
        <v>82</v>
      </c>
      <c r="O3057" t="s">
        <v>9018</v>
      </c>
      <c r="R3057">
        <v>1</v>
      </c>
      <c r="T3057" s="5"/>
      <c r="W3057">
        <v>270</v>
      </c>
      <c r="X3057" t="s">
        <v>8412</v>
      </c>
      <c r="Y3057" t="str">
        <f>VLOOKUP(C3057,'[1]DBS_KPY Sorumlular'!A:C,2,FALSE)</f>
        <v>Tayfun VİÇE</v>
      </c>
      <c r="Z3057" t="str">
        <f>VLOOKUP(C3057,'[1]DBS_KPY Sorumlular'!A:C,3,FALSE)</f>
        <v>Mehmet Ali YAVUZ</v>
      </c>
      <c r="AA3057" t="str">
        <f>VLOOKUP(K3057,[1]!Tablo3[#Data],2,FALSE)</f>
        <v>Kadir TOPÇU</v>
      </c>
    </row>
    <row r="3058" spans="1:27" x14ac:dyDescent="0.25">
      <c r="A3058">
        <v>4386</v>
      </c>
      <c r="B3058" t="s">
        <v>27</v>
      </c>
      <c r="C3058" t="s">
        <v>402</v>
      </c>
      <c r="D3058" t="s">
        <v>403</v>
      </c>
      <c r="G3058" t="s">
        <v>384</v>
      </c>
      <c r="H3058" t="s">
        <v>9019</v>
      </c>
      <c r="I3058" s="4">
        <v>45443.875</v>
      </c>
      <c r="K3058" t="s">
        <v>226</v>
      </c>
      <c r="L3058" s="5"/>
      <c r="M3058" s="5" t="s">
        <v>8423</v>
      </c>
      <c r="N3058" t="s">
        <v>82</v>
      </c>
      <c r="O3058" t="s">
        <v>9020</v>
      </c>
      <c r="R3058">
        <v>1</v>
      </c>
      <c r="T3058" s="5"/>
      <c r="W3058">
        <v>270</v>
      </c>
      <c r="X3058" t="s">
        <v>8412</v>
      </c>
      <c r="Y3058" t="str">
        <f>VLOOKUP(C3058,'[1]DBS_KPY Sorumlular'!A:C,2,FALSE)</f>
        <v>Tayfun VİÇE</v>
      </c>
      <c r="Z3058" t="str">
        <f>VLOOKUP(C3058,'[1]DBS_KPY Sorumlular'!A:C,3,FALSE)</f>
        <v>Mehmet Ali YAVUZ</v>
      </c>
      <c r="AA3058" t="str">
        <f>VLOOKUP(K3058,[1]!Tablo3[#Data],2,FALSE)</f>
        <v>Kadir TOPÇU</v>
      </c>
    </row>
    <row r="3059" spans="1:27" x14ac:dyDescent="0.25">
      <c r="A3059">
        <v>4387</v>
      </c>
      <c r="B3059" t="s">
        <v>27</v>
      </c>
      <c r="C3059" t="s">
        <v>402</v>
      </c>
      <c r="D3059" t="s">
        <v>403</v>
      </c>
      <c r="G3059" t="s">
        <v>384</v>
      </c>
      <c r="H3059" t="s">
        <v>9021</v>
      </c>
      <c r="I3059" s="4">
        <v>45443.875</v>
      </c>
      <c r="K3059" t="s">
        <v>678</v>
      </c>
      <c r="L3059" s="5"/>
      <c r="M3059" s="5" t="s">
        <v>8423</v>
      </c>
      <c r="N3059" t="s">
        <v>82</v>
      </c>
      <c r="O3059" t="s">
        <v>9022</v>
      </c>
      <c r="R3059">
        <v>1</v>
      </c>
      <c r="T3059" s="5"/>
      <c r="W3059">
        <v>270</v>
      </c>
      <c r="X3059" t="s">
        <v>8412</v>
      </c>
      <c r="Y3059" t="str">
        <f>VLOOKUP(C3059,'[1]DBS_KPY Sorumlular'!A:C,2,FALSE)</f>
        <v>Tayfun VİÇE</v>
      </c>
      <c r="Z3059" t="str">
        <f>VLOOKUP(C3059,'[1]DBS_KPY Sorumlular'!A:C,3,FALSE)</f>
        <v>Mehmet Ali YAVUZ</v>
      </c>
      <c r="AA3059" t="str">
        <f>VLOOKUP(K3059,[1]!Tablo3[#Data],2,FALSE)</f>
        <v>Kadir TOPÇU</v>
      </c>
    </row>
    <row r="3060" spans="1:27" x14ac:dyDescent="0.25">
      <c r="A3060">
        <v>4388</v>
      </c>
      <c r="B3060" t="s">
        <v>27</v>
      </c>
      <c r="C3060" t="s">
        <v>402</v>
      </c>
      <c r="D3060" t="s">
        <v>403</v>
      </c>
      <c r="G3060" t="s">
        <v>384</v>
      </c>
      <c r="H3060" t="s">
        <v>9023</v>
      </c>
      <c r="I3060" s="4">
        <v>45443.875</v>
      </c>
      <c r="K3060" t="s">
        <v>678</v>
      </c>
      <c r="L3060" s="5"/>
      <c r="M3060" s="5" t="s">
        <v>8423</v>
      </c>
      <c r="N3060" t="s">
        <v>82</v>
      </c>
      <c r="O3060" t="s">
        <v>9022</v>
      </c>
      <c r="R3060">
        <v>1</v>
      </c>
      <c r="T3060" s="5"/>
      <c r="W3060">
        <v>270</v>
      </c>
      <c r="X3060" t="s">
        <v>8412</v>
      </c>
      <c r="Y3060" t="str">
        <f>VLOOKUP(C3060,'[1]DBS_KPY Sorumlular'!A:C,2,FALSE)</f>
        <v>Tayfun VİÇE</v>
      </c>
      <c r="Z3060" t="str">
        <f>VLOOKUP(C3060,'[1]DBS_KPY Sorumlular'!A:C,3,FALSE)</f>
        <v>Mehmet Ali YAVUZ</v>
      </c>
      <c r="AA3060" t="str">
        <f>VLOOKUP(K3060,[1]!Tablo3[#Data],2,FALSE)</f>
        <v>Kadir TOPÇU</v>
      </c>
    </row>
    <row r="3061" spans="1:27" x14ac:dyDescent="0.25">
      <c r="A3061">
        <v>4389</v>
      </c>
      <c r="B3061" t="s">
        <v>27</v>
      </c>
      <c r="C3061" t="s">
        <v>402</v>
      </c>
      <c r="D3061" t="s">
        <v>403</v>
      </c>
      <c r="G3061" t="s">
        <v>384</v>
      </c>
      <c r="H3061" t="s">
        <v>9024</v>
      </c>
      <c r="I3061" s="4">
        <v>45443.875</v>
      </c>
      <c r="K3061" t="s">
        <v>743</v>
      </c>
      <c r="L3061" s="5"/>
      <c r="M3061" s="5" t="s">
        <v>8423</v>
      </c>
      <c r="N3061" t="s">
        <v>82</v>
      </c>
      <c r="O3061" t="s">
        <v>9025</v>
      </c>
      <c r="R3061">
        <v>1</v>
      </c>
      <c r="T3061" s="5"/>
      <c r="W3061">
        <v>270</v>
      </c>
      <c r="X3061" t="s">
        <v>8412</v>
      </c>
      <c r="Y3061" t="str">
        <f>VLOOKUP(C3061,'[1]DBS_KPY Sorumlular'!A:C,2,FALSE)</f>
        <v>Tayfun VİÇE</v>
      </c>
      <c r="Z3061" t="str">
        <f>VLOOKUP(C3061,'[1]DBS_KPY Sorumlular'!A:C,3,FALSE)</f>
        <v>Mehmet Ali YAVUZ</v>
      </c>
      <c r="AA3061" t="str">
        <f>VLOOKUP(K3061,[1]!Tablo3[#Data],2,FALSE)</f>
        <v>Kadir TOPÇU</v>
      </c>
    </row>
    <row r="3062" spans="1:27" x14ac:dyDescent="0.25">
      <c r="A3062">
        <v>4390</v>
      </c>
      <c r="B3062" t="s">
        <v>27</v>
      </c>
      <c r="C3062" t="s">
        <v>402</v>
      </c>
      <c r="D3062" t="s">
        <v>403</v>
      </c>
      <c r="G3062" t="s">
        <v>384</v>
      </c>
      <c r="H3062" t="s">
        <v>9026</v>
      </c>
      <c r="I3062" s="4">
        <v>45443.875</v>
      </c>
      <c r="K3062" t="s">
        <v>678</v>
      </c>
      <c r="L3062" s="5"/>
      <c r="M3062" s="5" t="s">
        <v>8423</v>
      </c>
      <c r="N3062" t="s">
        <v>82</v>
      </c>
      <c r="O3062" t="s">
        <v>9027</v>
      </c>
      <c r="R3062">
        <v>1</v>
      </c>
      <c r="T3062" s="5"/>
      <c r="W3062">
        <v>270</v>
      </c>
      <c r="X3062" t="s">
        <v>8412</v>
      </c>
      <c r="Y3062" t="str">
        <f>VLOOKUP(C3062,'[1]DBS_KPY Sorumlular'!A:C,2,FALSE)</f>
        <v>Tayfun VİÇE</v>
      </c>
      <c r="Z3062" t="str">
        <f>VLOOKUP(C3062,'[1]DBS_KPY Sorumlular'!A:C,3,FALSE)</f>
        <v>Mehmet Ali YAVUZ</v>
      </c>
      <c r="AA3062" t="str">
        <f>VLOOKUP(K3062,[1]!Tablo3[#Data],2,FALSE)</f>
        <v>Kadir TOPÇU</v>
      </c>
    </row>
    <row r="3063" spans="1:27" x14ac:dyDescent="0.25">
      <c r="A3063">
        <v>4391</v>
      </c>
      <c r="B3063" t="s">
        <v>27</v>
      </c>
      <c r="C3063" t="s">
        <v>402</v>
      </c>
      <c r="D3063" t="s">
        <v>403</v>
      </c>
      <c r="G3063" t="s">
        <v>384</v>
      </c>
      <c r="H3063" t="s">
        <v>9028</v>
      </c>
      <c r="I3063" s="4">
        <v>45443.875</v>
      </c>
      <c r="K3063" t="s">
        <v>678</v>
      </c>
      <c r="L3063" s="5"/>
      <c r="M3063" s="5" t="s">
        <v>8423</v>
      </c>
      <c r="N3063" t="s">
        <v>82</v>
      </c>
      <c r="O3063" t="s">
        <v>9029</v>
      </c>
      <c r="R3063">
        <v>1</v>
      </c>
      <c r="T3063" s="5"/>
      <c r="W3063">
        <v>270</v>
      </c>
      <c r="X3063" t="s">
        <v>8412</v>
      </c>
      <c r="Y3063" t="str">
        <f>VLOOKUP(C3063,'[1]DBS_KPY Sorumlular'!A:C,2,FALSE)</f>
        <v>Tayfun VİÇE</v>
      </c>
      <c r="Z3063" t="str">
        <f>VLOOKUP(C3063,'[1]DBS_KPY Sorumlular'!A:C,3,FALSE)</f>
        <v>Mehmet Ali YAVUZ</v>
      </c>
      <c r="AA3063" t="str">
        <f>VLOOKUP(K3063,[1]!Tablo3[#Data],2,FALSE)</f>
        <v>Kadir TOPÇU</v>
      </c>
    </row>
    <row r="3064" spans="1:27" x14ac:dyDescent="0.25">
      <c r="A3064">
        <v>4392</v>
      </c>
      <c r="B3064" t="s">
        <v>27</v>
      </c>
      <c r="C3064" t="s">
        <v>402</v>
      </c>
      <c r="D3064" t="s">
        <v>403</v>
      </c>
      <c r="G3064" t="s">
        <v>384</v>
      </c>
      <c r="H3064" t="s">
        <v>9030</v>
      </c>
      <c r="I3064" s="4">
        <v>45443.875</v>
      </c>
      <c r="K3064" t="s">
        <v>678</v>
      </c>
      <c r="L3064" s="5"/>
      <c r="M3064" s="5" t="s">
        <v>8423</v>
      </c>
      <c r="N3064" t="s">
        <v>82</v>
      </c>
      <c r="O3064" t="s">
        <v>9031</v>
      </c>
      <c r="R3064">
        <v>1</v>
      </c>
      <c r="T3064" s="5"/>
      <c r="W3064">
        <v>270</v>
      </c>
      <c r="X3064" t="s">
        <v>8412</v>
      </c>
      <c r="Y3064" t="str">
        <f>VLOOKUP(C3064,'[1]DBS_KPY Sorumlular'!A:C,2,FALSE)</f>
        <v>Tayfun VİÇE</v>
      </c>
      <c r="Z3064" t="str">
        <f>VLOOKUP(C3064,'[1]DBS_KPY Sorumlular'!A:C,3,FALSE)</f>
        <v>Mehmet Ali YAVUZ</v>
      </c>
      <c r="AA3064" t="str">
        <f>VLOOKUP(K3064,[1]!Tablo3[#Data],2,FALSE)</f>
        <v>Kadir TOPÇU</v>
      </c>
    </row>
    <row r="3065" spans="1:27" x14ac:dyDescent="0.25">
      <c r="A3065">
        <v>4393</v>
      </c>
      <c r="B3065" t="s">
        <v>27</v>
      </c>
      <c r="C3065" t="s">
        <v>402</v>
      </c>
      <c r="D3065" t="s">
        <v>403</v>
      </c>
      <c r="G3065" t="s">
        <v>384</v>
      </c>
      <c r="H3065" t="s">
        <v>9032</v>
      </c>
      <c r="I3065" s="4">
        <v>45443.875</v>
      </c>
      <c r="K3065" t="s">
        <v>743</v>
      </c>
      <c r="L3065" s="5"/>
      <c r="M3065" s="5" t="s">
        <v>8423</v>
      </c>
      <c r="N3065" t="s">
        <v>82</v>
      </c>
      <c r="O3065" t="s">
        <v>9033</v>
      </c>
      <c r="R3065">
        <v>1</v>
      </c>
      <c r="T3065" s="5"/>
      <c r="W3065">
        <v>270</v>
      </c>
      <c r="X3065" t="s">
        <v>8412</v>
      </c>
      <c r="Y3065" t="str">
        <f>VLOOKUP(C3065,'[1]DBS_KPY Sorumlular'!A:C,2,FALSE)</f>
        <v>Tayfun VİÇE</v>
      </c>
      <c r="Z3065" t="str">
        <f>VLOOKUP(C3065,'[1]DBS_KPY Sorumlular'!A:C,3,FALSE)</f>
        <v>Mehmet Ali YAVUZ</v>
      </c>
      <c r="AA3065" t="str">
        <f>VLOOKUP(K3065,[1]!Tablo3[#Data],2,FALSE)</f>
        <v>Kadir TOPÇU</v>
      </c>
    </row>
    <row r="3066" spans="1:27" x14ac:dyDescent="0.25">
      <c r="A3066">
        <v>4394</v>
      </c>
      <c r="B3066" t="s">
        <v>27</v>
      </c>
      <c r="C3066" t="s">
        <v>402</v>
      </c>
      <c r="D3066" t="s">
        <v>403</v>
      </c>
      <c r="G3066" t="s">
        <v>384</v>
      </c>
      <c r="H3066" t="s">
        <v>9034</v>
      </c>
      <c r="I3066" s="4">
        <v>45443.875</v>
      </c>
      <c r="K3066" t="s">
        <v>678</v>
      </c>
      <c r="L3066" s="5"/>
      <c r="M3066" s="5" t="s">
        <v>8423</v>
      </c>
      <c r="N3066" t="s">
        <v>82</v>
      </c>
      <c r="O3066" t="s">
        <v>9035</v>
      </c>
      <c r="R3066">
        <v>1</v>
      </c>
      <c r="T3066" s="5"/>
      <c r="W3066">
        <v>270</v>
      </c>
      <c r="X3066" t="s">
        <v>8412</v>
      </c>
      <c r="Y3066" t="str">
        <f>VLOOKUP(C3066,'[1]DBS_KPY Sorumlular'!A:C,2,FALSE)</f>
        <v>Tayfun VİÇE</v>
      </c>
      <c r="Z3066" t="str">
        <f>VLOOKUP(C3066,'[1]DBS_KPY Sorumlular'!A:C,3,FALSE)</f>
        <v>Mehmet Ali YAVUZ</v>
      </c>
      <c r="AA3066" t="str">
        <f>VLOOKUP(K3066,[1]!Tablo3[#Data],2,FALSE)</f>
        <v>Kadir TOPÇU</v>
      </c>
    </row>
    <row r="3067" spans="1:27" x14ac:dyDescent="0.25">
      <c r="A3067">
        <v>4395</v>
      </c>
      <c r="B3067" t="s">
        <v>27</v>
      </c>
      <c r="C3067" t="s">
        <v>402</v>
      </c>
      <c r="D3067" t="s">
        <v>403</v>
      </c>
      <c r="G3067" t="s">
        <v>384</v>
      </c>
      <c r="H3067" t="s">
        <v>9036</v>
      </c>
      <c r="I3067" s="4">
        <v>45443.875</v>
      </c>
      <c r="K3067" t="s">
        <v>678</v>
      </c>
      <c r="L3067" s="5"/>
      <c r="M3067" s="5" t="s">
        <v>8423</v>
      </c>
      <c r="N3067" t="s">
        <v>82</v>
      </c>
      <c r="O3067" t="s">
        <v>9037</v>
      </c>
      <c r="R3067">
        <v>1</v>
      </c>
      <c r="T3067" s="5"/>
      <c r="W3067">
        <v>270</v>
      </c>
      <c r="X3067" t="s">
        <v>8412</v>
      </c>
      <c r="Y3067" t="str">
        <f>VLOOKUP(C3067,'[1]DBS_KPY Sorumlular'!A:C,2,FALSE)</f>
        <v>Tayfun VİÇE</v>
      </c>
      <c r="Z3067" t="str">
        <f>VLOOKUP(C3067,'[1]DBS_KPY Sorumlular'!A:C,3,FALSE)</f>
        <v>Mehmet Ali YAVUZ</v>
      </c>
      <c r="AA3067" t="str">
        <f>VLOOKUP(K3067,[1]!Tablo3[#Data],2,FALSE)</f>
        <v>Kadir TOPÇU</v>
      </c>
    </row>
    <row r="3068" spans="1:27" x14ac:dyDescent="0.25">
      <c r="A3068">
        <v>4396</v>
      </c>
      <c r="B3068" t="s">
        <v>27</v>
      </c>
      <c r="C3068" t="s">
        <v>402</v>
      </c>
      <c r="D3068" t="s">
        <v>403</v>
      </c>
      <c r="G3068" t="s">
        <v>384</v>
      </c>
      <c r="H3068" t="s">
        <v>9038</v>
      </c>
      <c r="I3068" s="4">
        <v>45443.875</v>
      </c>
      <c r="K3068" t="s">
        <v>226</v>
      </c>
      <c r="L3068" s="5"/>
      <c r="M3068" s="5" t="s">
        <v>8423</v>
      </c>
      <c r="N3068" t="s">
        <v>82</v>
      </c>
      <c r="O3068" t="s">
        <v>9039</v>
      </c>
      <c r="R3068">
        <v>1</v>
      </c>
      <c r="T3068" s="5"/>
      <c r="W3068">
        <v>270</v>
      </c>
      <c r="X3068" t="s">
        <v>8412</v>
      </c>
      <c r="Y3068" t="str">
        <f>VLOOKUP(C3068,'[1]DBS_KPY Sorumlular'!A:C,2,FALSE)</f>
        <v>Tayfun VİÇE</v>
      </c>
      <c r="Z3068" t="str">
        <f>VLOOKUP(C3068,'[1]DBS_KPY Sorumlular'!A:C,3,FALSE)</f>
        <v>Mehmet Ali YAVUZ</v>
      </c>
      <c r="AA3068" t="str">
        <f>VLOOKUP(K3068,[1]!Tablo3[#Data],2,FALSE)</f>
        <v>Kadir TOPÇU</v>
      </c>
    </row>
    <row r="3069" spans="1:27" x14ac:dyDescent="0.25">
      <c r="A3069">
        <v>4397</v>
      </c>
      <c r="B3069" t="s">
        <v>27</v>
      </c>
      <c r="C3069" t="s">
        <v>402</v>
      </c>
      <c r="D3069" t="s">
        <v>403</v>
      </c>
      <c r="G3069" t="s">
        <v>384</v>
      </c>
      <c r="H3069" t="s">
        <v>9040</v>
      </c>
      <c r="I3069" s="4">
        <v>45443.875</v>
      </c>
      <c r="K3069" t="s">
        <v>678</v>
      </c>
      <c r="L3069" s="5"/>
      <c r="M3069" s="5" t="s">
        <v>8423</v>
      </c>
      <c r="N3069" t="s">
        <v>82</v>
      </c>
      <c r="O3069" t="s">
        <v>9041</v>
      </c>
      <c r="R3069">
        <v>1</v>
      </c>
      <c r="T3069" s="5"/>
      <c r="W3069">
        <v>270</v>
      </c>
      <c r="X3069" t="s">
        <v>8412</v>
      </c>
      <c r="Y3069" t="str">
        <f>VLOOKUP(C3069,'[1]DBS_KPY Sorumlular'!A:C,2,FALSE)</f>
        <v>Tayfun VİÇE</v>
      </c>
      <c r="Z3069" t="str">
        <f>VLOOKUP(C3069,'[1]DBS_KPY Sorumlular'!A:C,3,FALSE)</f>
        <v>Mehmet Ali YAVUZ</v>
      </c>
      <c r="AA3069" t="str">
        <f>VLOOKUP(K3069,[1]!Tablo3[#Data],2,FALSE)</f>
        <v>Kadir TOPÇU</v>
      </c>
    </row>
    <row r="3070" spans="1:27" x14ac:dyDescent="0.25">
      <c r="A3070">
        <v>4398</v>
      </c>
      <c r="B3070" t="s">
        <v>27</v>
      </c>
      <c r="C3070" t="s">
        <v>402</v>
      </c>
      <c r="D3070" t="s">
        <v>403</v>
      </c>
      <c r="G3070" t="s">
        <v>384</v>
      </c>
      <c r="H3070" t="s">
        <v>9042</v>
      </c>
      <c r="I3070" s="4">
        <v>45443.875</v>
      </c>
      <c r="K3070" t="s">
        <v>678</v>
      </c>
      <c r="L3070" s="5"/>
      <c r="M3070" s="5" t="s">
        <v>8423</v>
      </c>
      <c r="N3070" t="s">
        <v>82</v>
      </c>
      <c r="O3070" t="s">
        <v>9043</v>
      </c>
      <c r="R3070">
        <v>1</v>
      </c>
      <c r="T3070" s="5"/>
      <c r="W3070">
        <v>270</v>
      </c>
      <c r="X3070" t="s">
        <v>8412</v>
      </c>
      <c r="Y3070" t="str">
        <f>VLOOKUP(C3070,'[1]DBS_KPY Sorumlular'!A:C,2,FALSE)</f>
        <v>Tayfun VİÇE</v>
      </c>
      <c r="Z3070" t="str">
        <f>VLOOKUP(C3070,'[1]DBS_KPY Sorumlular'!A:C,3,FALSE)</f>
        <v>Mehmet Ali YAVUZ</v>
      </c>
      <c r="AA3070" t="str">
        <f>VLOOKUP(K3070,[1]!Tablo3[#Data],2,FALSE)</f>
        <v>Kadir TOPÇU</v>
      </c>
    </row>
    <row r="3071" spans="1:27" x14ac:dyDescent="0.25">
      <c r="A3071">
        <v>4399</v>
      </c>
      <c r="B3071" t="s">
        <v>27</v>
      </c>
      <c r="C3071" t="s">
        <v>402</v>
      </c>
      <c r="D3071" t="s">
        <v>403</v>
      </c>
      <c r="G3071" t="s">
        <v>384</v>
      </c>
      <c r="H3071" t="s">
        <v>9044</v>
      </c>
      <c r="I3071" s="4">
        <v>45443.875</v>
      </c>
      <c r="K3071" t="s">
        <v>678</v>
      </c>
      <c r="L3071" s="5"/>
      <c r="M3071" s="5" t="s">
        <v>8423</v>
      </c>
      <c r="N3071" t="s">
        <v>82</v>
      </c>
      <c r="O3071" t="s">
        <v>9045</v>
      </c>
      <c r="R3071">
        <v>1</v>
      </c>
      <c r="T3071" s="5"/>
      <c r="W3071">
        <v>270</v>
      </c>
      <c r="X3071" t="s">
        <v>8412</v>
      </c>
      <c r="Y3071" t="str">
        <f>VLOOKUP(C3071,'[1]DBS_KPY Sorumlular'!A:C,2,FALSE)</f>
        <v>Tayfun VİÇE</v>
      </c>
      <c r="Z3071" t="str">
        <f>VLOOKUP(C3071,'[1]DBS_KPY Sorumlular'!A:C,3,FALSE)</f>
        <v>Mehmet Ali YAVUZ</v>
      </c>
      <c r="AA3071" t="str">
        <f>VLOOKUP(K3071,[1]!Tablo3[#Data],2,FALSE)</f>
        <v>Kadir TOPÇU</v>
      </c>
    </row>
    <row r="3072" spans="1:27" x14ac:dyDescent="0.25">
      <c r="A3072">
        <v>4400</v>
      </c>
      <c r="B3072" t="s">
        <v>27</v>
      </c>
      <c r="C3072" t="s">
        <v>402</v>
      </c>
      <c r="D3072" t="s">
        <v>403</v>
      </c>
      <c r="G3072" t="s">
        <v>384</v>
      </c>
      <c r="H3072" t="s">
        <v>9046</v>
      </c>
      <c r="I3072" s="4">
        <v>45443.875</v>
      </c>
      <c r="K3072" t="s">
        <v>678</v>
      </c>
      <c r="L3072" s="5"/>
      <c r="M3072" s="5" t="s">
        <v>8423</v>
      </c>
      <c r="N3072" t="s">
        <v>82</v>
      </c>
      <c r="O3072" t="s">
        <v>9047</v>
      </c>
      <c r="R3072">
        <v>1</v>
      </c>
      <c r="T3072" s="5"/>
      <c r="W3072">
        <v>270</v>
      </c>
      <c r="X3072" t="s">
        <v>8412</v>
      </c>
      <c r="Y3072" t="str">
        <f>VLOOKUP(C3072,'[1]DBS_KPY Sorumlular'!A:C,2,FALSE)</f>
        <v>Tayfun VİÇE</v>
      </c>
      <c r="Z3072" t="str">
        <f>VLOOKUP(C3072,'[1]DBS_KPY Sorumlular'!A:C,3,FALSE)</f>
        <v>Mehmet Ali YAVUZ</v>
      </c>
      <c r="AA3072" t="str">
        <f>VLOOKUP(K3072,[1]!Tablo3[#Data],2,FALSE)</f>
        <v>Kadir TOPÇU</v>
      </c>
    </row>
    <row r="3073" spans="1:27" x14ac:dyDescent="0.25">
      <c r="A3073">
        <v>4401</v>
      </c>
      <c r="B3073" t="s">
        <v>27</v>
      </c>
      <c r="C3073" t="s">
        <v>402</v>
      </c>
      <c r="D3073" t="s">
        <v>403</v>
      </c>
      <c r="G3073" t="s">
        <v>384</v>
      </c>
      <c r="H3073" t="s">
        <v>9048</v>
      </c>
      <c r="I3073" s="4">
        <v>45443.875</v>
      </c>
      <c r="K3073" t="s">
        <v>678</v>
      </c>
      <c r="L3073" s="5"/>
      <c r="M3073" s="5" t="s">
        <v>8423</v>
      </c>
      <c r="N3073" t="s">
        <v>82</v>
      </c>
      <c r="O3073" t="s">
        <v>9049</v>
      </c>
      <c r="R3073">
        <v>1</v>
      </c>
      <c r="T3073" s="5"/>
      <c r="W3073">
        <v>270</v>
      </c>
      <c r="X3073" t="s">
        <v>8412</v>
      </c>
      <c r="Y3073" t="str">
        <f>VLOOKUP(C3073,'[1]DBS_KPY Sorumlular'!A:C,2,FALSE)</f>
        <v>Tayfun VİÇE</v>
      </c>
      <c r="Z3073" t="str">
        <f>VLOOKUP(C3073,'[1]DBS_KPY Sorumlular'!A:C,3,FALSE)</f>
        <v>Mehmet Ali YAVUZ</v>
      </c>
      <c r="AA3073" t="str">
        <f>VLOOKUP(K3073,[1]!Tablo3[#Data],2,FALSE)</f>
        <v>Kadir TOPÇU</v>
      </c>
    </row>
    <row r="3074" spans="1:27" x14ac:dyDescent="0.25">
      <c r="A3074">
        <v>4403</v>
      </c>
      <c r="B3074" t="s">
        <v>27</v>
      </c>
      <c r="C3074" t="s">
        <v>402</v>
      </c>
      <c r="D3074" t="s">
        <v>403</v>
      </c>
      <c r="G3074" t="s">
        <v>384</v>
      </c>
      <c r="H3074" t="s">
        <v>9050</v>
      </c>
      <c r="I3074" s="4">
        <v>45443.875</v>
      </c>
      <c r="K3074" t="s">
        <v>678</v>
      </c>
      <c r="L3074" s="5" t="s">
        <v>8546</v>
      </c>
      <c r="M3074" s="5" t="s">
        <v>8423</v>
      </c>
      <c r="N3074" t="s">
        <v>82</v>
      </c>
      <c r="O3074" t="s">
        <v>9051</v>
      </c>
      <c r="R3074">
        <v>1</v>
      </c>
      <c r="T3074" s="5"/>
      <c r="W3074">
        <v>270</v>
      </c>
      <c r="X3074" t="s">
        <v>8412</v>
      </c>
      <c r="Y3074" t="str">
        <f>VLOOKUP(C3074,'[1]DBS_KPY Sorumlular'!A:C,2,FALSE)</f>
        <v>Tayfun VİÇE</v>
      </c>
      <c r="Z3074" t="str">
        <f>VLOOKUP(C3074,'[1]DBS_KPY Sorumlular'!A:C,3,FALSE)</f>
        <v>Mehmet Ali YAVUZ</v>
      </c>
      <c r="AA3074" t="str">
        <f>VLOOKUP(K3074,[1]!Tablo3[#Data],2,FALSE)</f>
        <v>Kadir TOPÇU</v>
      </c>
    </row>
    <row r="3075" spans="1:27" x14ac:dyDescent="0.25">
      <c r="A3075">
        <v>4404</v>
      </c>
      <c r="B3075" t="s">
        <v>27</v>
      </c>
      <c r="C3075" t="s">
        <v>402</v>
      </c>
      <c r="D3075" t="s">
        <v>403</v>
      </c>
      <c r="G3075" t="s">
        <v>384</v>
      </c>
      <c r="H3075" t="s">
        <v>9052</v>
      </c>
      <c r="I3075" s="4">
        <v>45443.875</v>
      </c>
      <c r="K3075" t="s">
        <v>226</v>
      </c>
      <c r="L3075" s="5"/>
      <c r="M3075" s="5" t="s">
        <v>8423</v>
      </c>
      <c r="N3075" t="s">
        <v>82</v>
      </c>
      <c r="O3075" t="s">
        <v>9053</v>
      </c>
      <c r="R3075">
        <v>1</v>
      </c>
      <c r="T3075" s="5"/>
      <c r="W3075">
        <v>270</v>
      </c>
      <c r="X3075" t="s">
        <v>8412</v>
      </c>
      <c r="Y3075" t="str">
        <f>VLOOKUP(C3075,'[1]DBS_KPY Sorumlular'!A:C,2,FALSE)</f>
        <v>Tayfun VİÇE</v>
      </c>
      <c r="Z3075" t="str">
        <f>VLOOKUP(C3075,'[1]DBS_KPY Sorumlular'!A:C,3,FALSE)</f>
        <v>Mehmet Ali YAVUZ</v>
      </c>
      <c r="AA3075" t="str">
        <f>VLOOKUP(K3075,[1]!Tablo3[#Data],2,FALSE)</f>
        <v>Kadir TOPÇU</v>
      </c>
    </row>
    <row r="3076" spans="1:27" x14ac:dyDescent="0.25">
      <c r="A3076">
        <v>4405</v>
      </c>
      <c r="B3076" t="s">
        <v>27</v>
      </c>
      <c r="C3076" t="s">
        <v>402</v>
      </c>
      <c r="D3076" t="s">
        <v>403</v>
      </c>
      <c r="G3076" t="s">
        <v>384</v>
      </c>
      <c r="H3076" t="s">
        <v>9054</v>
      </c>
      <c r="I3076" s="4">
        <v>45443.875</v>
      </c>
      <c r="K3076" t="s">
        <v>835</v>
      </c>
      <c r="L3076" s="5"/>
      <c r="M3076" s="5" t="s">
        <v>8423</v>
      </c>
      <c r="N3076" t="s">
        <v>82</v>
      </c>
      <c r="O3076" t="s">
        <v>9055</v>
      </c>
      <c r="R3076">
        <v>1</v>
      </c>
      <c r="T3076" s="5"/>
      <c r="W3076">
        <v>270</v>
      </c>
      <c r="X3076" t="s">
        <v>8412</v>
      </c>
      <c r="Y3076" t="str">
        <f>VLOOKUP(C3076,'[1]DBS_KPY Sorumlular'!A:C,2,FALSE)</f>
        <v>Tayfun VİÇE</v>
      </c>
      <c r="Z3076" t="str">
        <f>VLOOKUP(C3076,'[1]DBS_KPY Sorumlular'!A:C,3,FALSE)</f>
        <v>Mehmet Ali YAVUZ</v>
      </c>
      <c r="AA3076" t="str">
        <f>VLOOKUP(K3076,[1]!Tablo3[#Data],2,FALSE)</f>
        <v>Kadir TOPÇU</v>
      </c>
    </row>
    <row r="3077" spans="1:27" x14ac:dyDescent="0.25">
      <c r="A3077">
        <v>4406</v>
      </c>
      <c r="B3077" t="s">
        <v>27</v>
      </c>
      <c r="C3077" t="s">
        <v>402</v>
      </c>
      <c r="D3077" t="s">
        <v>403</v>
      </c>
      <c r="G3077" t="s">
        <v>384</v>
      </c>
      <c r="H3077" t="s">
        <v>9056</v>
      </c>
      <c r="I3077" s="4">
        <v>45443.875</v>
      </c>
      <c r="K3077" t="s">
        <v>678</v>
      </c>
      <c r="L3077" s="5"/>
      <c r="M3077" s="5" t="s">
        <v>8423</v>
      </c>
      <c r="N3077" t="s">
        <v>82</v>
      </c>
      <c r="O3077" t="s">
        <v>9057</v>
      </c>
      <c r="R3077">
        <v>1</v>
      </c>
      <c r="T3077" s="5"/>
      <c r="W3077">
        <v>270</v>
      </c>
      <c r="X3077" t="s">
        <v>8412</v>
      </c>
      <c r="Y3077" t="str">
        <f>VLOOKUP(C3077,'[1]DBS_KPY Sorumlular'!A:C,2,FALSE)</f>
        <v>Tayfun VİÇE</v>
      </c>
      <c r="Z3077" t="str">
        <f>VLOOKUP(C3077,'[1]DBS_KPY Sorumlular'!A:C,3,FALSE)</f>
        <v>Mehmet Ali YAVUZ</v>
      </c>
      <c r="AA3077" t="str">
        <f>VLOOKUP(K3077,[1]!Tablo3[#Data],2,FALSE)</f>
        <v>Kadir TOPÇU</v>
      </c>
    </row>
    <row r="3078" spans="1:27" x14ac:dyDescent="0.25">
      <c r="A3078">
        <v>4407</v>
      </c>
      <c r="B3078" t="s">
        <v>27</v>
      </c>
      <c r="C3078" t="s">
        <v>402</v>
      </c>
      <c r="D3078" t="s">
        <v>403</v>
      </c>
      <c r="G3078" t="s">
        <v>384</v>
      </c>
      <c r="H3078" t="s">
        <v>9058</v>
      </c>
      <c r="I3078" s="4">
        <v>45443.875</v>
      </c>
      <c r="K3078" t="s">
        <v>678</v>
      </c>
      <c r="L3078" s="5"/>
      <c r="M3078" s="5"/>
      <c r="N3078" t="s">
        <v>82</v>
      </c>
      <c r="O3078" t="s">
        <v>9059</v>
      </c>
      <c r="R3078">
        <v>1</v>
      </c>
      <c r="T3078" s="5"/>
      <c r="W3078">
        <v>32</v>
      </c>
      <c r="X3078" t="s">
        <v>4412</v>
      </c>
      <c r="Y3078" t="str">
        <f>VLOOKUP(C3078,'[1]DBS_KPY Sorumlular'!A:C,2,FALSE)</f>
        <v>Tayfun VİÇE</v>
      </c>
      <c r="Z3078" t="str">
        <f>VLOOKUP(C3078,'[1]DBS_KPY Sorumlular'!A:C,3,FALSE)</f>
        <v>Mehmet Ali YAVUZ</v>
      </c>
      <c r="AA3078" t="str">
        <f>VLOOKUP(K3078,[1]!Tablo3[#Data],2,FALSE)</f>
        <v>Kadir TOPÇU</v>
      </c>
    </row>
    <row r="3079" spans="1:27" x14ac:dyDescent="0.25">
      <c r="A3079">
        <v>4409</v>
      </c>
      <c r="B3079" t="s">
        <v>27</v>
      </c>
      <c r="C3079" t="s">
        <v>402</v>
      </c>
      <c r="D3079" t="s">
        <v>403</v>
      </c>
      <c r="G3079" t="s">
        <v>384</v>
      </c>
      <c r="H3079" t="s">
        <v>9060</v>
      </c>
      <c r="I3079" s="4">
        <v>45443.875</v>
      </c>
      <c r="K3079" t="s">
        <v>678</v>
      </c>
      <c r="L3079" s="5"/>
      <c r="M3079" s="5" t="s">
        <v>8423</v>
      </c>
      <c r="N3079" t="s">
        <v>82</v>
      </c>
      <c r="O3079" t="s">
        <v>9061</v>
      </c>
      <c r="R3079">
        <v>1</v>
      </c>
      <c r="T3079" s="5"/>
      <c r="W3079">
        <v>270</v>
      </c>
      <c r="X3079" t="s">
        <v>8412</v>
      </c>
      <c r="Y3079" t="str">
        <f>VLOOKUP(C3079,'[1]DBS_KPY Sorumlular'!A:C,2,FALSE)</f>
        <v>Tayfun VİÇE</v>
      </c>
      <c r="Z3079" t="str">
        <f>VLOOKUP(C3079,'[1]DBS_KPY Sorumlular'!A:C,3,FALSE)</f>
        <v>Mehmet Ali YAVUZ</v>
      </c>
      <c r="AA3079" t="str">
        <f>VLOOKUP(K3079,[1]!Tablo3[#Data],2,FALSE)</f>
        <v>Kadir TOPÇU</v>
      </c>
    </row>
    <row r="3080" spans="1:27" x14ac:dyDescent="0.25">
      <c r="A3080">
        <v>4413</v>
      </c>
      <c r="B3080" t="s">
        <v>27</v>
      </c>
      <c r="C3080" t="s">
        <v>402</v>
      </c>
      <c r="D3080" t="s">
        <v>403</v>
      </c>
      <c r="G3080" t="s">
        <v>384</v>
      </c>
      <c r="H3080" t="s">
        <v>9062</v>
      </c>
      <c r="I3080" s="4">
        <v>43982.875</v>
      </c>
      <c r="K3080" t="s">
        <v>743</v>
      </c>
      <c r="L3080" s="5"/>
      <c r="M3080" s="5"/>
      <c r="N3080" t="s">
        <v>82</v>
      </c>
      <c r="O3080" t="s">
        <v>9063</v>
      </c>
      <c r="R3080">
        <v>1</v>
      </c>
      <c r="T3080" s="5"/>
      <c r="W3080">
        <v>177</v>
      </c>
      <c r="X3080" t="s">
        <v>2818</v>
      </c>
      <c r="Y3080" t="str">
        <f>VLOOKUP(C3080,'[1]DBS_KPY Sorumlular'!A:C,2,FALSE)</f>
        <v>Tayfun VİÇE</v>
      </c>
      <c r="Z3080" t="str">
        <f>VLOOKUP(C3080,'[1]DBS_KPY Sorumlular'!A:C,3,FALSE)</f>
        <v>Mehmet Ali YAVUZ</v>
      </c>
      <c r="AA3080" t="str">
        <f>VLOOKUP(K3080,[1]!Tablo3[#Data],2,FALSE)</f>
        <v>Kadir TOPÇU</v>
      </c>
    </row>
    <row r="3081" spans="1:27" x14ac:dyDescent="0.25">
      <c r="A3081">
        <v>4414</v>
      </c>
      <c r="B3081" t="s">
        <v>27</v>
      </c>
      <c r="C3081" t="s">
        <v>402</v>
      </c>
      <c r="D3081" t="s">
        <v>403</v>
      </c>
      <c r="G3081" t="s">
        <v>384</v>
      </c>
      <c r="H3081" t="s">
        <v>9064</v>
      </c>
      <c r="I3081" s="4">
        <v>43982.875</v>
      </c>
      <c r="K3081" t="s">
        <v>743</v>
      </c>
      <c r="L3081" s="5"/>
      <c r="M3081" s="5"/>
      <c r="N3081" t="s">
        <v>82</v>
      </c>
      <c r="O3081" t="s">
        <v>9065</v>
      </c>
      <c r="R3081">
        <v>1</v>
      </c>
      <c r="T3081" s="5"/>
      <c r="W3081">
        <v>32</v>
      </c>
      <c r="X3081" t="s">
        <v>4412</v>
      </c>
      <c r="Y3081" t="str">
        <f>VLOOKUP(C3081,'[1]DBS_KPY Sorumlular'!A:C,2,FALSE)</f>
        <v>Tayfun VİÇE</v>
      </c>
      <c r="Z3081" t="str">
        <f>VLOOKUP(C3081,'[1]DBS_KPY Sorumlular'!A:C,3,FALSE)</f>
        <v>Mehmet Ali YAVUZ</v>
      </c>
      <c r="AA3081" t="str">
        <f>VLOOKUP(K3081,[1]!Tablo3[#Data],2,FALSE)</f>
        <v>Kadir TOPÇU</v>
      </c>
    </row>
    <row r="3082" spans="1:27" x14ac:dyDescent="0.25">
      <c r="A3082">
        <v>4415</v>
      </c>
      <c r="B3082" t="s">
        <v>27</v>
      </c>
      <c r="C3082" t="s">
        <v>402</v>
      </c>
      <c r="D3082" t="s">
        <v>403</v>
      </c>
      <c r="G3082" t="s">
        <v>384</v>
      </c>
      <c r="H3082" t="s">
        <v>9066</v>
      </c>
      <c r="I3082" s="4">
        <v>43982.875</v>
      </c>
      <c r="K3082" t="s">
        <v>743</v>
      </c>
      <c r="L3082" s="5"/>
      <c r="M3082" s="5"/>
      <c r="N3082" t="s">
        <v>82</v>
      </c>
      <c r="O3082" t="s">
        <v>9067</v>
      </c>
      <c r="R3082">
        <v>1</v>
      </c>
      <c r="T3082" s="5"/>
      <c r="W3082">
        <v>157</v>
      </c>
      <c r="X3082" t="s">
        <v>3495</v>
      </c>
      <c r="Y3082" t="str">
        <f>VLOOKUP(C3082,'[1]DBS_KPY Sorumlular'!A:C,2,FALSE)</f>
        <v>Tayfun VİÇE</v>
      </c>
      <c r="Z3082" t="str">
        <f>VLOOKUP(C3082,'[1]DBS_KPY Sorumlular'!A:C,3,FALSE)</f>
        <v>Mehmet Ali YAVUZ</v>
      </c>
      <c r="AA3082" t="str">
        <f>VLOOKUP(K3082,[1]!Tablo3[#Data],2,FALSE)</f>
        <v>Kadir TOPÇU</v>
      </c>
    </row>
    <row r="3083" spans="1:27" x14ac:dyDescent="0.25">
      <c r="A3083">
        <v>4416</v>
      </c>
      <c r="B3083" t="s">
        <v>27</v>
      </c>
      <c r="C3083" t="s">
        <v>402</v>
      </c>
      <c r="D3083" t="s">
        <v>403</v>
      </c>
      <c r="G3083" t="s">
        <v>384</v>
      </c>
      <c r="H3083" t="s">
        <v>9068</v>
      </c>
      <c r="I3083" s="4">
        <v>43982.875</v>
      </c>
      <c r="K3083" t="s">
        <v>743</v>
      </c>
      <c r="L3083" s="5"/>
      <c r="M3083" s="5"/>
      <c r="N3083" t="s">
        <v>82</v>
      </c>
      <c r="O3083" t="s">
        <v>9069</v>
      </c>
      <c r="R3083">
        <v>1</v>
      </c>
      <c r="T3083" s="5"/>
      <c r="W3083">
        <v>32</v>
      </c>
      <c r="X3083" t="s">
        <v>4412</v>
      </c>
      <c r="Y3083" t="str">
        <f>VLOOKUP(C3083,'[1]DBS_KPY Sorumlular'!A:C,2,FALSE)</f>
        <v>Tayfun VİÇE</v>
      </c>
      <c r="Z3083" t="str">
        <f>VLOOKUP(C3083,'[1]DBS_KPY Sorumlular'!A:C,3,FALSE)</f>
        <v>Mehmet Ali YAVUZ</v>
      </c>
      <c r="AA3083" t="str">
        <f>VLOOKUP(K3083,[1]!Tablo3[#Data],2,FALSE)</f>
        <v>Kadir TOPÇU</v>
      </c>
    </row>
    <row r="3084" spans="1:27" x14ac:dyDescent="0.25">
      <c r="A3084">
        <v>4417</v>
      </c>
      <c r="B3084" t="s">
        <v>27</v>
      </c>
      <c r="C3084" t="s">
        <v>402</v>
      </c>
      <c r="D3084" t="s">
        <v>403</v>
      </c>
      <c r="G3084" t="s">
        <v>384</v>
      </c>
      <c r="H3084" t="s">
        <v>9070</v>
      </c>
      <c r="I3084" s="4">
        <v>43982.875</v>
      </c>
      <c r="K3084" t="s">
        <v>743</v>
      </c>
      <c r="L3084" s="5"/>
      <c r="M3084" s="5"/>
      <c r="N3084" t="s">
        <v>82</v>
      </c>
      <c r="O3084" t="s">
        <v>9071</v>
      </c>
      <c r="R3084">
        <v>1</v>
      </c>
      <c r="T3084" s="5"/>
      <c r="W3084">
        <v>32</v>
      </c>
      <c r="X3084" t="s">
        <v>4412</v>
      </c>
      <c r="Y3084" t="str">
        <f>VLOOKUP(C3084,'[1]DBS_KPY Sorumlular'!A:C,2,FALSE)</f>
        <v>Tayfun VİÇE</v>
      </c>
      <c r="Z3084" t="str">
        <f>VLOOKUP(C3084,'[1]DBS_KPY Sorumlular'!A:C,3,FALSE)</f>
        <v>Mehmet Ali YAVUZ</v>
      </c>
      <c r="AA3084" t="str">
        <f>VLOOKUP(K3084,[1]!Tablo3[#Data],2,FALSE)</f>
        <v>Kadir TOPÇU</v>
      </c>
    </row>
    <row r="3085" spans="1:27" x14ac:dyDescent="0.25">
      <c r="A3085">
        <v>4418</v>
      </c>
      <c r="B3085" t="s">
        <v>27</v>
      </c>
      <c r="C3085" t="s">
        <v>402</v>
      </c>
      <c r="D3085" t="s">
        <v>403</v>
      </c>
      <c r="G3085" t="s">
        <v>384</v>
      </c>
      <c r="H3085" t="s">
        <v>9072</v>
      </c>
      <c r="I3085" s="4">
        <v>43982.875</v>
      </c>
      <c r="K3085" t="s">
        <v>743</v>
      </c>
      <c r="L3085" s="5"/>
      <c r="M3085" s="5"/>
      <c r="N3085" t="s">
        <v>82</v>
      </c>
      <c r="O3085" t="s">
        <v>9073</v>
      </c>
      <c r="R3085">
        <v>1</v>
      </c>
      <c r="T3085" s="5"/>
      <c r="W3085">
        <v>32</v>
      </c>
      <c r="X3085" t="s">
        <v>4412</v>
      </c>
      <c r="Y3085" t="str">
        <f>VLOOKUP(C3085,'[1]DBS_KPY Sorumlular'!A:C,2,FALSE)</f>
        <v>Tayfun VİÇE</v>
      </c>
      <c r="Z3085" t="str">
        <f>VLOOKUP(C3085,'[1]DBS_KPY Sorumlular'!A:C,3,FALSE)</f>
        <v>Mehmet Ali YAVUZ</v>
      </c>
      <c r="AA3085" t="str">
        <f>VLOOKUP(K3085,[1]!Tablo3[#Data],2,FALSE)</f>
        <v>Kadir TOPÇU</v>
      </c>
    </row>
    <row r="3086" spans="1:27" x14ac:dyDescent="0.25">
      <c r="A3086">
        <v>4419</v>
      </c>
      <c r="B3086" t="s">
        <v>27</v>
      </c>
      <c r="C3086" t="s">
        <v>402</v>
      </c>
      <c r="D3086" t="s">
        <v>403</v>
      </c>
      <c r="G3086" t="s">
        <v>384</v>
      </c>
      <c r="H3086" t="s">
        <v>9074</v>
      </c>
      <c r="I3086" s="4">
        <v>43982.875</v>
      </c>
      <c r="K3086" t="s">
        <v>743</v>
      </c>
      <c r="L3086" s="5"/>
      <c r="M3086" s="5"/>
      <c r="N3086" t="s">
        <v>82</v>
      </c>
      <c r="O3086" t="s">
        <v>9075</v>
      </c>
      <c r="R3086">
        <v>1</v>
      </c>
      <c r="T3086" s="5"/>
      <c r="W3086">
        <v>29</v>
      </c>
      <c r="X3086" t="s">
        <v>7107</v>
      </c>
      <c r="Y3086" t="str">
        <f>VLOOKUP(C3086,'[1]DBS_KPY Sorumlular'!A:C,2,FALSE)</f>
        <v>Tayfun VİÇE</v>
      </c>
      <c r="Z3086" t="str">
        <f>VLOOKUP(C3086,'[1]DBS_KPY Sorumlular'!A:C,3,FALSE)</f>
        <v>Mehmet Ali YAVUZ</v>
      </c>
      <c r="AA3086" t="str">
        <f>VLOOKUP(K3086,[1]!Tablo3[#Data],2,FALSE)</f>
        <v>Kadir TOPÇU</v>
      </c>
    </row>
    <row r="3087" spans="1:27" x14ac:dyDescent="0.25">
      <c r="A3087">
        <v>4420</v>
      </c>
      <c r="B3087" t="s">
        <v>27</v>
      </c>
      <c r="C3087" t="s">
        <v>402</v>
      </c>
      <c r="D3087" t="s">
        <v>403</v>
      </c>
      <c r="G3087" t="s">
        <v>384</v>
      </c>
      <c r="H3087" t="s">
        <v>9076</v>
      </c>
      <c r="I3087" s="4">
        <v>43982.875</v>
      </c>
      <c r="K3087" t="s">
        <v>743</v>
      </c>
      <c r="L3087" s="5"/>
      <c r="M3087" s="5"/>
      <c r="N3087" t="s">
        <v>82</v>
      </c>
      <c r="O3087" t="s">
        <v>9077</v>
      </c>
      <c r="R3087">
        <v>1</v>
      </c>
      <c r="T3087" s="5"/>
      <c r="W3087">
        <v>177</v>
      </c>
      <c r="X3087" t="s">
        <v>2818</v>
      </c>
      <c r="Y3087" t="str">
        <f>VLOOKUP(C3087,'[1]DBS_KPY Sorumlular'!A:C,2,FALSE)</f>
        <v>Tayfun VİÇE</v>
      </c>
      <c r="Z3087" t="str">
        <f>VLOOKUP(C3087,'[1]DBS_KPY Sorumlular'!A:C,3,FALSE)</f>
        <v>Mehmet Ali YAVUZ</v>
      </c>
      <c r="AA3087" t="str">
        <f>VLOOKUP(K3087,[1]!Tablo3[#Data],2,FALSE)</f>
        <v>Kadir TOPÇU</v>
      </c>
    </row>
    <row r="3088" spans="1:27" x14ac:dyDescent="0.25">
      <c r="A3088">
        <v>4421</v>
      </c>
      <c r="B3088" t="s">
        <v>27</v>
      </c>
      <c r="C3088" t="s">
        <v>402</v>
      </c>
      <c r="D3088" t="s">
        <v>403</v>
      </c>
      <c r="G3088" t="s">
        <v>384</v>
      </c>
      <c r="H3088" t="s">
        <v>9078</v>
      </c>
      <c r="I3088" s="4">
        <v>44347.875</v>
      </c>
      <c r="K3088" t="s">
        <v>743</v>
      </c>
      <c r="L3088" s="5"/>
      <c r="M3088" s="5"/>
      <c r="N3088" t="s">
        <v>82</v>
      </c>
      <c r="O3088" t="s">
        <v>9079</v>
      </c>
      <c r="R3088">
        <v>1</v>
      </c>
      <c r="T3088" s="5"/>
      <c r="W3088">
        <v>32</v>
      </c>
      <c r="X3088" t="s">
        <v>4412</v>
      </c>
      <c r="Y3088" t="str">
        <f>VLOOKUP(C3088,'[1]DBS_KPY Sorumlular'!A:C,2,FALSE)</f>
        <v>Tayfun VİÇE</v>
      </c>
      <c r="Z3088" t="str">
        <f>VLOOKUP(C3088,'[1]DBS_KPY Sorumlular'!A:C,3,FALSE)</f>
        <v>Mehmet Ali YAVUZ</v>
      </c>
      <c r="AA3088" t="str">
        <f>VLOOKUP(K3088,[1]!Tablo3[#Data],2,FALSE)</f>
        <v>Kadir TOPÇU</v>
      </c>
    </row>
    <row r="3089" spans="1:27" x14ac:dyDescent="0.25">
      <c r="A3089">
        <v>4422</v>
      </c>
      <c r="B3089" t="s">
        <v>27</v>
      </c>
      <c r="C3089" t="s">
        <v>402</v>
      </c>
      <c r="D3089" t="s">
        <v>403</v>
      </c>
      <c r="G3089" t="s">
        <v>384</v>
      </c>
      <c r="H3089" t="s">
        <v>9080</v>
      </c>
      <c r="I3089" s="4">
        <v>44347.875</v>
      </c>
      <c r="K3089" t="s">
        <v>743</v>
      </c>
      <c r="L3089" s="5"/>
      <c r="M3089" s="5"/>
      <c r="N3089" t="s">
        <v>82</v>
      </c>
      <c r="O3089" t="s">
        <v>9081</v>
      </c>
      <c r="R3089">
        <v>1</v>
      </c>
      <c r="T3089" s="5"/>
      <c r="W3089">
        <v>178</v>
      </c>
      <c r="X3089" t="s">
        <v>9082</v>
      </c>
      <c r="Y3089" t="str">
        <f>VLOOKUP(C3089,'[1]DBS_KPY Sorumlular'!A:C,2,FALSE)</f>
        <v>Tayfun VİÇE</v>
      </c>
      <c r="Z3089" t="str">
        <f>VLOOKUP(C3089,'[1]DBS_KPY Sorumlular'!A:C,3,FALSE)</f>
        <v>Mehmet Ali YAVUZ</v>
      </c>
      <c r="AA3089" t="str">
        <f>VLOOKUP(K3089,[1]!Tablo3[#Data],2,FALSE)</f>
        <v>Kadir TOPÇU</v>
      </c>
    </row>
    <row r="3090" spans="1:27" x14ac:dyDescent="0.25">
      <c r="A3090">
        <v>4423</v>
      </c>
      <c r="B3090" t="s">
        <v>27</v>
      </c>
      <c r="C3090" t="s">
        <v>402</v>
      </c>
      <c r="D3090" t="s">
        <v>403</v>
      </c>
      <c r="G3090" t="s">
        <v>384</v>
      </c>
      <c r="H3090" t="s">
        <v>9083</v>
      </c>
      <c r="I3090" s="4">
        <v>44347.875</v>
      </c>
      <c r="K3090" t="s">
        <v>678</v>
      </c>
      <c r="L3090" s="5"/>
      <c r="M3090" s="5"/>
      <c r="N3090" t="s">
        <v>82</v>
      </c>
      <c r="O3090" t="s">
        <v>9084</v>
      </c>
      <c r="R3090">
        <v>1</v>
      </c>
      <c r="T3090" s="5"/>
      <c r="W3090">
        <v>196</v>
      </c>
      <c r="X3090" t="s">
        <v>7066</v>
      </c>
      <c r="Y3090" t="str">
        <f>VLOOKUP(C3090,'[1]DBS_KPY Sorumlular'!A:C,2,FALSE)</f>
        <v>Tayfun VİÇE</v>
      </c>
      <c r="Z3090" t="str">
        <f>VLOOKUP(C3090,'[1]DBS_KPY Sorumlular'!A:C,3,FALSE)</f>
        <v>Mehmet Ali YAVUZ</v>
      </c>
      <c r="AA3090" t="str">
        <f>VLOOKUP(K3090,[1]!Tablo3[#Data],2,FALSE)</f>
        <v>Kadir TOPÇU</v>
      </c>
    </row>
    <row r="3091" spans="1:27" x14ac:dyDescent="0.25">
      <c r="A3091">
        <v>4424</v>
      </c>
      <c r="B3091" t="s">
        <v>27</v>
      </c>
      <c r="C3091" t="s">
        <v>402</v>
      </c>
      <c r="D3091" t="s">
        <v>403</v>
      </c>
      <c r="G3091" t="s">
        <v>384</v>
      </c>
      <c r="H3091" t="s">
        <v>9085</v>
      </c>
      <c r="I3091" s="4">
        <v>44347.875</v>
      </c>
      <c r="K3091" t="s">
        <v>743</v>
      </c>
      <c r="L3091" s="5"/>
      <c r="M3091" s="5"/>
      <c r="N3091" t="s">
        <v>82</v>
      </c>
      <c r="O3091" t="s">
        <v>9086</v>
      </c>
      <c r="R3091">
        <v>1</v>
      </c>
      <c r="T3091" s="5"/>
      <c r="W3091">
        <v>96</v>
      </c>
      <c r="X3091" t="s">
        <v>1379</v>
      </c>
      <c r="Y3091" t="str">
        <f>VLOOKUP(C3091,'[1]DBS_KPY Sorumlular'!A:C,2,FALSE)</f>
        <v>Tayfun VİÇE</v>
      </c>
      <c r="Z3091" t="str">
        <f>VLOOKUP(C3091,'[1]DBS_KPY Sorumlular'!A:C,3,FALSE)</f>
        <v>Mehmet Ali YAVUZ</v>
      </c>
      <c r="AA3091" t="str">
        <f>VLOOKUP(K3091,[1]!Tablo3[#Data],2,FALSE)</f>
        <v>Kadir TOPÇU</v>
      </c>
    </row>
    <row r="3092" spans="1:27" x14ac:dyDescent="0.25">
      <c r="A3092">
        <v>4425</v>
      </c>
      <c r="B3092" t="s">
        <v>27</v>
      </c>
      <c r="C3092" t="s">
        <v>402</v>
      </c>
      <c r="D3092" t="s">
        <v>403</v>
      </c>
      <c r="G3092" t="s">
        <v>384</v>
      </c>
      <c r="H3092" t="s">
        <v>9087</v>
      </c>
      <c r="I3092" s="4">
        <v>44347.875</v>
      </c>
      <c r="K3092" t="s">
        <v>743</v>
      </c>
      <c r="L3092" s="5"/>
      <c r="M3092" s="5"/>
      <c r="N3092" t="s">
        <v>82</v>
      </c>
      <c r="O3092" t="s">
        <v>9088</v>
      </c>
      <c r="R3092">
        <v>1</v>
      </c>
      <c r="T3092" s="5"/>
      <c r="W3092">
        <v>64</v>
      </c>
      <c r="X3092" t="s">
        <v>5394</v>
      </c>
      <c r="Y3092" t="str">
        <f>VLOOKUP(C3092,'[1]DBS_KPY Sorumlular'!A:C,2,FALSE)</f>
        <v>Tayfun VİÇE</v>
      </c>
      <c r="Z3092" t="str">
        <f>VLOOKUP(C3092,'[1]DBS_KPY Sorumlular'!A:C,3,FALSE)</f>
        <v>Mehmet Ali YAVUZ</v>
      </c>
      <c r="AA3092" t="str">
        <f>VLOOKUP(K3092,[1]!Tablo3[#Data],2,FALSE)</f>
        <v>Kadir TOPÇU</v>
      </c>
    </row>
    <row r="3093" spans="1:27" x14ac:dyDescent="0.25">
      <c r="A3093">
        <v>4426</v>
      </c>
      <c r="B3093" t="s">
        <v>27</v>
      </c>
      <c r="C3093" t="s">
        <v>402</v>
      </c>
      <c r="D3093" t="s">
        <v>403</v>
      </c>
      <c r="G3093" t="s">
        <v>384</v>
      </c>
      <c r="H3093" t="s">
        <v>9089</v>
      </c>
      <c r="I3093" s="4">
        <v>44712.875</v>
      </c>
      <c r="K3093" t="s">
        <v>743</v>
      </c>
      <c r="L3093" s="5"/>
      <c r="M3093" s="5"/>
      <c r="N3093" t="s">
        <v>82</v>
      </c>
      <c r="O3093" t="s">
        <v>9090</v>
      </c>
      <c r="R3093">
        <v>1</v>
      </c>
      <c r="T3093" s="5"/>
      <c r="W3093">
        <v>32</v>
      </c>
      <c r="X3093" t="s">
        <v>4412</v>
      </c>
      <c r="Y3093" t="str">
        <f>VLOOKUP(C3093,'[1]DBS_KPY Sorumlular'!A:C,2,FALSE)</f>
        <v>Tayfun VİÇE</v>
      </c>
      <c r="Z3093" t="str">
        <f>VLOOKUP(C3093,'[1]DBS_KPY Sorumlular'!A:C,3,FALSE)</f>
        <v>Mehmet Ali YAVUZ</v>
      </c>
      <c r="AA3093" t="str">
        <f>VLOOKUP(K3093,[1]!Tablo3[#Data],2,FALSE)</f>
        <v>Kadir TOPÇU</v>
      </c>
    </row>
    <row r="3094" spans="1:27" x14ac:dyDescent="0.25">
      <c r="A3094">
        <v>4427</v>
      </c>
      <c r="B3094" t="s">
        <v>27</v>
      </c>
      <c r="C3094" t="s">
        <v>402</v>
      </c>
      <c r="D3094" t="s">
        <v>403</v>
      </c>
      <c r="G3094" t="s">
        <v>384</v>
      </c>
      <c r="H3094" t="s">
        <v>9091</v>
      </c>
      <c r="I3094" s="4">
        <v>44712.875</v>
      </c>
      <c r="K3094" t="s">
        <v>743</v>
      </c>
      <c r="L3094" s="5"/>
      <c r="M3094" s="5"/>
      <c r="N3094" t="s">
        <v>82</v>
      </c>
      <c r="O3094" t="s">
        <v>9092</v>
      </c>
      <c r="R3094">
        <v>1</v>
      </c>
      <c r="T3094" s="5"/>
      <c r="W3094">
        <v>66</v>
      </c>
      <c r="X3094" t="s">
        <v>8482</v>
      </c>
      <c r="Y3094" t="str">
        <f>VLOOKUP(C3094,'[1]DBS_KPY Sorumlular'!A:C,2,FALSE)</f>
        <v>Tayfun VİÇE</v>
      </c>
      <c r="Z3094" t="str">
        <f>VLOOKUP(C3094,'[1]DBS_KPY Sorumlular'!A:C,3,FALSE)</f>
        <v>Mehmet Ali YAVUZ</v>
      </c>
      <c r="AA3094" t="str">
        <f>VLOOKUP(K3094,[1]!Tablo3[#Data],2,FALSE)</f>
        <v>Kadir TOPÇU</v>
      </c>
    </row>
    <row r="3095" spans="1:27" x14ac:dyDescent="0.25">
      <c r="A3095">
        <v>4428</v>
      </c>
      <c r="B3095" t="s">
        <v>27</v>
      </c>
      <c r="C3095" t="s">
        <v>402</v>
      </c>
      <c r="D3095" t="s">
        <v>403</v>
      </c>
      <c r="G3095" t="s">
        <v>384</v>
      </c>
      <c r="H3095" t="s">
        <v>9093</v>
      </c>
      <c r="I3095" s="4">
        <v>44712.875</v>
      </c>
      <c r="K3095" t="s">
        <v>743</v>
      </c>
      <c r="L3095" s="5"/>
      <c r="M3095" s="5"/>
      <c r="N3095" t="s">
        <v>82</v>
      </c>
      <c r="O3095" t="s">
        <v>9094</v>
      </c>
      <c r="R3095">
        <v>1</v>
      </c>
      <c r="T3095" s="5"/>
      <c r="W3095">
        <v>66</v>
      </c>
      <c r="X3095" t="s">
        <v>8482</v>
      </c>
      <c r="Y3095" t="str">
        <f>VLOOKUP(C3095,'[1]DBS_KPY Sorumlular'!A:C,2,FALSE)</f>
        <v>Tayfun VİÇE</v>
      </c>
      <c r="Z3095" t="str">
        <f>VLOOKUP(C3095,'[1]DBS_KPY Sorumlular'!A:C,3,FALSE)</f>
        <v>Mehmet Ali YAVUZ</v>
      </c>
      <c r="AA3095" t="str">
        <f>VLOOKUP(K3095,[1]!Tablo3[#Data],2,FALSE)</f>
        <v>Kadir TOPÇU</v>
      </c>
    </row>
    <row r="3096" spans="1:27" x14ac:dyDescent="0.25">
      <c r="A3096">
        <v>4429</v>
      </c>
      <c r="B3096" t="s">
        <v>27</v>
      </c>
      <c r="C3096" t="s">
        <v>402</v>
      </c>
      <c r="D3096" t="s">
        <v>403</v>
      </c>
      <c r="G3096" t="s">
        <v>384</v>
      </c>
      <c r="H3096" t="s">
        <v>9095</v>
      </c>
      <c r="I3096" s="4">
        <v>44712.875</v>
      </c>
      <c r="K3096" t="s">
        <v>743</v>
      </c>
      <c r="L3096" s="5"/>
      <c r="M3096" s="5"/>
      <c r="N3096" t="s">
        <v>82</v>
      </c>
      <c r="O3096" t="s">
        <v>9096</v>
      </c>
      <c r="R3096">
        <v>1</v>
      </c>
      <c r="T3096" s="5"/>
      <c r="W3096">
        <v>196</v>
      </c>
      <c r="X3096" t="s">
        <v>7066</v>
      </c>
      <c r="Y3096" t="str">
        <f>VLOOKUP(C3096,'[1]DBS_KPY Sorumlular'!A:C,2,FALSE)</f>
        <v>Tayfun VİÇE</v>
      </c>
      <c r="Z3096" t="str">
        <f>VLOOKUP(C3096,'[1]DBS_KPY Sorumlular'!A:C,3,FALSE)</f>
        <v>Mehmet Ali YAVUZ</v>
      </c>
      <c r="AA3096" t="str">
        <f>VLOOKUP(K3096,[1]!Tablo3[#Data],2,FALSE)</f>
        <v>Kadir TOPÇU</v>
      </c>
    </row>
    <row r="3097" spans="1:27" x14ac:dyDescent="0.25">
      <c r="A3097">
        <v>4430</v>
      </c>
      <c r="B3097" t="s">
        <v>27</v>
      </c>
      <c r="C3097" t="s">
        <v>402</v>
      </c>
      <c r="D3097" t="s">
        <v>403</v>
      </c>
      <c r="G3097" t="s">
        <v>384</v>
      </c>
      <c r="H3097" t="s">
        <v>9097</v>
      </c>
      <c r="I3097" s="4">
        <v>44712.875</v>
      </c>
      <c r="K3097" t="s">
        <v>743</v>
      </c>
      <c r="L3097" s="5"/>
      <c r="M3097" s="5"/>
      <c r="N3097" t="s">
        <v>82</v>
      </c>
      <c r="O3097" t="s">
        <v>9098</v>
      </c>
      <c r="R3097">
        <v>1</v>
      </c>
      <c r="T3097" s="5"/>
      <c r="W3097">
        <v>32</v>
      </c>
      <c r="X3097" t="s">
        <v>4412</v>
      </c>
      <c r="Y3097" t="str">
        <f>VLOOKUP(C3097,'[1]DBS_KPY Sorumlular'!A:C,2,FALSE)</f>
        <v>Tayfun VİÇE</v>
      </c>
      <c r="Z3097" t="str">
        <f>VLOOKUP(C3097,'[1]DBS_KPY Sorumlular'!A:C,3,FALSE)</f>
        <v>Mehmet Ali YAVUZ</v>
      </c>
      <c r="AA3097" t="str">
        <f>VLOOKUP(K3097,[1]!Tablo3[#Data],2,FALSE)</f>
        <v>Kadir TOPÇU</v>
      </c>
    </row>
    <row r="3098" spans="1:27" x14ac:dyDescent="0.25">
      <c r="A3098">
        <v>4431</v>
      </c>
      <c r="B3098" t="s">
        <v>27</v>
      </c>
      <c r="C3098" t="s">
        <v>402</v>
      </c>
      <c r="D3098" t="s">
        <v>403</v>
      </c>
      <c r="G3098" t="s">
        <v>384</v>
      </c>
      <c r="H3098" t="s">
        <v>9099</v>
      </c>
      <c r="I3098" s="4">
        <v>44712.875</v>
      </c>
      <c r="K3098" t="s">
        <v>226</v>
      </c>
      <c r="L3098" s="5"/>
      <c r="M3098" s="5"/>
      <c r="N3098" t="s">
        <v>82</v>
      </c>
      <c r="O3098" t="s">
        <v>9100</v>
      </c>
      <c r="R3098">
        <v>1</v>
      </c>
      <c r="T3098" s="5"/>
      <c r="W3098">
        <v>32</v>
      </c>
      <c r="X3098" t="s">
        <v>4412</v>
      </c>
      <c r="Y3098" t="str">
        <f>VLOOKUP(C3098,'[1]DBS_KPY Sorumlular'!A:C,2,FALSE)</f>
        <v>Tayfun VİÇE</v>
      </c>
      <c r="Z3098" t="str">
        <f>VLOOKUP(C3098,'[1]DBS_KPY Sorumlular'!A:C,3,FALSE)</f>
        <v>Mehmet Ali YAVUZ</v>
      </c>
      <c r="AA3098" t="str">
        <f>VLOOKUP(K3098,[1]!Tablo3[#Data],2,FALSE)</f>
        <v>Kadir TOPÇU</v>
      </c>
    </row>
    <row r="3099" spans="1:27" x14ac:dyDescent="0.25">
      <c r="A3099">
        <v>4432</v>
      </c>
      <c r="B3099" t="s">
        <v>27</v>
      </c>
      <c r="C3099" t="s">
        <v>402</v>
      </c>
      <c r="D3099" t="s">
        <v>403</v>
      </c>
      <c r="G3099" t="s">
        <v>384</v>
      </c>
      <c r="H3099" t="s">
        <v>9101</v>
      </c>
      <c r="I3099" s="4">
        <v>44712.875</v>
      </c>
      <c r="K3099" t="s">
        <v>743</v>
      </c>
      <c r="L3099" s="5"/>
      <c r="M3099" s="5"/>
      <c r="N3099" t="s">
        <v>82</v>
      </c>
      <c r="O3099" t="s">
        <v>9102</v>
      </c>
      <c r="R3099">
        <v>1</v>
      </c>
      <c r="T3099" s="5"/>
      <c r="W3099">
        <v>156</v>
      </c>
      <c r="X3099" t="s">
        <v>815</v>
      </c>
      <c r="Y3099" t="str">
        <f>VLOOKUP(C3099,'[1]DBS_KPY Sorumlular'!A:C,2,FALSE)</f>
        <v>Tayfun VİÇE</v>
      </c>
      <c r="Z3099" t="str">
        <f>VLOOKUP(C3099,'[1]DBS_KPY Sorumlular'!A:C,3,FALSE)</f>
        <v>Mehmet Ali YAVUZ</v>
      </c>
      <c r="AA3099" t="str">
        <f>VLOOKUP(K3099,[1]!Tablo3[#Data],2,FALSE)</f>
        <v>Kadir TOPÇU</v>
      </c>
    </row>
    <row r="3100" spans="1:27" x14ac:dyDescent="0.25">
      <c r="A3100">
        <v>4433</v>
      </c>
      <c r="B3100" t="s">
        <v>27</v>
      </c>
      <c r="C3100" t="s">
        <v>402</v>
      </c>
      <c r="D3100" t="s">
        <v>403</v>
      </c>
      <c r="G3100" t="s">
        <v>384</v>
      </c>
      <c r="H3100" t="s">
        <v>9103</v>
      </c>
      <c r="I3100" s="4">
        <v>44712.875</v>
      </c>
      <c r="K3100" t="s">
        <v>423</v>
      </c>
      <c r="L3100" s="5"/>
      <c r="M3100" s="5"/>
      <c r="N3100" t="s">
        <v>82</v>
      </c>
      <c r="O3100" t="s">
        <v>9104</v>
      </c>
      <c r="R3100">
        <v>1</v>
      </c>
      <c r="T3100" s="5"/>
      <c r="W3100">
        <v>66</v>
      </c>
      <c r="X3100" t="s">
        <v>8482</v>
      </c>
      <c r="Y3100" t="str">
        <f>VLOOKUP(C3100,'[1]DBS_KPY Sorumlular'!A:C,2,FALSE)</f>
        <v>Tayfun VİÇE</v>
      </c>
      <c r="Z3100" t="str">
        <f>VLOOKUP(C3100,'[1]DBS_KPY Sorumlular'!A:C,3,FALSE)</f>
        <v>Mehmet Ali YAVUZ</v>
      </c>
      <c r="AA3100" t="str">
        <f>VLOOKUP(K3100,[1]!Tablo3[#Data],2,FALSE)</f>
        <v>Kadir TOPÇU</v>
      </c>
    </row>
    <row r="3101" spans="1:27" x14ac:dyDescent="0.25">
      <c r="A3101">
        <v>4434</v>
      </c>
      <c r="B3101" t="s">
        <v>27</v>
      </c>
      <c r="C3101" t="s">
        <v>402</v>
      </c>
      <c r="D3101" t="s">
        <v>403</v>
      </c>
      <c r="G3101" t="s">
        <v>384</v>
      </c>
      <c r="H3101" t="s">
        <v>9105</v>
      </c>
      <c r="I3101" s="4">
        <v>44712.875</v>
      </c>
      <c r="K3101" t="s">
        <v>743</v>
      </c>
      <c r="L3101" s="5"/>
      <c r="M3101" s="5"/>
      <c r="N3101" t="s">
        <v>82</v>
      </c>
      <c r="O3101" t="s">
        <v>9106</v>
      </c>
      <c r="R3101">
        <v>1</v>
      </c>
      <c r="T3101" s="5"/>
      <c r="W3101">
        <v>66</v>
      </c>
      <c r="X3101" t="s">
        <v>8482</v>
      </c>
      <c r="Y3101" t="str">
        <f>VLOOKUP(C3101,'[1]DBS_KPY Sorumlular'!A:C,2,FALSE)</f>
        <v>Tayfun VİÇE</v>
      </c>
      <c r="Z3101" t="str">
        <f>VLOOKUP(C3101,'[1]DBS_KPY Sorumlular'!A:C,3,FALSE)</f>
        <v>Mehmet Ali YAVUZ</v>
      </c>
      <c r="AA3101" t="str">
        <f>VLOOKUP(K3101,[1]!Tablo3[#Data],2,FALSE)</f>
        <v>Kadir TOPÇU</v>
      </c>
    </row>
    <row r="3102" spans="1:27" x14ac:dyDescent="0.25">
      <c r="A3102">
        <v>4435</v>
      </c>
      <c r="B3102" t="s">
        <v>27</v>
      </c>
      <c r="C3102" t="s">
        <v>402</v>
      </c>
      <c r="D3102" t="s">
        <v>403</v>
      </c>
      <c r="G3102" t="s">
        <v>384</v>
      </c>
      <c r="H3102" t="s">
        <v>9107</v>
      </c>
      <c r="I3102" s="4">
        <v>44712.875</v>
      </c>
      <c r="K3102" t="s">
        <v>743</v>
      </c>
      <c r="L3102" s="5"/>
      <c r="M3102" s="5"/>
      <c r="N3102" t="s">
        <v>82</v>
      </c>
      <c r="O3102" t="s">
        <v>9106</v>
      </c>
      <c r="R3102">
        <v>1</v>
      </c>
      <c r="T3102" s="5"/>
      <c r="W3102">
        <v>66</v>
      </c>
      <c r="X3102" t="s">
        <v>8482</v>
      </c>
      <c r="Y3102" t="str">
        <f>VLOOKUP(C3102,'[1]DBS_KPY Sorumlular'!A:C,2,FALSE)</f>
        <v>Tayfun VİÇE</v>
      </c>
      <c r="Z3102" t="str">
        <f>VLOOKUP(C3102,'[1]DBS_KPY Sorumlular'!A:C,3,FALSE)</f>
        <v>Mehmet Ali YAVUZ</v>
      </c>
      <c r="AA3102" t="str">
        <f>VLOOKUP(K3102,[1]!Tablo3[#Data],2,FALSE)</f>
        <v>Kadir TOPÇU</v>
      </c>
    </row>
    <row r="3103" spans="1:27" x14ac:dyDescent="0.25">
      <c r="A3103">
        <v>4436</v>
      </c>
      <c r="B3103" t="s">
        <v>27</v>
      </c>
      <c r="C3103" t="s">
        <v>402</v>
      </c>
      <c r="D3103" t="s">
        <v>403</v>
      </c>
      <c r="G3103" t="s">
        <v>384</v>
      </c>
      <c r="H3103" t="s">
        <v>9108</v>
      </c>
      <c r="I3103" s="4">
        <v>44712.875</v>
      </c>
      <c r="K3103" t="s">
        <v>743</v>
      </c>
      <c r="L3103" s="5"/>
      <c r="M3103" s="5"/>
      <c r="N3103" t="s">
        <v>82</v>
      </c>
      <c r="O3103" t="s">
        <v>9106</v>
      </c>
      <c r="R3103">
        <v>1</v>
      </c>
      <c r="T3103" s="5"/>
      <c r="W3103">
        <v>66</v>
      </c>
      <c r="X3103" t="s">
        <v>8482</v>
      </c>
      <c r="Y3103" t="str">
        <f>VLOOKUP(C3103,'[1]DBS_KPY Sorumlular'!A:C,2,FALSE)</f>
        <v>Tayfun VİÇE</v>
      </c>
      <c r="Z3103" t="str">
        <f>VLOOKUP(C3103,'[1]DBS_KPY Sorumlular'!A:C,3,FALSE)</f>
        <v>Mehmet Ali YAVUZ</v>
      </c>
      <c r="AA3103" t="str">
        <f>VLOOKUP(K3103,[1]!Tablo3[#Data],2,FALSE)</f>
        <v>Kadir TOPÇU</v>
      </c>
    </row>
    <row r="3104" spans="1:27" x14ac:dyDescent="0.25">
      <c r="A3104">
        <v>4437</v>
      </c>
      <c r="B3104" t="s">
        <v>27</v>
      </c>
      <c r="C3104" t="s">
        <v>402</v>
      </c>
      <c r="D3104" t="s">
        <v>403</v>
      </c>
      <c r="G3104" t="s">
        <v>384</v>
      </c>
      <c r="H3104" t="s">
        <v>9109</v>
      </c>
      <c r="I3104" s="4">
        <v>44712.875</v>
      </c>
      <c r="K3104" t="s">
        <v>743</v>
      </c>
      <c r="L3104" s="5"/>
      <c r="M3104" s="5"/>
      <c r="N3104" t="s">
        <v>82</v>
      </c>
      <c r="O3104" t="s">
        <v>9110</v>
      </c>
      <c r="R3104">
        <v>1</v>
      </c>
      <c r="T3104" s="5"/>
      <c r="W3104">
        <v>66</v>
      </c>
      <c r="X3104" t="s">
        <v>8482</v>
      </c>
      <c r="Y3104" t="str">
        <f>VLOOKUP(C3104,'[1]DBS_KPY Sorumlular'!A:C,2,FALSE)</f>
        <v>Tayfun VİÇE</v>
      </c>
      <c r="Z3104" t="str">
        <f>VLOOKUP(C3104,'[1]DBS_KPY Sorumlular'!A:C,3,FALSE)</f>
        <v>Mehmet Ali YAVUZ</v>
      </c>
      <c r="AA3104" t="str">
        <f>VLOOKUP(K3104,[1]!Tablo3[#Data],2,FALSE)</f>
        <v>Kadir TOPÇU</v>
      </c>
    </row>
    <row r="3105" spans="1:27" x14ac:dyDescent="0.25">
      <c r="A3105">
        <v>4438</v>
      </c>
      <c r="B3105" t="s">
        <v>27</v>
      </c>
      <c r="C3105" t="s">
        <v>402</v>
      </c>
      <c r="D3105" t="s">
        <v>403</v>
      </c>
      <c r="G3105" t="s">
        <v>384</v>
      </c>
      <c r="H3105" t="s">
        <v>9111</v>
      </c>
      <c r="I3105" s="4">
        <v>44712.875</v>
      </c>
      <c r="K3105" t="s">
        <v>743</v>
      </c>
      <c r="L3105" s="5"/>
      <c r="M3105" s="5"/>
      <c r="N3105" t="s">
        <v>82</v>
      </c>
      <c r="O3105" t="s">
        <v>9112</v>
      </c>
      <c r="R3105">
        <v>1</v>
      </c>
      <c r="T3105" s="5"/>
      <c r="W3105">
        <v>64</v>
      </c>
      <c r="X3105" t="s">
        <v>5394</v>
      </c>
      <c r="Y3105" t="str">
        <f>VLOOKUP(C3105,'[1]DBS_KPY Sorumlular'!A:C,2,FALSE)</f>
        <v>Tayfun VİÇE</v>
      </c>
      <c r="Z3105" t="str">
        <f>VLOOKUP(C3105,'[1]DBS_KPY Sorumlular'!A:C,3,FALSE)</f>
        <v>Mehmet Ali YAVUZ</v>
      </c>
      <c r="AA3105" t="str">
        <f>VLOOKUP(K3105,[1]!Tablo3[#Data],2,FALSE)</f>
        <v>Kadir TOPÇU</v>
      </c>
    </row>
    <row r="3106" spans="1:27" x14ac:dyDescent="0.25">
      <c r="A3106">
        <v>4439</v>
      </c>
      <c r="B3106" t="s">
        <v>27</v>
      </c>
      <c r="C3106" t="s">
        <v>402</v>
      </c>
      <c r="D3106" t="s">
        <v>403</v>
      </c>
      <c r="G3106" t="s">
        <v>384</v>
      </c>
      <c r="H3106" t="s">
        <v>9113</v>
      </c>
      <c r="I3106" s="4">
        <v>44712.875</v>
      </c>
      <c r="K3106" t="s">
        <v>743</v>
      </c>
      <c r="L3106" s="5"/>
      <c r="M3106" s="5"/>
      <c r="N3106" t="s">
        <v>82</v>
      </c>
      <c r="O3106" t="s">
        <v>9114</v>
      </c>
      <c r="R3106">
        <v>1</v>
      </c>
      <c r="T3106" s="5"/>
      <c r="W3106">
        <v>66</v>
      </c>
      <c r="X3106" t="s">
        <v>8482</v>
      </c>
      <c r="Y3106" t="str">
        <f>VLOOKUP(C3106,'[1]DBS_KPY Sorumlular'!A:C,2,FALSE)</f>
        <v>Tayfun VİÇE</v>
      </c>
      <c r="Z3106" t="str">
        <f>VLOOKUP(C3106,'[1]DBS_KPY Sorumlular'!A:C,3,FALSE)</f>
        <v>Mehmet Ali YAVUZ</v>
      </c>
      <c r="AA3106" t="str">
        <f>VLOOKUP(K3106,[1]!Tablo3[#Data],2,FALSE)</f>
        <v>Kadir TOPÇU</v>
      </c>
    </row>
    <row r="3107" spans="1:27" x14ac:dyDescent="0.25">
      <c r="A3107">
        <v>4440</v>
      </c>
      <c r="B3107" t="s">
        <v>27</v>
      </c>
      <c r="C3107" t="s">
        <v>402</v>
      </c>
      <c r="D3107" t="s">
        <v>403</v>
      </c>
      <c r="G3107" t="s">
        <v>384</v>
      </c>
      <c r="H3107" t="s">
        <v>9115</v>
      </c>
      <c r="I3107" s="4">
        <v>44712.875</v>
      </c>
      <c r="K3107" t="s">
        <v>743</v>
      </c>
      <c r="L3107" s="5"/>
      <c r="M3107" s="5"/>
      <c r="N3107" t="s">
        <v>82</v>
      </c>
      <c r="O3107" t="s">
        <v>9116</v>
      </c>
      <c r="R3107">
        <v>1</v>
      </c>
      <c r="T3107" s="5"/>
      <c r="W3107">
        <v>153</v>
      </c>
      <c r="X3107" t="s">
        <v>9117</v>
      </c>
      <c r="Y3107" t="str">
        <f>VLOOKUP(C3107,'[1]DBS_KPY Sorumlular'!A:C,2,FALSE)</f>
        <v>Tayfun VİÇE</v>
      </c>
      <c r="Z3107" t="str">
        <f>VLOOKUP(C3107,'[1]DBS_KPY Sorumlular'!A:C,3,FALSE)</f>
        <v>Mehmet Ali YAVUZ</v>
      </c>
      <c r="AA3107" t="str">
        <f>VLOOKUP(K3107,[1]!Tablo3[#Data],2,FALSE)</f>
        <v>Kadir TOPÇU</v>
      </c>
    </row>
    <row r="3108" spans="1:27" x14ac:dyDescent="0.25">
      <c r="A3108">
        <v>4441</v>
      </c>
      <c r="B3108" t="s">
        <v>27</v>
      </c>
      <c r="C3108" t="s">
        <v>402</v>
      </c>
      <c r="D3108" t="s">
        <v>403</v>
      </c>
      <c r="G3108" t="s">
        <v>384</v>
      </c>
      <c r="H3108" t="s">
        <v>9118</v>
      </c>
      <c r="I3108" s="4">
        <v>44712.875</v>
      </c>
      <c r="K3108" t="s">
        <v>743</v>
      </c>
      <c r="L3108" s="5"/>
      <c r="M3108" s="5"/>
      <c r="N3108" t="s">
        <v>82</v>
      </c>
      <c r="O3108" t="s">
        <v>9119</v>
      </c>
      <c r="R3108">
        <v>1</v>
      </c>
      <c r="T3108" s="5"/>
      <c r="W3108">
        <v>153</v>
      </c>
      <c r="X3108" t="s">
        <v>9117</v>
      </c>
      <c r="Y3108" t="str">
        <f>VLOOKUP(C3108,'[1]DBS_KPY Sorumlular'!A:C,2,FALSE)</f>
        <v>Tayfun VİÇE</v>
      </c>
      <c r="Z3108" t="str">
        <f>VLOOKUP(C3108,'[1]DBS_KPY Sorumlular'!A:C,3,FALSE)</f>
        <v>Mehmet Ali YAVUZ</v>
      </c>
      <c r="AA3108" t="str">
        <f>VLOOKUP(K3108,[1]!Tablo3[#Data],2,FALSE)</f>
        <v>Kadir TOPÇU</v>
      </c>
    </row>
    <row r="3109" spans="1:27" x14ac:dyDescent="0.25">
      <c r="A3109">
        <v>4442</v>
      </c>
      <c r="B3109" t="s">
        <v>27</v>
      </c>
      <c r="C3109" t="s">
        <v>402</v>
      </c>
      <c r="D3109" t="s">
        <v>403</v>
      </c>
      <c r="G3109" t="s">
        <v>384</v>
      </c>
      <c r="H3109" t="s">
        <v>9120</v>
      </c>
      <c r="I3109" s="4">
        <v>44712.875</v>
      </c>
      <c r="K3109" t="s">
        <v>743</v>
      </c>
      <c r="L3109" s="5"/>
      <c r="M3109" s="5"/>
      <c r="N3109" t="s">
        <v>82</v>
      </c>
      <c r="O3109" t="s">
        <v>9121</v>
      </c>
      <c r="R3109">
        <v>1</v>
      </c>
      <c r="T3109" s="5"/>
      <c r="W3109">
        <v>153</v>
      </c>
      <c r="X3109" t="s">
        <v>9117</v>
      </c>
      <c r="Y3109" t="str">
        <f>VLOOKUP(C3109,'[1]DBS_KPY Sorumlular'!A:C,2,FALSE)</f>
        <v>Tayfun VİÇE</v>
      </c>
      <c r="Z3109" t="str">
        <f>VLOOKUP(C3109,'[1]DBS_KPY Sorumlular'!A:C,3,FALSE)</f>
        <v>Mehmet Ali YAVUZ</v>
      </c>
      <c r="AA3109" t="str">
        <f>VLOOKUP(K3109,[1]!Tablo3[#Data],2,FALSE)</f>
        <v>Kadir TOPÇU</v>
      </c>
    </row>
    <row r="3110" spans="1:27" x14ac:dyDescent="0.25">
      <c r="A3110">
        <v>4443</v>
      </c>
      <c r="B3110" t="s">
        <v>27</v>
      </c>
      <c r="C3110" t="s">
        <v>402</v>
      </c>
      <c r="D3110" t="s">
        <v>403</v>
      </c>
      <c r="G3110" t="s">
        <v>384</v>
      </c>
      <c r="H3110" t="s">
        <v>9122</v>
      </c>
      <c r="I3110" s="4">
        <v>44712.875</v>
      </c>
      <c r="K3110" t="s">
        <v>743</v>
      </c>
      <c r="L3110" s="5"/>
      <c r="M3110" s="5"/>
      <c r="N3110" t="s">
        <v>82</v>
      </c>
      <c r="O3110" t="s">
        <v>9106</v>
      </c>
      <c r="R3110">
        <v>1</v>
      </c>
      <c r="T3110" s="5"/>
      <c r="W3110">
        <v>66</v>
      </c>
      <c r="X3110" t="s">
        <v>8482</v>
      </c>
      <c r="Y3110" t="str">
        <f>VLOOKUP(C3110,'[1]DBS_KPY Sorumlular'!A:C,2,FALSE)</f>
        <v>Tayfun VİÇE</v>
      </c>
      <c r="Z3110" t="str">
        <f>VLOOKUP(C3110,'[1]DBS_KPY Sorumlular'!A:C,3,FALSE)</f>
        <v>Mehmet Ali YAVUZ</v>
      </c>
      <c r="AA3110" t="str">
        <f>VLOOKUP(K3110,[1]!Tablo3[#Data],2,FALSE)</f>
        <v>Kadir TOPÇU</v>
      </c>
    </row>
    <row r="3111" spans="1:27" x14ac:dyDescent="0.25">
      <c r="A3111">
        <v>4444</v>
      </c>
      <c r="B3111" t="s">
        <v>27</v>
      </c>
      <c r="C3111" t="s">
        <v>402</v>
      </c>
      <c r="D3111" t="s">
        <v>403</v>
      </c>
      <c r="G3111" t="s">
        <v>384</v>
      </c>
      <c r="H3111" t="s">
        <v>9123</v>
      </c>
      <c r="I3111" s="4">
        <v>44712.875</v>
      </c>
      <c r="K3111" t="s">
        <v>743</v>
      </c>
      <c r="L3111" s="5"/>
      <c r="M3111" s="5"/>
      <c r="N3111" t="s">
        <v>82</v>
      </c>
      <c r="O3111" t="s">
        <v>9124</v>
      </c>
      <c r="R3111">
        <v>1</v>
      </c>
      <c r="T3111" s="5"/>
      <c r="W3111">
        <v>66</v>
      </c>
      <c r="X3111" t="s">
        <v>8482</v>
      </c>
      <c r="Y3111" t="str">
        <f>VLOOKUP(C3111,'[1]DBS_KPY Sorumlular'!A:C,2,FALSE)</f>
        <v>Tayfun VİÇE</v>
      </c>
      <c r="Z3111" t="str">
        <f>VLOOKUP(C3111,'[1]DBS_KPY Sorumlular'!A:C,3,FALSE)</f>
        <v>Mehmet Ali YAVUZ</v>
      </c>
      <c r="AA3111" t="str">
        <f>VLOOKUP(K3111,[1]!Tablo3[#Data],2,FALSE)</f>
        <v>Kadir TOPÇU</v>
      </c>
    </row>
    <row r="3112" spans="1:27" x14ac:dyDescent="0.25">
      <c r="A3112">
        <v>4445</v>
      </c>
      <c r="B3112" t="s">
        <v>27</v>
      </c>
      <c r="C3112" t="s">
        <v>402</v>
      </c>
      <c r="D3112" t="s">
        <v>403</v>
      </c>
      <c r="G3112" t="s">
        <v>384</v>
      </c>
      <c r="H3112" t="s">
        <v>9125</v>
      </c>
      <c r="I3112" s="4">
        <v>44712.875</v>
      </c>
      <c r="K3112" t="s">
        <v>743</v>
      </c>
      <c r="L3112" s="5"/>
      <c r="M3112" s="5"/>
      <c r="N3112" t="s">
        <v>82</v>
      </c>
      <c r="O3112" t="s">
        <v>9126</v>
      </c>
      <c r="R3112">
        <v>1</v>
      </c>
      <c r="T3112" s="5"/>
      <c r="W3112">
        <v>29</v>
      </c>
      <c r="X3112" t="s">
        <v>7107</v>
      </c>
      <c r="Y3112" t="str">
        <f>VLOOKUP(C3112,'[1]DBS_KPY Sorumlular'!A:C,2,FALSE)</f>
        <v>Tayfun VİÇE</v>
      </c>
      <c r="Z3112" t="str">
        <f>VLOOKUP(C3112,'[1]DBS_KPY Sorumlular'!A:C,3,FALSE)</f>
        <v>Mehmet Ali YAVUZ</v>
      </c>
      <c r="AA3112" t="str">
        <f>VLOOKUP(K3112,[1]!Tablo3[#Data],2,FALSE)</f>
        <v>Kadir TOPÇU</v>
      </c>
    </row>
    <row r="3113" spans="1:27" x14ac:dyDescent="0.25">
      <c r="A3113">
        <v>4446</v>
      </c>
      <c r="B3113" t="s">
        <v>27</v>
      </c>
      <c r="C3113" t="s">
        <v>402</v>
      </c>
      <c r="D3113" t="s">
        <v>403</v>
      </c>
      <c r="G3113" t="s">
        <v>384</v>
      </c>
      <c r="H3113" t="s">
        <v>9127</v>
      </c>
      <c r="I3113" s="4">
        <v>44712.875</v>
      </c>
      <c r="K3113" t="s">
        <v>743</v>
      </c>
      <c r="L3113" s="5"/>
      <c r="M3113" s="5"/>
      <c r="N3113" t="s">
        <v>82</v>
      </c>
      <c r="O3113" t="s">
        <v>9106</v>
      </c>
      <c r="R3113">
        <v>1</v>
      </c>
      <c r="T3113" s="5"/>
      <c r="W3113">
        <v>66</v>
      </c>
      <c r="X3113" t="s">
        <v>8482</v>
      </c>
      <c r="Y3113" t="str">
        <f>VLOOKUP(C3113,'[1]DBS_KPY Sorumlular'!A:C,2,FALSE)</f>
        <v>Tayfun VİÇE</v>
      </c>
      <c r="Z3113" t="str">
        <f>VLOOKUP(C3113,'[1]DBS_KPY Sorumlular'!A:C,3,FALSE)</f>
        <v>Mehmet Ali YAVUZ</v>
      </c>
      <c r="AA3113" t="str">
        <f>VLOOKUP(K3113,[1]!Tablo3[#Data],2,FALSE)</f>
        <v>Kadir TOPÇU</v>
      </c>
    </row>
    <row r="3114" spans="1:27" x14ac:dyDescent="0.25">
      <c r="A3114">
        <v>4447</v>
      </c>
      <c r="B3114" t="s">
        <v>27</v>
      </c>
      <c r="C3114" t="s">
        <v>402</v>
      </c>
      <c r="D3114" t="s">
        <v>403</v>
      </c>
      <c r="G3114" t="s">
        <v>384</v>
      </c>
      <c r="H3114" t="s">
        <v>9128</v>
      </c>
      <c r="I3114" s="4">
        <v>44712.875</v>
      </c>
      <c r="K3114" t="s">
        <v>743</v>
      </c>
      <c r="L3114" s="5"/>
      <c r="M3114" s="5"/>
      <c r="N3114" t="s">
        <v>82</v>
      </c>
      <c r="O3114" t="s">
        <v>9129</v>
      </c>
      <c r="R3114">
        <v>1</v>
      </c>
      <c r="T3114" s="5"/>
      <c r="W3114">
        <v>116</v>
      </c>
      <c r="X3114" t="s">
        <v>3651</v>
      </c>
      <c r="Y3114" t="str">
        <f>VLOOKUP(C3114,'[1]DBS_KPY Sorumlular'!A:C,2,FALSE)</f>
        <v>Tayfun VİÇE</v>
      </c>
      <c r="Z3114" t="str">
        <f>VLOOKUP(C3114,'[1]DBS_KPY Sorumlular'!A:C,3,FALSE)</f>
        <v>Mehmet Ali YAVUZ</v>
      </c>
      <c r="AA3114" t="str">
        <f>VLOOKUP(K3114,[1]!Tablo3[#Data],2,FALSE)</f>
        <v>Kadir TOPÇU</v>
      </c>
    </row>
    <row r="3115" spans="1:27" x14ac:dyDescent="0.25">
      <c r="A3115">
        <v>4448</v>
      </c>
      <c r="B3115" t="s">
        <v>27</v>
      </c>
      <c r="C3115" t="s">
        <v>402</v>
      </c>
      <c r="D3115" t="s">
        <v>403</v>
      </c>
      <c r="G3115" t="s">
        <v>384</v>
      </c>
      <c r="H3115" t="s">
        <v>9130</v>
      </c>
      <c r="I3115" s="4">
        <v>44712.875</v>
      </c>
      <c r="K3115" t="s">
        <v>743</v>
      </c>
      <c r="L3115" s="5"/>
      <c r="M3115" s="5"/>
      <c r="N3115" t="s">
        <v>82</v>
      </c>
      <c r="O3115" t="s">
        <v>9131</v>
      </c>
      <c r="R3115">
        <v>1</v>
      </c>
      <c r="T3115" s="5"/>
      <c r="W3115">
        <v>32</v>
      </c>
      <c r="X3115" t="s">
        <v>4412</v>
      </c>
      <c r="Y3115" t="str">
        <f>VLOOKUP(C3115,'[1]DBS_KPY Sorumlular'!A:C,2,FALSE)</f>
        <v>Tayfun VİÇE</v>
      </c>
      <c r="Z3115" t="str">
        <f>VLOOKUP(C3115,'[1]DBS_KPY Sorumlular'!A:C,3,FALSE)</f>
        <v>Mehmet Ali YAVUZ</v>
      </c>
      <c r="AA3115" t="str">
        <f>VLOOKUP(K3115,[1]!Tablo3[#Data],2,FALSE)</f>
        <v>Kadir TOPÇU</v>
      </c>
    </row>
    <row r="3116" spans="1:27" x14ac:dyDescent="0.25">
      <c r="A3116">
        <v>4449</v>
      </c>
      <c r="B3116" t="s">
        <v>27</v>
      </c>
      <c r="C3116" t="s">
        <v>402</v>
      </c>
      <c r="D3116" t="s">
        <v>403</v>
      </c>
      <c r="G3116" t="s">
        <v>384</v>
      </c>
      <c r="H3116" t="s">
        <v>9132</v>
      </c>
      <c r="I3116" s="4">
        <v>44712.875</v>
      </c>
      <c r="K3116" t="s">
        <v>226</v>
      </c>
      <c r="L3116" s="5"/>
      <c r="M3116" s="5"/>
      <c r="N3116" t="s">
        <v>82</v>
      </c>
      <c r="O3116" t="s">
        <v>9133</v>
      </c>
      <c r="R3116">
        <v>1</v>
      </c>
      <c r="T3116" s="5"/>
      <c r="W3116">
        <v>96</v>
      </c>
      <c r="X3116" t="s">
        <v>1379</v>
      </c>
      <c r="Y3116" t="str">
        <f>VLOOKUP(C3116,'[1]DBS_KPY Sorumlular'!A:C,2,FALSE)</f>
        <v>Tayfun VİÇE</v>
      </c>
      <c r="Z3116" t="str">
        <f>VLOOKUP(C3116,'[1]DBS_KPY Sorumlular'!A:C,3,FALSE)</f>
        <v>Mehmet Ali YAVUZ</v>
      </c>
      <c r="AA3116" t="str">
        <f>VLOOKUP(K3116,[1]!Tablo3[#Data],2,FALSE)</f>
        <v>Kadir TOPÇU</v>
      </c>
    </row>
    <row r="3117" spans="1:27" x14ac:dyDescent="0.25">
      <c r="A3117">
        <v>4450</v>
      </c>
      <c r="B3117" t="s">
        <v>27</v>
      </c>
      <c r="C3117" t="s">
        <v>402</v>
      </c>
      <c r="D3117" t="s">
        <v>403</v>
      </c>
      <c r="G3117" t="s">
        <v>384</v>
      </c>
      <c r="H3117" t="s">
        <v>9134</v>
      </c>
      <c r="I3117" s="4">
        <v>44712.875</v>
      </c>
      <c r="K3117" t="s">
        <v>743</v>
      </c>
      <c r="L3117" s="5"/>
      <c r="M3117" s="5"/>
      <c r="N3117" t="s">
        <v>82</v>
      </c>
      <c r="O3117" t="s">
        <v>9135</v>
      </c>
      <c r="R3117">
        <v>1</v>
      </c>
      <c r="T3117" s="5"/>
      <c r="W3117">
        <v>263</v>
      </c>
      <c r="X3117" t="s">
        <v>628</v>
      </c>
      <c r="Y3117" t="str">
        <f>VLOOKUP(C3117,'[1]DBS_KPY Sorumlular'!A:C,2,FALSE)</f>
        <v>Tayfun VİÇE</v>
      </c>
      <c r="Z3117" t="str">
        <f>VLOOKUP(C3117,'[1]DBS_KPY Sorumlular'!A:C,3,FALSE)</f>
        <v>Mehmet Ali YAVUZ</v>
      </c>
      <c r="AA3117" t="str">
        <f>VLOOKUP(K3117,[1]!Tablo3[#Data],2,FALSE)</f>
        <v>Kadir TOPÇU</v>
      </c>
    </row>
    <row r="3118" spans="1:27" x14ac:dyDescent="0.25">
      <c r="A3118">
        <v>4451</v>
      </c>
      <c r="B3118" t="s">
        <v>27</v>
      </c>
      <c r="C3118" t="s">
        <v>402</v>
      </c>
      <c r="D3118" t="s">
        <v>403</v>
      </c>
      <c r="G3118" t="s">
        <v>384</v>
      </c>
      <c r="H3118" t="s">
        <v>9136</v>
      </c>
      <c r="I3118" s="4">
        <v>44712.875</v>
      </c>
      <c r="K3118" t="s">
        <v>678</v>
      </c>
      <c r="L3118" s="5"/>
      <c r="M3118" s="5"/>
      <c r="N3118" t="s">
        <v>82</v>
      </c>
      <c r="O3118" t="s">
        <v>9137</v>
      </c>
      <c r="R3118">
        <v>1</v>
      </c>
      <c r="T3118" s="5"/>
      <c r="W3118">
        <v>131</v>
      </c>
      <c r="X3118" t="s">
        <v>61</v>
      </c>
      <c r="Y3118" t="str">
        <f>VLOOKUP(C3118,'[1]DBS_KPY Sorumlular'!A:C,2,FALSE)</f>
        <v>Tayfun VİÇE</v>
      </c>
      <c r="Z3118" t="str">
        <f>VLOOKUP(C3118,'[1]DBS_KPY Sorumlular'!A:C,3,FALSE)</f>
        <v>Mehmet Ali YAVUZ</v>
      </c>
      <c r="AA3118" t="str">
        <f>VLOOKUP(K3118,[1]!Tablo3[#Data],2,FALSE)</f>
        <v>Kadir TOPÇU</v>
      </c>
    </row>
    <row r="3119" spans="1:27" x14ac:dyDescent="0.25">
      <c r="A3119">
        <v>4452</v>
      </c>
      <c r="B3119" t="s">
        <v>27</v>
      </c>
      <c r="C3119" t="s">
        <v>402</v>
      </c>
      <c r="D3119" t="s">
        <v>403</v>
      </c>
      <c r="G3119" t="s">
        <v>384</v>
      </c>
      <c r="H3119" t="s">
        <v>9138</v>
      </c>
      <c r="I3119" s="4">
        <v>44712.875</v>
      </c>
      <c r="K3119" t="s">
        <v>743</v>
      </c>
      <c r="L3119" s="5"/>
      <c r="M3119" s="5"/>
      <c r="N3119" t="s">
        <v>82</v>
      </c>
      <c r="O3119" t="s">
        <v>9139</v>
      </c>
      <c r="R3119">
        <v>1</v>
      </c>
      <c r="T3119" s="5"/>
      <c r="W3119">
        <v>32</v>
      </c>
      <c r="X3119" t="s">
        <v>4412</v>
      </c>
      <c r="Y3119" t="str">
        <f>VLOOKUP(C3119,'[1]DBS_KPY Sorumlular'!A:C,2,FALSE)</f>
        <v>Tayfun VİÇE</v>
      </c>
      <c r="Z3119" t="str">
        <f>VLOOKUP(C3119,'[1]DBS_KPY Sorumlular'!A:C,3,FALSE)</f>
        <v>Mehmet Ali YAVUZ</v>
      </c>
      <c r="AA3119" t="str">
        <f>VLOOKUP(K3119,[1]!Tablo3[#Data],2,FALSE)</f>
        <v>Kadir TOPÇU</v>
      </c>
    </row>
    <row r="3120" spans="1:27" x14ac:dyDescent="0.25">
      <c r="A3120">
        <v>4453</v>
      </c>
      <c r="B3120" t="s">
        <v>27</v>
      </c>
      <c r="C3120" t="s">
        <v>402</v>
      </c>
      <c r="D3120" t="s">
        <v>403</v>
      </c>
      <c r="G3120" t="s">
        <v>384</v>
      </c>
      <c r="H3120" t="s">
        <v>9140</v>
      </c>
      <c r="I3120" s="4">
        <v>44712.875</v>
      </c>
      <c r="K3120" t="s">
        <v>743</v>
      </c>
      <c r="L3120" s="5"/>
      <c r="M3120" s="5"/>
      <c r="N3120" t="s">
        <v>82</v>
      </c>
      <c r="O3120" t="s">
        <v>9141</v>
      </c>
      <c r="R3120">
        <v>1</v>
      </c>
      <c r="T3120" s="5"/>
      <c r="W3120">
        <v>261</v>
      </c>
      <c r="X3120" t="s">
        <v>9142</v>
      </c>
      <c r="Y3120" t="str">
        <f>VLOOKUP(C3120,'[1]DBS_KPY Sorumlular'!A:C,2,FALSE)</f>
        <v>Tayfun VİÇE</v>
      </c>
      <c r="Z3120" t="str">
        <f>VLOOKUP(C3120,'[1]DBS_KPY Sorumlular'!A:C,3,FALSE)</f>
        <v>Mehmet Ali YAVUZ</v>
      </c>
      <c r="AA3120" t="str">
        <f>VLOOKUP(K3120,[1]!Tablo3[#Data],2,FALSE)</f>
        <v>Kadir TOPÇU</v>
      </c>
    </row>
    <row r="3121" spans="1:27" x14ac:dyDescent="0.25">
      <c r="A3121">
        <v>4454</v>
      </c>
      <c r="B3121" t="s">
        <v>27</v>
      </c>
      <c r="C3121" t="s">
        <v>402</v>
      </c>
      <c r="D3121" t="s">
        <v>403</v>
      </c>
      <c r="G3121" t="s">
        <v>384</v>
      </c>
      <c r="H3121" t="s">
        <v>9143</v>
      </c>
      <c r="I3121" s="4">
        <v>44712.875</v>
      </c>
      <c r="K3121" t="s">
        <v>743</v>
      </c>
      <c r="L3121" s="5"/>
      <c r="M3121" s="5"/>
      <c r="N3121" t="s">
        <v>82</v>
      </c>
      <c r="O3121" t="s">
        <v>9144</v>
      </c>
      <c r="R3121">
        <v>1</v>
      </c>
      <c r="T3121" s="5"/>
      <c r="W3121">
        <v>196</v>
      </c>
      <c r="X3121" t="s">
        <v>7066</v>
      </c>
      <c r="Y3121" t="str">
        <f>VLOOKUP(C3121,'[1]DBS_KPY Sorumlular'!A:C,2,FALSE)</f>
        <v>Tayfun VİÇE</v>
      </c>
      <c r="Z3121" t="str">
        <f>VLOOKUP(C3121,'[1]DBS_KPY Sorumlular'!A:C,3,FALSE)</f>
        <v>Mehmet Ali YAVUZ</v>
      </c>
      <c r="AA3121" t="str">
        <f>VLOOKUP(K3121,[1]!Tablo3[#Data],2,FALSE)</f>
        <v>Kadir TOPÇU</v>
      </c>
    </row>
    <row r="3122" spans="1:27" x14ac:dyDescent="0.25">
      <c r="A3122">
        <v>4455</v>
      </c>
      <c r="B3122" t="s">
        <v>27</v>
      </c>
      <c r="C3122" t="s">
        <v>402</v>
      </c>
      <c r="D3122" t="s">
        <v>403</v>
      </c>
      <c r="G3122" t="s">
        <v>384</v>
      </c>
      <c r="H3122" t="s">
        <v>9145</v>
      </c>
      <c r="I3122" s="4">
        <v>44712.875</v>
      </c>
      <c r="K3122" t="s">
        <v>1550</v>
      </c>
      <c r="L3122" s="5"/>
      <c r="M3122" s="5"/>
      <c r="N3122" t="s">
        <v>82</v>
      </c>
      <c r="O3122" t="s">
        <v>9146</v>
      </c>
      <c r="R3122">
        <v>1</v>
      </c>
      <c r="T3122" s="5"/>
      <c r="W3122">
        <v>131</v>
      </c>
      <c r="X3122" t="s">
        <v>61</v>
      </c>
      <c r="Y3122" t="str">
        <f>VLOOKUP(C3122,'[1]DBS_KPY Sorumlular'!A:C,2,FALSE)</f>
        <v>Tayfun VİÇE</v>
      </c>
      <c r="Z3122" t="str">
        <f>VLOOKUP(C3122,'[1]DBS_KPY Sorumlular'!A:C,3,FALSE)</f>
        <v>Mehmet Ali YAVUZ</v>
      </c>
      <c r="AA3122" t="str">
        <f>VLOOKUP(K3122,[1]!Tablo3[#Data],2,FALSE)</f>
        <v>Kadir TOPÇU</v>
      </c>
    </row>
    <row r="3123" spans="1:27" x14ac:dyDescent="0.25">
      <c r="A3123">
        <v>4456</v>
      </c>
      <c r="B3123" t="s">
        <v>27</v>
      </c>
      <c r="C3123" t="s">
        <v>402</v>
      </c>
      <c r="D3123" t="s">
        <v>403</v>
      </c>
      <c r="G3123" t="s">
        <v>384</v>
      </c>
      <c r="H3123" t="s">
        <v>9147</v>
      </c>
      <c r="I3123" s="4">
        <v>44712.875</v>
      </c>
      <c r="K3123" t="s">
        <v>743</v>
      </c>
      <c r="L3123" s="5"/>
      <c r="M3123" s="5"/>
      <c r="N3123" t="s">
        <v>82</v>
      </c>
      <c r="O3123" t="s">
        <v>9148</v>
      </c>
      <c r="R3123">
        <v>1</v>
      </c>
      <c r="T3123" s="5"/>
      <c r="W3123">
        <v>32</v>
      </c>
      <c r="X3123" t="s">
        <v>4412</v>
      </c>
      <c r="Y3123" t="str">
        <f>VLOOKUP(C3123,'[1]DBS_KPY Sorumlular'!A:C,2,FALSE)</f>
        <v>Tayfun VİÇE</v>
      </c>
      <c r="Z3123" t="str">
        <f>VLOOKUP(C3123,'[1]DBS_KPY Sorumlular'!A:C,3,FALSE)</f>
        <v>Mehmet Ali YAVUZ</v>
      </c>
      <c r="AA3123" t="str">
        <f>VLOOKUP(K3123,[1]!Tablo3[#Data],2,FALSE)</f>
        <v>Kadir TOPÇU</v>
      </c>
    </row>
    <row r="3124" spans="1:27" x14ac:dyDescent="0.25">
      <c r="A3124">
        <v>4457</v>
      </c>
      <c r="B3124" t="s">
        <v>27</v>
      </c>
      <c r="C3124" t="s">
        <v>402</v>
      </c>
      <c r="D3124" t="s">
        <v>403</v>
      </c>
      <c r="G3124" t="s">
        <v>384</v>
      </c>
      <c r="H3124" t="s">
        <v>9149</v>
      </c>
      <c r="I3124" s="4">
        <v>44712.875</v>
      </c>
      <c r="K3124" t="s">
        <v>743</v>
      </c>
      <c r="L3124" s="5"/>
      <c r="M3124" s="5"/>
      <c r="N3124" t="s">
        <v>82</v>
      </c>
      <c r="O3124" t="s">
        <v>9150</v>
      </c>
      <c r="R3124">
        <v>1</v>
      </c>
      <c r="T3124" s="5"/>
      <c r="W3124">
        <v>178</v>
      </c>
      <c r="X3124" t="s">
        <v>9082</v>
      </c>
      <c r="Y3124" t="str">
        <f>VLOOKUP(C3124,'[1]DBS_KPY Sorumlular'!A:C,2,FALSE)</f>
        <v>Tayfun VİÇE</v>
      </c>
      <c r="Z3124" t="str">
        <f>VLOOKUP(C3124,'[1]DBS_KPY Sorumlular'!A:C,3,FALSE)</f>
        <v>Mehmet Ali YAVUZ</v>
      </c>
      <c r="AA3124" t="str">
        <f>VLOOKUP(K3124,[1]!Tablo3[#Data],2,FALSE)</f>
        <v>Kadir TOPÇU</v>
      </c>
    </row>
    <row r="3125" spans="1:27" x14ac:dyDescent="0.25">
      <c r="A3125">
        <v>4458</v>
      </c>
      <c r="B3125" t="s">
        <v>27</v>
      </c>
      <c r="C3125" t="s">
        <v>402</v>
      </c>
      <c r="D3125" t="s">
        <v>403</v>
      </c>
      <c r="G3125" t="s">
        <v>384</v>
      </c>
      <c r="H3125" t="s">
        <v>9151</v>
      </c>
      <c r="I3125" s="4">
        <v>44712.875</v>
      </c>
      <c r="K3125" t="s">
        <v>743</v>
      </c>
      <c r="L3125" s="5"/>
      <c r="M3125" s="5"/>
      <c r="N3125" t="s">
        <v>82</v>
      </c>
      <c r="O3125" t="s">
        <v>9152</v>
      </c>
      <c r="R3125">
        <v>1</v>
      </c>
      <c r="T3125" s="5"/>
      <c r="W3125">
        <v>178</v>
      </c>
      <c r="X3125" t="s">
        <v>9082</v>
      </c>
      <c r="Y3125" t="str">
        <f>VLOOKUP(C3125,'[1]DBS_KPY Sorumlular'!A:C,2,FALSE)</f>
        <v>Tayfun VİÇE</v>
      </c>
      <c r="Z3125" t="str">
        <f>VLOOKUP(C3125,'[1]DBS_KPY Sorumlular'!A:C,3,FALSE)</f>
        <v>Mehmet Ali YAVUZ</v>
      </c>
      <c r="AA3125" t="str">
        <f>VLOOKUP(K3125,[1]!Tablo3[#Data],2,FALSE)</f>
        <v>Kadir TOPÇU</v>
      </c>
    </row>
    <row r="3126" spans="1:27" x14ac:dyDescent="0.25">
      <c r="A3126">
        <v>4459</v>
      </c>
      <c r="B3126" t="s">
        <v>27</v>
      </c>
      <c r="C3126" t="s">
        <v>402</v>
      </c>
      <c r="D3126" t="s">
        <v>403</v>
      </c>
      <c r="G3126" t="s">
        <v>384</v>
      </c>
      <c r="H3126" t="s">
        <v>9153</v>
      </c>
      <c r="I3126" s="4">
        <v>44712.875</v>
      </c>
      <c r="K3126" t="s">
        <v>678</v>
      </c>
      <c r="L3126" s="5"/>
      <c r="M3126" s="5"/>
      <c r="N3126" t="s">
        <v>82</v>
      </c>
      <c r="O3126" t="s">
        <v>9154</v>
      </c>
      <c r="R3126">
        <v>1</v>
      </c>
      <c r="T3126" s="5"/>
      <c r="W3126">
        <v>177</v>
      </c>
      <c r="X3126" t="s">
        <v>2818</v>
      </c>
      <c r="Y3126" t="str">
        <f>VLOOKUP(C3126,'[1]DBS_KPY Sorumlular'!A:C,2,FALSE)</f>
        <v>Tayfun VİÇE</v>
      </c>
      <c r="Z3126" t="str">
        <f>VLOOKUP(C3126,'[1]DBS_KPY Sorumlular'!A:C,3,FALSE)</f>
        <v>Mehmet Ali YAVUZ</v>
      </c>
      <c r="AA3126" t="str">
        <f>VLOOKUP(K3126,[1]!Tablo3[#Data],2,FALSE)</f>
        <v>Kadir TOPÇU</v>
      </c>
    </row>
    <row r="3127" spans="1:27" x14ac:dyDescent="0.25">
      <c r="A3127">
        <v>4460</v>
      </c>
      <c r="B3127" t="s">
        <v>27</v>
      </c>
      <c r="C3127" t="s">
        <v>402</v>
      </c>
      <c r="D3127" t="s">
        <v>403</v>
      </c>
      <c r="G3127" t="s">
        <v>384</v>
      </c>
      <c r="H3127" t="s">
        <v>9155</v>
      </c>
      <c r="I3127" s="4">
        <v>44712.875</v>
      </c>
      <c r="K3127" t="s">
        <v>743</v>
      </c>
      <c r="L3127" s="5"/>
      <c r="M3127" s="5"/>
      <c r="N3127" t="s">
        <v>82</v>
      </c>
      <c r="O3127" t="s">
        <v>9156</v>
      </c>
      <c r="R3127">
        <v>1</v>
      </c>
      <c r="T3127" s="5"/>
      <c r="W3127">
        <v>29</v>
      </c>
      <c r="X3127" t="s">
        <v>7107</v>
      </c>
      <c r="Y3127" t="str">
        <f>VLOOKUP(C3127,'[1]DBS_KPY Sorumlular'!A:C,2,FALSE)</f>
        <v>Tayfun VİÇE</v>
      </c>
      <c r="Z3127" t="str">
        <f>VLOOKUP(C3127,'[1]DBS_KPY Sorumlular'!A:C,3,FALSE)</f>
        <v>Mehmet Ali YAVUZ</v>
      </c>
      <c r="AA3127" t="str">
        <f>VLOOKUP(K3127,[1]!Tablo3[#Data],2,FALSE)</f>
        <v>Kadir TOPÇU</v>
      </c>
    </row>
    <row r="3128" spans="1:27" x14ac:dyDescent="0.25">
      <c r="A3128">
        <v>4461</v>
      </c>
      <c r="B3128" t="s">
        <v>27</v>
      </c>
      <c r="C3128" t="s">
        <v>402</v>
      </c>
      <c r="D3128" t="s">
        <v>403</v>
      </c>
      <c r="G3128" t="s">
        <v>384</v>
      </c>
      <c r="H3128" t="s">
        <v>9157</v>
      </c>
      <c r="I3128" s="4">
        <v>44712.875</v>
      </c>
      <c r="K3128" t="s">
        <v>743</v>
      </c>
      <c r="L3128" s="5"/>
      <c r="M3128" s="5"/>
      <c r="N3128" t="s">
        <v>82</v>
      </c>
      <c r="O3128" t="s">
        <v>9158</v>
      </c>
      <c r="R3128">
        <v>1</v>
      </c>
      <c r="T3128" s="5"/>
      <c r="W3128">
        <v>8</v>
      </c>
      <c r="X3128" t="s">
        <v>8399</v>
      </c>
      <c r="Y3128" t="str">
        <f>VLOOKUP(C3128,'[1]DBS_KPY Sorumlular'!A:C,2,FALSE)</f>
        <v>Tayfun VİÇE</v>
      </c>
      <c r="Z3128" t="str">
        <f>VLOOKUP(C3128,'[1]DBS_KPY Sorumlular'!A:C,3,FALSE)</f>
        <v>Mehmet Ali YAVUZ</v>
      </c>
      <c r="AA3128" t="str">
        <f>VLOOKUP(K3128,[1]!Tablo3[#Data],2,FALSE)</f>
        <v>Kadir TOPÇU</v>
      </c>
    </row>
    <row r="3129" spans="1:27" x14ac:dyDescent="0.25">
      <c r="A3129">
        <v>4462</v>
      </c>
      <c r="B3129" t="s">
        <v>27</v>
      </c>
      <c r="C3129" t="s">
        <v>402</v>
      </c>
      <c r="D3129" t="s">
        <v>403</v>
      </c>
      <c r="G3129" t="s">
        <v>384</v>
      </c>
      <c r="H3129" t="s">
        <v>9159</v>
      </c>
      <c r="I3129" s="4">
        <v>44712.875</v>
      </c>
      <c r="K3129" t="s">
        <v>743</v>
      </c>
      <c r="L3129" s="5"/>
      <c r="M3129" s="5"/>
      <c r="N3129" t="s">
        <v>82</v>
      </c>
      <c r="O3129" t="s">
        <v>9160</v>
      </c>
      <c r="R3129">
        <v>1</v>
      </c>
      <c r="T3129" s="5"/>
      <c r="W3129">
        <v>157</v>
      </c>
      <c r="X3129" t="s">
        <v>3495</v>
      </c>
      <c r="Y3129" t="str">
        <f>VLOOKUP(C3129,'[1]DBS_KPY Sorumlular'!A:C,2,FALSE)</f>
        <v>Tayfun VİÇE</v>
      </c>
      <c r="Z3129" t="str">
        <f>VLOOKUP(C3129,'[1]DBS_KPY Sorumlular'!A:C,3,FALSE)</f>
        <v>Mehmet Ali YAVUZ</v>
      </c>
      <c r="AA3129" t="str">
        <f>VLOOKUP(K3129,[1]!Tablo3[#Data],2,FALSE)</f>
        <v>Kadir TOPÇU</v>
      </c>
    </row>
    <row r="3130" spans="1:27" x14ac:dyDescent="0.25">
      <c r="A3130">
        <v>4463</v>
      </c>
      <c r="B3130" t="s">
        <v>27</v>
      </c>
      <c r="C3130" t="s">
        <v>402</v>
      </c>
      <c r="D3130" t="s">
        <v>403</v>
      </c>
      <c r="G3130" t="s">
        <v>384</v>
      </c>
      <c r="H3130" t="s">
        <v>9161</v>
      </c>
      <c r="I3130" s="4">
        <v>45077.875</v>
      </c>
      <c r="K3130" t="s">
        <v>743</v>
      </c>
      <c r="L3130" s="5"/>
      <c r="M3130" s="5"/>
      <c r="N3130" t="s">
        <v>82</v>
      </c>
      <c r="O3130" t="s">
        <v>9162</v>
      </c>
      <c r="R3130">
        <v>1</v>
      </c>
      <c r="T3130" s="5"/>
      <c r="W3130">
        <v>64</v>
      </c>
      <c r="X3130" t="s">
        <v>5394</v>
      </c>
      <c r="Y3130" t="str">
        <f>VLOOKUP(C3130,'[1]DBS_KPY Sorumlular'!A:C,2,FALSE)</f>
        <v>Tayfun VİÇE</v>
      </c>
      <c r="Z3130" t="str">
        <f>VLOOKUP(C3130,'[1]DBS_KPY Sorumlular'!A:C,3,FALSE)</f>
        <v>Mehmet Ali YAVUZ</v>
      </c>
      <c r="AA3130" t="str">
        <f>VLOOKUP(K3130,[1]!Tablo3[#Data],2,FALSE)</f>
        <v>Kadir TOPÇU</v>
      </c>
    </row>
    <row r="3131" spans="1:27" x14ac:dyDescent="0.25">
      <c r="A3131">
        <v>4464</v>
      </c>
      <c r="B3131" t="s">
        <v>27</v>
      </c>
      <c r="C3131" t="s">
        <v>402</v>
      </c>
      <c r="D3131" t="s">
        <v>403</v>
      </c>
      <c r="G3131" t="s">
        <v>384</v>
      </c>
      <c r="H3131" t="s">
        <v>9163</v>
      </c>
      <c r="I3131" s="4">
        <v>45077.875</v>
      </c>
      <c r="K3131" t="s">
        <v>743</v>
      </c>
      <c r="L3131" s="5"/>
      <c r="M3131" s="5"/>
      <c r="N3131" t="s">
        <v>82</v>
      </c>
      <c r="O3131" t="s">
        <v>9164</v>
      </c>
      <c r="R3131">
        <v>1</v>
      </c>
      <c r="T3131" s="5"/>
      <c r="W3131">
        <v>32</v>
      </c>
      <c r="X3131" t="s">
        <v>4412</v>
      </c>
      <c r="Y3131" t="str">
        <f>VLOOKUP(C3131,'[1]DBS_KPY Sorumlular'!A:C,2,FALSE)</f>
        <v>Tayfun VİÇE</v>
      </c>
      <c r="Z3131" t="str">
        <f>VLOOKUP(C3131,'[1]DBS_KPY Sorumlular'!A:C,3,FALSE)</f>
        <v>Mehmet Ali YAVUZ</v>
      </c>
      <c r="AA3131" t="str">
        <f>VLOOKUP(K3131,[1]!Tablo3[#Data],2,FALSE)</f>
        <v>Kadir TOPÇU</v>
      </c>
    </row>
    <row r="3132" spans="1:27" x14ac:dyDescent="0.25">
      <c r="A3132">
        <v>4465</v>
      </c>
      <c r="B3132" t="s">
        <v>27</v>
      </c>
      <c r="C3132" t="s">
        <v>402</v>
      </c>
      <c r="D3132" t="s">
        <v>403</v>
      </c>
      <c r="G3132" t="s">
        <v>384</v>
      </c>
      <c r="H3132" t="s">
        <v>9165</v>
      </c>
      <c r="I3132" s="4">
        <v>45077.875</v>
      </c>
      <c r="K3132" t="s">
        <v>743</v>
      </c>
      <c r="L3132" s="5"/>
      <c r="M3132" s="5"/>
      <c r="N3132" t="s">
        <v>82</v>
      </c>
      <c r="O3132" t="s">
        <v>9166</v>
      </c>
      <c r="R3132">
        <v>1</v>
      </c>
      <c r="T3132" s="5"/>
      <c r="W3132">
        <v>32</v>
      </c>
      <c r="X3132" t="s">
        <v>4412</v>
      </c>
      <c r="Y3132" t="str">
        <f>VLOOKUP(C3132,'[1]DBS_KPY Sorumlular'!A:C,2,FALSE)</f>
        <v>Tayfun VİÇE</v>
      </c>
      <c r="Z3132" t="str">
        <f>VLOOKUP(C3132,'[1]DBS_KPY Sorumlular'!A:C,3,FALSE)</f>
        <v>Mehmet Ali YAVUZ</v>
      </c>
      <c r="AA3132" t="str">
        <f>VLOOKUP(K3132,[1]!Tablo3[#Data],2,FALSE)</f>
        <v>Kadir TOPÇU</v>
      </c>
    </row>
    <row r="3133" spans="1:27" x14ac:dyDescent="0.25">
      <c r="A3133">
        <v>4466</v>
      </c>
      <c r="B3133" t="s">
        <v>27</v>
      </c>
      <c r="C3133" t="s">
        <v>402</v>
      </c>
      <c r="D3133" t="s">
        <v>403</v>
      </c>
      <c r="G3133" t="s">
        <v>384</v>
      </c>
      <c r="H3133" t="s">
        <v>9167</v>
      </c>
      <c r="I3133" s="4">
        <v>45077.875</v>
      </c>
      <c r="K3133" t="s">
        <v>743</v>
      </c>
      <c r="L3133" s="5"/>
      <c r="M3133" s="5"/>
      <c r="N3133" t="s">
        <v>82</v>
      </c>
      <c r="O3133" t="s">
        <v>9168</v>
      </c>
      <c r="R3133">
        <v>1</v>
      </c>
      <c r="T3133" s="5"/>
      <c r="W3133">
        <v>32</v>
      </c>
      <c r="X3133" t="s">
        <v>4412</v>
      </c>
      <c r="Y3133" t="str">
        <f>VLOOKUP(C3133,'[1]DBS_KPY Sorumlular'!A:C,2,FALSE)</f>
        <v>Tayfun VİÇE</v>
      </c>
      <c r="Z3133" t="str">
        <f>VLOOKUP(C3133,'[1]DBS_KPY Sorumlular'!A:C,3,FALSE)</f>
        <v>Mehmet Ali YAVUZ</v>
      </c>
      <c r="AA3133" t="str">
        <f>VLOOKUP(K3133,[1]!Tablo3[#Data],2,FALSE)</f>
        <v>Kadir TOPÇU</v>
      </c>
    </row>
    <row r="3134" spans="1:27" x14ac:dyDescent="0.25">
      <c r="A3134">
        <v>4467</v>
      </c>
      <c r="B3134" t="s">
        <v>27</v>
      </c>
      <c r="C3134" t="s">
        <v>402</v>
      </c>
      <c r="D3134" t="s">
        <v>403</v>
      </c>
      <c r="G3134" t="s">
        <v>384</v>
      </c>
      <c r="H3134" t="s">
        <v>9169</v>
      </c>
      <c r="I3134" s="4">
        <v>45077.875</v>
      </c>
      <c r="K3134" t="s">
        <v>1550</v>
      </c>
      <c r="L3134" s="5"/>
      <c r="M3134" s="5"/>
      <c r="N3134" t="s">
        <v>82</v>
      </c>
      <c r="O3134" t="s">
        <v>9170</v>
      </c>
      <c r="R3134">
        <v>1</v>
      </c>
      <c r="T3134" s="5"/>
      <c r="W3134">
        <v>64</v>
      </c>
      <c r="X3134" t="s">
        <v>5394</v>
      </c>
      <c r="Y3134" t="str">
        <f>VLOOKUP(C3134,'[1]DBS_KPY Sorumlular'!A:C,2,FALSE)</f>
        <v>Tayfun VİÇE</v>
      </c>
      <c r="Z3134" t="str">
        <f>VLOOKUP(C3134,'[1]DBS_KPY Sorumlular'!A:C,3,FALSE)</f>
        <v>Mehmet Ali YAVUZ</v>
      </c>
      <c r="AA3134" t="str">
        <f>VLOOKUP(K3134,[1]!Tablo3[#Data],2,FALSE)</f>
        <v>Kadir TOPÇU</v>
      </c>
    </row>
    <row r="3135" spans="1:27" x14ac:dyDescent="0.25">
      <c r="A3135">
        <v>4468</v>
      </c>
      <c r="B3135" t="s">
        <v>27</v>
      </c>
      <c r="C3135" t="s">
        <v>402</v>
      </c>
      <c r="D3135" t="s">
        <v>403</v>
      </c>
      <c r="G3135" t="s">
        <v>384</v>
      </c>
      <c r="H3135" t="s">
        <v>9171</v>
      </c>
      <c r="I3135" s="4">
        <v>45077.875</v>
      </c>
      <c r="K3135" t="s">
        <v>743</v>
      </c>
      <c r="L3135" s="5"/>
      <c r="M3135" s="5"/>
      <c r="N3135" t="s">
        <v>82</v>
      </c>
      <c r="O3135" t="s">
        <v>9172</v>
      </c>
      <c r="R3135">
        <v>1</v>
      </c>
      <c r="T3135" s="5"/>
      <c r="W3135">
        <v>32</v>
      </c>
      <c r="X3135" t="s">
        <v>4412</v>
      </c>
      <c r="Y3135" t="str">
        <f>VLOOKUP(C3135,'[1]DBS_KPY Sorumlular'!A:C,2,FALSE)</f>
        <v>Tayfun VİÇE</v>
      </c>
      <c r="Z3135" t="str">
        <f>VLOOKUP(C3135,'[1]DBS_KPY Sorumlular'!A:C,3,FALSE)</f>
        <v>Mehmet Ali YAVUZ</v>
      </c>
      <c r="AA3135" t="str">
        <f>VLOOKUP(K3135,[1]!Tablo3[#Data],2,FALSE)</f>
        <v>Kadir TOPÇU</v>
      </c>
    </row>
    <row r="3136" spans="1:27" x14ac:dyDescent="0.25">
      <c r="A3136">
        <v>4469</v>
      </c>
      <c r="B3136" t="s">
        <v>27</v>
      </c>
      <c r="C3136" t="s">
        <v>402</v>
      </c>
      <c r="D3136" t="s">
        <v>403</v>
      </c>
      <c r="G3136" t="s">
        <v>384</v>
      </c>
      <c r="H3136" t="s">
        <v>9173</v>
      </c>
      <c r="I3136" s="4">
        <v>45077.875</v>
      </c>
      <c r="K3136" t="s">
        <v>743</v>
      </c>
      <c r="L3136" s="5"/>
      <c r="M3136" s="5"/>
      <c r="N3136" t="s">
        <v>82</v>
      </c>
      <c r="O3136" t="s">
        <v>9174</v>
      </c>
      <c r="R3136">
        <v>1</v>
      </c>
      <c r="T3136" s="5"/>
      <c r="W3136">
        <v>157</v>
      </c>
      <c r="X3136" t="s">
        <v>3495</v>
      </c>
      <c r="Y3136" t="str">
        <f>VLOOKUP(C3136,'[1]DBS_KPY Sorumlular'!A:C,2,FALSE)</f>
        <v>Tayfun VİÇE</v>
      </c>
      <c r="Z3136" t="str">
        <f>VLOOKUP(C3136,'[1]DBS_KPY Sorumlular'!A:C,3,FALSE)</f>
        <v>Mehmet Ali YAVUZ</v>
      </c>
      <c r="AA3136" t="str">
        <f>VLOOKUP(K3136,[1]!Tablo3[#Data],2,FALSE)</f>
        <v>Kadir TOPÇU</v>
      </c>
    </row>
    <row r="3137" spans="1:27" x14ac:dyDescent="0.25">
      <c r="A3137">
        <v>4470</v>
      </c>
      <c r="B3137" t="s">
        <v>27</v>
      </c>
      <c r="C3137" t="s">
        <v>402</v>
      </c>
      <c r="D3137" t="s">
        <v>403</v>
      </c>
      <c r="G3137" t="s">
        <v>384</v>
      </c>
      <c r="H3137" t="s">
        <v>9175</v>
      </c>
      <c r="I3137" s="4">
        <v>45077.875</v>
      </c>
      <c r="K3137" t="s">
        <v>743</v>
      </c>
      <c r="L3137" s="5"/>
      <c r="M3137" s="5"/>
      <c r="N3137" t="s">
        <v>82</v>
      </c>
      <c r="O3137" t="s">
        <v>9176</v>
      </c>
      <c r="R3137">
        <v>1</v>
      </c>
      <c r="T3137" s="5"/>
      <c r="W3137">
        <v>32</v>
      </c>
      <c r="X3137" t="s">
        <v>4412</v>
      </c>
      <c r="Y3137" t="str">
        <f>VLOOKUP(C3137,'[1]DBS_KPY Sorumlular'!A:C,2,FALSE)</f>
        <v>Tayfun VİÇE</v>
      </c>
      <c r="Z3137" t="str">
        <f>VLOOKUP(C3137,'[1]DBS_KPY Sorumlular'!A:C,3,FALSE)</f>
        <v>Mehmet Ali YAVUZ</v>
      </c>
      <c r="AA3137" t="str">
        <f>VLOOKUP(K3137,[1]!Tablo3[#Data],2,FALSE)</f>
        <v>Kadir TOPÇU</v>
      </c>
    </row>
    <row r="3138" spans="1:27" x14ac:dyDescent="0.25">
      <c r="A3138">
        <v>4471</v>
      </c>
      <c r="B3138" t="s">
        <v>27</v>
      </c>
      <c r="C3138" t="s">
        <v>402</v>
      </c>
      <c r="D3138" t="s">
        <v>403</v>
      </c>
      <c r="G3138" t="s">
        <v>384</v>
      </c>
      <c r="H3138" t="s">
        <v>9177</v>
      </c>
      <c r="I3138" s="4">
        <v>45077.875</v>
      </c>
      <c r="K3138" t="s">
        <v>743</v>
      </c>
      <c r="L3138" s="5"/>
      <c r="M3138" s="5"/>
      <c r="N3138" t="s">
        <v>82</v>
      </c>
      <c r="O3138" t="s">
        <v>9178</v>
      </c>
      <c r="R3138">
        <v>1</v>
      </c>
      <c r="T3138" s="5"/>
      <c r="W3138">
        <v>32</v>
      </c>
      <c r="X3138" t="s">
        <v>4412</v>
      </c>
      <c r="Y3138" t="str">
        <f>VLOOKUP(C3138,'[1]DBS_KPY Sorumlular'!A:C,2,FALSE)</f>
        <v>Tayfun VİÇE</v>
      </c>
      <c r="Z3138" t="str">
        <f>VLOOKUP(C3138,'[1]DBS_KPY Sorumlular'!A:C,3,FALSE)</f>
        <v>Mehmet Ali YAVUZ</v>
      </c>
      <c r="AA3138" t="str">
        <f>VLOOKUP(K3138,[1]!Tablo3[#Data],2,FALSE)</f>
        <v>Kadir TOPÇU</v>
      </c>
    </row>
    <row r="3139" spans="1:27" x14ac:dyDescent="0.25">
      <c r="A3139">
        <v>4473</v>
      </c>
      <c r="B3139" t="s">
        <v>27</v>
      </c>
      <c r="C3139" t="s">
        <v>402</v>
      </c>
      <c r="D3139" t="s">
        <v>403</v>
      </c>
      <c r="G3139" t="s">
        <v>384</v>
      </c>
      <c r="H3139" t="s">
        <v>9179</v>
      </c>
      <c r="I3139" s="4">
        <v>45077.875</v>
      </c>
      <c r="K3139" t="s">
        <v>743</v>
      </c>
      <c r="L3139" s="5"/>
      <c r="M3139" s="5"/>
      <c r="N3139" t="s">
        <v>82</v>
      </c>
      <c r="O3139" t="s">
        <v>9180</v>
      </c>
      <c r="R3139">
        <v>1</v>
      </c>
      <c r="T3139" s="5"/>
      <c r="W3139">
        <v>59</v>
      </c>
      <c r="X3139" t="s">
        <v>4597</v>
      </c>
      <c r="Y3139" t="str">
        <f>VLOOKUP(C3139,'[1]DBS_KPY Sorumlular'!A:C,2,FALSE)</f>
        <v>Tayfun VİÇE</v>
      </c>
      <c r="Z3139" t="str">
        <f>VLOOKUP(C3139,'[1]DBS_KPY Sorumlular'!A:C,3,FALSE)</f>
        <v>Mehmet Ali YAVUZ</v>
      </c>
      <c r="AA3139" t="str">
        <f>VLOOKUP(K3139,[1]!Tablo3[#Data],2,FALSE)</f>
        <v>Kadir TOPÇU</v>
      </c>
    </row>
    <row r="3140" spans="1:27" x14ac:dyDescent="0.25">
      <c r="A3140">
        <v>4474</v>
      </c>
      <c r="B3140" t="s">
        <v>27</v>
      </c>
      <c r="C3140" t="s">
        <v>402</v>
      </c>
      <c r="D3140" t="s">
        <v>403</v>
      </c>
      <c r="G3140" t="s">
        <v>384</v>
      </c>
      <c r="H3140" t="s">
        <v>9181</v>
      </c>
      <c r="I3140" s="4">
        <v>45077.875</v>
      </c>
      <c r="K3140" t="s">
        <v>743</v>
      </c>
      <c r="L3140" s="5"/>
      <c r="M3140" s="5"/>
      <c r="N3140" t="s">
        <v>82</v>
      </c>
      <c r="O3140" t="s">
        <v>9182</v>
      </c>
      <c r="R3140">
        <v>1</v>
      </c>
      <c r="T3140" s="5"/>
      <c r="W3140">
        <v>8</v>
      </c>
      <c r="X3140" t="s">
        <v>8399</v>
      </c>
      <c r="Y3140" t="str">
        <f>VLOOKUP(C3140,'[1]DBS_KPY Sorumlular'!A:C,2,FALSE)</f>
        <v>Tayfun VİÇE</v>
      </c>
      <c r="Z3140" t="str">
        <f>VLOOKUP(C3140,'[1]DBS_KPY Sorumlular'!A:C,3,FALSE)</f>
        <v>Mehmet Ali YAVUZ</v>
      </c>
      <c r="AA3140" t="str">
        <f>VLOOKUP(K3140,[1]!Tablo3[#Data],2,FALSE)</f>
        <v>Kadir TOPÇU</v>
      </c>
    </row>
    <row r="3141" spans="1:27" x14ac:dyDescent="0.25">
      <c r="A3141">
        <v>4475</v>
      </c>
      <c r="B3141" t="s">
        <v>27</v>
      </c>
      <c r="C3141" t="s">
        <v>402</v>
      </c>
      <c r="D3141" t="s">
        <v>403</v>
      </c>
      <c r="G3141" t="s">
        <v>384</v>
      </c>
      <c r="H3141" t="s">
        <v>9183</v>
      </c>
      <c r="I3141" s="4">
        <v>45077.875</v>
      </c>
      <c r="K3141" t="s">
        <v>743</v>
      </c>
      <c r="L3141" s="5"/>
      <c r="M3141" s="5"/>
      <c r="N3141" t="s">
        <v>82</v>
      </c>
      <c r="O3141" t="s">
        <v>9184</v>
      </c>
      <c r="R3141">
        <v>1</v>
      </c>
      <c r="T3141" s="5"/>
      <c r="W3141">
        <v>51</v>
      </c>
      <c r="X3141" t="s">
        <v>809</v>
      </c>
      <c r="Y3141" t="str">
        <f>VLOOKUP(C3141,'[1]DBS_KPY Sorumlular'!A:C,2,FALSE)</f>
        <v>Tayfun VİÇE</v>
      </c>
      <c r="Z3141" t="str">
        <f>VLOOKUP(C3141,'[1]DBS_KPY Sorumlular'!A:C,3,FALSE)</f>
        <v>Mehmet Ali YAVUZ</v>
      </c>
      <c r="AA3141" t="str">
        <f>VLOOKUP(K3141,[1]!Tablo3[#Data],2,FALSE)</f>
        <v>Kadir TOPÇU</v>
      </c>
    </row>
    <row r="3142" spans="1:27" x14ac:dyDescent="0.25">
      <c r="A3142">
        <v>4476</v>
      </c>
      <c r="B3142" t="s">
        <v>27</v>
      </c>
      <c r="C3142" t="s">
        <v>402</v>
      </c>
      <c r="D3142" t="s">
        <v>403</v>
      </c>
      <c r="G3142" t="s">
        <v>384</v>
      </c>
      <c r="H3142" t="s">
        <v>9185</v>
      </c>
      <c r="I3142" s="4">
        <v>45443.875</v>
      </c>
      <c r="K3142" t="s">
        <v>743</v>
      </c>
      <c r="L3142" s="5"/>
      <c r="M3142" s="5"/>
      <c r="N3142" t="s">
        <v>82</v>
      </c>
      <c r="O3142" t="s">
        <v>9186</v>
      </c>
      <c r="R3142">
        <v>1</v>
      </c>
      <c r="T3142" s="5"/>
      <c r="W3142">
        <v>32</v>
      </c>
      <c r="X3142" t="s">
        <v>4412</v>
      </c>
      <c r="Y3142" t="str">
        <f>VLOOKUP(C3142,'[1]DBS_KPY Sorumlular'!A:C,2,FALSE)</f>
        <v>Tayfun VİÇE</v>
      </c>
      <c r="Z3142" t="str">
        <f>VLOOKUP(C3142,'[1]DBS_KPY Sorumlular'!A:C,3,FALSE)</f>
        <v>Mehmet Ali YAVUZ</v>
      </c>
      <c r="AA3142" t="str">
        <f>VLOOKUP(K3142,[1]!Tablo3[#Data],2,FALSE)</f>
        <v>Kadir TOPÇU</v>
      </c>
    </row>
    <row r="3143" spans="1:27" x14ac:dyDescent="0.25">
      <c r="A3143">
        <v>4477</v>
      </c>
      <c r="B3143" t="s">
        <v>27</v>
      </c>
      <c r="C3143" t="s">
        <v>402</v>
      </c>
      <c r="D3143" t="s">
        <v>403</v>
      </c>
      <c r="G3143" t="s">
        <v>384</v>
      </c>
      <c r="H3143" t="s">
        <v>9187</v>
      </c>
      <c r="I3143" s="4">
        <v>45443.875</v>
      </c>
      <c r="K3143" t="s">
        <v>743</v>
      </c>
      <c r="L3143" s="5"/>
      <c r="M3143" s="5"/>
      <c r="N3143" t="s">
        <v>82</v>
      </c>
      <c r="O3143" t="s">
        <v>9188</v>
      </c>
      <c r="R3143">
        <v>1</v>
      </c>
      <c r="T3143" s="5"/>
      <c r="W3143">
        <v>66</v>
      </c>
      <c r="X3143" t="s">
        <v>8482</v>
      </c>
      <c r="Y3143" t="str">
        <f>VLOOKUP(C3143,'[1]DBS_KPY Sorumlular'!A:C,2,FALSE)</f>
        <v>Tayfun VİÇE</v>
      </c>
      <c r="Z3143" t="str">
        <f>VLOOKUP(C3143,'[1]DBS_KPY Sorumlular'!A:C,3,FALSE)</f>
        <v>Mehmet Ali YAVUZ</v>
      </c>
      <c r="AA3143" t="str">
        <f>VLOOKUP(K3143,[1]!Tablo3[#Data],2,FALSE)</f>
        <v>Kadir TOPÇU</v>
      </c>
    </row>
    <row r="3144" spans="1:27" x14ac:dyDescent="0.25">
      <c r="A3144">
        <v>4478</v>
      </c>
      <c r="B3144" t="s">
        <v>27</v>
      </c>
      <c r="C3144" t="s">
        <v>402</v>
      </c>
      <c r="D3144" t="s">
        <v>403</v>
      </c>
      <c r="G3144" t="s">
        <v>384</v>
      </c>
      <c r="H3144" t="s">
        <v>9189</v>
      </c>
      <c r="I3144" s="4">
        <v>45443.875</v>
      </c>
      <c r="K3144" t="s">
        <v>743</v>
      </c>
      <c r="L3144" s="5"/>
      <c r="M3144" s="5"/>
      <c r="N3144" t="s">
        <v>82</v>
      </c>
      <c r="O3144" t="s">
        <v>9190</v>
      </c>
      <c r="R3144">
        <v>1</v>
      </c>
      <c r="T3144" s="5"/>
      <c r="W3144">
        <v>32</v>
      </c>
      <c r="X3144" t="s">
        <v>4412</v>
      </c>
      <c r="Y3144" t="str">
        <f>VLOOKUP(C3144,'[1]DBS_KPY Sorumlular'!A:C,2,FALSE)</f>
        <v>Tayfun VİÇE</v>
      </c>
      <c r="Z3144" t="str">
        <f>VLOOKUP(C3144,'[1]DBS_KPY Sorumlular'!A:C,3,FALSE)</f>
        <v>Mehmet Ali YAVUZ</v>
      </c>
      <c r="AA3144" t="str">
        <f>VLOOKUP(K3144,[1]!Tablo3[#Data],2,FALSE)</f>
        <v>Kadir TOPÇU</v>
      </c>
    </row>
    <row r="3145" spans="1:27" x14ac:dyDescent="0.25">
      <c r="A3145">
        <v>4479</v>
      </c>
      <c r="B3145" t="s">
        <v>27</v>
      </c>
      <c r="C3145" t="s">
        <v>402</v>
      </c>
      <c r="D3145" t="s">
        <v>403</v>
      </c>
      <c r="G3145" t="s">
        <v>384</v>
      </c>
      <c r="H3145" t="s">
        <v>9191</v>
      </c>
      <c r="I3145" s="4">
        <v>45443.875</v>
      </c>
      <c r="K3145" t="s">
        <v>743</v>
      </c>
      <c r="L3145" s="5"/>
      <c r="M3145" s="5"/>
      <c r="N3145" t="s">
        <v>82</v>
      </c>
      <c r="O3145" t="s">
        <v>9192</v>
      </c>
      <c r="R3145">
        <v>1</v>
      </c>
      <c r="T3145" s="5"/>
      <c r="W3145">
        <v>177</v>
      </c>
      <c r="X3145" t="s">
        <v>2818</v>
      </c>
      <c r="Y3145" t="str">
        <f>VLOOKUP(C3145,'[1]DBS_KPY Sorumlular'!A:C,2,FALSE)</f>
        <v>Tayfun VİÇE</v>
      </c>
      <c r="Z3145" t="str">
        <f>VLOOKUP(C3145,'[1]DBS_KPY Sorumlular'!A:C,3,FALSE)</f>
        <v>Mehmet Ali YAVUZ</v>
      </c>
      <c r="AA3145" t="str">
        <f>VLOOKUP(K3145,[1]!Tablo3[#Data],2,FALSE)</f>
        <v>Kadir TOPÇU</v>
      </c>
    </row>
    <row r="3146" spans="1:27" x14ac:dyDescent="0.25">
      <c r="A3146">
        <v>4480</v>
      </c>
      <c r="B3146" t="s">
        <v>27</v>
      </c>
      <c r="C3146" t="s">
        <v>402</v>
      </c>
      <c r="D3146" t="s">
        <v>403</v>
      </c>
      <c r="G3146" t="s">
        <v>384</v>
      </c>
      <c r="H3146" t="s">
        <v>9193</v>
      </c>
      <c r="I3146" s="4">
        <v>45443.875</v>
      </c>
      <c r="K3146" t="s">
        <v>743</v>
      </c>
      <c r="L3146" s="5"/>
      <c r="M3146" s="5"/>
      <c r="N3146" t="s">
        <v>82</v>
      </c>
      <c r="O3146" t="s">
        <v>9194</v>
      </c>
      <c r="R3146">
        <v>1</v>
      </c>
      <c r="T3146" s="5"/>
      <c r="W3146">
        <v>241</v>
      </c>
      <c r="X3146" t="s">
        <v>3500</v>
      </c>
      <c r="Y3146" t="str">
        <f>VLOOKUP(C3146,'[1]DBS_KPY Sorumlular'!A:C,2,FALSE)</f>
        <v>Tayfun VİÇE</v>
      </c>
      <c r="Z3146" t="str">
        <f>VLOOKUP(C3146,'[1]DBS_KPY Sorumlular'!A:C,3,FALSE)</f>
        <v>Mehmet Ali YAVUZ</v>
      </c>
      <c r="AA3146" t="str">
        <f>VLOOKUP(K3146,[1]!Tablo3[#Data],2,FALSE)</f>
        <v>Kadir TOPÇU</v>
      </c>
    </row>
    <row r="3147" spans="1:27" x14ac:dyDescent="0.25">
      <c r="A3147">
        <v>4481</v>
      </c>
      <c r="B3147" t="s">
        <v>27</v>
      </c>
      <c r="C3147" t="s">
        <v>402</v>
      </c>
      <c r="D3147" t="s">
        <v>403</v>
      </c>
      <c r="G3147" t="s">
        <v>384</v>
      </c>
      <c r="H3147" t="s">
        <v>9195</v>
      </c>
      <c r="I3147" s="4">
        <v>45443.875</v>
      </c>
      <c r="K3147" t="s">
        <v>743</v>
      </c>
      <c r="L3147" s="5"/>
      <c r="M3147" s="5"/>
      <c r="N3147" t="s">
        <v>82</v>
      </c>
      <c r="O3147" t="s">
        <v>9196</v>
      </c>
      <c r="R3147">
        <v>1</v>
      </c>
      <c r="T3147" s="5"/>
      <c r="W3147">
        <v>66</v>
      </c>
      <c r="X3147" t="s">
        <v>8482</v>
      </c>
      <c r="Y3147" t="str">
        <f>VLOOKUP(C3147,'[1]DBS_KPY Sorumlular'!A:C,2,FALSE)</f>
        <v>Tayfun VİÇE</v>
      </c>
      <c r="Z3147" t="str">
        <f>VLOOKUP(C3147,'[1]DBS_KPY Sorumlular'!A:C,3,FALSE)</f>
        <v>Mehmet Ali YAVUZ</v>
      </c>
      <c r="AA3147" t="str">
        <f>VLOOKUP(K3147,[1]!Tablo3[#Data],2,FALSE)</f>
        <v>Kadir TOPÇU</v>
      </c>
    </row>
    <row r="3148" spans="1:27" x14ac:dyDescent="0.25">
      <c r="A3148">
        <v>4482</v>
      </c>
      <c r="B3148" t="s">
        <v>27</v>
      </c>
      <c r="C3148" t="s">
        <v>402</v>
      </c>
      <c r="D3148" t="s">
        <v>403</v>
      </c>
      <c r="G3148" t="s">
        <v>384</v>
      </c>
      <c r="H3148" t="s">
        <v>9197</v>
      </c>
      <c r="I3148" s="4">
        <v>45443.875</v>
      </c>
      <c r="K3148" t="s">
        <v>743</v>
      </c>
      <c r="L3148" s="5"/>
      <c r="M3148" s="5"/>
      <c r="N3148" t="s">
        <v>82</v>
      </c>
      <c r="O3148" t="s">
        <v>9198</v>
      </c>
      <c r="R3148">
        <v>1</v>
      </c>
      <c r="T3148" s="5"/>
      <c r="W3148">
        <v>196</v>
      </c>
      <c r="X3148" t="s">
        <v>7066</v>
      </c>
      <c r="Y3148" t="str">
        <f>VLOOKUP(C3148,'[1]DBS_KPY Sorumlular'!A:C,2,FALSE)</f>
        <v>Tayfun VİÇE</v>
      </c>
      <c r="Z3148" t="str">
        <f>VLOOKUP(C3148,'[1]DBS_KPY Sorumlular'!A:C,3,FALSE)</f>
        <v>Mehmet Ali YAVUZ</v>
      </c>
      <c r="AA3148" t="str">
        <f>VLOOKUP(K3148,[1]!Tablo3[#Data],2,FALSE)</f>
        <v>Kadir TOPÇU</v>
      </c>
    </row>
    <row r="3149" spans="1:27" x14ac:dyDescent="0.25">
      <c r="A3149">
        <v>4483</v>
      </c>
      <c r="B3149" t="s">
        <v>27</v>
      </c>
      <c r="C3149" t="s">
        <v>402</v>
      </c>
      <c r="D3149" t="s">
        <v>403</v>
      </c>
      <c r="G3149" t="s">
        <v>384</v>
      </c>
      <c r="H3149" t="s">
        <v>9199</v>
      </c>
      <c r="I3149" s="4">
        <v>45443.875</v>
      </c>
      <c r="K3149" t="s">
        <v>743</v>
      </c>
      <c r="L3149" s="5"/>
      <c r="M3149" s="5"/>
      <c r="N3149" t="s">
        <v>82</v>
      </c>
      <c r="O3149" t="s">
        <v>9200</v>
      </c>
      <c r="R3149">
        <v>1</v>
      </c>
      <c r="T3149" s="5"/>
      <c r="W3149">
        <v>32</v>
      </c>
      <c r="X3149" t="s">
        <v>4412</v>
      </c>
      <c r="Y3149" t="str">
        <f>VLOOKUP(C3149,'[1]DBS_KPY Sorumlular'!A:C,2,FALSE)</f>
        <v>Tayfun VİÇE</v>
      </c>
      <c r="Z3149" t="str">
        <f>VLOOKUP(C3149,'[1]DBS_KPY Sorumlular'!A:C,3,FALSE)</f>
        <v>Mehmet Ali YAVUZ</v>
      </c>
      <c r="AA3149" t="str">
        <f>VLOOKUP(K3149,[1]!Tablo3[#Data],2,FALSE)</f>
        <v>Kadir TOPÇU</v>
      </c>
    </row>
    <row r="3150" spans="1:27" x14ac:dyDescent="0.25">
      <c r="A3150">
        <v>4484</v>
      </c>
      <c r="B3150" t="s">
        <v>27</v>
      </c>
      <c r="C3150" t="s">
        <v>402</v>
      </c>
      <c r="D3150" t="s">
        <v>403</v>
      </c>
      <c r="G3150" t="s">
        <v>384</v>
      </c>
      <c r="H3150" t="s">
        <v>9201</v>
      </c>
      <c r="I3150" s="4">
        <v>45443.875</v>
      </c>
      <c r="K3150" t="s">
        <v>743</v>
      </c>
      <c r="L3150" s="5"/>
      <c r="M3150" s="5"/>
      <c r="N3150" t="s">
        <v>82</v>
      </c>
      <c r="O3150" t="s">
        <v>9202</v>
      </c>
      <c r="R3150">
        <v>1</v>
      </c>
      <c r="T3150" s="5"/>
      <c r="W3150">
        <v>178</v>
      </c>
      <c r="X3150" t="s">
        <v>9082</v>
      </c>
      <c r="Y3150" t="str">
        <f>VLOOKUP(C3150,'[1]DBS_KPY Sorumlular'!A:C,2,FALSE)</f>
        <v>Tayfun VİÇE</v>
      </c>
      <c r="Z3150" t="str">
        <f>VLOOKUP(C3150,'[1]DBS_KPY Sorumlular'!A:C,3,FALSE)</f>
        <v>Mehmet Ali YAVUZ</v>
      </c>
      <c r="AA3150" t="str">
        <f>VLOOKUP(K3150,[1]!Tablo3[#Data],2,FALSE)</f>
        <v>Kadir TOPÇU</v>
      </c>
    </row>
    <row r="3151" spans="1:27" x14ac:dyDescent="0.25">
      <c r="A3151">
        <v>4485</v>
      </c>
      <c r="B3151" t="s">
        <v>27</v>
      </c>
      <c r="C3151" t="s">
        <v>402</v>
      </c>
      <c r="D3151" t="s">
        <v>403</v>
      </c>
      <c r="G3151" t="s">
        <v>384</v>
      </c>
      <c r="H3151" t="s">
        <v>9203</v>
      </c>
      <c r="I3151" s="4">
        <v>45443.875</v>
      </c>
      <c r="K3151" t="s">
        <v>743</v>
      </c>
      <c r="L3151" s="5"/>
      <c r="M3151" s="5"/>
      <c r="N3151" t="s">
        <v>82</v>
      </c>
      <c r="O3151" t="s">
        <v>9204</v>
      </c>
      <c r="R3151">
        <v>1</v>
      </c>
      <c r="T3151" s="5"/>
      <c r="W3151">
        <v>66</v>
      </c>
      <c r="X3151" t="s">
        <v>8482</v>
      </c>
      <c r="Y3151" t="str">
        <f>VLOOKUP(C3151,'[1]DBS_KPY Sorumlular'!A:C,2,FALSE)</f>
        <v>Tayfun VİÇE</v>
      </c>
      <c r="Z3151" t="str">
        <f>VLOOKUP(C3151,'[1]DBS_KPY Sorumlular'!A:C,3,FALSE)</f>
        <v>Mehmet Ali YAVUZ</v>
      </c>
      <c r="AA3151" t="str">
        <f>VLOOKUP(K3151,[1]!Tablo3[#Data],2,FALSE)</f>
        <v>Kadir TOPÇU</v>
      </c>
    </row>
    <row r="3152" spans="1:27" x14ac:dyDescent="0.25">
      <c r="A3152">
        <v>4486</v>
      </c>
      <c r="B3152" t="s">
        <v>27</v>
      </c>
      <c r="C3152" t="s">
        <v>402</v>
      </c>
      <c r="D3152" t="s">
        <v>403</v>
      </c>
      <c r="G3152" t="s">
        <v>384</v>
      </c>
      <c r="H3152" t="s">
        <v>9205</v>
      </c>
      <c r="I3152" s="4">
        <v>45443.875</v>
      </c>
      <c r="K3152" t="s">
        <v>743</v>
      </c>
      <c r="L3152" s="5"/>
      <c r="M3152" s="5"/>
      <c r="N3152" t="s">
        <v>82</v>
      </c>
      <c r="O3152" t="s">
        <v>9206</v>
      </c>
      <c r="R3152">
        <v>1</v>
      </c>
      <c r="T3152" s="5"/>
      <c r="W3152">
        <v>32</v>
      </c>
      <c r="X3152" t="s">
        <v>4412</v>
      </c>
      <c r="Y3152" t="str">
        <f>VLOOKUP(C3152,'[1]DBS_KPY Sorumlular'!A:C,2,FALSE)</f>
        <v>Tayfun VİÇE</v>
      </c>
      <c r="Z3152" t="str">
        <f>VLOOKUP(C3152,'[1]DBS_KPY Sorumlular'!A:C,3,FALSE)</f>
        <v>Mehmet Ali YAVUZ</v>
      </c>
      <c r="AA3152" t="str">
        <f>VLOOKUP(K3152,[1]!Tablo3[#Data],2,FALSE)</f>
        <v>Kadir TOPÇU</v>
      </c>
    </row>
    <row r="3153" spans="1:27" x14ac:dyDescent="0.25">
      <c r="A3153">
        <v>4487</v>
      </c>
      <c r="B3153" t="s">
        <v>27</v>
      </c>
      <c r="C3153" t="s">
        <v>402</v>
      </c>
      <c r="D3153" t="s">
        <v>403</v>
      </c>
      <c r="G3153" t="s">
        <v>384</v>
      </c>
      <c r="H3153" t="s">
        <v>9207</v>
      </c>
      <c r="I3153" s="4">
        <v>45443.875</v>
      </c>
      <c r="J3153" t="s">
        <v>9208</v>
      </c>
      <c r="K3153" t="s">
        <v>743</v>
      </c>
      <c r="L3153" s="5"/>
      <c r="M3153" s="5"/>
      <c r="N3153" t="s">
        <v>82</v>
      </c>
      <c r="O3153" t="s">
        <v>9209</v>
      </c>
      <c r="R3153">
        <v>1</v>
      </c>
      <c r="T3153" s="5"/>
      <c r="W3153">
        <v>134</v>
      </c>
      <c r="X3153" t="s">
        <v>1577</v>
      </c>
      <c r="Y3153" t="str">
        <f>VLOOKUP(C3153,'[1]DBS_KPY Sorumlular'!A:C,2,FALSE)</f>
        <v>Tayfun VİÇE</v>
      </c>
      <c r="Z3153" t="str">
        <f>VLOOKUP(C3153,'[1]DBS_KPY Sorumlular'!A:C,3,FALSE)</f>
        <v>Mehmet Ali YAVUZ</v>
      </c>
      <c r="AA3153" t="str">
        <f>VLOOKUP(K3153,[1]!Tablo3[#Data],2,FALSE)</f>
        <v>Kadir TOPÇU</v>
      </c>
    </row>
    <row r="3154" spans="1:27" x14ac:dyDescent="0.25">
      <c r="A3154">
        <v>4488</v>
      </c>
      <c r="B3154" t="s">
        <v>27</v>
      </c>
      <c r="C3154" t="s">
        <v>402</v>
      </c>
      <c r="D3154" t="s">
        <v>403</v>
      </c>
      <c r="G3154" t="s">
        <v>384</v>
      </c>
      <c r="H3154" t="s">
        <v>9210</v>
      </c>
      <c r="I3154" s="4">
        <v>45443.875</v>
      </c>
      <c r="K3154" t="s">
        <v>1528</v>
      </c>
      <c r="L3154" s="5"/>
      <c r="M3154" s="5"/>
      <c r="N3154" t="s">
        <v>82</v>
      </c>
      <c r="O3154" t="s">
        <v>9211</v>
      </c>
      <c r="R3154">
        <v>1</v>
      </c>
      <c r="T3154" s="5"/>
      <c r="W3154">
        <v>32</v>
      </c>
      <c r="X3154" t="s">
        <v>4412</v>
      </c>
      <c r="Y3154" t="str">
        <f>VLOOKUP(C3154,'[1]DBS_KPY Sorumlular'!A:C,2,FALSE)</f>
        <v>Tayfun VİÇE</v>
      </c>
      <c r="Z3154" t="str">
        <f>VLOOKUP(C3154,'[1]DBS_KPY Sorumlular'!A:C,3,FALSE)</f>
        <v>Mehmet Ali YAVUZ</v>
      </c>
      <c r="AA3154" t="str">
        <f>VLOOKUP(K3154,[1]!Tablo3[#Data],2,FALSE)</f>
        <v>Tayfun VİÇE</v>
      </c>
    </row>
    <row r="3155" spans="1:27" x14ac:dyDescent="0.25">
      <c r="A3155">
        <v>4489</v>
      </c>
      <c r="B3155" t="s">
        <v>27</v>
      </c>
      <c r="C3155" t="s">
        <v>402</v>
      </c>
      <c r="D3155" t="s">
        <v>403</v>
      </c>
      <c r="G3155" t="s">
        <v>384</v>
      </c>
      <c r="H3155" t="s">
        <v>9212</v>
      </c>
      <c r="I3155" s="4">
        <v>45443.875</v>
      </c>
      <c r="K3155" t="s">
        <v>743</v>
      </c>
      <c r="L3155" s="5"/>
      <c r="M3155" s="5"/>
      <c r="N3155" t="s">
        <v>82</v>
      </c>
      <c r="O3155" t="s">
        <v>9213</v>
      </c>
      <c r="R3155">
        <v>1</v>
      </c>
      <c r="T3155" s="5"/>
      <c r="W3155">
        <v>64</v>
      </c>
      <c r="X3155" t="s">
        <v>5394</v>
      </c>
      <c r="Y3155" t="str">
        <f>VLOOKUP(C3155,'[1]DBS_KPY Sorumlular'!A:C,2,FALSE)</f>
        <v>Tayfun VİÇE</v>
      </c>
      <c r="Z3155" t="str">
        <f>VLOOKUP(C3155,'[1]DBS_KPY Sorumlular'!A:C,3,FALSE)</f>
        <v>Mehmet Ali YAVUZ</v>
      </c>
      <c r="AA3155" t="str">
        <f>VLOOKUP(K3155,[1]!Tablo3[#Data],2,FALSE)</f>
        <v>Kadir TOPÇU</v>
      </c>
    </row>
    <row r="3156" spans="1:27" x14ac:dyDescent="0.25">
      <c r="A3156">
        <v>4490</v>
      </c>
      <c r="B3156" t="s">
        <v>27</v>
      </c>
      <c r="C3156" t="s">
        <v>402</v>
      </c>
      <c r="D3156" t="s">
        <v>403</v>
      </c>
      <c r="G3156" t="s">
        <v>384</v>
      </c>
      <c r="H3156" t="s">
        <v>9214</v>
      </c>
      <c r="I3156" s="4">
        <v>45443.875</v>
      </c>
      <c r="K3156" t="s">
        <v>743</v>
      </c>
      <c r="L3156" s="5"/>
      <c r="M3156" s="5" t="s">
        <v>8423</v>
      </c>
      <c r="N3156" t="s">
        <v>82</v>
      </c>
      <c r="O3156" t="s">
        <v>9215</v>
      </c>
      <c r="R3156">
        <v>1</v>
      </c>
      <c r="T3156" s="5"/>
      <c r="W3156">
        <v>270</v>
      </c>
      <c r="X3156" t="s">
        <v>8412</v>
      </c>
      <c r="Y3156" t="str">
        <f>VLOOKUP(C3156,'[1]DBS_KPY Sorumlular'!A:C,2,FALSE)</f>
        <v>Tayfun VİÇE</v>
      </c>
      <c r="Z3156" t="str">
        <f>VLOOKUP(C3156,'[1]DBS_KPY Sorumlular'!A:C,3,FALSE)</f>
        <v>Mehmet Ali YAVUZ</v>
      </c>
      <c r="AA3156" t="str">
        <f>VLOOKUP(K3156,[1]!Tablo3[#Data],2,FALSE)</f>
        <v>Kadir TOPÇU</v>
      </c>
    </row>
    <row r="3157" spans="1:27" x14ac:dyDescent="0.25">
      <c r="A3157">
        <v>4493</v>
      </c>
      <c r="B3157" t="s">
        <v>27</v>
      </c>
      <c r="C3157" t="s">
        <v>402</v>
      </c>
      <c r="D3157" t="s">
        <v>403</v>
      </c>
      <c r="G3157" t="s">
        <v>384</v>
      </c>
      <c r="H3157" t="s">
        <v>9216</v>
      </c>
      <c r="I3157" s="4">
        <v>45443.875</v>
      </c>
      <c r="K3157" t="s">
        <v>743</v>
      </c>
      <c r="L3157" s="5"/>
      <c r="M3157" s="5" t="s">
        <v>8423</v>
      </c>
      <c r="N3157" t="s">
        <v>82</v>
      </c>
      <c r="O3157" t="s">
        <v>9217</v>
      </c>
      <c r="R3157">
        <v>1</v>
      </c>
      <c r="T3157" s="5"/>
      <c r="W3157">
        <v>270</v>
      </c>
      <c r="X3157" t="s">
        <v>8412</v>
      </c>
      <c r="Y3157" t="str">
        <f>VLOOKUP(C3157,'[1]DBS_KPY Sorumlular'!A:C,2,FALSE)</f>
        <v>Tayfun VİÇE</v>
      </c>
      <c r="Z3157" t="str">
        <f>VLOOKUP(C3157,'[1]DBS_KPY Sorumlular'!A:C,3,FALSE)</f>
        <v>Mehmet Ali YAVUZ</v>
      </c>
      <c r="AA3157" t="str">
        <f>VLOOKUP(K3157,[1]!Tablo3[#Data],2,FALSE)</f>
        <v>Kadir TOPÇU</v>
      </c>
    </row>
    <row r="3158" spans="1:27" x14ac:dyDescent="0.25">
      <c r="A3158">
        <v>4495</v>
      </c>
      <c r="B3158" t="s">
        <v>27</v>
      </c>
      <c r="C3158" t="s">
        <v>402</v>
      </c>
      <c r="D3158" t="s">
        <v>403</v>
      </c>
      <c r="G3158" t="s">
        <v>384</v>
      </c>
      <c r="H3158" t="s">
        <v>9218</v>
      </c>
      <c r="I3158" s="4">
        <v>45443.875</v>
      </c>
      <c r="K3158" t="s">
        <v>743</v>
      </c>
      <c r="L3158" s="5"/>
      <c r="M3158" s="5" t="s">
        <v>8423</v>
      </c>
      <c r="N3158" t="s">
        <v>82</v>
      </c>
      <c r="O3158" t="s">
        <v>9219</v>
      </c>
      <c r="R3158">
        <v>1</v>
      </c>
      <c r="T3158" s="5"/>
      <c r="W3158">
        <v>270</v>
      </c>
      <c r="X3158" t="s">
        <v>8412</v>
      </c>
      <c r="Y3158" t="str">
        <f>VLOOKUP(C3158,'[1]DBS_KPY Sorumlular'!A:C,2,FALSE)</f>
        <v>Tayfun VİÇE</v>
      </c>
      <c r="Z3158" t="str">
        <f>VLOOKUP(C3158,'[1]DBS_KPY Sorumlular'!A:C,3,FALSE)</f>
        <v>Mehmet Ali YAVUZ</v>
      </c>
      <c r="AA3158" t="str">
        <f>VLOOKUP(K3158,[1]!Tablo3[#Data],2,FALSE)</f>
        <v>Kadir TOPÇU</v>
      </c>
    </row>
    <row r="3159" spans="1:27" x14ac:dyDescent="0.25">
      <c r="A3159">
        <v>4496</v>
      </c>
      <c r="B3159" t="s">
        <v>27</v>
      </c>
      <c r="C3159" t="s">
        <v>402</v>
      </c>
      <c r="D3159" t="s">
        <v>403</v>
      </c>
      <c r="G3159" t="s">
        <v>384</v>
      </c>
      <c r="H3159" t="s">
        <v>9220</v>
      </c>
      <c r="I3159" s="4">
        <v>45443.875</v>
      </c>
      <c r="K3159" t="s">
        <v>743</v>
      </c>
      <c r="L3159" s="5"/>
      <c r="M3159" s="5" t="s">
        <v>8423</v>
      </c>
      <c r="N3159" t="s">
        <v>82</v>
      </c>
      <c r="O3159" t="s">
        <v>9221</v>
      </c>
      <c r="R3159">
        <v>1</v>
      </c>
      <c r="T3159" s="5"/>
      <c r="W3159">
        <v>270</v>
      </c>
      <c r="X3159" t="s">
        <v>8412</v>
      </c>
      <c r="Y3159" t="str">
        <f>VLOOKUP(C3159,'[1]DBS_KPY Sorumlular'!A:C,2,FALSE)</f>
        <v>Tayfun VİÇE</v>
      </c>
      <c r="Z3159" t="str">
        <f>VLOOKUP(C3159,'[1]DBS_KPY Sorumlular'!A:C,3,FALSE)</f>
        <v>Mehmet Ali YAVUZ</v>
      </c>
      <c r="AA3159" t="str">
        <f>VLOOKUP(K3159,[1]!Tablo3[#Data],2,FALSE)</f>
        <v>Kadir TOPÇU</v>
      </c>
    </row>
    <row r="3160" spans="1:27" x14ac:dyDescent="0.25">
      <c r="A3160">
        <v>4497</v>
      </c>
      <c r="B3160" t="s">
        <v>27</v>
      </c>
      <c r="C3160" t="s">
        <v>402</v>
      </c>
      <c r="D3160" t="s">
        <v>403</v>
      </c>
      <c r="G3160" t="s">
        <v>384</v>
      </c>
      <c r="H3160" t="s">
        <v>9222</v>
      </c>
      <c r="I3160" s="4">
        <v>45443.875</v>
      </c>
      <c r="K3160" t="s">
        <v>743</v>
      </c>
      <c r="L3160" s="5"/>
      <c r="M3160" s="5" t="s">
        <v>8423</v>
      </c>
      <c r="N3160" t="s">
        <v>82</v>
      </c>
      <c r="O3160" t="s">
        <v>9223</v>
      </c>
      <c r="R3160">
        <v>1</v>
      </c>
      <c r="T3160" s="5"/>
      <c r="W3160">
        <v>270</v>
      </c>
      <c r="X3160" t="s">
        <v>8412</v>
      </c>
      <c r="Y3160" t="str">
        <f>VLOOKUP(C3160,'[1]DBS_KPY Sorumlular'!A:C,2,FALSE)</f>
        <v>Tayfun VİÇE</v>
      </c>
      <c r="Z3160" t="str">
        <f>VLOOKUP(C3160,'[1]DBS_KPY Sorumlular'!A:C,3,FALSE)</f>
        <v>Mehmet Ali YAVUZ</v>
      </c>
      <c r="AA3160" t="str">
        <f>VLOOKUP(K3160,[1]!Tablo3[#Data],2,FALSE)</f>
        <v>Kadir TOPÇU</v>
      </c>
    </row>
    <row r="3161" spans="1:27" x14ac:dyDescent="0.25">
      <c r="A3161">
        <v>4498</v>
      </c>
      <c r="B3161" t="s">
        <v>27</v>
      </c>
      <c r="C3161" t="s">
        <v>402</v>
      </c>
      <c r="D3161" t="s">
        <v>403</v>
      </c>
      <c r="G3161" t="s">
        <v>384</v>
      </c>
      <c r="H3161" t="s">
        <v>9224</v>
      </c>
      <c r="I3161" s="4">
        <v>45443.875</v>
      </c>
      <c r="K3161" t="s">
        <v>743</v>
      </c>
      <c r="L3161" s="5"/>
      <c r="M3161" s="5" t="s">
        <v>8423</v>
      </c>
      <c r="N3161" t="s">
        <v>82</v>
      </c>
      <c r="O3161" t="s">
        <v>9225</v>
      </c>
      <c r="R3161">
        <v>1</v>
      </c>
      <c r="T3161" s="5"/>
      <c r="W3161">
        <v>270</v>
      </c>
      <c r="X3161" t="s">
        <v>8412</v>
      </c>
      <c r="Y3161" t="str">
        <f>VLOOKUP(C3161,'[1]DBS_KPY Sorumlular'!A:C,2,FALSE)</f>
        <v>Tayfun VİÇE</v>
      </c>
      <c r="Z3161" t="str">
        <f>VLOOKUP(C3161,'[1]DBS_KPY Sorumlular'!A:C,3,FALSE)</f>
        <v>Mehmet Ali YAVUZ</v>
      </c>
      <c r="AA3161" t="str">
        <f>VLOOKUP(K3161,[1]!Tablo3[#Data],2,FALSE)</f>
        <v>Kadir TOPÇU</v>
      </c>
    </row>
    <row r="3162" spans="1:27" x14ac:dyDescent="0.25">
      <c r="A3162">
        <v>4499</v>
      </c>
      <c r="B3162" t="s">
        <v>27</v>
      </c>
      <c r="C3162" t="s">
        <v>402</v>
      </c>
      <c r="D3162" t="s">
        <v>403</v>
      </c>
      <c r="G3162" t="s">
        <v>384</v>
      </c>
      <c r="H3162" t="s">
        <v>9226</v>
      </c>
      <c r="I3162" s="4">
        <v>45443.875</v>
      </c>
      <c r="K3162" t="s">
        <v>743</v>
      </c>
      <c r="L3162" s="5"/>
      <c r="M3162" s="5" t="s">
        <v>8423</v>
      </c>
      <c r="N3162" t="s">
        <v>82</v>
      </c>
      <c r="O3162" t="s">
        <v>9227</v>
      </c>
      <c r="R3162">
        <v>1</v>
      </c>
      <c r="T3162" s="5"/>
      <c r="W3162">
        <v>270</v>
      </c>
      <c r="X3162" t="s">
        <v>8412</v>
      </c>
      <c r="Y3162" t="str">
        <f>VLOOKUP(C3162,'[1]DBS_KPY Sorumlular'!A:C,2,FALSE)</f>
        <v>Tayfun VİÇE</v>
      </c>
      <c r="Z3162" t="str">
        <f>VLOOKUP(C3162,'[1]DBS_KPY Sorumlular'!A:C,3,FALSE)</f>
        <v>Mehmet Ali YAVUZ</v>
      </c>
      <c r="AA3162" t="str">
        <f>VLOOKUP(K3162,[1]!Tablo3[#Data],2,FALSE)</f>
        <v>Kadir TOPÇU</v>
      </c>
    </row>
    <row r="3163" spans="1:27" x14ac:dyDescent="0.25">
      <c r="A3163">
        <v>4500</v>
      </c>
      <c r="B3163" t="s">
        <v>27</v>
      </c>
      <c r="C3163" t="s">
        <v>402</v>
      </c>
      <c r="D3163" t="s">
        <v>403</v>
      </c>
      <c r="G3163" t="s">
        <v>384</v>
      </c>
      <c r="H3163" t="s">
        <v>9228</v>
      </c>
      <c r="I3163" s="4">
        <v>45443.875</v>
      </c>
      <c r="K3163" t="s">
        <v>743</v>
      </c>
      <c r="L3163" s="5"/>
      <c r="M3163" s="5" t="s">
        <v>8423</v>
      </c>
      <c r="N3163" t="s">
        <v>82</v>
      </c>
      <c r="O3163" t="s">
        <v>9229</v>
      </c>
      <c r="R3163">
        <v>1</v>
      </c>
      <c r="T3163" s="5"/>
      <c r="W3163">
        <v>270</v>
      </c>
      <c r="X3163" t="s">
        <v>8412</v>
      </c>
      <c r="Y3163" t="str">
        <f>VLOOKUP(C3163,'[1]DBS_KPY Sorumlular'!A:C,2,FALSE)</f>
        <v>Tayfun VİÇE</v>
      </c>
      <c r="Z3163" t="str">
        <f>VLOOKUP(C3163,'[1]DBS_KPY Sorumlular'!A:C,3,FALSE)</f>
        <v>Mehmet Ali YAVUZ</v>
      </c>
      <c r="AA3163" t="str">
        <f>VLOOKUP(K3163,[1]!Tablo3[#Data],2,FALSE)</f>
        <v>Kadir TOPÇU</v>
      </c>
    </row>
    <row r="3164" spans="1:27" x14ac:dyDescent="0.25">
      <c r="A3164">
        <v>4501</v>
      </c>
      <c r="B3164" t="s">
        <v>27</v>
      </c>
      <c r="C3164" t="s">
        <v>402</v>
      </c>
      <c r="D3164" t="s">
        <v>403</v>
      </c>
      <c r="G3164" t="s">
        <v>384</v>
      </c>
      <c r="H3164" t="s">
        <v>9230</v>
      </c>
      <c r="I3164" s="4">
        <v>45443.875</v>
      </c>
      <c r="K3164" t="s">
        <v>743</v>
      </c>
      <c r="L3164" s="5" t="s">
        <v>8546</v>
      </c>
      <c r="M3164" s="5" t="s">
        <v>8423</v>
      </c>
      <c r="N3164" t="s">
        <v>82</v>
      </c>
      <c r="O3164" t="s">
        <v>9231</v>
      </c>
      <c r="R3164">
        <v>1</v>
      </c>
      <c r="T3164" s="5"/>
      <c r="W3164">
        <v>270</v>
      </c>
      <c r="X3164" t="s">
        <v>8412</v>
      </c>
      <c r="Y3164" t="str">
        <f>VLOOKUP(C3164,'[1]DBS_KPY Sorumlular'!A:C,2,FALSE)</f>
        <v>Tayfun VİÇE</v>
      </c>
      <c r="Z3164" t="str">
        <f>VLOOKUP(C3164,'[1]DBS_KPY Sorumlular'!A:C,3,FALSE)</f>
        <v>Mehmet Ali YAVUZ</v>
      </c>
      <c r="AA3164" t="str">
        <f>VLOOKUP(K3164,[1]!Tablo3[#Data],2,FALSE)</f>
        <v>Kadir TOPÇU</v>
      </c>
    </row>
    <row r="3165" spans="1:27" x14ac:dyDescent="0.25">
      <c r="A3165">
        <v>4502</v>
      </c>
      <c r="B3165" t="s">
        <v>27</v>
      </c>
      <c r="C3165" t="s">
        <v>402</v>
      </c>
      <c r="D3165" t="s">
        <v>403</v>
      </c>
      <c r="G3165" t="s">
        <v>384</v>
      </c>
      <c r="H3165" t="s">
        <v>9232</v>
      </c>
      <c r="I3165" s="4">
        <v>45443.875</v>
      </c>
      <c r="K3165" t="s">
        <v>743</v>
      </c>
      <c r="L3165" s="5"/>
      <c r="M3165" s="5" t="s">
        <v>8423</v>
      </c>
      <c r="N3165" t="s">
        <v>82</v>
      </c>
      <c r="O3165" t="s">
        <v>9233</v>
      </c>
      <c r="R3165">
        <v>1</v>
      </c>
      <c r="T3165" s="5"/>
      <c r="W3165">
        <v>270</v>
      </c>
      <c r="X3165" t="s">
        <v>8412</v>
      </c>
      <c r="Y3165" t="str">
        <f>VLOOKUP(C3165,'[1]DBS_KPY Sorumlular'!A:C,2,FALSE)</f>
        <v>Tayfun VİÇE</v>
      </c>
      <c r="Z3165" t="str">
        <f>VLOOKUP(C3165,'[1]DBS_KPY Sorumlular'!A:C,3,FALSE)</f>
        <v>Mehmet Ali YAVUZ</v>
      </c>
      <c r="AA3165" t="str">
        <f>VLOOKUP(K3165,[1]!Tablo3[#Data],2,FALSE)</f>
        <v>Kadir TOPÇU</v>
      </c>
    </row>
    <row r="3166" spans="1:27" x14ac:dyDescent="0.25">
      <c r="A3166">
        <v>4503</v>
      </c>
      <c r="B3166" t="s">
        <v>27</v>
      </c>
      <c r="C3166" t="s">
        <v>402</v>
      </c>
      <c r="D3166" t="s">
        <v>403</v>
      </c>
      <c r="G3166" t="s">
        <v>384</v>
      </c>
      <c r="H3166" t="s">
        <v>9234</v>
      </c>
      <c r="I3166" s="4">
        <v>45443.875</v>
      </c>
      <c r="K3166" t="s">
        <v>743</v>
      </c>
      <c r="L3166" s="5"/>
      <c r="M3166" s="5" t="s">
        <v>8423</v>
      </c>
      <c r="N3166" t="s">
        <v>82</v>
      </c>
      <c r="O3166" t="s">
        <v>9235</v>
      </c>
      <c r="R3166">
        <v>1</v>
      </c>
      <c r="T3166" s="5"/>
      <c r="W3166">
        <v>270</v>
      </c>
      <c r="X3166" t="s">
        <v>8412</v>
      </c>
      <c r="Y3166" t="str">
        <f>VLOOKUP(C3166,'[1]DBS_KPY Sorumlular'!A:C,2,FALSE)</f>
        <v>Tayfun VİÇE</v>
      </c>
      <c r="Z3166" t="str">
        <f>VLOOKUP(C3166,'[1]DBS_KPY Sorumlular'!A:C,3,FALSE)</f>
        <v>Mehmet Ali YAVUZ</v>
      </c>
      <c r="AA3166" t="str">
        <f>VLOOKUP(K3166,[1]!Tablo3[#Data],2,FALSE)</f>
        <v>Kadir TOPÇU</v>
      </c>
    </row>
    <row r="3167" spans="1:27" x14ac:dyDescent="0.25">
      <c r="A3167">
        <v>4504</v>
      </c>
      <c r="B3167" t="s">
        <v>27</v>
      </c>
      <c r="C3167" t="s">
        <v>402</v>
      </c>
      <c r="D3167" t="s">
        <v>403</v>
      </c>
      <c r="G3167" t="s">
        <v>384</v>
      </c>
      <c r="H3167" t="s">
        <v>9236</v>
      </c>
      <c r="I3167" s="4">
        <v>45443.875</v>
      </c>
      <c r="K3167" t="s">
        <v>743</v>
      </c>
      <c r="L3167" s="5"/>
      <c r="M3167" s="5" t="s">
        <v>8423</v>
      </c>
      <c r="N3167" t="s">
        <v>82</v>
      </c>
      <c r="O3167" t="s">
        <v>9237</v>
      </c>
      <c r="R3167">
        <v>1</v>
      </c>
      <c r="T3167" s="5"/>
      <c r="W3167">
        <v>270</v>
      </c>
      <c r="X3167" t="s">
        <v>8412</v>
      </c>
      <c r="Y3167" t="str">
        <f>VLOOKUP(C3167,'[1]DBS_KPY Sorumlular'!A:C,2,FALSE)</f>
        <v>Tayfun VİÇE</v>
      </c>
      <c r="Z3167" t="str">
        <f>VLOOKUP(C3167,'[1]DBS_KPY Sorumlular'!A:C,3,FALSE)</f>
        <v>Mehmet Ali YAVUZ</v>
      </c>
      <c r="AA3167" t="str">
        <f>VLOOKUP(K3167,[1]!Tablo3[#Data],2,FALSE)</f>
        <v>Kadir TOPÇU</v>
      </c>
    </row>
    <row r="3168" spans="1:27" x14ac:dyDescent="0.25">
      <c r="A3168">
        <v>4505</v>
      </c>
      <c r="B3168" t="s">
        <v>27</v>
      </c>
      <c r="C3168" t="s">
        <v>402</v>
      </c>
      <c r="D3168" t="s">
        <v>403</v>
      </c>
      <c r="G3168" t="s">
        <v>384</v>
      </c>
      <c r="H3168" t="s">
        <v>9238</v>
      </c>
      <c r="I3168" s="4">
        <v>45443.875</v>
      </c>
      <c r="K3168" t="s">
        <v>743</v>
      </c>
      <c r="L3168" s="5"/>
      <c r="M3168" s="5" t="s">
        <v>8423</v>
      </c>
      <c r="N3168" t="s">
        <v>82</v>
      </c>
      <c r="O3168" t="s">
        <v>9239</v>
      </c>
      <c r="R3168">
        <v>1</v>
      </c>
      <c r="T3168" s="5"/>
      <c r="W3168">
        <v>270</v>
      </c>
      <c r="X3168" t="s">
        <v>8412</v>
      </c>
      <c r="Y3168" t="str">
        <f>VLOOKUP(C3168,'[1]DBS_KPY Sorumlular'!A:C,2,FALSE)</f>
        <v>Tayfun VİÇE</v>
      </c>
      <c r="Z3168" t="str">
        <f>VLOOKUP(C3168,'[1]DBS_KPY Sorumlular'!A:C,3,FALSE)</f>
        <v>Mehmet Ali YAVUZ</v>
      </c>
      <c r="AA3168" t="str">
        <f>VLOOKUP(K3168,[1]!Tablo3[#Data],2,FALSE)</f>
        <v>Kadir TOPÇU</v>
      </c>
    </row>
    <row r="3169" spans="1:27" x14ac:dyDescent="0.25">
      <c r="A3169">
        <v>4506</v>
      </c>
      <c r="B3169" t="s">
        <v>27</v>
      </c>
      <c r="C3169" t="s">
        <v>402</v>
      </c>
      <c r="D3169" t="s">
        <v>403</v>
      </c>
      <c r="G3169" t="s">
        <v>384</v>
      </c>
      <c r="H3169" t="s">
        <v>9240</v>
      </c>
      <c r="I3169" s="4">
        <v>45443.875</v>
      </c>
      <c r="K3169" t="s">
        <v>743</v>
      </c>
      <c r="L3169" s="5"/>
      <c r="M3169" s="5" t="s">
        <v>8423</v>
      </c>
      <c r="N3169" t="s">
        <v>82</v>
      </c>
      <c r="O3169" t="s">
        <v>9241</v>
      </c>
      <c r="R3169">
        <v>1</v>
      </c>
      <c r="T3169" s="5"/>
      <c r="W3169">
        <v>270</v>
      </c>
      <c r="X3169" t="s">
        <v>8412</v>
      </c>
      <c r="Y3169" t="str">
        <f>VLOOKUP(C3169,'[1]DBS_KPY Sorumlular'!A:C,2,FALSE)</f>
        <v>Tayfun VİÇE</v>
      </c>
      <c r="Z3169" t="str">
        <f>VLOOKUP(C3169,'[1]DBS_KPY Sorumlular'!A:C,3,FALSE)</f>
        <v>Mehmet Ali YAVUZ</v>
      </c>
      <c r="AA3169" t="str">
        <f>VLOOKUP(K3169,[1]!Tablo3[#Data],2,FALSE)</f>
        <v>Kadir TOPÇU</v>
      </c>
    </row>
    <row r="3170" spans="1:27" x14ac:dyDescent="0.25">
      <c r="A3170">
        <v>4507</v>
      </c>
      <c r="B3170" t="s">
        <v>27</v>
      </c>
      <c r="C3170" t="s">
        <v>402</v>
      </c>
      <c r="D3170" t="s">
        <v>403</v>
      </c>
      <c r="G3170" t="s">
        <v>384</v>
      </c>
      <c r="H3170" t="s">
        <v>9242</v>
      </c>
      <c r="I3170" s="4">
        <v>45443.875</v>
      </c>
      <c r="K3170" t="s">
        <v>1528</v>
      </c>
      <c r="L3170" s="5"/>
      <c r="M3170" s="5" t="s">
        <v>8423</v>
      </c>
      <c r="N3170" t="s">
        <v>82</v>
      </c>
      <c r="O3170" t="s">
        <v>9243</v>
      </c>
      <c r="R3170">
        <v>1</v>
      </c>
      <c r="T3170" s="5"/>
      <c r="W3170">
        <v>270</v>
      </c>
      <c r="X3170" t="s">
        <v>8412</v>
      </c>
      <c r="Y3170" t="str">
        <f>VLOOKUP(C3170,'[1]DBS_KPY Sorumlular'!A:C,2,FALSE)</f>
        <v>Tayfun VİÇE</v>
      </c>
      <c r="Z3170" t="str">
        <f>VLOOKUP(C3170,'[1]DBS_KPY Sorumlular'!A:C,3,FALSE)</f>
        <v>Mehmet Ali YAVUZ</v>
      </c>
      <c r="AA3170" t="str">
        <f>VLOOKUP(K3170,[1]!Tablo3[#Data],2,FALSE)</f>
        <v>Tayfun VİÇE</v>
      </c>
    </row>
    <row r="3171" spans="1:27" x14ac:dyDescent="0.25">
      <c r="A3171">
        <v>4508</v>
      </c>
      <c r="B3171" t="s">
        <v>27</v>
      </c>
      <c r="C3171" t="s">
        <v>402</v>
      </c>
      <c r="D3171" t="s">
        <v>403</v>
      </c>
      <c r="G3171" t="s">
        <v>384</v>
      </c>
      <c r="H3171" t="s">
        <v>9244</v>
      </c>
      <c r="I3171" s="4">
        <v>45443.875</v>
      </c>
      <c r="K3171" t="s">
        <v>743</v>
      </c>
      <c r="L3171" s="5"/>
      <c r="M3171" s="5" t="s">
        <v>8423</v>
      </c>
      <c r="N3171" t="s">
        <v>82</v>
      </c>
      <c r="O3171" t="s">
        <v>9245</v>
      </c>
      <c r="R3171">
        <v>1</v>
      </c>
      <c r="T3171" s="5"/>
      <c r="W3171">
        <v>270</v>
      </c>
      <c r="X3171" t="s">
        <v>8412</v>
      </c>
      <c r="Y3171" t="str">
        <f>VLOOKUP(C3171,'[1]DBS_KPY Sorumlular'!A:C,2,FALSE)</f>
        <v>Tayfun VİÇE</v>
      </c>
      <c r="Z3171" t="str">
        <f>VLOOKUP(C3171,'[1]DBS_KPY Sorumlular'!A:C,3,FALSE)</f>
        <v>Mehmet Ali YAVUZ</v>
      </c>
      <c r="AA3171" t="str">
        <f>VLOOKUP(K3171,[1]!Tablo3[#Data],2,FALSE)</f>
        <v>Kadir TOPÇU</v>
      </c>
    </row>
    <row r="3172" spans="1:27" x14ac:dyDescent="0.25">
      <c r="A3172">
        <v>4509</v>
      </c>
      <c r="B3172" t="s">
        <v>27</v>
      </c>
      <c r="C3172" t="s">
        <v>402</v>
      </c>
      <c r="D3172" t="s">
        <v>403</v>
      </c>
      <c r="G3172" t="s">
        <v>384</v>
      </c>
      <c r="H3172" t="s">
        <v>9246</v>
      </c>
      <c r="I3172" s="4">
        <v>45443.875</v>
      </c>
      <c r="K3172" t="s">
        <v>743</v>
      </c>
      <c r="L3172" s="5"/>
      <c r="M3172" s="5" t="s">
        <v>8423</v>
      </c>
      <c r="N3172" t="s">
        <v>82</v>
      </c>
      <c r="O3172" t="s">
        <v>9247</v>
      </c>
      <c r="R3172">
        <v>1</v>
      </c>
      <c r="T3172" s="5"/>
      <c r="W3172">
        <v>270</v>
      </c>
      <c r="X3172" t="s">
        <v>8412</v>
      </c>
      <c r="Y3172" t="str">
        <f>VLOOKUP(C3172,'[1]DBS_KPY Sorumlular'!A:C,2,FALSE)</f>
        <v>Tayfun VİÇE</v>
      </c>
      <c r="Z3172" t="str">
        <f>VLOOKUP(C3172,'[1]DBS_KPY Sorumlular'!A:C,3,FALSE)</f>
        <v>Mehmet Ali YAVUZ</v>
      </c>
      <c r="AA3172" t="str">
        <f>VLOOKUP(K3172,[1]!Tablo3[#Data],2,FALSE)</f>
        <v>Kadir TOPÇU</v>
      </c>
    </row>
    <row r="3173" spans="1:27" x14ac:dyDescent="0.25">
      <c r="A3173">
        <v>4510</v>
      </c>
      <c r="B3173" t="s">
        <v>27</v>
      </c>
      <c r="C3173" t="s">
        <v>402</v>
      </c>
      <c r="D3173" t="s">
        <v>403</v>
      </c>
      <c r="G3173" t="s">
        <v>384</v>
      </c>
      <c r="H3173" t="s">
        <v>9248</v>
      </c>
      <c r="I3173" s="4">
        <v>45443.875</v>
      </c>
      <c r="K3173" t="s">
        <v>226</v>
      </c>
      <c r="L3173" s="5"/>
      <c r="M3173" s="5" t="s">
        <v>8423</v>
      </c>
      <c r="N3173" t="s">
        <v>82</v>
      </c>
      <c r="O3173" t="s">
        <v>9249</v>
      </c>
      <c r="R3173">
        <v>1</v>
      </c>
      <c r="T3173" s="5"/>
      <c r="W3173">
        <v>270</v>
      </c>
      <c r="X3173" t="s">
        <v>8412</v>
      </c>
      <c r="Y3173" t="str">
        <f>VLOOKUP(C3173,'[1]DBS_KPY Sorumlular'!A:C,2,FALSE)</f>
        <v>Tayfun VİÇE</v>
      </c>
      <c r="Z3173" t="str">
        <f>VLOOKUP(C3173,'[1]DBS_KPY Sorumlular'!A:C,3,FALSE)</f>
        <v>Mehmet Ali YAVUZ</v>
      </c>
      <c r="AA3173" t="str">
        <f>VLOOKUP(K3173,[1]!Tablo3[#Data],2,FALSE)</f>
        <v>Kadir TOPÇU</v>
      </c>
    </row>
    <row r="3174" spans="1:27" x14ac:dyDescent="0.25">
      <c r="A3174">
        <v>4511</v>
      </c>
      <c r="B3174" t="s">
        <v>27</v>
      </c>
      <c r="C3174" t="s">
        <v>402</v>
      </c>
      <c r="D3174" t="s">
        <v>403</v>
      </c>
      <c r="G3174" t="s">
        <v>384</v>
      </c>
      <c r="H3174" t="s">
        <v>9250</v>
      </c>
      <c r="I3174" s="4">
        <v>45443.875</v>
      </c>
      <c r="K3174" t="s">
        <v>1528</v>
      </c>
      <c r="L3174" s="5"/>
      <c r="M3174" s="5" t="s">
        <v>8423</v>
      </c>
      <c r="N3174" t="s">
        <v>82</v>
      </c>
      <c r="O3174" t="s">
        <v>9251</v>
      </c>
      <c r="R3174">
        <v>1</v>
      </c>
      <c r="T3174" s="5"/>
      <c r="W3174">
        <v>270</v>
      </c>
      <c r="X3174" t="s">
        <v>8412</v>
      </c>
      <c r="Y3174" t="str">
        <f>VLOOKUP(C3174,'[1]DBS_KPY Sorumlular'!A:C,2,FALSE)</f>
        <v>Tayfun VİÇE</v>
      </c>
      <c r="Z3174" t="str">
        <f>VLOOKUP(C3174,'[1]DBS_KPY Sorumlular'!A:C,3,FALSE)</f>
        <v>Mehmet Ali YAVUZ</v>
      </c>
      <c r="AA3174" t="str">
        <f>VLOOKUP(K3174,[1]!Tablo3[#Data],2,FALSE)</f>
        <v>Tayfun VİÇE</v>
      </c>
    </row>
    <row r="3175" spans="1:27" x14ac:dyDescent="0.25">
      <c r="A3175">
        <v>4512</v>
      </c>
      <c r="B3175" t="s">
        <v>27</v>
      </c>
      <c r="C3175" t="s">
        <v>402</v>
      </c>
      <c r="D3175" t="s">
        <v>403</v>
      </c>
      <c r="G3175" t="s">
        <v>384</v>
      </c>
      <c r="H3175" t="s">
        <v>9252</v>
      </c>
      <c r="I3175" s="4">
        <v>45443.875</v>
      </c>
      <c r="K3175" t="s">
        <v>743</v>
      </c>
      <c r="L3175" s="5"/>
      <c r="M3175" s="5" t="s">
        <v>8423</v>
      </c>
      <c r="N3175" t="s">
        <v>82</v>
      </c>
      <c r="O3175" t="s">
        <v>9253</v>
      </c>
      <c r="R3175">
        <v>1</v>
      </c>
      <c r="T3175" s="5"/>
      <c r="W3175">
        <v>270</v>
      </c>
      <c r="X3175" t="s">
        <v>8412</v>
      </c>
      <c r="Y3175" t="str">
        <f>VLOOKUP(C3175,'[1]DBS_KPY Sorumlular'!A:C,2,FALSE)</f>
        <v>Tayfun VİÇE</v>
      </c>
      <c r="Z3175" t="str">
        <f>VLOOKUP(C3175,'[1]DBS_KPY Sorumlular'!A:C,3,FALSE)</f>
        <v>Mehmet Ali YAVUZ</v>
      </c>
      <c r="AA3175" t="str">
        <f>VLOOKUP(K3175,[1]!Tablo3[#Data],2,FALSE)</f>
        <v>Kadir TOPÇU</v>
      </c>
    </row>
    <row r="3176" spans="1:27" x14ac:dyDescent="0.25">
      <c r="A3176">
        <v>4513</v>
      </c>
      <c r="B3176" t="s">
        <v>27</v>
      </c>
      <c r="C3176" t="s">
        <v>402</v>
      </c>
      <c r="D3176" t="s">
        <v>403</v>
      </c>
      <c r="G3176" t="s">
        <v>384</v>
      </c>
      <c r="H3176" t="s">
        <v>9254</v>
      </c>
      <c r="I3176" s="4">
        <v>45443.875</v>
      </c>
      <c r="K3176" t="s">
        <v>435</v>
      </c>
      <c r="L3176" s="5"/>
      <c r="M3176" s="5" t="s">
        <v>8423</v>
      </c>
      <c r="N3176" t="s">
        <v>82</v>
      </c>
      <c r="O3176" t="s">
        <v>9255</v>
      </c>
      <c r="R3176">
        <v>1</v>
      </c>
      <c r="T3176" s="5"/>
      <c r="W3176">
        <v>270</v>
      </c>
      <c r="X3176" t="s">
        <v>8412</v>
      </c>
      <c r="Y3176" t="str">
        <f>VLOOKUP(C3176,'[1]DBS_KPY Sorumlular'!A:C,2,FALSE)</f>
        <v>Tayfun VİÇE</v>
      </c>
      <c r="Z3176" t="str">
        <f>VLOOKUP(C3176,'[1]DBS_KPY Sorumlular'!A:C,3,FALSE)</f>
        <v>Mehmet Ali YAVUZ</v>
      </c>
      <c r="AA3176" t="str">
        <f>VLOOKUP(K3176,[1]!Tablo3[#Data],2,FALSE)</f>
        <v>Tayfun VİÇE</v>
      </c>
    </row>
    <row r="3177" spans="1:27" x14ac:dyDescent="0.25">
      <c r="A3177">
        <v>4514</v>
      </c>
      <c r="B3177" t="s">
        <v>27</v>
      </c>
      <c r="C3177" t="s">
        <v>402</v>
      </c>
      <c r="D3177" t="s">
        <v>403</v>
      </c>
      <c r="G3177" t="s">
        <v>384</v>
      </c>
      <c r="H3177" t="s">
        <v>9256</v>
      </c>
      <c r="I3177" s="4">
        <v>45443.875</v>
      </c>
      <c r="K3177" t="s">
        <v>743</v>
      </c>
      <c r="L3177" s="5"/>
      <c r="M3177" s="5" t="s">
        <v>8423</v>
      </c>
      <c r="N3177" t="s">
        <v>82</v>
      </c>
      <c r="O3177" t="s">
        <v>9257</v>
      </c>
      <c r="R3177">
        <v>1</v>
      </c>
      <c r="T3177" s="5"/>
      <c r="W3177">
        <v>270</v>
      </c>
      <c r="X3177" t="s">
        <v>8412</v>
      </c>
      <c r="Y3177" t="str">
        <f>VLOOKUP(C3177,'[1]DBS_KPY Sorumlular'!A:C,2,FALSE)</f>
        <v>Tayfun VİÇE</v>
      </c>
      <c r="Z3177" t="str">
        <f>VLOOKUP(C3177,'[1]DBS_KPY Sorumlular'!A:C,3,FALSE)</f>
        <v>Mehmet Ali YAVUZ</v>
      </c>
      <c r="AA3177" t="str">
        <f>VLOOKUP(K3177,[1]!Tablo3[#Data],2,FALSE)</f>
        <v>Kadir TOPÇU</v>
      </c>
    </row>
    <row r="3178" spans="1:27" x14ac:dyDescent="0.25">
      <c r="A3178">
        <v>4515</v>
      </c>
      <c r="B3178" t="s">
        <v>27</v>
      </c>
      <c r="C3178" t="s">
        <v>402</v>
      </c>
      <c r="D3178" t="s">
        <v>403</v>
      </c>
      <c r="G3178" t="s">
        <v>384</v>
      </c>
      <c r="H3178" t="s">
        <v>9258</v>
      </c>
      <c r="I3178" s="4">
        <v>45443.875</v>
      </c>
      <c r="K3178" t="s">
        <v>743</v>
      </c>
      <c r="L3178" s="5"/>
      <c r="M3178" s="5" t="s">
        <v>8423</v>
      </c>
      <c r="N3178" t="s">
        <v>82</v>
      </c>
      <c r="O3178" t="s">
        <v>9259</v>
      </c>
      <c r="R3178">
        <v>1</v>
      </c>
      <c r="T3178" s="5"/>
      <c r="W3178">
        <v>270</v>
      </c>
      <c r="X3178" t="s">
        <v>8412</v>
      </c>
      <c r="Y3178" t="str">
        <f>VLOOKUP(C3178,'[1]DBS_KPY Sorumlular'!A:C,2,FALSE)</f>
        <v>Tayfun VİÇE</v>
      </c>
      <c r="Z3178" t="str">
        <f>VLOOKUP(C3178,'[1]DBS_KPY Sorumlular'!A:C,3,FALSE)</f>
        <v>Mehmet Ali YAVUZ</v>
      </c>
      <c r="AA3178" t="str">
        <f>VLOOKUP(K3178,[1]!Tablo3[#Data],2,FALSE)</f>
        <v>Kadir TOPÇU</v>
      </c>
    </row>
    <row r="3179" spans="1:27" x14ac:dyDescent="0.25">
      <c r="A3179">
        <v>4516</v>
      </c>
      <c r="B3179" t="s">
        <v>27</v>
      </c>
      <c r="C3179" t="s">
        <v>402</v>
      </c>
      <c r="D3179" t="s">
        <v>403</v>
      </c>
      <c r="G3179" t="s">
        <v>384</v>
      </c>
      <c r="H3179" t="s">
        <v>9260</v>
      </c>
      <c r="I3179" s="4">
        <v>45443.875</v>
      </c>
      <c r="K3179" t="s">
        <v>743</v>
      </c>
      <c r="L3179" s="5"/>
      <c r="M3179" s="5" t="s">
        <v>8423</v>
      </c>
      <c r="N3179" t="s">
        <v>82</v>
      </c>
      <c r="O3179" t="s">
        <v>9261</v>
      </c>
      <c r="R3179">
        <v>1</v>
      </c>
      <c r="T3179" s="5"/>
      <c r="W3179">
        <v>270</v>
      </c>
      <c r="X3179" t="s">
        <v>8412</v>
      </c>
      <c r="Y3179" t="str">
        <f>VLOOKUP(C3179,'[1]DBS_KPY Sorumlular'!A:C,2,FALSE)</f>
        <v>Tayfun VİÇE</v>
      </c>
      <c r="Z3179" t="str">
        <f>VLOOKUP(C3179,'[1]DBS_KPY Sorumlular'!A:C,3,FALSE)</f>
        <v>Mehmet Ali YAVUZ</v>
      </c>
      <c r="AA3179" t="str">
        <f>VLOOKUP(K3179,[1]!Tablo3[#Data],2,FALSE)</f>
        <v>Kadir TOPÇU</v>
      </c>
    </row>
    <row r="3180" spans="1:27" x14ac:dyDescent="0.25">
      <c r="A3180">
        <v>4517</v>
      </c>
      <c r="B3180" t="s">
        <v>27</v>
      </c>
      <c r="C3180" t="s">
        <v>402</v>
      </c>
      <c r="D3180" t="s">
        <v>403</v>
      </c>
      <c r="G3180" t="s">
        <v>384</v>
      </c>
      <c r="H3180" t="s">
        <v>9262</v>
      </c>
      <c r="I3180" s="4">
        <v>45443.875</v>
      </c>
      <c r="K3180" t="s">
        <v>743</v>
      </c>
      <c r="L3180" s="5"/>
      <c r="M3180" s="5" t="s">
        <v>8423</v>
      </c>
      <c r="N3180" t="s">
        <v>82</v>
      </c>
      <c r="O3180" t="s">
        <v>9263</v>
      </c>
      <c r="R3180">
        <v>1</v>
      </c>
      <c r="T3180" s="5"/>
      <c r="W3180">
        <v>270</v>
      </c>
      <c r="X3180" t="s">
        <v>8412</v>
      </c>
      <c r="Y3180" t="str">
        <f>VLOOKUP(C3180,'[1]DBS_KPY Sorumlular'!A:C,2,FALSE)</f>
        <v>Tayfun VİÇE</v>
      </c>
      <c r="Z3180" t="str">
        <f>VLOOKUP(C3180,'[1]DBS_KPY Sorumlular'!A:C,3,FALSE)</f>
        <v>Mehmet Ali YAVUZ</v>
      </c>
      <c r="AA3180" t="str">
        <f>VLOOKUP(K3180,[1]!Tablo3[#Data],2,FALSE)</f>
        <v>Kadir TOPÇU</v>
      </c>
    </row>
    <row r="3181" spans="1:27" x14ac:dyDescent="0.25">
      <c r="A3181">
        <v>4518</v>
      </c>
      <c r="B3181" t="s">
        <v>27</v>
      </c>
      <c r="C3181" t="s">
        <v>402</v>
      </c>
      <c r="D3181" t="s">
        <v>403</v>
      </c>
      <c r="G3181" t="s">
        <v>384</v>
      </c>
      <c r="H3181" t="s">
        <v>9264</v>
      </c>
      <c r="I3181" s="4">
        <v>45443.875</v>
      </c>
      <c r="K3181" t="s">
        <v>1528</v>
      </c>
      <c r="L3181" s="5"/>
      <c r="M3181" s="5" t="s">
        <v>8423</v>
      </c>
      <c r="N3181" t="s">
        <v>82</v>
      </c>
      <c r="O3181" t="s">
        <v>9265</v>
      </c>
      <c r="R3181">
        <v>1</v>
      </c>
      <c r="T3181" s="5"/>
      <c r="W3181">
        <v>270</v>
      </c>
      <c r="X3181" t="s">
        <v>8412</v>
      </c>
      <c r="Y3181" t="str">
        <f>VLOOKUP(C3181,'[1]DBS_KPY Sorumlular'!A:C,2,FALSE)</f>
        <v>Tayfun VİÇE</v>
      </c>
      <c r="Z3181" t="str">
        <f>VLOOKUP(C3181,'[1]DBS_KPY Sorumlular'!A:C,3,FALSE)</f>
        <v>Mehmet Ali YAVUZ</v>
      </c>
      <c r="AA3181" t="str">
        <f>VLOOKUP(K3181,[1]!Tablo3[#Data],2,FALSE)</f>
        <v>Tayfun VİÇE</v>
      </c>
    </row>
    <row r="3182" spans="1:27" x14ac:dyDescent="0.25">
      <c r="A3182">
        <v>4519</v>
      </c>
      <c r="B3182" t="s">
        <v>27</v>
      </c>
      <c r="C3182" t="s">
        <v>402</v>
      </c>
      <c r="D3182" t="s">
        <v>403</v>
      </c>
      <c r="G3182" t="s">
        <v>384</v>
      </c>
      <c r="H3182" t="s">
        <v>9266</v>
      </c>
      <c r="I3182" s="4">
        <v>45443.875</v>
      </c>
      <c r="K3182" t="s">
        <v>743</v>
      </c>
      <c r="L3182" s="5"/>
      <c r="M3182" s="5" t="s">
        <v>8423</v>
      </c>
      <c r="N3182" t="s">
        <v>82</v>
      </c>
      <c r="O3182" t="s">
        <v>9267</v>
      </c>
      <c r="R3182">
        <v>1</v>
      </c>
      <c r="T3182" s="5"/>
      <c r="W3182">
        <v>270</v>
      </c>
      <c r="X3182" t="s">
        <v>8412</v>
      </c>
      <c r="Y3182" t="str">
        <f>VLOOKUP(C3182,'[1]DBS_KPY Sorumlular'!A:C,2,FALSE)</f>
        <v>Tayfun VİÇE</v>
      </c>
      <c r="Z3182" t="str">
        <f>VLOOKUP(C3182,'[1]DBS_KPY Sorumlular'!A:C,3,FALSE)</f>
        <v>Mehmet Ali YAVUZ</v>
      </c>
      <c r="AA3182" t="str">
        <f>VLOOKUP(K3182,[1]!Tablo3[#Data],2,FALSE)</f>
        <v>Kadir TOPÇU</v>
      </c>
    </row>
    <row r="3183" spans="1:27" x14ac:dyDescent="0.25">
      <c r="A3183">
        <v>4520</v>
      </c>
      <c r="B3183" t="s">
        <v>27</v>
      </c>
      <c r="C3183" t="s">
        <v>402</v>
      </c>
      <c r="D3183" t="s">
        <v>403</v>
      </c>
      <c r="G3183" t="s">
        <v>384</v>
      </c>
      <c r="H3183" t="s">
        <v>9268</v>
      </c>
      <c r="I3183" s="4">
        <v>45443.875</v>
      </c>
      <c r="K3183" t="s">
        <v>743</v>
      </c>
      <c r="L3183" s="5"/>
      <c r="M3183" s="5" t="s">
        <v>8423</v>
      </c>
      <c r="N3183" t="s">
        <v>82</v>
      </c>
      <c r="O3183" t="s">
        <v>9269</v>
      </c>
      <c r="R3183">
        <v>1</v>
      </c>
      <c r="T3183" s="5"/>
      <c r="W3183">
        <v>270</v>
      </c>
      <c r="X3183" t="s">
        <v>8412</v>
      </c>
      <c r="Y3183" t="str">
        <f>VLOOKUP(C3183,'[1]DBS_KPY Sorumlular'!A:C,2,FALSE)</f>
        <v>Tayfun VİÇE</v>
      </c>
      <c r="Z3183" t="str">
        <f>VLOOKUP(C3183,'[1]DBS_KPY Sorumlular'!A:C,3,FALSE)</f>
        <v>Mehmet Ali YAVUZ</v>
      </c>
      <c r="AA3183" t="str">
        <f>VLOOKUP(K3183,[1]!Tablo3[#Data],2,FALSE)</f>
        <v>Kadir TOPÇU</v>
      </c>
    </row>
    <row r="3184" spans="1:27" x14ac:dyDescent="0.25">
      <c r="A3184">
        <v>4521</v>
      </c>
      <c r="B3184" t="s">
        <v>27</v>
      </c>
      <c r="C3184" t="s">
        <v>402</v>
      </c>
      <c r="D3184" t="s">
        <v>403</v>
      </c>
      <c r="G3184" t="s">
        <v>384</v>
      </c>
      <c r="H3184" t="s">
        <v>9270</v>
      </c>
      <c r="I3184" s="4">
        <v>45443.875</v>
      </c>
      <c r="K3184" t="s">
        <v>226</v>
      </c>
      <c r="L3184" s="5"/>
      <c r="M3184" s="5" t="s">
        <v>8423</v>
      </c>
      <c r="N3184" t="s">
        <v>82</v>
      </c>
      <c r="O3184" t="s">
        <v>9271</v>
      </c>
      <c r="R3184">
        <v>1</v>
      </c>
      <c r="T3184" s="5"/>
      <c r="W3184">
        <v>270</v>
      </c>
      <c r="X3184" t="s">
        <v>8412</v>
      </c>
      <c r="Y3184" t="str">
        <f>VLOOKUP(C3184,'[1]DBS_KPY Sorumlular'!A:C,2,FALSE)</f>
        <v>Tayfun VİÇE</v>
      </c>
      <c r="Z3184" t="str">
        <f>VLOOKUP(C3184,'[1]DBS_KPY Sorumlular'!A:C,3,FALSE)</f>
        <v>Mehmet Ali YAVUZ</v>
      </c>
      <c r="AA3184" t="str">
        <f>VLOOKUP(K3184,[1]!Tablo3[#Data],2,FALSE)</f>
        <v>Kadir TOPÇU</v>
      </c>
    </row>
    <row r="3185" spans="1:27" x14ac:dyDescent="0.25">
      <c r="A3185">
        <v>4522</v>
      </c>
      <c r="B3185" t="s">
        <v>27</v>
      </c>
      <c r="C3185" t="s">
        <v>402</v>
      </c>
      <c r="D3185" t="s">
        <v>403</v>
      </c>
      <c r="G3185" t="s">
        <v>384</v>
      </c>
      <c r="H3185" t="s">
        <v>9272</v>
      </c>
      <c r="I3185" s="4">
        <v>45443.875</v>
      </c>
      <c r="K3185" t="s">
        <v>743</v>
      </c>
      <c r="L3185" s="5"/>
      <c r="M3185" s="5" t="s">
        <v>8423</v>
      </c>
      <c r="N3185" t="s">
        <v>82</v>
      </c>
      <c r="O3185" t="s">
        <v>9273</v>
      </c>
      <c r="R3185">
        <v>1</v>
      </c>
      <c r="T3185" s="5"/>
      <c r="W3185">
        <v>270</v>
      </c>
      <c r="X3185" t="s">
        <v>8412</v>
      </c>
      <c r="Y3185" t="str">
        <f>VLOOKUP(C3185,'[1]DBS_KPY Sorumlular'!A:C,2,FALSE)</f>
        <v>Tayfun VİÇE</v>
      </c>
      <c r="Z3185" t="str">
        <f>VLOOKUP(C3185,'[1]DBS_KPY Sorumlular'!A:C,3,FALSE)</f>
        <v>Mehmet Ali YAVUZ</v>
      </c>
      <c r="AA3185" t="str">
        <f>VLOOKUP(K3185,[1]!Tablo3[#Data],2,FALSE)</f>
        <v>Kadir TOPÇU</v>
      </c>
    </row>
    <row r="3186" spans="1:27" x14ac:dyDescent="0.25">
      <c r="A3186">
        <v>4523</v>
      </c>
      <c r="B3186" t="s">
        <v>27</v>
      </c>
      <c r="C3186" t="s">
        <v>402</v>
      </c>
      <c r="D3186" t="s">
        <v>403</v>
      </c>
      <c r="G3186" t="s">
        <v>384</v>
      </c>
      <c r="H3186" t="s">
        <v>9274</v>
      </c>
      <c r="I3186" s="4">
        <v>45443.875</v>
      </c>
      <c r="K3186" t="s">
        <v>743</v>
      </c>
      <c r="L3186" s="5"/>
      <c r="M3186" s="5" t="s">
        <v>8423</v>
      </c>
      <c r="N3186" t="s">
        <v>82</v>
      </c>
      <c r="O3186" t="s">
        <v>9275</v>
      </c>
      <c r="R3186">
        <v>1</v>
      </c>
      <c r="T3186" s="5"/>
      <c r="W3186">
        <v>270</v>
      </c>
      <c r="X3186" t="s">
        <v>8412</v>
      </c>
      <c r="Y3186" t="str">
        <f>VLOOKUP(C3186,'[1]DBS_KPY Sorumlular'!A:C,2,FALSE)</f>
        <v>Tayfun VİÇE</v>
      </c>
      <c r="Z3186" t="str">
        <f>VLOOKUP(C3186,'[1]DBS_KPY Sorumlular'!A:C,3,FALSE)</f>
        <v>Mehmet Ali YAVUZ</v>
      </c>
      <c r="AA3186" t="str">
        <f>VLOOKUP(K3186,[1]!Tablo3[#Data],2,FALSE)</f>
        <v>Kadir TOPÇU</v>
      </c>
    </row>
    <row r="3187" spans="1:27" x14ac:dyDescent="0.25">
      <c r="A3187">
        <v>4524</v>
      </c>
      <c r="B3187" t="s">
        <v>27</v>
      </c>
      <c r="C3187" t="s">
        <v>402</v>
      </c>
      <c r="D3187" t="s">
        <v>403</v>
      </c>
      <c r="G3187" t="s">
        <v>384</v>
      </c>
      <c r="H3187" t="s">
        <v>9276</v>
      </c>
      <c r="I3187" s="4">
        <v>45443.875</v>
      </c>
      <c r="K3187" t="s">
        <v>926</v>
      </c>
      <c r="L3187" s="5"/>
      <c r="M3187" s="5" t="s">
        <v>8423</v>
      </c>
      <c r="N3187" t="s">
        <v>82</v>
      </c>
      <c r="O3187" t="s">
        <v>9277</v>
      </c>
      <c r="R3187">
        <v>1</v>
      </c>
      <c r="T3187" s="5"/>
      <c r="W3187">
        <v>270</v>
      </c>
      <c r="X3187" t="s">
        <v>8412</v>
      </c>
      <c r="Y3187" t="str">
        <f>VLOOKUP(C3187,'[1]DBS_KPY Sorumlular'!A:C,2,FALSE)</f>
        <v>Tayfun VİÇE</v>
      </c>
      <c r="Z3187" t="str">
        <f>VLOOKUP(C3187,'[1]DBS_KPY Sorumlular'!A:C,3,FALSE)</f>
        <v>Mehmet Ali YAVUZ</v>
      </c>
      <c r="AA3187" t="str">
        <f>VLOOKUP(K3187,[1]!Tablo3[#Data],2,FALSE)</f>
        <v>Kadir TOPÇU</v>
      </c>
    </row>
    <row r="3188" spans="1:27" x14ac:dyDescent="0.25">
      <c r="A3188">
        <v>4525</v>
      </c>
      <c r="B3188" t="s">
        <v>27</v>
      </c>
      <c r="C3188" t="s">
        <v>402</v>
      </c>
      <c r="D3188" t="s">
        <v>403</v>
      </c>
      <c r="G3188" t="s">
        <v>384</v>
      </c>
      <c r="H3188" t="s">
        <v>9278</v>
      </c>
      <c r="I3188" s="4">
        <v>45443.875</v>
      </c>
      <c r="K3188" t="s">
        <v>743</v>
      </c>
      <c r="L3188" s="5"/>
      <c r="M3188" s="5" t="s">
        <v>8423</v>
      </c>
      <c r="N3188" t="s">
        <v>82</v>
      </c>
      <c r="O3188" t="s">
        <v>9279</v>
      </c>
      <c r="R3188">
        <v>1</v>
      </c>
      <c r="T3188" s="5"/>
      <c r="W3188">
        <v>270</v>
      </c>
      <c r="X3188" t="s">
        <v>8412</v>
      </c>
      <c r="Y3188" t="str">
        <f>VLOOKUP(C3188,'[1]DBS_KPY Sorumlular'!A:C,2,FALSE)</f>
        <v>Tayfun VİÇE</v>
      </c>
      <c r="Z3188" t="str">
        <f>VLOOKUP(C3188,'[1]DBS_KPY Sorumlular'!A:C,3,FALSE)</f>
        <v>Mehmet Ali YAVUZ</v>
      </c>
      <c r="AA3188" t="str">
        <f>VLOOKUP(K3188,[1]!Tablo3[#Data],2,FALSE)</f>
        <v>Kadir TOPÇU</v>
      </c>
    </row>
    <row r="3189" spans="1:27" x14ac:dyDescent="0.25">
      <c r="A3189">
        <v>4526</v>
      </c>
      <c r="B3189" t="s">
        <v>27</v>
      </c>
      <c r="C3189" t="s">
        <v>402</v>
      </c>
      <c r="D3189" t="s">
        <v>403</v>
      </c>
      <c r="G3189" t="s">
        <v>384</v>
      </c>
      <c r="H3189" t="s">
        <v>9280</v>
      </c>
      <c r="I3189" s="4">
        <v>45443.875</v>
      </c>
      <c r="K3189" t="s">
        <v>743</v>
      </c>
      <c r="L3189" s="5"/>
      <c r="M3189" s="5" t="s">
        <v>8423</v>
      </c>
      <c r="N3189" t="s">
        <v>82</v>
      </c>
      <c r="O3189" t="s">
        <v>9281</v>
      </c>
      <c r="R3189">
        <v>1</v>
      </c>
      <c r="T3189" s="5"/>
      <c r="W3189">
        <v>270</v>
      </c>
      <c r="X3189" t="s">
        <v>8412</v>
      </c>
      <c r="Y3189" t="str">
        <f>VLOOKUP(C3189,'[1]DBS_KPY Sorumlular'!A:C,2,FALSE)</f>
        <v>Tayfun VİÇE</v>
      </c>
      <c r="Z3189" t="str">
        <f>VLOOKUP(C3189,'[1]DBS_KPY Sorumlular'!A:C,3,FALSE)</f>
        <v>Mehmet Ali YAVUZ</v>
      </c>
      <c r="AA3189" t="str">
        <f>VLOOKUP(K3189,[1]!Tablo3[#Data],2,FALSE)</f>
        <v>Kadir TOPÇU</v>
      </c>
    </row>
    <row r="3190" spans="1:27" x14ac:dyDescent="0.25">
      <c r="A3190">
        <v>4527</v>
      </c>
      <c r="B3190" t="s">
        <v>27</v>
      </c>
      <c r="C3190" t="s">
        <v>402</v>
      </c>
      <c r="D3190" t="s">
        <v>403</v>
      </c>
      <c r="G3190" t="s">
        <v>384</v>
      </c>
      <c r="H3190" t="s">
        <v>9282</v>
      </c>
      <c r="I3190" s="4">
        <v>45443.875</v>
      </c>
      <c r="K3190" t="s">
        <v>743</v>
      </c>
      <c r="L3190" s="5"/>
      <c r="M3190" s="5" t="s">
        <v>8423</v>
      </c>
      <c r="N3190" t="s">
        <v>82</v>
      </c>
      <c r="O3190" t="s">
        <v>9283</v>
      </c>
      <c r="R3190">
        <v>1</v>
      </c>
      <c r="T3190" s="5"/>
      <c r="W3190">
        <v>270</v>
      </c>
      <c r="X3190" t="s">
        <v>8412</v>
      </c>
      <c r="Y3190" t="str">
        <f>VLOOKUP(C3190,'[1]DBS_KPY Sorumlular'!A:C,2,FALSE)</f>
        <v>Tayfun VİÇE</v>
      </c>
      <c r="Z3190" t="str">
        <f>VLOOKUP(C3190,'[1]DBS_KPY Sorumlular'!A:C,3,FALSE)</f>
        <v>Mehmet Ali YAVUZ</v>
      </c>
      <c r="AA3190" t="str">
        <f>VLOOKUP(K3190,[1]!Tablo3[#Data],2,FALSE)</f>
        <v>Kadir TOPÇU</v>
      </c>
    </row>
    <row r="3191" spans="1:27" x14ac:dyDescent="0.25">
      <c r="A3191">
        <v>4528</v>
      </c>
      <c r="B3191" t="s">
        <v>27</v>
      </c>
      <c r="C3191" t="s">
        <v>402</v>
      </c>
      <c r="D3191" t="s">
        <v>403</v>
      </c>
      <c r="G3191" t="s">
        <v>384</v>
      </c>
      <c r="H3191" t="s">
        <v>9284</v>
      </c>
      <c r="I3191" s="4">
        <v>45443.875</v>
      </c>
      <c r="K3191" t="s">
        <v>1528</v>
      </c>
      <c r="L3191" s="5"/>
      <c r="M3191" s="5" t="s">
        <v>8423</v>
      </c>
      <c r="N3191" t="s">
        <v>82</v>
      </c>
      <c r="O3191" t="s">
        <v>9285</v>
      </c>
      <c r="R3191">
        <v>1</v>
      </c>
      <c r="T3191" s="5"/>
      <c r="W3191">
        <v>270</v>
      </c>
      <c r="X3191" t="s">
        <v>8412</v>
      </c>
      <c r="Y3191" t="str">
        <f>VLOOKUP(C3191,'[1]DBS_KPY Sorumlular'!A:C,2,FALSE)</f>
        <v>Tayfun VİÇE</v>
      </c>
      <c r="Z3191" t="str">
        <f>VLOOKUP(C3191,'[1]DBS_KPY Sorumlular'!A:C,3,FALSE)</f>
        <v>Mehmet Ali YAVUZ</v>
      </c>
      <c r="AA3191" t="str">
        <f>VLOOKUP(K3191,[1]!Tablo3[#Data],2,FALSE)</f>
        <v>Tayfun VİÇE</v>
      </c>
    </row>
    <row r="3192" spans="1:27" x14ac:dyDescent="0.25">
      <c r="A3192">
        <v>4529</v>
      </c>
      <c r="B3192" t="s">
        <v>27</v>
      </c>
      <c r="C3192" t="s">
        <v>402</v>
      </c>
      <c r="D3192" t="s">
        <v>403</v>
      </c>
      <c r="G3192" t="s">
        <v>384</v>
      </c>
      <c r="H3192" t="s">
        <v>9286</v>
      </c>
      <c r="I3192" s="4">
        <v>45443.875</v>
      </c>
      <c r="K3192" t="s">
        <v>914</v>
      </c>
      <c r="L3192" s="5"/>
      <c r="M3192" s="5" t="s">
        <v>8423</v>
      </c>
      <c r="N3192" t="s">
        <v>82</v>
      </c>
      <c r="O3192" t="s">
        <v>9287</v>
      </c>
      <c r="R3192">
        <v>1</v>
      </c>
      <c r="T3192" s="5"/>
      <c r="W3192">
        <v>270</v>
      </c>
      <c r="X3192" t="s">
        <v>8412</v>
      </c>
      <c r="Y3192" t="str">
        <f>VLOOKUP(C3192,'[1]DBS_KPY Sorumlular'!A:C,2,FALSE)</f>
        <v>Tayfun VİÇE</v>
      </c>
      <c r="Z3192" t="str">
        <f>VLOOKUP(C3192,'[1]DBS_KPY Sorumlular'!A:C,3,FALSE)</f>
        <v>Mehmet Ali YAVUZ</v>
      </c>
      <c r="AA3192" t="str">
        <f>VLOOKUP(K3192,[1]!Tablo3[#Data],2,FALSE)</f>
        <v>Tayfun VİÇE</v>
      </c>
    </row>
    <row r="3193" spans="1:27" x14ac:dyDescent="0.25">
      <c r="A3193">
        <v>4530</v>
      </c>
      <c r="B3193" t="s">
        <v>27</v>
      </c>
      <c r="C3193" t="s">
        <v>402</v>
      </c>
      <c r="D3193" t="s">
        <v>403</v>
      </c>
      <c r="G3193" t="s">
        <v>384</v>
      </c>
      <c r="H3193" t="s">
        <v>9288</v>
      </c>
      <c r="I3193" s="4">
        <v>45443.875</v>
      </c>
      <c r="K3193" t="s">
        <v>743</v>
      </c>
      <c r="L3193" s="5"/>
      <c r="M3193" s="5" t="s">
        <v>8423</v>
      </c>
      <c r="N3193" t="s">
        <v>82</v>
      </c>
      <c r="O3193" t="s">
        <v>9289</v>
      </c>
      <c r="R3193">
        <v>1</v>
      </c>
      <c r="T3193" s="5"/>
      <c r="W3193">
        <v>270</v>
      </c>
      <c r="X3193" t="s">
        <v>8412</v>
      </c>
      <c r="Y3193" t="str">
        <f>VLOOKUP(C3193,'[1]DBS_KPY Sorumlular'!A:C,2,FALSE)</f>
        <v>Tayfun VİÇE</v>
      </c>
      <c r="Z3193" t="str">
        <f>VLOOKUP(C3193,'[1]DBS_KPY Sorumlular'!A:C,3,FALSE)</f>
        <v>Mehmet Ali YAVUZ</v>
      </c>
      <c r="AA3193" t="str">
        <f>VLOOKUP(K3193,[1]!Tablo3[#Data],2,FALSE)</f>
        <v>Kadir TOPÇU</v>
      </c>
    </row>
    <row r="3194" spans="1:27" x14ac:dyDescent="0.25">
      <c r="A3194">
        <v>4531</v>
      </c>
      <c r="B3194" t="s">
        <v>27</v>
      </c>
      <c r="C3194" t="s">
        <v>402</v>
      </c>
      <c r="D3194" t="s">
        <v>403</v>
      </c>
      <c r="G3194" t="s">
        <v>384</v>
      </c>
      <c r="H3194" t="s">
        <v>9290</v>
      </c>
      <c r="I3194" s="4">
        <v>45443.875</v>
      </c>
      <c r="K3194" t="s">
        <v>1528</v>
      </c>
      <c r="L3194" s="5"/>
      <c r="M3194" s="5" t="s">
        <v>8423</v>
      </c>
      <c r="N3194" t="s">
        <v>82</v>
      </c>
      <c r="O3194" t="s">
        <v>9291</v>
      </c>
      <c r="R3194">
        <v>1</v>
      </c>
      <c r="T3194" s="5"/>
      <c r="W3194">
        <v>270</v>
      </c>
      <c r="X3194" t="s">
        <v>8412</v>
      </c>
      <c r="Y3194" t="str">
        <f>VLOOKUP(C3194,'[1]DBS_KPY Sorumlular'!A:C,2,FALSE)</f>
        <v>Tayfun VİÇE</v>
      </c>
      <c r="Z3194" t="str">
        <f>VLOOKUP(C3194,'[1]DBS_KPY Sorumlular'!A:C,3,FALSE)</f>
        <v>Mehmet Ali YAVUZ</v>
      </c>
      <c r="AA3194" t="str">
        <f>VLOOKUP(K3194,[1]!Tablo3[#Data],2,FALSE)</f>
        <v>Tayfun VİÇE</v>
      </c>
    </row>
    <row r="3195" spans="1:27" x14ac:dyDescent="0.25">
      <c r="A3195">
        <v>4532</v>
      </c>
      <c r="B3195" t="s">
        <v>27</v>
      </c>
      <c r="C3195" t="s">
        <v>402</v>
      </c>
      <c r="D3195" t="s">
        <v>403</v>
      </c>
      <c r="G3195" t="s">
        <v>384</v>
      </c>
      <c r="H3195" t="s">
        <v>9292</v>
      </c>
      <c r="I3195" s="4">
        <v>45443.875</v>
      </c>
      <c r="K3195" t="s">
        <v>1528</v>
      </c>
      <c r="L3195" s="5"/>
      <c r="M3195" s="5" t="s">
        <v>8423</v>
      </c>
      <c r="N3195" t="s">
        <v>82</v>
      </c>
      <c r="O3195" t="s">
        <v>9293</v>
      </c>
      <c r="R3195">
        <v>1</v>
      </c>
      <c r="T3195" s="5"/>
      <c r="W3195">
        <v>270</v>
      </c>
      <c r="X3195" t="s">
        <v>8412</v>
      </c>
      <c r="Y3195" t="str">
        <f>VLOOKUP(C3195,'[1]DBS_KPY Sorumlular'!A:C,2,FALSE)</f>
        <v>Tayfun VİÇE</v>
      </c>
      <c r="Z3195" t="str">
        <f>VLOOKUP(C3195,'[1]DBS_KPY Sorumlular'!A:C,3,FALSE)</f>
        <v>Mehmet Ali YAVUZ</v>
      </c>
      <c r="AA3195" t="str">
        <f>VLOOKUP(K3195,[1]!Tablo3[#Data],2,FALSE)</f>
        <v>Tayfun VİÇE</v>
      </c>
    </row>
    <row r="3196" spans="1:27" x14ac:dyDescent="0.25">
      <c r="A3196">
        <v>4533</v>
      </c>
      <c r="B3196" t="s">
        <v>27</v>
      </c>
      <c r="C3196" t="s">
        <v>402</v>
      </c>
      <c r="D3196" t="s">
        <v>403</v>
      </c>
      <c r="G3196" t="s">
        <v>384</v>
      </c>
      <c r="H3196" t="s">
        <v>9294</v>
      </c>
      <c r="I3196" s="4">
        <v>45443.875</v>
      </c>
      <c r="K3196" t="s">
        <v>743</v>
      </c>
      <c r="L3196" s="5"/>
      <c r="M3196" s="5" t="s">
        <v>8423</v>
      </c>
      <c r="N3196" t="s">
        <v>82</v>
      </c>
      <c r="O3196" t="s">
        <v>9295</v>
      </c>
      <c r="R3196">
        <v>1</v>
      </c>
      <c r="T3196" s="5"/>
      <c r="W3196">
        <v>270</v>
      </c>
      <c r="X3196" t="s">
        <v>8412</v>
      </c>
      <c r="Y3196" t="str">
        <f>VLOOKUP(C3196,'[1]DBS_KPY Sorumlular'!A:C,2,FALSE)</f>
        <v>Tayfun VİÇE</v>
      </c>
      <c r="Z3196" t="str">
        <f>VLOOKUP(C3196,'[1]DBS_KPY Sorumlular'!A:C,3,FALSE)</f>
        <v>Mehmet Ali YAVUZ</v>
      </c>
      <c r="AA3196" t="str">
        <f>VLOOKUP(K3196,[1]!Tablo3[#Data],2,FALSE)</f>
        <v>Kadir TOPÇU</v>
      </c>
    </row>
    <row r="3197" spans="1:27" x14ac:dyDescent="0.25">
      <c r="A3197">
        <v>4534</v>
      </c>
      <c r="B3197" t="s">
        <v>27</v>
      </c>
      <c r="C3197" t="s">
        <v>402</v>
      </c>
      <c r="D3197" t="s">
        <v>403</v>
      </c>
      <c r="G3197" t="s">
        <v>384</v>
      </c>
      <c r="H3197" t="s">
        <v>9296</v>
      </c>
      <c r="I3197" s="4">
        <v>45443.875</v>
      </c>
      <c r="K3197" t="s">
        <v>743</v>
      </c>
      <c r="L3197" s="5"/>
      <c r="M3197" s="5" t="s">
        <v>8423</v>
      </c>
      <c r="N3197" t="s">
        <v>82</v>
      </c>
      <c r="O3197" t="s">
        <v>9297</v>
      </c>
      <c r="R3197">
        <v>1</v>
      </c>
      <c r="T3197" s="5"/>
      <c r="W3197">
        <v>270</v>
      </c>
      <c r="X3197" t="s">
        <v>8412</v>
      </c>
      <c r="Y3197" t="str">
        <f>VLOOKUP(C3197,'[1]DBS_KPY Sorumlular'!A:C,2,FALSE)</f>
        <v>Tayfun VİÇE</v>
      </c>
      <c r="Z3197" t="str">
        <f>VLOOKUP(C3197,'[1]DBS_KPY Sorumlular'!A:C,3,FALSE)</f>
        <v>Mehmet Ali YAVUZ</v>
      </c>
      <c r="AA3197" t="str">
        <f>VLOOKUP(K3197,[1]!Tablo3[#Data],2,FALSE)</f>
        <v>Kadir TOPÇU</v>
      </c>
    </row>
    <row r="3198" spans="1:27" x14ac:dyDescent="0.25">
      <c r="A3198">
        <v>4535</v>
      </c>
      <c r="B3198" t="s">
        <v>27</v>
      </c>
      <c r="C3198" t="s">
        <v>402</v>
      </c>
      <c r="D3198" t="s">
        <v>403</v>
      </c>
      <c r="G3198" t="s">
        <v>384</v>
      </c>
      <c r="H3198" t="s">
        <v>9298</v>
      </c>
      <c r="I3198" s="4">
        <v>45443.875</v>
      </c>
      <c r="K3198" t="s">
        <v>743</v>
      </c>
      <c r="L3198" s="5"/>
      <c r="M3198" s="5" t="s">
        <v>8423</v>
      </c>
      <c r="N3198" t="s">
        <v>82</v>
      </c>
      <c r="O3198" t="s">
        <v>9299</v>
      </c>
      <c r="R3198">
        <v>1</v>
      </c>
      <c r="T3198" s="5"/>
      <c r="W3198">
        <v>270</v>
      </c>
      <c r="X3198" t="s">
        <v>8412</v>
      </c>
      <c r="Y3198" t="str">
        <f>VLOOKUP(C3198,'[1]DBS_KPY Sorumlular'!A:C,2,FALSE)</f>
        <v>Tayfun VİÇE</v>
      </c>
      <c r="Z3198" t="str">
        <f>VLOOKUP(C3198,'[1]DBS_KPY Sorumlular'!A:C,3,FALSE)</f>
        <v>Mehmet Ali YAVUZ</v>
      </c>
      <c r="AA3198" t="str">
        <f>VLOOKUP(K3198,[1]!Tablo3[#Data],2,FALSE)</f>
        <v>Kadir TOPÇU</v>
      </c>
    </row>
    <row r="3199" spans="1:27" x14ac:dyDescent="0.25">
      <c r="A3199">
        <v>4536</v>
      </c>
      <c r="B3199" t="s">
        <v>27</v>
      </c>
      <c r="C3199" t="s">
        <v>402</v>
      </c>
      <c r="D3199" t="s">
        <v>403</v>
      </c>
      <c r="G3199" t="s">
        <v>384</v>
      </c>
      <c r="H3199" t="s">
        <v>9300</v>
      </c>
      <c r="I3199" s="4">
        <v>45443.875</v>
      </c>
      <c r="K3199" t="s">
        <v>743</v>
      </c>
      <c r="L3199" s="5"/>
      <c r="M3199" s="5" t="s">
        <v>8423</v>
      </c>
      <c r="N3199" t="s">
        <v>82</v>
      </c>
      <c r="O3199" t="s">
        <v>9301</v>
      </c>
      <c r="R3199">
        <v>1</v>
      </c>
      <c r="T3199" s="5"/>
      <c r="W3199">
        <v>270</v>
      </c>
      <c r="X3199" t="s">
        <v>8412</v>
      </c>
      <c r="Y3199" t="str">
        <f>VLOOKUP(C3199,'[1]DBS_KPY Sorumlular'!A:C,2,FALSE)</f>
        <v>Tayfun VİÇE</v>
      </c>
      <c r="Z3199" t="str">
        <f>VLOOKUP(C3199,'[1]DBS_KPY Sorumlular'!A:C,3,FALSE)</f>
        <v>Mehmet Ali YAVUZ</v>
      </c>
      <c r="AA3199" t="str">
        <f>VLOOKUP(K3199,[1]!Tablo3[#Data],2,FALSE)</f>
        <v>Kadir TOPÇU</v>
      </c>
    </row>
    <row r="3200" spans="1:27" x14ac:dyDescent="0.25">
      <c r="A3200">
        <v>4537</v>
      </c>
      <c r="B3200" t="s">
        <v>27</v>
      </c>
      <c r="C3200" t="s">
        <v>402</v>
      </c>
      <c r="D3200" t="s">
        <v>403</v>
      </c>
      <c r="G3200" t="s">
        <v>384</v>
      </c>
      <c r="H3200" t="s">
        <v>9302</v>
      </c>
      <c r="I3200" s="4">
        <v>45443.875</v>
      </c>
      <c r="K3200" t="s">
        <v>1528</v>
      </c>
      <c r="L3200" s="5"/>
      <c r="M3200" s="5" t="s">
        <v>8423</v>
      </c>
      <c r="N3200" t="s">
        <v>82</v>
      </c>
      <c r="O3200" t="s">
        <v>9303</v>
      </c>
      <c r="R3200">
        <v>1</v>
      </c>
      <c r="T3200" s="5"/>
      <c r="W3200">
        <v>270</v>
      </c>
      <c r="X3200" t="s">
        <v>8412</v>
      </c>
      <c r="Y3200" t="str">
        <f>VLOOKUP(C3200,'[1]DBS_KPY Sorumlular'!A:C,2,FALSE)</f>
        <v>Tayfun VİÇE</v>
      </c>
      <c r="Z3200" t="str">
        <f>VLOOKUP(C3200,'[1]DBS_KPY Sorumlular'!A:C,3,FALSE)</f>
        <v>Mehmet Ali YAVUZ</v>
      </c>
      <c r="AA3200" t="str">
        <f>VLOOKUP(K3200,[1]!Tablo3[#Data],2,FALSE)</f>
        <v>Tayfun VİÇE</v>
      </c>
    </row>
    <row r="3201" spans="1:27" x14ac:dyDescent="0.25">
      <c r="A3201">
        <v>4538</v>
      </c>
      <c r="B3201" t="s">
        <v>27</v>
      </c>
      <c r="C3201" t="s">
        <v>402</v>
      </c>
      <c r="D3201" t="s">
        <v>403</v>
      </c>
      <c r="G3201" t="s">
        <v>384</v>
      </c>
      <c r="H3201" t="s">
        <v>9304</v>
      </c>
      <c r="I3201" s="4">
        <v>45443.875</v>
      </c>
      <c r="K3201" t="s">
        <v>1528</v>
      </c>
      <c r="L3201" s="5"/>
      <c r="M3201" s="5" t="s">
        <v>8423</v>
      </c>
      <c r="N3201" t="s">
        <v>82</v>
      </c>
      <c r="O3201" t="s">
        <v>9305</v>
      </c>
      <c r="R3201">
        <v>1</v>
      </c>
      <c r="T3201" s="5"/>
      <c r="W3201">
        <v>270</v>
      </c>
      <c r="X3201" t="s">
        <v>8412</v>
      </c>
      <c r="Y3201" t="str">
        <f>VLOOKUP(C3201,'[1]DBS_KPY Sorumlular'!A:C,2,FALSE)</f>
        <v>Tayfun VİÇE</v>
      </c>
      <c r="Z3201" t="str">
        <f>VLOOKUP(C3201,'[1]DBS_KPY Sorumlular'!A:C,3,FALSE)</f>
        <v>Mehmet Ali YAVUZ</v>
      </c>
      <c r="AA3201" t="str">
        <f>VLOOKUP(K3201,[1]!Tablo3[#Data],2,FALSE)</f>
        <v>Tayfun VİÇE</v>
      </c>
    </row>
    <row r="3202" spans="1:27" x14ac:dyDescent="0.25">
      <c r="A3202">
        <v>4539</v>
      </c>
      <c r="B3202" t="s">
        <v>27</v>
      </c>
      <c r="C3202" t="s">
        <v>402</v>
      </c>
      <c r="D3202" t="s">
        <v>403</v>
      </c>
      <c r="G3202" t="s">
        <v>384</v>
      </c>
      <c r="H3202" t="s">
        <v>9306</v>
      </c>
      <c r="I3202" s="4">
        <v>45443.875</v>
      </c>
      <c r="K3202" t="s">
        <v>743</v>
      </c>
      <c r="L3202" s="5"/>
      <c r="M3202" s="5" t="s">
        <v>8423</v>
      </c>
      <c r="N3202" t="s">
        <v>82</v>
      </c>
      <c r="O3202" t="s">
        <v>9307</v>
      </c>
      <c r="R3202">
        <v>1</v>
      </c>
      <c r="T3202" s="5"/>
      <c r="W3202">
        <v>270</v>
      </c>
      <c r="X3202" t="s">
        <v>8412</v>
      </c>
      <c r="Y3202" t="str">
        <f>VLOOKUP(C3202,'[1]DBS_KPY Sorumlular'!A:C,2,FALSE)</f>
        <v>Tayfun VİÇE</v>
      </c>
      <c r="Z3202" t="str">
        <f>VLOOKUP(C3202,'[1]DBS_KPY Sorumlular'!A:C,3,FALSE)</f>
        <v>Mehmet Ali YAVUZ</v>
      </c>
      <c r="AA3202" t="str">
        <f>VLOOKUP(K3202,[1]!Tablo3[#Data],2,FALSE)</f>
        <v>Kadir TOPÇU</v>
      </c>
    </row>
    <row r="3203" spans="1:27" x14ac:dyDescent="0.25">
      <c r="A3203">
        <v>4540</v>
      </c>
      <c r="B3203" t="s">
        <v>27</v>
      </c>
      <c r="C3203" t="s">
        <v>402</v>
      </c>
      <c r="D3203" t="s">
        <v>403</v>
      </c>
      <c r="G3203" t="s">
        <v>384</v>
      </c>
      <c r="H3203" t="s">
        <v>9308</v>
      </c>
      <c r="I3203" s="4">
        <v>45443.875</v>
      </c>
      <c r="K3203" t="s">
        <v>1528</v>
      </c>
      <c r="L3203" s="5"/>
      <c r="M3203" s="5" t="s">
        <v>8423</v>
      </c>
      <c r="N3203" t="s">
        <v>82</v>
      </c>
      <c r="O3203" t="s">
        <v>9309</v>
      </c>
      <c r="R3203">
        <v>1</v>
      </c>
      <c r="T3203" s="5"/>
      <c r="W3203">
        <v>270</v>
      </c>
      <c r="X3203" t="s">
        <v>8412</v>
      </c>
      <c r="Y3203" t="str">
        <f>VLOOKUP(C3203,'[1]DBS_KPY Sorumlular'!A:C,2,FALSE)</f>
        <v>Tayfun VİÇE</v>
      </c>
      <c r="Z3203" t="str">
        <f>VLOOKUP(C3203,'[1]DBS_KPY Sorumlular'!A:C,3,FALSE)</f>
        <v>Mehmet Ali YAVUZ</v>
      </c>
      <c r="AA3203" t="str">
        <f>VLOOKUP(K3203,[1]!Tablo3[#Data],2,FALSE)</f>
        <v>Tayfun VİÇE</v>
      </c>
    </row>
    <row r="3204" spans="1:27" x14ac:dyDescent="0.25">
      <c r="A3204">
        <v>4541</v>
      </c>
      <c r="B3204" t="s">
        <v>27</v>
      </c>
      <c r="C3204" t="s">
        <v>402</v>
      </c>
      <c r="D3204" t="s">
        <v>403</v>
      </c>
      <c r="G3204" t="s">
        <v>384</v>
      </c>
      <c r="H3204" t="s">
        <v>9310</v>
      </c>
      <c r="I3204" s="4">
        <v>45443.875</v>
      </c>
      <c r="K3204" t="s">
        <v>743</v>
      </c>
      <c r="L3204" s="5"/>
      <c r="M3204" s="5" t="s">
        <v>8423</v>
      </c>
      <c r="N3204" t="s">
        <v>82</v>
      </c>
      <c r="O3204" t="s">
        <v>9311</v>
      </c>
      <c r="R3204">
        <v>1</v>
      </c>
      <c r="T3204" s="5"/>
      <c r="W3204">
        <v>270</v>
      </c>
      <c r="X3204" t="s">
        <v>8412</v>
      </c>
      <c r="Y3204" t="str">
        <f>VLOOKUP(C3204,'[1]DBS_KPY Sorumlular'!A:C,2,FALSE)</f>
        <v>Tayfun VİÇE</v>
      </c>
      <c r="Z3204" t="str">
        <f>VLOOKUP(C3204,'[1]DBS_KPY Sorumlular'!A:C,3,FALSE)</f>
        <v>Mehmet Ali YAVUZ</v>
      </c>
      <c r="AA3204" t="str">
        <f>VLOOKUP(K3204,[1]!Tablo3[#Data],2,FALSE)</f>
        <v>Kadir TOPÇU</v>
      </c>
    </row>
    <row r="3205" spans="1:27" x14ac:dyDescent="0.25">
      <c r="A3205">
        <v>4542</v>
      </c>
      <c r="B3205" t="s">
        <v>27</v>
      </c>
      <c r="C3205" t="s">
        <v>402</v>
      </c>
      <c r="D3205" t="s">
        <v>403</v>
      </c>
      <c r="G3205" t="s">
        <v>384</v>
      </c>
      <c r="H3205" t="s">
        <v>9312</v>
      </c>
      <c r="I3205" s="4">
        <v>45443.875</v>
      </c>
      <c r="K3205" t="s">
        <v>743</v>
      </c>
      <c r="L3205" s="5"/>
      <c r="M3205" s="5" t="s">
        <v>8423</v>
      </c>
      <c r="N3205" t="s">
        <v>82</v>
      </c>
      <c r="O3205" t="s">
        <v>9313</v>
      </c>
      <c r="R3205">
        <v>1</v>
      </c>
      <c r="T3205" s="5"/>
      <c r="W3205">
        <v>270</v>
      </c>
      <c r="X3205" t="s">
        <v>8412</v>
      </c>
      <c r="Y3205" t="str">
        <f>VLOOKUP(C3205,'[1]DBS_KPY Sorumlular'!A:C,2,FALSE)</f>
        <v>Tayfun VİÇE</v>
      </c>
      <c r="Z3205" t="str">
        <f>VLOOKUP(C3205,'[1]DBS_KPY Sorumlular'!A:C,3,FALSE)</f>
        <v>Mehmet Ali YAVUZ</v>
      </c>
      <c r="AA3205" t="str">
        <f>VLOOKUP(K3205,[1]!Tablo3[#Data],2,FALSE)</f>
        <v>Kadir TOPÇU</v>
      </c>
    </row>
    <row r="3206" spans="1:27" x14ac:dyDescent="0.25">
      <c r="A3206">
        <v>4543</v>
      </c>
      <c r="B3206" t="s">
        <v>27</v>
      </c>
      <c r="C3206" t="s">
        <v>402</v>
      </c>
      <c r="D3206" t="s">
        <v>403</v>
      </c>
      <c r="G3206" t="s">
        <v>384</v>
      </c>
      <c r="H3206" t="s">
        <v>9314</v>
      </c>
      <c r="I3206" s="4">
        <v>45443.875</v>
      </c>
      <c r="K3206" t="s">
        <v>226</v>
      </c>
      <c r="L3206" s="5"/>
      <c r="M3206" s="5" t="s">
        <v>8423</v>
      </c>
      <c r="N3206" t="s">
        <v>82</v>
      </c>
      <c r="O3206" t="s">
        <v>9315</v>
      </c>
      <c r="R3206">
        <v>1</v>
      </c>
      <c r="T3206" s="5"/>
      <c r="W3206">
        <v>270</v>
      </c>
      <c r="X3206" t="s">
        <v>8412</v>
      </c>
      <c r="Y3206" t="str">
        <f>VLOOKUP(C3206,'[1]DBS_KPY Sorumlular'!A:C,2,FALSE)</f>
        <v>Tayfun VİÇE</v>
      </c>
      <c r="Z3206" t="str">
        <f>VLOOKUP(C3206,'[1]DBS_KPY Sorumlular'!A:C,3,FALSE)</f>
        <v>Mehmet Ali YAVUZ</v>
      </c>
      <c r="AA3206" t="str">
        <f>VLOOKUP(K3206,[1]!Tablo3[#Data],2,FALSE)</f>
        <v>Kadir TOPÇU</v>
      </c>
    </row>
    <row r="3207" spans="1:27" x14ac:dyDescent="0.25">
      <c r="A3207">
        <v>4544</v>
      </c>
      <c r="B3207" t="s">
        <v>27</v>
      </c>
      <c r="C3207" t="s">
        <v>402</v>
      </c>
      <c r="D3207" t="s">
        <v>403</v>
      </c>
      <c r="G3207" t="s">
        <v>384</v>
      </c>
      <c r="H3207" t="s">
        <v>9316</v>
      </c>
      <c r="I3207" s="4">
        <v>45443.875</v>
      </c>
      <c r="K3207" t="s">
        <v>226</v>
      </c>
      <c r="L3207" s="5"/>
      <c r="M3207" s="5" t="s">
        <v>8423</v>
      </c>
      <c r="N3207" t="s">
        <v>82</v>
      </c>
      <c r="O3207" t="s">
        <v>9317</v>
      </c>
      <c r="R3207">
        <v>1</v>
      </c>
      <c r="T3207" s="5"/>
      <c r="W3207">
        <v>270</v>
      </c>
      <c r="X3207" t="s">
        <v>8412</v>
      </c>
      <c r="Y3207" t="str">
        <f>VLOOKUP(C3207,'[1]DBS_KPY Sorumlular'!A:C,2,FALSE)</f>
        <v>Tayfun VİÇE</v>
      </c>
      <c r="Z3207" t="str">
        <f>VLOOKUP(C3207,'[1]DBS_KPY Sorumlular'!A:C,3,FALSE)</f>
        <v>Mehmet Ali YAVUZ</v>
      </c>
      <c r="AA3207" t="str">
        <f>VLOOKUP(K3207,[1]!Tablo3[#Data],2,FALSE)</f>
        <v>Kadir TOPÇU</v>
      </c>
    </row>
    <row r="3208" spans="1:27" x14ac:dyDescent="0.25">
      <c r="A3208">
        <v>4545</v>
      </c>
      <c r="B3208" t="s">
        <v>27</v>
      </c>
      <c r="C3208" t="s">
        <v>402</v>
      </c>
      <c r="D3208" t="s">
        <v>403</v>
      </c>
      <c r="G3208" t="s">
        <v>384</v>
      </c>
      <c r="H3208" t="s">
        <v>9318</v>
      </c>
      <c r="I3208" s="4">
        <v>45443.875</v>
      </c>
      <c r="K3208" t="s">
        <v>743</v>
      </c>
      <c r="L3208" s="5"/>
      <c r="M3208" s="5" t="s">
        <v>8423</v>
      </c>
      <c r="N3208" t="s">
        <v>82</v>
      </c>
      <c r="O3208" t="s">
        <v>9319</v>
      </c>
      <c r="R3208">
        <v>1</v>
      </c>
      <c r="T3208" s="5"/>
      <c r="W3208">
        <v>270</v>
      </c>
      <c r="X3208" t="s">
        <v>8412</v>
      </c>
      <c r="Y3208" t="str">
        <f>VLOOKUP(C3208,'[1]DBS_KPY Sorumlular'!A:C,2,FALSE)</f>
        <v>Tayfun VİÇE</v>
      </c>
      <c r="Z3208" t="str">
        <f>VLOOKUP(C3208,'[1]DBS_KPY Sorumlular'!A:C,3,FALSE)</f>
        <v>Mehmet Ali YAVUZ</v>
      </c>
      <c r="AA3208" t="str">
        <f>VLOOKUP(K3208,[1]!Tablo3[#Data],2,FALSE)</f>
        <v>Kadir TOPÇU</v>
      </c>
    </row>
    <row r="3209" spans="1:27" x14ac:dyDescent="0.25">
      <c r="A3209">
        <v>4546</v>
      </c>
      <c r="B3209" t="s">
        <v>27</v>
      </c>
      <c r="C3209" t="s">
        <v>402</v>
      </c>
      <c r="D3209" t="s">
        <v>403</v>
      </c>
      <c r="G3209" t="s">
        <v>384</v>
      </c>
      <c r="H3209" t="s">
        <v>9320</v>
      </c>
      <c r="I3209" s="4">
        <v>45443.875</v>
      </c>
      <c r="K3209" t="s">
        <v>743</v>
      </c>
      <c r="L3209" s="5"/>
      <c r="M3209" s="5" t="s">
        <v>8423</v>
      </c>
      <c r="N3209" t="s">
        <v>82</v>
      </c>
      <c r="O3209" t="s">
        <v>9321</v>
      </c>
      <c r="R3209">
        <v>1</v>
      </c>
      <c r="T3209" s="5"/>
      <c r="W3209">
        <v>270</v>
      </c>
      <c r="X3209" t="s">
        <v>8412</v>
      </c>
      <c r="Y3209" t="str">
        <f>VLOOKUP(C3209,'[1]DBS_KPY Sorumlular'!A:C,2,FALSE)</f>
        <v>Tayfun VİÇE</v>
      </c>
      <c r="Z3209" t="str">
        <f>VLOOKUP(C3209,'[1]DBS_KPY Sorumlular'!A:C,3,FALSE)</f>
        <v>Mehmet Ali YAVUZ</v>
      </c>
      <c r="AA3209" t="str">
        <f>VLOOKUP(K3209,[1]!Tablo3[#Data],2,FALSE)</f>
        <v>Kadir TOPÇU</v>
      </c>
    </row>
    <row r="3210" spans="1:27" x14ac:dyDescent="0.25">
      <c r="A3210">
        <v>4547</v>
      </c>
      <c r="B3210" t="s">
        <v>27</v>
      </c>
      <c r="C3210" t="s">
        <v>402</v>
      </c>
      <c r="D3210" t="s">
        <v>403</v>
      </c>
      <c r="G3210" t="s">
        <v>384</v>
      </c>
      <c r="H3210" t="s">
        <v>9322</v>
      </c>
      <c r="I3210" s="4">
        <v>45443.875</v>
      </c>
      <c r="K3210" t="s">
        <v>743</v>
      </c>
      <c r="L3210" s="5"/>
      <c r="M3210" s="5" t="s">
        <v>8423</v>
      </c>
      <c r="N3210" t="s">
        <v>82</v>
      </c>
      <c r="O3210" t="s">
        <v>9323</v>
      </c>
      <c r="R3210">
        <v>1</v>
      </c>
      <c r="T3210" s="5"/>
      <c r="W3210">
        <v>270</v>
      </c>
      <c r="X3210" t="s">
        <v>8412</v>
      </c>
      <c r="Y3210" t="str">
        <f>VLOOKUP(C3210,'[1]DBS_KPY Sorumlular'!A:C,2,FALSE)</f>
        <v>Tayfun VİÇE</v>
      </c>
      <c r="Z3210" t="str">
        <f>VLOOKUP(C3210,'[1]DBS_KPY Sorumlular'!A:C,3,FALSE)</f>
        <v>Mehmet Ali YAVUZ</v>
      </c>
      <c r="AA3210" t="str">
        <f>VLOOKUP(K3210,[1]!Tablo3[#Data],2,FALSE)</f>
        <v>Kadir TOPÇU</v>
      </c>
    </row>
    <row r="3211" spans="1:27" x14ac:dyDescent="0.25">
      <c r="A3211">
        <v>4548</v>
      </c>
      <c r="B3211" t="s">
        <v>27</v>
      </c>
      <c r="C3211" t="s">
        <v>402</v>
      </c>
      <c r="D3211" t="s">
        <v>403</v>
      </c>
      <c r="G3211" t="s">
        <v>384</v>
      </c>
      <c r="H3211" t="s">
        <v>9324</v>
      </c>
      <c r="I3211" s="4">
        <v>45443.875</v>
      </c>
      <c r="K3211" t="s">
        <v>743</v>
      </c>
      <c r="L3211" s="5"/>
      <c r="M3211" s="5" t="s">
        <v>8423</v>
      </c>
      <c r="N3211" t="s">
        <v>82</v>
      </c>
      <c r="O3211" t="s">
        <v>9325</v>
      </c>
      <c r="R3211">
        <v>1</v>
      </c>
      <c r="T3211" s="5"/>
      <c r="W3211">
        <v>270</v>
      </c>
      <c r="X3211" t="s">
        <v>8412</v>
      </c>
      <c r="Y3211" t="str">
        <f>VLOOKUP(C3211,'[1]DBS_KPY Sorumlular'!A:C,2,FALSE)</f>
        <v>Tayfun VİÇE</v>
      </c>
      <c r="Z3211" t="str">
        <f>VLOOKUP(C3211,'[1]DBS_KPY Sorumlular'!A:C,3,FALSE)</f>
        <v>Mehmet Ali YAVUZ</v>
      </c>
      <c r="AA3211" t="str">
        <f>VLOOKUP(K3211,[1]!Tablo3[#Data],2,FALSE)</f>
        <v>Kadir TOPÇU</v>
      </c>
    </row>
    <row r="3212" spans="1:27" x14ac:dyDescent="0.25">
      <c r="A3212">
        <v>4549</v>
      </c>
      <c r="B3212" t="s">
        <v>27</v>
      </c>
      <c r="C3212" t="s">
        <v>402</v>
      </c>
      <c r="D3212" t="s">
        <v>403</v>
      </c>
      <c r="G3212" t="s">
        <v>384</v>
      </c>
      <c r="H3212" t="s">
        <v>9326</v>
      </c>
      <c r="I3212" s="4">
        <v>45443.875</v>
      </c>
      <c r="K3212" t="s">
        <v>743</v>
      </c>
      <c r="L3212" s="5"/>
      <c r="M3212" s="5" t="s">
        <v>8423</v>
      </c>
      <c r="N3212" t="s">
        <v>82</v>
      </c>
      <c r="O3212" t="s">
        <v>9327</v>
      </c>
      <c r="R3212">
        <v>1</v>
      </c>
      <c r="T3212" s="5"/>
      <c r="W3212">
        <v>270</v>
      </c>
      <c r="X3212" t="s">
        <v>8412</v>
      </c>
      <c r="Y3212" t="str">
        <f>VLOOKUP(C3212,'[1]DBS_KPY Sorumlular'!A:C,2,FALSE)</f>
        <v>Tayfun VİÇE</v>
      </c>
      <c r="Z3212" t="str">
        <f>VLOOKUP(C3212,'[1]DBS_KPY Sorumlular'!A:C,3,FALSE)</f>
        <v>Mehmet Ali YAVUZ</v>
      </c>
      <c r="AA3212" t="str">
        <f>VLOOKUP(K3212,[1]!Tablo3[#Data],2,FALSE)</f>
        <v>Kadir TOPÇU</v>
      </c>
    </row>
    <row r="3213" spans="1:27" x14ac:dyDescent="0.25">
      <c r="A3213">
        <v>4550</v>
      </c>
      <c r="B3213" t="s">
        <v>27</v>
      </c>
      <c r="C3213" t="s">
        <v>402</v>
      </c>
      <c r="D3213" t="s">
        <v>403</v>
      </c>
      <c r="G3213" t="s">
        <v>384</v>
      </c>
      <c r="H3213" t="s">
        <v>9328</v>
      </c>
      <c r="I3213" s="4">
        <v>45443.875</v>
      </c>
      <c r="K3213" t="s">
        <v>743</v>
      </c>
      <c r="L3213" s="5"/>
      <c r="M3213" s="5" t="s">
        <v>8423</v>
      </c>
      <c r="N3213" t="s">
        <v>82</v>
      </c>
      <c r="O3213" t="s">
        <v>9329</v>
      </c>
      <c r="R3213">
        <v>1</v>
      </c>
      <c r="T3213" s="5"/>
      <c r="W3213">
        <v>270</v>
      </c>
      <c r="X3213" t="s">
        <v>8412</v>
      </c>
      <c r="Y3213" t="str">
        <f>VLOOKUP(C3213,'[1]DBS_KPY Sorumlular'!A:C,2,FALSE)</f>
        <v>Tayfun VİÇE</v>
      </c>
      <c r="Z3213" t="str">
        <f>VLOOKUP(C3213,'[1]DBS_KPY Sorumlular'!A:C,3,FALSE)</f>
        <v>Mehmet Ali YAVUZ</v>
      </c>
      <c r="AA3213" t="str">
        <f>VLOOKUP(K3213,[1]!Tablo3[#Data],2,FALSE)</f>
        <v>Kadir TOPÇU</v>
      </c>
    </row>
    <row r="3214" spans="1:27" x14ac:dyDescent="0.25">
      <c r="A3214">
        <v>4551</v>
      </c>
      <c r="B3214" t="s">
        <v>27</v>
      </c>
      <c r="C3214" t="s">
        <v>402</v>
      </c>
      <c r="D3214" t="s">
        <v>403</v>
      </c>
      <c r="G3214" t="s">
        <v>384</v>
      </c>
      <c r="H3214" t="s">
        <v>9330</v>
      </c>
      <c r="I3214" s="4">
        <v>45443.875</v>
      </c>
      <c r="K3214" t="s">
        <v>1528</v>
      </c>
      <c r="L3214" s="5"/>
      <c r="M3214" s="5" t="s">
        <v>8423</v>
      </c>
      <c r="N3214" t="s">
        <v>82</v>
      </c>
      <c r="O3214" t="s">
        <v>9331</v>
      </c>
      <c r="R3214">
        <v>1</v>
      </c>
      <c r="T3214" s="5"/>
      <c r="W3214">
        <v>270</v>
      </c>
      <c r="X3214" t="s">
        <v>8412</v>
      </c>
      <c r="Y3214" t="str">
        <f>VLOOKUP(C3214,'[1]DBS_KPY Sorumlular'!A:C,2,FALSE)</f>
        <v>Tayfun VİÇE</v>
      </c>
      <c r="Z3214" t="str">
        <f>VLOOKUP(C3214,'[1]DBS_KPY Sorumlular'!A:C,3,FALSE)</f>
        <v>Mehmet Ali YAVUZ</v>
      </c>
      <c r="AA3214" t="str">
        <f>VLOOKUP(K3214,[1]!Tablo3[#Data],2,FALSE)</f>
        <v>Tayfun VİÇE</v>
      </c>
    </row>
    <row r="3215" spans="1:27" x14ac:dyDescent="0.25">
      <c r="A3215">
        <v>4552</v>
      </c>
      <c r="B3215" t="s">
        <v>27</v>
      </c>
      <c r="C3215" t="s">
        <v>402</v>
      </c>
      <c r="D3215" t="s">
        <v>403</v>
      </c>
      <c r="G3215" t="s">
        <v>384</v>
      </c>
      <c r="H3215" t="s">
        <v>9332</v>
      </c>
      <c r="I3215" s="4">
        <v>45443.875</v>
      </c>
      <c r="K3215" t="s">
        <v>1528</v>
      </c>
      <c r="L3215" s="5"/>
      <c r="M3215" s="5" t="s">
        <v>8423</v>
      </c>
      <c r="N3215" t="s">
        <v>82</v>
      </c>
      <c r="O3215" t="s">
        <v>9333</v>
      </c>
      <c r="R3215">
        <v>1</v>
      </c>
      <c r="T3215" s="5"/>
      <c r="W3215">
        <v>270</v>
      </c>
      <c r="X3215" t="s">
        <v>8412</v>
      </c>
      <c r="Y3215" t="str">
        <f>VLOOKUP(C3215,'[1]DBS_KPY Sorumlular'!A:C,2,FALSE)</f>
        <v>Tayfun VİÇE</v>
      </c>
      <c r="Z3215" t="str">
        <f>VLOOKUP(C3215,'[1]DBS_KPY Sorumlular'!A:C,3,FALSE)</f>
        <v>Mehmet Ali YAVUZ</v>
      </c>
      <c r="AA3215" t="str">
        <f>VLOOKUP(K3215,[1]!Tablo3[#Data],2,FALSE)</f>
        <v>Tayfun VİÇE</v>
      </c>
    </row>
    <row r="3216" spans="1:27" x14ac:dyDescent="0.25">
      <c r="A3216">
        <v>4553</v>
      </c>
      <c r="B3216" t="s">
        <v>27</v>
      </c>
      <c r="C3216" t="s">
        <v>402</v>
      </c>
      <c r="D3216" t="s">
        <v>403</v>
      </c>
      <c r="G3216" t="s">
        <v>384</v>
      </c>
      <c r="H3216" t="s">
        <v>9334</v>
      </c>
      <c r="I3216" s="4">
        <v>45443.875</v>
      </c>
      <c r="K3216" t="s">
        <v>914</v>
      </c>
      <c r="L3216" s="5"/>
      <c r="M3216" s="5" t="s">
        <v>8423</v>
      </c>
      <c r="N3216" t="s">
        <v>82</v>
      </c>
      <c r="O3216" t="s">
        <v>9335</v>
      </c>
      <c r="R3216">
        <v>1</v>
      </c>
      <c r="T3216" s="5"/>
      <c r="W3216">
        <v>270</v>
      </c>
      <c r="X3216" t="s">
        <v>8412</v>
      </c>
      <c r="Y3216" t="str">
        <f>VLOOKUP(C3216,'[1]DBS_KPY Sorumlular'!A:C,2,FALSE)</f>
        <v>Tayfun VİÇE</v>
      </c>
      <c r="Z3216" t="str">
        <f>VLOOKUP(C3216,'[1]DBS_KPY Sorumlular'!A:C,3,FALSE)</f>
        <v>Mehmet Ali YAVUZ</v>
      </c>
      <c r="AA3216" t="str">
        <f>VLOOKUP(K3216,[1]!Tablo3[#Data],2,FALSE)</f>
        <v>Tayfun VİÇE</v>
      </c>
    </row>
    <row r="3217" spans="1:27" x14ac:dyDescent="0.25">
      <c r="A3217">
        <v>4554</v>
      </c>
      <c r="B3217" t="s">
        <v>27</v>
      </c>
      <c r="C3217" t="s">
        <v>402</v>
      </c>
      <c r="D3217" t="s">
        <v>403</v>
      </c>
      <c r="G3217" t="s">
        <v>384</v>
      </c>
      <c r="H3217" t="s">
        <v>9336</v>
      </c>
      <c r="I3217" s="4">
        <v>45443.875</v>
      </c>
      <c r="K3217" t="s">
        <v>743</v>
      </c>
      <c r="L3217" s="5"/>
      <c r="M3217" s="5" t="s">
        <v>8423</v>
      </c>
      <c r="N3217" t="s">
        <v>82</v>
      </c>
      <c r="O3217" t="s">
        <v>9337</v>
      </c>
      <c r="R3217">
        <v>1</v>
      </c>
      <c r="T3217" s="5"/>
      <c r="W3217">
        <v>270</v>
      </c>
      <c r="X3217" t="s">
        <v>8412</v>
      </c>
      <c r="Y3217" t="str">
        <f>VLOOKUP(C3217,'[1]DBS_KPY Sorumlular'!A:C,2,FALSE)</f>
        <v>Tayfun VİÇE</v>
      </c>
      <c r="Z3217" t="str">
        <f>VLOOKUP(C3217,'[1]DBS_KPY Sorumlular'!A:C,3,FALSE)</f>
        <v>Mehmet Ali YAVUZ</v>
      </c>
      <c r="AA3217" t="str">
        <f>VLOOKUP(K3217,[1]!Tablo3[#Data],2,FALSE)</f>
        <v>Kadir TOPÇU</v>
      </c>
    </row>
    <row r="3218" spans="1:27" x14ac:dyDescent="0.25">
      <c r="A3218">
        <v>4555</v>
      </c>
      <c r="B3218" t="s">
        <v>27</v>
      </c>
      <c r="C3218" t="s">
        <v>402</v>
      </c>
      <c r="D3218" t="s">
        <v>403</v>
      </c>
      <c r="G3218" t="s">
        <v>384</v>
      </c>
      <c r="H3218" t="s">
        <v>9338</v>
      </c>
      <c r="I3218" s="4">
        <v>45443.875</v>
      </c>
      <c r="K3218" t="s">
        <v>743</v>
      </c>
      <c r="L3218" s="5"/>
      <c r="M3218" s="5" t="s">
        <v>8423</v>
      </c>
      <c r="N3218" t="s">
        <v>82</v>
      </c>
      <c r="O3218" t="s">
        <v>9339</v>
      </c>
      <c r="R3218">
        <v>1</v>
      </c>
      <c r="T3218" s="5"/>
      <c r="W3218">
        <v>270</v>
      </c>
      <c r="X3218" t="s">
        <v>8412</v>
      </c>
      <c r="Y3218" t="str">
        <f>VLOOKUP(C3218,'[1]DBS_KPY Sorumlular'!A:C,2,FALSE)</f>
        <v>Tayfun VİÇE</v>
      </c>
      <c r="Z3218" t="str">
        <f>VLOOKUP(C3218,'[1]DBS_KPY Sorumlular'!A:C,3,FALSE)</f>
        <v>Mehmet Ali YAVUZ</v>
      </c>
      <c r="AA3218" t="str">
        <f>VLOOKUP(K3218,[1]!Tablo3[#Data],2,FALSE)</f>
        <v>Kadir TOPÇU</v>
      </c>
    </row>
    <row r="3219" spans="1:27" x14ac:dyDescent="0.25">
      <c r="A3219">
        <v>4556</v>
      </c>
      <c r="B3219" t="s">
        <v>27</v>
      </c>
      <c r="C3219" t="s">
        <v>402</v>
      </c>
      <c r="D3219" t="s">
        <v>403</v>
      </c>
      <c r="G3219" t="s">
        <v>384</v>
      </c>
      <c r="H3219" t="s">
        <v>9340</v>
      </c>
      <c r="I3219" s="4">
        <v>45443.875</v>
      </c>
      <c r="K3219" t="s">
        <v>743</v>
      </c>
      <c r="L3219" s="5"/>
      <c r="M3219" s="5" t="s">
        <v>8423</v>
      </c>
      <c r="N3219" t="s">
        <v>82</v>
      </c>
      <c r="O3219" t="s">
        <v>9341</v>
      </c>
      <c r="R3219">
        <v>1</v>
      </c>
      <c r="T3219" s="5"/>
      <c r="W3219">
        <v>270</v>
      </c>
      <c r="X3219" t="s">
        <v>8412</v>
      </c>
      <c r="Y3219" t="str">
        <f>VLOOKUP(C3219,'[1]DBS_KPY Sorumlular'!A:C,2,FALSE)</f>
        <v>Tayfun VİÇE</v>
      </c>
      <c r="Z3219" t="str">
        <f>VLOOKUP(C3219,'[1]DBS_KPY Sorumlular'!A:C,3,FALSE)</f>
        <v>Mehmet Ali YAVUZ</v>
      </c>
      <c r="AA3219" t="str">
        <f>VLOOKUP(K3219,[1]!Tablo3[#Data],2,FALSE)</f>
        <v>Kadir TOPÇU</v>
      </c>
    </row>
    <row r="3220" spans="1:27" x14ac:dyDescent="0.25">
      <c r="A3220">
        <v>4557</v>
      </c>
      <c r="B3220" t="s">
        <v>27</v>
      </c>
      <c r="C3220" t="s">
        <v>402</v>
      </c>
      <c r="D3220" t="s">
        <v>403</v>
      </c>
      <c r="G3220" t="s">
        <v>384</v>
      </c>
      <c r="H3220" t="s">
        <v>9342</v>
      </c>
      <c r="I3220" s="4">
        <v>45443.875</v>
      </c>
      <c r="K3220" t="s">
        <v>743</v>
      </c>
      <c r="L3220" s="5"/>
      <c r="M3220" s="5" t="s">
        <v>8423</v>
      </c>
      <c r="N3220" t="s">
        <v>82</v>
      </c>
      <c r="O3220" t="s">
        <v>9343</v>
      </c>
      <c r="R3220">
        <v>1</v>
      </c>
      <c r="T3220" s="5"/>
      <c r="W3220">
        <v>270</v>
      </c>
      <c r="X3220" t="s">
        <v>8412</v>
      </c>
      <c r="Y3220" t="str">
        <f>VLOOKUP(C3220,'[1]DBS_KPY Sorumlular'!A:C,2,FALSE)</f>
        <v>Tayfun VİÇE</v>
      </c>
      <c r="Z3220" t="str">
        <f>VLOOKUP(C3220,'[1]DBS_KPY Sorumlular'!A:C,3,FALSE)</f>
        <v>Mehmet Ali YAVUZ</v>
      </c>
      <c r="AA3220" t="str">
        <f>VLOOKUP(K3220,[1]!Tablo3[#Data],2,FALSE)</f>
        <v>Kadir TOPÇU</v>
      </c>
    </row>
    <row r="3221" spans="1:27" x14ac:dyDescent="0.25">
      <c r="A3221">
        <v>4558</v>
      </c>
      <c r="B3221" t="s">
        <v>27</v>
      </c>
      <c r="C3221" t="s">
        <v>402</v>
      </c>
      <c r="D3221" t="s">
        <v>403</v>
      </c>
      <c r="G3221" t="s">
        <v>384</v>
      </c>
      <c r="H3221" t="s">
        <v>9344</v>
      </c>
      <c r="I3221" s="4">
        <v>45443.875</v>
      </c>
      <c r="K3221" t="s">
        <v>743</v>
      </c>
      <c r="L3221" s="5"/>
      <c r="M3221" s="5" t="s">
        <v>8423</v>
      </c>
      <c r="N3221" t="s">
        <v>82</v>
      </c>
      <c r="O3221" t="s">
        <v>9345</v>
      </c>
      <c r="R3221">
        <v>1</v>
      </c>
      <c r="T3221" s="5"/>
      <c r="W3221">
        <v>270</v>
      </c>
      <c r="X3221" t="s">
        <v>8412</v>
      </c>
      <c r="Y3221" t="str">
        <f>VLOOKUP(C3221,'[1]DBS_KPY Sorumlular'!A:C,2,FALSE)</f>
        <v>Tayfun VİÇE</v>
      </c>
      <c r="Z3221" t="str">
        <f>VLOOKUP(C3221,'[1]DBS_KPY Sorumlular'!A:C,3,FALSE)</f>
        <v>Mehmet Ali YAVUZ</v>
      </c>
      <c r="AA3221" t="str">
        <f>VLOOKUP(K3221,[1]!Tablo3[#Data],2,FALSE)</f>
        <v>Kadir TOPÇU</v>
      </c>
    </row>
    <row r="3222" spans="1:27" x14ac:dyDescent="0.25">
      <c r="A3222">
        <v>4559</v>
      </c>
      <c r="B3222" t="s">
        <v>27</v>
      </c>
      <c r="C3222" t="s">
        <v>402</v>
      </c>
      <c r="D3222" t="s">
        <v>403</v>
      </c>
      <c r="G3222" t="s">
        <v>384</v>
      </c>
      <c r="H3222" t="s">
        <v>9346</v>
      </c>
      <c r="I3222" s="4">
        <v>45443.875</v>
      </c>
      <c r="K3222" t="s">
        <v>743</v>
      </c>
      <c r="L3222" s="5"/>
      <c r="M3222" s="5" t="s">
        <v>8423</v>
      </c>
      <c r="N3222" t="s">
        <v>82</v>
      </c>
      <c r="O3222" t="s">
        <v>9347</v>
      </c>
      <c r="R3222">
        <v>1</v>
      </c>
      <c r="T3222" s="5"/>
      <c r="W3222">
        <v>270</v>
      </c>
      <c r="X3222" t="s">
        <v>8412</v>
      </c>
      <c r="Y3222" t="str">
        <f>VLOOKUP(C3222,'[1]DBS_KPY Sorumlular'!A:C,2,FALSE)</f>
        <v>Tayfun VİÇE</v>
      </c>
      <c r="Z3222" t="str">
        <f>VLOOKUP(C3222,'[1]DBS_KPY Sorumlular'!A:C,3,FALSE)</f>
        <v>Mehmet Ali YAVUZ</v>
      </c>
      <c r="AA3222" t="str">
        <f>VLOOKUP(K3222,[1]!Tablo3[#Data],2,FALSE)</f>
        <v>Kadir TOPÇU</v>
      </c>
    </row>
    <row r="3223" spans="1:27" x14ac:dyDescent="0.25">
      <c r="A3223">
        <v>4560</v>
      </c>
      <c r="B3223" t="s">
        <v>27</v>
      </c>
      <c r="C3223" t="s">
        <v>402</v>
      </c>
      <c r="D3223" t="s">
        <v>403</v>
      </c>
      <c r="G3223" t="s">
        <v>384</v>
      </c>
      <c r="H3223" t="s">
        <v>9348</v>
      </c>
      <c r="I3223" s="4">
        <v>45443.875</v>
      </c>
      <c r="K3223" t="s">
        <v>743</v>
      </c>
      <c r="L3223" s="5"/>
      <c r="M3223" s="5" t="s">
        <v>8423</v>
      </c>
      <c r="N3223" t="s">
        <v>82</v>
      </c>
      <c r="O3223" t="s">
        <v>9349</v>
      </c>
      <c r="R3223">
        <v>1</v>
      </c>
      <c r="T3223" s="5"/>
      <c r="W3223">
        <v>270</v>
      </c>
      <c r="X3223" t="s">
        <v>8412</v>
      </c>
      <c r="Y3223" t="str">
        <f>VLOOKUP(C3223,'[1]DBS_KPY Sorumlular'!A:C,2,FALSE)</f>
        <v>Tayfun VİÇE</v>
      </c>
      <c r="Z3223" t="str">
        <f>VLOOKUP(C3223,'[1]DBS_KPY Sorumlular'!A:C,3,FALSE)</f>
        <v>Mehmet Ali YAVUZ</v>
      </c>
      <c r="AA3223" t="str">
        <f>VLOOKUP(K3223,[1]!Tablo3[#Data],2,FALSE)</f>
        <v>Kadir TOPÇU</v>
      </c>
    </row>
    <row r="3224" spans="1:27" x14ac:dyDescent="0.25">
      <c r="A3224">
        <v>4561</v>
      </c>
      <c r="B3224" t="s">
        <v>27</v>
      </c>
      <c r="C3224" t="s">
        <v>402</v>
      </c>
      <c r="D3224" t="s">
        <v>403</v>
      </c>
      <c r="G3224" t="s">
        <v>384</v>
      </c>
      <c r="H3224" t="s">
        <v>9350</v>
      </c>
      <c r="I3224" s="4">
        <v>45443.875</v>
      </c>
      <c r="K3224" t="s">
        <v>743</v>
      </c>
      <c r="L3224" s="5"/>
      <c r="M3224" s="5" t="s">
        <v>8423</v>
      </c>
      <c r="N3224" t="s">
        <v>82</v>
      </c>
      <c r="O3224" t="s">
        <v>9351</v>
      </c>
      <c r="R3224">
        <v>1</v>
      </c>
      <c r="T3224" s="5"/>
      <c r="W3224">
        <v>270</v>
      </c>
      <c r="X3224" t="s">
        <v>8412</v>
      </c>
      <c r="Y3224" t="str">
        <f>VLOOKUP(C3224,'[1]DBS_KPY Sorumlular'!A:C,2,FALSE)</f>
        <v>Tayfun VİÇE</v>
      </c>
      <c r="Z3224" t="str">
        <f>VLOOKUP(C3224,'[1]DBS_KPY Sorumlular'!A:C,3,FALSE)</f>
        <v>Mehmet Ali YAVUZ</v>
      </c>
      <c r="AA3224" t="str">
        <f>VLOOKUP(K3224,[1]!Tablo3[#Data],2,FALSE)</f>
        <v>Kadir TOPÇU</v>
      </c>
    </row>
    <row r="3225" spans="1:27" x14ac:dyDescent="0.25">
      <c r="A3225">
        <v>4562</v>
      </c>
      <c r="B3225" t="s">
        <v>27</v>
      </c>
      <c r="C3225" t="s">
        <v>402</v>
      </c>
      <c r="D3225" t="s">
        <v>403</v>
      </c>
      <c r="G3225" t="s">
        <v>384</v>
      </c>
      <c r="H3225" t="s">
        <v>9352</v>
      </c>
      <c r="I3225" s="4">
        <v>45443.875</v>
      </c>
      <c r="K3225" t="s">
        <v>743</v>
      </c>
      <c r="L3225" s="5"/>
      <c r="M3225" s="5" t="s">
        <v>8423</v>
      </c>
      <c r="N3225" t="s">
        <v>82</v>
      </c>
      <c r="O3225" t="s">
        <v>9353</v>
      </c>
      <c r="R3225">
        <v>1</v>
      </c>
      <c r="T3225" s="5"/>
      <c r="W3225">
        <v>270</v>
      </c>
      <c r="X3225" t="s">
        <v>8412</v>
      </c>
      <c r="Y3225" t="str">
        <f>VLOOKUP(C3225,'[1]DBS_KPY Sorumlular'!A:C,2,FALSE)</f>
        <v>Tayfun VİÇE</v>
      </c>
      <c r="Z3225" t="str">
        <f>VLOOKUP(C3225,'[1]DBS_KPY Sorumlular'!A:C,3,FALSE)</f>
        <v>Mehmet Ali YAVUZ</v>
      </c>
      <c r="AA3225" t="str">
        <f>VLOOKUP(K3225,[1]!Tablo3[#Data],2,FALSE)</f>
        <v>Kadir TOPÇU</v>
      </c>
    </row>
    <row r="3226" spans="1:27" x14ac:dyDescent="0.25">
      <c r="A3226">
        <v>4563</v>
      </c>
      <c r="B3226" t="s">
        <v>27</v>
      </c>
      <c r="C3226" t="s">
        <v>402</v>
      </c>
      <c r="D3226" t="s">
        <v>403</v>
      </c>
      <c r="G3226" t="s">
        <v>384</v>
      </c>
      <c r="H3226" t="s">
        <v>9354</v>
      </c>
      <c r="I3226" s="4">
        <v>45443.875</v>
      </c>
      <c r="K3226" t="s">
        <v>743</v>
      </c>
      <c r="L3226" s="5"/>
      <c r="M3226" s="5" t="s">
        <v>8423</v>
      </c>
      <c r="N3226" t="s">
        <v>82</v>
      </c>
      <c r="O3226" t="s">
        <v>9355</v>
      </c>
      <c r="R3226">
        <v>1</v>
      </c>
      <c r="T3226" s="5"/>
      <c r="W3226">
        <v>270</v>
      </c>
      <c r="X3226" t="s">
        <v>8412</v>
      </c>
      <c r="Y3226" t="str">
        <f>VLOOKUP(C3226,'[1]DBS_KPY Sorumlular'!A:C,2,FALSE)</f>
        <v>Tayfun VİÇE</v>
      </c>
      <c r="Z3226" t="str">
        <f>VLOOKUP(C3226,'[1]DBS_KPY Sorumlular'!A:C,3,FALSE)</f>
        <v>Mehmet Ali YAVUZ</v>
      </c>
      <c r="AA3226" t="str">
        <f>VLOOKUP(K3226,[1]!Tablo3[#Data],2,FALSE)</f>
        <v>Kadir TOPÇU</v>
      </c>
    </row>
    <row r="3227" spans="1:27" x14ac:dyDescent="0.25">
      <c r="A3227">
        <v>4564</v>
      </c>
      <c r="B3227" t="s">
        <v>27</v>
      </c>
      <c r="C3227" t="s">
        <v>402</v>
      </c>
      <c r="D3227" t="s">
        <v>403</v>
      </c>
      <c r="G3227" t="s">
        <v>384</v>
      </c>
      <c r="H3227" t="s">
        <v>9356</v>
      </c>
      <c r="I3227" s="4">
        <v>45443.875</v>
      </c>
      <c r="K3227" t="s">
        <v>1528</v>
      </c>
      <c r="L3227" s="5"/>
      <c r="M3227" s="5" t="s">
        <v>8423</v>
      </c>
      <c r="N3227" t="s">
        <v>82</v>
      </c>
      <c r="O3227" t="s">
        <v>9357</v>
      </c>
      <c r="R3227">
        <v>1</v>
      </c>
      <c r="T3227" s="5"/>
      <c r="W3227">
        <v>270</v>
      </c>
      <c r="X3227" t="s">
        <v>8412</v>
      </c>
      <c r="Y3227" t="str">
        <f>VLOOKUP(C3227,'[1]DBS_KPY Sorumlular'!A:C,2,FALSE)</f>
        <v>Tayfun VİÇE</v>
      </c>
      <c r="Z3227" t="str">
        <f>VLOOKUP(C3227,'[1]DBS_KPY Sorumlular'!A:C,3,FALSE)</f>
        <v>Mehmet Ali YAVUZ</v>
      </c>
      <c r="AA3227" t="str">
        <f>VLOOKUP(K3227,[1]!Tablo3[#Data],2,FALSE)</f>
        <v>Tayfun VİÇE</v>
      </c>
    </row>
    <row r="3228" spans="1:27" x14ac:dyDescent="0.25">
      <c r="A3228">
        <v>4565</v>
      </c>
      <c r="B3228" t="s">
        <v>27</v>
      </c>
      <c r="C3228" t="s">
        <v>402</v>
      </c>
      <c r="D3228" t="s">
        <v>403</v>
      </c>
      <c r="G3228" t="s">
        <v>384</v>
      </c>
      <c r="H3228" t="s">
        <v>9358</v>
      </c>
      <c r="I3228" s="4">
        <v>45443.875</v>
      </c>
      <c r="K3228" t="s">
        <v>1528</v>
      </c>
      <c r="L3228" s="5"/>
      <c r="M3228" s="5" t="s">
        <v>8423</v>
      </c>
      <c r="N3228" t="s">
        <v>82</v>
      </c>
      <c r="O3228" t="s">
        <v>9359</v>
      </c>
      <c r="R3228">
        <v>1</v>
      </c>
      <c r="T3228" s="5"/>
      <c r="W3228">
        <v>270</v>
      </c>
      <c r="X3228" t="s">
        <v>8412</v>
      </c>
      <c r="Y3228" t="str">
        <f>VLOOKUP(C3228,'[1]DBS_KPY Sorumlular'!A:C,2,FALSE)</f>
        <v>Tayfun VİÇE</v>
      </c>
      <c r="Z3228" t="str">
        <f>VLOOKUP(C3228,'[1]DBS_KPY Sorumlular'!A:C,3,FALSE)</f>
        <v>Mehmet Ali YAVUZ</v>
      </c>
      <c r="AA3228" t="str">
        <f>VLOOKUP(K3228,[1]!Tablo3[#Data],2,FALSE)</f>
        <v>Tayfun VİÇE</v>
      </c>
    </row>
    <row r="3229" spans="1:27" x14ac:dyDescent="0.25">
      <c r="A3229">
        <v>4566</v>
      </c>
      <c r="B3229" t="s">
        <v>27</v>
      </c>
      <c r="C3229" t="s">
        <v>402</v>
      </c>
      <c r="D3229" t="s">
        <v>403</v>
      </c>
      <c r="G3229" t="s">
        <v>384</v>
      </c>
      <c r="H3229" t="s">
        <v>9360</v>
      </c>
      <c r="I3229" s="4">
        <v>45443.875</v>
      </c>
      <c r="K3229" t="s">
        <v>1528</v>
      </c>
      <c r="L3229" s="5"/>
      <c r="M3229" s="5" t="s">
        <v>8423</v>
      </c>
      <c r="N3229" t="s">
        <v>82</v>
      </c>
      <c r="O3229" t="s">
        <v>9361</v>
      </c>
      <c r="R3229">
        <v>1</v>
      </c>
      <c r="T3229" s="5"/>
      <c r="W3229">
        <v>270</v>
      </c>
      <c r="X3229" t="s">
        <v>8412</v>
      </c>
      <c r="Y3229" t="str">
        <f>VLOOKUP(C3229,'[1]DBS_KPY Sorumlular'!A:C,2,FALSE)</f>
        <v>Tayfun VİÇE</v>
      </c>
      <c r="Z3229" t="str">
        <f>VLOOKUP(C3229,'[1]DBS_KPY Sorumlular'!A:C,3,FALSE)</f>
        <v>Mehmet Ali YAVUZ</v>
      </c>
      <c r="AA3229" t="str">
        <f>VLOOKUP(K3229,[1]!Tablo3[#Data],2,FALSE)</f>
        <v>Tayfun VİÇE</v>
      </c>
    </row>
    <row r="3230" spans="1:27" x14ac:dyDescent="0.25">
      <c r="A3230">
        <v>4567</v>
      </c>
      <c r="B3230" t="s">
        <v>27</v>
      </c>
      <c r="C3230" t="s">
        <v>402</v>
      </c>
      <c r="D3230" t="s">
        <v>403</v>
      </c>
      <c r="G3230" t="s">
        <v>384</v>
      </c>
      <c r="H3230" t="s">
        <v>9362</v>
      </c>
      <c r="I3230" s="4">
        <v>45443.875</v>
      </c>
      <c r="K3230" t="s">
        <v>743</v>
      </c>
      <c r="L3230" s="5"/>
      <c r="M3230" s="5" t="s">
        <v>8423</v>
      </c>
      <c r="N3230" t="s">
        <v>82</v>
      </c>
      <c r="O3230" t="s">
        <v>9363</v>
      </c>
      <c r="R3230">
        <v>1</v>
      </c>
      <c r="T3230" s="5"/>
      <c r="W3230">
        <v>270</v>
      </c>
      <c r="X3230" t="s">
        <v>8412</v>
      </c>
      <c r="Y3230" t="str">
        <f>VLOOKUP(C3230,'[1]DBS_KPY Sorumlular'!A:C,2,FALSE)</f>
        <v>Tayfun VİÇE</v>
      </c>
      <c r="Z3230" t="str">
        <f>VLOOKUP(C3230,'[1]DBS_KPY Sorumlular'!A:C,3,FALSE)</f>
        <v>Mehmet Ali YAVUZ</v>
      </c>
      <c r="AA3230" t="str">
        <f>VLOOKUP(K3230,[1]!Tablo3[#Data],2,FALSE)</f>
        <v>Kadir TOPÇU</v>
      </c>
    </row>
    <row r="3231" spans="1:27" x14ac:dyDescent="0.25">
      <c r="A3231">
        <v>4568</v>
      </c>
      <c r="B3231" t="s">
        <v>27</v>
      </c>
      <c r="C3231" t="s">
        <v>402</v>
      </c>
      <c r="D3231" t="s">
        <v>403</v>
      </c>
      <c r="G3231" t="s">
        <v>384</v>
      </c>
      <c r="H3231" t="s">
        <v>9364</v>
      </c>
      <c r="I3231" s="4">
        <v>45443.875</v>
      </c>
      <c r="K3231" t="s">
        <v>743</v>
      </c>
      <c r="L3231" s="5"/>
      <c r="M3231" s="5" t="s">
        <v>8423</v>
      </c>
      <c r="N3231" t="s">
        <v>82</v>
      </c>
      <c r="O3231" t="s">
        <v>9365</v>
      </c>
      <c r="R3231">
        <v>1</v>
      </c>
      <c r="T3231" s="5"/>
      <c r="W3231">
        <v>270</v>
      </c>
      <c r="X3231" t="s">
        <v>8412</v>
      </c>
      <c r="Y3231" t="str">
        <f>VLOOKUP(C3231,'[1]DBS_KPY Sorumlular'!A:C,2,FALSE)</f>
        <v>Tayfun VİÇE</v>
      </c>
      <c r="Z3231" t="str">
        <f>VLOOKUP(C3231,'[1]DBS_KPY Sorumlular'!A:C,3,FALSE)</f>
        <v>Mehmet Ali YAVUZ</v>
      </c>
      <c r="AA3231" t="str">
        <f>VLOOKUP(K3231,[1]!Tablo3[#Data],2,FALSE)</f>
        <v>Kadir TOPÇU</v>
      </c>
    </row>
    <row r="3232" spans="1:27" x14ac:dyDescent="0.25">
      <c r="A3232">
        <v>4569</v>
      </c>
      <c r="B3232" t="s">
        <v>27</v>
      </c>
      <c r="C3232" t="s">
        <v>402</v>
      </c>
      <c r="D3232" t="s">
        <v>403</v>
      </c>
      <c r="G3232" t="s">
        <v>384</v>
      </c>
      <c r="H3232" t="s">
        <v>9366</v>
      </c>
      <c r="I3232" s="4">
        <v>45443.875</v>
      </c>
      <c r="K3232" t="s">
        <v>743</v>
      </c>
      <c r="L3232" s="5"/>
      <c r="M3232" s="5" t="s">
        <v>8423</v>
      </c>
      <c r="N3232" t="s">
        <v>82</v>
      </c>
      <c r="O3232" t="s">
        <v>9367</v>
      </c>
      <c r="R3232">
        <v>1</v>
      </c>
      <c r="T3232" s="5"/>
      <c r="W3232">
        <v>270</v>
      </c>
      <c r="X3232" t="s">
        <v>8412</v>
      </c>
      <c r="Y3232" t="str">
        <f>VLOOKUP(C3232,'[1]DBS_KPY Sorumlular'!A:C,2,FALSE)</f>
        <v>Tayfun VİÇE</v>
      </c>
      <c r="Z3232" t="str">
        <f>VLOOKUP(C3232,'[1]DBS_KPY Sorumlular'!A:C,3,FALSE)</f>
        <v>Mehmet Ali YAVUZ</v>
      </c>
      <c r="AA3232" t="str">
        <f>VLOOKUP(K3232,[1]!Tablo3[#Data],2,FALSE)</f>
        <v>Kadir TOPÇU</v>
      </c>
    </row>
    <row r="3233" spans="1:27" x14ac:dyDescent="0.25">
      <c r="A3233">
        <v>4570</v>
      </c>
      <c r="B3233" t="s">
        <v>27</v>
      </c>
      <c r="C3233" t="s">
        <v>402</v>
      </c>
      <c r="D3233" t="s">
        <v>403</v>
      </c>
      <c r="G3233" t="s">
        <v>384</v>
      </c>
      <c r="H3233" t="s">
        <v>9368</v>
      </c>
      <c r="I3233" s="4">
        <v>45443.875</v>
      </c>
      <c r="K3233" t="s">
        <v>743</v>
      </c>
      <c r="L3233" s="5"/>
      <c r="M3233" s="5" t="s">
        <v>8423</v>
      </c>
      <c r="N3233" t="s">
        <v>82</v>
      </c>
      <c r="O3233" t="s">
        <v>9369</v>
      </c>
      <c r="R3233">
        <v>1</v>
      </c>
      <c r="T3233" s="5"/>
      <c r="W3233">
        <v>270</v>
      </c>
      <c r="X3233" t="s">
        <v>8412</v>
      </c>
      <c r="Y3233" t="str">
        <f>VLOOKUP(C3233,'[1]DBS_KPY Sorumlular'!A:C,2,FALSE)</f>
        <v>Tayfun VİÇE</v>
      </c>
      <c r="Z3233" t="str">
        <f>VLOOKUP(C3233,'[1]DBS_KPY Sorumlular'!A:C,3,FALSE)</f>
        <v>Mehmet Ali YAVUZ</v>
      </c>
      <c r="AA3233" t="str">
        <f>VLOOKUP(K3233,[1]!Tablo3[#Data],2,FALSE)</f>
        <v>Kadir TOPÇU</v>
      </c>
    </row>
    <row r="3234" spans="1:27" x14ac:dyDescent="0.25">
      <c r="A3234">
        <v>4571</v>
      </c>
      <c r="B3234" t="s">
        <v>27</v>
      </c>
      <c r="C3234" t="s">
        <v>402</v>
      </c>
      <c r="D3234" t="s">
        <v>403</v>
      </c>
      <c r="G3234" t="s">
        <v>384</v>
      </c>
      <c r="H3234" t="s">
        <v>9370</v>
      </c>
      <c r="I3234" s="4">
        <v>45443.875</v>
      </c>
      <c r="K3234" t="s">
        <v>743</v>
      </c>
      <c r="L3234" s="5"/>
      <c r="M3234" s="5" t="s">
        <v>8423</v>
      </c>
      <c r="N3234" t="s">
        <v>82</v>
      </c>
      <c r="O3234" t="s">
        <v>9371</v>
      </c>
      <c r="R3234">
        <v>1</v>
      </c>
      <c r="T3234" s="5"/>
      <c r="W3234">
        <v>270</v>
      </c>
      <c r="X3234" t="s">
        <v>8412</v>
      </c>
      <c r="Y3234" t="str">
        <f>VLOOKUP(C3234,'[1]DBS_KPY Sorumlular'!A:C,2,FALSE)</f>
        <v>Tayfun VİÇE</v>
      </c>
      <c r="Z3234" t="str">
        <f>VLOOKUP(C3234,'[1]DBS_KPY Sorumlular'!A:C,3,FALSE)</f>
        <v>Mehmet Ali YAVUZ</v>
      </c>
      <c r="AA3234" t="str">
        <f>VLOOKUP(K3234,[1]!Tablo3[#Data],2,FALSE)</f>
        <v>Kadir TOPÇU</v>
      </c>
    </row>
    <row r="3235" spans="1:27" x14ac:dyDescent="0.25">
      <c r="A3235">
        <v>4572</v>
      </c>
      <c r="B3235" t="s">
        <v>27</v>
      </c>
      <c r="C3235" t="s">
        <v>402</v>
      </c>
      <c r="D3235" t="s">
        <v>403</v>
      </c>
      <c r="G3235" t="s">
        <v>384</v>
      </c>
      <c r="H3235" t="s">
        <v>9372</v>
      </c>
      <c r="I3235" s="4">
        <v>45443.875</v>
      </c>
      <c r="K3235" t="s">
        <v>1528</v>
      </c>
      <c r="L3235" s="5"/>
      <c r="M3235" s="5" t="s">
        <v>8423</v>
      </c>
      <c r="N3235" t="s">
        <v>82</v>
      </c>
      <c r="O3235" t="s">
        <v>9373</v>
      </c>
      <c r="R3235">
        <v>1</v>
      </c>
      <c r="T3235" s="5"/>
      <c r="W3235">
        <v>270</v>
      </c>
      <c r="X3235" t="s">
        <v>8412</v>
      </c>
      <c r="Y3235" t="str">
        <f>VLOOKUP(C3235,'[1]DBS_KPY Sorumlular'!A:C,2,FALSE)</f>
        <v>Tayfun VİÇE</v>
      </c>
      <c r="Z3235" t="str">
        <f>VLOOKUP(C3235,'[1]DBS_KPY Sorumlular'!A:C,3,FALSE)</f>
        <v>Mehmet Ali YAVUZ</v>
      </c>
      <c r="AA3235" t="str">
        <f>VLOOKUP(K3235,[1]!Tablo3[#Data],2,FALSE)</f>
        <v>Tayfun VİÇE</v>
      </c>
    </row>
    <row r="3236" spans="1:27" x14ac:dyDescent="0.25">
      <c r="A3236">
        <v>4574</v>
      </c>
      <c r="B3236" t="s">
        <v>27</v>
      </c>
      <c r="C3236" t="s">
        <v>402</v>
      </c>
      <c r="D3236" t="s">
        <v>403</v>
      </c>
      <c r="G3236" t="s">
        <v>384</v>
      </c>
      <c r="H3236" t="s">
        <v>9374</v>
      </c>
      <c r="I3236" s="4">
        <v>45443.875</v>
      </c>
      <c r="K3236" t="s">
        <v>743</v>
      </c>
      <c r="L3236" s="5"/>
      <c r="M3236" s="5" t="s">
        <v>8423</v>
      </c>
      <c r="N3236" t="s">
        <v>82</v>
      </c>
      <c r="O3236" t="s">
        <v>9375</v>
      </c>
      <c r="R3236">
        <v>1</v>
      </c>
      <c r="T3236" s="5"/>
      <c r="W3236">
        <v>270</v>
      </c>
      <c r="X3236" t="s">
        <v>8412</v>
      </c>
      <c r="Y3236" t="str">
        <f>VLOOKUP(C3236,'[1]DBS_KPY Sorumlular'!A:C,2,FALSE)</f>
        <v>Tayfun VİÇE</v>
      </c>
      <c r="Z3236" t="str">
        <f>VLOOKUP(C3236,'[1]DBS_KPY Sorumlular'!A:C,3,FALSE)</f>
        <v>Mehmet Ali YAVUZ</v>
      </c>
      <c r="AA3236" t="str">
        <f>VLOOKUP(K3236,[1]!Tablo3[#Data],2,FALSE)</f>
        <v>Kadir TOPÇU</v>
      </c>
    </row>
    <row r="3237" spans="1:27" x14ac:dyDescent="0.25">
      <c r="A3237">
        <v>4575</v>
      </c>
      <c r="B3237" t="s">
        <v>27</v>
      </c>
      <c r="C3237" t="s">
        <v>402</v>
      </c>
      <c r="D3237" t="s">
        <v>403</v>
      </c>
      <c r="G3237" t="s">
        <v>384</v>
      </c>
      <c r="H3237" t="s">
        <v>9376</v>
      </c>
      <c r="I3237" s="4">
        <v>45443.875</v>
      </c>
      <c r="K3237" t="s">
        <v>743</v>
      </c>
      <c r="L3237" s="5"/>
      <c r="M3237" s="5" t="s">
        <v>8423</v>
      </c>
      <c r="N3237" t="s">
        <v>82</v>
      </c>
      <c r="O3237" t="s">
        <v>9377</v>
      </c>
      <c r="R3237">
        <v>1</v>
      </c>
      <c r="T3237" s="5"/>
      <c r="W3237">
        <v>270</v>
      </c>
      <c r="X3237" t="s">
        <v>8412</v>
      </c>
      <c r="Y3237" t="str">
        <f>VLOOKUP(C3237,'[1]DBS_KPY Sorumlular'!A:C,2,FALSE)</f>
        <v>Tayfun VİÇE</v>
      </c>
      <c r="Z3237" t="str">
        <f>VLOOKUP(C3237,'[1]DBS_KPY Sorumlular'!A:C,3,FALSE)</f>
        <v>Mehmet Ali YAVUZ</v>
      </c>
      <c r="AA3237" t="str">
        <f>VLOOKUP(K3237,[1]!Tablo3[#Data],2,FALSE)</f>
        <v>Kadir TOPÇU</v>
      </c>
    </row>
    <row r="3238" spans="1:27" x14ac:dyDescent="0.25">
      <c r="A3238">
        <v>4576</v>
      </c>
      <c r="B3238" t="s">
        <v>27</v>
      </c>
      <c r="C3238" t="s">
        <v>402</v>
      </c>
      <c r="D3238" t="s">
        <v>403</v>
      </c>
      <c r="G3238" t="s">
        <v>384</v>
      </c>
      <c r="H3238" t="s">
        <v>9378</v>
      </c>
      <c r="I3238" s="4">
        <v>45443.875</v>
      </c>
      <c r="K3238" t="s">
        <v>743</v>
      </c>
      <c r="L3238" s="5"/>
      <c r="M3238" s="5" t="s">
        <v>8423</v>
      </c>
      <c r="N3238" t="s">
        <v>82</v>
      </c>
      <c r="O3238" t="s">
        <v>9379</v>
      </c>
      <c r="R3238">
        <v>1</v>
      </c>
      <c r="T3238" s="5"/>
      <c r="W3238">
        <v>270</v>
      </c>
      <c r="X3238" t="s">
        <v>8412</v>
      </c>
      <c r="Y3238" t="str">
        <f>VLOOKUP(C3238,'[1]DBS_KPY Sorumlular'!A:C,2,FALSE)</f>
        <v>Tayfun VİÇE</v>
      </c>
      <c r="Z3238" t="str">
        <f>VLOOKUP(C3238,'[1]DBS_KPY Sorumlular'!A:C,3,FALSE)</f>
        <v>Mehmet Ali YAVUZ</v>
      </c>
      <c r="AA3238" t="str">
        <f>VLOOKUP(K3238,[1]!Tablo3[#Data],2,FALSE)</f>
        <v>Kadir TOPÇU</v>
      </c>
    </row>
    <row r="3239" spans="1:27" x14ac:dyDescent="0.25">
      <c r="A3239">
        <v>4577</v>
      </c>
      <c r="B3239" t="s">
        <v>27</v>
      </c>
      <c r="C3239" t="s">
        <v>402</v>
      </c>
      <c r="D3239" t="s">
        <v>403</v>
      </c>
      <c r="G3239" t="s">
        <v>384</v>
      </c>
      <c r="H3239" t="s">
        <v>9380</v>
      </c>
      <c r="I3239" s="4">
        <v>45443.875</v>
      </c>
      <c r="K3239" t="s">
        <v>743</v>
      </c>
      <c r="L3239" s="5"/>
      <c r="M3239" s="5" t="s">
        <v>8423</v>
      </c>
      <c r="N3239" t="s">
        <v>82</v>
      </c>
      <c r="O3239" t="s">
        <v>9379</v>
      </c>
      <c r="R3239">
        <v>1</v>
      </c>
      <c r="T3239" s="5"/>
      <c r="W3239">
        <v>270</v>
      </c>
      <c r="X3239" t="s">
        <v>8412</v>
      </c>
      <c r="Y3239" t="str">
        <f>VLOOKUP(C3239,'[1]DBS_KPY Sorumlular'!A:C,2,FALSE)</f>
        <v>Tayfun VİÇE</v>
      </c>
      <c r="Z3239" t="str">
        <f>VLOOKUP(C3239,'[1]DBS_KPY Sorumlular'!A:C,3,FALSE)</f>
        <v>Mehmet Ali YAVUZ</v>
      </c>
      <c r="AA3239" t="str">
        <f>VLOOKUP(K3239,[1]!Tablo3[#Data],2,FALSE)</f>
        <v>Kadir TOPÇU</v>
      </c>
    </row>
    <row r="3240" spans="1:27" x14ac:dyDescent="0.25">
      <c r="A3240">
        <v>4578</v>
      </c>
      <c r="B3240" t="s">
        <v>27</v>
      </c>
      <c r="C3240" t="s">
        <v>402</v>
      </c>
      <c r="D3240" t="s">
        <v>403</v>
      </c>
      <c r="G3240" t="s">
        <v>384</v>
      </c>
      <c r="H3240" t="s">
        <v>9381</v>
      </c>
      <c r="I3240" s="4">
        <v>45443.875</v>
      </c>
      <c r="K3240" t="s">
        <v>743</v>
      </c>
      <c r="L3240" s="5"/>
      <c r="M3240" s="5" t="s">
        <v>8423</v>
      </c>
      <c r="N3240" t="s">
        <v>82</v>
      </c>
      <c r="O3240" t="s">
        <v>9382</v>
      </c>
      <c r="R3240">
        <v>1</v>
      </c>
      <c r="T3240" s="5"/>
      <c r="W3240">
        <v>270</v>
      </c>
      <c r="X3240" t="s">
        <v>8412</v>
      </c>
      <c r="Y3240" t="str">
        <f>VLOOKUP(C3240,'[1]DBS_KPY Sorumlular'!A:C,2,FALSE)</f>
        <v>Tayfun VİÇE</v>
      </c>
      <c r="Z3240" t="str">
        <f>VLOOKUP(C3240,'[1]DBS_KPY Sorumlular'!A:C,3,FALSE)</f>
        <v>Mehmet Ali YAVUZ</v>
      </c>
      <c r="AA3240" t="str">
        <f>VLOOKUP(K3240,[1]!Tablo3[#Data],2,FALSE)</f>
        <v>Kadir TOPÇU</v>
      </c>
    </row>
    <row r="3241" spans="1:27" x14ac:dyDescent="0.25">
      <c r="A3241">
        <v>4579</v>
      </c>
      <c r="B3241" t="s">
        <v>27</v>
      </c>
      <c r="C3241" t="s">
        <v>402</v>
      </c>
      <c r="D3241" t="s">
        <v>403</v>
      </c>
      <c r="G3241" t="s">
        <v>384</v>
      </c>
      <c r="H3241" t="s">
        <v>9383</v>
      </c>
      <c r="I3241" s="4">
        <v>45443.875</v>
      </c>
      <c r="K3241" t="s">
        <v>743</v>
      </c>
      <c r="L3241" s="5"/>
      <c r="M3241" s="5" t="s">
        <v>8423</v>
      </c>
      <c r="N3241" t="s">
        <v>82</v>
      </c>
      <c r="O3241" t="s">
        <v>9384</v>
      </c>
      <c r="R3241">
        <v>1</v>
      </c>
      <c r="T3241" s="5"/>
      <c r="W3241">
        <v>270</v>
      </c>
      <c r="X3241" t="s">
        <v>8412</v>
      </c>
      <c r="Y3241" t="str">
        <f>VLOOKUP(C3241,'[1]DBS_KPY Sorumlular'!A:C,2,FALSE)</f>
        <v>Tayfun VİÇE</v>
      </c>
      <c r="Z3241" t="str">
        <f>VLOOKUP(C3241,'[1]DBS_KPY Sorumlular'!A:C,3,FALSE)</f>
        <v>Mehmet Ali YAVUZ</v>
      </c>
      <c r="AA3241" t="str">
        <f>VLOOKUP(K3241,[1]!Tablo3[#Data],2,FALSE)</f>
        <v>Kadir TOPÇU</v>
      </c>
    </row>
    <row r="3242" spans="1:27" x14ac:dyDescent="0.25">
      <c r="A3242">
        <v>4580</v>
      </c>
      <c r="B3242" t="s">
        <v>27</v>
      </c>
      <c r="C3242" t="s">
        <v>402</v>
      </c>
      <c r="D3242" t="s">
        <v>403</v>
      </c>
      <c r="G3242" t="s">
        <v>384</v>
      </c>
      <c r="H3242" t="s">
        <v>9385</v>
      </c>
      <c r="I3242" s="4">
        <v>45443.875</v>
      </c>
      <c r="K3242" t="s">
        <v>743</v>
      </c>
      <c r="L3242" s="5"/>
      <c r="M3242" s="5" t="s">
        <v>8423</v>
      </c>
      <c r="N3242" t="s">
        <v>82</v>
      </c>
      <c r="O3242" t="s">
        <v>9386</v>
      </c>
      <c r="R3242">
        <v>1</v>
      </c>
      <c r="T3242" s="5"/>
      <c r="W3242">
        <v>270</v>
      </c>
      <c r="X3242" t="s">
        <v>8412</v>
      </c>
      <c r="Y3242" t="str">
        <f>VLOOKUP(C3242,'[1]DBS_KPY Sorumlular'!A:C,2,FALSE)</f>
        <v>Tayfun VİÇE</v>
      </c>
      <c r="Z3242" t="str">
        <f>VLOOKUP(C3242,'[1]DBS_KPY Sorumlular'!A:C,3,FALSE)</f>
        <v>Mehmet Ali YAVUZ</v>
      </c>
      <c r="AA3242" t="str">
        <f>VLOOKUP(K3242,[1]!Tablo3[#Data],2,FALSE)</f>
        <v>Kadir TOPÇU</v>
      </c>
    </row>
    <row r="3243" spans="1:27" x14ac:dyDescent="0.25">
      <c r="A3243">
        <v>4581</v>
      </c>
      <c r="B3243" t="s">
        <v>27</v>
      </c>
      <c r="C3243" t="s">
        <v>402</v>
      </c>
      <c r="D3243" t="s">
        <v>403</v>
      </c>
      <c r="G3243" t="s">
        <v>384</v>
      </c>
      <c r="H3243" t="s">
        <v>9387</v>
      </c>
      <c r="I3243" s="4">
        <v>45443.875</v>
      </c>
      <c r="K3243" t="s">
        <v>743</v>
      </c>
      <c r="L3243" s="5"/>
      <c r="M3243" s="5" t="s">
        <v>8423</v>
      </c>
      <c r="N3243" t="s">
        <v>82</v>
      </c>
      <c r="O3243" t="s">
        <v>9388</v>
      </c>
      <c r="R3243">
        <v>1</v>
      </c>
      <c r="T3243" s="5"/>
      <c r="W3243">
        <v>270</v>
      </c>
      <c r="X3243" t="s">
        <v>8412</v>
      </c>
      <c r="Y3243" t="str">
        <f>VLOOKUP(C3243,'[1]DBS_KPY Sorumlular'!A:C,2,FALSE)</f>
        <v>Tayfun VİÇE</v>
      </c>
      <c r="Z3243" t="str">
        <f>VLOOKUP(C3243,'[1]DBS_KPY Sorumlular'!A:C,3,FALSE)</f>
        <v>Mehmet Ali YAVUZ</v>
      </c>
      <c r="AA3243" t="str">
        <f>VLOOKUP(K3243,[1]!Tablo3[#Data],2,FALSE)</f>
        <v>Kadir TOPÇU</v>
      </c>
    </row>
    <row r="3244" spans="1:27" x14ac:dyDescent="0.25">
      <c r="A3244">
        <v>4582</v>
      </c>
      <c r="B3244" t="s">
        <v>27</v>
      </c>
      <c r="C3244" t="s">
        <v>402</v>
      </c>
      <c r="D3244" t="s">
        <v>403</v>
      </c>
      <c r="G3244" t="s">
        <v>384</v>
      </c>
      <c r="H3244" t="s">
        <v>9389</v>
      </c>
      <c r="I3244" s="4">
        <v>45443.875</v>
      </c>
      <c r="K3244" t="s">
        <v>743</v>
      </c>
      <c r="L3244" s="5"/>
      <c r="M3244" s="5" t="s">
        <v>8423</v>
      </c>
      <c r="N3244" t="s">
        <v>82</v>
      </c>
      <c r="O3244" t="s">
        <v>9390</v>
      </c>
      <c r="R3244">
        <v>1</v>
      </c>
      <c r="T3244" s="5"/>
      <c r="W3244">
        <v>270</v>
      </c>
      <c r="X3244" t="s">
        <v>8412</v>
      </c>
      <c r="Y3244" t="str">
        <f>VLOOKUP(C3244,'[1]DBS_KPY Sorumlular'!A:C,2,FALSE)</f>
        <v>Tayfun VİÇE</v>
      </c>
      <c r="Z3244" t="str">
        <f>VLOOKUP(C3244,'[1]DBS_KPY Sorumlular'!A:C,3,FALSE)</f>
        <v>Mehmet Ali YAVUZ</v>
      </c>
      <c r="AA3244" t="str">
        <f>VLOOKUP(K3244,[1]!Tablo3[#Data],2,FALSE)</f>
        <v>Kadir TOPÇU</v>
      </c>
    </row>
    <row r="3245" spans="1:27" x14ac:dyDescent="0.25">
      <c r="A3245">
        <v>4583</v>
      </c>
      <c r="B3245" t="s">
        <v>27</v>
      </c>
      <c r="C3245" t="s">
        <v>402</v>
      </c>
      <c r="D3245" t="s">
        <v>403</v>
      </c>
      <c r="G3245" t="s">
        <v>384</v>
      </c>
      <c r="H3245" t="s">
        <v>9391</v>
      </c>
      <c r="I3245" s="4">
        <v>45443.875</v>
      </c>
      <c r="K3245" t="s">
        <v>743</v>
      </c>
      <c r="L3245" s="5"/>
      <c r="M3245" s="5" t="s">
        <v>8423</v>
      </c>
      <c r="N3245" t="s">
        <v>82</v>
      </c>
      <c r="O3245" t="s">
        <v>9392</v>
      </c>
      <c r="R3245">
        <v>1</v>
      </c>
      <c r="T3245" s="5"/>
      <c r="W3245">
        <v>270</v>
      </c>
      <c r="X3245" t="s">
        <v>8412</v>
      </c>
      <c r="Y3245" t="str">
        <f>VLOOKUP(C3245,'[1]DBS_KPY Sorumlular'!A:C,2,FALSE)</f>
        <v>Tayfun VİÇE</v>
      </c>
      <c r="Z3245" t="str">
        <f>VLOOKUP(C3245,'[1]DBS_KPY Sorumlular'!A:C,3,FALSE)</f>
        <v>Mehmet Ali YAVUZ</v>
      </c>
      <c r="AA3245" t="str">
        <f>VLOOKUP(K3245,[1]!Tablo3[#Data],2,FALSE)</f>
        <v>Kadir TOPÇU</v>
      </c>
    </row>
    <row r="3246" spans="1:27" x14ac:dyDescent="0.25">
      <c r="A3246">
        <v>4584</v>
      </c>
      <c r="B3246" t="s">
        <v>27</v>
      </c>
      <c r="C3246" t="s">
        <v>402</v>
      </c>
      <c r="D3246" t="s">
        <v>403</v>
      </c>
      <c r="G3246" t="s">
        <v>384</v>
      </c>
      <c r="H3246" t="s">
        <v>9393</v>
      </c>
      <c r="I3246" s="4">
        <v>45443.875</v>
      </c>
      <c r="K3246" t="s">
        <v>743</v>
      </c>
      <c r="L3246" s="5"/>
      <c r="M3246" s="5" t="s">
        <v>8423</v>
      </c>
      <c r="N3246" t="s">
        <v>82</v>
      </c>
      <c r="O3246" t="s">
        <v>9394</v>
      </c>
      <c r="R3246">
        <v>1</v>
      </c>
      <c r="T3246" s="5"/>
      <c r="W3246">
        <v>270</v>
      </c>
      <c r="X3246" t="s">
        <v>8412</v>
      </c>
      <c r="Y3246" t="str">
        <f>VLOOKUP(C3246,'[1]DBS_KPY Sorumlular'!A:C,2,FALSE)</f>
        <v>Tayfun VİÇE</v>
      </c>
      <c r="Z3246" t="str">
        <f>VLOOKUP(C3246,'[1]DBS_KPY Sorumlular'!A:C,3,FALSE)</f>
        <v>Mehmet Ali YAVUZ</v>
      </c>
      <c r="AA3246" t="str">
        <f>VLOOKUP(K3246,[1]!Tablo3[#Data],2,FALSE)</f>
        <v>Kadir TOPÇU</v>
      </c>
    </row>
    <row r="3247" spans="1:27" x14ac:dyDescent="0.25">
      <c r="A3247">
        <v>4585</v>
      </c>
      <c r="B3247" t="s">
        <v>27</v>
      </c>
      <c r="C3247" t="s">
        <v>402</v>
      </c>
      <c r="D3247" t="s">
        <v>403</v>
      </c>
      <c r="G3247" t="s">
        <v>384</v>
      </c>
      <c r="H3247" t="s">
        <v>9395</v>
      </c>
      <c r="I3247" s="4">
        <v>45443.875</v>
      </c>
      <c r="K3247" t="s">
        <v>743</v>
      </c>
      <c r="L3247" s="5"/>
      <c r="M3247" s="5" t="s">
        <v>8423</v>
      </c>
      <c r="N3247" t="s">
        <v>82</v>
      </c>
      <c r="O3247" t="s">
        <v>9396</v>
      </c>
      <c r="R3247">
        <v>1</v>
      </c>
      <c r="T3247" s="5"/>
      <c r="W3247">
        <v>270</v>
      </c>
      <c r="X3247" t="s">
        <v>8412</v>
      </c>
      <c r="Y3247" t="str">
        <f>VLOOKUP(C3247,'[1]DBS_KPY Sorumlular'!A:C,2,FALSE)</f>
        <v>Tayfun VİÇE</v>
      </c>
      <c r="Z3247" t="str">
        <f>VLOOKUP(C3247,'[1]DBS_KPY Sorumlular'!A:C,3,FALSE)</f>
        <v>Mehmet Ali YAVUZ</v>
      </c>
      <c r="AA3247" t="str">
        <f>VLOOKUP(K3247,[1]!Tablo3[#Data],2,FALSE)</f>
        <v>Kadir TOPÇU</v>
      </c>
    </row>
    <row r="3248" spans="1:27" x14ac:dyDescent="0.25">
      <c r="A3248">
        <v>4586</v>
      </c>
      <c r="B3248" t="s">
        <v>27</v>
      </c>
      <c r="C3248" t="s">
        <v>402</v>
      </c>
      <c r="D3248" t="s">
        <v>403</v>
      </c>
      <c r="G3248" t="s">
        <v>384</v>
      </c>
      <c r="H3248" t="s">
        <v>9397</v>
      </c>
      <c r="I3248" s="4">
        <v>45443.875</v>
      </c>
      <c r="K3248" t="s">
        <v>743</v>
      </c>
      <c r="L3248" s="5"/>
      <c r="M3248" s="5" t="s">
        <v>8423</v>
      </c>
      <c r="N3248" t="s">
        <v>82</v>
      </c>
      <c r="O3248" t="s">
        <v>9398</v>
      </c>
      <c r="R3248">
        <v>1</v>
      </c>
      <c r="T3248" s="5"/>
      <c r="W3248">
        <v>270</v>
      </c>
      <c r="X3248" t="s">
        <v>8412</v>
      </c>
      <c r="Y3248" t="str">
        <f>VLOOKUP(C3248,'[1]DBS_KPY Sorumlular'!A:C,2,FALSE)</f>
        <v>Tayfun VİÇE</v>
      </c>
      <c r="Z3248" t="str">
        <f>VLOOKUP(C3248,'[1]DBS_KPY Sorumlular'!A:C,3,FALSE)</f>
        <v>Mehmet Ali YAVUZ</v>
      </c>
      <c r="AA3248" t="str">
        <f>VLOOKUP(K3248,[1]!Tablo3[#Data],2,FALSE)</f>
        <v>Kadir TOPÇU</v>
      </c>
    </row>
    <row r="3249" spans="1:27" x14ac:dyDescent="0.25">
      <c r="A3249">
        <v>4587</v>
      </c>
      <c r="B3249" t="s">
        <v>27</v>
      </c>
      <c r="C3249" t="s">
        <v>402</v>
      </c>
      <c r="D3249" t="s">
        <v>403</v>
      </c>
      <c r="G3249" t="s">
        <v>384</v>
      </c>
      <c r="H3249" t="s">
        <v>9399</v>
      </c>
      <c r="I3249" s="4">
        <v>45443.875</v>
      </c>
      <c r="K3249" t="s">
        <v>1550</v>
      </c>
      <c r="L3249" s="5"/>
      <c r="M3249" s="5" t="s">
        <v>8423</v>
      </c>
      <c r="N3249" t="s">
        <v>82</v>
      </c>
      <c r="O3249" t="s">
        <v>9400</v>
      </c>
      <c r="R3249">
        <v>1</v>
      </c>
      <c r="T3249" s="5"/>
      <c r="W3249">
        <v>270</v>
      </c>
      <c r="X3249" t="s">
        <v>8412</v>
      </c>
      <c r="Y3249" t="str">
        <f>VLOOKUP(C3249,'[1]DBS_KPY Sorumlular'!A:C,2,FALSE)</f>
        <v>Tayfun VİÇE</v>
      </c>
      <c r="Z3249" t="str">
        <f>VLOOKUP(C3249,'[1]DBS_KPY Sorumlular'!A:C,3,FALSE)</f>
        <v>Mehmet Ali YAVUZ</v>
      </c>
      <c r="AA3249" t="str">
        <f>VLOOKUP(K3249,[1]!Tablo3[#Data],2,FALSE)</f>
        <v>Kadir TOPÇU</v>
      </c>
    </row>
    <row r="3250" spans="1:27" x14ac:dyDescent="0.25">
      <c r="A3250">
        <v>4588</v>
      </c>
      <c r="B3250" t="s">
        <v>27</v>
      </c>
      <c r="C3250" t="s">
        <v>402</v>
      </c>
      <c r="D3250" t="s">
        <v>403</v>
      </c>
      <c r="G3250" t="s">
        <v>384</v>
      </c>
      <c r="H3250" t="s">
        <v>9401</v>
      </c>
      <c r="I3250" s="4">
        <v>45443.875</v>
      </c>
      <c r="K3250" t="s">
        <v>743</v>
      </c>
      <c r="L3250" s="5"/>
      <c r="M3250" s="5" t="s">
        <v>8423</v>
      </c>
      <c r="N3250" t="s">
        <v>82</v>
      </c>
      <c r="O3250" t="s">
        <v>9402</v>
      </c>
      <c r="R3250">
        <v>1</v>
      </c>
      <c r="T3250" s="5"/>
      <c r="W3250">
        <v>270</v>
      </c>
      <c r="X3250" t="s">
        <v>8412</v>
      </c>
      <c r="Y3250" t="str">
        <f>VLOOKUP(C3250,'[1]DBS_KPY Sorumlular'!A:C,2,FALSE)</f>
        <v>Tayfun VİÇE</v>
      </c>
      <c r="Z3250" t="str">
        <f>VLOOKUP(C3250,'[1]DBS_KPY Sorumlular'!A:C,3,FALSE)</f>
        <v>Mehmet Ali YAVUZ</v>
      </c>
      <c r="AA3250" t="str">
        <f>VLOOKUP(K3250,[1]!Tablo3[#Data],2,FALSE)</f>
        <v>Kadir TOPÇU</v>
      </c>
    </row>
    <row r="3251" spans="1:27" x14ac:dyDescent="0.25">
      <c r="A3251">
        <v>4589</v>
      </c>
      <c r="B3251" t="s">
        <v>27</v>
      </c>
      <c r="C3251" t="s">
        <v>402</v>
      </c>
      <c r="D3251" t="s">
        <v>403</v>
      </c>
      <c r="G3251" t="s">
        <v>384</v>
      </c>
      <c r="H3251" t="s">
        <v>9403</v>
      </c>
      <c r="I3251" s="4">
        <v>45443.875</v>
      </c>
      <c r="K3251" t="s">
        <v>1528</v>
      </c>
      <c r="L3251" s="5"/>
      <c r="M3251" s="5" t="s">
        <v>8423</v>
      </c>
      <c r="N3251" t="s">
        <v>82</v>
      </c>
      <c r="O3251" t="s">
        <v>9404</v>
      </c>
      <c r="R3251">
        <v>1</v>
      </c>
      <c r="T3251" s="5"/>
      <c r="W3251">
        <v>270</v>
      </c>
      <c r="X3251" t="s">
        <v>8412</v>
      </c>
      <c r="Y3251" t="str">
        <f>VLOOKUP(C3251,'[1]DBS_KPY Sorumlular'!A:C,2,FALSE)</f>
        <v>Tayfun VİÇE</v>
      </c>
      <c r="Z3251" t="str">
        <f>VLOOKUP(C3251,'[1]DBS_KPY Sorumlular'!A:C,3,FALSE)</f>
        <v>Mehmet Ali YAVUZ</v>
      </c>
      <c r="AA3251" t="str">
        <f>VLOOKUP(K3251,[1]!Tablo3[#Data],2,FALSE)</f>
        <v>Tayfun VİÇE</v>
      </c>
    </row>
    <row r="3252" spans="1:27" x14ac:dyDescent="0.25">
      <c r="A3252">
        <v>4590</v>
      </c>
      <c r="B3252" t="s">
        <v>27</v>
      </c>
      <c r="C3252" t="s">
        <v>402</v>
      </c>
      <c r="D3252" t="s">
        <v>403</v>
      </c>
      <c r="G3252" t="s">
        <v>384</v>
      </c>
      <c r="H3252" t="s">
        <v>9405</v>
      </c>
      <c r="I3252" s="4">
        <v>45443.875</v>
      </c>
      <c r="K3252" t="s">
        <v>743</v>
      </c>
      <c r="L3252" s="5"/>
      <c r="M3252" s="5" t="s">
        <v>8423</v>
      </c>
      <c r="N3252" t="s">
        <v>82</v>
      </c>
      <c r="O3252" t="s">
        <v>9406</v>
      </c>
      <c r="R3252">
        <v>1</v>
      </c>
      <c r="T3252" s="5"/>
      <c r="W3252">
        <v>270</v>
      </c>
      <c r="X3252" t="s">
        <v>8412</v>
      </c>
      <c r="Y3252" t="str">
        <f>VLOOKUP(C3252,'[1]DBS_KPY Sorumlular'!A:C,2,FALSE)</f>
        <v>Tayfun VİÇE</v>
      </c>
      <c r="Z3252" t="str">
        <f>VLOOKUP(C3252,'[1]DBS_KPY Sorumlular'!A:C,3,FALSE)</f>
        <v>Mehmet Ali YAVUZ</v>
      </c>
      <c r="AA3252" t="str">
        <f>VLOOKUP(K3252,[1]!Tablo3[#Data],2,FALSE)</f>
        <v>Kadir TOPÇU</v>
      </c>
    </row>
    <row r="3253" spans="1:27" x14ac:dyDescent="0.25">
      <c r="A3253">
        <v>4591</v>
      </c>
      <c r="B3253" t="s">
        <v>27</v>
      </c>
      <c r="C3253" t="s">
        <v>402</v>
      </c>
      <c r="D3253" t="s">
        <v>403</v>
      </c>
      <c r="G3253" t="s">
        <v>384</v>
      </c>
      <c r="H3253" t="s">
        <v>9407</v>
      </c>
      <c r="I3253" s="4">
        <v>45443.875</v>
      </c>
      <c r="K3253" t="s">
        <v>743</v>
      </c>
      <c r="L3253" s="5"/>
      <c r="M3253" s="5" t="s">
        <v>8423</v>
      </c>
      <c r="N3253" t="s">
        <v>82</v>
      </c>
      <c r="O3253" t="s">
        <v>9408</v>
      </c>
      <c r="R3253">
        <v>1</v>
      </c>
      <c r="T3253" s="5"/>
      <c r="W3253">
        <v>270</v>
      </c>
      <c r="X3253" t="s">
        <v>8412</v>
      </c>
      <c r="Y3253" t="str">
        <f>VLOOKUP(C3253,'[1]DBS_KPY Sorumlular'!A:C,2,FALSE)</f>
        <v>Tayfun VİÇE</v>
      </c>
      <c r="Z3253" t="str">
        <f>VLOOKUP(C3253,'[1]DBS_KPY Sorumlular'!A:C,3,FALSE)</f>
        <v>Mehmet Ali YAVUZ</v>
      </c>
      <c r="AA3253" t="str">
        <f>VLOOKUP(K3253,[1]!Tablo3[#Data],2,FALSE)</f>
        <v>Kadir TOPÇU</v>
      </c>
    </row>
    <row r="3254" spans="1:27" x14ac:dyDescent="0.25">
      <c r="A3254">
        <v>4592</v>
      </c>
      <c r="B3254" t="s">
        <v>27</v>
      </c>
      <c r="C3254" t="s">
        <v>402</v>
      </c>
      <c r="D3254" t="s">
        <v>403</v>
      </c>
      <c r="G3254" t="s">
        <v>384</v>
      </c>
      <c r="H3254" t="s">
        <v>9409</v>
      </c>
      <c r="I3254" s="4">
        <v>45443.875</v>
      </c>
      <c r="K3254" t="s">
        <v>226</v>
      </c>
      <c r="L3254" s="5"/>
      <c r="M3254" s="5" t="s">
        <v>8423</v>
      </c>
      <c r="N3254" t="s">
        <v>82</v>
      </c>
      <c r="O3254" t="s">
        <v>9410</v>
      </c>
      <c r="R3254">
        <v>1</v>
      </c>
      <c r="T3254" s="5"/>
      <c r="W3254">
        <v>270</v>
      </c>
      <c r="X3254" t="s">
        <v>8412</v>
      </c>
      <c r="Y3254" t="str">
        <f>VLOOKUP(C3254,'[1]DBS_KPY Sorumlular'!A:C,2,FALSE)</f>
        <v>Tayfun VİÇE</v>
      </c>
      <c r="Z3254" t="str">
        <f>VLOOKUP(C3254,'[1]DBS_KPY Sorumlular'!A:C,3,FALSE)</f>
        <v>Mehmet Ali YAVUZ</v>
      </c>
      <c r="AA3254" t="str">
        <f>VLOOKUP(K3254,[1]!Tablo3[#Data],2,FALSE)</f>
        <v>Kadir TOPÇU</v>
      </c>
    </row>
    <row r="3255" spans="1:27" x14ac:dyDescent="0.25">
      <c r="A3255">
        <v>4593</v>
      </c>
      <c r="B3255" t="s">
        <v>27</v>
      </c>
      <c r="C3255" t="s">
        <v>402</v>
      </c>
      <c r="D3255" t="s">
        <v>403</v>
      </c>
      <c r="G3255" t="s">
        <v>384</v>
      </c>
      <c r="H3255" t="s">
        <v>9411</v>
      </c>
      <c r="I3255" s="4">
        <v>45443.875</v>
      </c>
      <c r="K3255" t="s">
        <v>914</v>
      </c>
      <c r="L3255" s="5"/>
      <c r="M3255" s="5" t="s">
        <v>8423</v>
      </c>
      <c r="N3255" t="s">
        <v>82</v>
      </c>
      <c r="O3255" t="s">
        <v>9412</v>
      </c>
      <c r="R3255">
        <v>1</v>
      </c>
      <c r="T3255" s="5"/>
      <c r="W3255">
        <v>270</v>
      </c>
      <c r="X3255" t="s">
        <v>8412</v>
      </c>
      <c r="Y3255" t="str">
        <f>VLOOKUP(C3255,'[1]DBS_KPY Sorumlular'!A:C,2,FALSE)</f>
        <v>Tayfun VİÇE</v>
      </c>
      <c r="Z3255" t="str">
        <f>VLOOKUP(C3255,'[1]DBS_KPY Sorumlular'!A:C,3,FALSE)</f>
        <v>Mehmet Ali YAVUZ</v>
      </c>
      <c r="AA3255" t="str">
        <f>VLOOKUP(K3255,[1]!Tablo3[#Data],2,FALSE)</f>
        <v>Tayfun VİÇE</v>
      </c>
    </row>
    <row r="3256" spans="1:27" x14ac:dyDescent="0.25">
      <c r="A3256">
        <v>4594</v>
      </c>
      <c r="B3256" t="s">
        <v>27</v>
      </c>
      <c r="C3256" t="s">
        <v>402</v>
      </c>
      <c r="D3256" t="s">
        <v>403</v>
      </c>
      <c r="G3256" t="s">
        <v>384</v>
      </c>
      <c r="H3256" t="s">
        <v>9413</v>
      </c>
      <c r="I3256" s="4">
        <v>45443.875</v>
      </c>
      <c r="K3256" t="s">
        <v>743</v>
      </c>
      <c r="L3256" s="5"/>
      <c r="M3256" s="5" t="s">
        <v>8423</v>
      </c>
      <c r="N3256" t="s">
        <v>82</v>
      </c>
      <c r="O3256" t="s">
        <v>9414</v>
      </c>
      <c r="R3256">
        <v>1</v>
      </c>
      <c r="T3256" s="5"/>
      <c r="W3256">
        <v>270</v>
      </c>
      <c r="X3256" t="s">
        <v>8412</v>
      </c>
      <c r="Y3256" t="str">
        <f>VLOOKUP(C3256,'[1]DBS_KPY Sorumlular'!A:C,2,FALSE)</f>
        <v>Tayfun VİÇE</v>
      </c>
      <c r="Z3256" t="str">
        <f>VLOOKUP(C3256,'[1]DBS_KPY Sorumlular'!A:C,3,FALSE)</f>
        <v>Mehmet Ali YAVUZ</v>
      </c>
      <c r="AA3256" t="str">
        <f>VLOOKUP(K3256,[1]!Tablo3[#Data],2,FALSE)</f>
        <v>Kadir TOPÇU</v>
      </c>
    </row>
    <row r="3257" spans="1:27" x14ac:dyDescent="0.25">
      <c r="A3257">
        <v>4595</v>
      </c>
      <c r="B3257" t="s">
        <v>27</v>
      </c>
      <c r="C3257" t="s">
        <v>402</v>
      </c>
      <c r="D3257" t="s">
        <v>403</v>
      </c>
      <c r="G3257" t="s">
        <v>384</v>
      </c>
      <c r="H3257" t="s">
        <v>9415</v>
      </c>
      <c r="I3257" s="4">
        <v>45443.875</v>
      </c>
      <c r="K3257" t="s">
        <v>743</v>
      </c>
      <c r="L3257" s="5"/>
      <c r="M3257" s="5" t="s">
        <v>8423</v>
      </c>
      <c r="N3257" t="s">
        <v>82</v>
      </c>
      <c r="O3257" t="s">
        <v>9416</v>
      </c>
      <c r="R3257">
        <v>1</v>
      </c>
      <c r="T3257" s="5"/>
      <c r="W3257">
        <v>270</v>
      </c>
      <c r="X3257" t="s">
        <v>8412</v>
      </c>
      <c r="Y3257" t="str">
        <f>VLOOKUP(C3257,'[1]DBS_KPY Sorumlular'!A:C,2,FALSE)</f>
        <v>Tayfun VİÇE</v>
      </c>
      <c r="Z3257" t="str">
        <f>VLOOKUP(C3257,'[1]DBS_KPY Sorumlular'!A:C,3,FALSE)</f>
        <v>Mehmet Ali YAVUZ</v>
      </c>
      <c r="AA3257" t="str">
        <f>VLOOKUP(K3257,[1]!Tablo3[#Data],2,FALSE)</f>
        <v>Kadir TOPÇU</v>
      </c>
    </row>
    <row r="3258" spans="1:27" x14ac:dyDescent="0.25">
      <c r="A3258">
        <v>4598</v>
      </c>
      <c r="B3258" t="s">
        <v>27</v>
      </c>
      <c r="C3258" t="s">
        <v>402</v>
      </c>
      <c r="D3258" t="s">
        <v>403</v>
      </c>
      <c r="G3258" t="s">
        <v>384</v>
      </c>
      <c r="H3258" t="s">
        <v>9417</v>
      </c>
      <c r="I3258" s="4">
        <v>45443.875</v>
      </c>
      <c r="K3258" t="s">
        <v>1528</v>
      </c>
      <c r="L3258" s="5"/>
      <c r="M3258" s="5" t="s">
        <v>8423</v>
      </c>
      <c r="N3258" t="s">
        <v>82</v>
      </c>
      <c r="O3258" t="s">
        <v>9418</v>
      </c>
      <c r="R3258">
        <v>1</v>
      </c>
      <c r="T3258" s="5"/>
      <c r="W3258">
        <v>270</v>
      </c>
      <c r="X3258" t="s">
        <v>8412</v>
      </c>
      <c r="Y3258" t="str">
        <f>VLOOKUP(C3258,'[1]DBS_KPY Sorumlular'!A:C,2,FALSE)</f>
        <v>Tayfun VİÇE</v>
      </c>
      <c r="Z3258" t="str">
        <f>VLOOKUP(C3258,'[1]DBS_KPY Sorumlular'!A:C,3,FALSE)</f>
        <v>Mehmet Ali YAVUZ</v>
      </c>
      <c r="AA3258" t="str">
        <f>VLOOKUP(K3258,[1]!Tablo3[#Data],2,FALSE)</f>
        <v>Tayfun VİÇE</v>
      </c>
    </row>
    <row r="3259" spans="1:27" x14ac:dyDescent="0.25">
      <c r="A3259">
        <v>4599</v>
      </c>
      <c r="B3259" t="s">
        <v>27</v>
      </c>
      <c r="C3259" t="s">
        <v>402</v>
      </c>
      <c r="D3259" t="s">
        <v>403</v>
      </c>
      <c r="G3259" t="s">
        <v>384</v>
      </c>
      <c r="H3259" t="s">
        <v>9419</v>
      </c>
      <c r="I3259" s="4">
        <v>45443.875</v>
      </c>
      <c r="K3259" t="s">
        <v>743</v>
      </c>
      <c r="L3259" s="5"/>
      <c r="M3259" s="5" t="s">
        <v>8423</v>
      </c>
      <c r="N3259" t="s">
        <v>82</v>
      </c>
      <c r="O3259" t="s">
        <v>9420</v>
      </c>
      <c r="R3259">
        <v>1</v>
      </c>
      <c r="T3259" s="5"/>
      <c r="W3259">
        <v>270</v>
      </c>
      <c r="X3259" t="s">
        <v>8412</v>
      </c>
      <c r="Y3259" t="str">
        <f>VLOOKUP(C3259,'[1]DBS_KPY Sorumlular'!A:C,2,FALSE)</f>
        <v>Tayfun VİÇE</v>
      </c>
      <c r="Z3259" t="str">
        <f>VLOOKUP(C3259,'[1]DBS_KPY Sorumlular'!A:C,3,FALSE)</f>
        <v>Mehmet Ali YAVUZ</v>
      </c>
      <c r="AA3259" t="str">
        <f>VLOOKUP(K3259,[1]!Tablo3[#Data],2,FALSE)</f>
        <v>Kadir TOPÇU</v>
      </c>
    </row>
    <row r="3260" spans="1:27" x14ac:dyDescent="0.25">
      <c r="A3260">
        <v>4600</v>
      </c>
      <c r="B3260" t="s">
        <v>27</v>
      </c>
      <c r="C3260" t="s">
        <v>402</v>
      </c>
      <c r="D3260" t="s">
        <v>403</v>
      </c>
      <c r="G3260" t="s">
        <v>384</v>
      </c>
      <c r="H3260" t="s">
        <v>9421</v>
      </c>
      <c r="I3260" s="4">
        <v>45443.875</v>
      </c>
      <c r="K3260" t="s">
        <v>743</v>
      </c>
      <c r="L3260" s="5"/>
      <c r="M3260" s="5" t="s">
        <v>8423</v>
      </c>
      <c r="N3260" t="s">
        <v>82</v>
      </c>
      <c r="O3260" t="s">
        <v>9422</v>
      </c>
      <c r="R3260">
        <v>1</v>
      </c>
      <c r="T3260" s="5"/>
      <c r="W3260">
        <v>270</v>
      </c>
      <c r="X3260" t="s">
        <v>8412</v>
      </c>
      <c r="Y3260" t="str">
        <f>VLOOKUP(C3260,'[1]DBS_KPY Sorumlular'!A:C,2,FALSE)</f>
        <v>Tayfun VİÇE</v>
      </c>
      <c r="Z3260" t="str">
        <f>VLOOKUP(C3260,'[1]DBS_KPY Sorumlular'!A:C,3,FALSE)</f>
        <v>Mehmet Ali YAVUZ</v>
      </c>
      <c r="AA3260" t="str">
        <f>VLOOKUP(K3260,[1]!Tablo3[#Data],2,FALSE)</f>
        <v>Kadir TOPÇU</v>
      </c>
    </row>
    <row r="3261" spans="1:27" x14ac:dyDescent="0.25">
      <c r="A3261">
        <v>4601</v>
      </c>
      <c r="B3261" t="s">
        <v>27</v>
      </c>
      <c r="C3261" t="s">
        <v>402</v>
      </c>
      <c r="D3261" t="s">
        <v>403</v>
      </c>
      <c r="G3261" t="s">
        <v>384</v>
      </c>
      <c r="H3261" t="s">
        <v>9423</v>
      </c>
      <c r="I3261" s="4">
        <v>45443.875</v>
      </c>
      <c r="K3261" t="s">
        <v>743</v>
      </c>
      <c r="L3261" s="5"/>
      <c r="M3261" s="5" t="s">
        <v>8423</v>
      </c>
      <c r="N3261" t="s">
        <v>82</v>
      </c>
      <c r="O3261" t="s">
        <v>9424</v>
      </c>
      <c r="R3261">
        <v>1</v>
      </c>
      <c r="T3261" s="5"/>
      <c r="W3261">
        <v>270</v>
      </c>
      <c r="X3261" t="s">
        <v>8412</v>
      </c>
      <c r="Y3261" t="str">
        <f>VLOOKUP(C3261,'[1]DBS_KPY Sorumlular'!A:C,2,FALSE)</f>
        <v>Tayfun VİÇE</v>
      </c>
      <c r="Z3261" t="str">
        <f>VLOOKUP(C3261,'[1]DBS_KPY Sorumlular'!A:C,3,FALSE)</f>
        <v>Mehmet Ali YAVUZ</v>
      </c>
      <c r="AA3261" t="str">
        <f>VLOOKUP(K3261,[1]!Tablo3[#Data],2,FALSE)</f>
        <v>Kadir TOPÇU</v>
      </c>
    </row>
    <row r="3262" spans="1:27" x14ac:dyDescent="0.25">
      <c r="A3262">
        <v>4602</v>
      </c>
      <c r="B3262" t="s">
        <v>27</v>
      </c>
      <c r="C3262" t="s">
        <v>402</v>
      </c>
      <c r="D3262" t="s">
        <v>403</v>
      </c>
      <c r="G3262" t="s">
        <v>384</v>
      </c>
      <c r="H3262" t="s">
        <v>9425</v>
      </c>
      <c r="I3262" s="4">
        <v>45443.875</v>
      </c>
      <c r="K3262" t="s">
        <v>743</v>
      </c>
      <c r="L3262" s="5"/>
      <c r="M3262" s="5" t="s">
        <v>8423</v>
      </c>
      <c r="N3262" t="s">
        <v>82</v>
      </c>
      <c r="O3262" t="s">
        <v>9426</v>
      </c>
      <c r="R3262">
        <v>1</v>
      </c>
      <c r="T3262" s="5"/>
      <c r="W3262">
        <v>270</v>
      </c>
      <c r="X3262" t="s">
        <v>8412</v>
      </c>
      <c r="Y3262" t="str">
        <f>VLOOKUP(C3262,'[1]DBS_KPY Sorumlular'!A:C,2,FALSE)</f>
        <v>Tayfun VİÇE</v>
      </c>
      <c r="Z3262" t="str">
        <f>VLOOKUP(C3262,'[1]DBS_KPY Sorumlular'!A:C,3,FALSE)</f>
        <v>Mehmet Ali YAVUZ</v>
      </c>
      <c r="AA3262" t="str">
        <f>VLOOKUP(K3262,[1]!Tablo3[#Data],2,FALSE)</f>
        <v>Kadir TOPÇU</v>
      </c>
    </row>
    <row r="3263" spans="1:27" x14ac:dyDescent="0.25">
      <c r="A3263">
        <v>4603</v>
      </c>
      <c r="B3263" t="s">
        <v>27</v>
      </c>
      <c r="C3263" t="s">
        <v>402</v>
      </c>
      <c r="D3263" t="s">
        <v>403</v>
      </c>
      <c r="G3263" t="s">
        <v>384</v>
      </c>
      <c r="H3263" t="s">
        <v>9427</v>
      </c>
      <c r="I3263" s="4">
        <v>45443.875</v>
      </c>
      <c r="K3263" t="s">
        <v>743</v>
      </c>
      <c r="L3263" s="5"/>
      <c r="M3263" s="5" t="s">
        <v>8423</v>
      </c>
      <c r="N3263" t="s">
        <v>82</v>
      </c>
      <c r="O3263" t="s">
        <v>9428</v>
      </c>
      <c r="R3263">
        <v>1</v>
      </c>
      <c r="T3263" s="5"/>
      <c r="W3263">
        <v>270</v>
      </c>
      <c r="X3263" t="s">
        <v>8412</v>
      </c>
      <c r="Y3263" t="str">
        <f>VLOOKUP(C3263,'[1]DBS_KPY Sorumlular'!A:C,2,FALSE)</f>
        <v>Tayfun VİÇE</v>
      </c>
      <c r="Z3263" t="str">
        <f>VLOOKUP(C3263,'[1]DBS_KPY Sorumlular'!A:C,3,FALSE)</f>
        <v>Mehmet Ali YAVUZ</v>
      </c>
      <c r="AA3263" t="str">
        <f>VLOOKUP(K3263,[1]!Tablo3[#Data],2,FALSE)</f>
        <v>Kadir TOPÇU</v>
      </c>
    </row>
    <row r="3264" spans="1:27" x14ac:dyDescent="0.25">
      <c r="A3264">
        <v>4604</v>
      </c>
      <c r="B3264" t="s">
        <v>27</v>
      </c>
      <c r="C3264" t="s">
        <v>402</v>
      </c>
      <c r="D3264" t="s">
        <v>403</v>
      </c>
      <c r="G3264" t="s">
        <v>384</v>
      </c>
      <c r="H3264" t="s">
        <v>9429</v>
      </c>
      <c r="I3264" s="4">
        <v>45443.875</v>
      </c>
      <c r="K3264" t="s">
        <v>743</v>
      </c>
      <c r="L3264" s="5"/>
      <c r="M3264" s="5" t="s">
        <v>8423</v>
      </c>
      <c r="N3264" t="s">
        <v>82</v>
      </c>
      <c r="O3264" t="s">
        <v>9430</v>
      </c>
      <c r="R3264">
        <v>1</v>
      </c>
      <c r="T3264" s="5"/>
      <c r="W3264">
        <v>270</v>
      </c>
      <c r="X3264" t="s">
        <v>8412</v>
      </c>
      <c r="Y3264" t="str">
        <f>VLOOKUP(C3264,'[1]DBS_KPY Sorumlular'!A:C,2,FALSE)</f>
        <v>Tayfun VİÇE</v>
      </c>
      <c r="Z3264" t="str">
        <f>VLOOKUP(C3264,'[1]DBS_KPY Sorumlular'!A:C,3,FALSE)</f>
        <v>Mehmet Ali YAVUZ</v>
      </c>
      <c r="AA3264" t="str">
        <f>VLOOKUP(K3264,[1]!Tablo3[#Data],2,FALSE)</f>
        <v>Kadir TOPÇU</v>
      </c>
    </row>
    <row r="3265" spans="1:27" x14ac:dyDescent="0.25">
      <c r="A3265">
        <v>4605</v>
      </c>
      <c r="B3265" t="s">
        <v>27</v>
      </c>
      <c r="C3265" t="s">
        <v>402</v>
      </c>
      <c r="D3265" t="s">
        <v>403</v>
      </c>
      <c r="G3265" t="s">
        <v>384</v>
      </c>
      <c r="H3265" t="s">
        <v>9431</v>
      </c>
      <c r="I3265" s="4">
        <v>45443.875</v>
      </c>
      <c r="K3265" t="s">
        <v>743</v>
      </c>
      <c r="L3265" s="5"/>
      <c r="M3265" s="5" t="s">
        <v>8423</v>
      </c>
      <c r="N3265" t="s">
        <v>82</v>
      </c>
      <c r="O3265" t="s">
        <v>9432</v>
      </c>
      <c r="R3265">
        <v>1</v>
      </c>
      <c r="T3265" s="5"/>
      <c r="W3265">
        <v>270</v>
      </c>
      <c r="X3265" t="s">
        <v>8412</v>
      </c>
      <c r="Y3265" t="str">
        <f>VLOOKUP(C3265,'[1]DBS_KPY Sorumlular'!A:C,2,FALSE)</f>
        <v>Tayfun VİÇE</v>
      </c>
      <c r="Z3265" t="str">
        <f>VLOOKUP(C3265,'[1]DBS_KPY Sorumlular'!A:C,3,FALSE)</f>
        <v>Mehmet Ali YAVUZ</v>
      </c>
      <c r="AA3265" t="str">
        <f>VLOOKUP(K3265,[1]!Tablo3[#Data],2,FALSE)</f>
        <v>Kadir TOPÇU</v>
      </c>
    </row>
    <row r="3266" spans="1:27" x14ac:dyDescent="0.25">
      <c r="A3266">
        <v>4606</v>
      </c>
      <c r="B3266" t="s">
        <v>27</v>
      </c>
      <c r="C3266" t="s">
        <v>402</v>
      </c>
      <c r="D3266" t="s">
        <v>403</v>
      </c>
      <c r="G3266" t="s">
        <v>384</v>
      </c>
      <c r="H3266" t="s">
        <v>9433</v>
      </c>
      <c r="I3266" s="4">
        <v>45443.875</v>
      </c>
      <c r="K3266" t="s">
        <v>743</v>
      </c>
      <c r="L3266" s="5"/>
      <c r="M3266" s="5" t="s">
        <v>8423</v>
      </c>
      <c r="N3266" t="s">
        <v>82</v>
      </c>
      <c r="O3266" t="s">
        <v>9434</v>
      </c>
      <c r="R3266">
        <v>1</v>
      </c>
      <c r="T3266" s="5"/>
      <c r="W3266">
        <v>270</v>
      </c>
      <c r="X3266" t="s">
        <v>8412</v>
      </c>
      <c r="Y3266" t="str">
        <f>VLOOKUP(C3266,'[1]DBS_KPY Sorumlular'!A:C,2,FALSE)</f>
        <v>Tayfun VİÇE</v>
      </c>
      <c r="Z3266" t="str">
        <f>VLOOKUP(C3266,'[1]DBS_KPY Sorumlular'!A:C,3,FALSE)</f>
        <v>Mehmet Ali YAVUZ</v>
      </c>
      <c r="AA3266" t="str">
        <f>VLOOKUP(K3266,[1]!Tablo3[#Data],2,FALSE)</f>
        <v>Kadir TOPÇU</v>
      </c>
    </row>
    <row r="3267" spans="1:27" x14ac:dyDescent="0.25">
      <c r="A3267">
        <v>4607</v>
      </c>
      <c r="B3267" t="s">
        <v>27</v>
      </c>
      <c r="C3267" t="s">
        <v>402</v>
      </c>
      <c r="D3267" t="s">
        <v>403</v>
      </c>
      <c r="G3267" t="s">
        <v>384</v>
      </c>
      <c r="H3267" t="s">
        <v>9435</v>
      </c>
      <c r="I3267" s="4">
        <v>45443.875</v>
      </c>
      <c r="K3267" t="s">
        <v>743</v>
      </c>
      <c r="L3267" s="5"/>
      <c r="M3267" s="5" t="s">
        <v>8423</v>
      </c>
      <c r="N3267" t="s">
        <v>82</v>
      </c>
      <c r="O3267" t="s">
        <v>9436</v>
      </c>
      <c r="R3267">
        <v>1</v>
      </c>
      <c r="T3267" s="5"/>
      <c r="W3267">
        <v>270</v>
      </c>
      <c r="X3267" t="s">
        <v>8412</v>
      </c>
      <c r="Y3267" t="str">
        <f>VLOOKUP(C3267,'[1]DBS_KPY Sorumlular'!A:C,2,FALSE)</f>
        <v>Tayfun VİÇE</v>
      </c>
      <c r="Z3267" t="str">
        <f>VLOOKUP(C3267,'[1]DBS_KPY Sorumlular'!A:C,3,FALSE)</f>
        <v>Mehmet Ali YAVUZ</v>
      </c>
      <c r="AA3267" t="str">
        <f>VLOOKUP(K3267,[1]!Tablo3[#Data],2,FALSE)</f>
        <v>Kadir TOPÇU</v>
      </c>
    </row>
    <row r="3268" spans="1:27" x14ac:dyDescent="0.25">
      <c r="A3268">
        <v>4608</v>
      </c>
      <c r="B3268" t="s">
        <v>27</v>
      </c>
      <c r="C3268" t="s">
        <v>402</v>
      </c>
      <c r="D3268" t="s">
        <v>403</v>
      </c>
      <c r="G3268" t="s">
        <v>384</v>
      </c>
      <c r="H3268" t="s">
        <v>9437</v>
      </c>
      <c r="I3268" s="4">
        <v>45443.875</v>
      </c>
      <c r="K3268" t="s">
        <v>743</v>
      </c>
      <c r="L3268" s="5"/>
      <c r="M3268" s="5" t="s">
        <v>8423</v>
      </c>
      <c r="N3268" t="s">
        <v>82</v>
      </c>
      <c r="O3268" t="s">
        <v>9438</v>
      </c>
      <c r="R3268">
        <v>1</v>
      </c>
      <c r="T3268" s="5"/>
      <c r="W3268">
        <v>270</v>
      </c>
      <c r="X3268" t="s">
        <v>8412</v>
      </c>
      <c r="Y3268" t="str">
        <f>VLOOKUP(C3268,'[1]DBS_KPY Sorumlular'!A:C,2,FALSE)</f>
        <v>Tayfun VİÇE</v>
      </c>
      <c r="Z3268" t="str">
        <f>VLOOKUP(C3268,'[1]DBS_KPY Sorumlular'!A:C,3,FALSE)</f>
        <v>Mehmet Ali YAVUZ</v>
      </c>
      <c r="AA3268" t="str">
        <f>VLOOKUP(K3268,[1]!Tablo3[#Data],2,FALSE)</f>
        <v>Kadir TOPÇU</v>
      </c>
    </row>
    <row r="3269" spans="1:27" x14ac:dyDescent="0.25">
      <c r="A3269">
        <v>4609</v>
      </c>
      <c r="B3269" t="s">
        <v>27</v>
      </c>
      <c r="C3269" t="s">
        <v>402</v>
      </c>
      <c r="D3269" t="s">
        <v>403</v>
      </c>
      <c r="G3269" t="s">
        <v>384</v>
      </c>
      <c r="H3269" t="s">
        <v>9439</v>
      </c>
      <c r="I3269" s="4">
        <v>45443.875</v>
      </c>
      <c r="K3269" t="s">
        <v>743</v>
      </c>
      <c r="L3269" s="5"/>
      <c r="M3269" s="5" t="s">
        <v>8423</v>
      </c>
      <c r="N3269" t="s">
        <v>82</v>
      </c>
      <c r="O3269" t="s">
        <v>9440</v>
      </c>
      <c r="R3269">
        <v>1</v>
      </c>
      <c r="T3269" s="5"/>
      <c r="W3269">
        <v>270</v>
      </c>
      <c r="X3269" t="s">
        <v>8412</v>
      </c>
      <c r="Y3269" t="str">
        <f>VLOOKUP(C3269,'[1]DBS_KPY Sorumlular'!A:C,2,FALSE)</f>
        <v>Tayfun VİÇE</v>
      </c>
      <c r="Z3269" t="str">
        <f>VLOOKUP(C3269,'[1]DBS_KPY Sorumlular'!A:C,3,FALSE)</f>
        <v>Mehmet Ali YAVUZ</v>
      </c>
      <c r="AA3269" t="str">
        <f>VLOOKUP(K3269,[1]!Tablo3[#Data],2,FALSE)</f>
        <v>Kadir TOPÇU</v>
      </c>
    </row>
    <row r="3270" spans="1:27" x14ac:dyDescent="0.25">
      <c r="A3270">
        <v>4610</v>
      </c>
      <c r="B3270" t="s">
        <v>27</v>
      </c>
      <c r="C3270" t="s">
        <v>402</v>
      </c>
      <c r="D3270" t="s">
        <v>403</v>
      </c>
      <c r="G3270" t="s">
        <v>384</v>
      </c>
      <c r="H3270" t="s">
        <v>9441</v>
      </c>
      <c r="I3270" s="4">
        <v>45443.875</v>
      </c>
      <c r="K3270" t="s">
        <v>1002</v>
      </c>
      <c r="L3270" s="5"/>
      <c r="M3270" s="5" t="s">
        <v>8423</v>
      </c>
      <c r="N3270" t="s">
        <v>82</v>
      </c>
      <c r="O3270" t="s">
        <v>9442</v>
      </c>
      <c r="R3270">
        <v>1</v>
      </c>
      <c r="T3270" s="5"/>
      <c r="W3270">
        <v>270</v>
      </c>
      <c r="X3270" t="s">
        <v>8412</v>
      </c>
      <c r="Y3270" t="str">
        <f>VLOOKUP(C3270,'[1]DBS_KPY Sorumlular'!A:C,2,FALSE)</f>
        <v>Tayfun VİÇE</v>
      </c>
      <c r="Z3270" t="str">
        <f>VLOOKUP(C3270,'[1]DBS_KPY Sorumlular'!A:C,3,FALSE)</f>
        <v>Mehmet Ali YAVUZ</v>
      </c>
      <c r="AA3270" t="str">
        <f>VLOOKUP(K3270,[1]!Tablo3[#Data],2,FALSE)</f>
        <v>Kadir TOPÇU</v>
      </c>
    </row>
    <row r="3271" spans="1:27" x14ac:dyDescent="0.25">
      <c r="A3271">
        <v>4611</v>
      </c>
      <c r="B3271" t="s">
        <v>27</v>
      </c>
      <c r="C3271" t="s">
        <v>402</v>
      </c>
      <c r="D3271" t="s">
        <v>403</v>
      </c>
      <c r="G3271" t="s">
        <v>384</v>
      </c>
      <c r="H3271" t="s">
        <v>9443</v>
      </c>
      <c r="I3271" s="4">
        <v>45443.875</v>
      </c>
      <c r="K3271" t="s">
        <v>743</v>
      </c>
      <c r="L3271" s="5"/>
      <c r="M3271" s="5" t="s">
        <v>8423</v>
      </c>
      <c r="N3271" t="s">
        <v>82</v>
      </c>
      <c r="O3271" t="s">
        <v>9444</v>
      </c>
      <c r="R3271">
        <v>1</v>
      </c>
      <c r="T3271" s="5"/>
      <c r="W3271">
        <v>270</v>
      </c>
      <c r="X3271" t="s">
        <v>8412</v>
      </c>
      <c r="Y3271" t="str">
        <f>VLOOKUP(C3271,'[1]DBS_KPY Sorumlular'!A:C,2,FALSE)</f>
        <v>Tayfun VİÇE</v>
      </c>
      <c r="Z3271" t="str">
        <f>VLOOKUP(C3271,'[1]DBS_KPY Sorumlular'!A:C,3,FALSE)</f>
        <v>Mehmet Ali YAVUZ</v>
      </c>
      <c r="AA3271" t="str">
        <f>VLOOKUP(K3271,[1]!Tablo3[#Data],2,FALSE)</f>
        <v>Kadir TOPÇU</v>
      </c>
    </row>
    <row r="3272" spans="1:27" x14ac:dyDescent="0.25">
      <c r="A3272">
        <v>4612</v>
      </c>
      <c r="B3272" t="s">
        <v>27</v>
      </c>
      <c r="C3272" t="s">
        <v>402</v>
      </c>
      <c r="D3272" t="s">
        <v>403</v>
      </c>
      <c r="G3272" t="s">
        <v>384</v>
      </c>
      <c r="H3272" t="s">
        <v>9445</v>
      </c>
      <c r="I3272" s="4">
        <v>45443.875</v>
      </c>
      <c r="K3272" t="s">
        <v>1550</v>
      </c>
      <c r="L3272" s="5"/>
      <c r="M3272" s="5" t="s">
        <v>8423</v>
      </c>
      <c r="N3272" t="s">
        <v>82</v>
      </c>
      <c r="O3272" t="s">
        <v>9446</v>
      </c>
      <c r="R3272">
        <v>1</v>
      </c>
      <c r="T3272" s="5"/>
      <c r="W3272">
        <v>270</v>
      </c>
      <c r="X3272" t="s">
        <v>8412</v>
      </c>
      <c r="Y3272" t="str">
        <f>VLOOKUP(C3272,'[1]DBS_KPY Sorumlular'!A:C,2,FALSE)</f>
        <v>Tayfun VİÇE</v>
      </c>
      <c r="Z3272" t="str">
        <f>VLOOKUP(C3272,'[1]DBS_KPY Sorumlular'!A:C,3,FALSE)</f>
        <v>Mehmet Ali YAVUZ</v>
      </c>
      <c r="AA3272" t="str">
        <f>VLOOKUP(K3272,[1]!Tablo3[#Data],2,FALSE)</f>
        <v>Kadir TOPÇU</v>
      </c>
    </row>
    <row r="3273" spans="1:27" x14ac:dyDescent="0.25">
      <c r="A3273">
        <v>4614</v>
      </c>
      <c r="B3273" t="s">
        <v>27</v>
      </c>
      <c r="C3273" t="s">
        <v>402</v>
      </c>
      <c r="D3273" t="s">
        <v>403</v>
      </c>
      <c r="G3273" t="s">
        <v>384</v>
      </c>
      <c r="H3273" t="s">
        <v>9447</v>
      </c>
      <c r="I3273" s="4">
        <v>45656.875</v>
      </c>
      <c r="K3273" t="s">
        <v>1550</v>
      </c>
      <c r="L3273" s="5"/>
      <c r="M3273" s="5"/>
      <c r="N3273" t="s">
        <v>82</v>
      </c>
      <c r="O3273" t="s">
        <v>9448</v>
      </c>
      <c r="R3273">
        <v>1</v>
      </c>
      <c r="T3273" s="5"/>
      <c r="W3273">
        <v>270</v>
      </c>
      <c r="X3273" t="s">
        <v>8412</v>
      </c>
      <c r="Y3273" t="str">
        <f>VLOOKUP(C3273,'[1]DBS_KPY Sorumlular'!A:C,2,FALSE)</f>
        <v>Tayfun VİÇE</v>
      </c>
      <c r="Z3273" t="str">
        <f>VLOOKUP(C3273,'[1]DBS_KPY Sorumlular'!A:C,3,FALSE)</f>
        <v>Mehmet Ali YAVUZ</v>
      </c>
      <c r="AA3273" t="str">
        <f>VLOOKUP(K3273,[1]!Tablo3[#Data],2,FALSE)</f>
        <v>Kadir TOPÇU</v>
      </c>
    </row>
    <row r="3274" spans="1:27" x14ac:dyDescent="0.25">
      <c r="A3274">
        <v>4615</v>
      </c>
      <c r="B3274" t="s">
        <v>27</v>
      </c>
      <c r="C3274" t="s">
        <v>402</v>
      </c>
      <c r="D3274" t="s">
        <v>403</v>
      </c>
      <c r="G3274" t="s">
        <v>384</v>
      </c>
      <c r="H3274" t="s">
        <v>9449</v>
      </c>
      <c r="I3274" s="4">
        <v>45443.875</v>
      </c>
      <c r="K3274" t="s">
        <v>743</v>
      </c>
      <c r="L3274" s="5"/>
      <c r="M3274" s="5" t="s">
        <v>8423</v>
      </c>
      <c r="N3274" t="s">
        <v>82</v>
      </c>
      <c r="O3274" t="s">
        <v>9450</v>
      </c>
      <c r="R3274">
        <v>1</v>
      </c>
      <c r="T3274" s="5"/>
      <c r="W3274">
        <v>270</v>
      </c>
      <c r="X3274" t="s">
        <v>8412</v>
      </c>
      <c r="Y3274" t="str">
        <f>VLOOKUP(C3274,'[1]DBS_KPY Sorumlular'!A:C,2,FALSE)</f>
        <v>Tayfun VİÇE</v>
      </c>
      <c r="Z3274" t="str">
        <f>VLOOKUP(C3274,'[1]DBS_KPY Sorumlular'!A:C,3,FALSE)</f>
        <v>Mehmet Ali YAVUZ</v>
      </c>
      <c r="AA3274" t="str">
        <f>VLOOKUP(K3274,[1]!Tablo3[#Data],2,FALSE)</f>
        <v>Kadir TOPÇU</v>
      </c>
    </row>
    <row r="3275" spans="1:27" x14ac:dyDescent="0.25">
      <c r="A3275">
        <v>4616</v>
      </c>
      <c r="B3275" t="s">
        <v>27</v>
      </c>
      <c r="C3275" t="s">
        <v>402</v>
      </c>
      <c r="D3275" t="s">
        <v>403</v>
      </c>
      <c r="G3275" t="s">
        <v>384</v>
      </c>
      <c r="H3275" t="s">
        <v>9451</v>
      </c>
      <c r="I3275" s="4">
        <v>45443.875</v>
      </c>
      <c r="K3275" t="s">
        <v>743</v>
      </c>
      <c r="L3275" s="5"/>
      <c r="M3275" s="5" t="s">
        <v>8423</v>
      </c>
      <c r="N3275" t="s">
        <v>82</v>
      </c>
      <c r="O3275" t="s">
        <v>9452</v>
      </c>
      <c r="R3275">
        <v>1</v>
      </c>
      <c r="T3275" s="5"/>
      <c r="W3275">
        <v>270</v>
      </c>
      <c r="X3275" t="s">
        <v>8412</v>
      </c>
      <c r="Y3275" t="str">
        <f>VLOOKUP(C3275,'[1]DBS_KPY Sorumlular'!A:C,2,FALSE)</f>
        <v>Tayfun VİÇE</v>
      </c>
      <c r="Z3275" t="str">
        <f>VLOOKUP(C3275,'[1]DBS_KPY Sorumlular'!A:C,3,FALSE)</f>
        <v>Mehmet Ali YAVUZ</v>
      </c>
      <c r="AA3275" t="str">
        <f>VLOOKUP(K3275,[1]!Tablo3[#Data],2,FALSE)</f>
        <v>Kadir TOPÇU</v>
      </c>
    </row>
    <row r="3276" spans="1:27" x14ac:dyDescent="0.25">
      <c r="A3276">
        <v>4617</v>
      </c>
      <c r="B3276" t="s">
        <v>27</v>
      </c>
      <c r="C3276" t="s">
        <v>402</v>
      </c>
      <c r="D3276" t="s">
        <v>403</v>
      </c>
      <c r="G3276" t="s">
        <v>384</v>
      </c>
      <c r="H3276" t="s">
        <v>9453</v>
      </c>
      <c r="I3276" s="4">
        <v>45443.875</v>
      </c>
      <c r="K3276" t="s">
        <v>743</v>
      </c>
      <c r="L3276" s="5"/>
      <c r="M3276" s="5" t="s">
        <v>8423</v>
      </c>
      <c r="N3276" t="s">
        <v>82</v>
      </c>
      <c r="O3276" t="s">
        <v>9454</v>
      </c>
      <c r="R3276">
        <v>1</v>
      </c>
      <c r="T3276" s="5"/>
      <c r="W3276">
        <v>270</v>
      </c>
      <c r="X3276" t="s">
        <v>8412</v>
      </c>
      <c r="Y3276" t="str">
        <f>VLOOKUP(C3276,'[1]DBS_KPY Sorumlular'!A:C,2,FALSE)</f>
        <v>Tayfun VİÇE</v>
      </c>
      <c r="Z3276" t="str">
        <f>VLOOKUP(C3276,'[1]DBS_KPY Sorumlular'!A:C,3,FALSE)</f>
        <v>Mehmet Ali YAVUZ</v>
      </c>
      <c r="AA3276" t="str">
        <f>VLOOKUP(K3276,[1]!Tablo3[#Data],2,FALSE)</f>
        <v>Kadir TOPÇU</v>
      </c>
    </row>
    <row r="3277" spans="1:27" x14ac:dyDescent="0.25">
      <c r="A3277">
        <v>4618</v>
      </c>
      <c r="B3277" t="s">
        <v>27</v>
      </c>
      <c r="C3277" t="s">
        <v>402</v>
      </c>
      <c r="D3277" t="s">
        <v>403</v>
      </c>
      <c r="G3277" t="s">
        <v>384</v>
      </c>
      <c r="H3277" t="s">
        <v>9455</v>
      </c>
      <c r="I3277" s="4">
        <v>45443.875</v>
      </c>
      <c r="K3277" t="s">
        <v>743</v>
      </c>
      <c r="L3277" s="5"/>
      <c r="M3277" s="5" t="s">
        <v>8423</v>
      </c>
      <c r="N3277" t="s">
        <v>82</v>
      </c>
      <c r="O3277" t="s">
        <v>9456</v>
      </c>
      <c r="R3277">
        <v>1</v>
      </c>
      <c r="T3277" s="5"/>
      <c r="W3277">
        <v>270</v>
      </c>
      <c r="X3277" t="s">
        <v>8412</v>
      </c>
      <c r="Y3277" t="str">
        <f>VLOOKUP(C3277,'[1]DBS_KPY Sorumlular'!A:C,2,FALSE)</f>
        <v>Tayfun VİÇE</v>
      </c>
      <c r="Z3277" t="str">
        <f>VLOOKUP(C3277,'[1]DBS_KPY Sorumlular'!A:C,3,FALSE)</f>
        <v>Mehmet Ali YAVUZ</v>
      </c>
      <c r="AA3277" t="str">
        <f>VLOOKUP(K3277,[1]!Tablo3[#Data],2,FALSE)</f>
        <v>Kadir TOPÇU</v>
      </c>
    </row>
    <row r="3278" spans="1:27" x14ac:dyDescent="0.25">
      <c r="A3278">
        <v>4619</v>
      </c>
      <c r="B3278" t="s">
        <v>27</v>
      </c>
      <c r="C3278" t="s">
        <v>402</v>
      </c>
      <c r="D3278" t="s">
        <v>403</v>
      </c>
      <c r="G3278" t="s">
        <v>384</v>
      </c>
      <c r="H3278" t="s">
        <v>9457</v>
      </c>
      <c r="I3278" s="4">
        <v>45443.875</v>
      </c>
      <c r="K3278" t="s">
        <v>743</v>
      </c>
      <c r="L3278" s="5"/>
      <c r="M3278" s="5" t="s">
        <v>8423</v>
      </c>
      <c r="N3278" t="s">
        <v>82</v>
      </c>
      <c r="O3278" t="s">
        <v>9458</v>
      </c>
      <c r="R3278">
        <v>1</v>
      </c>
      <c r="T3278" s="5"/>
      <c r="W3278">
        <v>270</v>
      </c>
      <c r="X3278" t="s">
        <v>8412</v>
      </c>
      <c r="Y3278" t="str">
        <f>VLOOKUP(C3278,'[1]DBS_KPY Sorumlular'!A:C,2,FALSE)</f>
        <v>Tayfun VİÇE</v>
      </c>
      <c r="Z3278" t="str">
        <f>VLOOKUP(C3278,'[1]DBS_KPY Sorumlular'!A:C,3,FALSE)</f>
        <v>Mehmet Ali YAVUZ</v>
      </c>
      <c r="AA3278" t="str">
        <f>VLOOKUP(K3278,[1]!Tablo3[#Data],2,FALSE)</f>
        <v>Kadir TOPÇU</v>
      </c>
    </row>
    <row r="3279" spans="1:27" x14ac:dyDescent="0.25">
      <c r="A3279">
        <v>4620</v>
      </c>
      <c r="B3279" t="s">
        <v>27</v>
      </c>
      <c r="C3279" t="s">
        <v>402</v>
      </c>
      <c r="D3279" t="s">
        <v>403</v>
      </c>
      <c r="G3279" t="s">
        <v>384</v>
      </c>
      <c r="H3279" t="s">
        <v>9459</v>
      </c>
      <c r="I3279" s="4">
        <v>45443.875</v>
      </c>
      <c r="K3279" t="s">
        <v>743</v>
      </c>
      <c r="L3279" s="5"/>
      <c r="M3279" s="5" t="s">
        <v>8423</v>
      </c>
      <c r="N3279" t="s">
        <v>82</v>
      </c>
      <c r="O3279" t="s">
        <v>9460</v>
      </c>
      <c r="R3279">
        <v>1</v>
      </c>
      <c r="T3279" s="5"/>
      <c r="W3279">
        <v>270</v>
      </c>
      <c r="X3279" t="s">
        <v>8412</v>
      </c>
      <c r="Y3279" t="str">
        <f>VLOOKUP(C3279,'[1]DBS_KPY Sorumlular'!A:C,2,FALSE)</f>
        <v>Tayfun VİÇE</v>
      </c>
      <c r="Z3279" t="str">
        <f>VLOOKUP(C3279,'[1]DBS_KPY Sorumlular'!A:C,3,FALSE)</f>
        <v>Mehmet Ali YAVUZ</v>
      </c>
      <c r="AA3279" t="str">
        <f>VLOOKUP(K3279,[1]!Tablo3[#Data],2,FALSE)</f>
        <v>Kadir TOPÇU</v>
      </c>
    </row>
    <row r="3280" spans="1:27" x14ac:dyDescent="0.25">
      <c r="A3280">
        <v>4621</v>
      </c>
      <c r="B3280" t="s">
        <v>27</v>
      </c>
      <c r="C3280" t="s">
        <v>402</v>
      </c>
      <c r="D3280" t="s">
        <v>403</v>
      </c>
      <c r="G3280" t="s">
        <v>384</v>
      </c>
      <c r="H3280" t="s">
        <v>9461</v>
      </c>
      <c r="I3280" s="4">
        <v>45443.875</v>
      </c>
      <c r="K3280" t="s">
        <v>743</v>
      </c>
      <c r="L3280" s="5"/>
      <c r="M3280" s="5" t="s">
        <v>8423</v>
      </c>
      <c r="N3280" t="s">
        <v>82</v>
      </c>
      <c r="O3280" t="s">
        <v>9462</v>
      </c>
      <c r="R3280">
        <v>1</v>
      </c>
      <c r="T3280" s="5"/>
      <c r="W3280">
        <v>270</v>
      </c>
      <c r="X3280" t="s">
        <v>8412</v>
      </c>
      <c r="Y3280" t="str">
        <f>VLOOKUP(C3280,'[1]DBS_KPY Sorumlular'!A:C,2,FALSE)</f>
        <v>Tayfun VİÇE</v>
      </c>
      <c r="Z3280" t="str">
        <f>VLOOKUP(C3280,'[1]DBS_KPY Sorumlular'!A:C,3,FALSE)</f>
        <v>Mehmet Ali YAVUZ</v>
      </c>
      <c r="AA3280" t="str">
        <f>VLOOKUP(K3280,[1]!Tablo3[#Data],2,FALSE)</f>
        <v>Kadir TOPÇU</v>
      </c>
    </row>
    <row r="3281" spans="1:27" x14ac:dyDescent="0.25">
      <c r="A3281">
        <v>4622</v>
      </c>
      <c r="B3281" t="s">
        <v>27</v>
      </c>
      <c r="C3281" t="s">
        <v>402</v>
      </c>
      <c r="D3281" t="s">
        <v>403</v>
      </c>
      <c r="G3281" t="s">
        <v>384</v>
      </c>
      <c r="H3281" t="s">
        <v>9463</v>
      </c>
      <c r="I3281" s="4">
        <v>45443.875</v>
      </c>
      <c r="K3281" t="s">
        <v>743</v>
      </c>
      <c r="L3281" s="5"/>
      <c r="M3281" s="5" t="s">
        <v>8423</v>
      </c>
      <c r="N3281" t="s">
        <v>82</v>
      </c>
      <c r="O3281" t="s">
        <v>9464</v>
      </c>
      <c r="R3281">
        <v>1</v>
      </c>
      <c r="T3281" s="5"/>
      <c r="W3281">
        <v>270</v>
      </c>
      <c r="X3281" t="s">
        <v>8412</v>
      </c>
      <c r="Y3281" t="str">
        <f>VLOOKUP(C3281,'[1]DBS_KPY Sorumlular'!A:C,2,FALSE)</f>
        <v>Tayfun VİÇE</v>
      </c>
      <c r="Z3281" t="str">
        <f>VLOOKUP(C3281,'[1]DBS_KPY Sorumlular'!A:C,3,FALSE)</f>
        <v>Mehmet Ali YAVUZ</v>
      </c>
      <c r="AA3281" t="str">
        <f>VLOOKUP(K3281,[1]!Tablo3[#Data],2,FALSE)</f>
        <v>Kadir TOPÇU</v>
      </c>
    </row>
    <row r="3282" spans="1:27" x14ac:dyDescent="0.25">
      <c r="A3282">
        <v>4623</v>
      </c>
      <c r="B3282" t="s">
        <v>27</v>
      </c>
      <c r="C3282" t="s">
        <v>402</v>
      </c>
      <c r="D3282" t="s">
        <v>403</v>
      </c>
      <c r="G3282" t="s">
        <v>384</v>
      </c>
      <c r="H3282" t="s">
        <v>9465</v>
      </c>
      <c r="I3282" s="4">
        <v>45443.875</v>
      </c>
      <c r="K3282" t="s">
        <v>743</v>
      </c>
      <c r="L3282" s="5"/>
      <c r="M3282" s="5" t="s">
        <v>8423</v>
      </c>
      <c r="N3282" t="s">
        <v>82</v>
      </c>
      <c r="O3282" t="s">
        <v>9466</v>
      </c>
      <c r="R3282">
        <v>1</v>
      </c>
      <c r="T3282" s="5"/>
      <c r="W3282">
        <v>270</v>
      </c>
      <c r="X3282" t="s">
        <v>8412</v>
      </c>
      <c r="Y3282" t="str">
        <f>VLOOKUP(C3282,'[1]DBS_KPY Sorumlular'!A:C,2,FALSE)</f>
        <v>Tayfun VİÇE</v>
      </c>
      <c r="Z3282" t="str">
        <f>VLOOKUP(C3282,'[1]DBS_KPY Sorumlular'!A:C,3,FALSE)</f>
        <v>Mehmet Ali YAVUZ</v>
      </c>
      <c r="AA3282" t="str">
        <f>VLOOKUP(K3282,[1]!Tablo3[#Data],2,FALSE)</f>
        <v>Kadir TOPÇU</v>
      </c>
    </row>
    <row r="3283" spans="1:27" x14ac:dyDescent="0.25">
      <c r="A3283">
        <v>4624</v>
      </c>
      <c r="B3283" t="s">
        <v>27</v>
      </c>
      <c r="C3283" t="s">
        <v>402</v>
      </c>
      <c r="D3283" t="s">
        <v>403</v>
      </c>
      <c r="G3283" t="s">
        <v>384</v>
      </c>
      <c r="H3283" t="s">
        <v>9467</v>
      </c>
      <c r="I3283" s="4">
        <v>45443.875</v>
      </c>
      <c r="K3283" t="s">
        <v>743</v>
      </c>
      <c r="L3283" s="5"/>
      <c r="M3283" s="5" t="s">
        <v>8423</v>
      </c>
      <c r="N3283" t="s">
        <v>82</v>
      </c>
      <c r="O3283" t="s">
        <v>9468</v>
      </c>
      <c r="R3283">
        <v>1</v>
      </c>
      <c r="T3283" s="5"/>
      <c r="W3283">
        <v>270</v>
      </c>
      <c r="X3283" t="s">
        <v>8412</v>
      </c>
      <c r="Y3283" t="str">
        <f>VLOOKUP(C3283,'[1]DBS_KPY Sorumlular'!A:C,2,FALSE)</f>
        <v>Tayfun VİÇE</v>
      </c>
      <c r="Z3283" t="str">
        <f>VLOOKUP(C3283,'[1]DBS_KPY Sorumlular'!A:C,3,FALSE)</f>
        <v>Mehmet Ali YAVUZ</v>
      </c>
      <c r="AA3283" t="str">
        <f>VLOOKUP(K3283,[1]!Tablo3[#Data],2,FALSE)</f>
        <v>Kadir TOPÇU</v>
      </c>
    </row>
    <row r="3284" spans="1:27" x14ac:dyDescent="0.25">
      <c r="A3284">
        <v>4625</v>
      </c>
      <c r="B3284" t="s">
        <v>27</v>
      </c>
      <c r="C3284" t="s">
        <v>402</v>
      </c>
      <c r="D3284" t="s">
        <v>403</v>
      </c>
      <c r="G3284" t="s">
        <v>384</v>
      </c>
      <c r="H3284" t="s">
        <v>9469</v>
      </c>
      <c r="I3284" s="4">
        <v>45443.875</v>
      </c>
      <c r="K3284" t="s">
        <v>1528</v>
      </c>
      <c r="L3284" s="5"/>
      <c r="M3284" s="5" t="s">
        <v>8423</v>
      </c>
      <c r="N3284" t="s">
        <v>82</v>
      </c>
      <c r="O3284" t="s">
        <v>9470</v>
      </c>
      <c r="R3284">
        <v>1</v>
      </c>
      <c r="T3284" s="5"/>
      <c r="W3284">
        <v>270</v>
      </c>
      <c r="X3284" t="s">
        <v>8412</v>
      </c>
      <c r="Y3284" t="str">
        <f>VLOOKUP(C3284,'[1]DBS_KPY Sorumlular'!A:C,2,FALSE)</f>
        <v>Tayfun VİÇE</v>
      </c>
      <c r="Z3284" t="str">
        <f>VLOOKUP(C3284,'[1]DBS_KPY Sorumlular'!A:C,3,FALSE)</f>
        <v>Mehmet Ali YAVUZ</v>
      </c>
      <c r="AA3284" t="str">
        <f>VLOOKUP(K3284,[1]!Tablo3[#Data],2,FALSE)</f>
        <v>Tayfun VİÇE</v>
      </c>
    </row>
    <row r="3285" spans="1:27" x14ac:dyDescent="0.25">
      <c r="A3285">
        <v>4626</v>
      </c>
      <c r="B3285" t="s">
        <v>27</v>
      </c>
      <c r="C3285" t="s">
        <v>402</v>
      </c>
      <c r="D3285" t="s">
        <v>403</v>
      </c>
      <c r="G3285" t="s">
        <v>384</v>
      </c>
      <c r="H3285" t="s">
        <v>9471</v>
      </c>
      <c r="I3285" s="4">
        <v>45443.875</v>
      </c>
      <c r="K3285" t="s">
        <v>743</v>
      </c>
      <c r="L3285" s="5"/>
      <c r="M3285" s="5" t="s">
        <v>8423</v>
      </c>
      <c r="N3285" t="s">
        <v>82</v>
      </c>
      <c r="O3285" t="s">
        <v>9472</v>
      </c>
      <c r="R3285">
        <v>1</v>
      </c>
      <c r="T3285" s="5"/>
      <c r="W3285">
        <v>270</v>
      </c>
      <c r="X3285" t="s">
        <v>8412</v>
      </c>
      <c r="Y3285" t="str">
        <f>VLOOKUP(C3285,'[1]DBS_KPY Sorumlular'!A:C,2,FALSE)</f>
        <v>Tayfun VİÇE</v>
      </c>
      <c r="Z3285" t="str">
        <f>VLOOKUP(C3285,'[1]DBS_KPY Sorumlular'!A:C,3,FALSE)</f>
        <v>Mehmet Ali YAVUZ</v>
      </c>
      <c r="AA3285" t="str">
        <f>VLOOKUP(K3285,[1]!Tablo3[#Data],2,FALSE)</f>
        <v>Kadir TOPÇU</v>
      </c>
    </row>
    <row r="3286" spans="1:27" x14ac:dyDescent="0.25">
      <c r="A3286">
        <v>4627</v>
      </c>
      <c r="B3286" t="s">
        <v>27</v>
      </c>
      <c r="C3286" t="s">
        <v>402</v>
      </c>
      <c r="D3286" t="s">
        <v>403</v>
      </c>
      <c r="G3286" t="s">
        <v>384</v>
      </c>
      <c r="H3286" t="s">
        <v>9473</v>
      </c>
      <c r="I3286" s="4">
        <v>45443.875</v>
      </c>
      <c r="K3286" t="s">
        <v>743</v>
      </c>
      <c r="L3286" s="5"/>
      <c r="M3286" s="5" t="s">
        <v>8423</v>
      </c>
      <c r="N3286" t="s">
        <v>82</v>
      </c>
      <c r="O3286" t="s">
        <v>9474</v>
      </c>
      <c r="R3286">
        <v>1</v>
      </c>
      <c r="T3286" s="5"/>
      <c r="W3286">
        <v>270</v>
      </c>
      <c r="X3286" t="s">
        <v>8412</v>
      </c>
      <c r="Y3286" t="str">
        <f>VLOOKUP(C3286,'[1]DBS_KPY Sorumlular'!A:C,2,FALSE)</f>
        <v>Tayfun VİÇE</v>
      </c>
      <c r="Z3286" t="str">
        <f>VLOOKUP(C3286,'[1]DBS_KPY Sorumlular'!A:C,3,FALSE)</f>
        <v>Mehmet Ali YAVUZ</v>
      </c>
      <c r="AA3286" t="str">
        <f>VLOOKUP(K3286,[1]!Tablo3[#Data],2,FALSE)</f>
        <v>Kadir TOPÇU</v>
      </c>
    </row>
    <row r="3287" spans="1:27" x14ac:dyDescent="0.25">
      <c r="A3287">
        <v>4628</v>
      </c>
      <c r="B3287" t="s">
        <v>27</v>
      </c>
      <c r="C3287" t="s">
        <v>402</v>
      </c>
      <c r="D3287" t="s">
        <v>403</v>
      </c>
      <c r="G3287" t="s">
        <v>384</v>
      </c>
      <c r="H3287" t="s">
        <v>9475</v>
      </c>
      <c r="I3287" s="4">
        <v>45443.875</v>
      </c>
      <c r="K3287" t="s">
        <v>226</v>
      </c>
      <c r="L3287" s="5"/>
      <c r="M3287" s="5" t="s">
        <v>8423</v>
      </c>
      <c r="N3287" t="s">
        <v>82</v>
      </c>
      <c r="O3287" t="s">
        <v>9476</v>
      </c>
      <c r="R3287">
        <v>1</v>
      </c>
      <c r="T3287" s="5"/>
      <c r="W3287">
        <v>270</v>
      </c>
      <c r="X3287" t="s">
        <v>8412</v>
      </c>
      <c r="Y3287" t="str">
        <f>VLOOKUP(C3287,'[1]DBS_KPY Sorumlular'!A:C,2,FALSE)</f>
        <v>Tayfun VİÇE</v>
      </c>
      <c r="Z3287" t="str">
        <f>VLOOKUP(C3287,'[1]DBS_KPY Sorumlular'!A:C,3,FALSE)</f>
        <v>Mehmet Ali YAVUZ</v>
      </c>
      <c r="AA3287" t="str">
        <f>VLOOKUP(K3287,[1]!Tablo3[#Data],2,FALSE)</f>
        <v>Kadir TOPÇU</v>
      </c>
    </row>
    <row r="3288" spans="1:27" x14ac:dyDescent="0.25">
      <c r="A3288">
        <v>4629</v>
      </c>
      <c r="B3288" t="s">
        <v>27</v>
      </c>
      <c r="C3288" t="s">
        <v>402</v>
      </c>
      <c r="D3288" t="s">
        <v>403</v>
      </c>
      <c r="G3288" t="s">
        <v>384</v>
      </c>
      <c r="H3288" t="s">
        <v>9477</v>
      </c>
      <c r="I3288" s="4">
        <v>45443.875</v>
      </c>
      <c r="K3288" t="s">
        <v>1528</v>
      </c>
      <c r="L3288" s="5"/>
      <c r="M3288" s="5" t="s">
        <v>8423</v>
      </c>
      <c r="N3288" t="s">
        <v>82</v>
      </c>
      <c r="O3288" t="s">
        <v>9478</v>
      </c>
      <c r="R3288">
        <v>1</v>
      </c>
      <c r="T3288" s="5"/>
      <c r="W3288">
        <v>270</v>
      </c>
      <c r="X3288" t="s">
        <v>8412</v>
      </c>
      <c r="Y3288" t="str">
        <f>VLOOKUP(C3288,'[1]DBS_KPY Sorumlular'!A:C,2,FALSE)</f>
        <v>Tayfun VİÇE</v>
      </c>
      <c r="Z3288" t="str">
        <f>VLOOKUP(C3288,'[1]DBS_KPY Sorumlular'!A:C,3,FALSE)</f>
        <v>Mehmet Ali YAVUZ</v>
      </c>
      <c r="AA3288" t="str">
        <f>VLOOKUP(K3288,[1]!Tablo3[#Data],2,FALSE)</f>
        <v>Tayfun VİÇE</v>
      </c>
    </row>
    <row r="3289" spans="1:27" x14ac:dyDescent="0.25">
      <c r="A3289">
        <v>4630</v>
      </c>
      <c r="B3289" t="s">
        <v>27</v>
      </c>
      <c r="C3289" t="s">
        <v>402</v>
      </c>
      <c r="D3289" t="s">
        <v>403</v>
      </c>
      <c r="G3289" t="s">
        <v>384</v>
      </c>
      <c r="H3289" t="s">
        <v>9479</v>
      </c>
      <c r="I3289" s="4">
        <v>45443.875</v>
      </c>
      <c r="K3289" t="s">
        <v>743</v>
      </c>
      <c r="L3289" s="5"/>
      <c r="M3289" s="5" t="s">
        <v>8423</v>
      </c>
      <c r="N3289" t="s">
        <v>82</v>
      </c>
      <c r="O3289" t="s">
        <v>9480</v>
      </c>
      <c r="R3289">
        <v>1</v>
      </c>
      <c r="T3289" s="5"/>
      <c r="W3289">
        <v>270</v>
      </c>
      <c r="X3289" t="s">
        <v>8412</v>
      </c>
      <c r="Y3289" t="str">
        <f>VLOOKUP(C3289,'[1]DBS_KPY Sorumlular'!A:C,2,FALSE)</f>
        <v>Tayfun VİÇE</v>
      </c>
      <c r="Z3289" t="str">
        <f>VLOOKUP(C3289,'[1]DBS_KPY Sorumlular'!A:C,3,FALSE)</f>
        <v>Mehmet Ali YAVUZ</v>
      </c>
      <c r="AA3289" t="str">
        <f>VLOOKUP(K3289,[1]!Tablo3[#Data],2,FALSE)</f>
        <v>Kadir TOPÇU</v>
      </c>
    </row>
    <row r="3290" spans="1:27" x14ac:dyDescent="0.25">
      <c r="A3290">
        <v>4631</v>
      </c>
      <c r="B3290" t="s">
        <v>27</v>
      </c>
      <c r="C3290" t="s">
        <v>402</v>
      </c>
      <c r="D3290" t="s">
        <v>403</v>
      </c>
      <c r="G3290" t="s">
        <v>384</v>
      </c>
      <c r="H3290" t="s">
        <v>9481</v>
      </c>
      <c r="I3290" s="4">
        <v>45443.875</v>
      </c>
      <c r="K3290" t="s">
        <v>743</v>
      </c>
      <c r="L3290" s="5"/>
      <c r="M3290" s="5" t="s">
        <v>8423</v>
      </c>
      <c r="N3290" t="s">
        <v>82</v>
      </c>
      <c r="O3290" t="s">
        <v>9482</v>
      </c>
      <c r="R3290">
        <v>1</v>
      </c>
      <c r="T3290" s="5"/>
      <c r="W3290">
        <v>270</v>
      </c>
      <c r="X3290" t="s">
        <v>8412</v>
      </c>
      <c r="Y3290" t="str">
        <f>VLOOKUP(C3290,'[1]DBS_KPY Sorumlular'!A:C,2,FALSE)</f>
        <v>Tayfun VİÇE</v>
      </c>
      <c r="Z3290" t="str">
        <f>VLOOKUP(C3290,'[1]DBS_KPY Sorumlular'!A:C,3,FALSE)</f>
        <v>Mehmet Ali YAVUZ</v>
      </c>
      <c r="AA3290" t="str">
        <f>VLOOKUP(K3290,[1]!Tablo3[#Data],2,FALSE)</f>
        <v>Kadir TOPÇU</v>
      </c>
    </row>
    <row r="3291" spans="1:27" x14ac:dyDescent="0.25">
      <c r="A3291">
        <v>4632</v>
      </c>
      <c r="B3291" t="s">
        <v>27</v>
      </c>
      <c r="C3291" t="s">
        <v>402</v>
      </c>
      <c r="D3291" t="s">
        <v>403</v>
      </c>
      <c r="G3291" t="s">
        <v>384</v>
      </c>
      <c r="H3291" t="s">
        <v>9483</v>
      </c>
      <c r="I3291" s="4">
        <v>45443.875</v>
      </c>
      <c r="K3291" t="s">
        <v>743</v>
      </c>
      <c r="L3291" s="5"/>
      <c r="M3291" s="5" t="s">
        <v>8423</v>
      </c>
      <c r="N3291" t="s">
        <v>82</v>
      </c>
      <c r="O3291" t="s">
        <v>9484</v>
      </c>
      <c r="R3291">
        <v>1</v>
      </c>
      <c r="T3291" s="5"/>
      <c r="W3291">
        <v>270</v>
      </c>
      <c r="X3291" t="s">
        <v>8412</v>
      </c>
      <c r="Y3291" t="str">
        <f>VLOOKUP(C3291,'[1]DBS_KPY Sorumlular'!A:C,2,FALSE)</f>
        <v>Tayfun VİÇE</v>
      </c>
      <c r="Z3291" t="str">
        <f>VLOOKUP(C3291,'[1]DBS_KPY Sorumlular'!A:C,3,FALSE)</f>
        <v>Mehmet Ali YAVUZ</v>
      </c>
      <c r="AA3291" t="str">
        <f>VLOOKUP(K3291,[1]!Tablo3[#Data],2,FALSE)</f>
        <v>Kadir TOPÇU</v>
      </c>
    </row>
    <row r="3292" spans="1:27" x14ac:dyDescent="0.25">
      <c r="A3292">
        <v>4633</v>
      </c>
      <c r="B3292" t="s">
        <v>27</v>
      </c>
      <c r="C3292" t="s">
        <v>402</v>
      </c>
      <c r="D3292" t="s">
        <v>403</v>
      </c>
      <c r="G3292" t="s">
        <v>384</v>
      </c>
      <c r="H3292" t="s">
        <v>9485</v>
      </c>
      <c r="I3292" s="4">
        <v>45443.875</v>
      </c>
      <c r="K3292" t="s">
        <v>743</v>
      </c>
      <c r="L3292" s="5"/>
      <c r="M3292" s="5" t="s">
        <v>8423</v>
      </c>
      <c r="N3292" t="s">
        <v>82</v>
      </c>
      <c r="O3292" t="s">
        <v>9486</v>
      </c>
      <c r="R3292">
        <v>1</v>
      </c>
      <c r="T3292" s="5"/>
      <c r="W3292">
        <v>270</v>
      </c>
      <c r="X3292" t="s">
        <v>8412</v>
      </c>
      <c r="Y3292" t="str">
        <f>VLOOKUP(C3292,'[1]DBS_KPY Sorumlular'!A:C,2,FALSE)</f>
        <v>Tayfun VİÇE</v>
      </c>
      <c r="Z3292" t="str">
        <f>VLOOKUP(C3292,'[1]DBS_KPY Sorumlular'!A:C,3,FALSE)</f>
        <v>Mehmet Ali YAVUZ</v>
      </c>
      <c r="AA3292" t="str">
        <f>VLOOKUP(K3292,[1]!Tablo3[#Data],2,FALSE)</f>
        <v>Kadir TOPÇU</v>
      </c>
    </row>
    <row r="3293" spans="1:27" x14ac:dyDescent="0.25">
      <c r="A3293">
        <v>4634</v>
      </c>
      <c r="B3293" t="s">
        <v>27</v>
      </c>
      <c r="C3293" t="s">
        <v>402</v>
      </c>
      <c r="D3293" t="s">
        <v>403</v>
      </c>
      <c r="G3293" t="s">
        <v>384</v>
      </c>
      <c r="H3293" t="s">
        <v>9487</v>
      </c>
      <c r="I3293" s="4">
        <v>45443.875</v>
      </c>
      <c r="K3293" t="s">
        <v>743</v>
      </c>
      <c r="L3293" s="5"/>
      <c r="M3293" s="5" t="s">
        <v>8423</v>
      </c>
      <c r="N3293" t="s">
        <v>82</v>
      </c>
      <c r="O3293" t="s">
        <v>9488</v>
      </c>
      <c r="R3293">
        <v>1</v>
      </c>
      <c r="T3293" s="5"/>
      <c r="W3293">
        <v>270</v>
      </c>
      <c r="X3293" t="s">
        <v>8412</v>
      </c>
      <c r="Y3293" t="str">
        <f>VLOOKUP(C3293,'[1]DBS_KPY Sorumlular'!A:C,2,FALSE)</f>
        <v>Tayfun VİÇE</v>
      </c>
      <c r="Z3293" t="str">
        <f>VLOOKUP(C3293,'[1]DBS_KPY Sorumlular'!A:C,3,FALSE)</f>
        <v>Mehmet Ali YAVUZ</v>
      </c>
      <c r="AA3293" t="str">
        <f>VLOOKUP(K3293,[1]!Tablo3[#Data],2,FALSE)</f>
        <v>Kadir TOPÇU</v>
      </c>
    </row>
    <row r="3294" spans="1:27" x14ac:dyDescent="0.25">
      <c r="A3294">
        <v>4635</v>
      </c>
      <c r="B3294" t="s">
        <v>27</v>
      </c>
      <c r="C3294" t="s">
        <v>402</v>
      </c>
      <c r="D3294" t="s">
        <v>403</v>
      </c>
      <c r="G3294" t="s">
        <v>384</v>
      </c>
      <c r="H3294" t="s">
        <v>9489</v>
      </c>
      <c r="I3294" s="4">
        <v>45443.875</v>
      </c>
      <c r="K3294" t="s">
        <v>743</v>
      </c>
      <c r="L3294" s="5"/>
      <c r="M3294" s="5" t="s">
        <v>8423</v>
      </c>
      <c r="N3294" t="s">
        <v>82</v>
      </c>
      <c r="O3294" t="s">
        <v>9490</v>
      </c>
      <c r="R3294">
        <v>1</v>
      </c>
      <c r="T3294" s="5"/>
      <c r="W3294">
        <v>270</v>
      </c>
      <c r="X3294" t="s">
        <v>8412</v>
      </c>
      <c r="Y3294" t="str">
        <f>VLOOKUP(C3294,'[1]DBS_KPY Sorumlular'!A:C,2,FALSE)</f>
        <v>Tayfun VİÇE</v>
      </c>
      <c r="Z3294" t="str">
        <f>VLOOKUP(C3294,'[1]DBS_KPY Sorumlular'!A:C,3,FALSE)</f>
        <v>Mehmet Ali YAVUZ</v>
      </c>
      <c r="AA3294" t="str">
        <f>VLOOKUP(K3294,[1]!Tablo3[#Data],2,FALSE)</f>
        <v>Kadir TOPÇU</v>
      </c>
    </row>
    <row r="3295" spans="1:27" x14ac:dyDescent="0.25">
      <c r="A3295">
        <v>4636</v>
      </c>
      <c r="B3295" t="s">
        <v>27</v>
      </c>
      <c r="C3295" t="s">
        <v>402</v>
      </c>
      <c r="D3295" t="s">
        <v>403</v>
      </c>
      <c r="G3295" t="s">
        <v>384</v>
      </c>
      <c r="H3295" t="s">
        <v>9491</v>
      </c>
      <c r="I3295" s="4">
        <v>45443.875</v>
      </c>
      <c r="K3295" t="s">
        <v>1528</v>
      </c>
      <c r="L3295" s="5"/>
      <c r="M3295" s="5" t="s">
        <v>8423</v>
      </c>
      <c r="N3295" t="s">
        <v>82</v>
      </c>
      <c r="O3295" t="s">
        <v>9492</v>
      </c>
      <c r="R3295">
        <v>1</v>
      </c>
      <c r="T3295" s="5"/>
      <c r="W3295">
        <v>270</v>
      </c>
      <c r="X3295" t="s">
        <v>8412</v>
      </c>
      <c r="Y3295" t="str">
        <f>VLOOKUP(C3295,'[1]DBS_KPY Sorumlular'!A:C,2,FALSE)</f>
        <v>Tayfun VİÇE</v>
      </c>
      <c r="Z3295" t="str">
        <f>VLOOKUP(C3295,'[1]DBS_KPY Sorumlular'!A:C,3,FALSE)</f>
        <v>Mehmet Ali YAVUZ</v>
      </c>
      <c r="AA3295" t="str">
        <f>VLOOKUP(K3295,[1]!Tablo3[#Data],2,FALSE)</f>
        <v>Tayfun VİÇE</v>
      </c>
    </row>
    <row r="3296" spans="1:27" x14ac:dyDescent="0.25">
      <c r="A3296">
        <v>4637</v>
      </c>
      <c r="B3296" t="s">
        <v>27</v>
      </c>
      <c r="C3296" t="s">
        <v>402</v>
      </c>
      <c r="D3296" t="s">
        <v>403</v>
      </c>
      <c r="G3296" t="s">
        <v>384</v>
      </c>
      <c r="H3296" t="s">
        <v>9493</v>
      </c>
      <c r="I3296" s="4">
        <v>45443.875</v>
      </c>
      <c r="K3296" t="s">
        <v>743</v>
      </c>
      <c r="L3296" s="5"/>
      <c r="M3296" s="5" t="s">
        <v>8423</v>
      </c>
      <c r="N3296" t="s">
        <v>82</v>
      </c>
      <c r="O3296" t="s">
        <v>9494</v>
      </c>
      <c r="R3296">
        <v>1</v>
      </c>
      <c r="T3296" s="5"/>
      <c r="W3296">
        <v>270</v>
      </c>
      <c r="X3296" t="s">
        <v>8412</v>
      </c>
      <c r="Y3296" t="str">
        <f>VLOOKUP(C3296,'[1]DBS_KPY Sorumlular'!A:C,2,FALSE)</f>
        <v>Tayfun VİÇE</v>
      </c>
      <c r="Z3296" t="str">
        <f>VLOOKUP(C3296,'[1]DBS_KPY Sorumlular'!A:C,3,FALSE)</f>
        <v>Mehmet Ali YAVUZ</v>
      </c>
      <c r="AA3296" t="str">
        <f>VLOOKUP(K3296,[1]!Tablo3[#Data],2,FALSE)</f>
        <v>Kadir TOPÇU</v>
      </c>
    </row>
    <row r="3297" spans="1:27" x14ac:dyDescent="0.25">
      <c r="A3297">
        <v>4638</v>
      </c>
      <c r="B3297" t="s">
        <v>27</v>
      </c>
      <c r="C3297" t="s">
        <v>402</v>
      </c>
      <c r="D3297" t="s">
        <v>403</v>
      </c>
      <c r="G3297" t="s">
        <v>384</v>
      </c>
      <c r="H3297" t="s">
        <v>9495</v>
      </c>
      <c r="I3297" s="4">
        <v>45443.875</v>
      </c>
      <c r="K3297" t="s">
        <v>743</v>
      </c>
      <c r="L3297" s="5"/>
      <c r="M3297" s="5" t="s">
        <v>8423</v>
      </c>
      <c r="N3297" t="s">
        <v>82</v>
      </c>
      <c r="O3297" t="s">
        <v>9496</v>
      </c>
      <c r="R3297">
        <v>1</v>
      </c>
      <c r="T3297" s="5"/>
      <c r="W3297">
        <v>270</v>
      </c>
      <c r="X3297" t="s">
        <v>8412</v>
      </c>
      <c r="Y3297" t="str">
        <f>VLOOKUP(C3297,'[1]DBS_KPY Sorumlular'!A:C,2,FALSE)</f>
        <v>Tayfun VİÇE</v>
      </c>
      <c r="Z3297" t="str">
        <f>VLOOKUP(C3297,'[1]DBS_KPY Sorumlular'!A:C,3,FALSE)</f>
        <v>Mehmet Ali YAVUZ</v>
      </c>
      <c r="AA3297" t="str">
        <f>VLOOKUP(K3297,[1]!Tablo3[#Data],2,FALSE)</f>
        <v>Kadir TOPÇU</v>
      </c>
    </row>
    <row r="3298" spans="1:27" x14ac:dyDescent="0.25">
      <c r="A3298">
        <v>4639</v>
      </c>
      <c r="B3298" t="s">
        <v>27</v>
      </c>
      <c r="C3298" t="s">
        <v>402</v>
      </c>
      <c r="D3298" t="s">
        <v>403</v>
      </c>
      <c r="G3298" t="s">
        <v>384</v>
      </c>
      <c r="H3298" t="s">
        <v>9497</v>
      </c>
      <c r="I3298" s="4">
        <v>45443.875</v>
      </c>
      <c r="K3298" t="s">
        <v>743</v>
      </c>
      <c r="L3298" s="5"/>
      <c r="M3298" s="5" t="s">
        <v>8423</v>
      </c>
      <c r="N3298" t="s">
        <v>82</v>
      </c>
      <c r="O3298" t="s">
        <v>9498</v>
      </c>
      <c r="R3298">
        <v>1</v>
      </c>
      <c r="T3298" s="5"/>
      <c r="W3298">
        <v>270</v>
      </c>
      <c r="X3298" t="s">
        <v>8412</v>
      </c>
      <c r="Y3298" t="str">
        <f>VLOOKUP(C3298,'[1]DBS_KPY Sorumlular'!A:C,2,FALSE)</f>
        <v>Tayfun VİÇE</v>
      </c>
      <c r="Z3298" t="str">
        <f>VLOOKUP(C3298,'[1]DBS_KPY Sorumlular'!A:C,3,FALSE)</f>
        <v>Mehmet Ali YAVUZ</v>
      </c>
      <c r="AA3298" t="str">
        <f>VLOOKUP(K3298,[1]!Tablo3[#Data],2,FALSE)</f>
        <v>Kadir TOPÇU</v>
      </c>
    </row>
    <row r="3299" spans="1:27" x14ac:dyDescent="0.25">
      <c r="A3299">
        <v>4640</v>
      </c>
      <c r="B3299" t="s">
        <v>27</v>
      </c>
      <c r="C3299" t="s">
        <v>402</v>
      </c>
      <c r="D3299" t="s">
        <v>403</v>
      </c>
      <c r="G3299" t="s">
        <v>384</v>
      </c>
      <c r="H3299" t="s">
        <v>9499</v>
      </c>
      <c r="I3299" s="4">
        <v>45443.875</v>
      </c>
      <c r="K3299" t="s">
        <v>435</v>
      </c>
      <c r="L3299" s="5"/>
      <c r="M3299" s="5" t="s">
        <v>8423</v>
      </c>
      <c r="N3299" t="s">
        <v>82</v>
      </c>
      <c r="O3299" t="s">
        <v>9500</v>
      </c>
      <c r="R3299">
        <v>1</v>
      </c>
      <c r="T3299" s="5"/>
      <c r="W3299">
        <v>270</v>
      </c>
      <c r="X3299" t="s">
        <v>8412</v>
      </c>
      <c r="Y3299" t="str">
        <f>VLOOKUP(C3299,'[1]DBS_KPY Sorumlular'!A:C,2,FALSE)</f>
        <v>Tayfun VİÇE</v>
      </c>
      <c r="Z3299" t="str">
        <f>VLOOKUP(C3299,'[1]DBS_KPY Sorumlular'!A:C,3,FALSE)</f>
        <v>Mehmet Ali YAVUZ</v>
      </c>
      <c r="AA3299" t="str">
        <f>VLOOKUP(K3299,[1]!Tablo3[#Data],2,FALSE)</f>
        <v>Tayfun VİÇE</v>
      </c>
    </row>
    <row r="3300" spans="1:27" x14ac:dyDescent="0.25">
      <c r="A3300">
        <v>4641</v>
      </c>
      <c r="B3300" t="s">
        <v>27</v>
      </c>
      <c r="C3300" t="s">
        <v>402</v>
      </c>
      <c r="D3300" t="s">
        <v>403</v>
      </c>
      <c r="G3300" t="s">
        <v>384</v>
      </c>
      <c r="H3300" t="s">
        <v>9501</v>
      </c>
      <c r="I3300" s="4">
        <v>45443.875</v>
      </c>
      <c r="K3300" t="s">
        <v>678</v>
      </c>
      <c r="L3300" s="5"/>
      <c r="M3300" s="5" t="s">
        <v>8423</v>
      </c>
      <c r="N3300" t="s">
        <v>82</v>
      </c>
      <c r="O3300" t="s">
        <v>9502</v>
      </c>
      <c r="R3300">
        <v>1</v>
      </c>
      <c r="T3300" s="5"/>
      <c r="W3300">
        <v>270</v>
      </c>
      <c r="X3300" t="s">
        <v>8412</v>
      </c>
      <c r="Y3300" t="str">
        <f>VLOOKUP(C3300,'[1]DBS_KPY Sorumlular'!A:C,2,FALSE)</f>
        <v>Tayfun VİÇE</v>
      </c>
      <c r="Z3300" t="str">
        <f>VLOOKUP(C3300,'[1]DBS_KPY Sorumlular'!A:C,3,FALSE)</f>
        <v>Mehmet Ali YAVUZ</v>
      </c>
      <c r="AA3300" t="str">
        <f>VLOOKUP(K3300,[1]!Tablo3[#Data],2,FALSE)</f>
        <v>Kadir TOPÇU</v>
      </c>
    </row>
    <row r="3301" spans="1:27" x14ac:dyDescent="0.25">
      <c r="A3301">
        <v>4642</v>
      </c>
      <c r="B3301" t="s">
        <v>27</v>
      </c>
      <c r="C3301" t="s">
        <v>402</v>
      </c>
      <c r="D3301" t="s">
        <v>403</v>
      </c>
      <c r="G3301" t="s">
        <v>384</v>
      </c>
      <c r="H3301" t="s">
        <v>9503</v>
      </c>
      <c r="I3301" s="4">
        <v>45443.875</v>
      </c>
      <c r="K3301" t="s">
        <v>743</v>
      </c>
      <c r="L3301" s="5"/>
      <c r="M3301" s="5" t="s">
        <v>8423</v>
      </c>
      <c r="N3301" t="s">
        <v>82</v>
      </c>
      <c r="O3301" t="s">
        <v>9504</v>
      </c>
      <c r="R3301">
        <v>1</v>
      </c>
      <c r="T3301" s="5"/>
      <c r="W3301">
        <v>270</v>
      </c>
      <c r="X3301" t="s">
        <v>8412</v>
      </c>
      <c r="Y3301" t="str">
        <f>VLOOKUP(C3301,'[1]DBS_KPY Sorumlular'!A:C,2,FALSE)</f>
        <v>Tayfun VİÇE</v>
      </c>
      <c r="Z3301" t="str">
        <f>VLOOKUP(C3301,'[1]DBS_KPY Sorumlular'!A:C,3,FALSE)</f>
        <v>Mehmet Ali YAVUZ</v>
      </c>
      <c r="AA3301" t="str">
        <f>VLOOKUP(K3301,[1]!Tablo3[#Data],2,FALSE)</f>
        <v>Kadir TOPÇU</v>
      </c>
    </row>
    <row r="3302" spans="1:27" x14ac:dyDescent="0.25">
      <c r="A3302">
        <v>4643</v>
      </c>
      <c r="B3302" t="s">
        <v>27</v>
      </c>
      <c r="C3302" t="s">
        <v>402</v>
      </c>
      <c r="D3302" t="s">
        <v>403</v>
      </c>
      <c r="G3302" t="s">
        <v>384</v>
      </c>
      <c r="H3302" t="s">
        <v>9505</v>
      </c>
      <c r="I3302" s="4">
        <v>45443.875</v>
      </c>
      <c r="K3302" t="s">
        <v>914</v>
      </c>
      <c r="L3302" s="5"/>
      <c r="M3302" s="5" t="s">
        <v>8423</v>
      </c>
      <c r="N3302" t="s">
        <v>82</v>
      </c>
      <c r="O3302" t="s">
        <v>9506</v>
      </c>
      <c r="R3302">
        <v>1</v>
      </c>
      <c r="T3302" s="5"/>
      <c r="W3302">
        <v>270</v>
      </c>
      <c r="X3302" t="s">
        <v>8412</v>
      </c>
      <c r="Y3302" t="str">
        <f>VLOOKUP(C3302,'[1]DBS_KPY Sorumlular'!A:C,2,FALSE)</f>
        <v>Tayfun VİÇE</v>
      </c>
      <c r="Z3302" t="str">
        <f>VLOOKUP(C3302,'[1]DBS_KPY Sorumlular'!A:C,3,FALSE)</f>
        <v>Mehmet Ali YAVUZ</v>
      </c>
      <c r="AA3302" t="str">
        <f>VLOOKUP(K3302,[1]!Tablo3[#Data],2,FALSE)</f>
        <v>Tayfun VİÇE</v>
      </c>
    </row>
    <row r="3303" spans="1:27" x14ac:dyDescent="0.25">
      <c r="A3303">
        <v>4644</v>
      </c>
      <c r="B3303" t="s">
        <v>27</v>
      </c>
      <c r="C3303" t="s">
        <v>402</v>
      </c>
      <c r="D3303" t="s">
        <v>403</v>
      </c>
      <c r="G3303" t="s">
        <v>384</v>
      </c>
      <c r="H3303" t="s">
        <v>9507</v>
      </c>
      <c r="I3303" s="4">
        <v>45443.875</v>
      </c>
      <c r="K3303" t="s">
        <v>1528</v>
      </c>
      <c r="L3303" s="5"/>
      <c r="M3303" s="5" t="s">
        <v>8423</v>
      </c>
      <c r="N3303" t="s">
        <v>82</v>
      </c>
      <c r="O3303" t="s">
        <v>9508</v>
      </c>
      <c r="R3303">
        <v>1</v>
      </c>
      <c r="T3303" s="5"/>
      <c r="W3303">
        <v>270</v>
      </c>
      <c r="X3303" t="s">
        <v>8412</v>
      </c>
      <c r="Y3303" t="str">
        <f>VLOOKUP(C3303,'[1]DBS_KPY Sorumlular'!A:C,2,FALSE)</f>
        <v>Tayfun VİÇE</v>
      </c>
      <c r="Z3303" t="str">
        <f>VLOOKUP(C3303,'[1]DBS_KPY Sorumlular'!A:C,3,FALSE)</f>
        <v>Mehmet Ali YAVUZ</v>
      </c>
      <c r="AA3303" t="str">
        <f>VLOOKUP(K3303,[1]!Tablo3[#Data],2,FALSE)</f>
        <v>Tayfun VİÇE</v>
      </c>
    </row>
    <row r="3304" spans="1:27" x14ac:dyDescent="0.25">
      <c r="A3304">
        <v>4645</v>
      </c>
      <c r="B3304" t="s">
        <v>27</v>
      </c>
      <c r="C3304" t="s">
        <v>402</v>
      </c>
      <c r="D3304" t="s">
        <v>403</v>
      </c>
      <c r="G3304" t="s">
        <v>384</v>
      </c>
      <c r="H3304" t="s">
        <v>9509</v>
      </c>
      <c r="I3304" s="4">
        <v>45443.875</v>
      </c>
      <c r="K3304" t="s">
        <v>435</v>
      </c>
      <c r="L3304" s="5"/>
      <c r="M3304" s="5" t="s">
        <v>8423</v>
      </c>
      <c r="N3304" t="s">
        <v>82</v>
      </c>
      <c r="O3304" t="s">
        <v>9510</v>
      </c>
      <c r="R3304">
        <v>1</v>
      </c>
      <c r="T3304" s="5"/>
      <c r="W3304">
        <v>270</v>
      </c>
      <c r="X3304" t="s">
        <v>8412</v>
      </c>
      <c r="Y3304" t="str">
        <f>VLOOKUP(C3304,'[1]DBS_KPY Sorumlular'!A:C,2,FALSE)</f>
        <v>Tayfun VİÇE</v>
      </c>
      <c r="Z3304" t="str">
        <f>VLOOKUP(C3304,'[1]DBS_KPY Sorumlular'!A:C,3,FALSE)</f>
        <v>Mehmet Ali YAVUZ</v>
      </c>
      <c r="AA3304" t="str">
        <f>VLOOKUP(K3304,[1]!Tablo3[#Data],2,FALSE)</f>
        <v>Tayfun VİÇE</v>
      </c>
    </row>
    <row r="3305" spans="1:27" x14ac:dyDescent="0.25">
      <c r="A3305">
        <v>4646</v>
      </c>
      <c r="B3305" t="s">
        <v>27</v>
      </c>
      <c r="C3305" t="s">
        <v>402</v>
      </c>
      <c r="D3305" t="s">
        <v>403</v>
      </c>
      <c r="G3305" t="s">
        <v>384</v>
      </c>
      <c r="H3305" t="s">
        <v>9511</v>
      </c>
      <c r="I3305" s="4">
        <v>45443.875</v>
      </c>
      <c r="K3305" t="s">
        <v>743</v>
      </c>
      <c r="L3305" s="5"/>
      <c r="M3305" s="5" t="s">
        <v>8423</v>
      </c>
      <c r="N3305" t="s">
        <v>82</v>
      </c>
      <c r="O3305" t="s">
        <v>9512</v>
      </c>
      <c r="R3305">
        <v>1</v>
      </c>
      <c r="T3305" s="5"/>
      <c r="W3305">
        <v>270</v>
      </c>
      <c r="X3305" t="s">
        <v>8412</v>
      </c>
      <c r="Y3305" t="str">
        <f>VLOOKUP(C3305,'[1]DBS_KPY Sorumlular'!A:C,2,FALSE)</f>
        <v>Tayfun VİÇE</v>
      </c>
      <c r="Z3305" t="str">
        <f>VLOOKUP(C3305,'[1]DBS_KPY Sorumlular'!A:C,3,FALSE)</f>
        <v>Mehmet Ali YAVUZ</v>
      </c>
      <c r="AA3305" t="str">
        <f>VLOOKUP(K3305,[1]!Tablo3[#Data],2,FALSE)</f>
        <v>Kadir TOPÇU</v>
      </c>
    </row>
    <row r="3306" spans="1:27" x14ac:dyDescent="0.25">
      <c r="A3306">
        <v>4647</v>
      </c>
      <c r="B3306" t="s">
        <v>27</v>
      </c>
      <c r="C3306" t="s">
        <v>402</v>
      </c>
      <c r="D3306" t="s">
        <v>403</v>
      </c>
      <c r="G3306" t="s">
        <v>384</v>
      </c>
      <c r="H3306" t="s">
        <v>9513</v>
      </c>
      <c r="I3306" s="4">
        <v>45443.875</v>
      </c>
      <c r="K3306" t="s">
        <v>743</v>
      </c>
      <c r="L3306" s="5"/>
      <c r="M3306" s="5" t="s">
        <v>8423</v>
      </c>
      <c r="N3306" t="s">
        <v>82</v>
      </c>
      <c r="O3306" t="s">
        <v>9514</v>
      </c>
      <c r="R3306">
        <v>1</v>
      </c>
      <c r="T3306" s="5"/>
      <c r="W3306">
        <v>270</v>
      </c>
      <c r="X3306" t="s">
        <v>8412</v>
      </c>
      <c r="Y3306" t="str">
        <f>VLOOKUP(C3306,'[1]DBS_KPY Sorumlular'!A:C,2,FALSE)</f>
        <v>Tayfun VİÇE</v>
      </c>
      <c r="Z3306" t="str">
        <f>VLOOKUP(C3306,'[1]DBS_KPY Sorumlular'!A:C,3,FALSE)</f>
        <v>Mehmet Ali YAVUZ</v>
      </c>
      <c r="AA3306" t="str">
        <f>VLOOKUP(K3306,[1]!Tablo3[#Data],2,FALSE)</f>
        <v>Kadir TOPÇU</v>
      </c>
    </row>
    <row r="3307" spans="1:27" x14ac:dyDescent="0.25">
      <c r="A3307">
        <v>4648</v>
      </c>
      <c r="B3307" t="s">
        <v>27</v>
      </c>
      <c r="C3307" t="s">
        <v>402</v>
      </c>
      <c r="D3307" t="s">
        <v>403</v>
      </c>
      <c r="G3307" t="s">
        <v>384</v>
      </c>
      <c r="H3307" t="s">
        <v>9515</v>
      </c>
      <c r="I3307" s="4">
        <v>45443.875</v>
      </c>
      <c r="K3307" t="s">
        <v>743</v>
      </c>
      <c r="L3307" s="5"/>
      <c r="M3307" s="5" t="s">
        <v>8423</v>
      </c>
      <c r="N3307" t="s">
        <v>82</v>
      </c>
      <c r="O3307" t="s">
        <v>9516</v>
      </c>
      <c r="R3307">
        <v>1</v>
      </c>
      <c r="T3307" s="5"/>
      <c r="W3307">
        <v>270</v>
      </c>
      <c r="X3307" t="s">
        <v>8412</v>
      </c>
      <c r="Y3307" t="str">
        <f>VLOOKUP(C3307,'[1]DBS_KPY Sorumlular'!A:C,2,FALSE)</f>
        <v>Tayfun VİÇE</v>
      </c>
      <c r="Z3307" t="str">
        <f>VLOOKUP(C3307,'[1]DBS_KPY Sorumlular'!A:C,3,FALSE)</f>
        <v>Mehmet Ali YAVUZ</v>
      </c>
      <c r="AA3307" t="str">
        <f>VLOOKUP(K3307,[1]!Tablo3[#Data],2,FALSE)</f>
        <v>Kadir TOPÇU</v>
      </c>
    </row>
    <row r="3308" spans="1:27" x14ac:dyDescent="0.25">
      <c r="A3308">
        <v>4649</v>
      </c>
      <c r="B3308" t="s">
        <v>27</v>
      </c>
      <c r="C3308" t="s">
        <v>402</v>
      </c>
      <c r="D3308" t="s">
        <v>403</v>
      </c>
      <c r="G3308" t="s">
        <v>384</v>
      </c>
      <c r="H3308" t="s">
        <v>9517</v>
      </c>
      <c r="I3308" s="4">
        <v>45443.875</v>
      </c>
      <c r="K3308" t="s">
        <v>743</v>
      </c>
      <c r="L3308" s="5"/>
      <c r="M3308" s="5" t="s">
        <v>8423</v>
      </c>
      <c r="N3308" t="s">
        <v>82</v>
      </c>
      <c r="O3308" t="s">
        <v>9518</v>
      </c>
      <c r="R3308">
        <v>1</v>
      </c>
      <c r="T3308" s="5"/>
      <c r="W3308">
        <v>270</v>
      </c>
      <c r="X3308" t="s">
        <v>8412</v>
      </c>
      <c r="Y3308" t="str">
        <f>VLOOKUP(C3308,'[1]DBS_KPY Sorumlular'!A:C,2,FALSE)</f>
        <v>Tayfun VİÇE</v>
      </c>
      <c r="Z3308" t="str">
        <f>VLOOKUP(C3308,'[1]DBS_KPY Sorumlular'!A:C,3,FALSE)</f>
        <v>Mehmet Ali YAVUZ</v>
      </c>
      <c r="AA3308" t="str">
        <f>VLOOKUP(K3308,[1]!Tablo3[#Data],2,FALSE)</f>
        <v>Kadir TOPÇU</v>
      </c>
    </row>
    <row r="3309" spans="1:27" x14ac:dyDescent="0.25">
      <c r="A3309">
        <v>4650</v>
      </c>
      <c r="B3309" t="s">
        <v>27</v>
      </c>
      <c r="C3309" t="s">
        <v>402</v>
      </c>
      <c r="D3309" t="s">
        <v>403</v>
      </c>
      <c r="G3309" t="s">
        <v>384</v>
      </c>
      <c r="H3309" t="s">
        <v>9519</v>
      </c>
      <c r="I3309" s="4">
        <v>45443.875</v>
      </c>
      <c r="K3309" t="s">
        <v>743</v>
      </c>
      <c r="L3309" s="5"/>
      <c r="M3309" s="5" t="s">
        <v>8423</v>
      </c>
      <c r="N3309" t="s">
        <v>82</v>
      </c>
      <c r="O3309" t="s">
        <v>9520</v>
      </c>
      <c r="R3309">
        <v>1</v>
      </c>
      <c r="T3309" s="5"/>
      <c r="W3309">
        <v>270</v>
      </c>
      <c r="X3309" t="s">
        <v>8412</v>
      </c>
      <c r="Y3309" t="str">
        <f>VLOOKUP(C3309,'[1]DBS_KPY Sorumlular'!A:C,2,FALSE)</f>
        <v>Tayfun VİÇE</v>
      </c>
      <c r="Z3309" t="str">
        <f>VLOOKUP(C3309,'[1]DBS_KPY Sorumlular'!A:C,3,FALSE)</f>
        <v>Mehmet Ali YAVUZ</v>
      </c>
      <c r="AA3309" t="str">
        <f>VLOOKUP(K3309,[1]!Tablo3[#Data],2,FALSE)</f>
        <v>Kadir TOPÇU</v>
      </c>
    </row>
    <row r="3310" spans="1:27" x14ac:dyDescent="0.25">
      <c r="A3310">
        <v>4651</v>
      </c>
      <c r="B3310" t="s">
        <v>27</v>
      </c>
      <c r="C3310" t="s">
        <v>402</v>
      </c>
      <c r="D3310" t="s">
        <v>403</v>
      </c>
      <c r="G3310" t="s">
        <v>384</v>
      </c>
      <c r="H3310" t="s">
        <v>9521</v>
      </c>
      <c r="I3310" s="4">
        <v>45443.875</v>
      </c>
      <c r="K3310" t="s">
        <v>743</v>
      </c>
      <c r="L3310" s="5"/>
      <c r="M3310" s="5" t="s">
        <v>8423</v>
      </c>
      <c r="N3310" t="s">
        <v>82</v>
      </c>
      <c r="O3310" t="s">
        <v>9522</v>
      </c>
      <c r="R3310">
        <v>1</v>
      </c>
      <c r="T3310" s="5"/>
      <c r="W3310">
        <v>270</v>
      </c>
      <c r="X3310" t="s">
        <v>8412</v>
      </c>
      <c r="Y3310" t="str">
        <f>VLOOKUP(C3310,'[1]DBS_KPY Sorumlular'!A:C,2,FALSE)</f>
        <v>Tayfun VİÇE</v>
      </c>
      <c r="Z3310" t="str">
        <f>VLOOKUP(C3310,'[1]DBS_KPY Sorumlular'!A:C,3,FALSE)</f>
        <v>Mehmet Ali YAVUZ</v>
      </c>
      <c r="AA3310" t="str">
        <f>VLOOKUP(K3310,[1]!Tablo3[#Data],2,FALSE)</f>
        <v>Kadir TOPÇU</v>
      </c>
    </row>
    <row r="3311" spans="1:27" x14ac:dyDescent="0.25">
      <c r="A3311">
        <v>4652</v>
      </c>
      <c r="B3311" t="s">
        <v>27</v>
      </c>
      <c r="C3311" t="s">
        <v>402</v>
      </c>
      <c r="D3311" t="s">
        <v>403</v>
      </c>
      <c r="G3311" t="s">
        <v>384</v>
      </c>
      <c r="H3311" t="s">
        <v>9523</v>
      </c>
      <c r="I3311" s="4">
        <v>45443.875</v>
      </c>
      <c r="K3311" t="s">
        <v>743</v>
      </c>
      <c r="L3311" s="5"/>
      <c r="M3311" s="5" t="s">
        <v>8423</v>
      </c>
      <c r="N3311" t="s">
        <v>82</v>
      </c>
      <c r="O3311" t="s">
        <v>9524</v>
      </c>
      <c r="R3311">
        <v>1</v>
      </c>
      <c r="T3311" s="5"/>
      <c r="W3311">
        <v>270</v>
      </c>
      <c r="X3311" t="s">
        <v>8412</v>
      </c>
      <c r="Y3311" t="str">
        <f>VLOOKUP(C3311,'[1]DBS_KPY Sorumlular'!A:C,2,FALSE)</f>
        <v>Tayfun VİÇE</v>
      </c>
      <c r="Z3311" t="str">
        <f>VLOOKUP(C3311,'[1]DBS_KPY Sorumlular'!A:C,3,FALSE)</f>
        <v>Mehmet Ali YAVUZ</v>
      </c>
      <c r="AA3311" t="str">
        <f>VLOOKUP(K3311,[1]!Tablo3[#Data],2,FALSE)</f>
        <v>Kadir TOPÇU</v>
      </c>
    </row>
    <row r="3312" spans="1:27" x14ac:dyDescent="0.25">
      <c r="A3312">
        <v>4653</v>
      </c>
      <c r="B3312" t="s">
        <v>27</v>
      </c>
      <c r="C3312" t="s">
        <v>402</v>
      </c>
      <c r="D3312" t="s">
        <v>403</v>
      </c>
      <c r="G3312" t="s">
        <v>384</v>
      </c>
      <c r="H3312" t="s">
        <v>9525</v>
      </c>
      <c r="I3312" s="4">
        <v>45443.875</v>
      </c>
      <c r="K3312" t="s">
        <v>743</v>
      </c>
      <c r="L3312" s="5"/>
      <c r="M3312" s="5" t="s">
        <v>8423</v>
      </c>
      <c r="N3312" t="s">
        <v>82</v>
      </c>
      <c r="O3312" t="s">
        <v>9526</v>
      </c>
      <c r="R3312">
        <v>1</v>
      </c>
      <c r="T3312" s="5"/>
      <c r="W3312">
        <v>270</v>
      </c>
      <c r="X3312" t="s">
        <v>8412</v>
      </c>
      <c r="Y3312" t="str">
        <f>VLOOKUP(C3312,'[1]DBS_KPY Sorumlular'!A:C,2,FALSE)</f>
        <v>Tayfun VİÇE</v>
      </c>
      <c r="Z3312" t="str">
        <f>VLOOKUP(C3312,'[1]DBS_KPY Sorumlular'!A:C,3,FALSE)</f>
        <v>Mehmet Ali YAVUZ</v>
      </c>
      <c r="AA3312" t="str">
        <f>VLOOKUP(K3312,[1]!Tablo3[#Data],2,FALSE)</f>
        <v>Kadir TOPÇU</v>
      </c>
    </row>
    <row r="3313" spans="1:27" x14ac:dyDescent="0.25">
      <c r="A3313">
        <v>4654</v>
      </c>
      <c r="B3313" t="s">
        <v>27</v>
      </c>
      <c r="C3313" t="s">
        <v>402</v>
      </c>
      <c r="D3313" t="s">
        <v>403</v>
      </c>
      <c r="G3313" t="s">
        <v>384</v>
      </c>
      <c r="H3313" t="s">
        <v>9527</v>
      </c>
      <c r="I3313" s="4">
        <v>45443.875</v>
      </c>
      <c r="K3313" t="s">
        <v>743</v>
      </c>
      <c r="L3313" s="5"/>
      <c r="M3313" s="5" t="s">
        <v>8423</v>
      </c>
      <c r="N3313" t="s">
        <v>82</v>
      </c>
      <c r="O3313" t="s">
        <v>9528</v>
      </c>
      <c r="R3313">
        <v>1</v>
      </c>
      <c r="T3313" s="5"/>
      <c r="W3313">
        <v>270</v>
      </c>
      <c r="X3313" t="s">
        <v>8412</v>
      </c>
      <c r="Y3313" t="str">
        <f>VLOOKUP(C3313,'[1]DBS_KPY Sorumlular'!A:C,2,FALSE)</f>
        <v>Tayfun VİÇE</v>
      </c>
      <c r="Z3313" t="str">
        <f>VLOOKUP(C3313,'[1]DBS_KPY Sorumlular'!A:C,3,FALSE)</f>
        <v>Mehmet Ali YAVUZ</v>
      </c>
      <c r="AA3313" t="str">
        <f>VLOOKUP(K3313,[1]!Tablo3[#Data],2,FALSE)</f>
        <v>Kadir TOPÇU</v>
      </c>
    </row>
    <row r="3314" spans="1:27" x14ac:dyDescent="0.25">
      <c r="A3314">
        <v>4655</v>
      </c>
      <c r="B3314" t="s">
        <v>27</v>
      </c>
      <c r="C3314" t="s">
        <v>402</v>
      </c>
      <c r="D3314" t="s">
        <v>403</v>
      </c>
      <c r="G3314" t="s">
        <v>384</v>
      </c>
      <c r="H3314" t="s">
        <v>9529</v>
      </c>
      <c r="I3314" s="4">
        <v>45443.875</v>
      </c>
      <c r="K3314" t="s">
        <v>743</v>
      </c>
      <c r="L3314" s="5"/>
      <c r="M3314" s="5" t="s">
        <v>8423</v>
      </c>
      <c r="N3314" t="s">
        <v>82</v>
      </c>
      <c r="O3314" t="s">
        <v>9530</v>
      </c>
      <c r="R3314">
        <v>1</v>
      </c>
      <c r="T3314" s="5"/>
      <c r="W3314">
        <v>270</v>
      </c>
      <c r="X3314" t="s">
        <v>8412</v>
      </c>
      <c r="Y3314" t="str">
        <f>VLOOKUP(C3314,'[1]DBS_KPY Sorumlular'!A:C,2,FALSE)</f>
        <v>Tayfun VİÇE</v>
      </c>
      <c r="Z3314" t="str">
        <f>VLOOKUP(C3314,'[1]DBS_KPY Sorumlular'!A:C,3,FALSE)</f>
        <v>Mehmet Ali YAVUZ</v>
      </c>
      <c r="AA3314" t="str">
        <f>VLOOKUP(K3314,[1]!Tablo3[#Data],2,FALSE)</f>
        <v>Kadir TOPÇU</v>
      </c>
    </row>
    <row r="3315" spans="1:27" x14ac:dyDescent="0.25">
      <c r="A3315">
        <v>4656</v>
      </c>
      <c r="B3315" t="s">
        <v>27</v>
      </c>
      <c r="C3315" t="s">
        <v>402</v>
      </c>
      <c r="D3315" t="s">
        <v>403</v>
      </c>
      <c r="G3315" t="s">
        <v>384</v>
      </c>
      <c r="H3315" t="s">
        <v>9531</v>
      </c>
      <c r="I3315" s="4">
        <v>45443.875</v>
      </c>
      <c r="K3315" t="s">
        <v>1528</v>
      </c>
      <c r="L3315" s="5"/>
      <c r="M3315" s="5" t="s">
        <v>8423</v>
      </c>
      <c r="N3315" t="s">
        <v>82</v>
      </c>
      <c r="O3315" t="s">
        <v>9532</v>
      </c>
      <c r="R3315">
        <v>1</v>
      </c>
      <c r="T3315" s="5"/>
      <c r="W3315">
        <v>270</v>
      </c>
      <c r="X3315" t="s">
        <v>8412</v>
      </c>
      <c r="Y3315" t="str">
        <f>VLOOKUP(C3315,'[1]DBS_KPY Sorumlular'!A:C,2,FALSE)</f>
        <v>Tayfun VİÇE</v>
      </c>
      <c r="Z3315" t="str">
        <f>VLOOKUP(C3315,'[1]DBS_KPY Sorumlular'!A:C,3,FALSE)</f>
        <v>Mehmet Ali YAVUZ</v>
      </c>
      <c r="AA3315" t="str">
        <f>VLOOKUP(K3315,[1]!Tablo3[#Data],2,FALSE)</f>
        <v>Tayfun VİÇE</v>
      </c>
    </row>
    <row r="3316" spans="1:27" x14ac:dyDescent="0.25">
      <c r="A3316">
        <v>4657</v>
      </c>
      <c r="B3316" t="s">
        <v>27</v>
      </c>
      <c r="C3316" t="s">
        <v>402</v>
      </c>
      <c r="D3316" t="s">
        <v>403</v>
      </c>
      <c r="G3316" t="s">
        <v>384</v>
      </c>
      <c r="H3316" t="s">
        <v>9533</v>
      </c>
      <c r="I3316" s="4">
        <v>45443.875</v>
      </c>
      <c r="K3316" t="s">
        <v>743</v>
      </c>
      <c r="L3316" s="5"/>
      <c r="M3316" s="5" t="s">
        <v>8423</v>
      </c>
      <c r="N3316" t="s">
        <v>82</v>
      </c>
      <c r="O3316" t="s">
        <v>9534</v>
      </c>
      <c r="R3316">
        <v>1</v>
      </c>
      <c r="T3316" s="5"/>
      <c r="W3316">
        <v>270</v>
      </c>
      <c r="X3316" t="s">
        <v>8412</v>
      </c>
      <c r="Y3316" t="str">
        <f>VLOOKUP(C3316,'[1]DBS_KPY Sorumlular'!A:C,2,FALSE)</f>
        <v>Tayfun VİÇE</v>
      </c>
      <c r="Z3316" t="str">
        <f>VLOOKUP(C3316,'[1]DBS_KPY Sorumlular'!A:C,3,FALSE)</f>
        <v>Mehmet Ali YAVUZ</v>
      </c>
      <c r="AA3316" t="str">
        <f>VLOOKUP(K3316,[1]!Tablo3[#Data],2,FALSE)</f>
        <v>Kadir TOPÇU</v>
      </c>
    </row>
    <row r="3317" spans="1:27" x14ac:dyDescent="0.25">
      <c r="A3317">
        <v>4658</v>
      </c>
      <c r="B3317" t="s">
        <v>27</v>
      </c>
      <c r="C3317" t="s">
        <v>402</v>
      </c>
      <c r="D3317" t="s">
        <v>403</v>
      </c>
      <c r="G3317" t="s">
        <v>384</v>
      </c>
      <c r="H3317" t="s">
        <v>9535</v>
      </c>
      <c r="I3317" s="4">
        <v>45443.875</v>
      </c>
      <c r="K3317" t="s">
        <v>743</v>
      </c>
      <c r="L3317" s="5"/>
      <c r="M3317" s="5" t="s">
        <v>8423</v>
      </c>
      <c r="N3317" t="s">
        <v>82</v>
      </c>
      <c r="O3317" t="s">
        <v>9536</v>
      </c>
      <c r="R3317">
        <v>1</v>
      </c>
      <c r="T3317" s="5"/>
      <c r="W3317">
        <v>270</v>
      </c>
      <c r="X3317" t="s">
        <v>8412</v>
      </c>
      <c r="Y3317" t="str">
        <f>VLOOKUP(C3317,'[1]DBS_KPY Sorumlular'!A:C,2,FALSE)</f>
        <v>Tayfun VİÇE</v>
      </c>
      <c r="Z3317" t="str">
        <f>VLOOKUP(C3317,'[1]DBS_KPY Sorumlular'!A:C,3,FALSE)</f>
        <v>Mehmet Ali YAVUZ</v>
      </c>
      <c r="AA3317" t="str">
        <f>VLOOKUP(K3317,[1]!Tablo3[#Data],2,FALSE)</f>
        <v>Kadir TOPÇU</v>
      </c>
    </row>
    <row r="3318" spans="1:27" x14ac:dyDescent="0.25">
      <c r="A3318">
        <v>4659</v>
      </c>
      <c r="B3318" t="s">
        <v>27</v>
      </c>
      <c r="C3318" t="s">
        <v>402</v>
      </c>
      <c r="D3318" t="s">
        <v>403</v>
      </c>
      <c r="G3318" t="s">
        <v>384</v>
      </c>
      <c r="H3318" t="s">
        <v>9537</v>
      </c>
      <c r="I3318" s="4">
        <v>45443.875</v>
      </c>
      <c r="K3318" t="s">
        <v>743</v>
      </c>
      <c r="L3318" s="5"/>
      <c r="M3318" s="5" t="s">
        <v>8423</v>
      </c>
      <c r="N3318" t="s">
        <v>82</v>
      </c>
      <c r="O3318" t="s">
        <v>9538</v>
      </c>
      <c r="R3318">
        <v>1</v>
      </c>
      <c r="T3318" s="5"/>
      <c r="W3318">
        <v>270</v>
      </c>
      <c r="X3318" t="s">
        <v>8412</v>
      </c>
      <c r="Y3318" t="str">
        <f>VLOOKUP(C3318,'[1]DBS_KPY Sorumlular'!A:C,2,FALSE)</f>
        <v>Tayfun VİÇE</v>
      </c>
      <c r="Z3318" t="str">
        <f>VLOOKUP(C3318,'[1]DBS_KPY Sorumlular'!A:C,3,FALSE)</f>
        <v>Mehmet Ali YAVUZ</v>
      </c>
      <c r="AA3318" t="str">
        <f>VLOOKUP(K3318,[1]!Tablo3[#Data],2,FALSE)</f>
        <v>Kadir TOPÇU</v>
      </c>
    </row>
    <row r="3319" spans="1:27" x14ac:dyDescent="0.25">
      <c r="A3319">
        <v>4660</v>
      </c>
      <c r="B3319" t="s">
        <v>27</v>
      </c>
      <c r="C3319" t="s">
        <v>402</v>
      </c>
      <c r="D3319" t="s">
        <v>403</v>
      </c>
      <c r="G3319" t="s">
        <v>384</v>
      </c>
      <c r="H3319" t="s">
        <v>9539</v>
      </c>
      <c r="I3319" s="4">
        <v>45443.875</v>
      </c>
      <c r="K3319" t="s">
        <v>743</v>
      </c>
      <c r="L3319" s="5"/>
      <c r="M3319" s="5" t="s">
        <v>8423</v>
      </c>
      <c r="N3319" t="s">
        <v>82</v>
      </c>
      <c r="O3319" t="s">
        <v>9540</v>
      </c>
      <c r="R3319">
        <v>1</v>
      </c>
      <c r="T3319" s="5"/>
      <c r="W3319">
        <v>270</v>
      </c>
      <c r="X3319" t="s">
        <v>8412</v>
      </c>
      <c r="Y3319" t="str">
        <f>VLOOKUP(C3319,'[1]DBS_KPY Sorumlular'!A:C,2,FALSE)</f>
        <v>Tayfun VİÇE</v>
      </c>
      <c r="Z3319" t="str">
        <f>VLOOKUP(C3319,'[1]DBS_KPY Sorumlular'!A:C,3,FALSE)</f>
        <v>Mehmet Ali YAVUZ</v>
      </c>
      <c r="AA3319" t="str">
        <f>VLOOKUP(K3319,[1]!Tablo3[#Data],2,FALSE)</f>
        <v>Kadir TOPÇU</v>
      </c>
    </row>
    <row r="3320" spans="1:27" x14ac:dyDescent="0.25">
      <c r="A3320">
        <v>4661</v>
      </c>
      <c r="B3320" t="s">
        <v>27</v>
      </c>
      <c r="C3320" t="s">
        <v>402</v>
      </c>
      <c r="D3320" t="s">
        <v>403</v>
      </c>
      <c r="G3320" t="s">
        <v>384</v>
      </c>
      <c r="H3320" t="s">
        <v>9541</v>
      </c>
      <c r="I3320" s="4">
        <v>45443.875</v>
      </c>
      <c r="K3320" t="s">
        <v>743</v>
      </c>
      <c r="L3320" s="5"/>
      <c r="M3320" s="5" t="s">
        <v>8423</v>
      </c>
      <c r="N3320" t="s">
        <v>82</v>
      </c>
      <c r="O3320" t="s">
        <v>9542</v>
      </c>
      <c r="R3320">
        <v>1</v>
      </c>
      <c r="T3320" s="5"/>
      <c r="W3320">
        <v>270</v>
      </c>
      <c r="X3320" t="s">
        <v>8412</v>
      </c>
      <c r="Y3320" t="str">
        <f>VLOOKUP(C3320,'[1]DBS_KPY Sorumlular'!A:C,2,FALSE)</f>
        <v>Tayfun VİÇE</v>
      </c>
      <c r="Z3320" t="str">
        <f>VLOOKUP(C3320,'[1]DBS_KPY Sorumlular'!A:C,3,FALSE)</f>
        <v>Mehmet Ali YAVUZ</v>
      </c>
      <c r="AA3320" t="str">
        <f>VLOOKUP(K3320,[1]!Tablo3[#Data],2,FALSE)</f>
        <v>Kadir TOPÇU</v>
      </c>
    </row>
    <row r="3321" spans="1:27" x14ac:dyDescent="0.25">
      <c r="A3321">
        <v>4662</v>
      </c>
      <c r="B3321" t="s">
        <v>27</v>
      </c>
      <c r="C3321" t="s">
        <v>402</v>
      </c>
      <c r="D3321" t="s">
        <v>403</v>
      </c>
      <c r="G3321" t="s">
        <v>384</v>
      </c>
      <c r="H3321" t="s">
        <v>9543</v>
      </c>
      <c r="I3321" s="4">
        <v>45443.875</v>
      </c>
      <c r="K3321" t="s">
        <v>1528</v>
      </c>
      <c r="L3321" s="5"/>
      <c r="M3321" s="5" t="s">
        <v>8423</v>
      </c>
      <c r="N3321" t="s">
        <v>82</v>
      </c>
      <c r="O3321" t="s">
        <v>9544</v>
      </c>
      <c r="R3321">
        <v>1</v>
      </c>
      <c r="T3321" s="5"/>
      <c r="W3321">
        <v>270</v>
      </c>
      <c r="X3321" t="s">
        <v>8412</v>
      </c>
      <c r="Y3321" t="str">
        <f>VLOOKUP(C3321,'[1]DBS_KPY Sorumlular'!A:C,2,FALSE)</f>
        <v>Tayfun VİÇE</v>
      </c>
      <c r="Z3321" t="str">
        <f>VLOOKUP(C3321,'[1]DBS_KPY Sorumlular'!A:C,3,FALSE)</f>
        <v>Mehmet Ali YAVUZ</v>
      </c>
      <c r="AA3321" t="str">
        <f>VLOOKUP(K3321,[1]!Tablo3[#Data],2,FALSE)</f>
        <v>Tayfun VİÇE</v>
      </c>
    </row>
    <row r="3322" spans="1:27" x14ac:dyDescent="0.25">
      <c r="A3322">
        <v>4663</v>
      </c>
      <c r="B3322" t="s">
        <v>27</v>
      </c>
      <c r="C3322" t="s">
        <v>402</v>
      </c>
      <c r="D3322" t="s">
        <v>403</v>
      </c>
      <c r="G3322" t="s">
        <v>384</v>
      </c>
      <c r="H3322" t="s">
        <v>9545</v>
      </c>
      <c r="I3322" s="4">
        <v>45443.875</v>
      </c>
      <c r="K3322" t="s">
        <v>1029</v>
      </c>
      <c r="L3322" s="5"/>
      <c r="M3322" s="5" t="s">
        <v>8423</v>
      </c>
      <c r="N3322" t="s">
        <v>82</v>
      </c>
      <c r="O3322" t="s">
        <v>9546</v>
      </c>
      <c r="R3322">
        <v>1</v>
      </c>
      <c r="T3322" s="5"/>
      <c r="W3322">
        <v>270</v>
      </c>
      <c r="X3322" t="s">
        <v>8412</v>
      </c>
      <c r="Y3322" t="str">
        <f>VLOOKUP(C3322,'[1]DBS_KPY Sorumlular'!A:C,2,FALSE)</f>
        <v>Tayfun VİÇE</v>
      </c>
      <c r="Z3322" t="str">
        <f>VLOOKUP(C3322,'[1]DBS_KPY Sorumlular'!A:C,3,FALSE)</f>
        <v>Mehmet Ali YAVUZ</v>
      </c>
      <c r="AA3322" t="str">
        <f>VLOOKUP(K3322,[1]!Tablo3[#Data],2,FALSE)</f>
        <v>Tayfun VİÇE</v>
      </c>
    </row>
    <row r="3323" spans="1:27" x14ac:dyDescent="0.25">
      <c r="A3323">
        <v>4664</v>
      </c>
      <c r="B3323" t="s">
        <v>27</v>
      </c>
      <c r="C3323" t="s">
        <v>402</v>
      </c>
      <c r="D3323" t="s">
        <v>403</v>
      </c>
      <c r="G3323" t="s">
        <v>384</v>
      </c>
      <c r="H3323" t="s">
        <v>9547</v>
      </c>
      <c r="I3323" s="4">
        <v>45443.875</v>
      </c>
      <c r="K3323" t="s">
        <v>743</v>
      </c>
      <c r="L3323" s="5"/>
      <c r="M3323" s="5" t="s">
        <v>8423</v>
      </c>
      <c r="N3323" t="s">
        <v>82</v>
      </c>
      <c r="O3323" t="s">
        <v>9548</v>
      </c>
      <c r="R3323">
        <v>1</v>
      </c>
      <c r="T3323" s="5"/>
      <c r="W3323">
        <v>270</v>
      </c>
      <c r="X3323" t="s">
        <v>8412</v>
      </c>
      <c r="Y3323" t="str">
        <f>VLOOKUP(C3323,'[1]DBS_KPY Sorumlular'!A:C,2,FALSE)</f>
        <v>Tayfun VİÇE</v>
      </c>
      <c r="Z3323" t="str">
        <f>VLOOKUP(C3323,'[1]DBS_KPY Sorumlular'!A:C,3,FALSE)</f>
        <v>Mehmet Ali YAVUZ</v>
      </c>
      <c r="AA3323" t="str">
        <f>VLOOKUP(K3323,[1]!Tablo3[#Data],2,FALSE)</f>
        <v>Kadir TOPÇU</v>
      </c>
    </row>
    <row r="3324" spans="1:27" x14ac:dyDescent="0.25">
      <c r="A3324">
        <v>4665</v>
      </c>
      <c r="B3324" t="s">
        <v>27</v>
      </c>
      <c r="C3324" t="s">
        <v>402</v>
      </c>
      <c r="D3324" t="s">
        <v>403</v>
      </c>
      <c r="G3324" t="s">
        <v>384</v>
      </c>
      <c r="H3324" t="s">
        <v>9549</v>
      </c>
      <c r="I3324" s="4">
        <v>45443.875</v>
      </c>
      <c r="K3324" t="s">
        <v>1528</v>
      </c>
      <c r="L3324" s="5"/>
      <c r="M3324" s="5" t="s">
        <v>8423</v>
      </c>
      <c r="N3324" t="s">
        <v>82</v>
      </c>
      <c r="O3324" t="s">
        <v>9550</v>
      </c>
      <c r="R3324">
        <v>1</v>
      </c>
      <c r="T3324" s="5"/>
      <c r="W3324">
        <v>270</v>
      </c>
      <c r="X3324" t="s">
        <v>8412</v>
      </c>
      <c r="Y3324" t="str">
        <f>VLOOKUP(C3324,'[1]DBS_KPY Sorumlular'!A:C,2,FALSE)</f>
        <v>Tayfun VİÇE</v>
      </c>
      <c r="Z3324" t="str">
        <f>VLOOKUP(C3324,'[1]DBS_KPY Sorumlular'!A:C,3,FALSE)</f>
        <v>Mehmet Ali YAVUZ</v>
      </c>
      <c r="AA3324" t="str">
        <f>VLOOKUP(K3324,[1]!Tablo3[#Data],2,FALSE)</f>
        <v>Tayfun VİÇE</v>
      </c>
    </row>
    <row r="3325" spans="1:27" x14ac:dyDescent="0.25">
      <c r="A3325">
        <v>4666</v>
      </c>
      <c r="B3325" t="s">
        <v>27</v>
      </c>
      <c r="C3325" t="s">
        <v>402</v>
      </c>
      <c r="D3325" t="s">
        <v>403</v>
      </c>
      <c r="G3325" t="s">
        <v>384</v>
      </c>
      <c r="H3325" t="s">
        <v>9551</v>
      </c>
      <c r="I3325" s="4">
        <v>45443.875</v>
      </c>
      <c r="K3325" t="s">
        <v>743</v>
      </c>
      <c r="L3325" s="5"/>
      <c r="M3325" s="5" t="s">
        <v>8423</v>
      </c>
      <c r="N3325" t="s">
        <v>82</v>
      </c>
      <c r="O3325" t="s">
        <v>9552</v>
      </c>
      <c r="R3325">
        <v>1</v>
      </c>
      <c r="T3325" s="5"/>
      <c r="W3325">
        <v>270</v>
      </c>
      <c r="X3325" t="s">
        <v>8412</v>
      </c>
      <c r="Y3325" t="str">
        <f>VLOOKUP(C3325,'[1]DBS_KPY Sorumlular'!A:C,2,FALSE)</f>
        <v>Tayfun VİÇE</v>
      </c>
      <c r="Z3325" t="str">
        <f>VLOOKUP(C3325,'[1]DBS_KPY Sorumlular'!A:C,3,FALSE)</f>
        <v>Mehmet Ali YAVUZ</v>
      </c>
      <c r="AA3325" t="str">
        <f>VLOOKUP(K3325,[1]!Tablo3[#Data],2,FALSE)</f>
        <v>Kadir TOPÇU</v>
      </c>
    </row>
    <row r="3326" spans="1:27" x14ac:dyDescent="0.25">
      <c r="A3326">
        <v>4667</v>
      </c>
      <c r="B3326" t="s">
        <v>27</v>
      </c>
      <c r="C3326" t="s">
        <v>402</v>
      </c>
      <c r="D3326" t="s">
        <v>403</v>
      </c>
      <c r="G3326" t="s">
        <v>384</v>
      </c>
      <c r="H3326" t="s">
        <v>9553</v>
      </c>
      <c r="I3326" s="4">
        <v>45443.875</v>
      </c>
      <c r="K3326" t="s">
        <v>743</v>
      </c>
      <c r="L3326" s="5"/>
      <c r="M3326" s="5" t="s">
        <v>8423</v>
      </c>
      <c r="N3326" t="s">
        <v>82</v>
      </c>
      <c r="O3326" t="s">
        <v>9554</v>
      </c>
      <c r="R3326">
        <v>1</v>
      </c>
      <c r="T3326" s="5"/>
      <c r="W3326">
        <v>270</v>
      </c>
      <c r="X3326" t="s">
        <v>8412</v>
      </c>
      <c r="Y3326" t="str">
        <f>VLOOKUP(C3326,'[1]DBS_KPY Sorumlular'!A:C,2,FALSE)</f>
        <v>Tayfun VİÇE</v>
      </c>
      <c r="Z3326" t="str">
        <f>VLOOKUP(C3326,'[1]DBS_KPY Sorumlular'!A:C,3,FALSE)</f>
        <v>Mehmet Ali YAVUZ</v>
      </c>
      <c r="AA3326" t="str">
        <f>VLOOKUP(K3326,[1]!Tablo3[#Data],2,FALSE)</f>
        <v>Kadir TOPÇU</v>
      </c>
    </row>
    <row r="3327" spans="1:27" x14ac:dyDescent="0.25">
      <c r="A3327">
        <v>4668</v>
      </c>
      <c r="B3327" t="s">
        <v>27</v>
      </c>
      <c r="C3327" t="s">
        <v>402</v>
      </c>
      <c r="D3327" t="s">
        <v>403</v>
      </c>
      <c r="G3327" t="s">
        <v>384</v>
      </c>
      <c r="H3327" t="s">
        <v>9555</v>
      </c>
      <c r="I3327" s="4">
        <v>45443.875</v>
      </c>
      <c r="K3327" t="s">
        <v>743</v>
      </c>
      <c r="L3327" s="5"/>
      <c r="M3327" s="5" t="s">
        <v>8423</v>
      </c>
      <c r="N3327" t="s">
        <v>82</v>
      </c>
      <c r="O3327" t="s">
        <v>9556</v>
      </c>
      <c r="R3327">
        <v>1</v>
      </c>
      <c r="T3327" s="5"/>
      <c r="W3327">
        <v>270</v>
      </c>
      <c r="X3327" t="s">
        <v>8412</v>
      </c>
      <c r="Y3327" t="str">
        <f>VLOOKUP(C3327,'[1]DBS_KPY Sorumlular'!A:C,2,FALSE)</f>
        <v>Tayfun VİÇE</v>
      </c>
      <c r="Z3327" t="str">
        <f>VLOOKUP(C3327,'[1]DBS_KPY Sorumlular'!A:C,3,FALSE)</f>
        <v>Mehmet Ali YAVUZ</v>
      </c>
      <c r="AA3327" t="str">
        <f>VLOOKUP(K3327,[1]!Tablo3[#Data],2,FALSE)</f>
        <v>Kadir TOPÇU</v>
      </c>
    </row>
    <row r="3328" spans="1:27" x14ac:dyDescent="0.25">
      <c r="A3328">
        <v>4669</v>
      </c>
      <c r="B3328" t="s">
        <v>27</v>
      </c>
      <c r="C3328" t="s">
        <v>402</v>
      </c>
      <c r="D3328" t="s">
        <v>403</v>
      </c>
      <c r="G3328" t="s">
        <v>384</v>
      </c>
      <c r="H3328" t="s">
        <v>9557</v>
      </c>
      <c r="I3328" s="4">
        <v>45443.875</v>
      </c>
      <c r="K3328" t="s">
        <v>743</v>
      </c>
      <c r="L3328" s="5"/>
      <c r="M3328" s="5" t="s">
        <v>8423</v>
      </c>
      <c r="N3328" t="s">
        <v>82</v>
      </c>
      <c r="O3328" t="s">
        <v>9558</v>
      </c>
      <c r="R3328">
        <v>1</v>
      </c>
      <c r="T3328" s="5"/>
      <c r="W3328">
        <v>270</v>
      </c>
      <c r="X3328" t="s">
        <v>8412</v>
      </c>
      <c r="Y3328" t="str">
        <f>VLOOKUP(C3328,'[1]DBS_KPY Sorumlular'!A:C,2,FALSE)</f>
        <v>Tayfun VİÇE</v>
      </c>
      <c r="Z3328" t="str">
        <f>VLOOKUP(C3328,'[1]DBS_KPY Sorumlular'!A:C,3,FALSE)</f>
        <v>Mehmet Ali YAVUZ</v>
      </c>
      <c r="AA3328" t="str">
        <f>VLOOKUP(K3328,[1]!Tablo3[#Data],2,FALSE)</f>
        <v>Kadir TOPÇU</v>
      </c>
    </row>
    <row r="3329" spans="1:27" x14ac:dyDescent="0.25">
      <c r="A3329">
        <v>4670</v>
      </c>
      <c r="B3329" t="s">
        <v>27</v>
      </c>
      <c r="C3329" t="s">
        <v>402</v>
      </c>
      <c r="D3329" t="s">
        <v>403</v>
      </c>
      <c r="G3329" t="s">
        <v>384</v>
      </c>
      <c r="H3329" t="s">
        <v>9559</v>
      </c>
      <c r="I3329" s="4">
        <v>45443.875</v>
      </c>
      <c r="K3329" t="s">
        <v>743</v>
      </c>
      <c r="L3329" s="5"/>
      <c r="M3329" s="5" t="s">
        <v>8423</v>
      </c>
      <c r="N3329" t="s">
        <v>82</v>
      </c>
      <c r="O3329" t="s">
        <v>9560</v>
      </c>
      <c r="R3329">
        <v>1</v>
      </c>
      <c r="T3329" s="5"/>
      <c r="W3329">
        <v>270</v>
      </c>
      <c r="X3329" t="s">
        <v>8412</v>
      </c>
      <c r="Y3329" t="str">
        <f>VLOOKUP(C3329,'[1]DBS_KPY Sorumlular'!A:C,2,FALSE)</f>
        <v>Tayfun VİÇE</v>
      </c>
      <c r="Z3329" t="str">
        <f>VLOOKUP(C3329,'[1]DBS_KPY Sorumlular'!A:C,3,FALSE)</f>
        <v>Mehmet Ali YAVUZ</v>
      </c>
      <c r="AA3329" t="str">
        <f>VLOOKUP(K3329,[1]!Tablo3[#Data],2,FALSE)</f>
        <v>Kadir TOPÇU</v>
      </c>
    </row>
    <row r="3330" spans="1:27" x14ac:dyDescent="0.25">
      <c r="A3330">
        <v>4671</v>
      </c>
      <c r="B3330" t="s">
        <v>27</v>
      </c>
      <c r="C3330" t="s">
        <v>402</v>
      </c>
      <c r="D3330" t="s">
        <v>403</v>
      </c>
      <c r="G3330" t="s">
        <v>384</v>
      </c>
      <c r="H3330" t="s">
        <v>9561</v>
      </c>
      <c r="I3330" s="4">
        <v>45443.875</v>
      </c>
      <c r="K3330" t="s">
        <v>743</v>
      </c>
      <c r="L3330" s="5"/>
      <c r="M3330" s="5" t="s">
        <v>8423</v>
      </c>
      <c r="N3330" t="s">
        <v>82</v>
      </c>
      <c r="O3330" t="s">
        <v>9562</v>
      </c>
      <c r="R3330">
        <v>1</v>
      </c>
      <c r="T3330" s="5"/>
      <c r="W3330">
        <v>270</v>
      </c>
      <c r="X3330" t="s">
        <v>8412</v>
      </c>
      <c r="Y3330" t="str">
        <f>VLOOKUP(C3330,'[1]DBS_KPY Sorumlular'!A:C,2,FALSE)</f>
        <v>Tayfun VİÇE</v>
      </c>
      <c r="Z3330" t="str">
        <f>VLOOKUP(C3330,'[1]DBS_KPY Sorumlular'!A:C,3,FALSE)</f>
        <v>Mehmet Ali YAVUZ</v>
      </c>
      <c r="AA3330" t="str">
        <f>VLOOKUP(K3330,[1]!Tablo3[#Data],2,FALSE)</f>
        <v>Kadir TOPÇU</v>
      </c>
    </row>
    <row r="3331" spans="1:27" x14ac:dyDescent="0.25">
      <c r="A3331">
        <v>4672</v>
      </c>
      <c r="B3331" t="s">
        <v>27</v>
      </c>
      <c r="C3331" t="s">
        <v>402</v>
      </c>
      <c r="D3331" t="s">
        <v>403</v>
      </c>
      <c r="G3331" t="s">
        <v>384</v>
      </c>
      <c r="H3331" t="s">
        <v>9563</v>
      </c>
      <c r="I3331" s="4">
        <v>45443.875</v>
      </c>
      <c r="K3331" t="s">
        <v>743</v>
      </c>
      <c r="L3331" s="5"/>
      <c r="M3331" s="5" t="s">
        <v>8423</v>
      </c>
      <c r="N3331" t="s">
        <v>82</v>
      </c>
      <c r="O3331" t="s">
        <v>9564</v>
      </c>
      <c r="R3331">
        <v>1</v>
      </c>
      <c r="T3331" s="5"/>
      <c r="W3331">
        <v>270</v>
      </c>
      <c r="X3331" t="s">
        <v>8412</v>
      </c>
      <c r="Y3331" t="str">
        <f>VLOOKUP(C3331,'[1]DBS_KPY Sorumlular'!A:C,2,FALSE)</f>
        <v>Tayfun VİÇE</v>
      </c>
      <c r="Z3331" t="str">
        <f>VLOOKUP(C3331,'[1]DBS_KPY Sorumlular'!A:C,3,FALSE)</f>
        <v>Mehmet Ali YAVUZ</v>
      </c>
      <c r="AA3331" t="str">
        <f>VLOOKUP(K3331,[1]!Tablo3[#Data],2,FALSE)</f>
        <v>Kadir TOPÇU</v>
      </c>
    </row>
    <row r="3332" spans="1:27" x14ac:dyDescent="0.25">
      <c r="A3332">
        <v>4673</v>
      </c>
      <c r="B3332" t="s">
        <v>27</v>
      </c>
      <c r="C3332" t="s">
        <v>402</v>
      </c>
      <c r="D3332" t="s">
        <v>403</v>
      </c>
      <c r="G3332" t="s">
        <v>384</v>
      </c>
      <c r="H3332" t="s">
        <v>9565</v>
      </c>
      <c r="I3332" s="4">
        <v>45443.875</v>
      </c>
      <c r="K3332" t="s">
        <v>743</v>
      </c>
      <c r="L3332" s="5"/>
      <c r="M3332" s="5" t="s">
        <v>8423</v>
      </c>
      <c r="N3332" t="s">
        <v>82</v>
      </c>
      <c r="O3332" t="s">
        <v>9566</v>
      </c>
      <c r="R3332">
        <v>1</v>
      </c>
      <c r="T3332" s="5"/>
      <c r="W3332">
        <v>270</v>
      </c>
      <c r="X3332" t="s">
        <v>8412</v>
      </c>
      <c r="Y3332" t="str">
        <f>VLOOKUP(C3332,'[1]DBS_KPY Sorumlular'!A:C,2,FALSE)</f>
        <v>Tayfun VİÇE</v>
      </c>
      <c r="Z3332" t="str">
        <f>VLOOKUP(C3332,'[1]DBS_KPY Sorumlular'!A:C,3,FALSE)</f>
        <v>Mehmet Ali YAVUZ</v>
      </c>
      <c r="AA3332" t="str">
        <f>VLOOKUP(K3332,[1]!Tablo3[#Data],2,FALSE)</f>
        <v>Kadir TOPÇU</v>
      </c>
    </row>
    <row r="3333" spans="1:27" x14ac:dyDescent="0.25">
      <c r="A3333">
        <v>4674</v>
      </c>
      <c r="B3333" t="s">
        <v>27</v>
      </c>
      <c r="C3333" t="s">
        <v>402</v>
      </c>
      <c r="D3333" t="s">
        <v>403</v>
      </c>
      <c r="G3333" t="s">
        <v>384</v>
      </c>
      <c r="H3333" t="s">
        <v>9567</v>
      </c>
      <c r="I3333" s="4">
        <v>45443.875</v>
      </c>
      <c r="K3333" t="s">
        <v>743</v>
      </c>
      <c r="L3333" s="5"/>
      <c r="M3333" s="5" t="s">
        <v>8423</v>
      </c>
      <c r="N3333" t="s">
        <v>82</v>
      </c>
      <c r="O3333" t="s">
        <v>9568</v>
      </c>
      <c r="R3333">
        <v>1</v>
      </c>
      <c r="T3333" s="5"/>
      <c r="W3333">
        <v>270</v>
      </c>
      <c r="X3333" t="s">
        <v>8412</v>
      </c>
      <c r="Y3333" t="str">
        <f>VLOOKUP(C3333,'[1]DBS_KPY Sorumlular'!A:C,2,FALSE)</f>
        <v>Tayfun VİÇE</v>
      </c>
      <c r="Z3333" t="str">
        <f>VLOOKUP(C3333,'[1]DBS_KPY Sorumlular'!A:C,3,FALSE)</f>
        <v>Mehmet Ali YAVUZ</v>
      </c>
      <c r="AA3333" t="str">
        <f>VLOOKUP(K3333,[1]!Tablo3[#Data],2,FALSE)</f>
        <v>Kadir TOPÇU</v>
      </c>
    </row>
    <row r="3334" spans="1:27" x14ac:dyDescent="0.25">
      <c r="A3334">
        <v>4675</v>
      </c>
      <c r="B3334" t="s">
        <v>27</v>
      </c>
      <c r="C3334" t="s">
        <v>402</v>
      </c>
      <c r="D3334" t="s">
        <v>403</v>
      </c>
      <c r="G3334" t="s">
        <v>384</v>
      </c>
      <c r="H3334" t="s">
        <v>9569</v>
      </c>
      <c r="I3334" s="4">
        <v>45443.875</v>
      </c>
      <c r="K3334" t="s">
        <v>743</v>
      </c>
      <c r="L3334" s="5"/>
      <c r="M3334" s="5" t="s">
        <v>8423</v>
      </c>
      <c r="N3334" t="s">
        <v>82</v>
      </c>
      <c r="O3334" t="s">
        <v>9568</v>
      </c>
      <c r="R3334">
        <v>1</v>
      </c>
      <c r="T3334" s="5"/>
      <c r="W3334">
        <v>270</v>
      </c>
      <c r="X3334" t="s">
        <v>8412</v>
      </c>
      <c r="Y3334" t="str">
        <f>VLOOKUP(C3334,'[1]DBS_KPY Sorumlular'!A:C,2,FALSE)</f>
        <v>Tayfun VİÇE</v>
      </c>
      <c r="Z3334" t="str">
        <f>VLOOKUP(C3334,'[1]DBS_KPY Sorumlular'!A:C,3,FALSE)</f>
        <v>Mehmet Ali YAVUZ</v>
      </c>
      <c r="AA3334" t="str">
        <f>VLOOKUP(K3334,[1]!Tablo3[#Data],2,FALSE)</f>
        <v>Kadir TOPÇU</v>
      </c>
    </row>
    <row r="3335" spans="1:27" x14ac:dyDescent="0.25">
      <c r="A3335">
        <v>4676</v>
      </c>
      <c r="B3335" t="s">
        <v>27</v>
      </c>
      <c r="C3335" t="s">
        <v>402</v>
      </c>
      <c r="D3335" t="s">
        <v>403</v>
      </c>
      <c r="G3335" t="s">
        <v>384</v>
      </c>
      <c r="H3335" t="s">
        <v>9570</v>
      </c>
      <c r="I3335" s="4">
        <v>45443.875</v>
      </c>
      <c r="K3335" t="s">
        <v>743</v>
      </c>
      <c r="L3335" s="5"/>
      <c r="M3335" s="5" t="s">
        <v>8423</v>
      </c>
      <c r="N3335" t="s">
        <v>82</v>
      </c>
      <c r="O3335" t="s">
        <v>9571</v>
      </c>
      <c r="R3335">
        <v>1</v>
      </c>
      <c r="T3335" s="5"/>
      <c r="W3335">
        <v>270</v>
      </c>
      <c r="X3335" t="s">
        <v>8412</v>
      </c>
      <c r="Y3335" t="str">
        <f>VLOOKUP(C3335,'[1]DBS_KPY Sorumlular'!A:C,2,FALSE)</f>
        <v>Tayfun VİÇE</v>
      </c>
      <c r="Z3335" t="str">
        <f>VLOOKUP(C3335,'[1]DBS_KPY Sorumlular'!A:C,3,FALSE)</f>
        <v>Mehmet Ali YAVUZ</v>
      </c>
      <c r="AA3335" t="str">
        <f>VLOOKUP(K3335,[1]!Tablo3[#Data],2,FALSE)</f>
        <v>Kadir TOPÇU</v>
      </c>
    </row>
    <row r="3336" spans="1:27" x14ac:dyDescent="0.25">
      <c r="A3336">
        <v>4677</v>
      </c>
      <c r="B3336" t="s">
        <v>27</v>
      </c>
      <c r="C3336" t="s">
        <v>402</v>
      </c>
      <c r="D3336" t="s">
        <v>403</v>
      </c>
      <c r="G3336" t="s">
        <v>384</v>
      </c>
      <c r="H3336" t="s">
        <v>9572</v>
      </c>
      <c r="I3336" s="4">
        <v>45443.875</v>
      </c>
      <c r="K3336" t="s">
        <v>743</v>
      </c>
      <c r="L3336" s="5"/>
      <c r="M3336" s="5" t="s">
        <v>8423</v>
      </c>
      <c r="N3336" t="s">
        <v>82</v>
      </c>
      <c r="O3336" t="s">
        <v>9573</v>
      </c>
      <c r="R3336">
        <v>1</v>
      </c>
      <c r="T3336" s="5"/>
      <c r="W3336">
        <v>270</v>
      </c>
      <c r="X3336" t="s">
        <v>8412</v>
      </c>
      <c r="Y3336" t="str">
        <f>VLOOKUP(C3336,'[1]DBS_KPY Sorumlular'!A:C,2,FALSE)</f>
        <v>Tayfun VİÇE</v>
      </c>
      <c r="Z3336" t="str">
        <f>VLOOKUP(C3336,'[1]DBS_KPY Sorumlular'!A:C,3,FALSE)</f>
        <v>Mehmet Ali YAVUZ</v>
      </c>
      <c r="AA3336" t="str">
        <f>VLOOKUP(K3336,[1]!Tablo3[#Data],2,FALSE)</f>
        <v>Kadir TOPÇU</v>
      </c>
    </row>
    <row r="3337" spans="1:27" x14ac:dyDescent="0.25">
      <c r="A3337">
        <v>4678</v>
      </c>
      <c r="B3337" t="s">
        <v>27</v>
      </c>
      <c r="C3337" t="s">
        <v>402</v>
      </c>
      <c r="D3337" t="s">
        <v>403</v>
      </c>
      <c r="G3337" t="s">
        <v>384</v>
      </c>
      <c r="H3337" t="s">
        <v>9574</v>
      </c>
      <c r="I3337" s="4">
        <v>45443.875</v>
      </c>
      <c r="K3337" t="s">
        <v>743</v>
      </c>
      <c r="L3337" s="5"/>
      <c r="M3337" s="5" t="s">
        <v>8423</v>
      </c>
      <c r="N3337" t="s">
        <v>82</v>
      </c>
      <c r="O3337" t="s">
        <v>9575</v>
      </c>
      <c r="R3337">
        <v>1</v>
      </c>
      <c r="T3337" s="5"/>
      <c r="W3337">
        <v>270</v>
      </c>
      <c r="X3337" t="s">
        <v>8412</v>
      </c>
      <c r="Y3337" t="str">
        <f>VLOOKUP(C3337,'[1]DBS_KPY Sorumlular'!A:C,2,FALSE)</f>
        <v>Tayfun VİÇE</v>
      </c>
      <c r="Z3337" t="str">
        <f>VLOOKUP(C3337,'[1]DBS_KPY Sorumlular'!A:C,3,FALSE)</f>
        <v>Mehmet Ali YAVUZ</v>
      </c>
      <c r="AA3337" t="str">
        <f>VLOOKUP(K3337,[1]!Tablo3[#Data],2,FALSE)</f>
        <v>Kadir TOPÇU</v>
      </c>
    </row>
    <row r="3338" spans="1:27" x14ac:dyDescent="0.25">
      <c r="A3338">
        <v>4679</v>
      </c>
      <c r="B3338" t="s">
        <v>27</v>
      </c>
      <c r="C3338" t="s">
        <v>402</v>
      </c>
      <c r="D3338" t="s">
        <v>403</v>
      </c>
      <c r="G3338" t="s">
        <v>384</v>
      </c>
      <c r="H3338" t="s">
        <v>9576</v>
      </c>
      <c r="I3338" s="4">
        <v>45443.875</v>
      </c>
      <c r="K3338" t="s">
        <v>743</v>
      </c>
      <c r="L3338" s="5"/>
      <c r="M3338" s="5" t="s">
        <v>8423</v>
      </c>
      <c r="N3338" t="s">
        <v>82</v>
      </c>
      <c r="O3338" t="s">
        <v>9577</v>
      </c>
      <c r="R3338">
        <v>1</v>
      </c>
      <c r="T3338" s="5"/>
      <c r="W3338">
        <v>270</v>
      </c>
      <c r="X3338" t="s">
        <v>8412</v>
      </c>
      <c r="Y3338" t="str">
        <f>VLOOKUP(C3338,'[1]DBS_KPY Sorumlular'!A:C,2,FALSE)</f>
        <v>Tayfun VİÇE</v>
      </c>
      <c r="Z3338" t="str">
        <f>VLOOKUP(C3338,'[1]DBS_KPY Sorumlular'!A:C,3,FALSE)</f>
        <v>Mehmet Ali YAVUZ</v>
      </c>
      <c r="AA3338" t="str">
        <f>VLOOKUP(K3338,[1]!Tablo3[#Data],2,FALSE)</f>
        <v>Kadir TOPÇU</v>
      </c>
    </row>
    <row r="3339" spans="1:27" x14ac:dyDescent="0.25">
      <c r="A3339">
        <v>4680</v>
      </c>
      <c r="B3339" t="s">
        <v>27</v>
      </c>
      <c r="C3339" t="s">
        <v>402</v>
      </c>
      <c r="D3339" t="s">
        <v>403</v>
      </c>
      <c r="G3339" t="s">
        <v>384</v>
      </c>
      <c r="H3339" t="s">
        <v>9578</v>
      </c>
      <c r="I3339" s="4">
        <v>45443.875</v>
      </c>
      <c r="K3339" t="s">
        <v>743</v>
      </c>
      <c r="L3339" s="5"/>
      <c r="M3339" s="5" t="s">
        <v>8423</v>
      </c>
      <c r="N3339" t="s">
        <v>82</v>
      </c>
      <c r="O3339" t="s">
        <v>9579</v>
      </c>
      <c r="R3339">
        <v>1</v>
      </c>
      <c r="T3339" s="5"/>
      <c r="W3339">
        <v>270</v>
      </c>
      <c r="X3339" t="s">
        <v>8412</v>
      </c>
      <c r="Y3339" t="str">
        <f>VLOOKUP(C3339,'[1]DBS_KPY Sorumlular'!A:C,2,FALSE)</f>
        <v>Tayfun VİÇE</v>
      </c>
      <c r="Z3339" t="str">
        <f>VLOOKUP(C3339,'[1]DBS_KPY Sorumlular'!A:C,3,FALSE)</f>
        <v>Mehmet Ali YAVUZ</v>
      </c>
      <c r="AA3339" t="str">
        <f>VLOOKUP(K3339,[1]!Tablo3[#Data],2,FALSE)</f>
        <v>Kadir TOPÇU</v>
      </c>
    </row>
    <row r="3340" spans="1:27" x14ac:dyDescent="0.25">
      <c r="A3340">
        <v>4681</v>
      </c>
      <c r="B3340" t="s">
        <v>27</v>
      </c>
      <c r="C3340" t="s">
        <v>402</v>
      </c>
      <c r="D3340" t="s">
        <v>403</v>
      </c>
      <c r="G3340" t="s">
        <v>384</v>
      </c>
      <c r="H3340" t="s">
        <v>9580</v>
      </c>
      <c r="I3340" s="4">
        <v>45443.875</v>
      </c>
      <c r="K3340" t="s">
        <v>743</v>
      </c>
      <c r="L3340" s="5"/>
      <c r="M3340" s="5" t="s">
        <v>8423</v>
      </c>
      <c r="N3340" t="s">
        <v>82</v>
      </c>
      <c r="O3340" t="s">
        <v>9581</v>
      </c>
      <c r="R3340">
        <v>1</v>
      </c>
      <c r="T3340" s="5"/>
      <c r="W3340">
        <v>270</v>
      </c>
      <c r="X3340" t="s">
        <v>8412</v>
      </c>
      <c r="Y3340" t="str">
        <f>VLOOKUP(C3340,'[1]DBS_KPY Sorumlular'!A:C,2,FALSE)</f>
        <v>Tayfun VİÇE</v>
      </c>
      <c r="Z3340" t="str">
        <f>VLOOKUP(C3340,'[1]DBS_KPY Sorumlular'!A:C,3,FALSE)</f>
        <v>Mehmet Ali YAVUZ</v>
      </c>
      <c r="AA3340" t="str">
        <f>VLOOKUP(K3340,[1]!Tablo3[#Data],2,FALSE)</f>
        <v>Kadir TOPÇU</v>
      </c>
    </row>
    <row r="3341" spans="1:27" x14ac:dyDescent="0.25">
      <c r="A3341">
        <v>4682</v>
      </c>
      <c r="B3341" t="s">
        <v>27</v>
      </c>
      <c r="C3341" t="s">
        <v>402</v>
      </c>
      <c r="D3341" t="s">
        <v>403</v>
      </c>
      <c r="G3341" t="s">
        <v>384</v>
      </c>
      <c r="H3341" t="s">
        <v>9582</v>
      </c>
      <c r="I3341" s="4">
        <v>45443.875</v>
      </c>
      <c r="K3341" t="s">
        <v>743</v>
      </c>
      <c r="L3341" s="5"/>
      <c r="M3341" s="5" t="s">
        <v>8423</v>
      </c>
      <c r="N3341" t="s">
        <v>82</v>
      </c>
      <c r="O3341" t="s">
        <v>9583</v>
      </c>
      <c r="R3341">
        <v>1</v>
      </c>
      <c r="T3341" s="5"/>
      <c r="W3341">
        <v>270</v>
      </c>
      <c r="X3341" t="s">
        <v>8412</v>
      </c>
      <c r="Y3341" t="str">
        <f>VLOOKUP(C3341,'[1]DBS_KPY Sorumlular'!A:C,2,FALSE)</f>
        <v>Tayfun VİÇE</v>
      </c>
      <c r="Z3341" t="str">
        <f>VLOOKUP(C3341,'[1]DBS_KPY Sorumlular'!A:C,3,FALSE)</f>
        <v>Mehmet Ali YAVUZ</v>
      </c>
      <c r="AA3341" t="str">
        <f>VLOOKUP(K3341,[1]!Tablo3[#Data],2,FALSE)</f>
        <v>Kadir TOPÇU</v>
      </c>
    </row>
    <row r="3342" spans="1:27" x14ac:dyDescent="0.25">
      <c r="A3342">
        <v>4683</v>
      </c>
      <c r="B3342" t="s">
        <v>27</v>
      </c>
      <c r="C3342" t="s">
        <v>402</v>
      </c>
      <c r="D3342" t="s">
        <v>403</v>
      </c>
      <c r="G3342" t="s">
        <v>384</v>
      </c>
      <c r="H3342" t="s">
        <v>9584</v>
      </c>
      <c r="I3342" s="4">
        <v>45443.875</v>
      </c>
      <c r="K3342" t="s">
        <v>743</v>
      </c>
      <c r="L3342" s="5"/>
      <c r="M3342" s="5" t="s">
        <v>8423</v>
      </c>
      <c r="N3342" t="s">
        <v>82</v>
      </c>
      <c r="O3342" t="s">
        <v>9585</v>
      </c>
      <c r="R3342">
        <v>1</v>
      </c>
      <c r="T3342" s="5"/>
      <c r="W3342">
        <v>270</v>
      </c>
      <c r="X3342" t="s">
        <v>8412</v>
      </c>
      <c r="Y3342" t="str">
        <f>VLOOKUP(C3342,'[1]DBS_KPY Sorumlular'!A:C,2,FALSE)</f>
        <v>Tayfun VİÇE</v>
      </c>
      <c r="Z3342" t="str">
        <f>VLOOKUP(C3342,'[1]DBS_KPY Sorumlular'!A:C,3,FALSE)</f>
        <v>Mehmet Ali YAVUZ</v>
      </c>
      <c r="AA3342" t="str">
        <f>VLOOKUP(K3342,[1]!Tablo3[#Data],2,FALSE)</f>
        <v>Kadir TOPÇU</v>
      </c>
    </row>
    <row r="3343" spans="1:27" x14ac:dyDescent="0.25">
      <c r="A3343">
        <v>4684</v>
      </c>
      <c r="B3343" t="s">
        <v>27</v>
      </c>
      <c r="C3343" t="s">
        <v>402</v>
      </c>
      <c r="D3343" t="s">
        <v>403</v>
      </c>
      <c r="G3343" t="s">
        <v>384</v>
      </c>
      <c r="H3343" t="s">
        <v>9586</v>
      </c>
      <c r="I3343" s="4">
        <v>45443.875</v>
      </c>
      <c r="K3343" t="s">
        <v>743</v>
      </c>
      <c r="L3343" s="5"/>
      <c r="M3343" s="5" t="s">
        <v>8423</v>
      </c>
      <c r="N3343" t="s">
        <v>82</v>
      </c>
      <c r="O3343" t="s">
        <v>9587</v>
      </c>
      <c r="R3343">
        <v>1</v>
      </c>
      <c r="T3343" s="5"/>
      <c r="W3343">
        <v>270</v>
      </c>
      <c r="X3343" t="s">
        <v>8412</v>
      </c>
      <c r="Y3343" t="str">
        <f>VLOOKUP(C3343,'[1]DBS_KPY Sorumlular'!A:C,2,FALSE)</f>
        <v>Tayfun VİÇE</v>
      </c>
      <c r="Z3343" t="str">
        <f>VLOOKUP(C3343,'[1]DBS_KPY Sorumlular'!A:C,3,FALSE)</f>
        <v>Mehmet Ali YAVUZ</v>
      </c>
      <c r="AA3343" t="str">
        <f>VLOOKUP(K3343,[1]!Tablo3[#Data],2,FALSE)</f>
        <v>Kadir TOPÇU</v>
      </c>
    </row>
    <row r="3344" spans="1:27" x14ac:dyDescent="0.25">
      <c r="A3344">
        <v>4685</v>
      </c>
      <c r="B3344" t="s">
        <v>27</v>
      </c>
      <c r="C3344" t="s">
        <v>402</v>
      </c>
      <c r="D3344" t="s">
        <v>403</v>
      </c>
      <c r="G3344" t="s">
        <v>384</v>
      </c>
      <c r="H3344" t="s">
        <v>9588</v>
      </c>
      <c r="I3344" s="4">
        <v>45443.875</v>
      </c>
      <c r="K3344" t="s">
        <v>743</v>
      </c>
      <c r="L3344" s="5"/>
      <c r="M3344" s="5" t="s">
        <v>8423</v>
      </c>
      <c r="N3344" t="s">
        <v>82</v>
      </c>
      <c r="O3344" t="s">
        <v>9589</v>
      </c>
      <c r="R3344">
        <v>1</v>
      </c>
      <c r="T3344" s="5"/>
      <c r="W3344">
        <v>270</v>
      </c>
      <c r="X3344" t="s">
        <v>8412</v>
      </c>
      <c r="Y3344" t="str">
        <f>VLOOKUP(C3344,'[1]DBS_KPY Sorumlular'!A:C,2,FALSE)</f>
        <v>Tayfun VİÇE</v>
      </c>
      <c r="Z3344" t="str">
        <f>VLOOKUP(C3344,'[1]DBS_KPY Sorumlular'!A:C,3,FALSE)</f>
        <v>Mehmet Ali YAVUZ</v>
      </c>
      <c r="AA3344" t="str">
        <f>VLOOKUP(K3344,[1]!Tablo3[#Data],2,FALSE)</f>
        <v>Kadir TOPÇU</v>
      </c>
    </row>
    <row r="3345" spans="1:27" x14ac:dyDescent="0.25">
      <c r="A3345">
        <v>4686</v>
      </c>
      <c r="B3345" t="s">
        <v>27</v>
      </c>
      <c r="C3345" t="s">
        <v>402</v>
      </c>
      <c r="D3345" t="s">
        <v>403</v>
      </c>
      <c r="G3345" t="s">
        <v>384</v>
      </c>
      <c r="H3345" t="s">
        <v>9590</v>
      </c>
      <c r="I3345" s="4">
        <v>45443.875</v>
      </c>
      <c r="K3345" t="s">
        <v>743</v>
      </c>
      <c r="L3345" s="5"/>
      <c r="M3345" s="5" t="s">
        <v>8423</v>
      </c>
      <c r="N3345" t="s">
        <v>82</v>
      </c>
      <c r="O3345" t="s">
        <v>9591</v>
      </c>
      <c r="R3345">
        <v>1</v>
      </c>
      <c r="T3345" s="5"/>
      <c r="W3345">
        <v>270</v>
      </c>
      <c r="X3345" t="s">
        <v>8412</v>
      </c>
      <c r="Y3345" t="str">
        <f>VLOOKUP(C3345,'[1]DBS_KPY Sorumlular'!A:C,2,FALSE)</f>
        <v>Tayfun VİÇE</v>
      </c>
      <c r="Z3345" t="str">
        <f>VLOOKUP(C3345,'[1]DBS_KPY Sorumlular'!A:C,3,FALSE)</f>
        <v>Mehmet Ali YAVUZ</v>
      </c>
      <c r="AA3345" t="str">
        <f>VLOOKUP(K3345,[1]!Tablo3[#Data],2,FALSE)</f>
        <v>Kadir TOPÇU</v>
      </c>
    </row>
    <row r="3346" spans="1:27" x14ac:dyDescent="0.25">
      <c r="A3346">
        <v>4687</v>
      </c>
      <c r="B3346" t="s">
        <v>27</v>
      </c>
      <c r="C3346" t="s">
        <v>402</v>
      </c>
      <c r="D3346" t="s">
        <v>403</v>
      </c>
      <c r="G3346" t="s">
        <v>384</v>
      </c>
      <c r="H3346" t="s">
        <v>9592</v>
      </c>
      <c r="I3346" s="4">
        <v>45443.875</v>
      </c>
      <c r="K3346" t="s">
        <v>1029</v>
      </c>
      <c r="L3346" s="5"/>
      <c r="M3346" s="5" t="s">
        <v>8423</v>
      </c>
      <c r="N3346" t="s">
        <v>82</v>
      </c>
      <c r="O3346" t="s">
        <v>9593</v>
      </c>
      <c r="R3346">
        <v>1</v>
      </c>
      <c r="T3346" s="5"/>
      <c r="W3346">
        <v>270</v>
      </c>
      <c r="X3346" t="s">
        <v>8412</v>
      </c>
      <c r="Y3346" t="str">
        <f>VLOOKUP(C3346,'[1]DBS_KPY Sorumlular'!A:C,2,FALSE)</f>
        <v>Tayfun VİÇE</v>
      </c>
      <c r="Z3346" t="str">
        <f>VLOOKUP(C3346,'[1]DBS_KPY Sorumlular'!A:C,3,FALSE)</f>
        <v>Mehmet Ali YAVUZ</v>
      </c>
      <c r="AA3346" t="str">
        <f>VLOOKUP(K3346,[1]!Tablo3[#Data],2,FALSE)</f>
        <v>Tayfun VİÇE</v>
      </c>
    </row>
    <row r="3347" spans="1:27" x14ac:dyDescent="0.25">
      <c r="A3347">
        <v>4688</v>
      </c>
      <c r="B3347" t="s">
        <v>27</v>
      </c>
      <c r="C3347" t="s">
        <v>402</v>
      </c>
      <c r="D3347" t="s">
        <v>403</v>
      </c>
      <c r="G3347" t="s">
        <v>384</v>
      </c>
      <c r="H3347" t="s">
        <v>9594</v>
      </c>
      <c r="I3347" s="4">
        <v>44712.875</v>
      </c>
      <c r="K3347" t="s">
        <v>364</v>
      </c>
      <c r="L3347" s="5"/>
      <c r="M3347" s="5"/>
      <c r="N3347" t="s">
        <v>82</v>
      </c>
      <c r="O3347" t="s">
        <v>9595</v>
      </c>
      <c r="R3347">
        <v>1</v>
      </c>
      <c r="T3347" s="5"/>
      <c r="W3347">
        <v>270</v>
      </c>
      <c r="X3347" t="s">
        <v>8412</v>
      </c>
      <c r="Y3347" t="str">
        <f>VLOOKUP(C3347,'[1]DBS_KPY Sorumlular'!A:C,2,FALSE)</f>
        <v>Tayfun VİÇE</v>
      </c>
      <c r="Z3347" t="str">
        <f>VLOOKUP(C3347,'[1]DBS_KPY Sorumlular'!A:C,3,FALSE)</f>
        <v>Mehmet Ali YAVUZ</v>
      </c>
      <c r="AA3347" t="str">
        <f>VLOOKUP(K3347,[1]!Tablo3[#Data],2,FALSE)</f>
        <v>Kadir TOPÇU</v>
      </c>
    </row>
    <row r="3348" spans="1:27" x14ac:dyDescent="0.25">
      <c r="A3348">
        <v>4689</v>
      </c>
      <c r="B3348" t="s">
        <v>27</v>
      </c>
      <c r="C3348" t="s">
        <v>402</v>
      </c>
      <c r="D3348" t="s">
        <v>403</v>
      </c>
      <c r="G3348" t="s">
        <v>384</v>
      </c>
      <c r="H3348" t="s">
        <v>9596</v>
      </c>
      <c r="I3348" s="4">
        <v>45443.875</v>
      </c>
      <c r="K3348" t="s">
        <v>914</v>
      </c>
      <c r="L3348" s="5"/>
      <c r="M3348" s="5" t="s">
        <v>8423</v>
      </c>
      <c r="N3348" t="s">
        <v>82</v>
      </c>
      <c r="O3348" t="s">
        <v>9597</v>
      </c>
      <c r="R3348">
        <v>1</v>
      </c>
      <c r="T3348" s="5"/>
      <c r="W3348">
        <v>270</v>
      </c>
      <c r="X3348" t="s">
        <v>8412</v>
      </c>
      <c r="Y3348" t="str">
        <f>VLOOKUP(C3348,'[1]DBS_KPY Sorumlular'!A:C,2,FALSE)</f>
        <v>Tayfun VİÇE</v>
      </c>
      <c r="Z3348" t="str">
        <f>VLOOKUP(C3348,'[1]DBS_KPY Sorumlular'!A:C,3,FALSE)</f>
        <v>Mehmet Ali YAVUZ</v>
      </c>
      <c r="AA3348" t="str">
        <f>VLOOKUP(K3348,[1]!Tablo3[#Data],2,FALSE)</f>
        <v>Tayfun VİÇE</v>
      </c>
    </row>
    <row r="3349" spans="1:27" x14ac:dyDescent="0.25">
      <c r="A3349">
        <v>4690</v>
      </c>
      <c r="B3349" t="s">
        <v>27</v>
      </c>
      <c r="C3349" t="s">
        <v>402</v>
      </c>
      <c r="D3349" t="s">
        <v>403</v>
      </c>
      <c r="G3349" t="s">
        <v>384</v>
      </c>
      <c r="H3349" t="s">
        <v>9598</v>
      </c>
      <c r="I3349" s="4">
        <v>45443.875</v>
      </c>
      <c r="K3349" t="s">
        <v>1528</v>
      </c>
      <c r="L3349" s="5"/>
      <c r="M3349" s="5" t="s">
        <v>8423</v>
      </c>
      <c r="N3349" t="s">
        <v>82</v>
      </c>
      <c r="O3349" t="s">
        <v>9599</v>
      </c>
      <c r="R3349">
        <v>1</v>
      </c>
      <c r="T3349" s="5"/>
      <c r="W3349">
        <v>270</v>
      </c>
      <c r="X3349" t="s">
        <v>8412</v>
      </c>
      <c r="Y3349" t="str">
        <f>VLOOKUP(C3349,'[1]DBS_KPY Sorumlular'!A:C,2,FALSE)</f>
        <v>Tayfun VİÇE</v>
      </c>
      <c r="Z3349" t="str">
        <f>VLOOKUP(C3349,'[1]DBS_KPY Sorumlular'!A:C,3,FALSE)</f>
        <v>Mehmet Ali YAVUZ</v>
      </c>
      <c r="AA3349" t="str">
        <f>VLOOKUP(K3349,[1]!Tablo3[#Data],2,FALSE)</f>
        <v>Tayfun VİÇE</v>
      </c>
    </row>
    <row r="3350" spans="1:27" x14ac:dyDescent="0.25">
      <c r="A3350">
        <v>4691</v>
      </c>
      <c r="B3350" t="s">
        <v>27</v>
      </c>
      <c r="C3350" t="s">
        <v>402</v>
      </c>
      <c r="D3350" t="s">
        <v>403</v>
      </c>
      <c r="G3350" t="s">
        <v>384</v>
      </c>
      <c r="H3350" t="s">
        <v>9600</v>
      </c>
      <c r="I3350" s="4">
        <v>45443.875</v>
      </c>
      <c r="K3350" t="s">
        <v>743</v>
      </c>
      <c r="L3350" s="5"/>
      <c r="M3350" s="5" t="s">
        <v>8423</v>
      </c>
      <c r="N3350" t="s">
        <v>82</v>
      </c>
      <c r="O3350" t="s">
        <v>9601</v>
      </c>
      <c r="R3350">
        <v>1</v>
      </c>
      <c r="T3350" s="5"/>
      <c r="W3350">
        <v>270</v>
      </c>
      <c r="X3350" t="s">
        <v>8412</v>
      </c>
      <c r="Y3350" t="str">
        <f>VLOOKUP(C3350,'[1]DBS_KPY Sorumlular'!A:C,2,FALSE)</f>
        <v>Tayfun VİÇE</v>
      </c>
      <c r="Z3350" t="str">
        <f>VLOOKUP(C3350,'[1]DBS_KPY Sorumlular'!A:C,3,FALSE)</f>
        <v>Mehmet Ali YAVUZ</v>
      </c>
      <c r="AA3350" t="str">
        <f>VLOOKUP(K3350,[1]!Tablo3[#Data],2,FALSE)</f>
        <v>Kadir TOPÇU</v>
      </c>
    </row>
    <row r="3351" spans="1:27" x14ac:dyDescent="0.25">
      <c r="A3351">
        <v>4692</v>
      </c>
      <c r="B3351" t="s">
        <v>27</v>
      </c>
      <c r="C3351" t="s">
        <v>402</v>
      </c>
      <c r="D3351" t="s">
        <v>403</v>
      </c>
      <c r="G3351" t="s">
        <v>384</v>
      </c>
      <c r="H3351" t="s">
        <v>9602</v>
      </c>
      <c r="I3351" s="4">
        <v>45443.875</v>
      </c>
      <c r="K3351" t="s">
        <v>743</v>
      </c>
      <c r="L3351" s="5"/>
      <c r="M3351" s="5" t="s">
        <v>8423</v>
      </c>
      <c r="N3351" t="s">
        <v>82</v>
      </c>
      <c r="O3351" t="s">
        <v>9603</v>
      </c>
      <c r="R3351">
        <v>1</v>
      </c>
      <c r="T3351" s="5"/>
      <c r="W3351">
        <v>270</v>
      </c>
      <c r="X3351" t="s">
        <v>8412</v>
      </c>
      <c r="Y3351" t="str">
        <f>VLOOKUP(C3351,'[1]DBS_KPY Sorumlular'!A:C,2,FALSE)</f>
        <v>Tayfun VİÇE</v>
      </c>
      <c r="Z3351" t="str">
        <f>VLOOKUP(C3351,'[1]DBS_KPY Sorumlular'!A:C,3,FALSE)</f>
        <v>Mehmet Ali YAVUZ</v>
      </c>
      <c r="AA3351" t="str">
        <f>VLOOKUP(K3351,[1]!Tablo3[#Data],2,FALSE)</f>
        <v>Kadir TOPÇU</v>
      </c>
    </row>
    <row r="3352" spans="1:27" x14ac:dyDescent="0.25">
      <c r="A3352">
        <v>4693</v>
      </c>
      <c r="B3352" t="s">
        <v>27</v>
      </c>
      <c r="C3352" t="s">
        <v>402</v>
      </c>
      <c r="D3352" t="s">
        <v>403</v>
      </c>
      <c r="G3352" t="s">
        <v>384</v>
      </c>
      <c r="H3352" t="s">
        <v>9604</v>
      </c>
      <c r="I3352" s="4">
        <v>45443.875</v>
      </c>
      <c r="K3352" t="s">
        <v>914</v>
      </c>
      <c r="L3352" s="5"/>
      <c r="M3352" s="5" t="s">
        <v>8423</v>
      </c>
      <c r="N3352" t="s">
        <v>82</v>
      </c>
      <c r="O3352" t="s">
        <v>9605</v>
      </c>
      <c r="R3352">
        <v>1</v>
      </c>
      <c r="T3352" s="5"/>
      <c r="W3352">
        <v>270</v>
      </c>
      <c r="X3352" t="s">
        <v>8412</v>
      </c>
      <c r="Y3352" t="str">
        <f>VLOOKUP(C3352,'[1]DBS_KPY Sorumlular'!A:C,2,FALSE)</f>
        <v>Tayfun VİÇE</v>
      </c>
      <c r="Z3352" t="str">
        <f>VLOOKUP(C3352,'[1]DBS_KPY Sorumlular'!A:C,3,FALSE)</f>
        <v>Mehmet Ali YAVUZ</v>
      </c>
      <c r="AA3352" t="str">
        <f>VLOOKUP(K3352,[1]!Tablo3[#Data],2,FALSE)</f>
        <v>Tayfun VİÇE</v>
      </c>
    </row>
    <row r="3353" spans="1:27" x14ac:dyDescent="0.25">
      <c r="A3353">
        <v>4694</v>
      </c>
      <c r="B3353" t="s">
        <v>27</v>
      </c>
      <c r="C3353" t="s">
        <v>402</v>
      </c>
      <c r="D3353" t="s">
        <v>403</v>
      </c>
      <c r="G3353" t="s">
        <v>384</v>
      </c>
      <c r="H3353" t="s">
        <v>9606</v>
      </c>
      <c r="I3353" s="4">
        <v>45443.875</v>
      </c>
      <c r="K3353" t="s">
        <v>743</v>
      </c>
      <c r="L3353" s="5"/>
      <c r="M3353" s="5" t="s">
        <v>8423</v>
      </c>
      <c r="N3353" t="s">
        <v>82</v>
      </c>
      <c r="O3353" t="s">
        <v>9607</v>
      </c>
      <c r="R3353">
        <v>1</v>
      </c>
      <c r="T3353" s="5"/>
      <c r="W3353">
        <v>270</v>
      </c>
      <c r="X3353" t="s">
        <v>8412</v>
      </c>
      <c r="Y3353" t="str">
        <f>VLOOKUP(C3353,'[1]DBS_KPY Sorumlular'!A:C,2,FALSE)</f>
        <v>Tayfun VİÇE</v>
      </c>
      <c r="Z3353" t="str">
        <f>VLOOKUP(C3353,'[1]DBS_KPY Sorumlular'!A:C,3,FALSE)</f>
        <v>Mehmet Ali YAVUZ</v>
      </c>
      <c r="AA3353" t="str">
        <f>VLOOKUP(K3353,[1]!Tablo3[#Data],2,FALSE)</f>
        <v>Kadir TOPÇU</v>
      </c>
    </row>
    <row r="3354" spans="1:27" x14ac:dyDescent="0.25">
      <c r="A3354">
        <v>4695</v>
      </c>
      <c r="B3354" t="s">
        <v>27</v>
      </c>
      <c r="C3354" t="s">
        <v>402</v>
      </c>
      <c r="D3354" t="s">
        <v>403</v>
      </c>
      <c r="G3354" t="s">
        <v>384</v>
      </c>
      <c r="H3354" t="s">
        <v>9608</v>
      </c>
      <c r="I3354" s="4">
        <v>45443.875</v>
      </c>
      <c r="K3354" t="s">
        <v>743</v>
      </c>
      <c r="L3354" s="5"/>
      <c r="M3354" s="5" t="s">
        <v>8423</v>
      </c>
      <c r="N3354" t="s">
        <v>82</v>
      </c>
      <c r="O3354" t="s">
        <v>9609</v>
      </c>
      <c r="R3354">
        <v>1</v>
      </c>
      <c r="T3354" s="5"/>
      <c r="W3354">
        <v>270</v>
      </c>
      <c r="X3354" t="s">
        <v>8412</v>
      </c>
      <c r="Y3354" t="str">
        <f>VLOOKUP(C3354,'[1]DBS_KPY Sorumlular'!A:C,2,FALSE)</f>
        <v>Tayfun VİÇE</v>
      </c>
      <c r="Z3354" t="str">
        <f>VLOOKUP(C3354,'[1]DBS_KPY Sorumlular'!A:C,3,FALSE)</f>
        <v>Mehmet Ali YAVUZ</v>
      </c>
      <c r="AA3354" t="str">
        <f>VLOOKUP(K3354,[1]!Tablo3[#Data],2,FALSE)</f>
        <v>Kadir TOPÇU</v>
      </c>
    </row>
    <row r="3355" spans="1:27" x14ac:dyDescent="0.25">
      <c r="A3355">
        <v>4696</v>
      </c>
      <c r="B3355" t="s">
        <v>27</v>
      </c>
      <c r="C3355" t="s">
        <v>402</v>
      </c>
      <c r="D3355" t="s">
        <v>403</v>
      </c>
      <c r="G3355" t="s">
        <v>384</v>
      </c>
      <c r="H3355" t="s">
        <v>9610</v>
      </c>
      <c r="I3355" s="4">
        <v>45443.875</v>
      </c>
      <c r="K3355" t="s">
        <v>1550</v>
      </c>
      <c r="L3355" s="5"/>
      <c r="M3355" s="5" t="s">
        <v>8423</v>
      </c>
      <c r="N3355" t="s">
        <v>82</v>
      </c>
      <c r="O3355" t="s">
        <v>9611</v>
      </c>
      <c r="R3355">
        <v>1</v>
      </c>
      <c r="T3355" s="5"/>
      <c r="W3355">
        <v>270</v>
      </c>
      <c r="X3355" t="s">
        <v>8412</v>
      </c>
      <c r="Y3355" t="str">
        <f>VLOOKUP(C3355,'[1]DBS_KPY Sorumlular'!A:C,2,FALSE)</f>
        <v>Tayfun VİÇE</v>
      </c>
      <c r="Z3355" t="str">
        <f>VLOOKUP(C3355,'[1]DBS_KPY Sorumlular'!A:C,3,FALSE)</f>
        <v>Mehmet Ali YAVUZ</v>
      </c>
      <c r="AA3355" t="str">
        <f>VLOOKUP(K3355,[1]!Tablo3[#Data],2,FALSE)</f>
        <v>Kadir TOPÇU</v>
      </c>
    </row>
    <row r="3356" spans="1:27" x14ac:dyDescent="0.25">
      <c r="A3356">
        <v>4697</v>
      </c>
      <c r="B3356" t="s">
        <v>27</v>
      </c>
      <c r="C3356" t="s">
        <v>402</v>
      </c>
      <c r="D3356" t="s">
        <v>403</v>
      </c>
      <c r="G3356" t="s">
        <v>384</v>
      </c>
      <c r="H3356" t="s">
        <v>9612</v>
      </c>
      <c r="I3356" s="4">
        <v>45443.875</v>
      </c>
      <c r="K3356" t="s">
        <v>743</v>
      </c>
      <c r="L3356" s="5"/>
      <c r="M3356" s="5" t="s">
        <v>8423</v>
      </c>
      <c r="N3356" t="s">
        <v>82</v>
      </c>
      <c r="O3356" t="s">
        <v>9613</v>
      </c>
      <c r="R3356">
        <v>1</v>
      </c>
      <c r="T3356" s="5"/>
      <c r="W3356">
        <v>270</v>
      </c>
      <c r="X3356" t="s">
        <v>8412</v>
      </c>
      <c r="Y3356" t="str">
        <f>VLOOKUP(C3356,'[1]DBS_KPY Sorumlular'!A:C,2,FALSE)</f>
        <v>Tayfun VİÇE</v>
      </c>
      <c r="Z3356" t="str">
        <f>VLOOKUP(C3356,'[1]DBS_KPY Sorumlular'!A:C,3,FALSE)</f>
        <v>Mehmet Ali YAVUZ</v>
      </c>
      <c r="AA3356" t="str">
        <f>VLOOKUP(K3356,[1]!Tablo3[#Data],2,FALSE)</f>
        <v>Kadir TOPÇU</v>
      </c>
    </row>
    <row r="3357" spans="1:27" x14ac:dyDescent="0.25">
      <c r="A3357">
        <v>4698</v>
      </c>
      <c r="B3357" t="s">
        <v>27</v>
      </c>
      <c r="C3357" t="s">
        <v>402</v>
      </c>
      <c r="D3357" t="s">
        <v>403</v>
      </c>
      <c r="G3357" t="s">
        <v>384</v>
      </c>
      <c r="H3357" t="s">
        <v>9614</v>
      </c>
      <c r="I3357" s="4">
        <v>45443.875</v>
      </c>
      <c r="K3357" t="s">
        <v>743</v>
      </c>
      <c r="L3357" s="5"/>
      <c r="M3357" s="5" t="s">
        <v>8423</v>
      </c>
      <c r="N3357" t="s">
        <v>82</v>
      </c>
      <c r="O3357" t="s">
        <v>9615</v>
      </c>
      <c r="R3357">
        <v>1</v>
      </c>
      <c r="T3357" s="5"/>
      <c r="W3357">
        <v>270</v>
      </c>
      <c r="X3357" t="s">
        <v>8412</v>
      </c>
      <c r="Y3357" t="str">
        <f>VLOOKUP(C3357,'[1]DBS_KPY Sorumlular'!A:C,2,FALSE)</f>
        <v>Tayfun VİÇE</v>
      </c>
      <c r="Z3357" t="str">
        <f>VLOOKUP(C3357,'[1]DBS_KPY Sorumlular'!A:C,3,FALSE)</f>
        <v>Mehmet Ali YAVUZ</v>
      </c>
      <c r="AA3357" t="str">
        <f>VLOOKUP(K3357,[1]!Tablo3[#Data],2,FALSE)</f>
        <v>Kadir TOPÇU</v>
      </c>
    </row>
    <row r="3358" spans="1:27" x14ac:dyDescent="0.25">
      <c r="A3358">
        <v>4699</v>
      </c>
      <c r="B3358" t="s">
        <v>27</v>
      </c>
      <c r="C3358" t="s">
        <v>402</v>
      </c>
      <c r="D3358" t="s">
        <v>403</v>
      </c>
      <c r="G3358" t="s">
        <v>384</v>
      </c>
      <c r="H3358" t="s">
        <v>9616</v>
      </c>
      <c r="I3358" s="4">
        <v>45443.875</v>
      </c>
      <c r="K3358" t="s">
        <v>435</v>
      </c>
      <c r="L3358" s="5"/>
      <c r="M3358" s="5" t="s">
        <v>8423</v>
      </c>
      <c r="N3358" t="s">
        <v>82</v>
      </c>
      <c r="O3358" t="s">
        <v>9617</v>
      </c>
      <c r="R3358">
        <v>1</v>
      </c>
      <c r="T3358" s="5"/>
      <c r="W3358">
        <v>270</v>
      </c>
      <c r="X3358" t="s">
        <v>8412</v>
      </c>
      <c r="Y3358" t="str">
        <f>VLOOKUP(C3358,'[1]DBS_KPY Sorumlular'!A:C,2,FALSE)</f>
        <v>Tayfun VİÇE</v>
      </c>
      <c r="Z3358" t="str">
        <f>VLOOKUP(C3358,'[1]DBS_KPY Sorumlular'!A:C,3,FALSE)</f>
        <v>Mehmet Ali YAVUZ</v>
      </c>
      <c r="AA3358" t="str">
        <f>VLOOKUP(K3358,[1]!Tablo3[#Data],2,FALSE)</f>
        <v>Tayfun VİÇE</v>
      </c>
    </row>
    <row r="3359" spans="1:27" x14ac:dyDescent="0.25">
      <c r="A3359">
        <v>4700</v>
      </c>
      <c r="B3359" t="s">
        <v>27</v>
      </c>
      <c r="C3359" t="s">
        <v>402</v>
      </c>
      <c r="D3359" t="s">
        <v>403</v>
      </c>
      <c r="G3359" t="s">
        <v>384</v>
      </c>
      <c r="H3359" t="s">
        <v>9618</v>
      </c>
      <c r="I3359" s="4">
        <v>45443.875</v>
      </c>
      <c r="K3359" t="s">
        <v>743</v>
      </c>
      <c r="L3359" s="5"/>
      <c r="M3359" s="5" t="s">
        <v>8423</v>
      </c>
      <c r="N3359" t="s">
        <v>82</v>
      </c>
      <c r="O3359" t="s">
        <v>9619</v>
      </c>
      <c r="R3359">
        <v>1</v>
      </c>
      <c r="T3359" s="5"/>
      <c r="W3359">
        <v>270</v>
      </c>
      <c r="X3359" t="s">
        <v>8412</v>
      </c>
      <c r="Y3359" t="str">
        <f>VLOOKUP(C3359,'[1]DBS_KPY Sorumlular'!A:C,2,FALSE)</f>
        <v>Tayfun VİÇE</v>
      </c>
      <c r="Z3359" t="str">
        <f>VLOOKUP(C3359,'[1]DBS_KPY Sorumlular'!A:C,3,FALSE)</f>
        <v>Mehmet Ali YAVUZ</v>
      </c>
      <c r="AA3359" t="str">
        <f>VLOOKUP(K3359,[1]!Tablo3[#Data],2,FALSE)</f>
        <v>Kadir TOPÇU</v>
      </c>
    </row>
    <row r="3360" spans="1:27" x14ac:dyDescent="0.25">
      <c r="A3360">
        <v>4701</v>
      </c>
      <c r="B3360" t="s">
        <v>27</v>
      </c>
      <c r="C3360" t="s">
        <v>402</v>
      </c>
      <c r="D3360" t="s">
        <v>403</v>
      </c>
      <c r="G3360" t="s">
        <v>384</v>
      </c>
      <c r="H3360" t="s">
        <v>9620</v>
      </c>
      <c r="I3360" s="4">
        <v>45443.875</v>
      </c>
      <c r="K3360" t="s">
        <v>743</v>
      </c>
      <c r="L3360" s="5"/>
      <c r="M3360" s="5" t="s">
        <v>8423</v>
      </c>
      <c r="N3360" t="s">
        <v>82</v>
      </c>
      <c r="O3360" t="s">
        <v>9621</v>
      </c>
      <c r="R3360">
        <v>1</v>
      </c>
      <c r="T3360" s="5"/>
      <c r="W3360">
        <v>270</v>
      </c>
      <c r="X3360" t="s">
        <v>8412</v>
      </c>
      <c r="Y3360" t="str">
        <f>VLOOKUP(C3360,'[1]DBS_KPY Sorumlular'!A:C,2,FALSE)</f>
        <v>Tayfun VİÇE</v>
      </c>
      <c r="Z3360" t="str">
        <f>VLOOKUP(C3360,'[1]DBS_KPY Sorumlular'!A:C,3,FALSE)</f>
        <v>Mehmet Ali YAVUZ</v>
      </c>
      <c r="AA3360" t="str">
        <f>VLOOKUP(K3360,[1]!Tablo3[#Data],2,FALSE)</f>
        <v>Kadir TOPÇU</v>
      </c>
    </row>
    <row r="3361" spans="1:27" x14ac:dyDescent="0.25">
      <c r="A3361">
        <v>4702</v>
      </c>
      <c r="B3361" t="s">
        <v>27</v>
      </c>
      <c r="C3361" t="s">
        <v>402</v>
      </c>
      <c r="D3361" t="s">
        <v>403</v>
      </c>
      <c r="G3361" t="s">
        <v>384</v>
      </c>
      <c r="H3361" t="s">
        <v>9622</v>
      </c>
      <c r="I3361" s="4">
        <v>45443.875</v>
      </c>
      <c r="K3361" t="s">
        <v>743</v>
      </c>
      <c r="L3361" s="5"/>
      <c r="M3361" s="5" t="s">
        <v>8423</v>
      </c>
      <c r="N3361" t="s">
        <v>82</v>
      </c>
      <c r="O3361" t="s">
        <v>9623</v>
      </c>
      <c r="R3361">
        <v>1</v>
      </c>
      <c r="T3361" s="5"/>
      <c r="W3361">
        <v>270</v>
      </c>
      <c r="X3361" t="s">
        <v>8412</v>
      </c>
      <c r="Y3361" t="str">
        <f>VLOOKUP(C3361,'[1]DBS_KPY Sorumlular'!A:C,2,FALSE)</f>
        <v>Tayfun VİÇE</v>
      </c>
      <c r="Z3361" t="str">
        <f>VLOOKUP(C3361,'[1]DBS_KPY Sorumlular'!A:C,3,FALSE)</f>
        <v>Mehmet Ali YAVUZ</v>
      </c>
      <c r="AA3361" t="str">
        <f>VLOOKUP(K3361,[1]!Tablo3[#Data],2,FALSE)</f>
        <v>Kadir TOPÇU</v>
      </c>
    </row>
    <row r="3362" spans="1:27" x14ac:dyDescent="0.25">
      <c r="A3362">
        <v>4703</v>
      </c>
      <c r="B3362" t="s">
        <v>27</v>
      </c>
      <c r="C3362" t="s">
        <v>402</v>
      </c>
      <c r="D3362" t="s">
        <v>403</v>
      </c>
      <c r="G3362" t="s">
        <v>384</v>
      </c>
      <c r="H3362" t="s">
        <v>9624</v>
      </c>
      <c r="I3362" s="4">
        <v>45443.875</v>
      </c>
      <c r="K3362" t="s">
        <v>743</v>
      </c>
      <c r="L3362" s="5"/>
      <c r="M3362" s="5" t="s">
        <v>8423</v>
      </c>
      <c r="N3362" t="s">
        <v>82</v>
      </c>
      <c r="O3362" t="s">
        <v>9625</v>
      </c>
      <c r="R3362">
        <v>1</v>
      </c>
      <c r="T3362" s="5"/>
      <c r="W3362">
        <v>270</v>
      </c>
      <c r="X3362" t="s">
        <v>8412</v>
      </c>
      <c r="Y3362" t="str">
        <f>VLOOKUP(C3362,'[1]DBS_KPY Sorumlular'!A:C,2,FALSE)</f>
        <v>Tayfun VİÇE</v>
      </c>
      <c r="Z3362" t="str">
        <f>VLOOKUP(C3362,'[1]DBS_KPY Sorumlular'!A:C,3,FALSE)</f>
        <v>Mehmet Ali YAVUZ</v>
      </c>
      <c r="AA3362" t="str">
        <f>VLOOKUP(K3362,[1]!Tablo3[#Data],2,FALSE)</f>
        <v>Kadir TOPÇU</v>
      </c>
    </row>
    <row r="3363" spans="1:27" x14ac:dyDescent="0.25">
      <c r="A3363">
        <v>4704</v>
      </c>
      <c r="B3363" t="s">
        <v>27</v>
      </c>
      <c r="C3363" t="s">
        <v>402</v>
      </c>
      <c r="D3363" t="s">
        <v>403</v>
      </c>
      <c r="G3363" t="s">
        <v>384</v>
      </c>
      <c r="H3363" t="s">
        <v>9626</v>
      </c>
      <c r="I3363" s="4">
        <v>45443.875</v>
      </c>
      <c r="K3363" t="s">
        <v>743</v>
      </c>
      <c r="L3363" s="5"/>
      <c r="M3363" s="5" t="s">
        <v>8423</v>
      </c>
      <c r="N3363" t="s">
        <v>82</v>
      </c>
      <c r="O3363" t="s">
        <v>9627</v>
      </c>
      <c r="R3363">
        <v>1</v>
      </c>
      <c r="T3363" s="5"/>
      <c r="W3363">
        <v>270</v>
      </c>
      <c r="X3363" t="s">
        <v>8412</v>
      </c>
      <c r="Y3363" t="str">
        <f>VLOOKUP(C3363,'[1]DBS_KPY Sorumlular'!A:C,2,FALSE)</f>
        <v>Tayfun VİÇE</v>
      </c>
      <c r="Z3363" t="str">
        <f>VLOOKUP(C3363,'[1]DBS_KPY Sorumlular'!A:C,3,FALSE)</f>
        <v>Mehmet Ali YAVUZ</v>
      </c>
      <c r="AA3363" t="str">
        <f>VLOOKUP(K3363,[1]!Tablo3[#Data],2,FALSE)</f>
        <v>Kadir TOPÇU</v>
      </c>
    </row>
    <row r="3364" spans="1:27" x14ac:dyDescent="0.25">
      <c r="A3364">
        <v>4705</v>
      </c>
      <c r="B3364" t="s">
        <v>27</v>
      </c>
      <c r="C3364" t="s">
        <v>402</v>
      </c>
      <c r="D3364" t="s">
        <v>403</v>
      </c>
      <c r="G3364" t="s">
        <v>384</v>
      </c>
      <c r="H3364" t="s">
        <v>9628</v>
      </c>
      <c r="I3364" s="4">
        <v>45443.875</v>
      </c>
      <c r="K3364" t="s">
        <v>743</v>
      </c>
      <c r="L3364" s="5"/>
      <c r="M3364" s="5" t="s">
        <v>8423</v>
      </c>
      <c r="N3364" t="s">
        <v>82</v>
      </c>
      <c r="O3364" t="s">
        <v>9629</v>
      </c>
      <c r="R3364">
        <v>1</v>
      </c>
      <c r="T3364" s="5"/>
      <c r="W3364">
        <v>270</v>
      </c>
      <c r="X3364" t="s">
        <v>8412</v>
      </c>
      <c r="Y3364" t="str">
        <f>VLOOKUP(C3364,'[1]DBS_KPY Sorumlular'!A:C,2,FALSE)</f>
        <v>Tayfun VİÇE</v>
      </c>
      <c r="Z3364" t="str">
        <f>VLOOKUP(C3364,'[1]DBS_KPY Sorumlular'!A:C,3,FALSE)</f>
        <v>Mehmet Ali YAVUZ</v>
      </c>
      <c r="AA3364" t="str">
        <f>VLOOKUP(K3364,[1]!Tablo3[#Data],2,FALSE)</f>
        <v>Kadir TOPÇU</v>
      </c>
    </row>
    <row r="3365" spans="1:27" x14ac:dyDescent="0.25">
      <c r="A3365">
        <v>4706</v>
      </c>
      <c r="B3365" t="s">
        <v>27</v>
      </c>
      <c r="C3365" t="s">
        <v>402</v>
      </c>
      <c r="D3365" t="s">
        <v>403</v>
      </c>
      <c r="G3365" t="s">
        <v>384</v>
      </c>
      <c r="H3365" t="s">
        <v>9630</v>
      </c>
      <c r="I3365" s="4">
        <v>45443.875</v>
      </c>
      <c r="K3365" t="s">
        <v>1029</v>
      </c>
      <c r="L3365" s="5"/>
      <c r="M3365" s="5" t="s">
        <v>8423</v>
      </c>
      <c r="N3365" t="s">
        <v>82</v>
      </c>
      <c r="O3365" t="s">
        <v>9631</v>
      </c>
      <c r="R3365">
        <v>1</v>
      </c>
      <c r="T3365" s="5"/>
      <c r="W3365">
        <v>270</v>
      </c>
      <c r="X3365" t="s">
        <v>8412</v>
      </c>
      <c r="Y3365" t="str">
        <f>VLOOKUP(C3365,'[1]DBS_KPY Sorumlular'!A:C,2,FALSE)</f>
        <v>Tayfun VİÇE</v>
      </c>
      <c r="Z3365" t="str">
        <f>VLOOKUP(C3365,'[1]DBS_KPY Sorumlular'!A:C,3,FALSE)</f>
        <v>Mehmet Ali YAVUZ</v>
      </c>
      <c r="AA3365" t="str">
        <f>VLOOKUP(K3365,[1]!Tablo3[#Data],2,FALSE)</f>
        <v>Tayfun VİÇE</v>
      </c>
    </row>
    <row r="3366" spans="1:27" x14ac:dyDescent="0.25">
      <c r="A3366">
        <v>4707</v>
      </c>
      <c r="B3366" t="s">
        <v>27</v>
      </c>
      <c r="C3366" t="s">
        <v>402</v>
      </c>
      <c r="D3366" t="s">
        <v>403</v>
      </c>
      <c r="G3366" t="s">
        <v>384</v>
      </c>
      <c r="H3366" t="s">
        <v>9632</v>
      </c>
      <c r="I3366" s="4">
        <v>45443.875</v>
      </c>
      <c r="K3366" t="s">
        <v>226</v>
      </c>
      <c r="L3366" s="5"/>
      <c r="M3366" s="5" t="s">
        <v>8423</v>
      </c>
      <c r="N3366" t="s">
        <v>82</v>
      </c>
      <c r="O3366" t="s">
        <v>9633</v>
      </c>
      <c r="R3366">
        <v>1</v>
      </c>
      <c r="T3366" s="5"/>
      <c r="W3366">
        <v>270</v>
      </c>
      <c r="X3366" t="s">
        <v>8412</v>
      </c>
      <c r="Y3366" t="str">
        <f>VLOOKUP(C3366,'[1]DBS_KPY Sorumlular'!A:C,2,FALSE)</f>
        <v>Tayfun VİÇE</v>
      </c>
      <c r="Z3366" t="str">
        <f>VLOOKUP(C3366,'[1]DBS_KPY Sorumlular'!A:C,3,FALSE)</f>
        <v>Mehmet Ali YAVUZ</v>
      </c>
      <c r="AA3366" t="str">
        <f>VLOOKUP(K3366,[1]!Tablo3[#Data],2,FALSE)</f>
        <v>Kadir TOPÇU</v>
      </c>
    </row>
    <row r="3367" spans="1:27" x14ac:dyDescent="0.25">
      <c r="A3367">
        <v>4708</v>
      </c>
      <c r="B3367" t="s">
        <v>27</v>
      </c>
      <c r="C3367" t="s">
        <v>402</v>
      </c>
      <c r="D3367" t="s">
        <v>403</v>
      </c>
      <c r="G3367" t="s">
        <v>384</v>
      </c>
      <c r="H3367" t="s">
        <v>9634</v>
      </c>
      <c r="I3367" s="4">
        <v>45443.875</v>
      </c>
      <c r="K3367" t="s">
        <v>226</v>
      </c>
      <c r="L3367" s="5"/>
      <c r="M3367" s="5" t="s">
        <v>8423</v>
      </c>
      <c r="N3367" t="s">
        <v>82</v>
      </c>
      <c r="O3367" t="s">
        <v>9635</v>
      </c>
      <c r="R3367">
        <v>1</v>
      </c>
      <c r="T3367" s="5"/>
      <c r="W3367">
        <v>270</v>
      </c>
      <c r="X3367" t="s">
        <v>8412</v>
      </c>
      <c r="Y3367" t="str">
        <f>VLOOKUP(C3367,'[1]DBS_KPY Sorumlular'!A:C,2,FALSE)</f>
        <v>Tayfun VİÇE</v>
      </c>
      <c r="Z3367" t="str">
        <f>VLOOKUP(C3367,'[1]DBS_KPY Sorumlular'!A:C,3,FALSE)</f>
        <v>Mehmet Ali YAVUZ</v>
      </c>
      <c r="AA3367" t="str">
        <f>VLOOKUP(K3367,[1]!Tablo3[#Data],2,FALSE)</f>
        <v>Kadir TOPÇU</v>
      </c>
    </row>
    <row r="3368" spans="1:27" x14ac:dyDescent="0.25">
      <c r="A3368">
        <v>4709</v>
      </c>
      <c r="B3368" t="s">
        <v>27</v>
      </c>
      <c r="C3368" t="s">
        <v>402</v>
      </c>
      <c r="D3368" t="s">
        <v>403</v>
      </c>
      <c r="G3368" t="s">
        <v>384</v>
      </c>
      <c r="H3368" t="s">
        <v>9636</v>
      </c>
      <c r="I3368" s="4">
        <v>45443.875</v>
      </c>
      <c r="K3368" t="s">
        <v>743</v>
      </c>
      <c r="L3368" s="5"/>
      <c r="M3368" s="5" t="s">
        <v>8423</v>
      </c>
      <c r="N3368" t="s">
        <v>82</v>
      </c>
      <c r="O3368" t="s">
        <v>9637</v>
      </c>
      <c r="R3368">
        <v>1</v>
      </c>
      <c r="T3368" s="5"/>
      <c r="W3368">
        <v>270</v>
      </c>
      <c r="X3368" t="s">
        <v>8412</v>
      </c>
      <c r="Y3368" t="str">
        <f>VLOOKUP(C3368,'[1]DBS_KPY Sorumlular'!A:C,2,FALSE)</f>
        <v>Tayfun VİÇE</v>
      </c>
      <c r="Z3368" t="str">
        <f>VLOOKUP(C3368,'[1]DBS_KPY Sorumlular'!A:C,3,FALSE)</f>
        <v>Mehmet Ali YAVUZ</v>
      </c>
      <c r="AA3368" t="str">
        <f>VLOOKUP(K3368,[1]!Tablo3[#Data],2,FALSE)</f>
        <v>Kadir TOPÇU</v>
      </c>
    </row>
    <row r="3369" spans="1:27" x14ac:dyDescent="0.25">
      <c r="A3369">
        <v>4710</v>
      </c>
      <c r="B3369" t="s">
        <v>27</v>
      </c>
      <c r="C3369" t="s">
        <v>402</v>
      </c>
      <c r="D3369" t="s">
        <v>403</v>
      </c>
      <c r="G3369" t="s">
        <v>384</v>
      </c>
      <c r="H3369" t="s">
        <v>9638</v>
      </c>
      <c r="I3369" s="4">
        <v>45443.875</v>
      </c>
      <c r="K3369" t="s">
        <v>1528</v>
      </c>
      <c r="L3369" s="5"/>
      <c r="M3369" s="5" t="s">
        <v>8423</v>
      </c>
      <c r="N3369" t="s">
        <v>82</v>
      </c>
      <c r="O3369" t="s">
        <v>9639</v>
      </c>
      <c r="R3369">
        <v>1</v>
      </c>
      <c r="T3369" s="5"/>
      <c r="W3369">
        <v>270</v>
      </c>
      <c r="X3369" t="s">
        <v>8412</v>
      </c>
      <c r="Y3369" t="str">
        <f>VLOOKUP(C3369,'[1]DBS_KPY Sorumlular'!A:C,2,FALSE)</f>
        <v>Tayfun VİÇE</v>
      </c>
      <c r="Z3369" t="str">
        <f>VLOOKUP(C3369,'[1]DBS_KPY Sorumlular'!A:C,3,FALSE)</f>
        <v>Mehmet Ali YAVUZ</v>
      </c>
      <c r="AA3369" t="str">
        <f>VLOOKUP(K3369,[1]!Tablo3[#Data],2,FALSE)</f>
        <v>Tayfun VİÇE</v>
      </c>
    </row>
    <row r="3370" spans="1:27" x14ac:dyDescent="0.25">
      <c r="A3370">
        <v>4711</v>
      </c>
      <c r="B3370" t="s">
        <v>27</v>
      </c>
      <c r="C3370" t="s">
        <v>402</v>
      </c>
      <c r="D3370" t="s">
        <v>403</v>
      </c>
      <c r="G3370" t="s">
        <v>384</v>
      </c>
      <c r="H3370" t="s">
        <v>9640</v>
      </c>
      <c r="I3370" s="4">
        <v>45443.875</v>
      </c>
      <c r="K3370" t="s">
        <v>743</v>
      </c>
      <c r="L3370" s="5"/>
      <c r="M3370" s="5" t="s">
        <v>8423</v>
      </c>
      <c r="N3370" t="s">
        <v>82</v>
      </c>
      <c r="O3370" t="s">
        <v>9641</v>
      </c>
      <c r="R3370">
        <v>1</v>
      </c>
      <c r="T3370" s="5"/>
      <c r="W3370">
        <v>270</v>
      </c>
      <c r="X3370" t="s">
        <v>8412</v>
      </c>
      <c r="Y3370" t="str">
        <f>VLOOKUP(C3370,'[1]DBS_KPY Sorumlular'!A:C,2,FALSE)</f>
        <v>Tayfun VİÇE</v>
      </c>
      <c r="Z3370" t="str">
        <f>VLOOKUP(C3370,'[1]DBS_KPY Sorumlular'!A:C,3,FALSE)</f>
        <v>Mehmet Ali YAVUZ</v>
      </c>
      <c r="AA3370" t="str">
        <f>VLOOKUP(K3370,[1]!Tablo3[#Data],2,FALSE)</f>
        <v>Kadir TOPÇU</v>
      </c>
    </row>
    <row r="3371" spans="1:27" x14ac:dyDescent="0.25">
      <c r="A3371">
        <v>4712</v>
      </c>
      <c r="B3371" t="s">
        <v>27</v>
      </c>
      <c r="C3371" t="s">
        <v>402</v>
      </c>
      <c r="D3371" t="s">
        <v>403</v>
      </c>
      <c r="G3371" t="s">
        <v>384</v>
      </c>
      <c r="H3371" t="s">
        <v>9642</v>
      </c>
      <c r="I3371" s="4">
        <v>45443.875</v>
      </c>
      <c r="K3371" t="s">
        <v>1528</v>
      </c>
      <c r="L3371" s="5"/>
      <c r="M3371" s="5" t="s">
        <v>8423</v>
      </c>
      <c r="N3371" t="s">
        <v>82</v>
      </c>
      <c r="O3371" t="s">
        <v>9643</v>
      </c>
      <c r="R3371">
        <v>1</v>
      </c>
      <c r="T3371" s="5"/>
      <c r="W3371">
        <v>270</v>
      </c>
      <c r="X3371" t="s">
        <v>8412</v>
      </c>
      <c r="Y3371" t="str">
        <f>VLOOKUP(C3371,'[1]DBS_KPY Sorumlular'!A:C,2,FALSE)</f>
        <v>Tayfun VİÇE</v>
      </c>
      <c r="Z3371" t="str">
        <f>VLOOKUP(C3371,'[1]DBS_KPY Sorumlular'!A:C,3,FALSE)</f>
        <v>Mehmet Ali YAVUZ</v>
      </c>
      <c r="AA3371" t="str">
        <f>VLOOKUP(K3371,[1]!Tablo3[#Data],2,FALSE)</f>
        <v>Tayfun VİÇE</v>
      </c>
    </row>
    <row r="3372" spans="1:27" x14ac:dyDescent="0.25">
      <c r="A3372">
        <v>4713</v>
      </c>
      <c r="B3372" t="s">
        <v>27</v>
      </c>
      <c r="C3372" t="s">
        <v>402</v>
      </c>
      <c r="D3372" t="s">
        <v>403</v>
      </c>
      <c r="G3372" t="s">
        <v>384</v>
      </c>
      <c r="H3372" t="s">
        <v>9644</v>
      </c>
      <c r="I3372" s="4">
        <v>45443.875</v>
      </c>
      <c r="K3372" t="s">
        <v>926</v>
      </c>
      <c r="L3372" s="5"/>
      <c r="M3372" s="5" t="s">
        <v>8423</v>
      </c>
      <c r="N3372" t="s">
        <v>82</v>
      </c>
      <c r="O3372" t="s">
        <v>9645</v>
      </c>
      <c r="R3372">
        <v>1</v>
      </c>
      <c r="T3372" s="5"/>
      <c r="W3372">
        <v>270</v>
      </c>
      <c r="X3372" t="s">
        <v>8412</v>
      </c>
      <c r="Y3372" t="str">
        <f>VLOOKUP(C3372,'[1]DBS_KPY Sorumlular'!A:C,2,FALSE)</f>
        <v>Tayfun VİÇE</v>
      </c>
      <c r="Z3372" t="str">
        <f>VLOOKUP(C3372,'[1]DBS_KPY Sorumlular'!A:C,3,FALSE)</f>
        <v>Mehmet Ali YAVUZ</v>
      </c>
      <c r="AA3372" t="str">
        <f>VLOOKUP(K3372,[1]!Tablo3[#Data],2,FALSE)</f>
        <v>Kadir TOPÇU</v>
      </c>
    </row>
    <row r="3373" spans="1:27" x14ac:dyDescent="0.25">
      <c r="A3373">
        <v>4714</v>
      </c>
      <c r="B3373" t="s">
        <v>27</v>
      </c>
      <c r="C3373" t="s">
        <v>402</v>
      </c>
      <c r="D3373" t="s">
        <v>403</v>
      </c>
      <c r="G3373" t="s">
        <v>384</v>
      </c>
      <c r="H3373" t="s">
        <v>9646</v>
      </c>
      <c r="I3373" s="4">
        <v>45443.875</v>
      </c>
      <c r="K3373" t="s">
        <v>743</v>
      </c>
      <c r="L3373" s="5"/>
      <c r="M3373" s="5" t="s">
        <v>8423</v>
      </c>
      <c r="N3373" t="s">
        <v>82</v>
      </c>
      <c r="O3373" t="s">
        <v>9647</v>
      </c>
      <c r="R3373">
        <v>1</v>
      </c>
      <c r="T3373" s="5"/>
      <c r="W3373">
        <v>270</v>
      </c>
      <c r="X3373" t="s">
        <v>8412</v>
      </c>
      <c r="Y3373" t="str">
        <f>VLOOKUP(C3373,'[1]DBS_KPY Sorumlular'!A:C,2,FALSE)</f>
        <v>Tayfun VİÇE</v>
      </c>
      <c r="Z3373" t="str">
        <f>VLOOKUP(C3373,'[1]DBS_KPY Sorumlular'!A:C,3,FALSE)</f>
        <v>Mehmet Ali YAVUZ</v>
      </c>
      <c r="AA3373" t="str">
        <f>VLOOKUP(K3373,[1]!Tablo3[#Data],2,FALSE)</f>
        <v>Kadir TOPÇU</v>
      </c>
    </row>
    <row r="3374" spans="1:27" x14ac:dyDescent="0.25">
      <c r="A3374">
        <v>4715</v>
      </c>
      <c r="B3374" t="s">
        <v>27</v>
      </c>
      <c r="C3374" t="s">
        <v>402</v>
      </c>
      <c r="D3374" t="s">
        <v>403</v>
      </c>
      <c r="G3374" t="s">
        <v>384</v>
      </c>
      <c r="H3374" t="s">
        <v>9648</v>
      </c>
      <c r="I3374" s="4">
        <v>45443.875</v>
      </c>
      <c r="K3374" t="s">
        <v>743</v>
      </c>
      <c r="L3374" s="5"/>
      <c r="M3374" s="5" t="s">
        <v>8423</v>
      </c>
      <c r="N3374" t="s">
        <v>82</v>
      </c>
      <c r="O3374" t="s">
        <v>9649</v>
      </c>
      <c r="R3374">
        <v>1</v>
      </c>
      <c r="T3374" s="5"/>
      <c r="W3374">
        <v>270</v>
      </c>
      <c r="X3374" t="s">
        <v>8412</v>
      </c>
      <c r="Y3374" t="str">
        <f>VLOOKUP(C3374,'[1]DBS_KPY Sorumlular'!A:C,2,FALSE)</f>
        <v>Tayfun VİÇE</v>
      </c>
      <c r="Z3374" t="str">
        <f>VLOOKUP(C3374,'[1]DBS_KPY Sorumlular'!A:C,3,FALSE)</f>
        <v>Mehmet Ali YAVUZ</v>
      </c>
      <c r="AA3374" t="str">
        <f>VLOOKUP(K3374,[1]!Tablo3[#Data],2,FALSE)</f>
        <v>Kadir TOPÇU</v>
      </c>
    </row>
    <row r="3375" spans="1:27" x14ac:dyDescent="0.25">
      <c r="A3375">
        <v>4716</v>
      </c>
      <c r="B3375" t="s">
        <v>27</v>
      </c>
      <c r="C3375" t="s">
        <v>402</v>
      </c>
      <c r="D3375" t="s">
        <v>403</v>
      </c>
      <c r="G3375" t="s">
        <v>384</v>
      </c>
      <c r="H3375" t="s">
        <v>9650</v>
      </c>
      <c r="I3375" s="4">
        <v>45443.875</v>
      </c>
      <c r="K3375" t="s">
        <v>743</v>
      </c>
      <c r="L3375" s="5"/>
      <c r="M3375" s="5" t="s">
        <v>8423</v>
      </c>
      <c r="N3375" t="s">
        <v>82</v>
      </c>
      <c r="O3375" t="s">
        <v>9651</v>
      </c>
      <c r="R3375">
        <v>1</v>
      </c>
      <c r="T3375" s="5"/>
      <c r="W3375">
        <v>270</v>
      </c>
      <c r="X3375" t="s">
        <v>8412</v>
      </c>
      <c r="Y3375" t="str">
        <f>VLOOKUP(C3375,'[1]DBS_KPY Sorumlular'!A:C,2,FALSE)</f>
        <v>Tayfun VİÇE</v>
      </c>
      <c r="Z3375" t="str">
        <f>VLOOKUP(C3375,'[1]DBS_KPY Sorumlular'!A:C,3,FALSE)</f>
        <v>Mehmet Ali YAVUZ</v>
      </c>
      <c r="AA3375" t="str">
        <f>VLOOKUP(K3375,[1]!Tablo3[#Data],2,FALSE)</f>
        <v>Kadir TOPÇU</v>
      </c>
    </row>
    <row r="3376" spans="1:27" x14ac:dyDescent="0.25">
      <c r="A3376">
        <v>4717</v>
      </c>
      <c r="B3376" t="s">
        <v>27</v>
      </c>
      <c r="C3376" t="s">
        <v>402</v>
      </c>
      <c r="D3376" t="s">
        <v>403</v>
      </c>
      <c r="G3376" t="s">
        <v>384</v>
      </c>
      <c r="H3376" t="s">
        <v>9652</v>
      </c>
      <c r="I3376" s="4">
        <v>45443.875</v>
      </c>
      <c r="K3376" t="s">
        <v>926</v>
      </c>
      <c r="L3376" s="5"/>
      <c r="M3376" s="5" t="s">
        <v>8423</v>
      </c>
      <c r="N3376" t="s">
        <v>82</v>
      </c>
      <c r="O3376" t="s">
        <v>9653</v>
      </c>
      <c r="R3376">
        <v>1</v>
      </c>
      <c r="T3376" s="5"/>
      <c r="W3376">
        <v>270</v>
      </c>
      <c r="X3376" t="s">
        <v>8412</v>
      </c>
      <c r="Y3376" t="str">
        <f>VLOOKUP(C3376,'[1]DBS_KPY Sorumlular'!A:C,2,FALSE)</f>
        <v>Tayfun VİÇE</v>
      </c>
      <c r="Z3376" t="str">
        <f>VLOOKUP(C3376,'[1]DBS_KPY Sorumlular'!A:C,3,FALSE)</f>
        <v>Mehmet Ali YAVUZ</v>
      </c>
      <c r="AA3376" t="str">
        <f>VLOOKUP(K3376,[1]!Tablo3[#Data],2,FALSE)</f>
        <v>Kadir TOPÇU</v>
      </c>
    </row>
    <row r="3377" spans="1:27" x14ac:dyDescent="0.25">
      <c r="A3377">
        <v>4718</v>
      </c>
      <c r="B3377" t="s">
        <v>27</v>
      </c>
      <c r="C3377" t="s">
        <v>402</v>
      </c>
      <c r="D3377" t="s">
        <v>403</v>
      </c>
      <c r="G3377" t="s">
        <v>384</v>
      </c>
      <c r="H3377" t="s">
        <v>9654</v>
      </c>
      <c r="I3377" s="4">
        <v>45443.875</v>
      </c>
      <c r="K3377" t="s">
        <v>743</v>
      </c>
      <c r="L3377" s="5"/>
      <c r="M3377" s="5" t="s">
        <v>8423</v>
      </c>
      <c r="N3377" t="s">
        <v>82</v>
      </c>
      <c r="O3377" t="s">
        <v>9655</v>
      </c>
      <c r="R3377">
        <v>1</v>
      </c>
      <c r="T3377" s="5"/>
      <c r="W3377">
        <v>270</v>
      </c>
      <c r="X3377" t="s">
        <v>8412</v>
      </c>
      <c r="Y3377" t="str">
        <f>VLOOKUP(C3377,'[1]DBS_KPY Sorumlular'!A:C,2,FALSE)</f>
        <v>Tayfun VİÇE</v>
      </c>
      <c r="Z3377" t="str">
        <f>VLOOKUP(C3377,'[1]DBS_KPY Sorumlular'!A:C,3,FALSE)</f>
        <v>Mehmet Ali YAVUZ</v>
      </c>
      <c r="AA3377" t="str">
        <f>VLOOKUP(K3377,[1]!Tablo3[#Data],2,FALSE)</f>
        <v>Kadir TOPÇU</v>
      </c>
    </row>
    <row r="3378" spans="1:27" x14ac:dyDescent="0.25">
      <c r="A3378">
        <v>4719</v>
      </c>
      <c r="B3378" t="s">
        <v>27</v>
      </c>
      <c r="C3378" t="s">
        <v>402</v>
      </c>
      <c r="D3378" t="s">
        <v>403</v>
      </c>
      <c r="G3378" t="s">
        <v>384</v>
      </c>
      <c r="H3378" t="s">
        <v>9656</v>
      </c>
      <c r="I3378" s="4">
        <v>45443.875</v>
      </c>
      <c r="K3378" t="s">
        <v>743</v>
      </c>
      <c r="L3378" s="5"/>
      <c r="M3378" s="5" t="s">
        <v>8423</v>
      </c>
      <c r="N3378" t="s">
        <v>82</v>
      </c>
      <c r="O3378" t="s">
        <v>9657</v>
      </c>
      <c r="R3378">
        <v>1</v>
      </c>
      <c r="T3378" s="5"/>
      <c r="W3378">
        <v>270</v>
      </c>
      <c r="X3378" t="s">
        <v>8412</v>
      </c>
      <c r="Y3378" t="str">
        <f>VLOOKUP(C3378,'[1]DBS_KPY Sorumlular'!A:C,2,FALSE)</f>
        <v>Tayfun VİÇE</v>
      </c>
      <c r="Z3378" t="str">
        <f>VLOOKUP(C3378,'[1]DBS_KPY Sorumlular'!A:C,3,FALSE)</f>
        <v>Mehmet Ali YAVUZ</v>
      </c>
      <c r="AA3378" t="str">
        <f>VLOOKUP(K3378,[1]!Tablo3[#Data],2,FALSE)</f>
        <v>Kadir TOPÇU</v>
      </c>
    </row>
    <row r="3379" spans="1:27" x14ac:dyDescent="0.25">
      <c r="A3379">
        <v>4720</v>
      </c>
      <c r="B3379" t="s">
        <v>27</v>
      </c>
      <c r="C3379" t="s">
        <v>402</v>
      </c>
      <c r="D3379" t="s">
        <v>403</v>
      </c>
      <c r="G3379" t="s">
        <v>384</v>
      </c>
      <c r="H3379" t="s">
        <v>9658</v>
      </c>
      <c r="I3379" s="4">
        <v>45443.875</v>
      </c>
      <c r="K3379" t="s">
        <v>1528</v>
      </c>
      <c r="L3379" s="5"/>
      <c r="M3379" s="5" t="s">
        <v>8423</v>
      </c>
      <c r="N3379" t="s">
        <v>82</v>
      </c>
      <c r="O3379" t="s">
        <v>9659</v>
      </c>
      <c r="R3379">
        <v>1</v>
      </c>
      <c r="T3379" s="5"/>
      <c r="W3379">
        <v>270</v>
      </c>
      <c r="X3379" t="s">
        <v>8412</v>
      </c>
      <c r="Y3379" t="str">
        <f>VLOOKUP(C3379,'[1]DBS_KPY Sorumlular'!A:C,2,FALSE)</f>
        <v>Tayfun VİÇE</v>
      </c>
      <c r="Z3379" t="str">
        <f>VLOOKUP(C3379,'[1]DBS_KPY Sorumlular'!A:C,3,FALSE)</f>
        <v>Mehmet Ali YAVUZ</v>
      </c>
      <c r="AA3379" t="str">
        <f>VLOOKUP(K3379,[1]!Tablo3[#Data],2,FALSE)</f>
        <v>Tayfun VİÇE</v>
      </c>
    </row>
    <row r="3380" spans="1:27" x14ac:dyDescent="0.25">
      <c r="A3380">
        <v>4721</v>
      </c>
      <c r="B3380" t="s">
        <v>27</v>
      </c>
      <c r="C3380" t="s">
        <v>402</v>
      </c>
      <c r="D3380" t="s">
        <v>403</v>
      </c>
      <c r="G3380" t="s">
        <v>384</v>
      </c>
      <c r="H3380" t="s">
        <v>9660</v>
      </c>
      <c r="I3380" s="4">
        <v>45443.875</v>
      </c>
      <c r="K3380" t="s">
        <v>743</v>
      </c>
      <c r="L3380" s="5"/>
      <c r="M3380" s="5" t="s">
        <v>8423</v>
      </c>
      <c r="N3380" t="s">
        <v>82</v>
      </c>
      <c r="O3380" t="s">
        <v>9661</v>
      </c>
      <c r="R3380">
        <v>1</v>
      </c>
      <c r="T3380" s="5"/>
      <c r="W3380">
        <v>270</v>
      </c>
      <c r="X3380" t="s">
        <v>8412</v>
      </c>
      <c r="Y3380" t="str">
        <f>VLOOKUP(C3380,'[1]DBS_KPY Sorumlular'!A:C,2,FALSE)</f>
        <v>Tayfun VİÇE</v>
      </c>
      <c r="Z3380" t="str">
        <f>VLOOKUP(C3380,'[1]DBS_KPY Sorumlular'!A:C,3,FALSE)</f>
        <v>Mehmet Ali YAVUZ</v>
      </c>
      <c r="AA3380" t="str">
        <f>VLOOKUP(K3380,[1]!Tablo3[#Data],2,FALSE)</f>
        <v>Kadir TOPÇU</v>
      </c>
    </row>
    <row r="3381" spans="1:27" x14ac:dyDescent="0.25">
      <c r="A3381">
        <v>4722</v>
      </c>
      <c r="B3381" t="s">
        <v>27</v>
      </c>
      <c r="C3381" t="s">
        <v>402</v>
      </c>
      <c r="D3381" t="s">
        <v>403</v>
      </c>
      <c r="G3381" t="s">
        <v>384</v>
      </c>
      <c r="H3381" t="s">
        <v>9662</v>
      </c>
      <c r="I3381" s="4">
        <v>45443.875</v>
      </c>
      <c r="K3381" t="s">
        <v>743</v>
      </c>
      <c r="L3381" s="5"/>
      <c r="M3381" s="5" t="s">
        <v>8423</v>
      </c>
      <c r="N3381" t="s">
        <v>82</v>
      </c>
      <c r="O3381" t="s">
        <v>9663</v>
      </c>
      <c r="R3381">
        <v>1</v>
      </c>
      <c r="T3381" s="5"/>
      <c r="W3381">
        <v>270</v>
      </c>
      <c r="X3381" t="s">
        <v>8412</v>
      </c>
      <c r="Y3381" t="str">
        <f>VLOOKUP(C3381,'[1]DBS_KPY Sorumlular'!A:C,2,FALSE)</f>
        <v>Tayfun VİÇE</v>
      </c>
      <c r="Z3381" t="str">
        <f>VLOOKUP(C3381,'[1]DBS_KPY Sorumlular'!A:C,3,FALSE)</f>
        <v>Mehmet Ali YAVUZ</v>
      </c>
      <c r="AA3381" t="str">
        <f>VLOOKUP(K3381,[1]!Tablo3[#Data],2,FALSE)</f>
        <v>Kadir TOPÇU</v>
      </c>
    </row>
    <row r="3382" spans="1:27" x14ac:dyDescent="0.25">
      <c r="A3382">
        <v>4723</v>
      </c>
      <c r="B3382" t="s">
        <v>27</v>
      </c>
      <c r="C3382" t="s">
        <v>402</v>
      </c>
      <c r="D3382" t="s">
        <v>403</v>
      </c>
      <c r="G3382" t="s">
        <v>384</v>
      </c>
      <c r="H3382" t="s">
        <v>9664</v>
      </c>
      <c r="I3382" s="4">
        <v>45443.875</v>
      </c>
      <c r="K3382" t="s">
        <v>743</v>
      </c>
      <c r="L3382" s="5"/>
      <c r="M3382" s="5" t="s">
        <v>8423</v>
      </c>
      <c r="N3382" t="s">
        <v>82</v>
      </c>
      <c r="O3382" t="s">
        <v>9665</v>
      </c>
      <c r="R3382">
        <v>1</v>
      </c>
      <c r="T3382" s="5"/>
      <c r="W3382">
        <v>270</v>
      </c>
      <c r="X3382" t="s">
        <v>8412</v>
      </c>
      <c r="Y3382" t="str">
        <f>VLOOKUP(C3382,'[1]DBS_KPY Sorumlular'!A:C,2,FALSE)</f>
        <v>Tayfun VİÇE</v>
      </c>
      <c r="Z3382" t="str">
        <f>VLOOKUP(C3382,'[1]DBS_KPY Sorumlular'!A:C,3,FALSE)</f>
        <v>Mehmet Ali YAVUZ</v>
      </c>
      <c r="AA3382" t="str">
        <f>VLOOKUP(K3382,[1]!Tablo3[#Data],2,FALSE)</f>
        <v>Kadir TOPÇU</v>
      </c>
    </row>
    <row r="3383" spans="1:27" x14ac:dyDescent="0.25">
      <c r="A3383">
        <v>4724</v>
      </c>
      <c r="B3383" t="s">
        <v>27</v>
      </c>
      <c r="C3383" t="s">
        <v>402</v>
      </c>
      <c r="D3383" t="s">
        <v>403</v>
      </c>
      <c r="G3383" t="s">
        <v>384</v>
      </c>
      <c r="H3383" t="s">
        <v>9666</v>
      </c>
      <c r="I3383" s="4">
        <v>45443.875</v>
      </c>
      <c r="K3383" t="s">
        <v>743</v>
      </c>
      <c r="L3383" s="5"/>
      <c r="M3383" s="5" t="s">
        <v>8423</v>
      </c>
      <c r="N3383" t="s">
        <v>82</v>
      </c>
      <c r="O3383" t="s">
        <v>9667</v>
      </c>
      <c r="R3383">
        <v>1</v>
      </c>
      <c r="T3383" s="5"/>
      <c r="W3383">
        <v>270</v>
      </c>
      <c r="X3383" t="s">
        <v>8412</v>
      </c>
      <c r="Y3383" t="str">
        <f>VLOOKUP(C3383,'[1]DBS_KPY Sorumlular'!A:C,2,FALSE)</f>
        <v>Tayfun VİÇE</v>
      </c>
      <c r="Z3383" t="str">
        <f>VLOOKUP(C3383,'[1]DBS_KPY Sorumlular'!A:C,3,FALSE)</f>
        <v>Mehmet Ali YAVUZ</v>
      </c>
      <c r="AA3383" t="str">
        <f>VLOOKUP(K3383,[1]!Tablo3[#Data],2,FALSE)</f>
        <v>Kadir TOPÇU</v>
      </c>
    </row>
    <row r="3384" spans="1:27" x14ac:dyDescent="0.25">
      <c r="A3384">
        <v>4725</v>
      </c>
      <c r="B3384" t="s">
        <v>27</v>
      </c>
      <c r="C3384" t="s">
        <v>402</v>
      </c>
      <c r="D3384" t="s">
        <v>403</v>
      </c>
      <c r="G3384" t="s">
        <v>384</v>
      </c>
      <c r="H3384" t="s">
        <v>9668</v>
      </c>
      <c r="I3384" s="4">
        <v>45443.875</v>
      </c>
      <c r="K3384" t="s">
        <v>743</v>
      </c>
      <c r="L3384" s="5"/>
      <c r="M3384" s="5" t="s">
        <v>8423</v>
      </c>
      <c r="N3384" t="s">
        <v>82</v>
      </c>
      <c r="O3384" t="s">
        <v>9669</v>
      </c>
      <c r="R3384">
        <v>1</v>
      </c>
      <c r="T3384" s="5"/>
      <c r="W3384">
        <v>270</v>
      </c>
      <c r="X3384" t="s">
        <v>8412</v>
      </c>
      <c r="Y3384" t="str">
        <f>VLOOKUP(C3384,'[1]DBS_KPY Sorumlular'!A:C,2,FALSE)</f>
        <v>Tayfun VİÇE</v>
      </c>
      <c r="Z3384" t="str">
        <f>VLOOKUP(C3384,'[1]DBS_KPY Sorumlular'!A:C,3,FALSE)</f>
        <v>Mehmet Ali YAVUZ</v>
      </c>
      <c r="AA3384" t="str">
        <f>VLOOKUP(K3384,[1]!Tablo3[#Data],2,FALSE)</f>
        <v>Kadir TOPÇU</v>
      </c>
    </row>
    <row r="3385" spans="1:27" x14ac:dyDescent="0.25">
      <c r="A3385">
        <v>4726</v>
      </c>
      <c r="B3385" t="s">
        <v>27</v>
      </c>
      <c r="C3385" t="s">
        <v>402</v>
      </c>
      <c r="D3385" t="s">
        <v>403</v>
      </c>
      <c r="G3385" t="s">
        <v>384</v>
      </c>
      <c r="H3385" t="s">
        <v>9670</v>
      </c>
      <c r="I3385" s="4">
        <v>45443.875</v>
      </c>
      <c r="K3385" t="s">
        <v>743</v>
      </c>
      <c r="L3385" s="5"/>
      <c r="M3385" s="5" t="s">
        <v>8423</v>
      </c>
      <c r="N3385" t="s">
        <v>82</v>
      </c>
      <c r="O3385" t="s">
        <v>9671</v>
      </c>
      <c r="R3385">
        <v>1</v>
      </c>
      <c r="T3385" s="5"/>
      <c r="W3385">
        <v>270</v>
      </c>
      <c r="X3385" t="s">
        <v>8412</v>
      </c>
      <c r="Y3385" t="str">
        <f>VLOOKUP(C3385,'[1]DBS_KPY Sorumlular'!A:C,2,FALSE)</f>
        <v>Tayfun VİÇE</v>
      </c>
      <c r="Z3385" t="str">
        <f>VLOOKUP(C3385,'[1]DBS_KPY Sorumlular'!A:C,3,FALSE)</f>
        <v>Mehmet Ali YAVUZ</v>
      </c>
      <c r="AA3385" t="str">
        <f>VLOOKUP(K3385,[1]!Tablo3[#Data],2,FALSE)</f>
        <v>Kadir TOPÇU</v>
      </c>
    </row>
    <row r="3386" spans="1:27" x14ac:dyDescent="0.25">
      <c r="A3386">
        <v>4727</v>
      </c>
      <c r="B3386" t="s">
        <v>27</v>
      </c>
      <c r="C3386" t="s">
        <v>402</v>
      </c>
      <c r="D3386" t="s">
        <v>403</v>
      </c>
      <c r="G3386" t="s">
        <v>384</v>
      </c>
      <c r="H3386" t="s">
        <v>9672</v>
      </c>
      <c r="I3386" s="4">
        <v>45443.875</v>
      </c>
      <c r="K3386" t="s">
        <v>743</v>
      </c>
      <c r="L3386" s="5"/>
      <c r="M3386" s="5" t="s">
        <v>8423</v>
      </c>
      <c r="N3386" t="s">
        <v>82</v>
      </c>
      <c r="O3386" t="s">
        <v>9673</v>
      </c>
      <c r="R3386">
        <v>1</v>
      </c>
      <c r="T3386" s="5"/>
      <c r="W3386">
        <v>270</v>
      </c>
      <c r="X3386" t="s">
        <v>8412</v>
      </c>
      <c r="Y3386" t="str">
        <f>VLOOKUP(C3386,'[1]DBS_KPY Sorumlular'!A:C,2,FALSE)</f>
        <v>Tayfun VİÇE</v>
      </c>
      <c r="Z3386" t="str">
        <f>VLOOKUP(C3386,'[1]DBS_KPY Sorumlular'!A:C,3,FALSE)</f>
        <v>Mehmet Ali YAVUZ</v>
      </c>
      <c r="AA3386" t="str">
        <f>VLOOKUP(K3386,[1]!Tablo3[#Data],2,FALSE)</f>
        <v>Kadir TOPÇU</v>
      </c>
    </row>
    <row r="3387" spans="1:27" x14ac:dyDescent="0.25">
      <c r="A3387">
        <v>4728</v>
      </c>
      <c r="B3387" t="s">
        <v>27</v>
      </c>
      <c r="C3387" t="s">
        <v>402</v>
      </c>
      <c r="D3387" t="s">
        <v>403</v>
      </c>
      <c r="G3387" t="s">
        <v>384</v>
      </c>
      <c r="H3387" t="s">
        <v>9674</v>
      </c>
      <c r="I3387" s="4">
        <v>45443.875</v>
      </c>
      <c r="K3387" t="s">
        <v>743</v>
      </c>
      <c r="L3387" s="5"/>
      <c r="M3387" s="5" t="s">
        <v>8423</v>
      </c>
      <c r="N3387" t="s">
        <v>82</v>
      </c>
      <c r="O3387" t="s">
        <v>9675</v>
      </c>
      <c r="R3387">
        <v>1</v>
      </c>
      <c r="T3387" s="5"/>
      <c r="W3387">
        <v>270</v>
      </c>
      <c r="X3387" t="s">
        <v>8412</v>
      </c>
      <c r="Y3387" t="str">
        <f>VLOOKUP(C3387,'[1]DBS_KPY Sorumlular'!A:C,2,FALSE)</f>
        <v>Tayfun VİÇE</v>
      </c>
      <c r="Z3387" t="str">
        <f>VLOOKUP(C3387,'[1]DBS_KPY Sorumlular'!A:C,3,FALSE)</f>
        <v>Mehmet Ali YAVUZ</v>
      </c>
      <c r="AA3387" t="str">
        <f>VLOOKUP(K3387,[1]!Tablo3[#Data],2,FALSE)</f>
        <v>Kadir TOPÇU</v>
      </c>
    </row>
    <row r="3388" spans="1:27" x14ac:dyDescent="0.25">
      <c r="A3388">
        <v>4729</v>
      </c>
      <c r="B3388" t="s">
        <v>27</v>
      </c>
      <c r="C3388" t="s">
        <v>402</v>
      </c>
      <c r="D3388" t="s">
        <v>403</v>
      </c>
      <c r="G3388" t="s">
        <v>384</v>
      </c>
      <c r="H3388" t="s">
        <v>9676</v>
      </c>
      <c r="I3388" s="4">
        <v>45443.875</v>
      </c>
      <c r="K3388" t="s">
        <v>743</v>
      </c>
      <c r="L3388" s="5"/>
      <c r="M3388" s="5" t="s">
        <v>8423</v>
      </c>
      <c r="N3388" t="s">
        <v>82</v>
      </c>
      <c r="O3388" t="s">
        <v>9677</v>
      </c>
      <c r="R3388">
        <v>1</v>
      </c>
      <c r="T3388" s="5"/>
      <c r="W3388">
        <v>270</v>
      </c>
      <c r="X3388" t="s">
        <v>8412</v>
      </c>
      <c r="Y3388" t="str">
        <f>VLOOKUP(C3388,'[1]DBS_KPY Sorumlular'!A:C,2,FALSE)</f>
        <v>Tayfun VİÇE</v>
      </c>
      <c r="Z3388" t="str">
        <f>VLOOKUP(C3388,'[1]DBS_KPY Sorumlular'!A:C,3,FALSE)</f>
        <v>Mehmet Ali YAVUZ</v>
      </c>
      <c r="AA3388" t="str">
        <f>VLOOKUP(K3388,[1]!Tablo3[#Data],2,FALSE)</f>
        <v>Kadir TOPÇU</v>
      </c>
    </row>
    <row r="3389" spans="1:27" x14ac:dyDescent="0.25">
      <c r="A3389">
        <v>4730</v>
      </c>
      <c r="B3389" t="s">
        <v>27</v>
      </c>
      <c r="C3389" t="s">
        <v>402</v>
      </c>
      <c r="D3389" t="s">
        <v>403</v>
      </c>
      <c r="G3389" t="s">
        <v>384</v>
      </c>
      <c r="H3389" t="s">
        <v>9678</v>
      </c>
      <c r="I3389" s="4">
        <v>45443.875</v>
      </c>
      <c r="K3389" t="s">
        <v>743</v>
      </c>
      <c r="L3389" s="5"/>
      <c r="M3389" s="5" t="s">
        <v>8423</v>
      </c>
      <c r="N3389" t="s">
        <v>82</v>
      </c>
      <c r="O3389" t="s">
        <v>9679</v>
      </c>
      <c r="R3389">
        <v>1</v>
      </c>
      <c r="T3389" s="5"/>
      <c r="W3389">
        <v>270</v>
      </c>
      <c r="X3389" t="s">
        <v>8412</v>
      </c>
      <c r="Y3389" t="str">
        <f>VLOOKUP(C3389,'[1]DBS_KPY Sorumlular'!A:C,2,FALSE)</f>
        <v>Tayfun VİÇE</v>
      </c>
      <c r="Z3389" t="str">
        <f>VLOOKUP(C3389,'[1]DBS_KPY Sorumlular'!A:C,3,FALSE)</f>
        <v>Mehmet Ali YAVUZ</v>
      </c>
      <c r="AA3389" t="str">
        <f>VLOOKUP(K3389,[1]!Tablo3[#Data],2,FALSE)</f>
        <v>Kadir TOPÇU</v>
      </c>
    </row>
    <row r="3390" spans="1:27" x14ac:dyDescent="0.25">
      <c r="A3390">
        <v>4731</v>
      </c>
      <c r="B3390" t="s">
        <v>27</v>
      </c>
      <c r="C3390" t="s">
        <v>402</v>
      </c>
      <c r="D3390" t="s">
        <v>403</v>
      </c>
      <c r="G3390" t="s">
        <v>384</v>
      </c>
      <c r="H3390" t="s">
        <v>9680</v>
      </c>
      <c r="I3390" s="4">
        <v>45443.875</v>
      </c>
      <c r="K3390" t="s">
        <v>743</v>
      </c>
      <c r="L3390" s="5"/>
      <c r="M3390" s="5" t="s">
        <v>8423</v>
      </c>
      <c r="N3390" t="s">
        <v>82</v>
      </c>
      <c r="O3390" t="s">
        <v>9681</v>
      </c>
      <c r="R3390">
        <v>1</v>
      </c>
      <c r="T3390" s="5"/>
      <c r="W3390">
        <v>270</v>
      </c>
      <c r="X3390" t="s">
        <v>8412</v>
      </c>
      <c r="Y3390" t="str">
        <f>VLOOKUP(C3390,'[1]DBS_KPY Sorumlular'!A:C,2,FALSE)</f>
        <v>Tayfun VİÇE</v>
      </c>
      <c r="Z3390" t="str">
        <f>VLOOKUP(C3390,'[1]DBS_KPY Sorumlular'!A:C,3,FALSE)</f>
        <v>Mehmet Ali YAVUZ</v>
      </c>
      <c r="AA3390" t="str">
        <f>VLOOKUP(K3390,[1]!Tablo3[#Data],2,FALSE)</f>
        <v>Kadir TOPÇU</v>
      </c>
    </row>
    <row r="3391" spans="1:27" x14ac:dyDescent="0.25">
      <c r="A3391">
        <v>4732</v>
      </c>
      <c r="B3391" t="s">
        <v>27</v>
      </c>
      <c r="C3391" t="s">
        <v>402</v>
      </c>
      <c r="D3391" t="s">
        <v>403</v>
      </c>
      <c r="G3391" t="s">
        <v>384</v>
      </c>
      <c r="H3391" t="s">
        <v>9682</v>
      </c>
      <c r="I3391" s="4">
        <v>45443.875</v>
      </c>
      <c r="K3391" t="s">
        <v>743</v>
      </c>
      <c r="L3391" s="5"/>
      <c r="M3391" s="5" t="s">
        <v>8423</v>
      </c>
      <c r="N3391" t="s">
        <v>82</v>
      </c>
      <c r="O3391" t="s">
        <v>9683</v>
      </c>
      <c r="R3391">
        <v>1</v>
      </c>
      <c r="T3391" s="5"/>
      <c r="W3391">
        <v>270</v>
      </c>
      <c r="X3391" t="s">
        <v>8412</v>
      </c>
      <c r="Y3391" t="str">
        <f>VLOOKUP(C3391,'[1]DBS_KPY Sorumlular'!A:C,2,FALSE)</f>
        <v>Tayfun VİÇE</v>
      </c>
      <c r="Z3391" t="str">
        <f>VLOOKUP(C3391,'[1]DBS_KPY Sorumlular'!A:C,3,FALSE)</f>
        <v>Mehmet Ali YAVUZ</v>
      </c>
      <c r="AA3391" t="str">
        <f>VLOOKUP(K3391,[1]!Tablo3[#Data],2,FALSE)</f>
        <v>Kadir TOPÇU</v>
      </c>
    </row>
    <row r="3392" spans="1:27" x14ac:dyDescent="0.25">
      <c r="A3392">
        <v>4733</v>
      </c>
      <c r="B3392" t="s">
        <v>27</v>
      </c>
      <c r="C3392" t="s">
        <v>402</v>
      </c>
      <c r="D3392" t="s">
        <v>403</v>
      </c>
      <c r="G3392" t="s">
        <v>384</v>
      </c>
      <c r="H3392" t="s">
        <v>9684</v>
      </c>
      <c r="I3392" s="4">
        <v>45443.875</v>
      </c>
      <c r="K3392" t="s">
        <v>743</v>
      </c>
      <c r="L3392" s="5"/>
      <c r="M3392" s="5" t="s">
        <v>8423</v>
      </c>
      <c r="N3392" t="s">
        <v>82</v>
      </c>
      <c r="O3392" t="s">
        <v>9685</v>
      </c>
      <c r="R3392">
        <v>1</v>
      </c>
      <c r="T3392" s="5"/>
      <c r="W3392">
        <v>270</v>
      </c>
      <c r="X3392" t="s">
        <v>8412</v>
      </c>
      <c r="Y3392" t="str">
        <f>VLOOKUP(C3392,'[1]DBS_KPY Sorumlular'!A:C,2,FALSE)</f>
        <v>Tayfun VİÇE</v>
      </c>
      <c r="Z3392" t="str">
        <f>VLOOKUP(C3392,'[1]DBS_KPY Sorumlular'!A:C,3,FALSE)</f>
        <v>Mehmet Ali YAVUZ</v>
      </c>
      <c r="AA3392" t="str">
        <f>VLOOKUP(K3392,[1]!Tablo3[#Data],2,FALSE)</f>
        <v>Kadir TOPÇU</v>
      </c>
    </row>
    <row r="3393" spans="1:27" x14ac:dyDescent="0.25">
      <c r="A3393">
        <v>4734</v>
      </c>
      <c r="B3393" t="s">
        <v>27</v>
      </c>
      <c r="C3393" t="s">
        <v>402</v>
      </c>
      <c r="D3393" t="s">
        <v>403</v>
      </c>
      <c r="G3393" t="s">
        <v>384</v>
      </c>
      <c r="H3393" t="s">
        <v>9686</v>
      </c>
      <c r="I3393" s="4">
        <v>45443.875</v>
      </c>
      <c r="K3393" t="s">
        <v>743</v>
      </c>
      <c r="L3393" s="5"/>
      <c r="M3393" s="5" t="s">
        <v>8423</v>
      </c>
      <c r="N3393" t="s">
        <v>82</v>
      </c>
      <c r="O3393" t="s">
        <v>9687</v>
      </c>
      <c r="R3393">
        <v>1</v>
      </c>
      <c r="T3393" s="5"/>
      <c r="W3393">
        <v>270</v>
      </c>
      <c r="X3393" t="s">
        <v>8412</v>
      </c>
      <c r="Y3393" t="str">
        <f>VLOOKUP(C3393,'[1]DBS_KPY Sorumlular'!A:C,2,FALSE)</f>
        <v>Tayfun VİÇE</v>
      </c>
      <c r="Z3393" t="str">
        <f>VLOOKUP(C3393,'[1]DBS_KPY Sorumlular'!A:C,3,FALSE)</f>
        <v>Mehmet Ali YAVUZ</v>
      </c>
      <c r="AA3393" t="str">
        <f>VLOOKUP(K3393,[1]!Tablo3[#Data],2,FALSE)</f>
        <v>Kadir TOPÇU</v>
      </c>
    </row>
    <row r="3394" spans="1:27" x14ac:dyDescent="0.25">
      <c r="A3394">
        <v>4735</v>
      </c>
      <c r="B3394" t="s">
        <v>27</v>
      </c>
      <c r="C3394" t="s">
        <v>402</v>
      </c>
      <c r="D3394" t="s">
        <v>403</v>
      </c>
      <c r="G3394" t="s">
        <v>384</v>
      </c>
      <c r="H3394" t="s">
        <v>9688</v>
      </c>
      <c r="I3394" s="4">
        <v>45443.875</v>
      </c>
      <c r="K3394" t="s">
        <v>743</v>
      </c>
      <c r="L3394" s="5"/>
      <c r="M3394" s="5" t="s">
        <v>8423</v>
      </c>
      <c r="N3394" t="s">
        <v>82</v>
      </c>
      <c r="O3394" t="s">
        <v>9689</v>
      </c>
      <c r="R3394">
        <v>1</v>
      </c>
      <c r="T3394" s="5"/>
      <c r="W3394">
        <v>270</v>
      </c>
      <c r="X3394" t="s">
        <v>8412</v>
      </c>
      <c r="Y3394" t="str">
        <f>VLOOKUP(C3394,'[1]DBS_KPY Sorumlular'!A:C,2,FALSE)</f>
        <v>Tayfun VİÇE</v>
      </c>
      <c r="Z3394" t="str">
        <f>VLOOKUP(C3394,'[1]DBS_KPY Sorumlular'!A:C,3,FALSE)</f>
        <v>Mehmet Ali YAVUZ</v>
      </c>
      <c r="AA3394" t="str">
        <f>VLOOKUP(K3394,[1]!Tablo3[#Data],2,FALSE)</f>
        <v>Kadir TOPÇU</v>
      </c>
    </row>
    <row r="3395" spans="1:27" x14ac:dyDescent="0.25">
      <c r="A3395">
        <v>4736</v>
      </c>
      <c r="B3395" t="s">
        <v>27</v>
      </c>
      <c r="C3395" t="s">
        <v>402</v>
      </c>
      <c r="D3395" t="s">
        <v>403</v>
      </c>
      <c r="G3395" t="s">
        <v>384</v>
      </c>
      <c r="H3395" t="s">
        <v>9690</v>
      </c>
      <c r="I3395" s="4">
        <v>45443.875</v>
      </c>
      <c r="K3395" t="s">
        <v>743</v>
      </c>
      <c r="L3395" s="5"/>
      <c r="M3395" s="5" t="s">
        <v>8423</v>
      </c>
      <c r="N3395" t="s">
        <v>82</v>
      </c>
      <c r="O3395" t="s">
        <v>9691</v>
      </c>
      <c r="R3395">
        <v>1</v>
      </c>
      <c r="T3395" s="5"/>
      <c r="W3395">
        <v>270</v>
      </c>
      <c r="X3395" t="s">
        <v>8412</v>
      </c>
      <c r="Y3395" t="str">
        <f>VLOOKUP(C3395,'[1]DBS_KPY Sorumlular'!A:C,2,FALSE)</f>
        <v>Tayfun VİÇE</v>
      </c>
      <c r="Z3395" t="str">
        <f>VLOOKUP(C3395,'[1]DBS_KPY Sorumlular'!A:C,3,FALSE)</f>
        <v>Mehmet Ali YAVUZ</v>
      </c>
      <c r="AA3395" t="str">
        <f>VLOOKUP(K3395,[1]!Tablo3[#Data],2,FALSE)</f>
        <v>Kadir TOPÇU</v>
      </c>
    </row>
    <row r="3396" spans="1:27" x14ac:dyDescent="0.25">
      <c r="A3396">
        <v>4737</v>
      </c>
      <c r="B3396" t="s">
        <v>27</v>
      </c>
      <c r="C3396" t="s">
        <v>402</v>
      </c>
      <c r="D3396" t="s">
        <v>403</v>
      </c>
      <c r="G3396" t="s">
        <v>384</v>
      </c>
      <c r="H3396" t="s">
        <v>9692</v>
      </c>
      <c r="I3396" s="4">
        <v>45443.875</v>
      </c>
      <c r="K3396" t="s">
        <v>743</v>
      </c>
      <c r="L3396" s="5"/>
      <c r="M3396" s="5" t="s">
        <v>8423</v>
      </c>
      <c r="N3396" t="s">
        <v>82</v>
      </c>
      <c r="O3396" t="s">
        <v>9693</v>
      </c>
      <c r="R3396">
        <v>1</v>
      </c>
      <c r="T3396" s="5"/>
      <c r="W3396">
        <v>270</v>
      </c>
      <c r="X3396" t="s">
        <v>8412</v>
      </c>
      <c r="Y3396" t="str">
        <f>VLOOKUP(C3396,'[1]DBS_KPY Sorumlular'!A:C,2,FALSE)</f>
        <v>Tayfun VİÇE</v>
      </c>
      <c r="Z3396" t="str">
        <f>VLOOKUP(C3396,'[1]DBS_KPY Sorumlular'!A:C,3,FALSE)</f>
        <v>Mehmet Ali YAVUZ</v>
      </c>
      <c r="AA3396" t="str">
        <f>VLOOKUP(K3396,[1]!Tablo3[#Data],2,FALSE)</f>
        <v>Kadir TOPÇU</v>
      </c>
    </row>
    <row r="3397" spans="1:27" x14ac:dyDescent="0.25">
      <c r="A3397">
        <v>4738</v>
      </c>
      <c r="B3397" t="s">
        <v>27</v>
      </c>
      <c r="C3397" t="s">
        <v>402</v>
      </c>
      <c r="D3397" t="s">
        <v>403</v>
      </c>
      <c r="G3397" t="s">
        <v>384</v>
      </c>
      <c r="H3397" t="s">
        <v>9694</v>
      </c>
      <c r="I3397" s="4">
        <v>45443.875</v>
      </c>
      <c r="K3397" t="s">
        <v>743</v>
      </c>
      <c r="L3397" s="5"/>
      <c r="M3397" s="5" t="s">
        <v>8423</v>
      </c>
      <c r="N3397" t="s">
        <v>82</v>
      </c>
      <c r="O3397" t="s">
        <v>9695</v>
      </c>
      <c r="R3397">
        <v>1</v>
      </c>
      <c r="T3397" s="5"/>
      <c r="W3397">
        <v>270</v>
      </c>
      <c r="X3397" t="s">
        <v>8412</v>
      </c>
      <c r="Y3397" t="str">
        <f>VLOOKUP(C3397,'[1]DBS_KPY Sorumlular'!A:C,2,FALSE)</f>
        <v>Tayfun VİÇE</v>
      </c>
      <c r="Z3397" t="str">
        <f>VLOOKUP(C3397,'[1]DBS_KPY Sorumlular'!A:C,3,FALSE)</f>
        <v>Mehmet Ali YAVUZ</v>
      </c>
      <c r="AA3397" t="str">
        <f>VLOOKUP(K3397,[1]!Tablo3[#Data],2,FALSE)</f>
        <v>Kadir TOPÇU</v>
      </c>
    </row>
    <row r="3398" spans="1:27" x14ac:dyDescent="0.25">
      <c r="A3398">
        <v>4739</v>
      </c>
      <c r="B3398" t="s">
        <v>27</v>
      </c>
      <c r="C3398" t="s">
        <v>402</v>
      </c>
      <c r="D3398" t="s">
        <v>403</v>
      </c>
      <c r="G3398" t="s">
        <v>384</v>
      </c>
      <c r="H3398" t="s">
        <v>9696</v>
      </c>
      <c r="I3398" s="4">
        <v>45443.875</v>
      </c>
      <c r="K3398" t="s">
        <v>743</v>
      </c>
      <c r="L3398" s="5"/>
      <c r="M3398" s="5" t="s">
        <v>8423</v>
      </c>
      <c r="N3398" t="s">
        <v>82</v>
      </c>
      <c r="O3398" t="s">
        <v>9697</v>
      </c>
      <c r="R3398">
        <v>1</v>
      </c>
      <c r="T3398" s="5"/>
      <c r="W3398">
        <v>270</v>
      </c>
      <c r="X3398" t="s">
        <v>8412</v>
      </c>
      <c r="Y3398" t="str">
        <f>VLOOKUP(C3398,'[1]DBS_KPY Sorumlular'!A:C,2,FALSE)</f>
        <v>Tayfun VİÇE</v>
      </c>
      <c r="Z3398" t="str">
        <f>VLOOKUP(C3398,'[1]DBS_KPY Sorumlular'!A:C,3,FALSE)</f>
        <v>Mehmet Ali YAVUZ</v>
      </c>
      <c r="AA3398" t="str">
        <f>VLOOKUP(K3398,[1]!Tablo3[#Data],2,FALSE)</f>
        <v>Kadir TOPÇU</v>
      </c>
    </row>
    <row r="3399" spans="1:27" x14ac:dyDescent="0.25">
      <c r="A3399">
        <v>4740</v>
      </c>
      <c r="B3399" t="s">
        <v>27</v>
      </c>
      <c r="C3399" t="s">
        <v>402</v>
      </c>
      <c r="D3399" t="s">
        <v>403</v>
      </c>
      <c r="G3399" t="s">
        <v>384</v>
      </c>
      <c r="H3399" t="s">
        <v>9698</v>
      </c>
      <c r="I3399" s="4">
        <v>45443.875</v>
      </c>
      <c r="K3399" t="s">
        <v>743</v>
      </c>
      <c r="L3399" s="5"/>
      <c r="M3399" s="5" t="s">
        <v>8423</v>
      </c>
      <c r="N3399" t="s">
        <v>82</v>
      </c>
      <c r="O3399" t="s">
        <v>9699</v>
      </c>
      <c r="R3399">
        <v>1</v>
      </c>
      <c r="T3399" s="5"/>
      <c r="W3399">
        <v>270</v>
      </c>
      <c r="X3399" t="s">
        <v>8412</v>
      </c>
      <c r="Y3399" t="str">
        <f>VLOOKUP(C3399,'[1]DBS_KPY Sorumlular'!A:C,2,FALSE)</f>
        <v>Tayfun VİÇE</v>
      </c>
      <c r="Z3399" t="str">
        <f>VLOOKUP(C3399,'[1]DBS_KPY Sorumlular'!A:C,3,FALSE)</f>
        <v>Mehmet Ali YAVUZ</v>
      </c>
      <c r="AA3399" t="str">
        <f>VLOOKUP(K3399,[1]!Tablo3[#Data],2,FALSE)</f>
        <v>Kadir TOPÇU</v>
      </c>
    </row>
    <row r="3400" spans="1:27" x14ac:dyDescent="0.25">
      <c r="A3400">
        <v>4741</v>
      </c>
      <c r="B3400" t="s">
        <v>27</v>
      </c>
      <c r="C3400" t="s">
        <v>402</v>
      </c>
      <c r="D3400" t="s">
        <v>403</v>
      </c>
      <c r="G3400" t="s">
        <v>384</v>
      </c>
      <c r="H3400" t="s">
        <v>9700</v>
      </c>
      <c r="I3400" s="4">
        <v>45443.875</v>
      </c>
      <c r="K3400" t="s">
        <v>743</v>
      </c>
      <c r="L3400" s="5"/>
      <c r="M3400" s="5" t="s">
        <v>8423</v>
      </c>
      <c r="N3400" t="s">
        <v>82</v>
      </c>
      <c r="O3400" t="s">
        <v>9701</v>
      </c>
      <c r="R3400">
        <v>1</v>
      </c>
      <c r="T3400" s="5"/>
      <c r="W3400">
        <v>270</v>
      </c>
      <c r="X3400" t="s">
        <v>8412</v>
      </c>
      <c r="Y3400" t="str">
        <f>VLOOKUP(C3400,'[1]DBS_KPY Sorumlular'!A:C,2,FALSE)</f>
        <v>Tayfun VİÇE</v>
      </c>
      <c r="Z3400" t="str">
        <f>VLOOKUP(C3400,'[1]DBS_KPY Sorumlular'!A:C,3,FALSE)</f>
        <v>Mehmet Ali YAVUZ</v>
      </c>
      <c r="AA3400" t="str">
        <f>VLOOKUP(K3400,[1]!Tablo3[#Data],2,FALSE)</f>
        <v>Kadir TOPÇU</v>
      </c>
    </row>
    <row r="3401" spans="1:27" x14ac:dyDescent="0.25">
      <c r="A3401">
        <v>4742</v>
      </c>
      <c r="B3401" t="s">
        <v>27</v>
      </c>
      <c r="C3401" t="s">
        <v>402</v>
      </c>
      <c r="D3401" t="s">
        <v>403</v>
      </c>
      <c r="G3401" t="s">
        <v>384</v>
      </c>
      <c r="H3401" t="s">
        <v>9702</v>
      </c>
      <c r="I3401" s="4">
        <v>45443.875</v>
      </c>
      <c r="K3401" t="s">
        <v>743</v>
      </c>
      <c r="L3401" s="5"/>
      <c r="M3401" s="5" t="s">
        <v>8423</v>
      </c>
      <c r="N3401" t="s">
        <v>82</v>
      </c>
      <c r="O3401" t="s">
        <v>9703</v>
      </c>
      <c r="R3401">
        <v>1</v>
      </c>
      <c r="T3401" s="5"/>
      <c r="W3401">
        <v>270</v>
      </c>
      <c r="X3401" t="s">
        <v>8412</v>
      </c>
      <c r="Y3401" t="str">
        <f>VLOOKUP(C3401,'[1]DBS_KPY Sorumlular'!A:C,2,FALSE)</f>
        <v>Tayfun VİÇE</v>
      </c>
      <c r="Z3401" t="str">
        <f>VLOOKUP(C3401,'[1]DBS_KPY Sorumlular'!A:C,3,FALSE)</f>
        <v>Mehmet Ali YAVUZ</v>
      </c>
      <c r="AA3401" t="str">
        <f>VLOOKUP(K3401,[1]!Tablo3[#Data],2,FALSE)</f>
        <v>Kadir TOPÇU</v>
      </c>
    </row>
    <row r="3402" spans="1:27" x14ac:dyDescent="0.25">
      <c r="A3402">
        <v>4743</v>
      </c>
      <c r="B3402" t="s">
        <v>27</v>
      </c>
      <c r="C3402" t="s">
        <v>402</v>
      </c>
      <c r="D3402" t="s">
        <v>403</v>
      </c>
      <c r="G3402" t="s">
        <v>384</v>
      </c>
      <c r="H3402" t="s">
        <v>9704</v>
      </c>
      <c r="I3402" s="4">
        <v>45443.875</v>
      </c>
      <c r="K3402" t="s">
        <v>743</v>
      </c>
      <c r="L3402" s="5"/>
      <c r="M3402" s="5" t="s">
        <v>8423</v>
      </c>
      <c r="N3402" t="s">
        <v>82</v>
      </c>
      <c r="O3402" t="s">
        <v>9705</v>
      </c>
      <c r="R3402">
        <v>1</v>
      </c>
      <c r="T3402" s="5"/>
      <c r="W3402">
        <v>270</v>
      </c>
      <c r="X3402" t="s">
        <v>8412</v>
      </c>
      <c r="Y3402" t="str">
        <f>VLOOKUP(C3402,'[1]DBS_KPY Sorumlular'!A:C,2,FALSE)</f>
        <v>Tayfun VİÇE</v>
      </c>
      <c r="Z3402" t="str">
        <f>VLOOKUP(C3402,'[1]DBS_KPY Sorumlular'!A:C,3,FALSE)</f>
        <v>Mehmet Ali YAVUZ</v>
      </c>
      <c r="AA3402" t="str">
        <f>VLOOKUP(K3402,[1]!Tablo3[#Data],2,FALSE)</f>
        <v>Kadir TOPÇU</v>
      </c>
    </row>
    <row r="3403" spans="1:27" x14ac:dyDescent="0.25">
      <c r="A3403">
        <v>4744</v>
      </c>
      <c r="B3403" t="s">
        <v>27</v>
      </c>
      <c r="C3403" t="s">
        <v>402</v>
      </c>
      <c r="D3403" t="s">
        <v>403</v>
      </c>
      <c r="G3403" t="s">
        <v>384</v>
      </c>
      <c r="H3403" t="s">
        <v>9706</v>
      </c>
      <c r="I3403" s="4">
        <v>45443.875</v>
      </c>
      <c r="K3403" t="s">
        <v>743</v>
      </c>
      <c r="L3403" s="5"/>
      <c r="M3403" s="5" t="s">
        <v>8423</v>
      </c>
      <c r="N3403" t="s">
        <v>82</v>
      </c>
      <c r="O3403" t="s">
        <v>9707</v>
      </c>
      <c r="R3403">
        <v>1</v>
      </c>
      <c r="T3403" s="5"/>
      <c r="W3403">
        <v>270</v>
      </c>
      <c r="X3403" t="s">
        <v>8412</v>
      </c>
      <c r="Y3403" t="str">
        <f>VLOOKUP(C3403,'[1]DBS_KPY Sorumlular'!A:C,2,FALSE)</f>
        <v>Tayfun VİÇE</v>
      </c>
      <c r="Z3403" t="str">
        <f>VLOOKUP(C3403,'[1]DBS_KPY Sorumlular'!A:C,3,FALSE)</f>
        <v>Mehmet Ali YAVUZ</v>
      </c>
      <c r="AA3403" t="str">
        <f>VLOOKUP(K3403,[1]!Tablo3[#Data],2,FALSE)</f>
        <v>Kadir TOPÇU</v>
      </c>
    </row>
    <row r="3404" spans="1:27" x14ac:dyDescent="0.25">
      <c r="A3404">
        <v>4745</v>
      </c>
      <c r="B3404" t="s">
        <v>27</v>
      </c>
      <c r="C3404" t="s">
        <v>402</v>
      </c>
      <c r="D3404" t="s">
        <v>403</v>
      </c>
      <c r="G3404" t="s">
        <v>384</v>
      </c>
      <c r="H3404" t="s">
        <v>9708</v>
      </c>
      <c r="I3404" s="4">
        <v>45443.875</v>
      </c>
      <c r="K3404" t="s">
        <v>743</v>
      </c>
      <c r="L3404" s="5"/>
      <c r="M3404" s="5" t="s">
        <v>8423</v>
      </c>
      <c r="N3404" t="s">
        <v>82</v>
      </c>
      <c r="O3404" t="s">
        <v>9709</v>
      </c>
      <c r="R3404">
        <v>1</v>
      </c>
      <c r="T3404" s="5"/>
      <c r="W3404">
        <v>270</v>
      </c>
      <c r="X3404" t="s">
        <v>8412</v>
      </c>
      <c r="Y3404" t="str">
        <f>VLOOKUP(C3404,'[1]DBS_KPY Sorumlular'!A:C,2,FALSE)</f>
        <v>Tayfun VİÇE</v>
      </c>
      <c r="Z3404" t="str">
        <f>VLOOKUP(C3404,'[1]DBS_KPY Sorumlular'!A:C,3,FALSE)</f>
        <v>Mehmet Ali YAVUZ</v>
      </c>
      <c r="AA3404" t="str">
        <f>VLOOKUP(K3404,[1]!Tablo3[#Data],2,FALSE)</f>
        <v>Kadir TOPÇU</v>
      </c>
    </row>
    <row r="3405" spans="1:27" x14ac:dyDescent="0.25">
      <c r="A3405">
        <v>4746</v>
      </c>
      <c r="B3405" t="s">
        <v>27</v>
      </c>
      <c r="C3405" t="s">
        <v>402</v>
      </c>
      <c r="D3405" t="s">
        <v>403</v>
      </c>
      <c r="G3405" t="s">
        <v>384</v>
      </c>
      <c r="H3405" t="s">
        <v>9710</v>
      </c>
      <c r="I3405" s="4">
        <v>45443.875</v>
      </c>
      <c r="K3405" t="s">
        <v>743</v>
      </c>
      <c r="L3405" s="5"/>
      <c r="M3405" s="5" t="s">
        <v>8423</v>
      </c>
      <c r="N3405" t="s">
        <v>82</v>
      </c>
      <c r="O3405" t="s">
        <v>9711</v>
      </c>
      <c r="R3405">
        <v>1</v>
      </c>
      <c r="T3405" s="5"/>
      <c r="W3405">
        <v>270</v>
      </c>
      <c r="X3405" t="s">
        <v>8412</v>
      </c>
      <c r="Y3405" t="str">
        <f>VLOOKUP(C3405,'[1]DBS_KPY Sorumlular'!A:C,2,FALSE)</f>
        <v>Tayfun VİÇE</v>
      </c>
      <c r="Z3405" t="str">
        <f>VLOOKUP(C3405,'[1]DBS_KPY Sorumlular'!A:C,3,FALSE)</f>
        <v>Mehmet Ali YAVUZ</v>
      </c>
      <c r="AA3405" t="str">
        <f>VLOOKUP(K3405,[1]!Tablo3[#Data],2,FALSE)</f>
        <v>Kadir TOPÇU</v>
      </c>
    </row>
    <row r="3406" spans="1:27" x14ac:dyDescent="0.25">
      <c r="A3406">
        <v>4747</v>
      </c>
      <c r="B3406" t="s">
        <v>27</v>
      </c>
      <c r="C3406" t="s">
        <v>402</v>
      </c>
      <c r="D3406" t="s">
        <v>403</v>
      </c>
      <c r="G3406" t="s">
        <v>384</v>
      </c>
      <c r="H3406" t="s">
        <v>9712</v>
      </c>
      <c r="I3406" s="4">
        <v>45443.875</v>
      </c>
      <c r="K3406" t="s">
        <v>743</v>
      </c>
      <c r="L3406" s="5"/>
      <c r="M3406" s="5" t="s">
        <v>8423</v>
      </c>
      <c r="N3406" t="s">
        <v>82</v>
      </c>
      <c r="O3406" t="s">
        <v>9713</v>
      </c>
      <c r="R3406">
        <v>1</v>
      </c>
      <c r="T3406" s="5"/>
      <c r="W3406">
        <v>270</v>
      </c>
      <c r="X3406" t="s">
        <v>8412</v>
      </c>
      <c r="Y3406" t="str">
        <f>VLOOKUP(C3406,'[1]DBS_KPY Sorumlular'!A:C,2,FALSE)</f>
        <v>Tayfun VİÇE</v>
      </c>
      <c r="Z3406" t="str">
        <f>VLOOKUP(C3406,'[1]DBS_KPY Sorumlular'!A:C,3,FALSE)</f>
        <v>Mehmet Ali YAVUZ</v>
      </c>
      <c r="AA3406" t="str">
        <f>VLOOKUP(K3406,[1]!Tablo3[#Data],2,FALSE)</f>
        <v>Kadir TOPÇU</v>
      </c>
    </row>
    <row r="3407" spans="1:27" x14ac:dyDescent="0.25">
      <c r="A3407">
        <v>4748</v>
      </c>
      <c r="B3407" t="s">
        <v>27</v>
      </c>
      <c r="C3407" t="s">
        <v>402</v>
      </c>
      <c r="D3407" t="s">
        <v>403</v>
      </c>
      <c r="G3407" t="s">
        <v>384</v>
      </c>
      <c r="H3407" t="s">
        <v>9714</v>
      </c>
      <c r="I3407" s="4">
        <v>45443.875</v>
      </c>
      <c r="K3407" t="s">
        <v>743</v>
      </c>
      <c r="L3407" s="5"/>
      <c r="M3407" s="5" t="s">
        <v>8423</v>
      </c>
      <c r="N3407" t="s">
        <v>82</v>
      </c>
      <c r="O3407" t="s">
        <v>9715</v>
      </c>
      <c r="R3407">
        <v>1</v>
      </c>
      <c r="T3407" s="5"/>
      <c r="W3407">
        <v>270</v>
      </c>
      <c r="X3407" t="s">
        <v>8412</v>
      </c>
      <c r="Y3407" t="str">
        <f>VLOOKUP(C3407,'[1]DBS_KPY Sorumlular'!A:C,2,FALSE)</f>
        <v>Tayfun VİÇE</v>
      </c>
      <c r="Z3407" t="str">
        <f>VLOOKUP(C3407,'[1]DBS_KPY Sorumlular'!A:C,3,FALSE)</f>
        <v>Mehmet Ali YAVUZ</v>
      </c>
      <c r="AA3407" t="str">
        <f>VLOOKUP(K3407,[1]!Tablo3[#Data],2,FALSE)</f>
        <v>Kadir TOPÇU</v>
      </c>
    </row>
    <row r="3408" spans="1:27" x14ac:dyDescent="0.25">
      <c r="A3408">
        <v>4749</v>
      </c>
      <c r="B3408" t="s">
        <v>27</v>
      </c>
      <c r="C3408" t="s">
        <v>402</v>
      </c>
      <c r="D3408" t="s">
        <v>403</v>
      </c>
      <c r="G3408" t="s">
        <v>384</v>
      </c>
      <c r="H3408" t="s">
        <v>9716</v>
      </c>
      <c r="I3408" s="4">
        <v>45443.875</v>
      </c>
      <c r="K3408" t="s">
        <v>743</v>
      </c>
      <c r="L3408" s="5"/>
      <c r="M3408" s="5" t="s">
        <v>8423</v>
      </c>
      <c r="N3408" t="s">
        <v>82</v>
      </c>
      <c r="O3408" t="s">
        <v>9717</v>
      </c>
      <c r="R3408">
        <v>1</v>
      </c>
      <c r="T3408" s="5"/>
      <c r="W3408">
        <v>270</v>
      </c>
      <c r="X3408" t="s">
        <v>8412</v>
      </c>
      <c r="Y3408" t="str">
        <f>VLOOKUP(C3408,'[1]DBS_KPY Sorumlular'!A:C,2,FALSE)</f>
        <v>Tayfun VİÇE</v>
      </c>
      <c r="Z3408" t="str">
        <f>VLOOKUP(C3408,'[1]DBS_KPY Sorumlular'!A:C,3,FALSE)</f>
        <v>Mehmet Ali YAVUZ</v>
      </c>
      <c r="AA3408" t="str">
        <f>VLOOKUP(K3408,[1]!Tablo3[#Data],2,FALSE)</f>
        <v>Kadir TOPÇU</v>
      </c>
    </row>
    <row r="3409" spans="1:27" x14ac:dyDescent="0.25">
      <c r="A3409">
        <v>4750</v>
      </c>
      <c r="B3409" t="s">
        <v>27</v>
      </c>
      <c r="C3409" t="s">
        <v>402</v>
      </c>
      <c r="D3409" t="s">
        <v>403</v>
      </c>
      <c r="G3409" t="s">
        <v>384</v>
      </c>
      <c r="H3409" t="s">
        <v>9718</v>
      </c>
      <c r="I3409" s="4">
        <v>45443.875</v>
      </c>
      <c r="K3409" t="s">
        <v>743</v>
      </c>
      <c r="L3409" s="5"/>
      <c r="M3409" s="5" t="s">
        <v>8423</v>
      </c>
      <c r="N3409" t="s">
        <v>82</v>
      </c>
      <c r="O3409" t="s">
        <v>9719</v>
      </c>
      <c r="R3409">
        <v>1</v>
      </c>
      <c r="T3409" s="5"/>
      <c r="W3409">
        <v>270</v>
      </c>
      <c r="X3409" t="s">
        <v>8412</v>
      </c>
      <c r="Y3409" t="str">
        <f>VLOOKUP(C3409,'[1]DBS_KPY Sorumlular'!A:C,2,FALSE)</f>
        <v>Tayfun VİÇE</v>
      </c>
      <c r="Z3409" t="str">
        <f>VLOOKUP(C3409,'[1]DBS_KPY Sorumlular'!A:C,3,FALSE)</f>
        <v>Mehmet Ali YAVUZ</v>
      </c>
      <c r="AA3409" t="str">
        <f>VLOOKUP(K3409,[1]!Tablo3[#Data],2,FALSE)</f>
        <v>Kadir TOPÇU</v>
      </c>
    </row>
    <row r="3410" spans="1:27" x14ac:dyDescent="0.25">
      <c r="A3410">
        <v>4751</v>
      </c>
      <c r="B3410" t="s">
        <v>27</v>
      </c>
      <c r="C3410" t="s">
        <v>402</v>
      </c>
      <c r="D3410" t="s">
        <v>403</v>
      </c>
      <c r="G3410" t="s">
        <v>384</v>
      </c>
      <c r="H3410" t="s">
        <v>9720</v>
      </c>
      <c r="I3410" s="4">
        <v>45443.875</v>
      </c>
      <c r="K3410" t="s">
        <v>743</v>
      </c>
      <c r="L3410" s="5"/>
      <c r="M3410" s="5" t="s">
        <v>8423</v>
      </c>
      <c r="N3410" t="s">
        <v>82</v>
      </c>
      <c r="O3410" t="s">
        <v>9721</v>
      </c>
      <c r="R3410">
        <v>1</v>
      </c>
      <c r="T3410" s="5"/>
      <c r="W3410">
        <v>270</v>
      </c>
      <c r="X3410" t="s">
        <v>8412</v>
      </c>
      <c r="Y3410" t="str">
        <f>VLOOKUP(C3410,'[1]DBS_KPY Sorumlular'!A:C,2,FALSE)</f>
        <v>Tayfun VİÇE</v>
      </c>
      <c r="Z3410" t="str">
        <f>VLOOKUP(C3410,'[1]DBS_KPY Sorumlular'!A:C,3,FALSE)</f>
        <v>Mehmet Ali YAVUZ</v>
      </c>
      <c r="AA3410" t="str">
        <f>VLOOKUP(K3410,[1]!Tablo3[#Data],2,FALSE)</f>
        <v>Kadir TOPÇU</v>
      </c>
    </row>
    <row r="3411" spans="1:27" x14ac:dyDescent="0.25">
      <c r="A3411">
        <v>4752</v>
      </c>
      <c r="B3411" t="s">
        <v>27</v>
      </c>
      <c r="C3411" t="s">
        <v>402</v>
      </c>
      <c r="D3411" t="s">
        <v>403</v>
      </c>
      <c r="G3411" t="s">
        <v>384</v>
      </c>
      <c r="H3411" t="s">
        <v>9722</v>
      </c>
      <c r="I3411" s="4">
        <v>45443.875</v>
      </c>
      <c r="K3411" t="s">
        <v>743</v>
      </c>
      <c r="L3411" s="5"/>
      <c r="M3411" s="5" t="s">
        <v>8423</v>
      </c>
      <c r="N3411" t="s">
        <v>82</v>
      </c>
      <c r="O3411" t="s">
        <v>9723</v>
      </c>
      <c r="R3411">
        <v>1</v>
      </c>
      <c r="T3411" s="5"/>
      <c r="W3411">
        <v>270</v>
      </c>
      <c r="X3411" t="s">
        <v>8412</v>
      </c>
      <c r="Y3411" t="str">
        <f>VLOOKUP(C3411,'[1]DBS_KPY Sorumlular'!A:C,2,FALSE)</f>
        <v>Tayfun VİÇE</v>
      </c>
      <c r="Z3411" t="str">
        <f>VLOOKUP(C3411,'[1]DBS_KPY Sorumlular'!A:C,3,FALSE)</f>
        <v>Mehmet Ali YAVUZ</v>
      </c>
      <c r="AA3411" t="str">
        <f>VLOOKUP(K3411,[1]!Tablo3[#Data],2,FALSE)</f>
        <v>Kadir TOPÇU</v>
      </c>
    </row>
    <row r="3412" spans="1:27" x14ac:dyDescent="0.25">
      <c r="A3412">
        <v>4754</v>
      </c>
      <c r="B3412" t="s">
        <v>27</v>
      </c>
      <c r="C3412" t="s">
        <v>402</v>
      </c>
      <c r="D3412" t="s">
        <v>403</v>
      </c>
      <c r="G3412" t="s">
        <v>384</v>
      </c>
      <c r="H3412" t="s">
        <v>9724</v>
      </c>
      <c r="I3412" s="4">
        <v>45443.875</v>
      </c>
      <c r="K3412" t="s">
        <v>743</v>
      </c>
      <c r="L3412" s="5"/>
      <c r="M3412" s="5" t="s">
        <v>8423</v>
      </c>
      <c r="N3412" t="s">
        <v>82</v>
      </c>
      <c r="O3412" t="s">
        <v>9725</v>
      </c>
      <c r="R3412">
        <v>1</v>
      </c>
      <c r="T3412" s="5"/>
      <c r="W3412">
        <v>270</v>
      </c>
      <c r="X3412" t="s">
        <v>8412</v>
      </c>
      <c r="Y3412" t="str">
        <f>VLOOKUP(C3412,'[1]DBS_KPY Sorumlular'!A:C,2,FALSE)</f>
        <v>Tayfun VİÇE</v>
      </c>
      <c r="Z3412" t="str">
        <f>VLOOKUP(C3412,'[1]DBS_KPY Sorumlular'!A:C,3,FALSE)</f>
        <v>Mehmet Ali YAVUZ</v>
      </c>
      <c r="AA3412" t="str">
        <f>VLOOKUP(K3412,[1]!Tablo3[#Data],2,FALSE)</f>
        <v>Kadir TOPÇU</v>
      </c>
    </row>
    <row r="3413" spans="1:27" x14ac:dyDescent="0.25">
      <c r="A3413">
        <v>4755</v>
      </c>
      <c r="B3413" t="s">
        <v>27</v>
      </c>
      <c r="C3413" t="s">
        <v>402</v>
      </c>
      <c r="D3413" t="s">
        <v>403</v>
      </c>
      <c r="G3413" t="s">
        <v>384</v>
      </c>
      <c r="H3413" t="s">
        <v>9726</v>
      </c>
      <c r="I3413" s="4">
        <v>45443.875</v>
      </c>
      <c r="K3413" t="s">
        <v>743</v>
      </c>
      <c r="L3413" s="5"/>
      <c r="M3413" s="5" t="s">
        <v>8423</v>
      </c>
      <c r="N3413" t="s">
        <v>82</v>
      </c>
      <c r="O3413" t="s">
        <v>9727</v>
      </c>
      <c r="R3413">
        <v>1</v>
      </c>
      <c r="T3413" s="5"/>
      <c r="W3413">
        <v>270</v>
      </c>
      <c r="X3413" t="s">
        <v>8412</v>
      </c>
      <c r="Y3413" t="str">
        <f>VLOOKUP(C3413,'[1]DBS_KPY Sorumlular'!A:C,2,FALSE)</f>
        <v>Tayfun VİÇE</v>
      </c>
      <c r="Z3413" t="str">
        <f>VLOOKUP(C3413,'[1]DBS_KPY Sorumlular'!A:C,3,FALSE)</f>
        <v>Mehmet Ali YAVUZ</v>
      </c>
      <c r="AA3413" t="str">
        <f>VLOOKUP(K3413,[1]!Tablo3[#Data],2,FALSE)</f>
        <v>Kadir TOPÇU</v>
      </c>
    </row>
    <row r="3414" spans="1:27" x14ac:dyDescent="0.25">
      <c r="A3414">
        <v>4756</v>
      </c>
      <c r="B3414" t="s">
        <v>27</v>
      </c>
      <c r="C3414" t="s">
        <v>402</v>
      </c>
      <c r="D3414" t="s">
        <v>403</v>
      </c>
      <c r="G3414" t="s">
        <v>384</v>
      </c>
      <c r="H3414" t="s">
        <v>9728</v>
      </c>
      <c r="I3414" s="4">
        <v>45443.875</v>
      </c>
      <c r="K3414" t="s">
        <v>743</v>
      </c>
      <c r="L3414" s="5"/>
      <c r="M3414" s="5" t="s">
        <v>8423</v>
      </c>
      <c r="N3414" t="s">
        <v>82</v>
      </c>
      <c r="O3414" t="s">
        <v>9729</v>
      </c>
      <c r="R3414">
        <v>1</v>
      </c>
      <c r="T3414" s="5"/>
      <c r="W3414">
        <v>270</v>
      </c>
      <c r="X3414" t="s">
        <v>8412</v>
      </c>
      <c r="Y3414" t="str">
        <f>VLOOKUP(C3414,'[1]DBS_KPY Sorumlular'!A:C,2,FALSE)</f>
        <v>Tayfun VİÇE</v>
      </c>
      <c r="Z3414" t="str">
        <f>VLOOKUP(C3414,'[1]DBS_KPY Sorumlular'!A:C,3,FALSE)</f>
        <v>Mehmet Ali YAVUZ</v>
      </c>
      <c r="AA3414" t="str">
        <f>VLOOKUP(K3414,[1]!Tablo3[#Data],2,FALSE)</f>
        <v>Kadir TOPÇU</v>
      </c>
    </row>
    <row r="3415" spans="1:27" x14ac:dyDescent="0.25">
      <c r="A3415">
        <v>4757</v>
      </c>
      <c r="B3415" t="s">
        <v>27</v>
      </c>
      <c r="C3415" t="s">
        <v>402</v>
      </c>
      <c r="D3415" t="s">
        <v>403</v>
      </c>
      <c r="G3415" t="s">
        <v>384</v>
      </c>
      <c r="H3415" t="s">
        <v>9730</v>
      </c>
      <c r="I3415" s="4">
        <v>45443.875</v>
      </c>
      <c r="K3415" t="s">
        <v>743</v>
      </c>
      <c r="L3415" s="5"/>
      <c r="M3415" s="5" t="s">
        <v>8423</v>
      </c>
      <c r="N3415" t="s">
        <v>82</v>
      </c>
      <c r="O3415" t="s">
        <v>9731</v>
      </c>
      <c r="R3415">
        <v>1</v>
      </c>
      <c r="T3415" s="5"/>
      <c r="W3415">
        <v>270</v>
      </c>
      <c r="X3415" t="s">
        <v>8412</v>
      </c>
      <c r="Y3415" t="str">
        <f>VLOOKUP(C3415,'[1]DBS_KPY Sorumlular'!A:C,2,FALSE)</f>
        <v>Tayfun VİÇE</v>
      </c>
      <c r="Z3415" t="str">
        <f>VLOOKUP(C3415,'[1]DBS_KPY Sorumlular'!A:C,3,FALSE)</f>
        <v>Mehmet Ali YAVUZ</v>
      </c>
      <c r="AA3415" t="str">
        <f>VLOOKUP(K3415,[1]!Tablo3[#Data],2,FALSE)</f>
        <v>Kadir TOPÇU</v>
      </c>
    </row>
    <row r="3416" spans="1:27" x14ac:dyDescent="0.25">
      <c r="A3416">
        <v>4758</v>
      </c>
      <c r="B3416" t="s">
        <v>27</v>
      </c>
      <c r="C3416" t="s">
        <v>402</v>
      </c>
      <c r="D3416" t="s">
        <v>403</v>
      </c>
      <c r="G3416" t="s">
        <v>384</v>
      </c>
      <c r="H3416" t="s">
        <v>9732</v>
      </c>
      <c r="I3416" s="4">
        <v>45443.875</v>
      </c>
      <c r="K3416" t="s">
        <v>743</v>
      </c>
      <c r="L3416" s="5"/>
      <c r="M3416" s="5" t="s">
        <v>8423</v>
      </c>
      <c r="N3416" t="s">
        <v>82</v>
      </c>
      <c r="O3416" t="s">
        <v>9733</v>
      </c>
      <c r="R3416">
        <v>1</v>
      </c>
      <c r="T3416" s="5"/>
      <c r="W3416">
        <v>270</v>
      </c>
      <c r="X3416" t="s">
        <v>8412</v>
      </c>
      <c r="Y3416" t="str">
        <f>VLOOKUP(C3416,'[1]DBS_KPY Sorumlular'!A:C,2,FALSE)</f>
        <v>Tayfun VİÇE</v>
      </c>
      <c r="Z3416" t="str">
        <f>VLOOKUP(C3416,'[1]DBS_KPY Sorumlular'!A:C,3,FALSE)</f>
        <v>Mehmet Ali YAVUZ</v>
      </c>
      <c r="AA3416" t="str">
        <f>VLOOKUP(K3416,[1]!Tablo3[#Data],2,FALSE)</f>
        <v>Kadir TOPÇU</v>
      </c>
    </row>
    <row r="3417" spans="1:27" x14ac:dyDescent="0.25">
      <c r="A3417">
        <v>4759</v>
      </c>
      <c r="B3417" t="s">
        <v>27</v>
      </c>
      <c r="C3417" t="s">
        <v>402</v>
      </c>
      <c r="D3417" t="s">
        <v>403</v>
      </c>
      <c r="G3417" t="s">
        <v>384</v>
      </c>
      <c r="H3417" t="s">
        <v>9734</v>
      </c>
      <c r="I3417" s="4">
        <v>45443.875</v>
      </c>
      <c r="K3417" t="s">
        <v>743</v>
      </c>
      <c r="L3417" s="5"/>
      <c r="M3417" s="5" t="s">
        <v>8423</v>
      </c>
      <c r="N3417" t="s">
        <v>82</v>
      </c>
      <c r="O3417" t="s">
        <v>9735</v>
      </c>
      <c r="R3417">
        <v>1</v>
      </c>
      <c r="T3417" s="5"/>
      <c r="W3417">
        <v>270</v>
      </c>
      <c r="X3417" t="s">
        <v>8412</v>
      </c>
      <c r="Y3417" t="str">
        <f>VLOOKUP(C3417,'[1]DBS_KPY Sorumlular'!A:C,2,FALSE)</f>
        <v>Tayfun VİÇE</v>
      </c>
      <c r="Z3417" t="str">
        <f>VLOOKUP(C3417,'[1]DBS_KPY Sorumlular'!A:C,3,FALSE)</f>
        <v>Mehmet Ali YAVUZ</v>
      </c>
      <c r="AA3417" t="str">
        <f>VLOOKUP(K3417,[1]!Tablo3[#Data],2,FALSE)</f>
        <v>Kadir TOPÇU</v>
      </c>
    </row>
    <row r="3418" spans="1:27" x14ac:dyDescent="0.25">
      <c r="A3418">
        <v>4761</v>
      </c>
      <c r="B3418" t="s">
        <v>27</v>
      </c>
      <c r="C3418" t="s">
        <v>402</v>
      </c>
      <c r="D3418" t="s">
        <v>403</v>
      </c>
      <c r="G3418" t="s">
        <v>384</v>
      </c>
      <c r="H3418" t="s">
        <v>9736</v>
      </c>
      <c r="I3418" s="4">
        <v>45443.875</v>
      </c>
      <c r="K3418" t="s">
        <v>743</v>
      </c>
      <c r="L3418" s="5"/>
      <c r="M3418" s="5" t="s">
        <v>8423</v>
      </c>
      <c r="N3418" t="s">
        <v>82</v>
      </c>
      <c r="O3418" t="s">
        <v>9737</v>
      </c>
      <c r="R3418">
        <v>1</v>
      </c>
      <c r="T3418" s="5"/>
      <c r="W3418">
        <v>270</v>
      </c>
      <c r="X3418" t="s">
        <v>8412</v>
      </c>
      <c r="Y3418" t="str">
        <f>VLOOKUP(C3418,'[1]DBS_KPY Sorumlular'!A:C,2,FALSE)</f>
        <v>Tayfun VİÇE</v>
      </c>
      <c r="Z3418" t="str">
        <f>VLOOKUP(C3418,'[1]DBS_KPY Sorumlular'!A:C,3,FALSE)</f>
        <v>Mehmet Ali YAVUZ</v>
      </c>
      <c r="AA3418" t="str">
        <f>VLOOKUP(K3418,[1]!Tablo3[#Data],2,FALSE)</f>
        <v>Kadir TOPÇU</v>
      </c>
    </row>
    <row r="3419" spans="1:27" x14ac:dyDescent="0.25">
      <c r="A3419">
        <v>4762</v>
      </c>
      <c r="B3419" t="s">
        <v>27</v>
      </c>
      <c r="C3419" t="s">
        <v>402</v>
      </c>
      <c r="D3419" t="s">
        <v>403</v>
      </c>
      <c r="G3419" t="s">
        <v>384</v>
      </c>
      <c r="H3419" t="s">
        <v>9738</v>
      </c>
      <c r="I3419" s="4">
        <v>45443.875</v>
      </c>
      <c r="K3419" t="s">
        <v>743</v>
      </c>
      <c r="L3419" s="5"/>
      <c r="M3419" s="5" t="s">
        <v>8423</v>
      </c>
      <c r="N3419" t="s">
        <v>82</v>
      </c>
      <c r="O3419" t="s">
        <v>9739</v>
      </c>
      <c r="R3419">
        <v>1</v>
      </c>
      <c r="T3419" s="5"/>
      <c r="W3419">
        <v>270</v>
      </c>
      <c r="X3419" t="s">
        <v>8412</v>
      </c>
      <c r="Y3419" t="str">
        <f>VLOOKUP(C3419,'[1]DBS_KPY Sorumlular'!A:C,2,FALSE)</f>
        <v>Tayfun VİÇE</v>
      </c>
      <c r="Z3419" t="str">
        <f>VLOOKUP(C3419,'[1]DBS_KPY Sorumlular'!A:C,3,FALSE)</f>
        <v>Mehmet Ali YAVUZ</v>
      </c>
      <c r="AA3419" t="str">
        <f>VLOOKUP(K3419,[1]!Tablo3[#Data],2,FALSE)</f>
        <v>Kadir TOPÇU</v>
      </c>
    </row>
    <row r="3420" spans="1:27" x14ac:dyDescent="0.25">
      <c r="A3420">
        <v>4763</v>
      </c>
      <c r="B3420" t="s">
        <v>27</v>
      </c>
      <c r="C3420" t="s">
        <v>402</v>
      </c>
      <c r="D3420" t="s">
        <v>403</v>
      </c>
      <c r="G3420" t="s">
        <v>384</v>
      </c>
      <c r="H3420" t="s">
        <v>9740</v>
      </c>
      <c r="I3420" s="4">
        <v>45443.875</v>
      </c>
      <c r="K3420" t="s">
        <v>743</v>
      </c>
      <c r="L3420" s="5"/>
      <c r="M3420" s="5" t="s">
        <v>8423</v>
      </c>
      <c r="N3420" t="s">
        <v>82</v>
      </c>
      <c r="O3420" t="s">
        <v>9741</v>
      </c>
      <c r="R3420">
        <v>1</v>
      </c>
      <c r="T3420" s="5"/>
      <c r="W3420">
        <v>270</v>
      </c>
      <c r="X3420" t="s">
        <v>8412</v>
      </c>
      <c r="Y3420" t="str">
        <f>VLOOKUP(C3420,'[1]DBS_KPY Sorumlular'!A:C,2,FALSE)</f>
        <v>Tayfun VİÇE</v>
      </c>
      <c r="Z3420" t="str">
        <f>VLOOKUP(C3420,'[1]DBS_KPY Sorumlular'!A:C,3,FALSE)</f>
        <v>Mehmet Ali YAVUZ</v>
      </c>
      <c r="AA3420" t="str">
        <f>VLOOKUP(K3420,[1]!Tablo3[#Data],2,FALSE)</f>
        <v>Kadir TOPÇU</v>
      </c>
    </row>
    <row r="3421" spans="1:27" x14ac:dyDescent="0.25">
      <c r="A3421">
        <v>4764</v>
      </c>
      <c r="B3421" t="s">
        <v>27</v>
      </c>
      <c r="C3421" t="s">
        <v>402</v>
      </c>
      <c r="D3421" t="s">
        <v>403</v>
      </c>
      <c r="G3421" t="s">
        <v>384</v>
      </c>
      <c r="H3421" t="s">
        <v>9742</v>
      </c>
      <c r="I3421" s="4">
        <v>45443.875</v>
      </c>
      <c r="K3421" t="s">
        <v>743</v>
      </c>
      <c r="L3421" s="5"/>
      <c r="M3421" s="5" t="s">
        <v>8423</v>
      </c>
      <c r="N3421" t="s">
        <v>82</v>
      </c>
      <c r="O3421" t="s">
        <v>9743</v>
      </c>
      <c r="R3421">
        <v>1</v>
      </c>
      <c r="T3421" s="5"/>
      <c r="W3421">
        <v>270</v>
      </c>
      <c r="X3421" t="s">
        <v>8412</v>
      </c>
      <c r="Y3421" t="str">
        <f>VLOOKUP(C3421,'[1]DBS_KPY Sorumlular'!A:C,2,FALSE)</f>
        <v>Tayfun VİÇE</v>
      </c>
      <c r="Z3421" t="str">
        <f>VLOOKUP(C3421,'[1]DBS_KPY Sorumlular'!A:C,3,FALSE)</f>
        <v>Mehmet Ali YAVUZ</v>
      </c>
      <c r="AA3421" t="str">
        <f>VLOOKUP(K3421,[1]!Tablo3[#Data],2,FALSE)</f>
        <v>Kadir TOPÇU</v>
      </c>
    </row>
    <row r="3422" spans="1:27" x14ac:dyDescent="0.25">
      <c r="A3422">
        <v>4766</v>
      </c>
      <c r="B3422" t="s">
        <v>27</v>
      </c>
      <c r="C3422" t="s">
        <v>402</v>
      </c>
      <c r="D3422" t="s">
        <v>403</v>
      </c>
      <c r="G3422" t="s">
        <v>384</v>
      </c>
      <c r="H3422" t="s">
        <v>9744</v>
      </c>
      <c r="I3422" s="4">
        <v>45443.875</v>
      </c>
      <c r="K3422" t="s">
        <v>743</v>
      </c>
      <c r="L3422" s="5"/>
      <c r="M3422" s="5" t="s">
        <v>8423</v>
      </c>
      <c r="N3422" t="s">
        <v>82</v>
      </c>
      <c r="O3422" t="s">
        <v>9745</v>
      </c>
      <c r="R3422">
        <v>1</v>
      </c>
      <c r="T3422" s="5"/>
      <c r="W3422">
        <v>270</v>
      </c>
      <c r="X3422" t="s">
        <v>8412</v>
      </c>
      <c r="Y3422" t="str">
        <f>VLOOKUP(C3422,'[1]DBS_KPY Sorumlular'!A:C,2,FALSE)</f>
        <v>Tayfun VİÇE</v>
      </c>
      <c r="Z3422" t="str">
        <f>VLOOKUP(C3422,'[1]DBS_KPY Sorumlular'!A:C,3,FALSE)</f>
        <v>Mehmet Ali YAVUZ</v>
      </c>
      <c r="AA3422" t="str">
        <f>VLOOKUP(K3422,[1]!Tablo3[#Data],2,FALSE)</f>
        <v>Kadir TOPÇU</v>
      </c>
    </row>
    <row r="3423" spans="1:27" x14ac:dyDescent="0.25">
      <c r="A3423">
        <v>4767</v>
      </c>
      <c r="B3423" t="s">
        <v>27</v>
      </c>
      <c r="C3423" t="s">
        <v>402</v>
      </c>
      <c r="D3423" t="s">
        <v>403</v>
      </c>
      <c r="G3423" t="s">
        <v>384</v>
      </c>
      <c r="H3423" t="s">
        <v>9746</v>
      </c>
      <c r="I3423" s="4">
        <v>45443.875</v>
      </c>
      <c r="K3423" t="s">
        <v>743</v>
      </c>
      <c r="L3423" s="5"/>
      <c r="M3423" s="5" t="s">
        <v>8423</v>
      </c>
      <c r="N3423" t="s">
        <v>82</v>
      </c>
      <c r="O3423" t="s">
        <v>9747</v>
      </c>
      <c r="R3423">
        <v>1</v>
      </c>
      <c r="T3423" s="5"/>
      <c r="W3423">
        <v>270</v>
      </c>
      <c r="X3423" t="s">
        <v>8412</v>
      </c>
      <c r="Y3423" t="str">
        <f>VLOOKUP(C3423,'[1]DBS_KPY Sorumlular'!A:C,2,FALSE)</f>
        <v>Tayfun VİÇE</v>
      </c>
      <c r="Z3423" t="str">
        <f>VLOOKUP(C3423,'[1]DBS_KPY Sorumlular'!A:C,3,FALSE)</f>
        <v>Mehmet Ali YAVUZ</v>
      </c>
      <c r="AA3423" t="str">
        <f>VLOOKUP(K3423,[1]!Tablo3[#Data],2,FALSE)</f>
        <v>Kadir TOPÇU</v>
      </c>
    </row>
    <row r="3424" spans="1:27" x14ac:dyDescent="0.25">
      <c r="A3424">
        <v>4768</v>
      </c>
      <c r="B3424" t="s">
        <v>27</v>
      </c>
      <c r="C3424" t="s">
        <v>402</v>
      </c>
      <c r="D3424" t="s">
        <v>403</v>
      </c>
      <c r="G3424" t="s">
        <v>384</v>
      </c>
      <c r="H3424" t="s">
        <v>9748</v>
      </c>
      <c r="I3424" s="4">
        <v>45443.875</v>
      </c>
      <c r="K3424" t="s">
        <v>743</v>
      </c>
      <c r="L3424" s="5"/>
      <c r="M3424" s="5" t="s">
        <v>8423</v>
      </c>
      <c r="N3424" t="s">
        <v>82</v>
      </c>
      <c r="O3424" t="s">
        <v>9749</v>
      </c>
      <c r="R3424">
        <v>1</v>
      </c>
      <c r="T3424" s="5"/>
      <c r="W3424">
        <v>270</v>
      </c>
      <c r="X3424" t="s">
        <v>8412</v>
      </c>
      <c r="Y3424" t="str">
        <f>VLOOKUP(C3424,'[1]DBS_KPY Sorumlular'!A:C,2,FALSE)</f>
        <v>Tayfun VİÇE</v>
      </c>
      <c r="Z3424" t="str">
        <f>VLOOKUP(C3424,'[1]DBS_KPY Sorumlular'!A:C,3,FALSE)</f>
        <v>Mehmet Ali YAVUZ</v>
      </c>
      <c r="AA3424" t="str">
        <f>VLOOKUP(K3424,[1]!Tablo3[#Data],2,FALSE)</f>
        <v>Kadir TOPÇU</v>
      </c>
    </row>
    <row r="3425" spans="1:27" x14ac:dyDescent="0.25">
      <c r="A3425">
        <v>4769</v>
      </c>
      <c r="B3425" t="s">
        <v>27</v>
      </c>
      <c r="C3425" t="s">
        <v>402</v>
      </c>
      <c r="D3425" t="s">
        <v>403</v>
      </c>
      <c r="G3425" t="s">
        <v>384</v>
      </c>
      <c r="H3425" t="s">
        <v>9750</v>
      </c>
      <c r="I3425" s="4">
        <v>45443.875</v>
      </c>
      <c r="K3425" t="s">
        <v>743</v>
      </c>
      <c r="L3425" s="5"/>
      <c r="M3425" s="5" t="s">
        <v>8423</v>
      </c>
      <c r="N3425" t="s">
        <v>82</v>
      </c>
      <c r="O3425" t="s">
        <v>9751</v>
      </c>
      <c r="R3425">
        <v>1</v>
      </c>
      <c r="T3425" s="5"/>
      <c r="W3425">
        <v>270</v>
      </c>
      <c r="X3425" t="s">
        <v>8412</v>
      </c>
      <c r="Y3425" t="str">
        <f>VLOOKUP(C3425,'[1]DBS_KPY Sorumlular'!A:C,2,FALSE)</f>
        <v>Tayfun VİÇE</v>
      </c>
      <c r="Z3425" t="str">
        <f>VLOOKUP(C3425,'[1]DBS_KPY Sorumlular'!A:C,3,FALSE)</f>
        <v>Mehmet Ali YAVUZ</v>
      </c>
      <c r="AA3425" t="str">
        <f>VLOOKUP(K3425,[1]!Tablo3[#Data],2,FALSE)</f>
        <v>Kadir TOPÇU</v>
      </c>
    </row>
    <row r="3426" spans="1:27" x14ac:dyDescent="0.25">
      <c r="A3426">
        <v>4770</v>
      </c>
      <c r="B3426" t="s">
        <v>27</v>
      </c>
      <c r="C3426" t="s">
        <v>402</v>
      </c>
      <c r="D3426" t="s">
        <v>403</v>
      </c>
      <c r="G3426" t="s">
        <v>384</v>
      </c>
      <c r="H3426" t="s">
        <v>9752</v>
      </c>
      <c r="I3426" s="4">
        <v>45443.875</v>
      </c>
      <c r="K3426" t="s">
        <v>743</v>
      </c>
      <c r="L3426" s="5"/>
      <c r="M3426" s="5" t="s">
        <v>8423</v>
      </c>
      <c r="N3426" t="s">
        <v>82</v>
      </c>
      <c r="O3426" t="s">
        <v>9753</v>
      </c>
      <c r="R3426">
        <v>1</v>
      </c>
      <c r="T3426" s="5"/>
      <c r="W3426">
        <v>270</v>
      </c>
      <c r="X3426" t="s">
        <v>8412</v>
      </c>
      <c r="Y3426" t="str">
        <f>VLOOKUP(C3426,'[1]DBS_KPY Sorumlular'!A:C,2,FALSE)</f>
        <v>Tayfun VİÇE</v>
      </c>
      <c r="Z3426" t="str">
        <f>VLOOKUP(C3426,'[1]DBS_KPY Sorumlular'!A:C,3,FALSE)</f>
        <v>Mehmet Ali YAVUZ</v>
      </c>
      <c r="AA3426" t="str">
        <f>VLOOKUP(K3426,[1]!Tablo3[#Data],2,FALSE)</f>
        <v>Kadir TOPÇU</v>
      </c>
    </row>
    <row r="3427" spans="1:27" x14ac:dyDescent="0.25">
      <c r="A3427">
        <v>4771</v>
      </c>
      <c r="B3427" t="s">
        <v>27</v>
      </c>
      <c r="C3427" t="s">
        <v>402</v>
      </c>
      <c r="D3427" t="s">
        <v>403</v>
      </c>
      <c r="G3427" t="s">
        <v>384</v>
      </c>
      <c r="H3427" t="s">
        <v>9754</v>
      </c>
      <c r="I3427" s="4">
        <v>45443.875</v>
      </c>
      <c r="K3427" t="s">
        <v>743</v>
      </c>
      <c r="L3427" s="5"/>
      <c r="M3427" s="5" t="s">
        <v>8423</v>
      </c>
      <c r="N3427" t="s">
        <v>82</v>
      </c>
      <c r="O3427" t="s">
        <v>9755</v>
      </c>
      <c r="R3427">
        <v>1</v>
      </c>
      <c r="T3427" s="5"/>
      <c r="W3427">
        <v>270</v>
      </c>
      <c r="X3427" t="s">
        <v>8412</v>
      </c>
      <c r="Y3427" t="str">
        <f>VLOOKUP(C3427,'[1]DBS_KPY Sorumlular'!A:C,2,FALSE)</f>
        <v>Tayfun VİÇE</v>
      </c>
      <c r="Z3427" t="str">
        <f>VLOOKUP(C3427,'[1]DBS_KPY Sorumlular'!A:C,3,FALSE)</f>
        <v>Mehmet Ali YAVUZ</v>
      </c>
      <c r="AA3427" t="str">
        <f>VLOOKUP(K3427,[1]!Tablo3[#Data],2,FALSE)</f>
        <v>Kadir TOPÇU</v>
      </c>
    </row>
    <row r="3428" spans="1:27" x14ac:dyDescent="0.25">
      <c r="A3428">
        <v>4772</v>
      </c>
      <c r="B3428" t="s">
        <v>27</v>
      </c>
      <c r="C3428" t="s">
        <v>402</v>
      </c>
      <c r="D3428" t="s">
        <v>403</v>
      </c>
      <c r="G3428" t="s">
        <v>384</v>
      </c>
      <c r="H3428" t="s">
        <v>9756</v>
      </c>
      <c r="I3428" s="4">
        <v>45443.875</v>
      </c>
      <c r="K3428" t="s">
        <v>743</v>
      </c>
      <c r="L3428" s="5"/>
      <c r="M3428" s="5" t="s">
        <v>8423</v>
      </c>
      <c r="N3428" t="s">
        <v>82</v>
      </c>
      <c r="O3428" t="s">
        <v>9757</v>
      </c>
      <c r="R3428">
        <v>1</v>
      </c>
      <c r="T3428" s="5"/>
      <c r="W3428">
        <v>270</v>
      </c>
      <c r="X3428" t="s">
        <v>8412</v>
      </c>
      <c r="Y3428" t="str">
        <f>VLOOKUP(C3428,'[1]DBS_KPY Sorumlular'!A:C,2,FALSE)</f>
        <v>Tayfun VİÇE</v>
      </c>
      <c r="Z3428" t="str">
        <f>VLOOKUP(C3428,'[1]DBS_KPY Sorumlular'!A:C,3,FALSE)</f>
        <v>Mehmet Ali YAVUZ</v>
      </c>
      <c r="AA3428" t="str">
        <f>VLOOKUP(K3428,[1]!Tablo3[#Data],2,FALSE)</f>
        <v>Kadir TOPÇU</v>
      </c>
    </row>
    <row r="3429" spans="1:27" x14ac:dyDescent="0.25">
      <c r="A3429">
        <v>4773</v>
      </c>
      <c r="B3429" t="s">
        <v>27</v>
      </c>
      <c r="C3429" t="s">
        <v>402</v>
      </c>
      <c r="D3429" t="s">
        <v>403</v>
      </c>
      <c r="G3429" t="s">
        <v>384</v>
      </c>
      <c r="H3429" t="s">
        <v>9758</v>
      </c>
      <c r="I3429" s="4">
        <v>45443.875</v>
      </c>
      <c r="K3429" t="s">
        <v>678</v>
      </c>
      <c r="L3429" s="5"/>
      <c r="M3429" s="5" t="s">
        <v>8423</v>
      </c>
      <c r="N3429" t="s">
        <v>82</v>
      </c>
      <c r="O3429" t="s">
        <v>9759</v>
      </c>
      <c r="R3429">
        <v>1</v>
      </c>
      <c r="T3429" s="5"/>
      <c r="W3429">
        <v>270</v>
      </c>
      <c r="X3429" t="s">
        <v>8412</v>
      </c>
      <c r="Y3429" t="str">
        <f>VLOOKUP(C3429,'[1]DBS_KPY Sorumlular'!A:C,2,FALSE)</f>
        <v>Tayfun VİÇE</v>
      </c>
      <c r="Z3429" t="str">
        <f>VLOOKUP(C3429,'[1]DBS_KPY Sorumlular'!A:C,3,FALSE)</f>
        <v>Mehmet Ali YAVUZ</v>
      </c>
      <c r="AA3429" t="str">
        <f>VLOOKUP(K3429,[1]!Tablo3[#Data],2,FALSE)</f>
        <v>Kadir TOPÇU</v>
      </c>
    </row>
    <row r="3430" spans="1:27" x14ac:dyDescent="0.25">
      <c r="A3430">
        <v>4774</v>
      </c>
      <c r="B3430" t="s">
        <v>27</v>
      </c>
      <c r="C3430" t="s">
        <v>402</v>
      </c>
      <c r="D3430" t="s">
        <v>403</v>
      </c>
      <c r="G3430" t="s">
        <v>384</v>
      </c>
      <c r="H3430" t="s">
        <v>9760</v>
      </c>
      <c r="I3430" s="4">
        <v>45443.875</v>
      </c>
      <c r="K3430" t="s">
        <v>743</v>
      </c>
      <c r="L3430" s="5"/>
      <c r="M3430" s="5" t="s">
        <v>8423</v>
      </c>
      <c r="N3430" t="s">
        <v>82</v>
      </c>
      <c r="O3430" t="s">
        <v>9761</v>
      </c>
      <c r="R3430">
        <v>1</v>
      </c>
      <c r="T3430" s="5"/>
      <c r="W3430">
        <v>270</v>
      </c>
      <c r="X3430" t="s">
        <v>8412</v>
      </c>
      <c r="Y3430" t="str">
        <f>VLOOKUP(C3430,'[1]DBS_KPY Sorumlular'!A:C,2,FALSE)</f>
        <v>Tayfun VİÇE</v>
      </c>
      <c r="Z3430" t="str">
        <f>VLOOKUP(C3430,'[1]DBS_KPY Sorumlular'!A:C,3,FALSE)</f>
        <v>Mehmet Ali YAVUZ</v>
      </c>
      <c r="AA3430" t="str">
        <f>VLOOKUP(K3430,[1]!Tablo3[#Data],2,FALSE)</f>
        <v>Kadir TOPÇU</v>
      </c>
    </row>
    <row r="3431" spans="1:27" x14ac:dyDescent="0.25">
      <c r="A3431">
        <v>4775</v>
      </c>
      <c r="B3431" t="s">
        <v>27</v>
      </c>
      <c r="C3431" t="s">
        <v>402</v>
      </c>
      <c r="D3431" t="s">
        <v>403</v>
      </c>
      <c r="G3431" t="s">
        <v>384</v>
      </c>
      <c r="H3431" t="s">
        <v>9762</v>
      </c>
      <c r="I3431" s="4">
        <v>45443.875</v>
      </c>
      <c r="K3431" t="s">
        <v>743</v>
      </c>
      <c r="L3431" s="5"/>
      <c r="M3431" s="5" t="s">
        <v>8423</v>
      </c>
      <c r="N3431" t="s">
        <v>82</v>
      </c>
      <c r="O3431" t="s">
        <v>9763</v>
      </c>
      <c r="R3431">
        <v>1</v>
      </c>
      <c r="T3431" s="5"/>
      <c r="W3431">
        <v>270</v>
      </c>
      <c r="X3431" t="s">
        <v>8412</v>
      </c>
      <c r="Y3431" t="str">
        <f>VLOOKUP(C3431,'[1]DBS_KPY Sorumlular'!A:C,2,FALSE)</f>
        <v>Tayfun VİÇE</v>
      </c>
      <c r="Z3431" t="str">
        <f>VLOOKUP(C3431,'[1]DBS_KPY Sorumlular'!A:C,3,FALSE)</f>
        <v>Mehmet Ali YAVUZ</v>
      </c>
      <c r="AA3431" t="str">
        <f>VLOOKUP(K3431,[1]!Tablo3[#Data],2,FALSE)</f>
        <v>Kadir TOPÇU</v>
      </c>
    </row>
    <row r="3432" spans="1:27" x14ac:dyDescent="0.25">
      <c r="A3432">
        <v>4776</v>
      </c>
      <c r="B3432" t="s">
        <v>27</v>
      </c>
      <c r="C3432" t="s">
        <v>402</v>
      </c>
      <c r="D3432" t="s">
        <v>403</v>
      </c>
      <c r="G3432" t="s">
        <v>384</v>
      </c>
      <c r="H3432" t="s">
        <v>9764</v>
      </c>
      <c r="I3432" s="4">
        <v>45443.875</v>
      </c>
      <c r="K3432" t="s">
        <v>743</v>
      </c>
      <c r="L3432" s="5"/>
      <c r="M3432" s="5" t="s">
        <v>8423</v>
      </c>
      <c r="N3432" t="s">
        <v>82</v>
      </c>
      <c r="O3432" t="s">
        <v>9765</v>
      </c>
      <c r="R3432">
        <v>1</v>
      </c>
      <c r="T3432" s="5"/>
      <c r="W3432">
        <v>270</v>
      </c>
      <c r="X3432" t="s">
        <v>8412</v>
      </c>
      <c r="Y3432" t="str">
        <f>VLOOKUP(C3432,'[1]DBS_KPY Sorumlular'!A:C,2,FALSE)</f>
        <v>Tayfun VİÇE</v>
      </c>
      <c r="Z3432" t="str">
        <f>VLOOKUP(C3432,'[1]DBS_KPY Sorumlular'!A:C,3,FALSE)</f>
        <v>Mehmet Ali YAVUZ</v>
      </c>
      <c r="AA3432" t="str">
        <f>VLOOKUP(K3432,[1]!Tablo3[#Data],2,FALSE)</f>
        <v>Kadir TOPÇU</v>
      </c>
    </row>
    <row r="3433" spans="1:27" x14ac:dyDescent="0.25">
      <c r="A3433">
        <v>4777</v>
      </c>
      <c r="B3433" t="s">
        <v>27</v>
      </c>
      <c r="C3433" t="s">
        <v>402</v>
      </c>
      <c r="D3433" t="s">
        <v>403</v>
      </c>
      <c r="G3433" t="s">
        <v>384</v>
      </c>
      <c r="H3433" t="s">
        <v>9766</v>
      </c>
      <c r="I3433" s="4">
        <v>45443.875</v>
      </c>
      <c r="K3433" t="s">
        <v>743</v>
      </c>
      <c r="L3433" s="5"/>
      <c r="M3433" s="5" t="s">
        <v>8423</v>
      </c>
      <c r="N3433" t="s">
        <v>82</v>
      </c>
      <c r="O3433" t="s">
        <v>9767</v>
      </c>
      <c r="R3433">
        <v>1</v>
      </c>
      <c r="T3433" s="5"/>
      <c r="W3433">
        <v>270</v>
      </c>
      <c r="X3433" t="s">
        <v>8412</v>
      </c>
      <c r="Y3433" t="str">
        <f>VLOOKUP(C3433,'[1]DBS_KPY Sorumlular'!A:C,2,FALSE)</f>
        <v>Tayfun VİÇE</v>
      </c>
      <c r="Z3433" t="str">
        <f>VLOOKUP(C3433,'[1]DBS_KPY Sorumlular'!A:C,3,FALSE)</f>
        <v>Mehmet Ali YAVUZ</v>
      </c>
      <c r="AA3433" t="str">
        <f>VLOOKUP(K3433,[1]!Tablo3[#Data],2,FALSE)</f>
        <v>Kadir TOPÇU</v>
      </c>
    </row>
    <row r="3434" spans="1:27" x14ac:dyDescent="0.25">
      <c r="A3434">
        <v>4778</v>
      </c>
      <c r="B3434" t="s">
        <v>27</v>
      </c>
      <c r="C3434" t="s">
        <v>402</v>
      </c>
      <c r="D3434" t="s">
        <v>403</v>
      </c>
      <c r="G3434" t="s">
        <v>384</v>
      </c>
      <c r="H3434" t="s">
        <v>9768</v>
      </c>
      <c r="I3434" s="4">
        <v>45443.875</v>
      </c>
      <c r="K3434" t="s">
        <v>743</v>
      </c>
      <c r="L3434" s="5"/>
      <c r="M3434" s="5" t="s">
        <v>8423</v>
      </c>
      <c r="N3434" t="s">
        <v>82</v>
      </c>
      <c r="O3434" t="s">
        <v>9769</v>
      </c>
      <c r="R3434">
        <v>1</v>
      </c>
      <c r="T3434" s="5"/>
      <c r="W3434">
        <v>270</v>
      </c>
      <c r="X3434" t="s">
        <v>8412</v>
      </c>
      <c r="Y3434" t="str">
        <f>VLOOKUP(C3434,'[1]DBS_KPY Sorumlular'!A:C,2,FALSE)</f>
        <v>Tayfun VİÇE</v>
      </c>
      <c r="Z3434" t="str">
        <f>VLOOKUP(C3434,'[1]DBS_KPY Sorumlular'!A:C,3,FALSE)</f>
        <v>Mehmet Ali YAVUZ</v>
      </c>
      <c r="AA3434" t="str">
        <f>VLOOKUP(K3434,[1]!Tablo3[#Data],2,FALSE)</f>
        <v>Kadir TOPÇU</v>
      </c>
    </row>
    <row r="3435" spans="1:27" x14ac:dyDescent="0.25">
      <c r="A3435">
        <v>4779</v>
      </c>
      <c r="B3435" t="s">
        <v>27</v>
      </c>
      <c r="C3435" t="s">
        <v>402</v>
      </c>
      <c r="D3435" t="s">
        <v>403</v>
      </c>
      <c r="G3435" t="s">
        <v>384</v>
      </c>
      <c r="H3435" t="s">
        <v>9770</v>
      </c>
      <c r="I3435" s="4">
        <v>45443.875</v>
      </c>
      <c r="K3435" t="s">
        <v>743</v>
      </c>
      <c r="L3435" s="5"/>
      <c r="M3435" s="5" t="s">
        <v>8423</v>
      </c>
      <c r="N3435" t="s">
        <v>82</v>
      </c>
      <c r="O3435" t="s">
        <v>9771</v>
      </c>
      <c r="R3435">
        <v>1</v>
      </c>
      <c r="T3435" s="5"/>
      <c r="W3435">
        <v>270</v>
      </c>
      <c r="X3435" t="s">
        <v>8412</v>
      </c>
      <c r="Y3435" t="str">
        <f>VLOOKUP(C3435,'[1]DBS_KPY Sorumlular'!A:C,2,FALSE)</f>
        <v>Tayfun VİÇE</v>
      </c>
      <c r="Z3435" t="str">
        <f>VLOOKUP(C3435,'[1]DBS_KPY Sorumlular'!A:C,3,FALSE)</f>
        <v>Mehmet Ali YAVUZ</v>
      </c>
      <c r="AA3435" t="str">
        <f>VLOOKUP(K3435,[1]!Tablo3[#Data],2,FALSE)</f>
        <v>Kadir TOPÇU</v>
      </c>
    </row>
    <row r="3436" spans="1:27" x14ac:dyDescent="0.25">
      <c r="A3436">
        <v>4780</v>
      </c>
      <c r="B3436" t="s">
        <v>27</v>
      </c>
      <c r="C3436" t="s">
        <v>402</v>
      </c>
      <c r="D3436" t="s">
        <v>403</v>
      </c>
      <c r="G3436" t="s">
        <v>384</v>
      </c>
      <c r="H3436" t="s">
        <v>9772</v>
      </c>
      <c r="I3436" s="4">
        <v>45443.875</v>
      </c>
      <c r="K3436" t="s">
        <v>743</v>
      </c>
      <c r="L3436" s="5"/>
      <c r="M3436" s="5" t="s">
        <v>8423</v>
      </c>
      <c r="N3436" t="s">
        <v>82</v>
      </c>
      <c r="O3436" t="s">
        <v>9773</v>
      </c>
      <c r="R3436">
        <v>1</v>
      </c>
      <c r="T3436" s="5"/>
      <c r="W3436">
        <v>270</v>
      </c>
      <c r="X3436" t="s">
        <v>8412</v>
      </c>
      <c r="Y3436" t="str">
        <f>VLOOKUP(C3436,'[1]DBS_KPY Sorumlular'!A:C,2,FALSE)</f>
        <v>Tayfun VİÇE</v>
      </c>
      <c r="Z3436" t="str">
        <f>VLOOKUP(C3436,'[1]DBS_KPY Sorumlular'!A:C,3,FALSE)</f>
        <v>Mehmet Ali YAVUZ</v>
      </c>
      <c r="AA3436" t="str">
        <f>VLOOKUP(K3436,[1]!Tablo3[#Data],2,FALSE)</f>
        <v>Kadir TOPÇU</v>
      </c>
    </row>
    <row r="3437" spans="1:27" x14ac:dyDescent="0.25">
      <c r="A3437">
        <v>4781</v>
      </c>
      <c r="B3437" t="s">
        <v>27</v>
      </c>
      <c r="C3437" t="s">
        <v>402</v>
      </c>
      <c r="D3437" t="s">
        <v>403</v>
      </c>
      <c r="G3437" t="s">
        <v>384</v>
      </c>
      <c r="H3437" t="s">
        <v>9774</v>
      </c>
      <c r="I3437" s="4">
        <v>45443.875</v>
      </c>
      <c r="K3437" t="s">
        <v>743</v>
      </c>
      <c r="L3437" s="5"/>
      <c r="M3437" s="5" t="s">
        <v>8423</v>
      </c>
      <c r="N3437" t="s">
        <v>82</v>
      </c>
      <c r="O3437" t="s">
        <v>9775</v>
      </c>
      <c r="R3437">
        <v>1</v>
      </c>
      <c r="T3437" s="5"/>
      <c r="W3437">
        <v>270</v>
      </c>
      <c r="X3437" t="s">
        <v>8412</v>
      </c>
      <c r="Y3437" t="str">
        <f>VLOOKUP(C3437,'[1]DBS_KPY Sorumlular'!A:C,2,FALSE)</f>
        <v>Tayfun VİÇE</v>
      </c>
      <c r="Z3437" t="str">
        <f>VLOOKUP(C3437,'[1]DBS_KPY Sorumlular'!A:C,3,FALSE)</f>
        <v>Mehmet Ali YAVUZ</v>
      </c>
      <c r="AA3437" t="str">
        <f>VLOOKUP(K3437,[1]!Tablo3[#Data],2,FALSE)</f>
        <v>Kadir TOPÇU</v>
      </c>
    </row>
    <row r="3438" spans="1:27" x14ac:dyDescent="0.25">
      <c r="A3438">
        <v>4782</v>
      </c>
      <c r="B3438" t="s">
        <v>27</v>
      </c>
      <c r="C3438" t="s">
        <v>402</v>
      </c>
      <c r="D3438" t="s">
        <v>403</v>
      </c>
      <c r="G3438" t="s">
        <v>384</v>
      </c>
      <c r="H3438" t="s">
        <v>9776</v>
      </c>
      <c r="I3438" s="4">
        <v>45443.875</v>
      </c>
      <c r="K3438" t="s">
        <v>743</v>
      </c>
      <c r="L3438" s="5"/>
      <c r="M3438" s="5" t="s">
        <v>8423</v>
      </c>
      <c r="N3438" t="s">
        <v>82</v>
      </c>
      <c r="O3438" t="s">
        <v>9777</v>
      </c>
      <c r="R3438">
        <v>1</v>
      </c>
      <c r="T3438" s="5"/>
      <c r="W3438">
        <v>270</v>
      </c>
      <c r="X3438" t="s">
        <v>8412</v>
      </c>
      <c r="Y3438" t="str">
        <f>VLOOKUP(C3438,'[1]DBS_KPY Sorumlular'!A:C,2,FALSE)</f>
        <v>Tayfun VİÇE</v>
      </c>
      <c r="Z3438" t="str">
        <f>VLOOKUP(C3438,'[1]DBS_KPY Sorumlular'!A:C,3,FALSE)</f>
        <v>Mehmet Ali YAVUZ</v>
      </c>
      <c r="AA3438" t="str">
        <f>VLOOKUP(K3438,[1]!Tablo3[#Data],2,FALSE)</f>
        <v>Kadir TOPÇU</v>
      </c>
    </row>
    <row r="3439" spans="1:27" x14ac:dyDescent="0.25">
      <c r="A3439">
        <v>4783</v>
      </c>
      <c r="B3439" t="s">
        <v>27</v>
      </c>
      <c r="C3439" t="s">
        <v>402</v>
      </c>
      <c r="D3439" t="s">
        <v>403</v>
      </c>
      <c r="G3439" t="s">
        <v>384</v>
      </c>
      <c r="H3439" t="s">
        <v>9778</v>
      </c>
      <c r="I3439" s="4">
        <v>45443.875</v>
      </c>
      <c r="K3439" t="s">
        <v>743</v>
      </c>
      <c r="L3439" s="5"/>
      <c r="M3439" s="5" t="s">
        <v>8423</v>
      </c>
      <c r="N3439" t="s">
        <v>82</v>
      </c>
      <c r="O3439" t="s">
        <v>9779</v>
      </c>
      <c r="R3439">
        <v>1</v>
      </c>
      <c r="T3439" s="5"/>
      <c r="W3439">
        <v>270</v>
      </c>
      <c r="X3439" t="s">
        <v>8412</v>
      </c>
      <c r="Y3439" t="str">
        <f>VLOOKUP(C3439,'[1]DBS_KPY Sorumlular'!A:C,2,FALSE)</f>
        <v>Tayfun VİÇE</v>
      </c>
      <c r="Z3439" t="str">
        <f>VLOOKUP(C3439,'[1]DBS_KPY Sorumlular'!A:C,3,FALSE)</f>
        <v>Mehmet Ali YAVUZ</v>
      </c>
      <c r="AA3439" t="str">
        <f>VLOOKUP(K3439,[1]!Tablo3[#Data],2,FALSE)</f>
        <v>Kadir TOPÇU</v>
      </c>
    </row>
    <row r="3440" spans="1:27" x14ac:dyDescent="0.25">
      <c r="A3440">
        <v>4784</v>
      </c>
      <c r="B3440" t="s">
        <v>27</v>
      </c>
      <c r="C3440" t="s">
        <v>402</v>
      </c>
      <c r="D3440" t="s">
        <v>403</v>
      </c>
      <c r="G3440" t="s">
        <v>384</v>
      </c>
      <c r="H3440" t="s">
        <v>9780</v>
      </c>
      <c r="I3440" s="4">
        <v>45443.875</v>
      </c>
      <c r="K3440" t="s">
        <v>743</v>
      </c>
      <c r="L3440" s="5"/>
      <c r="M3440" s="5" t="s">
        <v>8423</v>
      </c>
      <c r="N3440" t="s">
        <v>82</v>
      </c>
      <c r="O3440" t="s">
        <v>9781</v>
      </c>
      <c r="R3440">
        <v>1</v>
      </c>
      <c r="T3440" s="5"/>
      <c r="W3440">
        <v>270</v>
      </c>
      <c r="X3440" t="s">
        <v>8412</v>
      </c>
      <c r="Y3440" t="str">
        <f>VLOOKUP(C3440,'[1]DBS_KPY Sorumlular'!A:C,2,FALSE)</f>
        <v>Tayfun VİÇE</v>
      </c>
      <c r="Z3440" t="str">
        <f>VLOOKUP(C3440,'[1]DBS_KPY Sorumlular'!A:C,3,FALSE)</f>
        <v>Mehmet Ali YAVUZ</v>
      </c>
      <c r="AA3440" t="str">
        <f>VLOOKUP(K3440,[1]!Tablo3[#Data],2,FALSE)</f>
        <v>Kadir TOPÇU</v>
      </c>
    </row>
    <row r="3441" spans="1:27" x14ac:dyDescent="0.25">
      <c r="A3441">
        <v>4785</v>
      </c>
      <c r="B3441" t="s">
        <v>27</v>
      </c>
      <c r="C3441" t="s">
        <v>402</v>
      </c>
      <c r="D3441" t="s">
        <v>403</v>
      </c>
      <c r="G3441" t="s">
        <v>384</v>
      </c>
      <c r="H3441" t="s">
        <v>9782</v>
      </c>
      <c r="I3441" s="4">
        <v>45443.875</v>
      </c>
      <c r="K3441" t="s">
        <v>743</v>
      </c>
      <c r="L3441" s="5"/>
      <c r="M3441" s="5" t="s">
        <v>8423</v>
      </c>
      <c r="N3441" t="s">
        <v>82</v>
      </c>
      <c r="O3441" t="s">
        <v>9783</v>
      </c>
      <c r="R3441">
        <v>1</v>
      </c>
      <c r="T3441" s="5"/>
      <c r="W3441">
        <v>270</v>
      </c>
      <c r="X3441" t="s">
        <v>8412</v>
      </c>
      <c r="Y3441" t="str">
        <f>VLOOKUP(C3441,'[1]DBS_KPY Sorumlular'!A:C,2,FALSE)</f>
        <v>Tayfun VİÇE</v>
      </c>
      <c r="Z3441" t="str">
        <f>VLOOKUP(C3441,'[1]DBS_KPY Sorumlular'!A:C,3,FALSE)</f>
        <v>Mehmet Ali YAVUZ</v>
      </c>
      <c r="AA3441" t="str">
        <f>VLOOKUP(K3441,[1]!Tablo3[#Data],2,FALSE)</f>
        <v>Kadir TOPÇU</v>
      </c>
    </row>
    <row r="3442" spans="1:27" x14ac:dyDescent="0.25">
      <c r="A3442">
        <v>4786</v>
      </c>
      <c r="B3442" t="s">
        <v>27</v>
      </c>
      <c r="C3442" t="s">
        <v>402</v>
      </c>
      <c r="D3442" t="s">
        <v>403</v>
      </c>
      <c r="G3442" t="s">
        <v>384</v>
      </c>
      <c r="H3442" t="s">
        <v>9784</v>
      </c>
      <c r="I3442" s="4">
        <v>45443.875</v>
      </c>
      <c r="K3442" t="s">
        <v>743</v>
      </c>
      <c r="L3442" s="5"/>
      <c r="M3442" s="5" t="s">
        <v>8423</v>
      </c>
      <c r="N3442" t="s">
        <v>82</v>
      </c>
      <c r="O3442" t="s">
        <v>9785</v>
      </c>
      <c r="R3442">
        <v>1</v>
      </c>
      <c r="T3442" s="5"/>
      <c r="W3442">
        <v>270</v>
      </c>
      <c r="X3442" t="s">
        <v>8412</v>
      </c>
      <c r="Y3442" t="str">
        <f>VLOOKUP(C3442,'[1]DBS_KPY Sorumlular'!A:C,2,FALSE)</f>
        <v>Tayfun VİÇE</v>
      </c>
      <c r="Z3442" t="str">
        <f>VLOOKUP(C3442,'[1]DBS_KPY Sorumlular'!A:C,3,FALSE)</f>
        <v>Mehmet Ali YAVUZ</v>
      </c>
      <c r="AA3442" t="str">
        <f>VLOOKUP(K3442,[1]!Tablo3[#Data],2,FALSE)</f>
        <v>Kadir TOPÇU</v>
      </c>
    </row>
    <row r="3443" spans="1:27" x14ac:dyDescent="0.25">
      <c r="A3443">
        <v>4787</v>
      </c>
      <c r="B3443" t="s">
        <v>27</v>
      </c>
      <c r="C3443" t="s">
        <v>402</v>
      </c>
      <c r="D3443" t="s">
        <v>403</v>
      </c>
      <c r="G3443" t="s">
        <v>384</v>
      </c>
      <c r="H3443" t="s">
        <v>9786</v>
      </c>
      <c r="I3443" s="4">
        <v>45443.875</v>
      </c>
      <c r="K3443" t="s">
        <v>743</v>
      </c>
      <c r="L3443" s="5"/>
      <c r="M3443" s="5" t="s">
        <v>8423</v>
      </c>
      <c r="N3443" t="s">
        <v>82</v>
      </c>
      <c r="O3443" t="s">
        <v>9787</v>
      </c>
      <c r="R3443">
        <v>1</v>
      </c>
      <c r="T3443" s="5"/>
      <c r="W3443">
        <v>270</v>
      </c>
      <c r="X3443" t="s">
        <v>8412</v>
      </c>
      <c r="Y3443" t="str">
        <f>VLOOKUP(C3443,'[1]DBS_KPY Sorumlular'!A:C,2,FALSE)</f>
        <v>Tayfun VİÇE</v>
      </c>
      <c r="Z3443" t="str">
        <f>VLOOKUP(C3443,'[1]DBS_KPY Sorumlular'!A:C,3,FALSE)</f>
        <v>Mehmet Ali YAVUZ</v>
      </c>
      <c r="AA3443" t="str">
        <f>VLOOKUP(K3443,[1]!Tablo3[#Data],2,FALSE)</f>
        <v>Kadir TOPÇU</v>
      </c>
    </row>
    <row r="3444" spans="1:27" x14ac:dyDescent="0.25">
      <c r="A3444">
        <v>4788</v>
      </c>
      <c r="B3444" t="s">
        <v>27</v>
      </c>
      <c r="C3444" t="s">
        <v>402</v>
      </c>
      <c r="D3444" t="s">
        <v>403</v>
      </c>
      <c r="G3444" t="s">
        <v>384</v>
      </c>
      <c r="H3444" t="s">
        <v>9788</v>
      </c>
      <c r="I3444" s="4">
        <v>45443.875</v>
      </c>
      <c r="K3444" t="s">
        <v>743</v>
      </c>
      <c r="L3444" s="5"/>
      <c r="M3444" s="5" t="s">
        <v>8423</v>
      </c>
      <c r="N3444" t="s">
        <v>82</v>
      </c>
      <c r="O3444" t="s">
        <v>9789</v>
      </c>
      <c r="R3444">
        <v>1</v>
      </c>
      <c r="T3444" s="5"/>
      <c r="W3444">
        <v>270</v>
      </c>
      <c r="X3444" t="s">
        <v>8412</v>
      </c>
      <c r="Y3444" t="str">
        <f>VLOOKUP(C3444,'[1]DBS_KPY Sorumlular'!A:C,2,FALSE)</f>
        <v>Tayfun VİÇE</v>
      </c>
      <c r="Z3444" t="str">
        <f>VLOOKUP(C3444,'[1]DBS_KPY Sorumlular'!A:C,3,FALSE)</f>
        <v>Mehmet Ali YAVUZ</v>
      </c>
      <c r="AA3444" t="str">
        <f>VLOOKUP(K3444,[1]!Tablo3[#Data],2,FALSE)</f>
        <v>Kadir TOPÇU</v>
      </c>
    </row>
    <row r="3445" spans="1:27" x14ac:dyDescent="0.25">
      <c r="A3445">
        <v>4789</v>
      </c>
      <c r="B3445" t="s">
        <v>27</v>
      </c>
      <c r="C3445" t="s">
        <v>402</v>
      </c>
      <c r="D3445" t="s">
        <v>403</v>
      </c>
      <c r="G3445" t="s">
        <v>384</v>
      </c>
      <c r="H3445" t="s">
        <v>9790</v>
      </c>
      <c r="I3445" s="4">
        <v>45443.875</v>
      </c>
      <c r="K3445" t="s">
        <v>743</v>
      </c>
      <c r="L3445" s="5"/>
      <c r="M3445" s="5" t="s">
        <v>8423</v>
      </c>
      <c r="N3445" t="s">
        <v>82</v>
      </c>
      <c r="O3445" t="s">
        <v>9791</v>
      </c>
      <c r="R3445">
        <v>1</v>
      </c>
      <c r="T3445" s="5"/>
      <c r="W3445">
        <v>270</v>
      </c>
      <c r="X3445" t="s">
        <v>8412</v>
      </c>
      <c r="Y3445" t="str">
        <f>VLOOKUP(C3445,'[1]DBS_KPY Sorumlular'!A:C,2,FALSE)</f>
        <v>Tayfun VİÇE</v>
      </c>
      <c r="Z3445" t="str">
        <f>VLOOKUP(C3445,'[1]DBS_KPY Sorumlular'!A:C,3,FALSE)</f>
        <v>Mehmet Ali YAVUZ</v>
      </c>
      <c r="AA3445" t="str">
        <f>VLOOKUP(K3445,[1]!Tablo3[#Data],2,FALSE)</f>
        <v>Kadir TOPÇU</v>
      </c>
    </row>
    <row r="3446" spans="1:27" x14ac:dyDescent="0.25">
      <c r="A3446">
        <v>4790</v>
      </c>
      <c r="B3446" t="s">
        <v>27</v>
      </c>
      <c r="C3446" t="s">
        <v>402</v>
      </c>
      <c r="D3446" t="s">
        <v>403</v>
      </c>
      <c r="G3446" t="s">
        <v>384</v>
      </c>
      <c r="H3446" t="s">
        <v>9792</v>
      </c>
      <c r="I3446" s="4">
        <v>45443.875</v>
      </c>
      <c r="K3446" t="s">
        <v>678</v>
      </c>
      <c r="L3446" s="5"/>
      <c r="M3446" s="5" t="s">
        <v>8423</v>
      </c>
      <c r="N3446" t="s">
        <v>82</v>
      </c>
      <c r="O3446" t="s">
        <v>9793</v>
      </c>
      <c r="R3446">
        <v>1</v>
      </c>
      <c r="T3446" s="5"/>
      <c r="W3446">
        <v>270</v>
      </c>
      <c r="X3446" t="s">
        <v>8412</v>
      </c>
      <c r="Y3446" t="str">
        <f>VLOOKUP(C3446,'[1]DBS_KPY Sorumlular'!A:C,2,FALSE)</f>
        <v>Tayfun VİÇE</v>
      </c>
      <c r="Z3446" t="str">
        <f>VLOOKUP(C3446,'[1]DBS_KPY Sorumlular'!A:C,3,FALSE)</f>
        <v>Mehmet Ali YAVUZ</v>
      </c>
      <c r="AA3446" t="str">
        <f>VLOOKUP(K3446,[1]!Tablo3[#Data],2,FALSE)</f>
        <v>Kadir TOPÇU</v>
      </c>
    </row>
    <row r="3447" spans="1:27" x14ac:dyDescent="0.25">
      <c r="A3447">
        <v>4791</v>
      </c>
      <c r="B3447" t="s">
        <v>27</v>
      </c>
      <c r="C3447" t="s">
        <v>402</v>
      </c>
      <c r="D3447" t="s">
        <v>403</v>
      </c>
      <c r="G3447" t="s">
        <v>384</v>
      </c>
      <c r="H3447" t="s">
        <v>9794</v>
      </c>
      <c r="I3447" s="4">
        <v>45443.875</v>
      </c>
      <c r="K3447" t="s">
        <v>743</v>
      </c>
      <c r="L3447" s="5"/>
      <c r="M3447" s="5" t="s">
        <v>8423</v>
      </c>
      <c r="N3447" t="s">
        <v>82</v>
      </c>
      <c r="O3447" t="s">
        <v>9795</v>
      </c>
      <c r="R3447">
        <v>1</v>
      </c>
      <c r="T3447" s="5"/>
      <c r="W3447">
        <v>270</v>
      </c>
      <c r="X3447" t="s">
        <v>8412</v>
      </c>
      <c r="Y3447" t="str">
        <f>VLOOKUP(C3447,'[1]DBS_KPY Sorumlular'!A:C,2,FALSE)</f>
        <v>Tayfun VİÇE</v>
      </c>
      <c r="Z3447" t="str">
        <f>VLOOKUP(C3447,'[1]DBS_KPY Sorumlular'!A:C,3,FALSE)</f>
        <v>Mehmet Ali YAVUZ</v>
      </c>
      <c r="AA3447" t="str">
        <f>VLOOKUP(K3447,[1]!Tablo3[#Data],2,FALSE)</f>
        <v>Kadir TOPÇU</v>
      </c>
    </row>
    <row r="3448" spans="1:27" x14ac:dyDescent="0.25">
      <c r="A3448">
        <v>4793</v>
      </c>
      <c r="B3448" t="s">
        <v>27</v>
      </c>
      <c r="C3448" t="s">
        <v>402</v>
      </c>
      <c r="D3448" t="s">
        <v>403</v>
      </c>
      <c r="G3448" t="s">
        <v>384</v>
      </c>
      <c r="H3448" t="s">
        <v>9796</v>
      </c>
      <c r="I3448" s="4">
        <v>45443.875</v>
      </c>
      <c r="K3448" t="s">
        <v>743</v>
      </c>
      <c r="L3448" s="5"/>
      <c r="M3448" s="5" t="s">
        <v>8423</v>
      </c>
      <c r="N3448" t="s">
        <v>82</v>
      </c>
      <c r="O3448" t="s">
        <v>9797</v>
      </c>
      <c r="R3448">
        <v>1</v>
      </c>
      <c r="T3448" s="5"/>
      <c r="W3448">
        <v>270</v>
      </c>
      <c r="X3448" t="s">
        <v>8412</v>
      </c>
      <c r="Y3448" t="str">
        <f>VLOOKUP(C3448,'[1]DBS_KPY Sorumlular'!A:C,2,FALSE)</f>
        <v>Tayfun VİÇE</v>
      </c>
      <c r="Z3448" t="str">
        <f>VLOOKUP(C3448,'[1]DBS_KPY Sorumlular'!A:C,3,FALSE)</f>
        <v>Mehmet Ali YAVUZ</v>
      </c>
      <c r="AA3448" t="str">
        <f>VLOOKUP(K3448,[1]!Tablo3[#Data],2,FALSE)</f>
        <v>Kadir TOPÇU</v>
      </c>
    </row>
    <row r="3449" spans="1:27" x14ac:dyDescent="0.25">
      <c r="A3449">
        <v>4794</v>
      </c>
      <c r="B3449" t="s">
        <v>27</v>
      </c>
      <c r="C3449" t="s">
        <v>402</v>
      </c>
      <c r="D3449" t="s">
        <v>403</v>
      </c>
      <c r="G3449" t="s">
        <v>384</v>
      </c>
      <c r="H3449" t="s">
        <v>9798</v>
      </c>
      <c r="I3449" s="4">
        <v>45443.875</v>
      </c>
      <c r="K3449" t="s">
        <v>743</v>
      </c>
      <c r="L3449" s="5"/>
      <c r="M3449" s="5" t="s">
        <v>8423</v>
      </c>
      <c r="N3449" t="s">
        <v>82</v>
      </c>
      <c r="O3449" t="s">
        <v>9799</v>
      </c>
      <c r="R3449">
        <v>1</v>
      </c>
      <c r="T3449" s="5"/>
      <c r="W3449">
        <v>270</v>
      </c>
      <c r="X3449" t="s">
        <v>8412</v>
      </c>
      <c r="Y3449" t="str">
        <f>VLOOKUP(C3449,'[1]DBS_KPY Sorumlular'!A:C,2,FALSE)</f>
        <v>Tayfun VİÇE</v>
      </c>
      <c r="Z3449" t="str">
        <f>VLOOKUP(C3449,'[1]DBS_KPY Sorumlular'!A:C,3,FALSE)</f>
        <v>Mehmet Ali YAVUZ</v>
      </c>
      <c r="AA3449" t="str">
        <f>VLOOKUP(K3449,[1]!Tablo3[#Data],2,FALSE)</f>
        <v>Kadir TOPÇU</v>
      </c>
    </row>
    <row r="3450" spans="1:27" x14ac:dyDescent="0.25">
      <c r="A3450">
        <v>4795</v>
      </c>
      <c r="B3450" t="s">
        <v>27</v>
      </c>
      <c r="C3450" t="s">
        <v>402</v>
      </c>
      <c r="D3450" t="s">
        <v>403</v>
      </c>
      <c r="G3450" t="s">
        <v>384</v>
      </c>
      <c r="H3450" t="s">
        <v>9800</v>
      </c>
      <c r="I3450" s="4">
        <v>45443.875</v>
      </c>
      <c r="K3450" t="s">
        <v>743</v>
      </c>
      <c r="L3450" s="5"/>
      <c r="M3450" s="5" t="s">
        <v>8423</v>
      </c>
      <c r="N3450" t="s">
        <v>82</v>
      </c>
      <c r="O3450" t="s">
        <v>9801</v>
      </c>
      <c r="R3450">
        <v>1</v>
      </c>
      <c r="T3450" s="5"/>
      <c r="W3450">
        <v>270</v>
      </c>
      <c r="X3450" t="s">
        <v>8412</v>
      </c>
      <c r="Y3450" t="str">
        <f>VLOOKUP(C3450,'[1]DBS_KPY Sorumlular'!A:C,2,FALSE)</f>
        <v>Tayfun VİÇE</v>
      </c>
      <c r="Z3450" t="str">
        <f>VLOOKUP(C3450,'[1]DBS_KPY Sorumlular'!A:C,3,FALSE)</f>
        <v>Mehmet Ali YAVUZ</v>
      </c>
      <c r="AA3450" t="str">
        <f>VLOOKUP(K3450,[1]!Tablo3[#Data],2,FALSE)</f>
        <v>Kadir TOPÇU</v>
      </c>
    </row>
    <row r="3451" spans="1:27" x14ac:dyDescent="0.25">
      <c r="A3451">
        <v>4796</v>
      </c>
      <c r="B3451" t="s">
        <v>27</v>
      </c>
      <c r="C3451" t="s">
        <v>402</v>
      </c>
      <c r="D3451" t="s">
        <v>403</v>
      </c>
      <c r="G3451" t="s">
        <v>384</v>
      </c>
      <c r="H3451" t="s">
        <v>9802</v>
      </c>
      <c r="I3451" s="4">
        <v>45443.875</v>
      </c>
      <c r="K3451" t="s">
        <v>743</v>
      </c>
      <c r="L3451" s="5"/>
      <c r="M3451" s="5" t="s">
        <v>8423</v>
      </c>
      <c r="N3451" t="s">
        <v>82</v>
      </c>
      <c r="O3451" t="s">
        <v>9803</v>
      </c>
      <c r="R3451">
        <v>1</v>
      </c>
      <c r="T3451" s="5"/>
      <c r="W3451">
        <v>270</v>
      </c>
      <c r="X3451" t="s">
        <v>8412</v>
      </c>
      <c r="Y3451" t="str">
        <f>VLOOKUP(C3451,'[1]DBS_KPY Sorumlular'!A:C,2,FALSE)</f>
        <v>Tayfun VİÇE</v>
      </c>
      <c r="Z3451" t="str">
        <f>VLOOKUP(C3451,'[1]DBS_KPY Sorumlular'!A:C,3,FALSE)</f>
        <v>Mehmet Ali YAVUZ</v>
      </c>
      <c r="AA3451" t="str">
        <f>VLOOKUP(K3451,[1]!Tablo3[#Data],2,FALSE)</f>
        <v>Kadir TOPÇU</v>
      </c>
    </row>
    <row r="3452" spans="1:27" x14ac:dyDescent="0.25">
      <c r="A3452">
        <v>4797</v>
      </c>
      <c r="B3452" t="s">
        <v>27</v>
      </c>
      <c r="C3452" t="s">
        <v>402</v>
      </c>
      <c r="D3452" t="s">
        <v>403</v>
      </c>
      <c r="G3452" t="s">
        <v>384</v>
      </c>
      <c r="H3452" t="s">
        <v>9804</v>
      </c>
      <c r="I3452" s="4">
        <v>45443.875</v>
      </c>
      <c r="K3452" t="s">
        <v>743</v>
      </c>
      <c r="L3452" s="5"/>
      <c r="M3452" s="5" t="s">
        <v>8423</v>
      </c>
      <c r="N3452" t="s">
        <v>82</v>
      </c>
      <c r="O3452" t="s">
        <v>9805</v>
      </c>
      <c r="R3452">
        <v>1</v>
      </c>
      <c r="T3452" s="5"/>
      <c r="W3452">
        <v>270</v>
      </c>
      <c r="X3452" t="s">
        <v>8412</v>
      </c>
      <c r="Y3452" t="str">
        <f>VLOOKUP(C3452,'[1]DBS_KPY Sorumlular'!A:C,2,FALSE)</f>
        <v>Tayfun VİÇE</v>
      </c>
      <c r="Z3452" t="str">
        <f>VLOOKUP(C3452,'[1]DBS_KPY Sorumlular'!A:C,3,FALSE)</f>
        <v>Mehmet Ali YAVUZ</v>
      </c>
      <c r="AA3452" t="str">
        <f>VLOOKUP(K3452,[1]!Tablo3[#Data],2,FALSE)</f>
        <v>Kadir TOPÇU</v>
      </c>
    </row>
    <row r="3453" spans="1:27" x14ac:dyDescent="0.25">
      <c r="A3453">
        <v>4798</v>
      </c>
      <c r="B3453" t="s">
        <v>27</v>
      </c>
      <c r="C3453" t="s">
        <v>402</v>
      </c>
      <c r="D3453" t="s">
        <v>403</v>
      </c>
      <c r="G3453" t="s">
        <v>384</v>
      </c>
      <c r="H3453" t="s">
        <v>9806</v>
      </c>
      <c r="I3453" s="4">
        <v>45443.875</v>
      </c>
      <c r="K3453" t="s">
        <v>743</v>
      </c>
      <c r="L3453" s="5"/>
      <c r="M3453" s="5" t="s">
        <v>8423</v>
      </c>
      <c r="N3453" t="s">
        <v>82</v>
      </c>
      <c r="O3453" t="s">
        <v>9807</v>
      </c>
      <c r="R3453">
        <v>1</v>
      </c>
      <c r="T3453" s="5"/>
      <c r="W3453">
        <v>270</v>
      </c>
      <c r="X3453" t="s">
        <v>8412</v>
      </c>
      <c r="Y3453" t="str">
        <f>VLOOKUP(C3453,'[1]DBS_KPY Sorumlular'!A:C,2,FALSE)</f>
        <v>Tayfun VİÇE</v>
      </c>
      <c r="Z3453" t="str">
        <f>VLOOKUP(C3453,'[1]DBS_KPY Sorumlular'!A:C,3,FALSE)</f>
        <v>Mehmet Ali YAVUZ</v>
      </c>
      <c r="AA3453" t="str">
        <f>VLOOKUP(K3453,[1]!Tablo3[#Data],2,FALSE)</f>
        <v>Kadir TOPÇU</v>
      </c>
    </row>
    <row r="3454" spans="1:27" x14ac:dyDescent="0.25">
      <c r="A3454">
        <v>4799</v>
      </c>
      <c r="B3454" t="s">
        <v>27</v>
      </c>
      <c r="C3454" t="s">
        <v>402</v>
      </c>
      <c r="D3454" t="s">
        <v>403</v>
      </c>
      <c r="G3454" t="s">
        <v>384</v>
      </c>
      <c r="H3454" t="s">
        <v>9808</v>
      </c>
      <c r="I3454" s="4">
        <v>45443.875</v>
      </c>
      <c r="K3454" t="s">
        <v>743</v>
      </c>
      <c r="L3454" s="5"/>
      <c r="M3454" s="5" t="s">
        <v>8423</v>
      </c>
      <c r="N3454" t="s">
        <v>82</v>
      </c>
      <c r="O3454" t="s">
        <v>9809</v>
      </c>
      <c r="R3454">
        <v>1</v>
      </c>
      <c r="T3454" s="5"/>
      <c r="W3454">
        <v>270</v>
      </c>
      <c r="X3454" t="s">
        <v>8412</v>
      </c>
      <c r="Y3454" t="str">
        <f>VLOOKUP(C3454,'[1]DBS_KPY Sorumlular'!A:C,2,FALSE)</f>
        <v>Tayfun VİÇE</v>
      </c>
      <c r="Z3454" t="str">
        <f>VLOOKUP(C3454,'[1]DBS_KPY Sorumlular'!A:C,3,FALSE)</f>
        <v>Mehmet Ali YAVUZ</v>
      </c>
      <c r="AA3454" t="str">
        <f>VLOOKUP(K3454,[1]!Tablo3[#Data],2,FALSE)</f>
        <v>Kadir TOPÇU</v>
      </c>
    </row>
    <row r="3455" spans="1:27" x14ac:dyDescent="0.25">
      <c r="A3455">
        <v>4801</v>
      </c>
      <c r="B3455" t="s">
        <v>27</v>
      </c>
      <c r="C3455" t="s">
        <v>402</v>
      </c>
      <c r="D3455" t="s">
        <v>403</v>
      </c>
      <c r="G3455" t="s">
        <v>384</v>
      </c>
      <c r="H3455" t="s">
        <v>9810</v>
      </c>
      <c r="I3455" s="4">
        <v>45443.875</v>
      </c>
      <c r="K3455" t="s">
        <v>743</v>
      </c>
      <c r="L3455" s="5"/>
      <c r="M3455" s="5" t="s">
        <v>8423</v>
      </c>
      <c r="N3455" t="s">
        <v>82</v>
      </c>
      <c r="O3455" t="s">
        <v>9811</v>
      </c>
      <c r="R3455">
        <v>1</v>
      </c>
      <c r="T3455" s="5"/>
      <c r="W3455">
        <v>270</v>
      </c>
      <c r="X3455" t="s">
        <v>8412</v>
      </c>
      <c r="Y3455" t="str">
        <f>VLOOKUP(C3455,'[1]DBS_KPY Sorumlular'!A:C,2,FALSE)</f>
        <v>Tayfun VİÇE</v>
      </c>
      <c r="Z3455" t="str">
        <f>VLOOKUP(C3455,'[1]DBS_KPY Sorumlular'!A:C,3,FALSE)</f>
        <v>Mehmet Ali YAVUZ</v>
      </c>
      <c r="AA3455" t="str">
        <f>VLOOKUP(K3455,[1]!Tablo3[#Data],2,FALSE)</f>
        <v>Kadir TOPÇU</v>
      </c>
    </row>
    <row r="3456" spans="1:27" x14ac:dyDescent="0.25">
      <c r="A3456">
        <v>4802</v>
      </c>
      <c r="B3456" t="s">
        <v>27</v>
      </c>
      <c r="C3456" t="s">
        <v>402</v>
      </c>
      <c r="D3456" t="s">
        <v>403</v>
      </c>
      <c r="G3456" t="s">
        <v>384</v>
      </c>
      <c r="H3456" t="s">
        <v>9812</v>
      </c>
      <c r="I3456" s="4">
        <v>45443.875</v>
      </c>
      <c r="K3456" t="s">
        <v>743</v>
      </c>
      <c r="L3456" s="5"/>
      <c r="M3456" s="5" t="s">
        <v>8423</v>
      </c>
      <c r="N3456" t="s">
        <v>82</v>
      </c>
      <c r="O3456" t="s">
        <v>9813</v>
      </c>
      <c r="R3456">
        <v>1</v>
      </c>
      <c r="T3456" s="5"/>
      <c r="W3456">
        <v>270</v>
      </c>
      <c r="X3456" t="s">
        <v>8412</v>
      </c>
      <c r="Y3456" t="str">
        <f>VLOOKUP(C3456,'[1]DBS_KPY Sorumlular'!A:C,2,FALSE)</f>
        <v>Tayfun VİÇE</v>
      </c>
      <c r="Z3456" t="str">
        <f>VLOOKUP(C3456,'[1]DBS_KPY Sorumlular'!A:C,3,FALSE)</f>
        <v>Mehmet Ali YAVUZ</v>
      </c>
      <c r="AA3456" t="str">
        <f>VLOOKUP(K3456,[1]!Tablo3[#Data],2,FALSE)</f>
        <v>Kadir TOPÇU</v>
      </c>
    </row>
    <row r="3457" spans="1:27" x14ac:dyDescent="0.25">
      <c r="A3457">
        <v>4803</v>
      </c>
      <c r="B3457" t="s">
        <v>27</v>
      </c>
      <c r="C3457" t="s">
        <v>402</v>
      </c>
      <c r="D3457" t="s">
        <v>403</v>
      </c>
      <c r="G3457" t="s">
        <v>384</v>
      </c>
      <c r="H3457" t="s">
        <v>9814</v>
      </c>
      <c r="I3457" s="4">
        <v>45443.875</v>
      </c>
      <c r="K3457" t="s">
        <v>743</v>
      </c>
      <c r="L3457" s="5"/>
      <c r="M3457" s="5" t="s">
        <v>8423</v>
      </c>
      <c r="N3457" t="s">
        <v>82</v>
      </c>
      <c r="O3457" t="s">
        <v>9815</v>
      </c>
      <c r="R3457">
        <v>1</v>
      </c>
      <c r="T3457" s="5"/>
      <c r="W3457">
        <v>270</v>
      </c>
      <c r="X3457" t="s">
        <v>8412</v>
      </c>
      <c r="Y3457" t="str">
        <f>VLOOKUP(C3457,'[1]DBS_KPY Sorumlular'!A:C,2,FALSE)</f>
        <v>Tayfun VİÇE</v>
      </c>
      <c r="Z3457" t="str">
        <f>VLOOKUP(C3457,'[1]DBS_KPY Sorumlular'!A:C,3,FALSE)</f>
        <v>Mehmet Ali YAVUZ</v>
      </c>
      <c r="AA3457" t="str">
        <f>VLOOKUP(K3457,[1]!Tablo3[#Data],2,FALSE)</f>
        <v>Kadir TOPÇU</v>
      </c>
    </row>
    <row r="3458" spans="1:27" x14ac:dyDescent="0.25">
      <c r="A3458">
        <v>4804</v>
      </c>
      <c r="B3458" t="s">
        <v>27</v>
      </c>
      <c r="C3458" t="s">
        <v>402</v>
      </c>
      <c r="D3458" t="s">
        <v>403</v>
      </c>
      <c r="G3458" t="s">
        <v>384</v>
      </c>
      <c r="H3458" t="s">
        <v>9816</v>
      </c>
      <c r="I3458" s="4">
        <v>45443.875</v>
      </c>
      <c r="K3458" t="s">
        <v>743</v>
      </c>
      <c r="L3458" s="5"/>
      <c r="M3458" s="5" t="s">
        <v>8423</v>
      </c>
      <c r="N3458" t="s">
        <v>82</v>
      </c>
      <c r="O3458" t="s">
        <v>9817</v>
      </c>
      <c r="R3458">
        <v>1</v>
      </c>
      <c r="T3458" s="5"/>
      <c r="W3458">
        <v>270</v>
      </c>
      <c r="X3458" t="s">
        <v>8412</v>
      </c>
      <c r="Y3458" t="str">
        <f>VLOOKUP(C3458,'[1]DBS_KPY Sorumlular'!A:C,2,FALSE)</f>
        <v>Tayfun VİÇE</v>
      </c>
      <c r="Z3458" t="str">
        <f>VLOOKUP(C3458,'[1]DBS_KPY Sorumlular'!A:C,3,FALSE)</f>
        <v>Mehmet Ali YAVUZ</v>
      </c>
      <c r="AA3458" t="str">
        <f>VLOOKUP(K3458,[1]!Tablo3[#Data],2,FALSE)</f>
        <v>Kadir TOPÇU</v>
      </c>
    </row>
    <row r="3459" spans="1:27" x14ac:dyDescent="0.25">
      <c r="A3459">
        <v>4805</v>
      </c>
      <c r="B3459" t="s">
        <v>27</v>
      </c>
      <c r="C3459" t="s">
        <v>402</v>
      </c>
      <c r="D3459" t="s">
        <v>403</v>
      </c>
      <c r="G3459" t="s">
        <v>384</v>
      </c>
      <c r="H3459" t="s">
        <v>9818</v>
      </c>
      <c r="I3459" s="4">
        <v>45443.875</v>
      </c>
      <c r="K3459" t="s">
        <v>743</v>
      </c>
      <c r="L3459" s="5"/>
      <c r="M3459" s="5" t="s">
        <v>8423</v>
      </c>
      <c r="N3459" t="s">
        <v>82</v>
      </c>
      <c r="O3459" t="s">
        <v>9819</v>
      </c>
      <c r="R3459">
        <v>1</v>
      </c>
      <c r="T3459" s="5"/>
      <c r="W3459">
        <v>270</v>
      </c>
      <c r="X3459" t="s">
        <v>8412</v>
      </c>
      <c r="Y3459" t="str">
        <f>VLOOKUP(C3459,'[1]DBS_KPY Sorumlular'!A:C,2,FALSE)</f>
        <v>Tayfun VİÇE</v>
      </c>
      <c r="Z3459" t="str">
        <f>VLOOKUP(C3459,'[1]DBS_KPY Sorumlular'!A:C,3,FALSE)</f>
        <v>Mehmet Ali YAVUZ</v>
      </c>
      <c r="AA3459" t="str">
        <f>VLOOKUP(K3459,[1]!Tablo3[#Data],2,FALSE)</f>
        <v>Kadir TOPÇU</v>
      </c>
    </row>
    <row r="3460" spans="1:27" x14ac:dyDescent="0.25">
      <c r="A3460">
        <v>4806</v>
      </c>
      <c r="B3460" t="s">
        <v>27</v>
      </c>
      <c r="C3460" t="s">
        <v>402</v>
      </c>
      <c r="D3460" t="s">
        <v>403</v>
      </c>
      <c r="G3460" t="s">
        <v>384</v>
      </c>
      <c r="H3460" t="s">
        <v>9820</v>
      </c>
      <c r="I3460" s="4">
        <v>45443.875</v>
      </c>
      <c r="K3460" t="s">
        <v>743</v>
      </c>
      <c r="L3460" s="5"/>
      <c r="M3460" s="5" t="s">
        <v>8423</v>
      </c>
      <c r="N3460" t="s">
        <v>82</v>
      </c>
      <c r="O3460" t="s">
        <v>9821</v>
      </c>
      <c r="R3460">
        <v>1</v>
      </c>
      <c r="T3460" s="5"/>
      <c r="W3460">
        <v>270</v>
      </c>
      <c r="X3460" t="s">
        <v>8412</v>
      </c>
      <c r="Y3460" t="str">
        <f>VLOOKUP(C3460,'[1]DBS_KPY Sorumlular'!A:C,2,FALSE)</f>
        <v>Tayfun VİÇE</v>
      </c>
      <c r="Z3460" t="str">
        <f>VLOOKUP(C3460,'[1]DBS_KPY Sorumlular'!A:C,3,FALSE)</f>
        <v>Mehmet Ali YAVUZ</v>
      </c>
      <c r="AA3460" t="str">
        <f>VLOOKUP(K3460,[1]!Tablo3[#Data],2,FALSE)</f>
        <v>Kadir TOPÇU</v>
      </c>
    </row>
    <row r="3461" spans="1:27" x14ac:dyDescent="0.25">
      <c r="A3461">
        <v>4807</v>
      </c>
      <c r="B3461" t="s">
        <v>27</v>
      </c>
      <c r="C3461" t="s">
        <v>402</v>
      </c>
      <c r="D3461" t="s">
        <v>403</v>
      </c>
      <c r="G3461" t="s">
        <v>384</v>
      </c>
      <c r="H3461" t="s">
        <v>9822</v>
      </c>
      <c r="I3461" s="4">
        <v>45443.875</v>
      </c>
      <c r="K3461" t="s">
        <v>743</v>
      </c>
      <c r="L3461" s="5"/>
      <c r="M3461" s="5" t="s">
        <v>8423</v>
      </c>
      <c r="N3461" t="s">
        <v>82</v>
      </c>
      <c r="O3461" t="s">
        <v>9823</v>
      </c>
      <c r="R3461">
        <v>1</v>
      </c>
      <c r="T3461" s="5"/>
      <c r="W3461">
        <v>270</v>
      </c>
      <c r="X3461" t="s">
        <v>8412</v>
      </c>
      <c r="Y3461" t="str">
        <f>VLOOKUP(C3461,'[1]DBS_KPY Sorumlular'!A:C,2,FALSE)</f>
        <v>Tayfun VİÇE</v>
      </c>
      <c r="Z3461" t="str">
        <f>VLOOKUP(C3461,'[1]DBS_KPY Sorumlular'!A:C,3,FALSE)</f>
        <v>Mehmet Ali YAVUZ</v>
      </c>
      <c r="AA3461" t="str">
        <f>VLOOKUP(K3461,[1]!Tablo3[#Data],2,FALSE)</f>
        <v>Kadir TOPÇU</v>
      </c>
    </row>
    <row r="3462" spans="1:27" x14ac:dyDescent="0.25">
      <c r="A3462">
        <v>4808</v>
      </c>
      <c r="B3462" t="s">
        <v>27</v>
      </c>
      <c r="C3462" t="s">
        <v>402</v>
      </c>
      <c r="D3462" t="s">
        <v>403</v>
      </c>
      <c r="G3462" t="s">
        <v>384</v>
      </c>
      <c r="H3462" t="s">
        <v>9824</v>
      </c>
      <c r="I3462" s="4">
        <v>45443.875</v>
      </c>
      <c r="K3462" t="s">
        <v>743</v>
      </c>
      <c r="L3462" s="5"/>
      <c r="M3462" s="5" t="s">
        <v>8423</v>
      </c>
      <c r="N3462" t="s">
        <v>82</v>
      </c>
      <c r="O3462" t="s">
        <v>9825</v>
      </c>
      <c r="R3462">
        <v>1</v>
      </c>
      <c r="T3462" s="5"/>
      <c r="W3462">
        <v>270</v>
      </c>
      <c r="X3462" t="s">
        <v>8412</v>
      </c>
      <c r="Y3462" t="str">
        <f>VLOOKUP(C3462,'[1]DBS_KPY Sorumlular'!A:C,2,FALSE)</f>
        <v>Tayfun VİÇE</v>
      </c>
      <c r="Z3462" t="str">
        <f>VLOOKUP(C3462,'[1]DBS_KPY Sorumlular'!A:C,3,FALSE)</f>
        <v>Mehmet Ali YAVUZ</v>
      </c>
      <c r="AA3462" t="str">
        <f>VLOOKUP(K3462,[1]!Tablo3[#Data],2,FALSE)</f>
        <v>Kadir TOPÇU</v>
      </c>
    </row>
    <row r="3463" spans="1:27" x14ac:dyDescent="0.25">
      <c r="A3463">
        <v>4809</v>
      </c>
      <c r="B3463" t="s">
        <v>27</v>
      </c>
      <c r="C3463" t="s">
        <v>402</v>
      </c>
      <c r="D3463" t="s">
        <v>403</v>
      </c>
      <c r="G3463" t="s">
        <v>384</v>
      </c>
      <c r="H3463" t="s">
        <v>9826</v>
      </c>
      <c r="I3463" s="4">
        <v>45443.875</v>
      </c>
      <c r="K3463" t="s">
        <v>743</v>
      </c>
      <c r="L3463" s="5"/>
      <c r="M3463" s="5" t="s">
        <v>8423</v>
      </c>
      <c r="N3463" t="s">
        <v>82</v>
      </c>
      <c r="O3463" t="s">
        <v>9827</v>
      </c>
      <c r="R3463">
        <v>1</v>
      </c>
      <c r="T3463" s="5"/>
      <c r="W3463">
        <v>270</v>
      </c>
      <c r="X3463" t="s">
        <v>8412</v>
      </c>
      <c r="Y3463" t="str">
        <f>VLOOKUP(C3463,'[1]DBS_KPY Sorumlular'!A:C,2,FALSE)</f>
        <v>Tayfun VİÇE</v>
      </c>
      <c r="Z3463" t="str">
        <f>VLOOKUP(C3463,'[1]DBS_KPY Sorumlular'!A:C,3,FALSE)</f>
        <v>Mehmet Ali YAVUZ</v>
      </c>
      <c r="AA3463" t="str">
        <f>VLOOKUP(K3463,[1]!Tablo3[#Data],2,FALSE)</f>
        <v>Kadir TOPÇU</v>
      </c>
    </row>
    <row r="3464" spans="1:27" x14ac:dyDescent="0.25">
      <c r="A3464">
        <v>4810</v>
      </c>
      <c r="B3464" t="s">
        <v>27</v>
      </c>
      <c r="C3464" t="s">
        <v>402</v>
      </c>
      <c r="D3464" t="s">
        <v>403</v>
      </c>
      <c r="G3464" t="s">
        <v>384</v>
      </c>
      <c r="H3464" t="s">
        <v>9828</v>
      </c>
      <c r="I3464" s="4">
        <v>45443.875</v>
      </c>
      <c r="K3464" t="s">
        <v>743</v>
      </c>
      <c r="L3464" s="5"/>
      <c r="M3464" s="5" t="s">
        <v>8423</v>
      </c>
      <c r="N3464" t="s">
        <v>82</v>
      </c>
      <c r="O3464" t="s">
        <v>9829</v>
      </c>
      <c r="R3464">
        <v>1</v>
      </c>
      <c r="T3464" s="5"/>
      <c r="W3464">
        <v>270</v>
      </c>
      <c r="X3464" t="s">
        <v>8412</v>
      </c>
      <c r="Y3464" t="str">
        <f>VLOOKUP(C3464,'[1]DBS_KPY Sorumlular'!A:C,2,FALSE)</f>
        <v>Tayfun VİÇE</v>
      </c>
      <c r="Z3464" t="str">
        <f>VLOOKUP(C3464,'[1]DBS_KPY Sorumlular'!A:C,3,FALSE)</f>
        <v>Mehmet Ali YAVUZ</v>
      </c>
      <c r="AA3464" t="str">
        <f>VLOOKUP(K3464,[1]!Tablo3[#Data],2,FALSE)</f>
        <v>Kadir TOPÇU</v>
      </c>
    </row>
    <row r="3465" spans="1:27" x14ac:dyDescent="0.25">
      <c r="A3465">
        <v>4811</v>
      </c>
      <c r="B3465" t="s">
        <v>27</v>
      </c>
      <c r="C3465" t="s">
        <v>402</v>
      </c>
      <c r="D3465" t="s">
        <v>403</v>
      </c>
      <c r="G3465" t="s">
        <v>384</v>
      </c>
      <c r="H3465" t="s">
        <v>9830</v>
      </c>
      <c r="I3465" s="4">
        <v>45443.875</v>
      </c>
      <c r="K3465" t="s">
        <v>743</v>
      </c>
      <c r="L3465" s="5"/>
      <c r="M3465" s="5" t="s">
        <v>8423</v>
      </c>
      <c r="N3465" t="s">
        <v>82</v>
      </c>
      <c r="O3465" t="s">
        <v>9831</v>
      </c>
      <c r="R3465">
        <v>1</v>
      </c>
      <c r="T3465" s="5"/>
      <c r="W3465">
        <v>270</v>
      </c>
      <c r="X3465" t="s">
        <v>8412</v>
      </c>
      <c r="Y3465" t="str">
        <f>VLOOKUP(C3465,'[1]DBS_KPY Sorumlular'!A:C,2,FALSE)</f>
        <v>Tayfun VİÇE</v>
      </c>
      <c r="Z3465" t="str">
        <f>VLOOKUP(C3465,'[1]DBS_KPY Sorumlular'!A:C,3,FALSE)</f>
        <v>Mehmet Ali YAVUZ</v>
      </c>
      <c r="AA3465" t="str">
        <f>VLOOKUP(K3465,[1]!Tablo3[#Data],2,FALSE)</f>
        <v>Kadir TOPÇU</v>
      </c>
    </row>
    <row r="3466" spans="1:27" x14ac:dyDescent="0.25">
      <c r="A3466">
        <v>4812</v>
      </c>
      <c r="B3466" t="s">
        <v>27</v>
      </c>
      <c r="C3466" t="s">
        <v>402</v>
      </c>
      <c r="D3466" t="s">
        <v>403</v>
      </c>
      <c r="G3466" t="s">
        <v>384</v>
      </c>
      <c r="H3466" t="s">
        <v>9832</v>
      </c>
      <c r="I3466" s="4">
        <v>45443.875</v>
      </c>
      <c r="K3466" t="s">
        <v>743</v>
      </c>
      <c r="L3466" s="5"/>
      <c r="M3466" s="5" t="s">
        <v>8423</v>
      </c>
      <c r="N3466" t="s">
        <v>82</v>
      </c>
      <c r="O3466" t="s">
        <v>9833</v>
      </c>
      <c r="R3466">
        <v>1</v>
      </c>
      <c r="T3466" s="5"/>
      <c r="W3466">
        <v>270</v>
      </c>
      <c r="X3466" t="s">
        <v>8412</v>
      </c>
      <c r="Y3466" t="str">
        <f>VLOOKUP(C3466,'[1]DBS_KPY Sorumlular'!A:C,2,FALSE)</f>
        <v>Tayfun VİÇE</v>
      </c>
      <c r="Z3466" t="str">
        <f>VLOOKUP(C3466,'[1]DBS_KPY Sorumlular'!A:C,3,FALSE)</f>
        <v>Mehmet Ali YAVUZ</v>
      </c>
      <c r="AA3466" t="str">
        <f>VLOOKUP(K3466,[1]!Tablo3[#Data],2,FALSE)</f>
        <v>Kadir TOPÇU</v>
      </c>
    </row>
    <row r="3467" spans="1:27" x14ac:dyDescent="0.25">
      <c r="A3467">
        <v>4813</v>
      </c>
      <c r="B3467" t="s">
        <v>27</v>
      </c>
      <c r="C3467" t="s">
        <v>402</v>
      </c>
      <c r="D3467" t="s">
        <v>403</v>
      </c>
      <c r="G3467" t="s">
        <v>384</v>
      </c>
      <c r="H3467" t="s">
        <v>9834</v>
      </c>
      <c r="I3467" s="4">
        <v>45443.875</v>
      </c>
      <c r="K3467" t="s">
        <v>743</v>
      </c>
      <c r="L3467" s="5"/>
      <c r="M3467" s="5" t="s">
        <v>8423</v>
      </c>
      <c r="N3467" t="s">
        <v>82</v>
      </c>
      <c r="O3467" t="s">
        <v>9835</v>
      </c>
      <c r="R3467">
        <v>1</v>
      </c>
      <c r="T3467" s="5"/>
      <c r="W3467">
        <v>270</v>
      </c>
      <c r="X3467" t="s">
        <v>8412</v>
      </c>
      <c r="Y3467" t="str">
        <f>VLOOKUP(C3467,'[1]DBS_KPY Sorumlular'!A:C,2,FALSE)</f>
        <v>Tayfun VİÇE</v>
      </c>
      <c r="Z3467" t="str">
        <f>VLOOKUP(C3467,'[1]DBS_KPY Sorumlular'!A:C,3,FALSE)</f>
        <v>Mehmet Ali YAVUZ</v>
      </c>
      <c r="AA3467" t="str">
        <f>VLOOKUP(K3467,[1]!Tablo3[#Data],2,FALSE)</f>
        <v>Kadir TOPÇU</v>
      </c>
    </row>
    <row r="3468" spans="1:27" x14ac:dyDescent="0.25">
      <c r="A3468">
        <v>4814</v>
      </c>
      <c r="B3468" t="s">
        <v>27</v>
      </c>
      <c r="C3468" t="s">
        <v>402</v>
      </c>
      <c r="D3468" t="s">
        <v>403</v>
      </c>
      <c r="G3468" t="s">
        <v>384</v>
      </c>
      <c r="H3468" t="s">
        <v>9836</v>
      </c>
      <c r="I3468" s="4">
        <v>45443.875</v>
      </c>
      <c r="K3468" t="s">
        <v>743</v>
      </c>
      <c r="L3468" s="5"/>
      <c r="M3468" s="5" t="s">
        <v>8423</v>
      </c>
      <c r="N3468" t="s">
        <v>82</v>
      </c>
      <c r="O3468" t="s">
        <v>9837</v>
      </c>
      <c r="R3468">
        <v>1</v>
      </c>
      <c r="T3468" s="5"/>
      <c r="W3468">
        <v>270</v>
      </c>
      <c r="X3468" t="s">
        <v>8412</v>
      </c>
      <c r="Y3468" t="str">
        <f>VLOOKUP(C3468,'[1]DBS_KPY Sorumlular'!A:C,2,FALSE)</f>
        <v>Tayfun VİÇE</v>
      </c>
      <c r="Z3468" t="str">
        <f>VLOOKUP(C3468,'[1]DBS_KPY Sorumlular'!A:C,3,FALSE)</f>
        <v>Mehmet Ali YAVUZ</v>
      </c>
      <c r="AA3468" t="str">
        <f>VLOOKUP(K3468,[1]!Tablo3[#Data],2,FALSE)</f>
        <v>Kadir TOPÇU</v>
      </c>
    </row>
    <row r="3469" spans="1:27" x14ac:dyDescent="0.25">
      <c r="A3469">
        <v>4815</v>
      </c>
      <c r="B3469" t="s">
        <v>27</v>
      </c>
      <c r="C3469" t="s">
        <v>402</v>
      </c>
      <c r="D3469" t="s">
        <v>403</v>
      </c>
      <c r="G3469" t="s">
        <v>384</v>
      </c>
      <c r="H3469" t="s">
        <v>9838</v>
      </c>
      <c r="I3469" s="4">
        <v>45443.875</v>
      </c>
      <c r="K3469" t="s">
        <v>743</v>
      </c>
      <c r="L3469" s="5"/>
      <c r="M3469" s="5" t="s">
        <v>8423</v>
      </c>
      <c r="N3469" t="s">
        <v>82</v>
      </c>
      <c r="O3469" t="s">
        <v>9839</v>
      </c>
      <c r="R3469">
        <v>1</v>
      </c>
      <c r="T3469" s="5"/>
      <c r="W3469">
        <v>270</v>
      </c>
      <c r="X3469" t="s">
        <v>8412</v>
      </c>
      <c r="Y3469" t="str">
        <f>VLOOKUP(C3469,'[1]DBS_KPY Sorumlular'!A:C,2,FALSE)</f>
        <v>Tayfun VİÇE</v>
      </c>
      <c r="Z3469" t="str">
        <f>VLOOKUP(C3469,'[1]DBS_KPY Sorumlular'!A:C,3,FALSE)</f>
        <v>Mehmet Ali YAVUZ</v>
      </c>
      <c r="AA3469" t="str">
        <f>VLOOKUP(K3469,[1]!Tablo3[#Data],2,FALSE)</f>
        <v>Kadir TOPÇU</v>
      </c>
    </row>
    <row r="3470" spans="1:27" x14ac:dyDescent="0.25">
      <c r="A3470">
        <v>4816</v>
      </c>
      <c r="B3470" t="s">
        <v>27</v>
      </c>
      <c r="C3470" t="s">
        <v>402</v>
      </c>
      <c r="D3470" t="s">
        <v>403</v>
      </c>
      <c r="G3470" t="s">
        <v>384</v>
      </c>
      <c r="H3470" t="s">
        <v>9840</v>
      </c>
      <c r="I3470" s="4">
        <v>45443.875</v>
      </c>
      <c r="K3470" t="s">
        <v>743</v>
      </c>
      <c r="L3470" s="5"/>
      <c r="M3470" s="5" t="s">
        <v>8423</v>
      </c>
      <c r="N3470" t="s">
        <v>82</v>
      </c>
      <c r="O3470" t="s">
        <v>9841</v>
      </c>
      <c r="R3470">
        <v>1</v>
      </c>
      <c r="T3470" s="5"/>
      <c r="W3470">
        <v>270</v>
      </c>
      <c r="X3470" t="s">
        <v>8412</v>
      </c>
      <c r="Y3470" t="str">
        <f>VLOOKUP(C3470,'[1]DBS_KPY Sorumlular'!A:C,2,FALSE)</f>
        <v>Tayfun VİÇE</v>
      </c>
      <c r="Z3470" t="str">
        <f>VLOOKUP(C3470,'[1]DBS_KPY Sorumlular'!A:C,3,FALSE)</f>
        <v>Mehmet Ali YAVUZ</v>
      </c>
      <c r="AA3470" t="str">
        <f>VLOOKUP(K3470,[1]!Tablo3[#Data],2,FALSE)</f>
        <v>Kadir TOPÇU</v>
      </c>
    </row>
    <row r="3471" spans="1:27" x14ac:dyDescent="0.25">
      <c r="A3471">
        <v>4817</v>
      </c>
      <c r="B3471" t="s">
        <v>27</v>
      </c>
      <c r="C3471" t="s">
        <v>402</v>
      </c>
      <c r="D3471" t="s">
        <v>403</v>
      </c>
      <c r="G3471" t="s">
        <v>384</v>
      </c>
      <c r="H3471" t="s">
        <v>9842</v>
      </c>
      <c r="I3471" s="4">
        <v>45443.875</v>
      </c>
      <c r="K3471" t="s">
        <v>743</v>
      </c>
      <c r="L3471" s="5"/>
      <c r="M3471" s="5" t="s">
        <v>8423</v>
      </c>
      <c r="N3471" t="s">
        <v>82</v>
      </c>
      <c r="O3471" t="s">
        <v>9843</v>
      </c>
      <c r="R3471">
        <v>1</v>
      </c>
      <c r="T3471" s="5"/>
      <c r="W3471">
        <v>270</v>
      </c>
      <c r="X3471" t="s">
        <v>8412</v>
      </c>
      <c r="Y3471" t="str">
        <f>VLOOKUP(C3471,'[1]DBS_KPY Sorumlular'!A:C,2,FALSE)</f>
        <v>Tayfun VİÇE</v>
      </c>
      <c r="Z3471" t="str">
        <f>VLOOKUP(C3471,'[1]DBS_KPY Sorumlular'!A:C,3,FALSE)</f>
        <v>Mehmet Ali YAVUZ</v>
      </c>
      <c r="AA3471" t="str">
        <f>VLOOKUP(K3471,[1]!Tablo3[#Data],2,FALSE)</f>
        <v>Kadir TOPÇU</v>
      </c>
    </row>
    <row r="3472" spans="1:27" x14ac:dyDescent="0.25">
      <c r="A3472">
        <v>4818</v>
      </c>
      <c r="B3472" t="s">
        <v>27</v>
      </c>
      <c r="C3472" t="s">
        <v>402</v>
      </c>
      <c r="D3472" t="s">
        <v>403</v>
      </c>
      <c r="G3472" t="s">
        <v>384</v>
      </c>
      <c r="H3472" t="s">
        <v>9844</v>
      </c>
      <c r="I3472" s="4">
        <v>45443.875</v>
      </c>
      <c r="K3472" t="s">
        <v>743</v>
      </c>
      <c r="L3472" s="5"/>
      <c r="M3472" s="5" t="s">
        <v>8423</v>
      </c>
      <c r="N3472" t="s">
        <v>82</v>
      </c>
      <c r="O3472" t="s">
        <v>9845</v>
      </c>
      <c r="R3472">
        <v>1</v>
      </c>
      <c r="T3472" s="5"/>
      <c r="W3472">
        <v>270</v>
      </c>
      <c r="X3472" t="s">
        <v>8412</v>
      </c>
      <c r="Y3472" t="str">
        <f>VLOOKUP(C3472,'[1]DBS_KPY Sorumlular'!A:C,2,FALSE)</f>
        <v>Tayfun VİÇE</v>
      </c>
      <c r="Z3472" t="str">
        <f>VLOOKUP(C3472,'[1]DBS_KPY Sorumlular'!A:C,3,FALSE)</f>
        <v>Mehmet Ali YAVUZ</v>
      </c>
      <c r="AA3472" t="str">
        <f>VLOOKUP(K3472,[1]!Tablo3[#Data],2,FALSE)</f>
        <v>Kadir TOPÇU</v>
      </c>
    </row>
    <row r="3473" spans="1:27" x14ac:dyDescent="0.25">
      <c r="A3473">
        <v>4819</v>
      </c>
      <c r="B3473" t="s">
        <v>27</v>
      </c>
      <c r="C3473" t="s">
        <v>402</v>
      </c>
      <c r="D3473" t="s">
        <v>403</v>
      </c>
      <c r="G3473" t="s">
        <v>384</v>
      </c>
      <c r="H3473" t="s">
        <v>9846</v>
      </c>
      <c r="I3473" s="4">
        <v>45443.875</v>
      </c>
      <c r="K3473" t="s">
        <v>743</v>
      </c>
      <c r="L3473" s="5"/>
      <c r="M3473" s="5" t="s">
        <v>8423</v>
      </c>
      <c r="N3473" t="s">
        <v>82</v>
      </c>
      <c r="O3473" t="s">
        <v>9847</v>
      </c>
      <c r="R3473">
        <v>1</v>
      </c>
      <c r="T3473" s="5"/>
      <c r="W3473">
        <v>270</v>
      </c>
      <c r="X3473" t="s">
        <v>8412</v>
      </c>
      <c r="Y3473" t="str">
        <f>VLOOKUP(C3473,'[1]DBS_KPY Sorumlular'!A:C,2,FALSE)</f>
        <v>Tayfun VİÇE</v>
      </c>
      <c r="Z3473" t="str">
        <f>VLOOKUP(C3473,'[1]DBS_KPY Sorumlular'!A:C,3,FALSE)</f>
        <v>Mehmet Ali YAVUZ</v>
      </c>
      <c r="AA3473" t="str">
        <f>VLOOKUP(K3473,[1]!Tablo3[#Data],2,FALSE)</f>
        <v>Kadir TOPÇU</v>
      </c>
    </row>
    <row r="3474" spans="1:27" x14ac:dyDescent="0.25">
      <c r="A3474">
        <v>4820</v>
      </c>
      <c r="B3474" t="s">
        <v>27</v>
      </c>
      <c r="C3474" t="s">
        <v>402</v>
      </c>
      <c r="D3474" t="s">
        <v>403</v>
      </c>
      <c r="G3474" t="s">
        <v>384</v>
      </c>
      <c r="H3474" t="s">
        <v>9848</v>
      </c>
      <c r="I3474" s="4">
        <v>45443.875</v>
      </c>
      <c r="K3474" t="s">
        <v>743</v>
      </c>
      <c r="L3474" s="5"/>
      <c r="M3474" s="5" t="s">
        <v>8423</v>
      </c>
      <c r="N3474" t="s">
        <v>82</v>
      </c>
      <c r="O3474" t="s">
        <v>9849</v>
      </c>
      <c r="R3474">
        <v>1</v>
      </c>
      <c r="T3474" s="5"/>
      <c r="W3474">
        <v>270</v>
      </c>
      <c r="X3474" t="s">
        <v>8412</v>
      </c>
      <c r="Y3474" t="str">
        <f>VLOOKUP(C3474,'[1]DBS_KPY Sorumlular'!A:C,2,FALSE)</f>
        <v>Tayfun VİÇE</v>
      </c>
      <c r="Z3474" t="str">
        <f>VLOOKUP(C3474,'[1]DBS_KPY Sorumlular'!A:C,3,FALSE)</f>
        <v>Mehmet Ali YAVUZ</v>
      </c>
      <c r="AA3474" t="str">
        <f>VLOOKUP(K3474,[1]!Tablo3[#Data],2,FALSE)</f>
        <v>Kadir TOPÇU</v>
      </c>
    </row>
    <row r="3475" spans="1:27" x14ac:dyDescent="0.25">
      <c r="A3475">
        <v>4821</v>
      </c>
      <c r="B3475" t="s">
        <v>27</v>
      </c>
      <c r="C3475" t="s">
        <v>402</v>
      </c>
      <c r="D3475" t="s">
        <v>403</v>
      </c>
      <c r="G3475" t="s">
        <v>384</v>
      </c>
      <c r="H3475" t="s">
        <v>9850</v>
      </c>
      <c r="I3475" s="4">
        <v>45443.875</v>
      </c>
      <c r="K3475" t="s">
        <v>743</v>
      </c>
      <c r="L3475" s="5"/>
      <c r="M3475" s="5" t="s">
        <v>8423</v>
      </c>
      <c r="N3475" t="s">
        <v>82</v>
      </c>
      <c r="O3475" t="s">
        <v>9851</v>
      </c>
      <c r="R3475">
        <v>1</v>
      </c>
      <c r="T3475" s="5"/>
      <c r="W3475">
        <v>270</v>
      </c>
      <c r="X3475" t="s">
        <v>8412</v>
      </c>
      <c r="Y3475" t="str">
        <f>VLOOKUP(C3475,'[1]DBS_KPY Sorumlular'!A:C,2,FALSE)</f>
        <v>Tayfun VİÇE</v>
      </c>
      <c r="Z3475" t="str">
        <f>VLOOKUP(C3475,'[1]DBS_KPY Sorumlular'!A:C,3,FALSE)</f>
        <v>Mehmet Ali YAVUZ</v>
      </c>
      <c r="AA3475" t="str">
        <f>VLOOKUP(K3475,[1]!Tablo3[#Data],2,FALSE)</f>
        <v>Kadir TOPÇU</v>
      </c>
    </row>
    <row r="3476" spans="1:27" x14ac:dyDescent="0.25">
      <c r="A3476">
        <v>4822</v>
      </c>
      <c r="B3476" t="s">
        <v>27</v>
      </c>
      <c r="C3476" t="s">
        <v>402</v>
      </c>
      <c r="D3476" t="s">
        <v>403</v>
      </c>
      <c r="G3476" t="s">
        <v>384</v>
      </c>
      <c r="H3476" t="s">
        <v>9852</v>
      </c>
      <c r="I3476" s="4">
        <v>45443.875</v>
      </c>
      <c r="K3476" t="s">
        <v>743</v>
      </c>
      <c r="L3476" s="5"/>
      <c r="M3476" s="5" t="s">
        <v>8423</v>
      </c>
      <c r="N3476" t="s">
        <v>82</v>
      </c>
      <c r="O3476" t="s">
        <v>9853</v>
      </c>
      <c r="R3476">
        <v>1</v>
      </c>
      <c r="T3476" s="5"/>
      <c r="W3476">
        <v>270</v>
      </c>
      <c r="X3476" t="s">
        <v>8412</v>
      </c>
      <c r="Y3476" t="str">
        <f>VLOOKUP(C3476,'[1]DBS_KPY Sorumlular'!A:C,2,FALSE)</f>
        <v>Tayfun VİÇE</v>
      </c>
      <c r="Z3476" t="str">
        <f>VLOOKUP(C3476,'[1]DBS_KPY Sorumlular'!A:C,3,FALSE)</f>
        <v>Mehmet Ali YAVUZ</v>
      </c>
      <c r="AA3476" t="str">
        <f>VLOOKUP(K3476,[1]!Tablo3[#Data],2,FALSE)</f>
        <v>Kadir TOPÇU</v>
      </c>
    </row>
    <row r="3477" spans="1:27" x14ac:dyDescent="0.25">
      <c r="A3477">
        <v>4823</v>
      </c>
      <c r="B3477" t="s">
        <v>27</v>
      </c>
      <c r="C3477" t="s">
        <v>402</v>
      </c>
      <c r="D3477" t="s">
        <v>403</v>
      </c>
      <c r="G3477" t="s">
        <v>384</v>
      </c>
      <c r="H3477" t="s">
        <v>9854</v>
      </c>
      <c r="I3477" s="4">
        <v>45443.875</v>
      </c>
      <c r="K3477" t="s">
        <v>743</v>
      </c>
      <c r="L3477" s="5"/>
      <c r="M3477" s="5" t="s">
        <v>8423</v>
      </c>
      <c r="N3477" t="s">
        <v>82</v>
      </c>
      <c r="O3477" t="s">
        <v>9855</v>
      </c>
      <c r="R3477">
        <v>1</v>
      </c>
      <c r="T3477" s="5"/>
      <c r="W3477">
        <v>270</v>
      </c>
      <c r="X3477" t="s">
        <v>8412</v>
      </c>
      <c r="Y3477" t="str">
        <f>VLOOKUP(C3477,'[1]DBS_KPY Sorumlular'!A:C,2,FALSE)</f>
        <v>Tayfun VİÇE</v>
      </c>
      <c r="Z3477" t="str">
        <f>VLOOKUP(C3477,'[1]DBS_KPY Sorumlular'!A:C,3,FALSE)</f>
        <v>Mehmet Ali YAVUZ</v>
      </c>
      <c r="AA3477" t="str">
        <f>VLOOKUP(K3477,[1]!Tablo3[#Data],2,FALSE)</f>
        <v>Kadir TOPÇU</v>
      </c>
    </row>
    <row r="3478" spans="1:27" x14ac:dyDescent="0.25">
      <c r="A3478">
        <v>4824</v>
      </c>
      <c r="B3478" t="s">
        <v>27</v>
      </c>
      <c r="C3478" t="s">
        <v>402</v>
      </c>
      <c r="D3478" t="s">
        <v>403</v>
      </c>
      <c r="G3478" t="s">
        <v>384</v>
      </c>
      <c r="H3478" t="s">
        <v>9856</v>
      </c>
      <c r="I3478" s="4">
        <v>45443.875</v>
      </c>
      <c r="K3478" t="s">
        <v>743</v>
      </c>
      <c r="L3478" s="5"/>
      <c r="M3478" s="5" t="s">
        <v>8423</v>
      </c>
      <c r="N3478" t="s">
        <v>82</v>
      </c>
      <c r="O3478" t="s">
        <v>9857</v>
      </c>
      <c r="R3478">
        <v>1</v>
      </c>
      <c r="T3478" s="5"/>
      <c r="W3478">
        <v>270</v>
      </c>
      <c r="X3478" t="s">
        <v>8412</v>
      </c>
      <c r="Y3478" t="str">
        <f>VLOOKUP(C3478,'[1]DBS_KPY Sorumlular'!A:C,2,FALSE)</f>
        <v>Tayfun VİÇE</v>
      </c>
      <c r="Z3478" t="str">
        <f>VLOOKUP(C3478,'[1]DBS_KPY Sorumlular'!A:C,3,FALSE)</f>
        <v>Mehmet Ali YAVUZ</v>
      </c>
      <c r="AA3478" t="str">
        <f>VLOOKUP(K3478,[1]!Tablo3[#Data],2,FALSE)</f>
        <v>Kadir TOPÇU</v>
      </c>
    </row>
    <row r="3479" spans="1:27" x14ac:dyDescent="0.25">
      <c r="A3479">
        <v>4825</v>
      </c>
      <c r="B3479" t="s">
        <v>27</v>
      </c>
      <c r="C3479" t="s">
        <v>402</v>
      </c>
      <c r="D3479" t="s">
        <v>403</v>
      </c>
      <c r="G3479" t="s">
        <v>384</v>
      </c>
      <c r="H3479" t="s">
        <v>9858</v>
      </c>
      <c r="I3479" s="4">
        <v>45443.875</v>
      </c>
      <c r="K3479" t="s">
        <v>743</v>
      </c>
      <c r="L3479" s="5"/>
      <c r="M3479" s="5" t="s">
        <v>8423</v>
      </c>
      <c r="N3479" t="s">
        <v>82</v>
      </c>
      <c r="O3479" t="s">
        <v>9859</v>
      </c>
      <c r="R3479">
        <v>1</v>
      </c>
      <c r="T3479" s="5"/>
      <c r="W3479">
        <v>270</v>
      </c>
      <c r="X3479" t="s">
        <v>8412</v>
      </c>
      <c r="Y3479" t="str">
        <f>VLOOKUP(C3479,'[1]DBS_KPY Sorumlular'!A:C,2,FALSE)</f>
        <v>Tayfun VİÇE</v>
      </c>
      <c r="Z3479" t="str">
        <f>VLOOKUP(C3479,'[1]DBS_KPY Sorumlular'!A:C,3,FALSE)</f>
        <v>Mehmet Ali YAVUZ</v>
      </c>
      <c r="AA3479" t="str">
        <f>VLOOKUP(K3479,[1]!Tablo3[#Data],2,FALSE)</f>
        <v>Kadir TOPÇU</v>
      </c>
    </row>
    <row r="3480" spans="1:27" x14ac:dyDescent="0.25">
      <c r="A3480">
        <v>4826</v>
      </c>
      <c r="B3480" t="s">
        <v>27</v>
      </c>
      <c r="C3480" t="s">
        <v>402</v>
      </c>
      <c r="D3480" t="s">
        <v>403</v>
      </c>
      <c r="G3480" t="s">
        <v>384</v>
      </c>
      <c r="H3480" t="s">
        <v>9860</v>
      </c>
      <c r="I3480" s="4">
        <v>45443.875</v>
      </c>
      <c r="K3480" t="s">
        <v>743</v>
      </c>
      <c r="L3480" s="5"/>
      <c r="M3480" s="5" t="s">
        <v>8423</v>
      </c>
      <c r="N3480" t="s">
        <v>82</v>
      </c>
      <c r="O3480" t="s">
        <v>9861</v>
      </c>
      <c r="R3480">
        <v>1</v>
      </c>
      <c r="T3480" s="5"/>
      <c r="W3480">
        <v>270</v>
      </c>
      <c r="X3480" t="s">
        <v>8412</v>
      </c>
      <c r="Y3480" t="str">
        <f>VLOOKUP(C3480,'[1]DBS_KPY Sorumlular'!A:C,2,FALSE)</f>
        <v>Tayfun VİÇE</v>
      </c>
      <c r="Z3480" t="str">
        <f>VLOOKUP(C3480,'[1]DBS_KPY Sorumlular'!A:C,3,FALSE)</f>
        <v>Mehmet Ali YAVUZ</v>
      </c>
      <c r="AA3480" t="str">
        <f>VLOOKUP(K3480,[1]!Tablo3[#Data],2,FALSE)</f>
        <v>Kadir TOPÇU</v>
      </c>
    </row>
    <row r="3481" spans="1:27" x14ac:dyDescent="0.25">
      <c r="A3481">
        <v>4827</v>
      </c>
      <c r="B3481" t="s">
        <v>27</v>
      </c>
      <c r="C3481" t="s">
        <v>402</v>
      </c>
      <c r="D3481" t="s">
        <v>403</v>
      </c>
      <c r="G3481" t="s">
        <v>384</v>
      </c>
      <c r="H3481" t="s">
        <v>9862</v>
      </c>
      <c r="I3481" s="4">
        <v>45443.875</v>
      </c>
      <c r="K3481" t="s">
        <v>743</v>
      </c>
      <c r="L3481" s="5"/>
      <c r="M3481" s="5" t="s">
        <v>8423</v>
      </c>
      <c r="N3481" t="s">
        <v>82</v>
      </c>
      <c r="O3481" t="s">
        <v>9863</v>
      </c>
      <c r="R3481">
        <v>1</v>
      </c>
      <c r="T3481" s="5"/>
      <c r="W3481">
        <v>270</v>
      </c>
      <c r="X3481" t="s">
        <v>8412</v>
      </c>
      <c r="Y3481" t="str">
        <f>VLOOKUP(C3481,'[1]DBS_KPY Sorumlular'!A:C,2,FALSE)</f>
        <v>Tayfun VİÇE</v>
      </c>
      <c r="Z3481" t="str">
        <f>VLOOKUP(C3481,'[1]DBS_KPY Sorumlular'!A:C,3,FALSE)</f>
        <v>Mehmet Ali YAVUZ</v>
      </c>
      <c r="AA3481" t="str">
        <f>VLOOKUP(K3481,[1]!Tablo3[#Data],2,FALSE)</f>
        <v>Kadir TOPÇU</v>
      </c>
    </row>
    <row r="3482" spans="1:27" x14ac:dyDescent="0.25">
      <c r="A3482">
        <v>4828</v>
      </c>
      <c r="B3482" t="s">
        <v>27</v>
      </c>
      <c r="C3482" t="s">
        <v>402</v>
      </c>
      <c r="D3482" t="s">
        <v>403</v>
      </c>
      <c r="G3482" t="s">
        <v>384</v>
      </c>
      <c r="H3482" t="s">
        <v>9864</v>
      </c>
      <c r="I3482" s="4">
        <v>45443.875</v>
      </c>
      <c r="K3482" t="s">
        <v>743</v>
      </c>
      <c r="L3482" s="5"/>
      <c r="M3482" s="5" t="s">
        <v>8423</v>
      </c>
      <c r="N3482" t="s">
        <v>82</v>
      </c>
      <c r="O3482" t="s">
        <v>9865</v>
      </c>
      <c r="R3482">
        <v>1</v>
      </c>
      <c r="T3482" s="5"/>
      <c r="W3482">
        <v>270</v>
      </c>
      <c r="X3482" t="s">
        <v>8412</v>
      </c>
      <c r="Y3482" t="str">
        <f>VLOOKUP(C3482,'[1]DBS_KPY Sorumlular'!A:C,2,FALSE)</f>
        <v>Tayfun VİÇE</v>
      </c>
      <c r="Z3482" t="str">
        <f>VLOOKUP(C3482,'[1]DBS_KPY Sorumlular'!A:C,3,FALSE)</f>
        <v>Mehmet Ali YAVUZ</v>
      </c>
      <c r="AA3482" t="str">
        <f>VLOOKUP(K3482,[1]!Tablo3[#Data],2,FALSE)</f>
        <v>Kadir TOPÇU</v>
      </c>
    </row>
    <row r="3483" spans="1:27" x14ac:dyDescent="0.25">
      <c r="A3483">
        <v>4829</v>
      </c>
      <c r="B3483" t="s">
        <v>27</v>
      </c>
      <c r="C3483" t="s">
        <v>402</v>
      </c>
      <c r="D3483" t="s">
        <v>403</v>
      </c>
      <c r="G3483" t="s">
        <v>384</v>
      </c>
      <c r="H3483" t="s">
        <v>9866</v>
      </c>
      <c r="I3483" s="4">
        <v>45443.875</v>
      </c>
      <c r="K3483" t="s">
        <v>743</v>
      </c>
      <c r="L3483" s="5"/>
      <c r="M3483" s="5" t="s">
        <v>8423</v>
      </c>
      <c r="N3483" t="s">
        <v>82</v>
      </c>
      <c r="O3483" t="s">
        <v>9867</v>
      </c>
      <c r="R3483">
        <v>1</v>
      </c>
      <c r="T3483" s="5"/>
      <c r="W3483">
        <v>270</v>
      </c>
      <c r="X3483" t="s">
        <v>8412</v>
      </c>
      <c r="Y3483" t="str">
        <f>VLOOKUP(C3483,'[1]DBS_KPY Sorumlular'!A:C,2,FALSE)</f>
        <v>Tayfun VİÇE</v>
      </c>
      <c r="Z3483" t="str">
        <f>VLOOKUP(C3483,'[1]DBS_KPY Sorumlular'!A:C,3,FALSE)</f>
        <v>Mehmet Ali YAVUZ</v>
      </c>
      <c r="AA3483" t="str">
        <f>VLOOKUP(K3483,[1]!Tablo3[#Data],2,FALSE)</f>
        <v>Kadir TOPÇU</v>
      </c>
    </row>
    <row r="3484" spans="1:27" x14ac:dyDescent="0.25">
      <c r="A3484">
        <v>4830</v>
      </c>
      <c r="B3484" t="s">
        <v>27</v>
      </c>
      <c r="C3484" t="s">
        <v>402</v>
      </c>
      <c r="D3484" t="s">
        <v>403</v>
      </c>
      <c r="G3484" t="s">
        <v>384</v>
      </c>
      <c r="H3484" t="s">
        <v>9868</v>
      </c>
      <c r="I3484" s="4">
        <v>45443.875</v>
      </c>
      <c r="K3484" t="s">
        <v>743</v>
      </c>
      <c r="L3484" s="5"/>
      <c r="M3484" s="5" t="s">
        <v>8423</v>
      </c>
      <c r="N3484" t="s">
        <v>82</v>
      </c>
      <c r="O3484" t="s">
        <v>9869</v>
      </c>
      <c r="R3484">
        <v>1</v>
      </c>
      <c r="T3484" s="5"/>
      <c r="W3484">
        <v>270</v>
      </c>
      <c r="X3484" t="s">
        <v>8412</v>
      </c>
      <c r="Y3484" t="str">
        <f>VLOOKUP(C3484,'[1]DBS_KPY Sorumlular'!A:C,2,FALSE)</f>
        <v>Tayfun VİÇE</v>
      </c>
      <c r="Z3484" t="str">
        <f>VLOOKUP(C3484,'[1]DBS_KPY Sorumlular'!A:C,3,FALSE)</f>
        <v>Mehmet Ali YAVUZ</v>
      </c>
      <c r="AA3484" t="str">
        <f>VLOOKUP(K3484,[1]!Tablo3[#Data],2,FALSE)</f>
        <v>Kadir TOPÇU</v>
      </c>
    </row>
    <row r="3485" spans="1:27" x14ac:dyDescent="0.25">
      <c r="A3485">
        <v>4831</v>
      </c>
      <c r="B3485" t="s">
        <v>27</v>
      </c>
      <c r="C3485" t="s">
        <v>402</v>
      </c>
      <c r="D3485" t="s">
        <v>403</v>
      </c>
      <c r="G3485" t="s">
        <v>384</v>
      </c>
      <c r="H3485" t="s">
        <v>9870</v>
      </c>
      <c r="I3485" s="4">
        <v>45443.875</v>
      </c>
      <c r="K3485" t="s">
        <v>743</v>
      </c>
      <c r="L3485" s="5"/>
      <c r="M3485" s="5" t="s">
        <v>8423</v>
      </c>
      <c r="N3485" t="s">
        <v>82</v>
      </c>
      <c r="O3485" t="s">
        <v>9871</v>
      </c>
      <c r="R3485">
        <v>1</v>
      </c>
      <c r="T3485" s="5"/>
      <c r="W3485">
        <v>270</v>
      </c>
      <c r="X3485" t="s">
        <v>8412</v>
      </c>
      <c r="Y3485" t="str">
        <f>VLOOKUP(C3485,'[1]DBS_KPY Sorumlular'!A:C,2,FALSE)</f>
        <v>Tayfun VİÇE</v>
      </c>
      <c r="Z3485" t="str">
        <f>VLOOKUP(C3485,'[1]DBS_KPY Sorumlular'!A:C,3,FALSE)</f>
        <v>Mehmet Ali YAVUZ</v>
      </c>
      <c r="AA3485" t="str">
        <f>VLOOKUP(K3485,[1]!Tablo3[#Data],2,FALSE)</f>
        <v>Kadir TOPÇU</v>
      </c>
    </row>
    <row r="3486" spans="1:27" x14ac:dyDescent="0.25">
      <c r="A3486">
        <v>4832</v>
      </c>
      <c r="B3486" t="s">
        <v>27</v>
      </c>
      <c r="C3486" t="s">
        <v>402</v>
      </c>
      <c r="D3486" t="s">
        <v>403</v>
      </c>
      <c r="G3486" t="s">
        <v>384</v>
      </c>
      <c r="H3486" t="s">
        <v>9872</v>
      </c>
      <c r="I3486" s="4">
        <v>45443.875</v>
      </c>
      <c r="K3486" t="s">
        <v>743</v>
      </c>
      <c r="L3486" s="5"/>
      <c r="M3486" s="5" t="s">
        <v>8423</v>
      </c>
      <c r="N3486" t="s">
        <v>82</v>
      </c>
      <c r="O3486" t="s">
        <v>9873</v>
      </c>
      <c r="R3486">
        <v>1</v>
      </c>
      <c r="T3486" s="5"/>
      <c r="W3486">
        <v>270</v>
      </c>
      <c r="X3486" t="s">
        <v>8412</v>
      </c>
      <c r="Y3486" t="str">
        <f>VLOOKUP(C3486,'[1]DBS_KPY Sorumlular'!A:C,2,FALSE)</f>
        <v>Tayfun VİÇE</v>
      </c>
      <c r="Z3486" t="str">
        <f>VLOOKUP(C3486,'[1]DBS_KPY Sorumlular'!A:C,3,FALSE)</f>
        <v>Mehmet Ali YAVUZ</v>
      </c>
      <c r="AA3486" t="str">
        <f>VLOOKUP(K3486,[1]!Tablo3[#Data],2,FALSE)</f>
        <v>Kadir TOPÇU</v>
      </c>
    </row>
    <row r="3487" spans="1:27" x14ac:dyDescent="0.25">
      <c r="A3487">
        <v>4833</v>
      </c>
      <c r="B3487" t="s">
        <v>27</v>
      </c>
      <c r="C3487" t="s">
        <v>402</v>
      </c>
      <c r="D3487" t="s">
        <v>403</v>
      </c>
      <c r="G3487" t="s">
        <v>384</v>
      </c>
      <c r="H3487" t="s">
        <v>9874</v>
      </c>
      <c r="I3487" s="4">
        <v>45443.875</v>
      </c>
      <c r="K3487" t="s">
        <v>743</v>
      </c>
      <c r="L3487" s="5"/>
      <c r="M3487" s="5" t="s">
        <v>8423</v>
      </c>
      <c r="N3487" t="s">
        <v>82</v>
      </c>
      <c r="O3487" t="s">
        <v>9875</v>
      </c>
      <c r="R3487">
        <v>1</v>
      </c>
      <c r="T3487" s="5"/>
      <c r="W3487">
        <v>270</v>
      </c>
      <c r="X3487" t="s">
        <v>8412</v>
      </c>
      <c r="Y3487" t="str">
        <f>VLOOKUP(C3487,'[1]DBS_KPY Sorumlular'!A:C,2,FALSE)</f>
        <v>Tayfun VİÇE</v>
      </c>
      <c r="Z3487" t="str">
        <f>VLOOKUP(C3487,'[1]DBS_KPY Sorumlular'!A:C,3,FALSE)</f>
        <v>Mehmet Ali YAVUZ</v>
      </c>
      <c r="AA3487" t="str">
        <f>VLOOKUP(K3487,[1]!Tablo3[#Data],2,FALSE)</f>
        <v>Kadir TOPÇU</v>
      </c>
    </row>
    <row r="3488" spans="1:27" x14ac:dyDescent="0.25">
      <c r="A3488">
        <v>4834</v>
      </c>
      <c r="B3488" t="s">
        <v>27</v>
      </c>
      <c r="C3488" t="s">
        <v>402</v>
      </c>
      <c r="D3488" t="s">
        <v>403</v>
      </c>
      <c r="G3488" t="s">
        <v>384</v>
      </c>
      <c r="H3488" t="s">
        <v>9876</v>
      </c>
      <c r="I3488" s="4">
        <v>45443.875</v>
      </c>
      <c r="K3488" t="s">
        <v>743</v>
      </c>
      <c r="L3488" s="5"/>
      <c r="M3488" s="5" t="s">
        <v>8423</v>
      </c>
      <c r="N3488" t="s">
        <v>82</v>
      </c>
      <c r="O3488" t="s">
        <v>9877</v>
      </c>
      <c r="R3488">
        <v>1</v>
      </c>
      <c r="T3488" s="5"/>
      <c r="W3488">
        <v>270</v>
      </c>
      <c r="X3488" t="s">
        <v>8412</v>
      </c>
      <c r="Y3488" t="str">
        <f>VLOOKUP(C3488,'[1]DBS_KPY Sorumlular'!A:C,2,FALSE)</f>
        <v>Tayfun VİÇE</v>
      </c>
      <c r="Z3488" t="str">
        <f>VLOOKUP(C3488,'[1]DBS_KPY Sorumlular'!A:C,3,FALSE)</f>
        <v>Mehmet Ali YAVUZ</v>
      </c>
      <c r="AA3488" t="str">
        <f>VLOOKUP(K3488,[1]!Tablo3[#Data],2,FALSE)</f>
        <v>Kadir TOPÇU</v>
      </c>
    </row>
    <row r="3489" spans="1:27" x14ac:dyDescent="0.25">
      <c r="A3489">
        <v>4835</v>
      </c>
      <c r="B3489" t="s">
        <v>27</v>
      </c>
      <c r="C3489" t="s">
        <v>402</v>
      </c>
      <c r="D3489" t="s">
        <v>403</v>
      </c>
      <c r="G3489" t="s">
        <v>384</v>
      </c>
      <c r="H3489" t="s">
        <v>9878</v>
      </c>
      <c r="I3489" s="4">
        <v>45443.875</v>
      </c>
      <c r="K3489" t="s">
        <v>743</v>
      </c>
      <c r="L3489" s="5"/>
      <c r="M3489" s="5" t="s">
        <v>8423</v>
      </c>
      <c r="N3489" t="s">
        <v>82</v>
      </c>
      <c r="O3489" t="s">
        <v>9879</v>
      </c>
      <c r="R3489">
        <v>1</v>
      </c>
      <c r="T3489" s="5"/>
      <c r="W3489">
        <v>270</v>
      </c>
      <c r="X3489" t="s">
        <v>8412</v>
      </c>
      <c r="Y3489" t="str">
        <f>VLOOKUP(C3489,'[1]DBS_KPY Sorumlular'!A:C,2,FALSE)</f>
        <v>Tayfun VİÇE</v>
      </c>
      <c r="Z3489" t="str">
        <f>VLOOKUP(C3489,'[1]DBS_KPY Sorumlular'!A:C,3,FALSE)</f>
        <v>Mehmet Ali YAVUZ</v>
      </c>
      <c r="AA3489" t="str">
        <f>VLOOKUP(K3489,[1]!Tablo3[#Data],2,FALSE)</f>
        <v>Kadir TOPÇU</v>
      </c>
    </row>
    <row r="3490" spans="1:27" x14ac:dyDescent="0.25">
      <c r="A3490">
        <v>4836</v>
      </c>
      <c r="B3490" t="s">
        <v>27</v>
      </c>
      <c r="C3490" t="s">
        <v>402</v>
      </c>
      <c r="D3490" t="s">
        <v>403</v>
      </c>
      <c r="G3490" t="s">
        <v>384</v>
      </c>
      <c r="H3490" t="s">
        <v>9880</v>
      </c>
      <c r="I3490" s="4">
        <v>45443.875</v>
      </c>
      <c r="K3490" t="s">
        <v>743</v>
      </c>
      <c r="L3490" s="5"/>
      <c r="M3490" s="5" t="s">
        <v>8423</v>
      </c>
      <c r="N3490" t="s">
        <v>82</v>
      </c>
      <c r="O3490" t="s">
        <v>9881</v>
      </c>
      <c r="R3490">
        <v>1</v>
      </c>
      <c r="T3490" s="5"/>
      <c r="W3490">
        <v>270</v>
      </c>
      <c r="X3490" t="s">
        <v>8412</v>
      </c>
      <c r="Y3490" t="str">
        <f>VLOOKUP(C3490,'[1]DBS_KPY Sorumlular'!A:C,2,FALSE)</f>
        <v>Tayfun VİÇE</v>
      </c>
      <c r="Z3490" t="str">
        <f>VLOOKUP(C3490,'[1]DBS_KPY Sorumlular'!A:C,3,FALSE)</f>
        <v>Mehmet Ali YAVUZ</v>
      </c>
      <c r="AA3490" t="str">
        <f>VLOOKUP(K3490,[1]!Tablo3[#Data],2,FALSE)</f>
        <v>Kadir TOPÇU</v>
      </c>
    </row>
    <row r="3491" spans="1:27" x14ac:dyDescent="0.25">
      <c r="A3491">
        <v>4837</v>
      </c>
      <c r="B3491" t="s">
        <v>27</v>
      </c>
      <c r="C3491" t="s">
        <v>402</v>
      </c>
      <c r="D3491" t="s">
        <v>403</v>
      </c>
      <c r="G3491" t="s">
        <v>384</v>
      </c>
      <c r="H3491" t="s">
        <v>9882</v>
      </c>
      <c r="I3491" s="4">
        <v>45443.875</v>
      </c>
      <c r="K3491" t="s">
        <v>743</v>
      </c>
      <c r="L3491" s="5"/>
      <c r="M3491" s="5" t="s">
        <v>8423</v>
      </c>
      <c r="N3491" t="s">
        <v>82</v>
      </c>
      <c r="O3491" t="s">
        <v>9883</v>
      </c>
      <c r="R3491">
        <v>1</v>
      </c>
      <c r="T3491" s="5"/>
      <c r="W3491">
        <v>270</v>
      </c>
      <c r="X3491" t="s">
        <v>8412</v>
      </c>
      <c r="Y3491" t="str">
        <f>VLOOKUP(C3491,'[1]DBS_KPY Sorumlular'!A:C,2,FALSE)</f>
        <v>Tayfun VİÇE</v>
      </c>
      <c r="Z3491" t="str">
        <f>VLOOKUP(C3491,'[1]DBS_KPY Sorumlular'!A:C,3,FALSE)</f>
        <v>Mehmet Ali YAVUZ</v>
      </c>
      <c r="AA3491" t="str">
        <f>VLOOKUP(K3491,[1]!Tablo3[#Data],2,FALSE)</f>
        <v>Kadir TOPÇU</v>
      </c>
    </row>
    <row r="3492" spans="1:27" x14ac:dyDescent="0.25">
      <c r="A3492">
        <v>4838</v>
      </c>
      <c r="B3492" t="s">
        <v>27</v>
      </c>
      <c r="C3492" t="s">
        <v>402</v>
      </c>
      <c r="D3492" t="s">
        <v>403</v>
      </c>
      <c r="G3492" t="s">
        <v>384</v>
      </c>
      <c r="H3492" t="s">
        <v>9884</v>
      </c>
      <c r="I3492" s="4">
        <v>45443.875</v>
      </c>
      <c r="K3492" t="s">
        <v>743</v>
      </c>
      <c r="L3492" s="5"/>
      <c r="M3492" s="5" t="s">
        <v>8423</v>
      </c>
      <c r="N3492" t="s">
        <v>82</v>
      </c>
      <c r="O3492" t="s">
        <v>9885</v>
      </c>
      <c r="R3492">
        <v>1</v>
      </c>
      <c r="T3492" s="5"/>
      <c r="W3492">
        <v>270</v>
      </c>
      <c r="X3492" t="s">
        <v>8412</v>
      </c>
      <c r="Y3492" t="str">
        <f>VLOOKUP(C3492,'[1]DBS_KPY Sorumlular'!A:C,2,FALSE)</f>
        <v>Tayfun VİÇE</v>
      </c>
      <c r="Z3492" t="str">
        <f>VLOOKUP(C3492,'[1]DBS_KPY Sorumlular'!A:C,3,FALSE)</f>
        <v>Mehmet Ali YAVUZ</v>
      </c>
      <c r="AA3492" t="str">
        <f>VLOOKUP(K3492,[1]!Tablo3[#Data],2,FALSE)</f>
        <v>Kadir TOPÇU</v>
      </c>
    </row>
    <row r="3493" spans="1:27" x14ac:dyDescent="0.25">
      <c r="A3493">
        <v>4839</v>
      </c>
      <c r="B3493" t="s">
        <v>27</v>
      </c>
      <c r="C3493" t="s">
        <v>402</v>
      </c>
      <c r="D3493" t="s">
        <v>403</v>
      </c>
      <c r="G3493" t="s">
        <v>384</v>
      </c>
      <c r="H3493" t="s">
        <v>9886</v>
      </c>
      <c r="I3493" s="4">
        <v>45443.875</v>
      </c>
      <c r="K3493" t="s">
        <v>743</v>
      </c>
      <c r="L3493" s="5"/>
      <c r="M3493" s="5" t="s">
        <v>8423</v>
      </c>
      <c r="N3493" t="s">
        <v>82</v>
      </c>
      <c r="O3493" t="s">
        <v>9887</v>
      </c>
      <c r="R3493">
        <v>1</v>
      </c>
      <c r="T3493" s="5"/>
      <c r="W3493">
        <v>270</v>
      </c>
      <c r="X3493" t="s">
        <v>8412</v>
      </c>
      <c r="Y3493" t="str">
        <f>VLOOKUP(C3493,'[1]DBS_KPY Sorumlular'!A:C,2,FALSE)</f>
        <v>Tayfun VİÇE</v>
      </c>
      <c r="Z3493" t="str">
        <f>VLOOKUP(C3493,'[1]DBS_KPY Sorumlular'!A:C,3,FALSE)</f>
        <v>Mehmet Ali YAVUZ</v>
      </c>
      <c r="AA3493" t="str">
        <f>VLOOKUP(K3493,[1]!Tablo3[#Data],2,FALSE)</f>
        <v>Kadir TOPÇU</v>
      </c>
    </row>
    <row r="3494" spans="1:27" x14ac:dyDescent="0.25">
      <c r="A3494">
        <v>4840</v>
      </c>
      <c r="B3494" t="s">
        <v>27</v>
      </c>
      <c r="C3494" t="s">
        <v>402</v>
      </c>
      <c r="D3494" t="s">
        <v>403</v>
      </c>
      <c r="G3494" t="s">
        <v>384</v>
      </c>
      <c r="H3494" t="s">
        <v>9888</v>
      </c>
      <c r="I3494" s="4">
        <v>45443.875</v>
      </c>
      <c r="K3494" t="s">
        <v>743</v>
      </c>
      <c r="L3494" s="5"/>
      <c r="M3494" s="5" t="s">
        <v>8423</v>
      </c>
      <c r="N3494" t="s">
        <v>82</v>
      </c>
      <c r="O3494" t="s">
        <v>9889</v>
      </c>
      <c r="R3494">
        <v>1</v>
      </c>
      <c r="T3494" s="5"/>
      <c r="W3494">
        <v>270</v>
      </c>
      <c r="X3494" t="s">
        <v>8412</v>
      </c>
      <c r="Y3494" t="str">
        <f>VLOOKUP(C3494,'[1]DBS_KPY Sorumlular'!A:C,2,FALSE)</f>
        <v>Tayfun VİÇE</v>
      </c>
      <c r="Z3494" t="str">
        <f>VLOOKUP(C3494,'[1]DBS_KPY Sorumlular'!A:C,3,FALSE)</f>
        <v>Mehmet Ali YAVUZ</v>
      </c>
      <c r="AA3494" t="str">
        <f>VLOOKUP(K3494,[1]!Tablo3[#Data],2,FALSE)</f>
        <v>Kadir TOPÇU</v>
      </c>
    </row>
    <row r="3495" spans="1:27" x14ac:dyDescent="0.25">
      <c r="A3495">
        <v>4841</v>
      </c>
      <c r="B3495" t="s">
        <v>27</v>
      </c>
      <c r="C3495" t="s">
        <v>402</v>
      </c>
      <c r="D3495" t="s">
        <v>403</v>
      </c>
      <c r="G3495" t="s">
        <v>384</v>
      </c>
      <c r="H3495" t="s">
        <v>9890</v>
      </c>
      <c r="I3495" s="4">
        <v>45443.875</v>
      </c>
      <c r="K3495" t="s">
        <v>743</v>
      </c>
      <c r="L3495" s="5"/>
      <c r="M3495" s="5" t="s">
        <v>8423</v>
      </c>
      <c r="N3495" t="s">
        <v>82</v>
      </c>
      <c r="O3495" t="s">
        <v>9891</v>
      </c>
      <c r="R3495">
        <v>1</v>
      </c>
      <c r="T3495" s="5"/>
      <c r="W3495">
        <v>270</v>
      </c>
      <c r="X3495" t="s">
        <v>8412</v>
      </c>
      <c r="Y3495" t="str">
        <f>VLOOKUP(C3495,'[1]DBS_KPY Sorumlular'!A:C,2,FALSE)</f>
        <v>Tayfun VİÇE</v>
      </c>
      <c r="Z3495" t="str">
        <f>VLOOKUP(C3495,'[1]DBS_KPY Sorumlular'!A:C,3,FALSE)</f>
        <v>Mehmet Ali YAVUZ</v>
      </c>
      <c r="AA3495" t="str">
        <f>VLOOKUP(K3495,[1]!Tablo3[#Data],2,FALSE)</f>
        <v>Kadir TOPÇU</v>
      </c>
    </row>
    <row r="3496" spans="1:27" x14ac:dyDescent="0.25">
      <c r="A3496">
        <v>4842</v>
      </c>
      <c r="B3496" t="s">
        <v>27</v>
      </c>
      <c r="C3496" t="s">
        <v>402</v>
      </c>
      <c r="D3496" t="s">
        <v>403</v>
      </c>
      <c r="G3496" t="s">
        <v>384</v>
      </c>
      <c r="H3496" t="s">
        <v>9892</v>
      </c>
      <c r="I3496" s="4">
        <v>45443.875</v>
      </c>
      <c r="K3496" t="s">
        <v>743</v>
      </c>
      <c r="L3496" s="5"/>
      <c r="M3496" s="5" t="s">
        <v>8423</v>
      </c>
      <c r="N3496" t="s">
        <v>82</v>
      </c>
      <c r="O3496" t="s">
        <v>9893</v>
      </c>
      <c r="R3496">
        <v>1</v>
      </c>
      <c r="T3496" s="5"/>
      <c r="W3496">
        <v>270</v>
      </c>
      <c r="X3496" t="s">
        <v>8412</v>
      </c>
      <c r="Y3496" t="str">
        <f>VLOOKUP(C3496,'[1]DBS_KPY Sorumlular'!A:C,2,FALSE)</f>
        <v>Tayfun VİÇE</v>
      </c>
      <c r="Z3496" t="str">
        <f>VLOOKUP(C3496,'[1]DBS_KPY Sorumlular'!A:C,3,FALSE)</f>
        <v>Mehmet Ali YAVUZ</v>
      </c>
      <c r="AA3496" t="str">
        <f>VLOOKUP(K3496,[1]!Tablo3[#Data],2,FALSE)</f>
        <v>Kadir TOPÇU</v>
      </c>
    </row>
    <row r="3497" spans="1:27" x14ac:dyDescent="0.25">
      <c r="A3497">
        <v>4843</v>
      </c>
      <c r="B3497" t="s">
        <v>27</v>
      </c>
      <c r="C3497" t="s">
        <v>402</v>
      </c>
      <c r="D3497" t="s">
        <v>403</v>
      </c>
      <c r="G3497" t="s">
        <v>384</v>
      </c>
      <c r="H3497" t="s">
        <v>9894</v>
      </c>
      <c r="I3497" s="4">
        <v>45443.875</v>
      </c>
      <c r="K3497" t="s">
        <v>743</v>
      </c>
      <c r="L3497" s="5"/>
      <c r="M3497" s="5" t="s">
        <v>8423</v>
      </c>
      <c r="N3497" t="s">
        <v>82</v>
      </c>
      <c r="O3497" t="s">
        <v>9895</v>
      </c>
      <c r="R3497">
        <v>1</v>
      </c>
      <c r="T3497" s="5"/>
      <c r="W3497">
        <v>270</v>
      </c>
      <c r="X3497" t="s">
        <v>8412</v>
      </c>
      <c r="Y3497" t="str">
        <f>VLOOKUP(C3497,'[1]DBS_KPY Sorumlular'!A:C,2,FALSE)</f>
        <v>Tayfun VİÇE</v>
      </c>
      <c r="Z3497" t="str">
        <f>VLOOKUP(C3497,'[1]DBS_KPY Sorumlular'!A:C,3,FALSE)</f>
        <v>Mehmet Ali YAVUZ</v>
      </c>
      <c r="AA3497" t="str">
        <f>VLOOKUP(K3497,[1]!Tablo3[#Data],2,FALSE)</f>
        <v>Kadir TOPÇU</v>
      </c>
    </row>
    <row r="3498" spans="1:27" x14ac:dyDescent="0.25">
      <c r="A3498">
        <v>4844</v>
      </c>
      <c r="B3498" t="s">
        <v>27</v>
      </c>
      <c r="C3498" t="s">
        <v>402</v>
      </c>
      <c r="D3498" t="s">
        <v>403</v>
      </c>
      <c r="G3498" t="s">
        <v>384</v>
      </c>
      <c r="H3498" t="s">
        <v>9896</v>
      </c>
      <c r="I3498" s="4">
        <v>45443.875</v>
      </c>
      <c r="K3498" t="s">
        <v>743</v>
      </c>
      <c r="L3498" s="5"/>
      <c r="M3498" s="5" t="s">
        <v>8423</v>
      </c>
      <c r="N3498" t="s">
        <v>82</v>
      </c>
      <c r="O3498" t="s">
        <v>9897</v>
      </c>
      <c r="R3498">
        <v>1</v>
      </c>
      <c r="T3498" s="5"/>
      <c r="W3498">
        <v>270</v>
      </c>
      <c r="X3498" t="s">
        <v>8412</v>
      </c>
      <c r="Y3498" t="str">
        <f>VLOOKUP(C3498,'[1]DBS_KPY Sorumlular'!A:C,2,FALSE)</f>
        <v>Tayfun VİÇE</v>
      </c>
      <c r="Z3498" t="str">
        <f>VLOOKUP(C3498,'[1]DBS_KPY Sorumlular'!A:C,3,FALSE)</f>
        <v>Mehmet Ali YAVUZ</v>
      </c>
      <c r="AA3498" t="str">
        <f>VLOOKUP(K3498,[1]!Tablo3[#Data],2,FALSE)</f>
        <v>Kadir TOPÇU</v>
      </c>
    </row>
    <row r="3499" spans="1:27" x14ac:dyDescent="0.25">
      <c r="A3499">
        <v>4845</v>
      </c>
      <c r="B3499" t="s">
        <v>27</v>
      </c>
      <c r="C3499" t="s">
        <v>402</v>
      </c>
      <c r="D3499" t="s">
        <v>403</v>
      </c>
      <c r="G3499" t="s">
        <v>384</v>
      </c>
      <c r="H3499" t="s">
        <v>9898</v>
      </c>
      <c r="I3499" s="4">
        <v>45443.875</v>
      </c>
      <c r="K3499" t="s">
        <v>743</v>
      </c>
      <c r="L3499" s="5"/>
      <c r="M3499" s="5" t="s">
        <v>8423</v>
      </c>
      <c r="N3499" t="s">
        <v>82</v>
      </c>
      <c r="O3499" t="s">
        <v>9899</v>
      </c>
      <c r="R3499">
        <v>1</v>
      </c>
      <c r="T3499" s="5"/>
      <c r="W3499">
        <v>270</v>
      </c>
      <c r="X3499" t="s">
        <v>8412</v>
      </c>
      <c r="Y3499" t="str">
        <f>VLOOKUP(C3499,'[1]DBS_KPY Sorumlular'!A:C,2,FALSE)</f>
        <v>Tayfun VİÇE</v>
      </c>
      <c r="Z3499" t="str">
        <f>VLOOKUP(C3499,'[1]DBS_KPY Sorumlular'!A:C,3,FALSE)</f>
        <v>Mehmet Ali YAVUZ</v>
      </c>
      <c r="AA3499" t="str">
        <f>VLOOKUP(K3499,[1]!Tablo3[#Data],2,FALSE)</f>
        <v>Kadir TOPÇU</v>
      </c>
    </row>
    <row r="3500" spans="1:27" x14ac:dyDescent="0.25">
      <c r="A3500">
        <v>4846</v>
      </c>
      <c r="B3500" t="s">
        <v>27</v>
      </c>
      <c r="C3500" t="s">
        <v>402</v>
      </c>
      <c r="D3500" t="s">
        <v>403</v>
      </c>
      <c r="G3500" t="s">
        <v>384</v>
      </c>
      <c r="H3500" t="s">
        <v>9900</v>
      </c>
      <c r="I3500" s="4">
        <v>45443.875</v>
      </c>
      <c r="K3500" t="s">
        <v>743</v>
      </c>
      <c r="L3500" s="5"/>
      <c r="M3500" s="5" t="s">
        <v>8423</v>
      </c>
      <c r="N3500" t="s">
        <v>82</v>
      </c>
      <c r="O3500" t="s">
        <v>9901</v>
      </c>
      <c r="R3500">
        <v>1</v>
      </c>
      <c r="T3500" s="5"/>
      <c r="W3500">
        <v>270</v>
      </c>
      <c r="X3500" t="s">
        <v>8412</v>
      </c>
      <c r="Y3500" t="str">
        <f>VLOOKUP(C3500,'[1]DBS_KPY Sorumlular'!A:C,2,FALSE)</f>
        <v>Tayfun VİÇE</v>
      </c>
      <c r="Z3500" t="str">
        <f>VLOOKUP(C3500,'[1]DBS_KPY Sorumlular'!A:C,3,FALSE)</f>
        <v>Mehmet Ali YAVUZ</v>
      </c>
      <c r="AA3500" t="str">
        <f>VLOOKUP(K3500,[1]!Tablo3[#Data],2,FALSE)</f>
        <v>Kadir TOPÇU</v>
      </c>
    </row>
    <row r="3501" spans="1:27" x14ac:dyDescent="0.25">
      <c r="A3501">
        <v>4847</v>
      </c>
      <c r="B3501" t="s">
        <v>27</v>
      </c>
      <c r="C3501" t="s">
        <v>402</v>
      </c>
      <c r="D3501" t="s">
        <v>403</v>
      </c>
      <c r="G3501" t="s">
        <v>384</v>
      </c>
      <c r="H3501" t="s">
        <v>9902</v>
      </c>
      <c r="I3501" s="4">
        <v>45443.875</v>
      </c>
      <c r="K3501" t="s">
        <v>743</v>
      </c>
      <c r="L3501" s="5"/>
      <c r="M3501" s="5" t="s">
        <v>8423</v>
      </c>
      <c r="N3501" t="s">
        <v>82</v>
      </c>
      <c r="O3501" t="s">
        <v>9903</v>
      </c>
      <c r="R3501">
        <v>1</v>
      </c>
      <c r="T3501" s="5"/>
      <c r="W3501">
        <v>270</v>
      </c>
      <c r="X3501" t="s">
        <v>8412</v>
      </c>
      <c r="Y3501" t="str">
        <f>VLOOKUP(C3501,'[1]DBS_KPY Sorumlular'!A:C,2,FALSE)</f>
        <v>Tayfun VİÇE</v>
      </c>
      <c r="Z3501" t="str">
        <f>VLOOKUP(C3501,'[1]DBS_KPY Sorumlular'!A:C,3,FALSE)</f>
        <v>Mehmet Ali YAVUZ</v>
      </c>
      <c r="AA3501" t="str">
        <f>VLOOKUP(K3501,[1]!Tablo3[#Data],2,FALSE)</f>
        <v>Kadir TOPÇU</v>
      </c>
    </row>
    <row r="3502" spans="1:27" x14ac:dyDescent="0.25">
      <c r="A3502">
        <v>4848</v>
      </c>
      <c r="B3502" t="s">
        <v>27</v>
      </c>
      <c r="C3502" t="s">
        <v>402</v>
      </c>
      <c r="D3502" t="s">
        <v>403</v>
      </c>
      <c r="G3502" t="s">
        <v>384</v>
      </c>
      <c r="H3502" t="s">
        <v>9904</v>
      </c>
      <c r="I3502" s="4">
        <v>45443.875</v>
      </c>
      <c r="K3502" t="s">
        <v>743</v>
      </c>
      <c r="L3502" s="5"/>
      <c r="M3502" s="5" t="s">
        <v>8423</v>
      </c>
      <c r="N3502" t="s">
        <v>82</v>
      </c>
      <c r="O3502" t="s">
        <v>9905</v>
      </c>
      <c r="R3502">
        <v>1</v>
      </c>
      <c r="T3502" s="5"/>
      <c r="W3502">
        <v>270</v>
      </c>
      <c r="X3502" t="s">
        <v>8412</v>
      </c>
      <c r="Y3502" t="str">
        <f>VLOOKUP(C3502,'[1]DBS_KPY Sorumlular'!A:C,2,FALSE)</f>
        <v>Tayfun VİÇE</v>
      </c>
      <c r="Z3502" t="str">
        <f>VLOOKUP(C3502,'[1]DBS_KPY Sorumlular'!A:C,3,FALSE)</f>
        <v>Mehmet Ali YAVUZ</v>
      </c>
      <c r="AA3502" t="str">
        <f>VLOOKUP(K3502,[1]!Tablo3[#Data],2,FALSE)</f>
        <v>Kadir TOPÇU</v>
      </c>
    </row>
    <row r="3503" spans="1:27" x14ac:dyDescent="0.25">
      <c r="A3503">
        <v>4849</v>
      </c>
      <c r="B3503" t="s">
        <v>27</v>
      </c>
      <c r="C3503" t="s">
        <v>402</v>
      </c>
      <c r="D3503" t="s">
        <v>403</v>
      </c>
      <c r="G3503" t="s">
        <v>384</v>
      </c>
      <c r="H3503" t="s">
        <v>9906</v>
      </c>
      <c r="I3503" s="4">
        <v>45443.875</v>
      </c>
      <c r="K3503" t="s">
        <v>743</v>
      </c>
      <c r="L3503" s="5"/>
      <c r="M3503" s="5" t="s">
        <v>8423</v>
      </c>
      <c r="N3503" t="s">
        <v>82</v>
      </c>
      <c r="O3503" t="s">
        <v>9907</v>
      </c>
      <c r="R3503">
        <v>1</v>
      </c>
      <c r="T3503" s="5"/>
      <c r="W3503">
        <v>270</v>
      </c>
      <c r="X3503" t="s">
        <v>8412</v>
      </c>
      <c r="Y3503" t="str">
        <f>VLOOKUP(C3503,'[1]DBS_KPY Sorumlular'!A:C,2,FALSE)</f>
        <v>Tayfun VİÇE</v>
      </c>
      <c r="Z3503" t="str">
        <f>VLOOKUP(C3503,'[1]DBS_KPY Sorumlular'!A:C,3,FALSE)</f>
        <v>Mehmet Ali YAVUZ</v>
      </c>
      <c r="AA3503" t="str">
        <f>VLOOKUP(K3503,[1]!Tablo3[#Data],2,FALSE)</f>
        <v>Kadir TOPÇU</v>
      </c>
    </row>
    <row r="3504" spans="1:27" x14ac:dyDescent="0.25">
      <c r="A3504">
        <v>4850</v>
      </c>
      <c r="B3504" t="s">
        <v>27</v>
      </c>
      <c r="C3504" t="s">
        <v>402</v>
      </c>
      <c r="D3504" t="s">
        <v>403</v>
      </c>
      <c r="G3504" t="s">
        <v>384</v>
      </c>
      <c r="H3504" t="s">
        <v>9908</v>
      </c>
      <c r="I3504" s="4">
        <v>45443.875</v>
      </c>
      <c r="K3504" t="s">
        <v>743</v>
      </c>
      <c r="L3504" s="5"/>
      <c r="M3504" s="5" t="s">
        <v>8423</v>
      </c>
      <c r="N3504" t="s">
        <v>82</v>
      </c>
      <c r="O3504" t="s">
        <v>9909</v>
      </c>
      <c r="R3504">
        <v>1</v>
      </c>
      <c r="T3504" s="5"/>
      <c r="W3504">
        <v>270</v>
      </c>
      <c r="X3504" t="s">
        <v>8412</v>
      </c>
      <c r="Y3504" t="str">
        <f>VLOOKUP(C3504,'[1]DBS_KPY Sorumlular'!A:C,2,FALSE)</f>
        <v>Tayfun VİÇE</v>
      </c>
      <c r="Z3504" t="str">
        <f>VLOOKUP(C3504,'[1]DBS_KPY Sorumlular'!A:C,3,FALSE)</f>
        <v>Mehmet Ali YAVUZ</v>
      </c>
      <c r="AA3504" t="str">
        <f>VLOOKUP(K3504,[1]!Tablo3[#Data],2,FALSE)</f>
        <v>Kadir TOPÇU</v>
      </c>
    </row>
    <row r="3505" spans="1:27" x14ac:dyDescent="0.25">
      <c r="A3505">
        <v>4851</v>
      </c>
      <c r="B3505" t="s">
        <v>27</v>
      </c>
      <c r="C3505" t="s">
        <v>402</v>
      </c>
      <c r="D3505" t="s">
        <v>403</v>
      </c>
      <c r="G3505" t="s">
        <v>384</v>
      </c>
      <c r="H3505" t="s">
        <v>9910</v>
      </c>
      <c r="I3505" s="4">
        <v>45443.875</v>
      </c>
      <c r="K3505" t="s">
        <v>743</v>
      </c>
      <c r="L3505" s="5"/>
      <c r="M3505" s="5" t="s">
        <v>8423</v>
      </c>
      <c r="N3505" t="s">
        <v>82</v>
      </c>
      <c r="O3505" t="s">
        <v>9911</v>
      </c>
      <c r="R3505">
        <v>1</v>
      </c>
      <c r="T3505" s="5"/>
      <c r="W3505">
        <v>270</v>
      </c>
      <c r="X3505" t="s">
        <v>8412</v>
      </c>
      <c r="Y3505" t="str">
        <f>VLOOKUP(C3505,'[1]DBS_KPY Sorumlular'!A:C,2,FALSE)</f>
        <v>Tayfun VİÇE</v>
      </c>
      <c r="Z3505" t="str">
        <f>VLOOKUP(C3505,'[1]DBS_KPY Sorumlular'!A:C,3,FALSE)</f>
        <v>Mehmet Ali YAVUZ</v>
      </c>
      <c r="AA3505" t="str">
        <f>VLOOKUP(K3505,[1]!Tablo3[#Data],2,FALSE)</f>
        <v>Kadir TOPÇU</v>
      </c>
    </row>
    <row r="3506" spans="1:27" x14ac:dyDescent="0.25">
      <c r="A3506">
        <v>4852</v>
      </c>
      <c r="B3506" t="s">
        <v>27</v>
      </c>
      <c r="C3506" t="s">
        <v>402</v>
      </c>
      <c r="D3506" t="s">
        <v>403</v>
      </c>
      <c r="G3506" t="s">
        <v>384</v>
      </c>
      <c r="H3506" t="s">
        <v>9912</v>
      </c>
      <c r="I3506" s="4">
        <v>45443.875</v>
      </c>
      <c r="K3506" t="s">
        <v>743</v>
      </c>
      <c r="L3506" s="5"/>
      <c r="M3506" s="5" t="s">
        <v>8423</v>
      </c>
      <c r="N3506" t="s">
        <v>82</v>
      </c>
      <c r="O3506" t="s">
        <v>9913</v>
      </c>
      <c r="R3506">
        <v>1</v>
      </c>
      <c r="T3506" s="5"/>
      <c r="W3506">
        <v>270</v>
      </c>
      <c r="X3506" t="s">
        <v>8412</v>
      </c>
      <c r="Y3506" t="str">
        <f>VLOOKUP(C3506,'[1]DBS_KPY Sorumlular'!A:C,2,FALSE)</f>
        <v>Tayfun VİÇE</v>
      </c>
      <c r="Z3506" t="str">
        <f>VLOOKUP(C3506,'[1]DBS_KPY Sorumlular'!A:C,3,FALSE)</f>
        <v>Mehmet Ali YAVUZ</v>
      </c>
      <c r="AA3506" t="str">
        <f>VLOOKUP(K3506,[1]!Tablo3[#Data],2,FALSE)</f>
        <v>Kadir TOPÇU</v>
      </c>
    </row>
    <row r="3507" spans="1:27" x14ac:dyDescent="0.25">
      <c r="A3507">
        <v>4853</v>
      </c>
      <c r="B3507" t="s">
        <v>27</v>
      </c>
      <c r="C3507" t="s">
        <v>402</v>
      </c>
      <c r="D3507" t="s">
        <v>403</v>
      </c>
      <c r="G3507" t="s">
        <v>384</v>
      </c>
      <c r="H3507" t="s">
        <v>9914</v>
      </c>
      <c r="I3507" s="4">
        <v>45443.875</v>
      </c>
      <c r="K3507" t="s">
        <v>743</v>
      </c>
      <c r="L3507" s="5"/>
      <c r="M3507" s="5" t="s">
        <v>8423</v>
      </c>
      <c r="N3507" t="s">
        <v>82</v>
      </c>
      <c r="O3507" t="s">
        <v>9915</v>
      </c>
      <c r="R3507">
        <v>1</v>
      </c>
      <c r="T3507" s="5"/>
      <c r="W3507">
        <v>270</v>
      </c>
      <c r="X3507" t="s">
        <v>8412</v>
      </c>
      <c r="Y3507" t="str">
        <f>VLOOKUP(C3507,'[1]DBS_KPY Sorumlular'!A:C,2,FALSE)</f>
        <v>Tayfun VİÇE</v>
      </c>
      <c r="Z3507" t="str">
        <f>VLOOKUP(C3507,'[1]DBS_KPY Sorumlular'!A:C,3,FALSE)</f>
        <v>Mehmet Ali YAVUZ</v>
      </c>
      <c r="AA3507" t="str">
        <f>VLOOKUP(K3507,[1]!Tablo3[#Data],2,FALSE)</f>
        <v>Kadir TOPÇU</v>
      </c>
    </row>
    <row r="3508" spans="1:27" x14ac:dyDescent="0.25">
      <c r="A3508">
        <v>4854</v>
      </c>
      <c r="B3508" t="s">
        <v>27</v>
      </c>
      <c r="C3508" t="s">
        <v>402</v>
      </c>
      <c r="D3508" t="s">
        <v>403</v>
      </c>
      <c r="G3508" t="s">
        <v>384</v>
      </c>
      <c r="H3508" t="s">
        <v>9916</v>
      </c>
      <c r="I3508" s="4">
        <v>45656.875</v>
      </c>
      <c r="K3508" t="s">
        <v>743</v>
      </c>
      <c r="L3508" s="5"/>
      <c r="M3508" s="5"/>
      <c r="N3508" t="s">
        <v>82</v>
      </c>
      <c r="O3508" t="s">
        <v>9917</v>
      </c>
      <c r="R3508">
        <v>1</v>
      </c>
      <c r="T3508" s="5"/>
      <c r="W3508">
        <v>270</v>
      </c>
      <c r="X3508" t="s">
        <v>8412</v>
      </c>
      <c r="Y3508" t="str">
        <f>VLOOKUP(C3508,'[1]DBS_KPY Sorumlular'!A:C,2,FALSE)</f>
        <v>Tayfun VİÇE</v>
      </c>
      <c r="Z3508" t="str">
        <f>VLOOKUP(C3508,'[1]DBS_KPY Sorumlular'!A:C,3,FALSE)</f>
        <v>Mehmet Ali YAVUZ</v>
      </c>
      <c r="AA3508" t="str">
        <f>VLOOKUP(K3508,[1]!Tablo3[#Data],2,FALSE)</f>
        <v>Kadir TOPÇU</v>
      </c>
    </row>
    <row r="3509" spans="1:27" x14ac:dyDescent="0.25">
      <c r="A3509">
        <v>4855</v>
      </c>
      <c r="B3509" t="s">
        <v>27</v>
      </c>
      <c r="C3509" t="s">
        <v>402</v>
      </c>
      <c r="D3509" t="s">
        <v>403</v>
      </c>
      <c r="G3509" t="s">
        <v>384</v>
      </c>
      <c r="H3509" t="s">
        <v>9918</v>
      </c>
      <c r="I3509" s="4">
        <v>45656.875</v>
      </c>
      <c r="K3509" t="s">
        <v>743</v>
      </c>
      <c r="L3509" s="5"/>
      <c r="M3509" s="5"/>
      <c r="N3509" t="s">
        <v>82</v>
      </c>
      <c r="O3509" t="s">
        <v>9919</v>
      </c>
      <c r="R3509">
        <v>1</v>
      </c>
      <c r="T3509" s="5"/>
      <c r="W3509">
        <v>270</v>
      </c>
      <c r="X3509" t="s">
        <v>8412</v>
      </c>
      <c r="Y3509" t="str">
        <f>VLOOKUP(C3509,'[1]DBS_KPY Sorumlular'!A:C,2,FALSE)</f>
        <v>Tayfun VİÇE</v>
      </c>
      <c r="Z3509" t="str">
        <f>VLOOKUP(C3509,'[1]DBS_KPY Sorumlular'!A:C,3,FALSE)</f>
        <v>Mehmet Ali YAVUZ</v>
      </c>
      <c r="AA3509" t="str">
        <f>VLOOKUP(K3509,[1]!Tablo3[#Data],2,FALSE)</f>
        <v>Kadir TOPÇU</v>
      </c>
    </row>
    <row r="3510" spans="1:27" x14ac:dyDescent="0.25">
      <c r="A3510">
        <v>4856</v>
      </c>
      <c r="B3510" t="s">
        <v>27</v>
      </c>
      <c r="C3510" t="s">
        <v>402</v>
      </c>
      <c r="D3510" t="s">
        <v>403</v>
      </c>
      <c r="G3510" t="s">
        <v>384</v>
      </c>
      <c r="H3510" t="s">
        <v>9920</v>
      </c>
      <c r="I3510" s="4">
        <v>45656.875</v>
      </c>
      <c r="K3510" t="s">
        <v>743</v>
      </c>
      <c r="L3510" s="5"/>
      <c r="M3510" s="5"/>
      <c r="N3510" t="s">
        <v>82</v>
      </c>
      <c r="O3510" t="s">
        <v>9921</v>
      </c>
      <c r="R3510">
        <v>1</v>
      </c>
      <c r="T3510" s="5"/>
      <c r="W3510">
        <v>270</v>
      </c>
      <c r="X3510" t="s">
        <v>8412</v>
      </c>
      <c r="Y3510" t="str">
        <f>VLOOKUP(C3510,'[1]DBS_KPY Sorumlular'!A:C,2,FALSE)</f>
        <v>Tayfun VİÇE</v>
      </c>
      <c r="Z3510" t="str">
        <f>VLOOKUP(C3510,'[1]DBS_KPY Sorumlular'!A:C,3,FALSE)</f>
        <v>Mehmet Ali YAVUZ</v>
      </c>
      <c r="AA3510" t="str">
        <f>VLOOKUP(K3510,[1]!Tablo3[#Data],2,FALSE)</f>
        <v>Kadir TOPÇU</v>
      </c>
    </row>
    <row r="3511" spans="1:27" x14ac:dyDescent="0.25">
      <c r="A3511">
        <v>4857</v>
      </c>
      <c r="B3511" t="s">
        <v>27</v>
      </c>
      <c r="C3511" t="s">
        <v>402</v>
      </c>
      <c r="D3511" t="s">
        <v>403</v>
      </c>
      <c r="G3511" t="s">
        <v>384</v>
      </c>
      <c r="H3511" t="s">
        <v>9922</v>
      </c>
      <c r="I3511" s="4">
        <v>45656.875</v>
      </c>
      <c r="K3511" t="s">
        <v>743</v>
      </c>
      <c r="L3511" s="5"/>
      <c r="M3511" s="5"/>
      <c r="N3511" t="s">
        <v>82</v>
      </c>
      <c r="O3511" t="s">
        <v>9923</v>
      </c>
      <c r="R3511">
        <v>1</v>
      </c>
      <c r="T3511" s="5"/>
      <c r="W3511">
        <v>270</v>
      </c>
      <c r="X3511" t="s">
        <v>8412</v>
      </c>
      <c r="Y3511" t="str">
        <f>VLOOKUP(C3511,'[1]DBS_KPY Sorumlular'!A:C,2,FALSE)</f>
        <v>Tayfun VİÇE</v>
      </c>
      <c r="Z3511" t="str">
        <f>VLOOKUP(C3511,'[1]DBS_KPY Sorumlular'!A:C,3,FALSE)</f>
        <v>Mehmet Ali YAVUZ</v>
      </c>
      <c r="AA3511" t="str">
        <f>VLOOKUP(K3511,[1]!Tablo3[#Data],2,FALSE)</f>
        <v>Kadir TOPÇU</v>
      </c>
    </row>
    <row r="3512" spans="1:27" x14ac:dyDescent="0.25">
      <c r="A3512">
        <v>4858</v>
      </c>
      <c r="B3512" t="s">
        <v>27</v>
      </c>
      <c r="C3512" t="s">
        <v>402</v>
      </c>
      <c r="D3512" t="s">
        <v>403</v>
      </c>
      <c r="G3512" t="s">
        <v>384</v>
      </c>
      <c r="H3512" t="s">
        <v>9924</v>
      </c>
      <c r="I3512" s="4">
        <v>45656.875</v>
      </c>
      <c r="K3512" t="s">
        <v>743</v>
      </c>
      <c r="L3512" s="5"/>
      <c r="M3512" s="5"/>
      <c r="N3512" t="s">
        <v>82</v>
      </c>
      <c r="O3512" t="s">
        <v>9925</v>
      </c>
      <c r="R3512">
        <v>1</v>
      </c>
      <c r="T3512" s="5"/>
      <c r="W3512">
        <v>270</v>
      </c>
      <c r="X3512" t="s">
        <v>8412</v>
      </c>
      <c r="Y3512" t="str">
        <f>VLOOKUP(C3512,'[1]DBS_KPY Sorumlular'!A:C,2,FALSE)</f>
        <v>Tayfun VİÇE</v>
      </c>
      <c r="Z3512" t="str">
        <f>VLOOKUP(C3512,'[1]DBS_KPY Sorumlular'!A:C,3,FALSE)</f>
        <v>Mehmet Ali YAVUZ</v>
      </c>
      <c r="AA3512" t="str">
        <f>VLOOKUP(K3512,[1]!Tablo3[#Data],2,FALSE)</f>
        <v>Kadir TOPÇU</v>
      </c>
    </row>
    <row r="3513" spans="1:27" x14ac:dyDescent="0.25">
      <c r="A3513">
        <v>4859</v>
      </c>
      <c r="B3513" t="s">
        <v>27</v>
      </c>
      <c r="C3513" t="s">
        <v>402</v>
      </c>
      <c r="D3513" t="s">
        <v>403</v>
      </c>
      <c r="G3513" t="s">
        <v>384</v>
      </c>
      <c r="H3513" t="s">
        <v>9926</v>
      </c>
      <c r="I3513" s="4">
        <v>45656.875</v>
      </c>
      <c r="K3513" t="s">
        <v>743</v>
      </c>
      <c r="L3513" s="5"/>
      <c r="M3513" s="5"/>
      <c r="N3513" t="s">
        <v>82</v>
      </c>
      <c r="O3513" t="s">
        <v>9927</v>
      </c>
      <c r="R3513">
        <v>1</v>
      </c>
      <c r="T3513" s="5"/>
      <c r="W3513">
        <v>270</v>
      </c>
      <c r="X3513" t="s">
        <v>8412</v>
      </c>
      <c r="Y3513" t="str">
        <f>VLOOKUP(C3513,'[1]DBS_KPY Sorumlular'!A:C,2,FALSE)</f>
        <v>Tayfun VİÇE</v>
      </c>
      <c r="Z3513" t="str">
        <f>VLOOKUP(C3513,'[1]DBS_KPY Sorumlular'!A:C,3,FALSE)</f>
        <v>Mehmet Ali YAVUZ</v>
      </c>
      <c r="AA3513" t="str">
        <f>VLOOKUP(K3513,[1]!Tablo3[#Data],2,FALSE)</f>
        <v>Kadir TOPÇU</v>
      </c>
    </row>
    <row r="3514" spans="1:27" x14ac:dyDescent="0.25">
      <c r="A3514">
        <v>4860</v>
      </c>
      <c r="B3514" t="s">
        <v>27</v>
      </c>
      <c r="C3514" t="s">
        <v>402</v>
      </c>
      <c r="D3514" t="s">
        <v>403</v>
      </c>
      <c r="G3514" t="s">
        <v>384</v>
      </c>
      <c r="H3514" t="s">
        <v>9928</v>
      </c>
      <c r="I3514" s="4">
        <v>45656.875</v>
      </c>
      <c r="K3514" t="s">
        <v>743</v>
      </c>
      <c r="L3514" s="5"/>
      <c r="M3514" s="5"/>
      <c r="N3514" t="s">
        <v>82</v>
      </c>
      <c r="O3514" t="s">
        <v>9929</v>
      </c>
      <c r="R3514">
        <v>1</v>
      </c>
      <c r="T3514" s="5"/>
      <c r="W3514">
        <v>270</v>
      </c>
      <c r="X3514" t="s">
        <v>8412</v>
      </c>
      <c r="Y3514" t="str">
        <f>VLOOKUP(C3514,'[1]DBS_KPY Sorumlular'!A:C,2,FALSE)</f>
        <v>Tayfun VİÇE</v>
      </c>
      <c r="Z3514" t="str">
        <f>VLOOKUP(C3514,'[1]DBS_KPY Sorumlular'!A:C,3,FALSE)</f>
        <v>Mehmet Ali YAVUZ</v>
      </c>
      <c r="AA3514" t="str">
        <f>VLOOKUP(K3514,[1]!Tablo3[#Data],2,FALSE)</f>
        <v>Kadir TOPÇU</v>
      </c>
    </row>
    <row r="3515" spans="1:27" x14ac:dyDescent="0.25">
      <c r="A3515">
        <v>4862</v>
      </c>
      <c r="B3515" t="s">
        <v>27</v>
      </c>
      <c r="C3515" t="s">
        <v>402</v>
      </c>
      <c r="D3515" t="s">
        <v>403</v>
      </c>
      <c r="G3515" t="s">
        <v>384</v>
      </c>
      <c r="H3515" t="s">
        <v>9930</v>
      </c>
      <c r="I3515" s="4">
        <v>45656.875</v>
      </c>
      <c r="K3515" t="s">
        <v>743</v>
      </c>
      <c r="L3515" s="5"/>
      <c r="M3515" s="5"/>
      <c r="N3515" t="s">
        <v>82</v>
      </c>
      <c r="O3515" t="s">
        <v>9931</v>
      </c>
      <c r="R3515">
        <v>1</v>
      </c>
      <c r="T3515" s="5"/>
      <c r="W3515">
        <v>270</v>
      </c>
      <c r="X3515" t="s">
        <v>8412</v>
      </c>
      <c r="Y3515" t="str">
        <f>VLOOKUP(C3515,'[1]DBS_KPY Sorumlular'!A:C,2,FALSE)</f>
        <v>Tayfun VİÇE</v>
      </c>
      <c r="Z3515" t="str">
        <f>VLOOKUP(C3515,'[1]DBS_KPY Sorumlular'!A:C,3,FALSE)</f>
        <v>Mehmet Ali YAVUZ</v>
      </c>
      <c r="AA3515" t="str">
        <f>VLOOKUP(K3515,[1]!Tablo3[#Data],2,FALSE)</f>
        <v>Kadir TOPÇU</v>
      </c>
    </row>
    <row r="3516" spans="1:27" x14ac:dyDescent="0.25">
      <c r="A3516">
        <v>4863</v>
      </c>
      <c r="B3516" t="s">
        <v>27</v>
      </c>
      <c r="C3516" t="s">
        <v>402</v>
      </c>
      <c r="D3516" t="s">
        <v>403</v>
      </c>
      <c r="G3516" t="s">
        <v>384</v>
      </c>
      <c r="H3516" t="s">
        <v>9932</v>
      </c>
      <c r="I3516" s="4">
        <v>45656.875</v>
      </c>
      <c r="K3516" t="s">
        <v>743</v>
      </c>
      <c r="L3516" s="5"/>
      <c r="M3516" s="5"/>
      <c r="N3516" t="s">
        <v>82</v>
      </c>
      <c r="O3516" t="s">
        <v>9933</v>
      </c>
      <c r="R3516">
        <v>1</v>
      </c>
      <c r="T3516" s="5"/>
      <c r="W3516">
        <v>270</v>
      </c>
      <c r="X3516" t="s">
        <v>8412</v>
      </c>
      <c r="Y3516" t="str">
        <f>VLOOKUP(C3516,'[1]DBS_KPY Sorumlular'!A:C,2,FALSE)</f>
        <v>Tayfun VİÇE</v>
      </c>
      <c r="Z3516" t="str">
        <f>VLOOKUP(C3516,'[1]DBS_KPY Sorumlular'!A:C,3,FALSE)</f>
        <v>Mehmet Ali YAVUZ</v>
      </c>
      <c r="AA3516" t="str">
        <f>VLOOKUP(K3516,[1]!Tablo3[#Data],2,FALSE)</f>
        <v>Kadir TOPÇU</v>
      </c>
    </row>
    <row r="3517" spans="1:27" x14ac:dyDescent="0.25">
      <c r="A3517">
        <v>4864</v>
      </c>
      <c r="B3517" t="s">
        <v>27</v>
      </c>
      <c r="C3517" t="s">
        <v>402</v>
      </c>
      <c r="D3517" t="s">
        <v>403</v>
      </c>
      <c r="G3517" t="s">
        <v>384</v>
      </c>
      <c r="H3517" t="s">
        <v>9934</v>
      </c>
      <c r="I3517" s="4">
        <v>45656.875</v>
      </c>
      <c r="K3517" t="s">
        <v>743</v>
      </c>
      <c r="L3517" s="5"/>
      <c r="M3517" s="5"/>
      <c r="N3517" t="s">
        <v>82</v>
      </c>
      <c r="O3517" t="s">
        <v>9935</v>
      </c>
      <c r="R3517">
        <v>1</v>
      </c>
      <c r="T3517" s="5"/>
      <c r="W3517">
        <v>270</v>
      </c>
      <c r="X3517" t="s">
        <v>8412</v>
      </c>
      <c r="Y3517" t="str">
        <f>VLOOKUP(C3517,'[1]DBS_KPY Sorumlular'!A:C,2,FALSE)</f>
        <v>Tayfun VİÇE</v>
      </c>
      <c r="Z3517" t="str">
        <f>VLOOKUP(C3517,'[1]DBS_KPY Sorumlular'!A:C,3,FALSE)</f>
        <v>Mehmet Ali YAVUZ</v>
      </c>
      <c r="AA3517" t="str">
        <f>VLOOKUP(K3517,[1]!Tablo3[#Data],2,FALSE)</f>
        <v>Kadir TOPÇU</v>
      </c>
    </row>
    <row r="3518" spans="1:27" x14ac:dyDescent="0.25">
      <c r="A3518">
        <v>4865</v>
      </c>
      <c r="B3518" t="s">
        <v>27</v>
      </c>
      <c r="C3518" t="s">
        <v>402</v>
      </c>
      <c r="D3518" t="s">
        <v>403</v>
      </c>
      <c r="G3518" t="s">
        <v>384</v>
      </c>
      <c r="H3518" t="s">
        <v>9936</v>
      </c>
      <c r="I3518" s="4">
        <v>45656.875</v>
      </c>
      <c r="K3518" t="s">
        <v>743</v>
      </c>
      <c r="L3518" s="5"/>
      <c r="M3518" s="5"/>
      <c r="N3518" t="s">
        <v>82</v>
      </c>
      <c r="O3518" t="s">
        <v>9937</v>
      </c>
      <c r="R3518">
        <v>1</v>
      </c>
      <c r="T3518" s="5"/>
      <c r="W3518">
        <v>270</v>
      </c>
      <c r="X3518" t="s">
        <v>8412</v>
      </c>
      <c r="Y3518" t="str">
        <f>VLOOKUP(C3518,'[1]DBS_KPY Sorumlular'!A:C,2,FALSE)</f>
        <v>Tayfun VİÇE</v>
      </c>
      <c r="Z3518" t="str">
        <f>VLOOKUP(C3518,'[1]DBS_KPY Sorumlular'!A:C,3,FALSE)</f>
        <v>Mehmet Ali YAVUZ</v>
      </c>
      <c r="AA3518" t="str">
        <f>VLOOKUP(K3518,[1]!Tablo3[#Data],2,FALSE)</f>
        <v>Kadir TOPÇU</v>
      </c>
    </row>
    <row r="3519" spans="1:27" x14ac:dyDescent="0.25">
      <c r="A3519">
        <v>4866</v>
      </c>
      <c r="B3519" t="s">
        <v>27</v>
      </c>
      <c r="C3519" t="s">
        <v>402</v>
      </c>
      <c r="D3519" t="s">
        <v>403</v>
      </c>
      <c r="G3519" t="s">
        <v>384</v>
      </c>
      <c r="H3519" t="s">
        <v>9938</v>
      </c>
      <c r="I3519" s="4">
        <v>45656.875</v>
      </c>
      <c r="K3519" t="s">
        <v>743</v>
      </c>
      <c r="L3519" s="5"/>
      <c r="M3519" s="5"/>
      <c r="N3519" t="s">
        <v>82</v>
      </c>
      <c r="O3519" t="s">
        <v>9939</v>
      </c>
      <c r="R3519">
        <v>1</v>
      </c>
      <c r="T3519" s="5"/>
      <c r="W3519">
        <v>270</v>
      </c>
      <c r="X3519" t="s">
        <v>8412</v>
      </c>
      <c r="Y3519" t="str">
        <f>VLOOKUP(C3519,'[1]DBS_KPY Sorumlular'!A:C,2,FALSE)</f>
        <v>Tayfun VİÇE</v>
      </c>
      <c r="Z3519" t="str">
        <f>VLOOKUP(C3519,'[1]DBS_KPY Sorumlular'!A:C,3,FALSE)</f>
        <v>Mehmet Ali YAVUZ</v>
      </c>
      <c r="AA3519" t="str">
        <f>VLOOKUP(K3519,[1]!Tablo3[#Data],2,FALSE)</f>
        <v>Kadir TOPÇU</v>
      </c>
    </row>
    <row r="3520" spans="1:27" x14ac:dyDescent="0.25">
      <c r="A3520">
        <v>4867</v>
      </c>
      <c r="B3520" t="s">
        <v>27</v>
      </c>
      <c r="C3520" t="s">
        <v>402</v>
      </c>
      <c r="D3520" t="s">
        <v>403</v>
      </c>
      <c r="G3520" t="s">
        <v>384</v>
      </c>
      <c r="H3520" t="s">
        <v>9940</v>
      </c>
      <c r="I3520" s="4">
        <v>45656.875</v>
      </c>
      <c r="K3520" t="s">
        <v>743</v>
      </c>
      <c r="L3520" s="5"/>
      <c r="M3520" s="5"/>
      <c r="N3520" t="s">
        <v>82</v>
      </c>
      <c r="O3520" t="s">
        <v>9941</v>
      </c>
      <c r="R3520">
        <v>1</v>
      </c>
      <c r="T3520" s="5"/>
      <c r="W3520">
        <v>270</v>
      </c>
      <c r="X3520" t="s">
        <v>8412</v>
      </c>
      <c r="Y3520" t="str">
        <f>VLOOKUP(C3520,'[1]DBS_KPY Sorumlular'!A:C,2,FALSE)</f>
        <v>Tayfun VİÇE</v>
      </c>
      <c r="Z3520" t="str">
        <f>VLOOKUP(C3520,'[1]DBS_KPY Sorumlular'!A:C,3,FALSE)</f>
        <v>Mehmet Ali YAVUZ</v>
      </c>
      <c r="AA3520" t="str">
        <f>VLOOKUP(K3520,[1]!Tablo3[#Data],2,FALSE)</f>
        <v>Kadir TOPÇU</v>
      </c>
    </row>
    <row r="3521" spans="1:27" x14ac:dyDescent="0.25">
      <c r="A3521">
        <v>4868</v>
      </c>
      <c r="B3521" t="s">
        <v>27</v>
      </c>
      <c r="C3521" t="s">
        <v>402</v>
      </c>
      <c r="D3521" t="s">
        <v>403</v>
      </c>
      <c r="G3521" t="s">
        <v>384</v>
      </c>
      <c r="H3521" t="s">
        <v>9942</v>
      </c>
      <c r="I3521" s="4">
        <v>45443.875</v>
      </c>
      <c r="K3521" t="s">
        <v>743</v>
      </c>
      <c r="L3521" s="5"/>
      <c r="M3521" s="5" t="s">
        <v>8423</v>
      </c>
      <c r="N3521" t="s">
        <v>82</v>
      </c>
      <c r="O3521" t="s">
        <v>9943</v>
      </c>
      <c r="R3521">
        <v>1</v>
      </c>
      <c r="T3521" s="5"/>
      <c r="W3521">
        <v>270</v>
      </c>
      <c r="X3521" t="s">
        <v>8412</v>
      </c>
      <c r="Y3521" t="str">
        <f>VLOOKUP(C3521,'[1]DBS_KPY Sorumlular'!A:C,2,FALSE)</f>
        <v>Tayfun VİÇE</v>
      </c>
      <c r="Z3521" t="str">
        <f>VLOOKUP(C3521,'[1]DBS_KPY Sorumlular'!A:C,3,FALSE)</f>
        <v>Mehmet Ali YAVUZ</v>
      </c>
      <c r="AA3521" t="str">
        <f>VLOOKUP(K3521,[1]!Tablo3[#Data],2,FALSE)</f>
        <v>Kadir TOPÇU</v>
      </c>
    </row>
    <row r="3522" spans="1:27" x14ac:dyDescent="0.25">
      <c r="A3522">
        <v>4869</v>
      </c>
      <c r="B3522" t="s">
        <v>27</v>
      </c>
      <c r="C3522" t="s">
        <v>402</v>
      </c>
      <c r="D3522" t="s">
        <v>403</v>
      </c>
      <c r="G3522" t="s">
        <v>384</v>
      </c>
      <c r="H3522" t="s">
        <v>9944</v>
      </c>
      <c r="I3522" s="4">
        <v>45443.875</v>
      </c>
      <c r="K3522" t="s">
        <v>743</v>
      </c>
      <c r="L3522" s="5"/>
      <c r="M3522" s="5" t="s">
        <v>8423</v>
      </c>
      <c r="N3522" t="s">
        <v>82</v>
      </c>
      <c r="O3522" t="s">
        <v>9945</v>
      </c>
      <c r="R3522">
        <v>1</v>
      </c>
      <c r="T3522" s="5"/>
      <c r="W3522">
        <v>270</v>
      </c>
      <c r="X3522" t="s">
        <v>8412</v>
      </c>
      <c r="Y3522" t="str">
        <f>VLOOKUP(C3522,'[1]DBS_KPY Sorumlular'!A:C,2,FALSE)</f>
        <v>Tayfun VİÇE</v>
      </c>
      <c r="Z3522" t="str">
        <f>VLOOKUP(C3522,'[1]DBS_KPY Sorumlular'!A:C,3,FALSE)</f>
        <v>Mehmet Ali YAVUZ</v>
      </c>
      <c r="AA3522" t="str">
        <f>VLOOKUP(K3522,[1]!Tablo3[#Data],2,FALSE)</f>
        <v>Kadir TOPÇU</v>
      </c>
    </row>
    <row r="3523" spans="1:27" x14ac:dyDescent="0.25">
      <c r="A3523">
        <v>4870</v>
      </c>
      <c r="B3523" t="s">
        <v>27</v>
      </c>
      <c r="C3523" t="s">
        <v>402</v>
      </c>
      <c r="D3523" t="s">
        <v>403</v>
      </c>
      <c r="G3523" t="s">
        <v>384</v>
      </c>
      <c r="H3523" t="s">
        <v>9946</v>
      </c>
      <c r="I3523" s="4">
        <v>45656.875</v>
      </c>
      <c r="K3523" t="s">
        <v>743</v>
      </c>
      <c r="L3523" s="5"/>
      <c r="M3523" s="5"/>
      <c r="N3523" t="s">
        <v>82</v>
      </c>
      <c r="O3523" t="s">
        <v>9947</v>
      </c>
      <c r="R3523">
        <v>1</v>
      </c>
      <c r="T3523" s="5"/>
      <c r="W3523">
        <v>270</v>
      </c>
      <c r="X3523" t="s">
        <v>8412</v>
      </c>
      <c r="Y3523" t="str">
        <f>VLOOKUP(C3523,'[1]DBS_KPY Sorumlular'!A:C,2,FALSE)</f>
        <v>Tayfun VİÇE</v>
      </c>
      <c r="Z3523" t="str">
        <f>VLOOKUP(C3523,'[1]DBS_KPY Sorumlular'!A:C,3,FALSE)</f>
        <v>Mehmet Ali YAVUZ</v>
      </c>
      <c r="AA3523" t="str">
        <f>VLOOKUP(K3523,[1]!Tablo3[#Data],2,FALSE)</f>
        <v>Kadir TOPÇU</v>
      </c>
    </row>
    <row r="3524" spans="1:27" x14ac:dyDescent="0.25">
      <c r="A3524">
        <v>4871</v>
      </c>
      <c r="B3524" t="s">
        <v>27</v>
      </c>
      <c r="C3524" t="s">
        <v>402</v>
      </c>
      <c r="D3524" t="s">
        <v>403</v>
      </c>
      <c r="G3524" t="s">
        <v>384</v>
      </c>
      <c r="H3524" t="s">
        <v>9948</v>
      </c>
      <c r="I3524" s="4">
        <v>45656.875</v>
      </c>
      <c r="K3524" t="s">
        <v>743</v>
      </c>
      <c r="L3524" s="5"/>
      <c r="M3524" s="5"/>
      <c r="N3524" t="s">
        <v>82</v>
      </c>
      <c r="O3524" t="s">
        <v>9949</v>
      </c>
      <c r="R3524">
        <v>1</v>
      </c>
      <c r="T3524" s="5"/>
      <c r="W3524">
        <v>270</v>
      </c>
      <c r="X3524" t="s">
        <v>8412</v>
      </c>
      <c r="Y3524" t="str">
        <f>VLOOKUP(C3524,'[1]DBS_KPY Sorumlular'!A:C,2,FALSE)</f>
        <v>Tayfun VİÇE</v>
      </c>
      <c r="Z3524" t="str">
        <f>VLOOKUP(C3524,'[1]DBS_KPY Sorumlular'!A:C,3,FALSE)</f>
        <v>Mehmet Ali YAVUZ</v>
      </c>
      <c r="AA3524" t="str">
        <f>VLOOKUP(K3524,[1]!Tablo3[#Data],2,FALSE)</f>
        <v>Kadir TOPÇU</v>
      </c>
    </row>
    <row r="3525" spans="1:27" x14ac:dyDescent="0.25">
      <c r="A3525">
        <v>4872</v>
      </c>
      <c r="B3525" t="s">
        <v>27</v>
      </c>
      <c r="C3525" t="s">
        <v>402</v>
      </c>
      <c r="D3525" t="s">
        <v>403</v>
      </c>
      <c r="G3525" t="s">
        <v>384</v>
      </c>
      <c r="H3525" t="s">
        <v>9950</v>
      </c>
      <c r="I3525" s="4">
        <v>45656.875</v>
      </c>
      <c r="K3525" t="s">
        <v>743</v>
      </c>
      <c r="L3525" s="5"/>
      <c r="M3525" s="5"/>
      <c r="N3525" t="s">
        <v>82</v>
      </c>
      <c r="O3525" t="s">
        <v>9951</v>
      </c>
      <c r="R3525">
        <v>1</v>
      </c>
      <c r="T3525" s="5"/>
      <c r="W3525">
        <v>270</v>
      </c>
      <c r="X3525" t="s">
        <v>8412</v>
      </c>
      <c r="Y3525" t="str">
        <f>VLOOKUP(C3525,'[1]DBS_KPY Sorumlular'!A:C,2,FALSE)</f>
        <v>Tayfun VİÇE</v>
      </c>
      <c r="Z3525" t="str">
        <f>VLOOKUP(C3525,'[1]DBS_KPY Sorumlular'!A:C,3,FALSE)</f>
        <v>Mehmet Ali YAVUZ</v>
      </c>
      <c r="AA3525" t="str">
        <f>VLOOKUP(K3525,[1]!Tablo3[#Data],2,FALSE)</f>
        <v>Kadir TOPÇU</v>
      </c>
    </row>
    <row r="3526" spans="1:27" x14ac:dyDescent="0.25">
      <c r="A3526">
        <v>4873</v>
      </c>
      <c r="B3526" t="s">
        <v>27</v>
      </c>
      <c r="C3526" t="s">
        <v>402</v>
      </c>
      <c r="D3526" t="s">
        <v>403</v>
      </c>
      <c r="G3526" t="s">
        <v>384</v>
      </c>
      <c r="H3526" t="s">
        <v>9952</v>
      </c>
      <c r="I3526" s="4">
        <v>45656.875</v>
      </c>
      <c r="K3526" t="s">
        <v>743</v>
      </c>
      <c r="L3526" s="5"/>
      <c r="M3526" s="5"/>
      <c r="N3526" t="s">
        <v>82</v>
      </c>
      <c r="O3526" t="s">
        <v>9953</v>
      </c>
      <c r="R3526">
        <v>1</v>
      </c>
      <c r="T3526" s="5"/>
      <c r="W3526">
        <v>270</v>
      </c>
      <c r="X3526" t="s">
        <v>8412</v>
      </c>
      <c r="Y3526" t="str">
        <f>VLOOKUP(C3526,'[1]DBS_KPY Sorumlular'!A:C,2,FALSE)</f>
        <v>Tayfun VİÇE</v>
      </c>
      <c r="Z3526" t="str">
        <f>VLOOKUP(C3526,'[1]DBS_KPY Sorumlular'!A:C,3,FALSE)</f>
        <v>Mehmet Ali YAVUZ</v>
      </c>
      <c r="AA3526" t="str">
        <f>VLOOKUP(K3526,[1]!Tablo3[#Data],2,FALSE)</f>
        <v>Kadir TOPÇU</v>
      </c>
    </row>
    <row r="3527" spans="1:27" x14ac:dyDescent="0.25">
      <c r="A3527">
        <v>4874</v>
      </c>
      <c r="B3527" t="s">
        <v>27</v>
      </c>
      <c r="C3527" t="s">
        <v>402</v>
      </c>
      <c r="D3527" t="s">
        <v>403</v>
      </c>
      <c r="G3527" t="s">
        <v>384</v>
      </c>
      <c r="H3527" t="s">
        <v>9954</v>
      </c>
      <c r="I3527" s="4">
        <v>45656.875</v>
      </c>
      <c r="K3527" t="s">
        <v>743</v>
      </c>
      <c r="L3527" s="5"/>
      <c r="M3527" s="5"/>
      <c r="N3527" t="s">
        <v>82</v>
      </c>
      <c r="O3527" t="s">
        <v>9955</v>
      </c>
      <c r="R3527">
        <v>1</v>
      </c>
      <c r="T3527" s="5"/>
      <c r="W3527">
        <v>270</v>
      </c>
      <c r="X3527" t="s">
        <v>8412</v>
      </c>
      <c r="Y3527" t="str">
        <f>VLOOKUP(C3527,'[1]DBS_KPY Sorumlular'!A:C,2,FALSE)</f>
        <v>Tayfun VİÇE</v>
      </c>
      <c r="Z3527" t="str">
        <f>VLOOKUP(C3527,'[1]DBS_KPY Sorumlular'!A:C,3,FALSE)</f>
        <v>Mehmet Ali YAVUZ</v>
      </c>
      <c r="AA3527" t="str">
        <f>VLOOKUP(K3527,[1]!Tablo3[#Data],2,FALSE)</f>
        <v>Kadir TOPÇU</v>
      </c>
    </row>
    <row r="3528" spans="1:27" x14ac:dyDescent="0.25">
      <c r="A3528">
        <v>4875</v>
      </c>
      <c r="B3528" t="s">
        <v>27</v>
      </c>
      <c r="C3528" t="s">
        <v>402</v>
      </c>
      <c r="D3528" t="s">
        <v>403</v>
      </c>
      <c r="G3528" t="s">
        <v>384</v>
      </c>
      <c r="H3528" t="s">
        <v>9956</v>
      </c>
      <c r="I3528" s="4">
        <v>45656.875</v>
      </c>
      <c r="K3528" t="s">
        <v>743</v>
      </c>
      <c r="L3528" s="5"/>
      <c r="M3528" s="5"/>
      <c r="N3528" t="s">
        <v>82</v>
      </c>
      <c r="O3528" t="s">
        <v>9957</v>
      </c>
      <c r="R3528">
        <v>1</v>
      </c>
      <c r="T3528" s="5"/>
      <c r="W3528">
        <v>270</v>
      </c>
      <c r="X3528" t="s">
        <v>8412</v>
      </c>
      <c r="Y3528" t="str">
        <f>VLOOKUP(C3528,'[1]DBS_KPY Sorumlular'!A:C,2,FALSE)</f>
        <v>Tayfun VİÇE</v>
      </c>
      <c r="Z3528" t="str">
        <f>VLOOKUP(C3528,'[1]DBS_KPY Sorumlular'!A:C,3,FALSE)</f>
        <v>Mehmet Ali YAVUZ</v>
      </c>
      <c r="AA3528" t="str">
        <f>VLOOKUP(K3528,[1]!Tablo3[#Data],2,FALSE)</f>
        <v>Kadir TOPÇU</v>
      </c>
    </row>
    <row r="3529" spans="1:27" x14ac:dyDescent="0.25">
      <c r="A3529">
        <v>4876</v>
      </c>
      <c r="B3529" t="s">
        <v>27</v>
      </c>
      <c r="C3529" t="s">
        <v>402</v>
      </c>
      <c r="D3529" t="s">
        <v>403</v>
      </c>
      <c r="G3529" t="s">
        <v>384</v>
      </c>
      <c r="H3529" t="s">
        <v>9958</v>
      </c>
      <c r="I3529" s="4">
        <v>45656.875</v>
      </c>
      <c r="K3529" t="s">
        <v>743</v>
      </c>
      <c r="L3529" s="5"/>
      <c r="M3529" s="5"/>
      <c r="N3529" t="s">
        <v>82</v>
      </c>
      <c r="O3529" t="s">
        <v>9959</v>
      </c>
      <c r="R3529">
        <v>1</v>
      </c>
      <c r="T3529" s="5"/>
      <c r="W3529">
        <v>270</v>
      </c>
      <c r="X3529" t="s">
        <v>8412</v>
      </c>
      <c r="Y3529" t="str">
        <f>VLOOKUP(C3529,'[1]DBS_KPY Sorumlular'!A:C,2,FALSE)</f>
        <v>Tayfun VİÇE</v>
      </c>
      <c r="Z3529" t="str">
        <f>VLOOKUP(C3529,'[1]DBS_KPY Sorumlular'!A:C,3,FALSE)</f>
        <v>Mehmet Ali YAVUZ</v>
      </c>
      <c r="AA3529" t="str">
        <f>VLOOKUP(K3529,[1]!Tablo3[#Data],2,FALSE)</f>
        <v>Kadir TOPÇU</v>
      </c>
    </row>
    <row r="3530" spans="1:27" x14ac:dyDescent="0.25">
      <c r="A3530">
        <v>4877</v>
      </c>
      <c r="B3530" t="s">
        <v>27</v>
      </c>
      <c r="C3530" t="s">
        <v>402</v>
      </c>
      <c r="D3530" t="s">
        <v>403</v>
      </c>
      <c r="G3530" t="s">
        <v>384</v>
      </c>
      <c r="H3530" t="s">
        <v>9960</v>
      </c>
      <c r="I3530" s="4">
        <v>45656.875</v>
      </c>
      <c r="K3530" t="s">
        <v>743</v>
      </c>
      <c r="L3530" s="5"/>
      <c r="M3530" s="5"/>
      <c r="N3530" t="s">
        <v>82</v>
      </c>
      <c r="O3530" t="s">
        <v>9961</v>
      </c>
      <c r="R3530">
        <v>1</v>
      </c>
      <c r="T3530" s="5"/>
      <c r="W3530">
        <v>270</v>
      </c>
      <c r="X3530" t="s">
        <v>8412</v>
      </c>
      <c r="Y3530" t="str">
        <f>VLOOKUP(C3530,'[1]DBS_KPY Sorumlular'!A:C,2,FALSE)</f>
        <v>Tayfun VİÇE</v>
      </c>
      <c r="Z3530" t="str">
        <f>VLOOKUP(C3530,'[1]DBS_KPY Sorumlular'!A:C,3,FALSE)</f>
        <v>Mehmet Ali YAVUZ</v>
      </c>
      <c r="AA3530" t="str">
        <f>VLOOKUP(K3530,[1]!Tablo3[#Data],2,FALSE)</f>
        <v>Kadir TOPÇU</v>
      </c>
    </row>
    <row r="3531" spans="1:27" x14ac:dyDescent="0.25">
      <c r="A3531">
        <v>4878</v>
      </c>
      <c r="B3531" t="s">
        <v>27</v>
      </c>
      <c r="C3531" t="s">
        <v>402</v>
      </c>
      <c r="D3531" t="s">
        <v>403</v>
      </c>
      <c r="G3531" t="s">
        <v>384</v>
      </c>
      <c r="H3531" t="s">
        <v>9962</v>
      </c>
      <c r="I3531" s="4">
        <v>45656.875</v>
      </c>
      <c r="K3531" t="s">
        <v>743</v>
      </c>
      <c r="L3531" s="5"/>
      <c r="M3531" s="5"/>
      <c r="N3531" t="s">
        <v>82</v>
      </c>
      <c r="O3531" t="s">
        <v>9963</v>
      </c>
      <c r="R3531">
        <v>1</v>
      </c>
      <c r="T3531" s="5"/>
      <c r="W3531">
        <v>270</v>
      </c>
      <c r="X3531" t="s">
        <v>8412</v>
      </c>
      <c r="Y3531" t="str">
        <f>VLOOKUP(C3531,'[1]DBS_KPY Sorumlular'!A:C,2,FALSE)</f>
        <v>Tayfun VİÇE</v>
      </c>
      <c r="Z3531" t="str">
        <f>VLOOKUP(C3531,'[1]DBS_KPY Sorumlular'!A:C,3,FALSE)</f>
        <v>Mehmet Ali YAVUZ</v>
      </c>
      <c r="AA3531" t="str">
        <f>VLOOKUP(K3531,[1]!Tablo3[#Data],2,FALSE)</f>
        <v>Kadir TOPÇU</v>
      </c>
    </row>
    <row r="3532" spans="1:27" x14ac:dyDescent="0.25">
      <c r="A3532">
        <v>4879</v>
      </c>
      <c r="B3532" t="s">
        <v>27</v>
      </c>
      <c r="C3532" t="s">
        <v>402</v>
      </c>
      <c r="D3532" t="s">
        <v>403</v>
      </c>
      <c r="G3532" t="s">
        <v>384</v>
      </c>
      <c r="H3532" t="s">
        <v>9964</v>
      </c>
      <c r="I3532" s="4">
        <v>45656.875</v>
      </c>
      <c r="K3532" t="s">
        <v>743</v>
      </c>
      <c r="L3532" s="5"/>
      <c r="M3532" s="5"/>
      <c r="N3532" t="s">
        <v>82</v>
      </c>
      <c r="O3532" t="s">
        <v>9965</v>
      </c>
      <c r="R3532">
        <v>1</v>
      </c>
      <c r="T3532" s="5"/>
      <c r="W3532">
        <v>270</v>
      </c>
      <c r="X3532" t="s">
        <v>8412</v>
      </c>
      <c r="Y3532" t="str">
        <f>VLOOKUP(C3532,'[1]DBS_KPY Sorumlular'!A:C,2,FALSE)</f>
        <v>Tayfun VİÇE</v>
      </c>
      <c r="Z3532" t="str">
        <f>VLOOKUP(C3532,'[1]DBS_KPY Sorumlular'!A:C,3,FALSE)</f>
        <v>Mehmet Ali YAVUZ</v>
      </c>
      <c r="AA3532" t="str">
        <f>VLOOKUP(K3532,[1]!Tablo3[#Data],2,FALSE)</f>
        <v>Kadir TOPÇU</v>
      </c>
    </row>
    <row r="3533" spans="1:27" x14ac:dyDescent="0.25">
      <c r="A3533">
        <v>4880</v>
      </c>
      <c r="B3533" t="s">
        <v>27</v>
      </c>
      <c r="C3533" t="s">
        <v>402</v>
      </c>
      <c r="D3533" t="s">
        <v>403</v>
      </c>
      <c r="G3533" t="s">
        <v>384</v>
      </c>
      <c r="H3533" t="s">
        <v>9966</v>
      </c>
      <c r="I3533" s="4">
        <v>45656.875</v>
      </c>
      <c r="K3533" t="s">
        <v>743</v>
      </c>
      <c r="L3533" s="5"/>
      <c r="M3533" s="5"/>
      <c r="N3533" t="s">
        <v>82</v>
      </c>
      <c r="O3533" t="s">
        <v>9967</v>
      </c>
      <c r="R3533">
        <v>1</v>
      </c>
      <c r="T3533" s="5"/>
      <c r="W3533">
        <v>270</v>
      </c>
      <c r="X3533" t="s">
        <v>8412</v>
      </c>
      <c r="Y3533" t="str">
        <f>VLOOKUP(C3533,'[1]DBS_KPY Sorumlular'!A:C,2,FALSE)</f>
        <v>Tayfun VİÇE</v>
      </c>
      <c r="Z3533" t="str">
        <f>VLOOKUP(C3533,'[1]DBS_KPY Sorumlular'!A:C,3,FALSE)</f>
        <v>Mehmet Ali YAVUZ</v>
      </c>
      <c r="AA3533" t="str">
        <f>VLOOKUP(K3533,[1]!Tablo3[#Data],2,FALSE)</f>
        <v>Kadir TOPÇU</v>
      </c>
    </row>
    <row r="3534" spans="1:27" x14ac:dyDescent="0.25">
      <c r="A3534">
        <v>4881</v>
      </c>
      <c r="B3534" t="s">
        <v>27</v>
      </c>
      <c r="C3534" t="s">
        <v>402</v>
      </c>
      <c r="D3534" t="s">
        <v>403</v>
      </c>
      <c r="G3534" t="s">
        <v>384</v>
      </c>
      <c r="H3534" t="s">
        <v>9968</v>
      </c>
      <c r="I3534" s="4">
        <v>45656.875</v>
      </c>
      <c r="K3534" t="s">
        <v>743</v>
      </c>
      <c r="L3534" s="5"/>
      <c r="M3534" s="5"/>
      <c r="N3534" t="s">
        <v>82</v>
      </c>
      <c r="O3534" t="s">
        <v>9969</v>
      </c>
      <c r="R3534">
        <v>1</v>
      </c>
      <c r="T3534" s="5"/>
      <c r="W3534">
        <v>270</v>
      </c>
      <c r="X3534" t="s">
        <v>8412</v>
      </c>
      <c r="Y3534" t="str">
        <f>VLOOKUP(C3534,'[1]DBS_KPY Sorumlular'!A:C,2,FALSE)</f>
        <v>Tayfun VİÇE</v>
      </c>
      <c r="Z3534" t="str">
        <f>VLOOKUP(C3534,'[1]DBS_KPY Sorumlular'!A:C,3,FALSE)</f>
        <v>Mehmet Ali YAVUZ</v>
      </c>
      <c r="AA3534" t="str">
        <f>VLOOKUP(K3534,[1]!Tablo3[#Data],2,FALSE)</f>
        <v>Kadir TOPÇU</v>
      </c>
    </row>
    <row r="3535" spans="1:27" x14ac:dyDescent="0.25">
      <c r="A3535">
        <v>4882</v>
      </c>
      <c r="B3535" t="s">
        <v>27</v>
      </c>
      <c r="C3535" t="s">
        <v>402</v>
      </c>
      <c r="D3535" t="s">
        <v>403</v>
      </c>
      <c r="G3535" t="s">
        <v>384</v>
      </c>
      <c r="H3535" t="s">
        <v>9970</v>
      </c>
      <c r="I3535" s="4">
        <v>45656.875</v>
      </c>
      <c r="K3535" t="s">
        <v>743</v>
      </c>
      <c r="L3535" s="5"/>
      <c r="M3535" s="5"/>
      <c r="N3535" t="s">
        <v>82</v>
      </c>
      <c r="O3535" t="s">
        <v>9971</v>
      </c>
      <c r="R3535">
        <v>1</v>
      </c>
      <c r="T3535" s="5"/>
      <c r="W3535">
        <v>270</v>
      </c>
      <c r="X3535" t="s">
        <v>8412</v>
      </c>
      <c r="Y3535" t="str">
        <f>VLOOKUP(C3535,'[1]DBS_KPY Sorumlular'!A:C,2,FALSE)</f>
        <v>Tayfun VİÇE</v>
      </c>
      <c r="Z3535" t="str">
        <f>VLOOKUP(C3535,'[1]DBS_KPY Sorumlular'!A:C,3,FALSE)</f>
        <v>Mehmet Ali YAVUZ</v>
      </c>
      <c r="AA3535" t="str">
        <f>VLOOKUP(K3535,[1]!Tablo3[#Data],2,FALSE)</f>
        <v>Kadir TOPÇU</v>
      </c>
    </row>
    <row r="3536" spans="1:27" x14ac:dyDescent="0.25">
      <c r="A3536">
        <v>4883</v>
      </c>
      <c r="B3536" t="s">
        <v>27</v>
      </c>
      <c r="C3536" t="s">
        <v>402</v>
      </c>
      <c r="D3536" t="s">
        <v>403</v>
      </c>
      <c r="G3536" t="s">
        <v>384</v>
      </c>
      <c r="H3536" t="s">
        <v>9972</v>
      </c>
      <c r="I3536" s="4">
        <v>45656.875</v>
      </c>
      <c r="K3536" t="s">
        <v>743</v>
      </c>
      <c r="L3536" s="5"/>
      <c r="M3536" s="5"/>
      <c r="N3536" t="s">
        <v>82</v>
      </c>
      <c r="O3536" t="s">
        <v>9973</v>
      </c>
      <c r="R3536">
        <v>1</v>
      </c>
      <c r="T3536" s="5"/>
      <c r="W3536">
        <v>270</v>
      </c>
      <c r="X3536" t="s">
        <v>8412</v>
      </c>
      <c r="Y3536" t="str">
        <f>VLOOKUP(C3536,'[1]DBS_KPY Sorumlular'!A:C,2,FALSE)</f>
        <v>Tayfun VİÇE</v>
      </c>
      <c r="Z3536" t="str">
        <f>VLOOKUP(C3536,'[1]DBS_KPY Sorumlular'!A:C,3,FALSE)</f>
        <v>Mehmet Ali YAVUZ</v>
      </c>
      <c r="AA3536" t="str">
        <f>VLOOKUP(K3536,[1]!Tablo3[#Data],2,FALSE)</f>
        <v>Kadir TOPÇU</v>
      </c>
    </row>
    <row r="3537" spans="1:27" x14ac:dyDescent="0.25">
      <c r="A3537">
        <v>4884</v>
      </c>
      <c r="B3537" t="s">
        <v>27</v>
      </c>
      <c r="C3537" t="s">
        <v>402</v>
      </c>
      <c r="D3537" t="s">
        <v>403</v>
      </c>
      <c r="G3537" t="s">
        <v>384</v>
      </c>
      <c r="H3537" t="s">
        <v>9974</v>
      </c>
      <c r="I3537" s="4">
        <v>45656.875</v>
      </c>
      <c r="K3537" t="s">
        <v>743</v>
      </c>
      <c r="L3537" s="5"/>
      <c r="M3537" s="5"/>
      <c r="N3537" t="s">
        <v>82</v>
      </c>
      <c r="O3537" t="s">
        <v>9975</v>
      </c>
      <c r="R3537">
        <v>1</v>
      </c>
      <c r="T3537" s="5"/>
      <c r="W3537">
        <v>270</v>
      </c>
      <c r="X3537" t="s">
        <v>8412</v>
      </c>
      <c r="Y3537" t="str">
        <f>VLOOKUP(C3537,'[1]DBS_KPY Sorumlular'!A:C,2,FALSE)</f>
        <v>Tayfun VİÇE</v>
      </c>
      <c r="Z3537" t="str">
        <f>VLOOKUP(C3537,'[1]DBS_KPY Sorumlular'!A:C,3,FALSE)</f>
        <v>Mehmet Ali YAVUZ</v>
      </c>
      <c r="AA3537" t="str">
        <f>VLOOKUP(K3537,[1]!Tablo3[#Data],2,FALSE)</f>
        <v>Kadir TOPÇU</v>
      </c>
    </row>
    <row r="3538" spans="1:27" x14ac:dyDescent="0.25">
      <c r="A3538">
        <v>4885</v>
      </c>
      <c r="B3538" t="s">
        <v>27</v>
      </c>
      <c r="C3538" t="s">
        <v>402</v>
      </c>
      <c r="D3538" t="s">
        <v>403</v>
      </c>
      <c r="G3538" t="s">
        <v>384</v>
      </c>
      <c r="H3538" t="s">
        <v>9976</v>
      </c>
      <c r="I3538" s="4">
        <v>45656.875</v>
      </c>
      <c r="K3538" t="s">
        <v>743</v>
      </c>
      <c r="L3538" s="5"/>
      <c r="M3538" s="5"/>
      <c r="N3538" t="s">
        <v>82</v>
      </c>
      <c r="O3538" t="s">
        <v>9977</v>
      </c>
      <c r="R3538">
        <v>1</v>
      </c>
      <c r="T3538" s="5"/>
      <c r="W3538">
        <v>270</v>
      </c>
      <c r="X3538" t="s">
        <v>8412</v>
      </c>
      <c r="Y3538" t="str">
        <f>VLOOKUP(C3538,'[1]DBS_KPY Sorumlular'!A:C,2,FALSE)</f>
        <v>Tayfun VİÇE</v>
      </c>
      <c r="Z3538" t="str">
        <f>VLOOKUP(C3538,'[1]DBS_KPY Sorumlular'!A:C,3,FALSE)</f>
        <v>Mehmet Ali YAVUZ</v>
      </c>
      <c r="AA3538" t="str">
        <f>VLOOKUP(K3538,[1]!Tablo3[#Data],2,FALSE)</f>
        <v>Kadir TOPÇU</v>
      </c>
    </row>
    <row r="3539" spans="1:27" x14ac:dyDescent="0.25">
      <c r="A3539">
        <v>4886</v>
      </c>
      <c r="B3539" t="s">
        <v>27</v>
      </c>
      <c r="C3539" t="s">
        <v>402</v>
      </c>
      <c r="D3539" t="s">
        <v>403</v>
      </c>
      <c r="G3539" t="s">
        <v>384</v>
      </c>
      <c r="H3539" t="s">
        <v>9978</v>
      </c>
      <c r="I3539" s="4">
        <v>45656.875</v>
      </c>
      <c r="K3539" t="s">
        <v>743</v>
      </c>
      <c r="L3539" s="5"/>
      <c r="M3539" s="5"/>
      <c r="N3539" t="s">
        <v>82</v>
      </c>
      <c r="O3539" t="s">
        <v>9979</v>
      </c>
      <c r="R3539">
        <v>1</v>
      </c>
      <c r="T3539" s="5"/>
      <c r="W3539">
        <v>270</v>
      </c>
      <c r="X3539" t="s">
        <v>8412</v>
      </c>
      <c r="Y3539" t="str">
        <f>VLOOKUP(C3539,'[1]DBS_KPY Sorumlular'!A:C,2,FALSE)</f>
        <v>Tayfun VİÇE</v>
      </c>
      <c r="Z3539" t="str">
        <f>VLOOKUP(C3539,'[1]DBS_KPY Sorumlular'!A:C,3,FALSE)</f>
        <v>Mehmet Ali YAVUZ</v>
      </c>
      <c r="AA3539" t="str">
        <f>VLOOKUP(K3539,[1]!Tablo3[#Data],2,FALSE)</f>
        <v>Kadir TOPÇU</v>
      </c>
    </row>
    <row r="3540" spans="1:27" x14ac:dyDescent="0.25">
      <c r="A3540">
        <v>4887</v>
      </c>
      <c r="B3540" t="s">
        <v>27</v>
      </c>
      <c r="C3540" t="s">
        <v>402</v>
      </c>
      <c r="D3540" t="s">
        <v>403</v>
      </c>
      <c r="G3540" t="s">
        <v>384</v>
      </c>
      <c r="H3540" t="s">
        <v>9980</v>
      </c>
      <c r="I3540" s="4">
        <v>45656.875</v>
      </c>
      <c r="K3540" t="s">
        <v>743</v>
      </c>
      <c r="L3540" s="5"/>
      <c r="M3540" s="5"/>
      <c r="N3540" t="s">
        <v>82</v>
      </c>
      <c r="O3540" t="s">
        <v>9981</v>
      </c>
      <c r="R3540">
        <v>1</v>
      </c>
      <c r="T3540" s="5"/>
      <c r="W3540">
        <v>270</v>
      </c>
      <c r="X3540" t="s">
        <v>8412</v>
      </c>
      <c r="Y3540" t="str">
        <f>VLOOKUP(C3540,'[1]DBS_KPY Sorumlular'!A:C,2,FALSE)</f>
        <v>Tayfun VİÇE</v>
      </c>
      <c r="Z3540" t="str">
        <f>VLOOKUP(C3540,'[1]DBS_KPY Sorumlular'!A:C,3,FALSE)</f>
        <v>Mehmet Ali YAVUZ</v>
      </c>
      <c r="AA3540" t="str">
        <f>VLOOKUP(K3540,[1]!Tablo3[#Data],2,FALSE)</f>
        <v>Kadir TOPÇU</v>
      </c>
    </row>
    <row r="3541" spans="1:27" x14ac:dyDescent="0.25">
      <c r="A3541">
        <v>4888</v>
      </c>
      <c r="B3541" t="s">
        <v>27</v>
      </c>
      <c r="C3541" t="s">
        <v>402</v>
      </c>
      <c r="D3541" t="s">
        <v>403</v>
      </c>
      <c r="G3541" t="s">
        <v>384</v>
      </c>
      <c r="H3541" t="s">
        <v>9982</v>
      </c>
      <c r="I3541" s="4">
        <v>45656.875</v>
      </c>
      <c r="K3541" t="s">
        <v>743</v>
      </c>
      <c r="L3541" s="5"/>
      <c r="M3541" s="5"/>
      <c r="N3541" t="s">
        <v>82</v>
      </c>
      <c r="O3541" t="s">
        <v>9983</v>
      </c>
      <c r="R3541">
        <v>1</v>
      </c>
      <c r="T3541" s="5"/>
      <c r="W3541">
        <v>270</v>
      </c>
      <c r="X3541" t="s">
        <v>8412</v>
      </c>
      <c r="Y3541" t="str">
        <f>VLOOKUP(C3541,'[1]DBS_KPY Sorumlular'!A:C,2,FALSE)</f>
        <v>Tayfun VİÇE</v>
      </c>
      <c r="Z3541" t="str">
        <f>VLOOKUP(C3541,'[1]DBS_KPY Sorumlular'!A:C,3,FALSE)</f>
        <v>Mehmet Ali YAVUZ</v>
      </c>
      <c r="AA3541" t="str">
        <f>VLOOKUP(K3541,[1]!Tablo3[#Data],2,FALSE)</f>
        <v>Kadir TOPÇU</v>
      </c>
    </row>
    <row r="3542" spans="1:27" x14ac:dyDescent="0.25">
      <c r="A3542">
        <v>4889</v>
      </c>
      <c r="B3542" t="s">
        <v>27</v>
      </c>
      <c r="C3542" t="s">
        <v>402</v>
      </c>
      <c r="D3542" t="s">
        <v>403</v>
      </c>
      <c r="G3542" t="s">
        <v>384</v>
      </c>
      <c r="H3542" t="s">
        <v>9984</v>
      </c>
      <c r="I3542" s="4">
        <v>45656.875</v>
      </c>
      <c r="K3542" t="s">
        <v>743</v>
      </c>
      <c r="L3542" s="5"/>
      <c r="M3542" s="5"/>
      <c r="N3542" t="s">
        <v>82</v>
      </c>
      <c r="O3542" t="s">
        <v>9985</v>
      </c>
      <c r="R3542">
        <v>1</v>
      </c>
      <c r="T3542" s="5"/>
      <c r="W3542">
        <v>270</v>
      </c>
      <c r="X3542" t="s">
        <v>8412</v>
      </c>
      <c r="Y3542" t="str">
        <f>VLOOKUP(C3542,'[1]DBS_KPY Sorumlular'!A:C,2,FALSE)</f>
        <v>Tayfun VİÇE</v>
      </c>
      <c r="Z3542" t="str">
        <f>VLOOKUP(C3542,'[1]DBS_KPY Sorumlular'!A:C,3,FALSE)</f>
        <v>Mehmet Ali YAVUZ</v>
      </c>
      <c r="AA3542" t="str">
        <f>VLOOKUP(K3542,[1]!Tablo3[#Data],2,FALSE)</f>
        <v>Kadir TOPÇU</v>
      </c>
    </row>
    <row r="3543" spans="1:27" x14ac:dyDescent="0.25">
      <c r="A3543">
        <v>4890</v>
      </c>
      <c r="B3543" t="s">
        <v>27</v>
      </c>
      <c r="C3543" t="s">
        <v>402</v>
      </c>
      <c r="D3543" t="s">
        <v>403</v>
      </c>
      <c r="G3543" t="s">
        <v>384</v>
      </c>
      <c r="H3543" t="s">
        <v>9986</v>
      </c>
      <c r="I3543" s="4">
        <v>45656.875</v>
      </c>
      <c r="K3543" t="s">
        <v>743</v>
      </c>
      <c r="L3543" s="5"/>
      <c r="M3543" s="5"/>
      <c r="N3543" t="s">
        <v>82</v>
      </c>
      <c r="O3543" t="s">
        <v>9987</v>
      </c>
      <c r="R3543">
        <v>1</v>
      </c>
      <c r="T3543" s="5"/>
      <c r="W3543">
        <v>270</v>
      </c>
      <c r="X3543" t="s">
        <v>8412</v>
      </c>
      <c r="Y3543" t="str">
        <f>VLOOKUP(C3543,'[1]DBS_KPY Sorumlular'!A:C,2,FALSE)</f>
        <v>Tayfun VİÇE</v>
      </c>
      <c r="Z3543" t="str">
        <f>VLOOKUP(C3543,'[1]DBS_KPY Sorumlular'!A:C,3,FALSE)</f>
        <v>Mehmet Ali YAVUZ</v>
      </c>
      <c r="AA3543" t="str">
        <f>VLOOKUP(K3543,[1]!Tablo3[#Data],2,FALSE)</f>
        <v>Kadir TOPÇU</v>
      </c>
    </row>
    <row r="3544" spans="1:27" x14ac:dyDescent="0.25">
      <c r="A3544">
        <v>4891</v>
      </c>
      <c r="B3544" t="s">
        <v>27</v>
      </c>
      <c r="C3544" t="s">
        <v>402</v>
      </c>
      <c r="D3544" t="s">
        <v>403</v>
      </c>
      <c r="G3544" t="s">
        <v>384</v>
      </c>
      <c r="H3544" t="s">
        <v>9988</v>
      </c>
      <c r="I3544" s="4">
        <v>45656.875</v>
      </c>
      <c r="K3544" t="s">
        <v>743</v>
      </c>
      <c r="L3544" s="5"/>
      <c r="M3544" s="5"/>
      <c r="N3544" t="s">
        <v>82</v>
      </c>
      <c r="O3544" t="s">
        <v>9989</v>
      </c>
      <c r="R3544">
        <v>1</v>
      </c>
      <c r="T3544" s="5"/>
      <c r="W3544">
        <v>270</v>
      </c>
      <c r="X3544" t="s">
        <v>8412</v>
      </c>
      <c r="Y3544" t="str">
        <f>VLOOKUP(C3544,'[1]DBS_KPY Sorumlular'!A:C,2,FALSE)</f>
        <v>Tayfun VİÇE</v>
      </c>
      <c r="Z3544" t="str">
        <f>VLOOKUP(C3544,'[1]DBS_KPY Sorumlular'!A:C,3,FALSE)</f>
        <v>Mehmet Ali YAVUZ</v>
      </c>
      <c r="AA3544" t="str">
        <f>VLOOKUP(K3544,[1]!Tablo3[#Data],2,FALSE)</f>
        <v>Kadir TOPÇU</v>
      </c>
    </row>
    <row r="3545" spans="1:27" x14ac:dyDescent="0.25">
      <c r="A3545">
        <v>4892</v>
      </c>
      <c r="B3545" t="s">
        <v>27</v>
      </c>
      <c r="C3545" t="s">
        <v>402</v>
      </c>
      <c r="D3545" t="s">
        <v>403</v>
      </c>
      <c r="G3545" t="s">
        <v>384</v>
      </c>
      <c r="H3545" t="s">
        <v>9990</v>
      </c>
      <c r="I3545" s="4">
        <v>45656.875</v>
      </c>
      <c r="K3545" t="s">
        <v>743</v>
      </c>
      <c r="L3545" s="5"/>
      <c r="M3545" s="5"/>
      <c r="N3545" t="s">
        <v>82</v>
      </c>
      <c r="O3545" t="s">
        <v>9991</v>
      </c>
      <c r="R3545">
        <v>1</v>
      </c>
      <c r="T3545" s="5"/>
      <c r="W3545">
        <v>270</v>
      </c>
      <c r="X3545" t="s">
        <v>8412</v>
      </c>
      <c r="Y3545" t="str">
        <f>VLOOKUP(C3545,'[1]DBS_KPY Sorumlular'!A:C,2,FALSE)</f>
        <v>Tayfun VİÇE</v>
      </c>
      <c r="Z3545" t="str">
        <f>VLOOKUP(C3545,'[1]DBS_KPY Sorumlular'!A:C,3,FALSE)</f>
        <v>Mehmet Ali YAVUZ</v>
      </c>
      <c r="AA3545" t="str">
        <f>VLOOKUP(K3545,[1]!Tablo3[#Data],2,FALSE)</f>
        <v>Kadir TOPÇU</v>
      </c>
    </row>
    <row r="3546" spans="1:27" x14ac:dyDescent="0.25">
      <c r="A3546">
        <v>4893</v>
      </c>
      <c r="B3546" t="s">
        <v>27</v>
      </c>
      <c r="C3546" t="s">
        <v>402</v>
      </c>
      <c r="D3546" t="s">
        <v>403</v>
      </c>
      <c r="G3546" t="s">
        <v>384</v>
      </c>
      <c r="H3546" t="s">
        <v>9992</v>
      </c>
      <c r="I3546" s="4">
        <v>45656.875</v>
      </c>
      <c r="K3546" t="s">
        <v>743</v>
      </c>
      <c r="L3546" s="5"/>
      <c r="M3546" s="5"/>
      <c r="N3546" t="s">
        <v>82</v>
      </c>
      <c r="O3546" t="s">
        <v>9993</v>
      </c>
      <c r="R3546">
        <v>1</v>
      </c>
      <c r="T3546" s="5"/>
      <c r="W3546">
        <v>270</v>
      </c>
      <c r="X3546" t="s">
        <v>8412</v>
      </c>
      <c r="Y3546" t="str">
        <f>VLOOKUP(C3546,'[1]DBS_KPY Sorumlular'!A:C,2,FALSE)</f>
        <v>Tayfun VİÇE</v>
      </c>
      <c r="Z3546" t="str">
        <f>VLOOKUP(C3546,'[1]DBS_KPY Sorumlular'!A:C,3,FALSE)</f>
        <v>Mehmet Ali YAVUZ</v>
      </c>
      <c r="AA3546" t="str">
        <f>VLOOKUP(K3546,[1]!Tablo3[#Data],2,FALSE)</f>
        <v>Kadir TOPÇU</v>
      </c>
    </row>
    <row r="3547" spans="1:27" x14ac:dyDescent="0.25">
      <c r="A3547">
        <v>4894</v>
      </c>
      <c r="B3547" t="s">
        <v>27</v>
      </c>
      <c r="C3547" t="s">
        <v>402</v>
      </c>
      <c r="D3547" t="s">
        <v>403</v>
      </c>
      <c r="G3547" t="s">
        <v>384</v>
      </c>
      <c r="H3547" t="s">
        <v>9994</v>
      </c>
      <c r="I3547" s="4">
        <v>45656.875</v>
      </c>
      <c r="K3547" t="s">
        <v>743</v>
      </c>
      <c r="L3547" s="5"/>
      <c r="M3547" s="5"/>
      <c r="N3547" t="s">
        <v>82</v>
      </c>
      <c r="O3547" t="s">
        <v>9995</v>
      </c>
      <c r="R3547">
        <v>1</v>
      </c>
      <c r="T3547" s="5"/>
      <c r="W3547">
        <v>32</v>
      </c>
      <c r="X3547" t="s">
        <v>4412</v>
      </c>
      <c r="Y3547" t="str">
        <f>VLOOKUP(C3547,'[1]DBS_KPY Sorumlular'!A:C,2,FALSE)</f>
        <v>Tayfun VİÇE</v>
      </c>
      <c r="Z3547" t="str">
        <f>VLOOKUP(C3547,'[1]DBS_KPY Sorumlular'!A:C,3,FALSE)</f>
        <v>Mehmet Ali YAVUZ</v>
      </c>
      <c r="AA3547" t="str">
        <f>VLOOKUP(K3547,[1]!Tablo3[#Data],2,FALSE)</f>
        <v>Kadir TOPÇU</v>
      </c>
    </row>
    <row r="3548" spans="1:27" x14ac:dyDescent="0.25">
      <c r="A3548">
        <v>4895</v>
      </c>
      <c r="B3548" t="s">
        <v>27</v>
      </c>
      <c r="C3548" t="s">
        <v>402</v>
      </c>
      <c r="D3548" t="s">
        <v>403</v>
      </c>
      <c r="G3548" t="s">
        <v>384</v>
      </c>
      <c r="H3548" t="s">
        <v>9996</v>
      </c>
      <c r="I3548" s="4">
        <v>45656.875</v>
      </c>
      <c r="K3548" t="s">
        <v>743</v>
      </c>
      <c r="L3548" s="5"/>
      <c r="M3548" s="5"/>
      <c r="N3548" t="s">
        <v>82</v>
      </c>
      <c r="O3548" t="s">
        <v>9997</v>
      </c>
      <c r="R3548">
        <v>1</v>
      </c>
      <c r="T3548" s="5"/>
      <c r="W3548">
        <v>178</v>
      </c>
      <c r="X3548" t="s">
        <v>9082</v>
      </c>
      <c r="Y3548" t="str">
        <f>VLOOKUP(C3548,'[1]DBS_KPY Sorumlular'!A:C,2,FALSE)</f>
        <v>Tayfun VİÇE</v>
      </c>
      <c r="Z3548" t="str">
        <f>VLOOKUP(C3548,'[1]DBS_KPY Sorumlular'!A:C,3,FALSE)</f>
        <v>Mehmet Ali YAVUZ</v>
      </c>
      <c r="AA3548" t="str">
        <f>VLOOKUP(K3548,[1]!Tablo3[#Data],2,FALSE)</f>
        <v>Kadir TOPÇU</v>
      </c>
    </row>
    <row r="3549" spans="1:27" x14ac:dyDescent="0.25">
      <c r="A3549">
        <v>4896</v>
      </c>
      <c r="B3549" t="s">
        <v>27</v>
      </c>
      <c r="C3549" t="s">
        <v>402</v>
      </c>
      <c r="D3549" t="s">
        <v>403</v>
      </c>
      <c r="G3549" t="s">
        <v>384</v>
      </c>
      <c r="H3549" t="s">
        <v>9998</v>
      </c>
      <c r="I3549" s="4">
        <v>45443.875</v>
      </c>
      <c r="K3549" t="s">
        <v>1528</v>
      </c>
      <c r="L3549" s="5"/>
      <c r="M3549" s="5" t="s">
        <v>8423</v>
      </c>
      <c r="N3549" t="s">
        <v>82</v>
      </c>
      <c r="O3549" t="s">
        <v>9999</v>
      </c>
      <c r="R3549">
        <v>1</v>
      </c>
      <c r="T3549" s="5"/>
      <c r="W3549">
        <v>270</v>
      </c>
      <c r="X3549" t="s">
        <v>8412</v>
      </c>
      <c r="Y3549" t="str">
        <f>VLOOKUP(C3549,'[1]DBS_KPY Sorumlular'!A:C,2,FALSE)</f>
        <v>Tayfun VİÇE</v>
      </c>
      <c r="Z3549" t="str">
        <f>VLOOKUP(C3549,'[1]DBS_KPY Sorumlular'!A:C,3,FALSE)</f>
        <v>Mehmet Ali YAVUZ</v>
      </c>
      <c r="AA3549" t="str">
        <f>VLOOKUP(K3549,[1]!Tablo3[#Data],2,FALSE)</f>
        <v>Tayfun VİÇE</v>
      </c>
    </row>
    <row r="3550" spans="1:27" x14ac:dyDescent="0.25">
      <c r="A3550">
        <v>4897</v>
      </c>
      <c r="B3550" t="s">
        <v>27</v>
      </c>
      <c r="C3550" t="s">
        <v>402</v>
      </c>
      <c r="D3550" t="s">
        <v>403</v>
      </c>
      <c r="G3550" t="s">
        <v>384</v>
      </c>
      <c r="H3550" t="s">
        <v>10000</v>
      </c>
      <c r="I3550" s="4">
        <v>45443.875</v>
      </c>
      <c r="K3550" t="s">
        <v>743</v>
      </c>
      <c r="L3550" s="5"/>
      <c r="M3550" s="5" t="s">
        <v>8423</v>
      </c>
      <c r="N3550" t="s">
        <v>82</v>
      </c>
      <c r="O3550" t="s">
        <v>10001</v>
      </c>
      <c r="R3550">
        <v>1</v>
      </c>
      <c r="T3550" s="5"/>
      <c r="W3550">
        <v>32</v>
      </c>
      <c r="X3550" t="s">
        <v>4412</v>
      </c>
      <c r="Y3550" t="str">
        <f>VLOOKUP(C3550,'[1]DBS_KPY Sorumlular'!A:C,2,FALSE)</f>
        <v>Tayfun VİÇE</v>
      </c>
      <c r="Z3550" t="str">
        <f>VLOOKUP(C3550,'[1]DBS_KPY Sorumlular'!A:C,3,FALSE)</f>
        <v>Mehmet Ali YAVUZ</v>
      </c>
      <c r="AA3550" t="str">
        <f>VLOOKUP(K3550,[1]!Tablo3[#Data],2,FALSE)</f>
        <v>Kadir TOPÇU</v>
      </c>
    </row>
    <row r="3551" spans="1:27" x14ac:dyDescent="0.25">
      <c r="A3551">
        <v>4898</v>
      </c>
      <c r="B3551" t="s">
        <v>27</v>
      </c>
      <c r="C3551" t="s">
        <v>402</v>
      </c>
      <c r="D3551" t="s">
        <v>403</v>
      </c>
      <c r="G3551" t="s">
        <v>384</v>
      </c>
      <c r="H3551" t="s">
        <v>10002</v>
      </c>
      <c r="I3551" s="4">
        <v>45443.875</v>
      </c>
      <c r="K3551" t="s">
        <v>435</v>
      </c>
      <c r="L3551" s="5"/>
      <c r="M3551" s="5" t="s">
        <v>8423</v>
      </c>
      <c r="N3551" t="s">
        <v>82</v>
      </c>
      <c r="O3551" t="s">
        <v>10003</v>
      </c>
      <c r="R3551">
        <v>1</v>
      </c>
      <c r="T3551" s="5"/>
      <c r="W3551">
        <v>270</v>
      </c>
      <c r="X3551" t="s">
        <v>8412</v>
      </c>
      <c r="Y3551" t="str">
        <f>VLOOKUP(C3551,'[1]DBS_KPY Sorumlular'!A:C,2,FALSE)</f>
        <v>Tayfun VİÇE</v>
      </c>
      <c r="Z3551" t="str">
        <f>VLOOKUP(C3551,'[1]DBS_KPY Sorumlular'!A:C,3,FALSE)</f>
        <v>Mehmet Ali YAVUZ</v>
      </c>
      <c r="AA3551" t="str">
        <f>VLOOKUP(K3551,[1]!Tablo3[#Data],2,FALSE)</f>
        <v>Tayfun VİÇE</v>
      </c>
    </row>
    <row r="3552" spans="1:27" x14ac:dyDescent="0.25">
      <c r="A3552">
        <v>4900</v>
      </c>
      <c r="B3552" t="s">
        <v>27</v>
      </c>
      <c r="C3552" t="s">
        <v>402</v>
      </c>
      <c r="D3552" t="s">
        <v>403</v>
      </c>
      <c r="G3552" t="s">
        <v>384</v>
      </c>
      <c r="H3552" t="s">
        <v>10004</v>
      </c>
      <c r="I3552" s="4">
        <v>45443.875</v>
      </c>
      <c r="K3552" t="s">
        <v>435</v>
      </c>
      <c r="L3552" s="5"/>
      <c r="M3552" s="5" t="s">
        <v>8423</v>
      </c>
      <c r="N3552" t="s">
        <v>82</v>
      </c>
      <c r="O3552" t="s">
        <v>10005</v>
      </c>
      <c r="R3552">
        <v>1</v>
      </c>
      <c r="T3552" s="5"/>
      <c r="W3552">
        <v>270</v>
      </c>
      <c r="X3552" t="s">
        <v>8412</v>
      </c>
      <c r="Y3552" t="str">
        <f>VLOOKUP(C3552,'[1]DBS_KPY Sorumlular'!A:C,2,FALSE)</f>
        <v>Tayfun VİÇE</v>
      </c>
      <c r="Z3552" t="str">
        <f>VLOOKUP(C3552,'[1]DBS_KPY Sorumlular'!A:C,3,FALSE)</f>
        <v>Mehmet Ali YAVUZ</v>
      </c>
      <c r="AA3552" t="str">
        <f>VLOOKUP(K3552,[1]!Tablo3[#Data],2,FALSE)</f>
        <v>Tayfun VİÇE</v>
      </c>
    </row>
    <row r="3553" spans="1:27" x14ac:dyDescent="0.25">
      <c r="A3553">
        <v>4901</v>
      </c>
      <c r="B3553" t="s">
        <v>27</v>
      </c>
      <c r="C3553" t="s">
        <v>402</v>
      </c>
      <c r="D3553" t="s">
        <v>403</v>
      </c>
      <c r="G3553" t="s">
        <v>384</v>
      </c>
      <c r="H3553" t="s">
        <v>10006</v>
      </c>
      <c r="I3553" s="4">
        <v>45443.875</v>
      </c>
      <c r="K3553" t="s">
        <v>435</v>
      </c>
      <c r="L3553" s="5"/>
      <c r="M3553" s="5" t="s">
        <v>8423</v>
      </c>
      <c r="N3553" t="s">
        <v>82</v>
      </c>
      <c r="O3553" t="s">
        <v>10007</v>
      </c>
      <c r="R3553">
        <v>1</v>
      </c>
      <c r="T3553" s="5"/>
      <c r="W3553">
        <v>270</v>
      </c>
      <c r="X3553" t="s">
        <v>8412</v>
      </c>
      <c r="Y3553" t="str">
        <f>VLOOKUP(C3553,'[1]DBS_KPY Sorumlular'!A:C,2,FALSE)</f>
        <v>Tayfun VİÇE</v>
      </c>
      <c r="Z3553" t="str">
        <f>VLOOKUP(C3553,'[1]DBS_KPY Sorumlular'!A:C,3,FALSE)</f>
        <v>Mehmet Ali YAVUZ</v>
      </c>
      <c r="AA3553" t="str">
        <f>VLOOKUP(K3553,[1]!Tablo3[#Data],2,FALSE)</f>
        <v>Tayfun VİÇE</v>
      </c>
    </row>
    <row r="3554" spans="1:27" x14ac:dyDescent="0.25">
      <c r="A3554">
        <v>4902</v>
      </c>
      <c r="B3554" t="s">
        <v>27</v>
      </c>
      <c r="C3554" t="s">
        <v>402</v>
      </c>
      <c r="D3554" t="s">
        <v>403</v>
      </c>
      <c r="G3554" t="s">
        <v>384</v>
      </c>
      <c r="H3554" t="s">
        <v>10008</v>
      </c>
      <c r="I3554" s="4">
        <v>45443.875</v>
      </c>
      <c r="K3554" t="s">
        <v>435</v>
      </c>
      <c r="L3554" s="5"/>
      <c r="M3554" s="5" t="s">
        <v>8423</v>
      </c>
      <c r="N3554" t="s">
        <v>82</v>
      </c>
      <c r="O3554" t="s">
        <v>10009</v>
      </c>
      <c r="R3554">
        <v>1</v>
      </c>
      <c r="T3554" s="5"/>
      <c r="W3554">
        <v>270</v>
      </c>
      <c r="X3554" t="s">
        <v>8412</v>
      </c>
      <c r="Y3554" t="str">
        <f>VLOOKUP(C3554,'[1]DBS_KPY Sorumlular'!A:C,2,FALSE)</f>
        <v>Tayfun VİÇE</v>
      </c>
      <c r="Z3554" t="str">
        <f>VLOOKUP(C3554,'[1]DBS_KPY Sorumlular'!A:C,3,FALSE)</f>
        <v>Mehmet Ali YAVUZ</v>
      </c>
      <c r="AA3554" t="str">
        <f>VLOOKUP(K3554,[1]!Tablo3[#Data],2,FALSE)</f>
        <v>Tayfun VİÇE</v>
      </c>
    </row>
    <row r="3555" spans="1:27" x14ac:dyDescent="0.25">
      <c r="A3555">
        <v>4903</v>
      </c>
      <c r="B3555" t="s">
        <v>27</v>
      </c>
      <c r="C3555" t="s">
        <v>402</v>
      </c>
      <c r="D3555" t="s">
        <v>403</v>
      </c>
      <c r="G3555" t="s">
        <v>384</v>
      </c>
      <c r="H3555" t="s">
        <v>10010</v>
      </c>
      <c r="I3555" s="4">
        <v>45443.875</v>
      </c>
      <c r="K3555" t="s">
        <v>435</v>
      </c>
      <c r="L3555" s="5"/>
      <c r="M3555" s="5" t="s">
        <v>8423</v>
      </c>
      <c r="N3555" t="s">
        <v>82</v>
      </c>
      <c r="O3555" t="s">
        <v>10011</v>
      </c>
      <c r="R3555">
        <v>1</v>
      </c>
      <c r="T3555" s="5"/>
      <c r="W3555">
        <v>270</v>
      </c>
      <c r="X3555" t="s">
        <v>8412</v>
      </c>
      <c r="Y3555" t="str">
        <f>VLOOKUP(C3555,'[1]DBS_KPY Sorumlular'!A:C,2,FALSE)</f>
        <v>Tayfun VİÇE</v>
      </c>
      <c r="Z3555" t="str">
        <f>VLOOKUP(C3555,'[1]DBS_KPY Sorumlular'!A:C,3,FALSE)</f>
        <v>Mehmet Ali YAVUZ</v>
      </c>
      <c r="AA3555" t="str">
        <f>VLOOKUP(K3555,[1]!Tablo3[#Data],2,FALSE)</f>
        <v>Tayfun VİÇE</v>
      </c>
    </row>
    <row r="3556" spans="1:27" x14ac:dyDescent="0.25">
      <c r="A3556">
        <v>4904</v>
      </c>
      <c r="B3556" t="s">
        <v>27</v>
      </c>
      <c r="C3556" t="s">
        <v>402</v>
      </c>
      <c r="D3556" t="s">
        <v>403</v>
      </c>
      <c r="G3556" t="s">
        <v>384</v>
      </c>
      <c r="H3556" t="s">
        <v>10012</v>
      </c>
      <c r="I3556" s="4">
        <v>45443.875</v>
      </c>
      <c r="K3556" t="s">
        <v>435</v>
      </c>
      <c r="L3556" s="5"/>
      <c r="M3556" s="5" t="s">
        <v>8423</v>
      </c>
      <c r="N3556" t="s">
        <v>82</v>
      </c>
      <c r="O3556" t="s">
        <v>10013</v>
      </c>
      <c r="R3556">
        <v>1</v>
      </c>
      <c r="T3556" s="5"/>
      <c r="W3556">
        <v>270</v>
      </c>
      <c r="X3556" t="s">
        <v>8412</v>
      </c>
      <c r="Y3556" t="str">
        <f>VLOOKUP(C3556,'[1]DBS_KPY Sorumlular'!A:C,2,FALSE)</f>
        <v>Tayfun VİÇE</v>
      </c>
      <c r="Z3556" t="str">
        <f>VLOOKUP(C3556,'[1]DBS_KPY Sorumlular'!A:C,3,FALSE)</f>
        <v>Mehmet Ali YAVUZ</v>
      </c>
      <c r="AA3556" t="str">
        <f>VLOOKUP(K3556,[1]!Tablo3[#Data],2,FALSE)</f>
        <v>Tayfun VİÇE</v>
      </c>
    </row>
    <row r="3557" spans="1:27" x14ac:dyDescent="0.25">
      <c r="A3557">
        <v>4905</v>
      </c>
      <c r="B3557" t="s">
        <v>27</v>
      </c>
      <c r="C3557" t="s">
        <v>402</v>
      </c>
      <c r="D3557" t="s">
        <v>403</v>
      </c>
      <c r="G3557" t="s">
        <v>384</v>
      </c>
      <c r="H3557" t="s">
        <v>10014</v>
      </c>
      <c r="I3557" s="4">
        <v>45443.875</v>
      </c>
      <c r="K3557" t="s">
        <v>743</v>
      </c>
      <c r="L3557" s="5"/>
      <c r="M3557" s="5" t="s">
        <v>8423</v>
      </c>
      <c r="N3557" t="s">
        <v>82</v>
      </c>
      <c r="O3557" t="s">
        <v>10015</v>
      </c>
      <c r="R3557">
        <v>1</v>
      </c>
      <c r="T3557" s="5"/>
      <c r="W3557">
        <v>270</v>
      </c>
      <c r="X3557" t="s">
        <v>8412</v>
      </c>
      <c r="Y3557" t="str">
        <f>VLOOKUP(C3557,'[1]DBS_KPY Sorumlular'!A:C,2,FALSE)</f>
        <v>Tayfun VİÇE</v>
      </c>
      <c r="Z3557" t="str">
        <f>VLOOKUP(C3557,'[1]DBS_KPY Sorumlular'!A:C,3,FALSE)</f>
        <v>Mehmet Ali YAVUZ</v>
      </c>
      <c r="AA3557" t="str">
        <f>VLOOKUP(K3557,[1]!Tablo3[#Data],2,FALSE)</f>
        <v>Kadir TOPÇU</v>
      </c>
    </row>
    <row r="3558" spans="1:27" x14ac:dyDescent="0.25">
      <c r="A3558">
        <v>4906</v>
      </c>
      <c r="B3558" t="s">
        <v>27</v>
      </c>
      <c r="C3558" t="s">
        <v>402</v>
      </c>
      <c r="D3558" t="s">
        <v>403</v>
      </c>
      <c r="G3558" t="s">
        <v>384</v>
      </c>
      <c r="H3558" t="s">
        <v>10016</v>
      </c>
      <c r="I3558" s="4">
        <v>45443.875</v>
      </c>
      <c r="K3558" t="s">
        <v>1528</v>
      </c>
      <c r="L3558" s="5"/>
      <c r="M3558" s="5" t="s">
        <v>8423</v>
      </c>
      <c r="N3558" t="s">
        <v>82</v>
      </c>
      <c r="O3558" t="s">
        <v>10017</v>
      </c>
      <c r="R3558">
        <v>1</v>
      </c>
      <c r="T3558" s="5"/>
      <c r="W3558">
        <v>270</v>
      </c>
      <c r="X3558" t="s">
        <v>8412</v>
      </c>
      <c r="Y3558" t="str">
        <f>VLOOKUP(C3558,'[1]DBS_KPY Sorumlular'!A:C,2,FALSE)</f>
        <v>Tayfun VİÇE</v>
      </c>
      <c r="Z3558" t="str">
        <f>VLOOKUP(C3558,'[1]DBS_KPY Sorumlular'!A:C,3,FALSE)</f>
        <v>Mehmet Ali YAVUZ</v>
      </c>
      <c r="AA3558" t="str">
        <f>VLOOKUP(K3558,[1]!Tablo3[#Data],2,FALSE)</f>
        <v>Tayfun VİÇE</v>
      </c>
    </row>
    <row r="3559" spans="1:27" x14ac:dyDescent="0.25">
      <c r="A3559">
        <v>4907</v>
      </c>
      <c r="B3559" t="s">
        <v>27</v>
      </c>
      <c r="C3559" t="s">
        <v>402</v>
      </c>
      <c r="D3559" t="s">
        <v>403</v>
      </c>
      <c r="G3559" t="s">
        <v>384</v>
      </c>
      <c r="H3559" t="s">
        <v>10018</v>
      </c>
      <c r="I3559" s="4">
        <v>45443.875</v>
      </c>
      <c r="K3559" t="s">
        <v>743</v>
      </c>
      <c r="L3559" s="5"/>
      <c r="M3559" s="5" t="s">
        <v>8423</v>
      </c>
      <c r="N3559" t="s">
        <v>82</v>
      </c>
      <c r="O3559" t="s">
        <v>10019</v>
      </c>
      <c r="R3559">
        <v>1</v>
      </c>
      <c r="T3559" s="5"/>
      <c r="W3559">
        <v>270</v>
      </c>
      <c r="X3559" t="s">
        <v>8412</v>
      </c>
      <c r="Y3559" t="str">
        <f>VLOOKUP(C3559,'[1]DBS_KPY Sorumlular'!A:C,2,FALSE)</f>
        <v>Tayfun VİÇE</v>
      </c>
      <c r="Z3559" t="str">
        <f>VLOOKUP(C3559,'[1]DBS_KPY Sorumlular'!A:C,3,FALSE)</f>
        <v>Mehmet Ali YAVUZ</v>
      </c>
      <c r="AA3559" t="str">
        <f>VLOOKUP(K3559,[1]!Tablo3[#Data],2,FALSE)</f>
        <v>Kadir TOPÇU</v>
      </c>
    </row>
    <row r="3560" spans="1:27" x14ac:dyDescent="0.25">
      <c r="A3560">
        <v>4908</v>
      </c>
      <c r="B3560" t="s">
        <v>27</v>
      </c>
      <c r="C3560" t="s">
        <v>402</v>
      </c>
      <c r="D3560" t="s">
        <v>403</v>
      </c>
      <c r="G3560" t="s">
        <v>384</v>
      </c>
      <c r="H3560" t="s">
        <v>10020</v>
      </c>
      <c r="I3560" s="4">
        <v>45443.875</v>
      </c>
      <c r="K3560" t="s">
        <v>743</v>
      </c>
      <c r="L3560" s="5"/>
      <c r="M3560" s="5" t="s">
        <v>8423</v>
      </c>
      <c r="N3560" t="s">
        <v>82</v>
      </c>
      <c r="O3560" t="s">
        <v>10021</v>
      </c>
      <c r="R3560">
        <v>1</v>
      </c>
      <c r="T3560" s="5"/>
      <c r="W3560">
        <v>270</v>
      </c>
      <c r="X3560" t="s">
        <v>8412</v>
      </c>
      <c r="Y3560" t="str">
        <f>VLOOKUP(C3560,'[1]DBS_KPY Sorumlular'!A:C,2,FALSE)</f>
        <v>Tayfun VİÇE</v>
      </c>
      <c r="Z3560" t="str">
        <f>VLOOKUP(C3560,'[1]DBS_KPY Sorumlular'!A:C,3,FALSE)</f>
        <v>Mehmet Ali YAVUZ</v>
      </c>
      <c r="AA3560" t="str">
        <f>VLOOKUP(K3560,[1]!Tablo3[#Data],2,FALSE)</f>
        <v>Kadir TOPÇU</v>
      </c>
    </row>
    <row r="3561" spans="1:27" x14ac:dyDescent="0.25">
      <c r="A3561">
        <v>4909</v>
      </c>
      <c r="B3561" t="s">
        <v>27</v>
      </c>
      <c r="C3561" t="s">
        <v>402</v>
      </c>
      <c r="D3561" t="s">
        <v>403</v>
      </c>
      <c r="G3561" t="s">
        <v>384</v>
      </c>
      <c r="H3561" t="s">
        <v>10022</v>
      </c>
      <c r="I3561" s="4">
        <v>45443.875</v>
      </c>
      <c r="K3561" t="s">
        <v>743</v>
      </c>
      <c r="L3561" s="5"/>
      <c r="M3561" s="5" t="s">
        <v>8423</v>
      </c>
      <c r="N3561" t="s">
        <v>82</v>
      </c>
      <c r="O3561" t="s">
        <v>10023</v>
      </c>
      <c r="R3561">
        <v>1</v>
      </c>
      <c r="T3561" s="5"/>
      <c r="W3561">
        <v>270</v>
      </c>
      <c r="X3561" t="s">
        <v>8412</v>
      </c>
      <c r="Y3561" t="str">
        <f>VLOOKUP(C3561,'[1]DBS_KPY Sorumlular'!A:C,2,FALSE)</f>
        <v>Tayfun VİÇE</v>
      </c>
      <c r="Z3561" t="str">
        <f>VLOOKUP(C3561,'[1]DBS_KPY Sorumlular'!A:C,3,FALSE)</f>
        <v>Mehmet Ali YAVUZ</v>
      </c>
      <c r="AA3561" t="str">
        <f>VLOOKUP(K3561,[1]!Tablo3[#Data],2,FALSE)</f>
        <v>Kadir TOPÇU</v>
      </c>
    </row>
    <row r="3562" spans="1:27" x14ac:dyDescent="0.25">
      <c r="A3562">
        <v>4910</v>
      </c>
      <c r="B3562" t="s">
        <v>27</v>
      </c>
      <c r="C3562" t="s">
        <v>402</v>
      </c>
      <c r="D3562" t="s">
        <v>403</v>
      </c>
      <c r="G3562" t="s">
        <v>384</v>
      </c>
      <c r="H3562" t="s">
        <v>10024</v>
      </c>
      <c r="I3562" s="4">
        <v>45443.875</v>
      </c>
      <c r="K3562" t="s">
        <v>1528</v>
      </c>
      <c r="L3562" s="5"/>
      <c r="M3562" s="5" t="s">
        <v>8423</v>
      </c>
      <c r="N3562" t="s">
        <v>82</v>
      </c>
      <c r="O3562" t="s">
        <v>10025</v>
      </c>
      <c r="R3562">
        <v>1</v>
      </c>
      <c r="T3562" s="5"/>
      <c r="W3562">
        <v>270</v>
      </c>
      <c r="X3562" t="s">
        <v>8412</v>
      </c>
      <c r="Y3562" t="str">
        <f>VLOOKUP(C3562,'[1]DBS_KPY Sorumlular'!A:C,2,FALSE)</f>
        <v>Tayfun VİÇE</v>
      </c>
      <c r="Z3562" t="str">
        <f>VLOOKUP(C3562,'[1]DBS_KPY Sorumlular'!A:C,3,FALSE)</f>
        <v>Mehmet Ali YAVUZ</v>
      </c>
      <c r="AA3562" t="str">
        <f>VLOOKUP(K3562,[1]!Tablo3[#Data],2,FALSE)</f>
        <v>Tayfun VİÇE</v>
      </c>
    </row>
    <row r="3563" spans="1:27" x14ac:dyDescent="0.25">
      <c r="A3563">
        <v>4911</v>
      </c>
      <c r="B3563" t="s">
        <v>27</v>
      </c>
      <c r="C3563" t="s">
        <v>402</v>
      </c>
      <c r="D3563" t="s">
        <v>403</v>
      </c>
      <c r="G3563" t="s">
        <v>384</v>
      </c>
      <c r="H3563" t="s">
        <v>10026</v>
      </c>
      <c r="I3563" s="4">
        <v>45443.875</v>
      </c>
      <c r="K3563" t="s">
        <v>1528</v>
      </c>
      <c r="L3563" s="5"/>
      <c r="M3563" s="5" t="s">
        <v>8423</v>
      </c>
      <c r="N3563" t="s">
        <v>82</v>
      </c>
      <c r="O3563" t="s">
        <v>10027</v>
      </c>
      <c r="R3563">
        <v>1</v>
      </c>
      <c r="T3563" s="5"/>
      <c r="W3563">
        <v>270</v>
      </c>
      <c r="X3563" t="s">
        <v>8412</v>
      </c>
      <c r="Y3563" t="str">
        <f>VLOOKUP(C3563,'[1]DBS_KPY Sorumlular'!A:C,2,FALSE)</f>
        <v>Tayfun VİÇE</v>
      </c>
      <c r="Z3563" t="str">
        <f>VLOOKUP(C3563,'[1]DBS_KPY Sorumlular'!A:C,3,FALSE)</f>
        <v>Mehmet Ali YAVUZ</v>
      </c>
      <c r="AA3563" t="str">
        <f>VLOOKUP(K3563,[1]!Tablo3[#Data],2,FALSE)</f>
        <v>Tayfun VİÇE</v>
      </c>
    </row>
    <row r="3564" spans="1:27" x14ac:dyDescent="0.25">
      <c r="A3564">
        <v>4912</v>
      </c>
      <c r="B3564" t="s">
        <v>27</v>
      </c>
      <c r="C3564" t="s">
        <v>402</v>
      </c>
      <c r="D3564" t="s">
        <v>403</v>
      </c>
      <c r="G3564" t="s">
        <v>384</v>
      </c>
      <c r="H3564" t="s">
        <v>10028</v>
      </c>
      <c r="I3564" s="4">
        <v>45443.875</v>
      </c>
      <c r="K3564" t="s">
        <v>743</v>
      </c>
      <c r="L3564" s="5"/>
      <c r="M3564" s="5" t="s">
        <v>8423</v>
      </c>
      <c r="N3564" t="s">
        <v>82</v>
      </c>
      <c r="O3564" t="s">
        <v>10029</v>
      </c>
      <c r="R3564">
        <v>1</v>
      </c>
      <c r="T3564" s="5"/>
      <c r="W3564">
        <v>270</v>
      </c>
      <c r="X3564" t="s">
        <v>8412</v>
      </c>
      <c r="Y3564" t="str">
        <f>VLOOKUP(C3564,'[1]DBS_KPY Sorumlular'!A:C,2,FALSE)</f>
        <v>Tayfun VİÇE</v>
      </c>
      <c r="Z3564" t="str">
        <f>VLOOKUP(C3564,'[1]DBS_KPY Sorumlular'!A:C,3,FALSE)</f>
        <v>Mehmet Ali YAVUZ</v>
      </c>
      <c r="AA3564" t="str">
        <f>VLOOKUP(K3564,[1]!Tablo3[#Data],2,FALSE)</f>
        <v>Kadir TOPÇU</v>
      </c>
    </row>
    <row r="3565" spans="1:27" x14ac:dyDescent="0.25">
      <c r="A3565">
        <v>4913</v>
      </c>
      <c r="B3565" t="s">
        <v>27</v>
      </c>
      <c r="C3565" t="s">
        <v>402</v>
      </c>
      <c r="D3565" t="s">
        <v>403</v>
      </c>
      <c r="G3565" t="s">
        <v>384</v>
      </c>
      <c r="H3565" t="s">
        <v>10030</v>
      </c>
      <c r="I3565" s="4">
        <v>45443.875</v>
      </c>
      <c r="K3565" t="s">
        <v>1528</v>
      </c>
      <c r="L3565" s="5"/>
      <c r="M3565" s="5" t="s">
        <v>8423</v>
      </c>
      <c r="N3565" t="s">
        <v>82</v>
      </c>
      <c r="O3565" t="s">
        <v>10031</v>
      </c>
      <c r="R3565">
        <v>1</v>
      </c>
      <c r="T3565" s="5"/>
      <c r="W3565">
        <v>270</v>
      </c>
      <c r="X3565" t="s">
        <v>8412</v>
      </c>
      <c r="Y3565" t="str">
        <f>VLOOKUP(C3565,'[1]DBS_KPY Sorumlular'!A:C,2,FALSE)</f>
        <v>Tayfun VİÇE</v>
      </c>
      <c r="Z3565" t="str">
        <f>VLOOKUP(C3565,'[1]DBS_KPY Sorumlular'!A:C,3,FALSE)</f>
        <v>Mehmet Ali YAVUZ</v>
      </c>
      <c r="AA3565" t="str">
        <f>VLOOKUP(K3565,[1]!Tablo3[#Data],2,FALSE)</f>
        <v>Tayfun VİÇE</v>
      </c>
    </row>
    <row r="3566" spans="1:27" x14ac:dyDescent="0.25">
      <c r="A3566">
        <v>4914</v>
      </c>
      <c r="B3566" t="s">
        <v>27</v>
      </c>
      <c r="C3566" t="s">
        <v>402</v>
      </c>
      <c r="D3566" t="s">
        <v>403</v>
      </c>
      <c r="G3566" t="s">
        <v>384</v>
      </c>
      <c r="H3566" t="s">
        <v>10032</v>
      </c>
      <c r="I3566" s="4">
        <v>45443.875</v>
      </c>
      <c r="K3566" t="s">
        <v>743</v>
      </c>
      <c r="L3566" s="5"/>
      <c r="M3566" s="5" t="s">
        <v>8423</v>
      </c>
      <c r="N3566" t="s">
        <v>82</v>
      </c>
      <c r="O3566" t="s">
        <v>10033</v>
      </c>
      <c r="R3566">
        <v>1</v>
      </c>
      <c r="T3566" s="5"/>
      <c r="W3566">
        <v>270</v>
      </c>
      <c r="X3566" t="s">
        <v>8412</v>
      </c>
      <c r="Y3566" t="str">
        <f>VLOOKUP(C3566,'[1]DBS_KPY Sorumlular'!A:C,2,FALSE)</f>
        <v>Tayfun VİÇE</v>
      </c>
      <c r="Z3566" t="str">
        <f>VLOOKUP(C3566,'[1]DBS_KPY Sorumlular'!A:C,3,FALSE)</f>
        <v>Mehmet Ali YAVUZ</v>
      </c>
      <c r="AA3566" t="str">
        <f>VLOOKUP(K3566,[1]!Tablo3[#Data],2,FALSE)</f>
        <v>Kadir TOPÇU</v>
      </c>
    </row>
    <row r="3567" spans="1:27" x14ac:dyDescent="0.25">
      <c r="A3567">
        <v>4915</v>
      </c>
      <c r="B3567" t="s">
        <v>27</v>
      </c>
      <c r="C3567" t="s">
        <v>402</v>
      </c>
      <c r="D3567" t="s">
        <v>403</v>
      </c>
      <c r="G3567" t="s">
        <v>384</v>
      </c>
      <c r="H3567" t="s">
        <v>10034</v>
      </c>
      <c r="I3567" s="4">
        <v>45443.875</v>
      </c>
      <c r="K3567" t="s">
        <v>743</v>
      </c>
      <c r="L3567" s="5"/>
      <c r="M3567" s="5" t="s">
        <v>8423</v>
      </c>
      <c r="N3567" t="s">
        <v>82</v>
      </c>
      <c r="O3567" t="s">
        <v>10035</v>
      </c>
      <c r="R3567">
        <v>1</v>
      </c>
      <c r="T3567" s="5"/>
      <c r="W3567">
        <v>270</v>
      </c>
      <c r="X3567" t="s">
        <v>8412</v>
      </c>
      <c r="Y3567" t="str">
        <f>VLOOKUP(C3567,'[1]DBS_KPY Sorumlular'!A:C,2,FALSE)</f>
        <v>Tayfun VİÇE</v>
      </c>
      <c r="Z3567" t="str">
        <f>VLOOKUP(C3567,'[1]DBS_KPY Sorumlular'!A:C,3,FALSE)</f>
        <v>Mehmet Ali YAVUZ</v>
      </c>
      <c r="AA3567" t="str">
        <f>VLOOKUP(K3567,[1]!Tablo3[#Data],2,FALSE)</f>
        <v>Kadir TOPÇU</v>
      </c>
    </row>
    <row r="3568" spans="1:27" x14ac:dyDescent="0.25">
      <c r="A3568">
        <v>4916</v>
      </c>
      <c r="B3568" t="s">
        <v>27</v>
      </c>
      <c r="C3568" t="s">
        <v>402</v>
      </c>
      <c r="D3568" t="s">
        <v>403</v>
      </c>
      <c r="G3568" t="s">
        <v>384</v>
      </c>
      <c r="H3568" t="s">
        <v>10036</v>
      </c>
      <c r="I3568" s="4">
        <v>45443.875</v>
      </c>
      <c r="K3568" t="s">
        <v>914</v>
      </c>
      <c r="L3568" s="5"/>
      <c r="M3568" s="5" t="s">
        <v>8423</v>
      </c>
      <c r="N3568" t="s">
        <v>82</v>
      </c>
      <c r="O3568" t="s">
        <v>10037</v>
      </c>
      <c r="R3568">
        <v>1</v>
      </c>
      <c r="T3568" s="5"/>
      <c r="W3568">
        <v>270</v>
      </c>
      <c r="X3568" t="s">
        <v>8412</v>
      </c>
      <c r="Y3568" t="str">
        <f>VLOOKUP(C3568,'[1]DBS_KPY Sorumlular'!A:C,2,FALSE)</f>
        <v>Tayfun VİÇE</v>
      </c>
      <c r="Z3568" t="str">
        <f>VLOOKUP(C3568,'[1]DBS_KPY Sorumlular'!A:C,3,FALSE)</f>
        <v>Mehmet Ali YAVUZ</v>
      </c>
      <c r="AA3568" t="str">
        <f>VLOOKUP(K3568,[1]!Tablo3[#Data],2,FALSE)</f>
        <v>Tayfun VİÇE</v>
      </c>
    </row>
    <row r="3569" spans="1:27" x14ac:dyDescent="0.25">
      <c r="A3569">
        <v>4917</v>
      </c>
      <c r="B3569" t="s">
        <v>27</v>
      </c>
      <c r="C3569" t="s">
        <v>402</v>
      </c>
      <c r="D3569" t="s">
        <v>403</v>
      </c>
      <c r="G3569" t="s">
        <v>384</v>
      </c>
      <c r="H3569" t="s">
        <v>10038</v>
      </c>
      <c r="I3569" s="4">
        <v>45443.875</v>
      </c>
      <c r="K3569" t="s">
        <v>1550</v>
      </c>
      <c r="L3569" s="5"/>
      <c r="M3569" s="5" t="s">
        <v>8423</v>
      </c>
      <c r="N3569" t="s">
        <v>82</v>
      </c>
      <c r="O3569" t="s">
        <v>10039</v>
      </c>
      <c r="R3569">
        <v>1</v>
      </c>
      <c r="T3569" s="5"/>
      <c r="W3569">
        <v>270</v>
      </c>
      <c r="X3569" t="s">
        <v>8412</v>
      </c>
      <c r="Y3569" t="str">
        <f>VLOOKUP(C3569,'[1]DBS_KPY Sorumlular'!A:C,2,FALSE)</f>
        <v>Tayfun VİÇE</v>
      </c>
      <c r="Z3569" t="str">
        <f>VLOOKUP(C3569,'[1]DBS_KPY Sorumlular'!A:C,3,FALSE)</f>
        <v>Mehmet Ali YAVUZ</v>
      </c>
      <c r="AA3569" t="str">
        <f>VLOOKUP(K3569,[1]!Tablo3[#Data],2,FALSE)</f>
        <v>Kadir TOPÇU</v>
      </c>
    </row>
    <row r="3570" spans="1:27" x14ac:dyDescent="0.25">
      <c r="A3570">
        <v>4918</v>
      </c>
      <c r="B3570" t="s">
        <v>27</v>
      </c>
      <c r="C3570" t="s">
        <v>402</v>
      </c>
      <c r="D3570" t="s">
        <v>403</v>
      </c>
      <c r="G3570" t="s">
        <v>384</v>
      </c>
      <c r="H3570" t="s">
        <v>10040</v>
      </c>
      <c r="I3570" s="4">
        <v>45443.875</v>
      </c>
      <c r="K3570" t="s">
        <v>743</v>
      </c>
      <c r="L3570" s="5"/>
      <c r="M3570" s="5" t="s">
        <v>8423</v>
      </c>
      <c r="N3570" t="s">
        <v>82</v>
      </c>
      <c r="O3570" t="s">
        <v>10041</v>
      </c>
      <c r="R3570">
        <v>1</v>
      </c>
      <c r="T3570" s="5"/>
      <c r="W3570">
        <v>270</v>
      </c>
      <c r="X3570" t="s">
        <v>8412</v>
      </c>
      <c r="Y3570" t="str">
        <f>VLOOKUP(C3570,'[1]DBS_KPY Sorumlular'!A:C,2,FALSE)</f>
        <v>Tayfun VİÇE</v>
      </c>
      <c r="Z3570" t="str">
        <f>VLOOKUP(C3570,'[1]DBS_KPY Sorumlular'!A:C,3,FALSE)</f>
        <v>Mehmet Ali YAVUZ</v>
      </c>
      <c r="AA3570" t="str">
        <f>VLOOKUP(K3570,[1]!Tablo3[#Data],2,FALSE)</f>
        <v>Kadir TOPÇU</v>
      </c>
    </row>
    <row r="3571" spans="1:27" x14ac:dyDescent="0.25">
      <c r="A3571">
        <v>4919</v>
      </c>
      <c r="B3571" t="s">
        <v>27</v>
      </c>
      <c r="C3571" t="s">
        <v>402</v>
      </c>
      <c r="D3571" t="s">
        <v>403</v>
      </c>
      <c r="G3571" t="s">
        <v>384</v>
      </c>
      <c r="H3571" t="s">
        <v>10042</v>
      </c>
      <c r="I3571" s="4">
        <v>45443.875</v>
      </c>
      <c r="K3571" t="s">
        <v>1528</v>
      </c>
      <c r="L3571" s="5"/>
      <c r="M3571" s="5" t="s">
        <v>8423</v>
      </c>
      <c r="N3571" t="s">
        <v>82</v>
      </c>
      <c r="O3571" t="s">
        <v>10043</v>
      </c>
      <c r="R3571">
        <v>1</v>
      </c>
      <c r="T3571" s="5"/>
      <c r="W3571">
        <v>270</v>
      </c>
      <c r="X3571" t="s">
        <v>8412</v>
      </c>
      <c r="Y3571" t="str">
        <f>VLOOKUP(C3571,'[1]DBS_KPY Sorumlular'!A:C,2,FALSE)</f>
        <v>Tayfun VİÇE</v>
      </c>
      <c r="Z3571" t="str">
        <f>VLOOKUP(C3571,'[1]DBS_KPY Sorumlular'!A:C,3,FALSE)</f>
        <v>Mehmet Ali YAVUZ</v>
      </c>
      <c r="AA3571" t="str">
        <f>VLOOKUP(K3571,[1]!Tablo3[#Data],2,FALSE)</f>
        <v>Tayfun VİÇE</v>
      </c>
    </row>
    <row r="3572" spans="1:27" x14ac:dyDescent="0.25">
      <c r="A3572">
        <v>4920</v>
      </c>
      <c r="B3572" t="s">
        <v>27</v>
      </c>
      <c r="C3572" t="s">
        <v>402</v>
      </c>
      <c r="D3572" t="s">
        <v>403</v>
      </c>
      <c r="G3572" t="s">
        <v>384</v>
      </c>
      <c r="H3572" t="s">
        <v>10044</v>
      </c>
      <c r="I3572" s="4">
        <v>45443.875</v>
      </c>
      <c r="K3572" t="s">
        <v>743</v>
      </c>
      <c r="L3572" s="5"/>
      <c r="M3572" s="5" t="s">
        <v>8423</v>
      </c>
      <c r="N3572" t="s">
        <v>82</v>
      </c>
      <c r="O3572" t="s">
        <v>10045</v>
      </c>
      <c r="R3572">
        <v>1</v>
      </c>
      <c r="T3572" s="5"/>
      <c r="W3572">
        <v>270</v>
      </c>
      <c r="X3572" t="s">
        <v>8412</v>
      </c>
      <c r="Y3572" t="str">
        <f>VLOOKUP(C3572,'[1]DBS_KPY Sorumlular'!A:C,2,FALSE)</f>
        <v>Tayfun VİÇE</v>
      </c>
      <c r="Z3572" t="str">
        <f>VLOOKUP(C3572,'[1]DBS_KPY Sorumlular'!A:C,3,FALSE)</f>
        <v>Mehmet Ali YAVUZ</v>
      </c>
      <c r="AA3572" t="str">
        <f>VLOOKUP(K3572,[1]!Tablo3[#Data],2,FALSE)</f>
        <v>Kadir TOPÇU</v>
      </c>
    </row>
    <row r="3573" spans="1:27" x14ac:dyDescent="0.25">
      <c r="A3573">
        <v>4921</v>
      </c>
      <c r="B3573" t="s">
        <v>27</v>
      </c>
      <c r="C3573" t="s">
        <v>402</v>
      </c>
      <c r="D3573" t="s">
        <v>403</v>
      </c>
      <c r="G3573" t="s">
        <v>384</v>
      </c>
      <c r="H3573" t="s">
        <v>10046</v>
      </c>
      <c r="I3573" s="4">
        <v>45443.875</v>
      </c>
      <c r="K3573" t="s">
        <v>743</v>
      </c>
      <c r="L3573" s="5"/>
      <c r="M3573" s="5" t="s">
        <v>8423</v>
      </c>
      <c r="N3573" t="s">
        <v>82</v>
      </c>
      <c r="O3573" t="s">
        <v>10047</v>
      </c>
      <c r="R3573">
        <v>1</v>
      </c>
      <c r="T3573" s="5"/>
      <c r="W3573">
        <v>270</v>
      </c>
      <c r="X3573" t="s">
        <v>8412</v>
      </c>
      <c r="Y3573" t="str">
        <f>VLOOKUP(C3573,'[1]DBS_KPY Sorumlular'!A:C,2,FALSE)</f>
        <v>Tayfun VİÇE</v>
      </c>
      <c r="Z3573" t="str">
        <f>VLOOKUP(C3573,'[1]DBS_KPY Sorumlular'!A:C,3,FALSE)</f>
        <v>Mehmet Ali YAVUZ</v>
      </c>
      <c r="AA3573" t="str">
        <f>VLOOKUP(K3573,[1]!Tablo3[#Data],2,FALSE)</f>
        <v>Kadir TOPÇU</v>
      </c>
    </row>
    <row r="3574" spans="1:27" x14ac:dyDescent="0.25">
      <c r="A3574">
        <v>4922</v>
      </c>
      <c r="B3574" t="s">
        <v>27</v>
      </c>
      <c r="C3574" t="s">
        <v>402</v>
      </c>
      <c r="D3574" t="s">
        <v>403</v>
      </c>
      <c r="G3574" t="s">
        <v>384</v>
      </c>
      <c r="H3574" t="s">
        <v>10048</v>
      </c>
      <c r="I3574" s="4">
        <v>45443.875</v>
      </c>
      <c r="K3574" t="s">
        <v>743</v>
      </c>
      <c r="L3574" s="5"/>
      <c r="M3574" s="5" t="s">
        <v>8423</v>
      </c>
      <c r="N3574" t="s">
        <v>82</v>
      </c>
      <c r="O3574" t="s">
        <v>10049</v>
      </c>
      <c r="R3574">
        <v>1</v>
      </c>
      <c r="T3574" s="5"/>
      <c r="W3574">
        <v>270</v>
      </c>
      <c r="X3574" t="s">
        <v>8412</v>
      </c>
      <c r="Y3574" t="str">
        <f>VLOOKUP(C3574,'[1]DBS_KPY Sorumlular'!A:C,2,FALSE)</f>
        <v>Tayfun VİÇE</v>
      </c>
      <c r="Z3574" t="str">
        <f>VLOOKUP(C3574,'[1]DBS_KPY Sorumlular'!A:C,3,FALSE)</f>
        <v>Mehmet Ali YAVUZ</v>
      </c>
      <c r="AA3574" t="str">
        <f>VLOOKUP(K3574,[1]!Tablo3[#Data],2,FALSE)</f>
        <v>Kadir TOPÇU</v>
      </c>
    </row>
    <row r="3575" spans="1:27" x14ac:dyDescent="0.25">
      <c r="A3575">
        <v>4923</v>
      </c>
      <c r="B3575" t="s">
        <v>27</v>
      </c>
      <c r="C3575" t="s">
        <v>402</v>
      </c>
      <c r="D3575" t="s">
        <v>403</v>
      </c>
      <c r="G3575" t="s">
        <v>384</v>
      </c>
      <c r="H3575" t="s">
        <v>10050</v>
      </c>
      <c r="I3575" s="4">
        <v>45443.875</v>
      </c>
      <c r="K3575" t="s">
        <v>743</v>
      </c>
      <c r="L3575" s="5"/>
      <c r="M3575" s="5" t="s">
        <v>8423</v>
      </c>
      <c r="N3575" t="s">
        <v>82</v>
      </c>
      <c r="O3575" t="s">
        <v>10051</v>
      </c>
      <c r="R3575">
        <v>1</v>
      </c>
      <c r="T3575" s="5"/>
      <c r="W3575">
        <v>270</v>
      </c>
      <c r="X3575" t="s">
        <v>8412</v>
      </c>
      <c r="Y3575" t="str">
        <f>VLOOKUP(C3575,'[1]DBS_KPY Sorumlular'!A:C,2,FALSE)</f>
        <v>Tayfun VİÇE</v>
      </c>
      <c r="Z3575" t="str">
        <f>VLOOKUP(C3575,'[1]DBS_KPY Sorumlular'!A:C,3,FALSE)</f>
        <v>Mehmet Ali YAVUZ</v>
      </c>
      <c r="AA3575" t="str">
        <f>VLOOKUP(K3575,[1]!Tablo3[#Data],2,FALSE)</f>
        <v>Kadir TOPÇU</v>
      </c>
    </row>
    <row r="3576" spans="1:27" x14ac:dyDescent="0.25">
      <c r="A3576">
        <v>4924</v>
      </c>
      <c r="B3576" t="s">
        <v>27</v>
      </c>
      <c r="C3576" t="s">
        <v>402</v>
      </c>
      <c r="D3576" t="s">
        <v>403</v>
      </c>
      <c r="G3576" t="s">
        <v>384</v>
      </c>
      <c r="H3576" t="s">
        <v>10052</v>
      </c>
      <c r="I3576" s="4">
        <v>45443.875</v>
      </c>
      <c r="K3576" t="s">
        <v>743</v>
      </c>
      <c r="L3576" s="5"/>
      <c r="M3576" s="5" t="s">
        <v>8423</v>
      </c>
      <c r="N3576" t="s">
        <v>82</v>
      </c>
      <c r="O3576" t="s">
        <v>10053</v>
      </c>
      <c r="R3576">
        <v>1</v>
      </c>
      <c r="T3576" s="5"/>
      <c r="W3576">
        <v>270</v>
      </c>
      <c r="X3576" t="s">
        <v>8412</v>
      </c>
      <c r="Y3576" t="str">
        <f>VLOOKUP(C3576,'[1]DBS_KPY Sorumlular'!A:C,2,FALSE)</f>
        <v>Tayfun VİÇE</v>
      </c>
      <c r="Z3576" t="str">
        <f>VLOOKUP(C3576,'[1]DBS_KPY Sorumlular'!A:C,3,FALSE)</f>
        <v>Mehmet Ali YAVUZ</v>
      </c>
      <c r="AA3576" t="str">
        <f>VLOOKUP(K3576,[1]!Tablo3[#Data],2,FALSE)</f>
        <v>Kadir TOPÇU</v>
      </c>
    </row>
    <row r="3577" spans="1:27" x14ac:dyDescent="0.25">
      <c r="A3577">
        <v>4925</v>
      </c>
      <c r="B3577" t="s">
        <v>27</v>
      </c>
      <c r="C3577" t="s">
        <v>402</v>
      </c>
      <c r="D3577" t="s">
        <v>403</v>
      </c>
      <c r="G3577" t="s">
        <v>384</v>
      </c>
      <c r="H3577" t="s">
        <v>10054</v>
      </c>
      <c r="I3577" s="4">
        <v>45443.875</v>
      </c>
      <c r="K3577" t="s">
        <v>743</v>
      </c>
      <c r="L3577" s="5"/>
      <c r="M3577" s="5" t="s">
        <v>8423</v>
      </c>
      <c r="N3577" t="s">
        <v>82</v>
      </c>
      <c r="O3577" t="s">
        <v>10055</v>
      </c>
      <c r="R3577">
        <v>1</v>
      </c>
      <c r="T3577" s="5"/>
      <c r="W3577">
        <v>270</v>
      </c>
      <c r="X3577" t="s">
        <v>8412</v>
      </c>
      <c r="Y3577" t="str">
        <f>VLOOKUP(C3577,'[1]DBS_KPY Sorumlular'!A:C,2,FALSE)</f>
        <v>Tayfun VİÇE</v>
      </c>
      <c r="Z3577" t="str">
        <f>VLOOKUP(C3577,'[1]DBS_KPY Sorumlular'!A:C,3,FALSE)</f>
        <v>Mehmet Ali YAVUZ</v>
      </c>
      <c r="AA3577" t="str">
        <f>VLOOKUP(K3577,[1]!Tablo3[#Data],2,FALSE)</f>
        <v>Kadir TOPÇU</v>
      </c>
    </row>
    <row r="3578" spans="1:27" x14ac:dyDescent="0.25">
      <c r="A3578">
        <v>4926</v>
      </c>
      <c r="B3578" t="s">
        <v>27</v>
      </c>
      <c r="C3578" t="s">
        <v>402</v>
      </c>
      <c r="D3578" t="s">
        <v>403</v>
      </c>
      <c r="G3578" t="s">
        <v>384</v>
      </c>
      <c r="H3578" t="s">
        <v>10056</v>
      </c>
      <c r="I3578" s="4">
        <v>45443.875</v>
      </c>
      <c r="K3578" t="s">
        <v>743</v>
      </c>
      <c r="L3578" s="5"/>
      <c r="M3578" s="5" t="s">
        <v>8423</v>
      </c>
      <c r="N3578" t="s">
        <v>82</v>
      </c>
      <c r="O3578" t="s">
        <v>10057</v>
      </c>
      <c r="R3578">
        <v>1</v>
      </c>
      <c r="T3578" s="5"/>
      <c r="W3578">
        <v>270</v>
      </c>
      <c r="X3578" t="s">
        <v>8412</v>
      </c>
      <c r="Y3578" t="str">
        <f>VLOOKUP(C3578,'[1]DBS_KPY Sorumlular'!A:C,2,FALSE)</f>
        <v>Tayfun VİÇE</v>
      </c>
      <c r="Z3578" t="str">
        <f>VLOOKUP(C3578,'[1]DBS_KPY Sorumlular'!A:C,3,FALSE)</f>
        <v>Mehmet Ali YAVUZ</v>
      </c>
      <c r="AA3578" t="str">
        <f>VLOOKUP(K3578,[1]!Tablo3[#Data],2,FALSE)</f>
        <v>Kadir TOPÇU</v>
      </c>
    </row>
    <row r="3579" spans="1:27" x14ac:dyDescent="0.25">
      <c r="A3579">
        <v>4927</v>
      </c>
      <c r="B3579" t="s">
        <v>27</v>
      </c>
      <c r="C3579" t="s">
        <v>402</v>
      </c>
      <c r="D3579" t="s">
        <v>403</v>
      </c>
      <c r="G3579" t="s">
        <v>384</v>
      </c>
      <c r="H3579" t="s">
        <v>10058</v>
      </c>
      <c r="I3579" s="4">
        <v>45443.875</v>
      </c>
      <c r="K3579" t="s">
        <v>743</v>
      </c>
      <c r="L3579" s="5"/>
      <c r="M3579" s="5" t="s">
        <v>8423</v>
      </c>
      <c r="N3579" t="s">
        <v>82</v>
      </c>
      <c r="O3579" t="s">
        <v>10059</v>
      </c>
      <c r="R3579">
        <v>1</v>
      </c>
      <c r="T3579" s="5"/>
      <c r="W3579">
        <v>270</v>
      </c>
      <c r="X3579" t="s">
        <v>8412</v>
      </c>
      <c r="Y3579" t="str">
        <f>VLOOKUP(C3579,'[1]DBS_KPY Sorumlular'!A:C,2,FALSE)</f>
        <v>Tayfun VİÇE</v>
      </c>
      <c r="Z3579" t="str">
        <f>VLOOKUP(C3579,'[1]DBS_KPY Sorumlular'!A:C,3,FALSE)</f>
        <v>Mehmet Ali YAVUZ</v>
      </c>
      <c r="AA3579" t="str">
        <f>VLOOKUP(K3579,[1]!Tablo3[#Data],2,FALSE)</f>
        <v>Kadir TOPÇU</v>
      </c>
    </row>
    <row r="3580" spans="1:27" x14ac:dyDescent="0.25">
      <c r="A3580">
        <v>4928</v>
      </c>
      <c r="B3580" t="s">
        <v>27</v>
      </c>
      <c r="C3580" t="s">
        <v>402</v>
      </c>
      <c r="D3580" t="s">
        <v>403</v>
      </c>
      <c r="G3580" t="s">
        <v>384</v>
      </c>
      <c r="H3580" t="s">
        <v>10060</v>
      </c>
      <c r="I3580" s="4">
        <v>45443.875</v>
      </c>
      <c r="K3580" t="s">
        <v>1528</v>
      </c>
      <c r="L3580" s="5"/>
      <c r="M3580" s="5" t="s">
        <v>8423</v>
      </c>
      <c r="N3580" t="s">
        <v>82</v>
      </c>
      <c r="O3580" t="s">
        <v>10061</v>
      </c>
      <c r="R3580">
        <v>1</v>
      </c>
      <c r="T3580" s="5"/>
      <c r="W3580">
        <v>270</v>
      </c>
      <c r="X3580" t="s">
        <v>8412</v>
      </c>
      <c r="Y3580" t="str">
        <f>VLOOKUP(C3580,'[1]DBS_KPY Sorumlular'!A:C,2,FALSE)</f>
        <v>Tayfun VİÇE</v>
      </c>
      <c r="Z3580" t="str">
        <f>VLOOKUP(C3580,'[1]DBS_KPY Sorumlular'!A:C,3,FALSE)</f>
        <v>Mehmet Ali YAVUZ</v>
      </c>
      <c r="AA3580" t="str">
        <f>VLOOKUP(K3580,[1]!Tablo3[#Data],2,FALSE)</f>
        <v>Tayfun VİÇE</v>
      </c>
    </row>
    <row r="3581" spans="1:27" x14ac:dyDescent="0.25">
      <c r="A3581">
        <v>4929</v>
      </c>
      <c r="B3581" t="s">
        <v>27</v>
      </c>
      <c r="C3581" t="s">
        <v>402</v>
      </c>
      <c r="D3581" t="s">
        <v>403</v>
      </c>
      <c r="G3581" t="s">
        <v>384</v>
      </c>
      <c r="H3581" t="s">
        <v>10062</v>
      </c>
      <c r="I3581" s="4">
        <v>45443.875</v>
      </c>
      <c r="K3581" t="s">
        <v>1528</v>
      </c>
      <c r="L3581" s="5"/>
      <c r="M3581" s="5" t="s">
        <v>8423</v>
      </c>
      <c r="N3581" t="s">
        <v>82</v>
      </c>
      <c r="O3581" t="s">
        <v>10063</v>
      </c>
      <c r="R3581">
        <v>1</v>
      </c>
      <c r="T3581" s="5"/>
      <c r="W3581">
        <v>270</v>
      </c>
      <c r="X3581" t="s">
        <v>8412</v>
      </c>
      <c r="Y3581" t="str">
        <f>VLOOKUP(C3581,'[1]DBS_KPY Sorumlular'!A:C,2,FALSE)</f>
        <v>Tayfun VİÇE</v>
      </c>
      <c r="Z3581" t="str">
        <f>VLOOKUP(C3581,'[1]DBS_KPY Sorumlular'!A:C,3,FALSE)</f>
        <v>Mehmet Ali YAVUZ</v>
      </c>
      <c r="AA3581" t="str">
        <f>VLOOKUP(K3581,[1]!Tablo3[#Data],2,FALSE)</f>
        <v>Tayfun VİÇE</v>
      </c>
    </row>
    <row r="3582" spans="1:27" x14ac:dyDescent="0.25">
      <c r="A3582">
        <v>4930</v>
      </c>
      <c r="B3582" t="s">
        <v>27</v>
      </c>
      <c r="C3582" t="s">
        <v>402</v>
      </c>
      <c r="D3582" t="s">
        <v>403</v>
      </c>
      <c r="G3582" t="s">
        <v>384</v>
      </c>
      <c r="H3582" t="s">
        <v>10064</v>
      </c>
      <c r="I3582" s="4">
        <v>45443.875</v>
      </c>
      <c r="K3582" t="s">
        <v>743</v>
      </c>
      <c r="L3582" s="5"/>
      <c r="M3582" s="5" t="s">
        <v>8423</v>
      </c>
      <c r="N3582" t="s">
        <v>82</v>
      </c>
      <c r="O3582" t="s">
        <v>10065</v>
      </c>
      <c r="R3582">
        <v>1</v>
      </c>
      <c r="T3582" s="5"/>
      <c r="W3582">
        <v>270</v>
      </c>
      <c r="X3582" t="s">
        <v>8412</v>
      </c>
      <c r="Y3582" t="str">
        <f>VLOOKUP(C3582,'[1]DBS_KPY Sorumlular'!A:C,2,FALSE)</f>
        <v>Tayfun VİÇE</v>
      </c>
      <c r="Z3582" t="str">
        <f>VLOOKUP(C3582,'[1]DBS_KPY Sorumlular'!A:C,3,FALSE)</f>
        <v>Mehmet Ali YAVUZ</v>
      </c>
      <c r="AA3582" t="str">
        <f>VLOOKUP(K3582,[1]!Tablo3[#Data],2,FALSE)</f>
        <v>Kadir TOPÇU</v>
      </c>
    </row>
    <row r="3583" spans="1:27" x14ac:dyDescent="0.25">
      <c r="A3583">
        <v>4931</v>
      </c>
      <c r="B3583" t="s">
        <v>27</v>
      </c>
      <c r="C3583" t="s">
        <v>402</v>
      </c>
      <c r="D3583" t="s">
        <v>403</v>
      </c>
      <c r="G3583" t="s">
        <v>384</v>
      </c>
      <c r="H3583" t="s">
        <v>10066</v>
      </c>
      <c r="I3583" s="4">
        <v>45443.875</v>
      </c>
      <c r="K3583" t="s">
        <v>743</v>
      </c>
      <c r="L3583" s="5"/>
      <c r="M3583" s="5" t="s">
        <v>8423</v>
      </c>
      <c r="N3583" t="s">
        <v>82</v>
      </c>
      <c r="O3583" t="s">
        <v>10067</v>
      </c>
      <c r="R3583">
        <v>1</v>
      </c>
      <c r="T3583" s="5"/>
      <c r="W3583">
        <v>270</v>
      </c>
      <c r="X3583" t="s">
        <v>8412</v>
      </c>
      <c r="Y3583" t="str">
        <f>VLOOKUP(C3583,'[1]DBS_KPY Sorumlular'!A:C,2,FALSE)</f>
        <v>Tayfun VİÇE</v>
      </c>
      <c r="Z3583" t="str">
        <f>VLOOKUP(C3583,'[1]DBS_KPY Sorumlular'!A:C,3,FALSE)</f>
        <v>Mehmet Ali YAVUZ</v>
      </c>
      <c r="AA3583" t="str">
        <f>VLOOKUP(K3583,[1]!Tablo3[#Data],2,FALSE)</f>
        <v>Kadir TOPÇU</v>
      </c>
    </row>
    <row r="3584" spans="1:27" x14ac:dyDescent="0.25">
      <c r="A3584">
        <v>4932</v>
      </c>
      <c r="B3584" t="s">
        <v>27</v>
      </c>
      <c r="C3584" t="s">
        <v>402</v>
      </c>
      <c r="D3584" t="s">
        <v>403</v>
      </c>
      <c r="G3584" t="s">
        <v>384</v>
      </c>
      <c r="H3584" t="s">
        <v>10068</v>
      </c>
      <c r="I3584" s="4">
        <v>45443.875</v>
      </c>
      <c r="K3584" t="s">
        <v>743</v>
      </c>
      <c r="L3584" s="5"/>
      <c r="M3584" s="5" t="s">
        <v>8423</v>
      </c>
      <c r="N3584" t="s">
        <v>82</v>
      </c>
      <c r="O3584" t="s">
        <v>10069</v>
      </c>
      <c r="R3584">
        <v>1</v>
      </c>
      <c r="T3584" s="5"/>
      <c r="W3584">
        <v>270</v>
      </c>
      <c r="X3584" t="s">
        <v>8412</v>
      </c>
      <c r="Y3584" t="str">
        <f>VLOOKUP(C3584,'[1]DBS_KPY Sorumlular'!A:C,2,FALSE)</f>
        <v>Tayfun VİÇE</v>
      </c>
      <c r="Z3584" t="str">
        <f>VLOOKUP(C3584,'[1]DBS_KPY Sorumlular'!A:C,3,FALSE)</f>
        <v>Mehmet Ali YAVUZ</v>
      </c>
      <c r="AA3584" t="str">
        <f>VLOOKUP(K3584,[1]!Tablo3[#Data],2,FALSE)</f>
        <v>Kadir TOPÇU</v>
      </c>
    </row>
    <row r="3585" spans="1:27" x14ac:dyDescent="0.25">
      <c r="A3585">
        <v>4933</v>
      </c>
      <c r="B3585" t="s">
        <v>27</v>
      </c>
      <c r="C3585" t="s">
        <v>402</v>
      </c>
      <c r="D3585" t="s">
        <v>403</v>
      </c>
      <c r="G3585" t="s">
        <v>384</v>
      </c>
      <c r="H3585" t="s">
        <v>10070</v>
      </c>
      <c r="I3585" s="4">
        <v>45443.875</v>
      </c>
      <c r="K3585" t="s">
        <v>1528</v>
      </c>
      <c r="L3585" s="5"/>
      <c r="M3585" s="5" t="s">
        <v>8423</v>
      </c>
      <c r="N3585" t="s">
        <v>82</v>
      </c>
      <c r="O3585" t="s">
        <v>10071</v>
      </c>
      <c r="R3585">
        <v>1</v>
      </c>
      <c r="T3585" s="5"/>
      <c r="W3585">
        <v>270</v>
      </c>
      <c r="X3585" t="s">
        <v>8412</v>
      </c>
      <c r="Y3585" t="str">
        <f>VLOOKUP(C3585,'[1]DBS_KPY Sorumlular'!A:C,2,FALSE)</f>
        <v>Tayfun VİÇE</v>
      </c>
      <c r="Z3585" t="str">
        <f>VLOOKUP(C3585,'[1]DBS_KPY Sorumlular'!A:C,3,FALSE)</f>
        <v>Mehmet Ali YAVUZ</v>
      </c>
      <c r="AA3585" t="str">
        <f>VLOOKUP(K3585,[1]!Tablo3[#Data],2,FALSE)</f>
        <v>Tayfun VİÇE</v>
      </c>
    </row>
    <row r="3586" spans="1:27" x14ac:dyDescent="0.25">
      <c r="A3586">
        <v>4934</v>
      </c>
      <c r="B3586" t="s">
        <v>27</v>
      </c>
      <c r="C3586" t="s">
        <v>402</v>
      </c>
      <c r="D3586" t="s">
        <v>403</v>
      </c>
      <c r="G3586" t="s">
        <v>384</v>
      </c>
      <c r="H3586" t="s">
        <v>10072</v>
      </c>
      <c r="I3586" s="4">
        <v>45443.875</v>
      </c>
      <c r="K3586" t="s">
        <v>226</v>
      </c>
      <c r="L3586" s="5"/>
      <c r="M3586" s="5" t="s">
        <v>8423</v>
      </c>
      <c r="N3586" t="s">
        <v>82</v>
      </c>
      <c r="O3586" t="s">
        <v>10073</v>
      </c>
      <c r="R3586">
        <v>1</v>
      </c>
      <c r="T3586" s="5"/>
      <c r="W3586">
        <v>270</v>
      </c>
      <c r="X3586" t="s">
        <v>8412</v>
      </c>
      <c r="Y3586" t="str">
        <f>VLOOKUP(C3586,'[1]DBS_KPY Sorumlular'!A:C,2,FALSE)</f>
        <v>Tayfun VİÇE</v>
      </c>
      <c r="Z3586" t="str">
        <f>VLOOKUP(C3586,'[1]DBS_KPY Sorumlular'!A:C,3,FALSE)</f>
        <v>Mehmet Ali YAVUZ</v>
      </c>
      <c r="AA3586" t="str">
        <f>VLOOKUP(K3586,[1]!Tablo3[#Data],2,FALSE)</f>
        <v>Kadir TOPÇU</v>
      </c>
    </row>
    <row r="3587" spans="1:27" x14ac:dyDescent="0.25">
      <c r="A3587">
        <v>4935</v>
      </c>
      <c r="B3587" t="s">
        <v>27</v>
      </c>
      <c r="C3587" t="s">
        <v>402</v>
      </c>
      <c r="D3587" t="s">
        <v>403</v>
      </c>
      <c r="G3587" t="s">
        <v>384</v>
      </c>
      <c r="H3587" t="s">
        <v>10074</v>
      </c>
      <c r="I3587" s="4">
        <v>45077.875</v>
      </c>
      <c r="K3587" t="s">
        <v>914</v>
      </c>
      <c r="L3587" s="5"/>
      <c r="M3587" s="5"/>
      <c r="N3587" t="s">
        <v>82</v>
      </c>
      <c r="O3587" t="s">
        <v>10075</v>
      </c>
      <c r="R3587">
        <v>1</v>
      </c>
      <c r="T3587" s="5"/>
      <c r="W3587">
        <v>270</v>
      </c>
      <c r="X3587" t="s">
        <v>8412</v>
      </c>
      <c r="Y3587" t="str">
        <f>VLOOKUP(C3587,'[1]DBS_KPY Sorumlular'!A:C,2,FALSE)</f>
        <v>Tayfun VİÇE</v>
      </c>
      <c r="Z3587" t="str">
        <f>VLOOKUP(C3587,'[1]DBS_KPY Sorumlular'!A:C,3,FALSE)</f>
        <v>Mehmet Ali YAVUZ</v>
      </c>
      <c r="AA3587" t="str">
        <f>VLOOKUP(K3587,[1]!Tablo3[#Data],2,FALSE)</f>
        <v>Tayfun VİÇE</v>
      </c>
    </row>
    <row r="3588" spans="1:27" x14ac:dyDescent="0.25">
      <c r="A3588">
        <v>4936</v>
      </c>
      <c r="B3588" t="s">
        <v>27</v>
      </c>
      <c r="C3588" t="s">
        <v>402</v>
      </c>
      <c r="D3588" t="s">
        <v>403</v>
      </c>
      <c r="G3588" t="s">
        <v>384</v>
      </c>
      <c r="H3588" t="s">
        <v>10076</v>
      </c>
      <c r="I3588" s="4">
        <v>45443.875</v>
      </c>
      <c r="K3588" t="s">
        <v>1528</v>
      </c>
      <c r="L3588" s="5"/>
      <c r="M3588" s="5" t="s">
        <v>8423</v>
      </c>
      <c r="N3588" t="s">
        <v>82</v>
      </c>
      <c r="O3588" t="s">
        <v>10077</v>
      </c>
      <c r="R3588">
        <v>1</v>
      </c>
      <c r="T3588" s="5"/>
      <c r="W3588">
        <v>270</v>
      </c>
      <c r="X3588" t="s">
        <v>8412</v>
      </c>
      <c r="Y3588" t="str">
        <f>VLOOKUP(C3588,'[1]DBS_KPY Sorumlular'!A:C,2,FALSE)</f>
        <v>Tayfun VİÇE</v>
      </c>
      <c r="Z3588" t="str">
        <f>VLOOKUP(C3588,'[1]DBS_KPY Sorumlular'!A:C,3,FALSE)</f>
        <v>Mehmet Ali YAVUZ</v>
      </c>
      <c r="AA3588" t="str">
        <f>VLOOKUP(K3588,[1]!Tablo3[#Data],2,FALSE)</f>
        <v>Tayfun VİÇE</v>
      </c>
    </row>
    <row r="3589" spans="1:27" x14ac:dyDescent="0.25">
      <c r="A3589">
        <v>4937</v>
      </c>
      <c r="B3589" t="s">
        <v>27</v>
      </c>
      <c r="C3589" t="s">
        <v>402</v>
      </c>
      <c r="D3589" t="s">
        <v>403</v>
      </c>
      <c r="G3589" t="s">
        <v>384</v>
      </c>
      <c r="H3589" t="s">
        <v>10078</v>
      </c>
      <c r="I3589" s="4">
        <v>45443.875</v>
      </c>
      <c r="K3589" t="s">
        <v>743</v>
      </c>
      <c r="L3589" s="5"/>
      <c r="M3589" s="5" t="s">
        <v>8423</v>
      </c>
      <c r="N3589" t="s">
        <v>82</v>
      </c>
      <c r="O3589" t="s">
        <v>10079</v>
      </c>
      <c r="R3589">
        <v>1</v>
      </c>
      <c r="T3589" s="5"/>
      <c r="W3589">
        <v>270</v>
      </c>
      <c r="X3589" t="s">
        <v>8412</v>
      </c>
      <c r="Y3589" t="str">
        <f>VLOOKUP(C3589,'[1]DBS_KPY Sorumlular'!A:C,2,FALSE)</f>
        <v>Tayfun VİÇE</v>
      </c>
      <c r="Z3589" t="str">
        <f>VLOOKUP(C3589,'[1]DBS_KPY Sorumlular'!A:C,3,FALSE)</f>
        <v>Mehmet Ali YAVUZ</v>
      </c>
      <c r="AA3589" t="str">
        <f>VLOOKUP(K3589,[1]!Tablo3[#Data],2,FALSE)</f>
        <v>Kadir TOPÇU</v>
      </c>
    </row>
    <row r="3590" spans="1:27" x14ac:dyDescent="0.25">
      <c r="A3590">
        <v>4938</v>
      </c>
      <c r="B3590" t="s">
        <v>27</v>
      </c>
      <c r="C3590" t="s">
        <v>402</v>
      </c>
      <c r="D3590" t="s">
        <v>403</v>
      </c>
      <c r="G3590" t="s">
        <v>384</v>
      </c>
      <c r="H3590" t="s">
        <v>10080</v>
      </c>
      <c r="I3590" s="4">
        <v>45443.875</v>
      </c>
      <c r="K3590" t="s">
        <v>743</v>
      </c>
      <c r="L3590" s="5"/>
      <c r="M3590" s="5" t="s">
        <v>8423</v>
      </c>
      <c r="N3590" t="s">
        <v>82</v>
      </c>
      <c r="O3590" t="s">
        <v>10081</v>
      </c>
      <c r="R3590">
        <v>1</v>
      </c>
      <c r="T3590" s="5"/>
      <c r="W3590">
        <v>270</v>
      </c>
      <c r="X3590" t="s">
        <v>8412</v>
      </c>
      <c r="Y3590" t="str">
        <f>VLOOKUP(C3590,'[1]DBS_KPY Sorumlular'!A:C,2,FALSE)</f>
        <v>Tayfun VİÇE</v>
      </c>
      <c r="Z3590" t="str">
        <f>VLOOKUP(C3590,'[1]DBS_KPY Sorumlular'!A:C,3,FALSE)</f>
        <v>Mehmet Ali YAVUZ</v>
      </c>
      <c r="AA3590" t="str">
        <f>VLOOKUP(K3590,[1]!Tablo3[#Data],2,FALSE)</f>
        <v>Kadir TOPÇU</v>
      </c>
    </row>
    <row r="3591" spans="1:27" x14ac:dyDescent="0.25">
      <c r="A3591">
        <v>4939</v>
      </c>
      <c r="B3591" t="s">
        <v>27</v>
      </c>
      <c r="C3591" t="s">
        <v>402</v>
      </c>
      <c r="D3591" t="s">
        <v>403</v>
      </c>
      <c r="G3591" t="s">
        <v>384</v>
      </c>
      <c r="H3591" t="s">
        <v>10082</v>
      </c>
      <c r="I3591" s="4">
        <v>45443.875</v>
      </c>
      <c r="K3591" t="s">
        <v>743</v>
      </c>
      <c r="L3591" s="5"/>
      <c r="M3591" s="5" t="s">
        <v>8423</v>
      </c>
      <c r="N3591" t="s">
        <v>82</v>
      </c>
      <c r="O3591" t="s">
        <v>10083</v>
      </c>
      <c r="R3591">
        <v>1</v>
      </c>
      <c r="T3591" s="5"/>
      <c r="W3591">
        <v>270</v>
      </c>
      <c r="X3591" t="s">
        <v>8412</v>
      </c>
      <c r="Y3591" t="str">
        <f>VLOOKUP(C3591,'[1]DBS_KPY Sorumlular'!A:C,2,FALSE)</f>
        <v>Tayfun VİÇE</v>
      </c>
      <c r="Z3591" t="str">
        <f>VLOOKUP(C3591,'[1]DBS_KPY Sorumlular'!A:C,3,FALSE)</f>
        <v>Mehmet Ali YAVUZ</v>
      </c>
      <c r="AA3591" t="str">
        <f>VLOOKUP(K3591,[1]!Tablo3[#Data],2,FALSE)</f>
        <v>Kadir TOPÇU</v>
      </c>
    </row>
    <row r="3592" spans="1:27" x14ac:dyDescent="0.25">
      <c r="A3592">
        <v>4940</v>
      </c>
      <c r="B3592" t="s">
        <v>27</v>
      </c>
      <c r="C3592" t="s">
        <v>402</v>
      </c>
      <c r="D3592" t="s">
        <v>403</v>
      </c>
      <c r="G3592" t="s">
        <v>384</v>
      </c>
      <c r="H3592" t="s">
        <v>10084</v>
      </c>
      <c r="I3592" s="4">
        <v>45443.875</v>
      </c>
      <c r="K3592" t="s">
        <v>743</v>
      </c>
      <c r="L3592" s="5"/>
      <c r="M3592" s="5" t="s">
        <v>8423</v>
      </c>
      <c r="N3592" t="s">
        <v>82</v>
      </c>
      <c r="O3592" t="s">
        <v>10085</v>
      </c>
      <c r="R3592">
        <v>1</v>
      </c>
      <c r="T3592" s="5"/>
      <c r="W3592">
        <v>270</v>
      </c>
      <c r="X3592" t="s">
        <v>8412</v>
      </c>
      <c r="Y3592" t="str">
        <f>VLOOKUP(C3592,'[1]DBS_KPY Sorumlular'!A:C,2,FALSE)</f>
        <v>Tayfun VİÇE</v>
      </c>
      <c r="Z3592" t="str">
        <f>VLOOKUP(C3592,'[1]DBS_KPY Sorumlular'!A:C,3,FALSE)</f>
        <v>Mehmet Ali YAVUZ</v>
      </c>
      <c r="AA3592" t="str">
        <f>VLOOKUP(K3592,[1]!Tablo3[#Data],2,FALSE)</f>
        <v>Kadir TOPÇU</v>
      </c>
    </row>
    <row r="3593" spans="1:27" x14ac:dyDescent="0.25">
      <c r="A3593">
        <v>4941</v>
      </c>
      <c r="B3593" t="s">
        <v>27</v>
      </c>
      <c r="C3593" t="s">
        <v>402</v>
      </c>
      <c r="D3593" t="s">
        <v>403</v>
      </c>
      <c r="G3593" t="s">
        <v>384</v>
      </c>
      <c r="H3593" t="s">
        <v>10086</v>
      </c>
      <c r="I3593" s="4">
        <v>45443.875</v>
      </c>
      <c r="K3593" t="s">
        <v>743</v>
      </c>
      <c r="L3593" s="5"/>
      <c r="M3593" s="5" t="s">
        <v>8423</v>
      </c>
      <c r="N3593" t="s">
        <v>82</v>
      </c>
      <c r="O3593" t="s">
        <v>10087</v>
      </c>
      <c r="R3593">
        <v>1</v>
      </c>
      <c r="T3593" s="5"/>
      <c r="W3593">
        <v>270</v>
      </c>
      <c r="X3593" t="s">
        <v>8412</v>
      </c>
      <c r="Y3593" t="str">
        <f>VLOOKUP(C3593,'[1]DBS_KPY Sorumlular'!A:C,2,FALSE)</f>
        <v>Tayfun VİÇE</v>
      </c>
      <c r="Z3593" t="str">
        <f>VLOOKUP(C3593,'[1]DBS_KPY Sorumlular'!A:C,3,FALSE)</f>
        <v>Mehmet Ali YAVUZ</v>
      </c>
      <c r="AA3593" t="str">
        <f>VLOOKUP(K3593,[1]!Tablo3[#Data],2,FALSE)</f>
        <v>Kadir TOPÇU</v>
      </c>
    </row>
    <row r="3594" spans="1:27" x14ac:dyDescent="0.25">
      <c r="A3594">
        <v>4942</v>
      </c>
      <c r="B3594" t="s">
        <v>27</v>
      </c>
      <c r="C3594" t="s">
        <v>402</v>
      </c>
      <c r="D3594" t="s">
        <v>403</v>
      </c>
      <c r="G3594" t="s">
        <v>384</v>
      </c>
      <c r="H3594" t="s">
        <v>10088</v>
      </c>
      <c r="I3594" s="4">
        <v>45443.875</v>
      </c>
      <c r="K3594" t="s">
        <v>1528</v>
      </c>
      <c r="L3594" s="5"/>
      <c r="M3594" s="5" t="s">
        <v>8423</v>
      </c>
      <c r="N3594" t="s">
        <v>82</v>
      </c>
      <c r="O3594" t="s">
        <v>10089</v>
      </c>
      <c r="R3594">
        <v>1</v>
      </c>
      <c r="T3594" s="5"/>
      <c r="W3594">
        <v>270</v>
      </c>
      <c r="X3594" t="s">
        <v>8412</v>
      </c>
      <c r="Y3594" t="str">
        <f>VLOOKUP(C3594,'[1]DBS_KPY Sorumlular'!A:C,2,FALSE)</f>
        <v>Tayfun VİÇE</v>
      </c>
      <c r="Z3594" t="str">
        <f>VLOOKUP(C3594,'[1]DBS_KPY Sorumlular'!A:C,3,FALSE)</f>
        <v>Mehmet Ali YAVUZ</v>
      </c>
      <c r="AA3594" t="str">
        <f>VLOOKUP(K3594,[1]!Tablo3[#Data],2,FALSE)</f>
        <v>Tayfun VİÇE</v>
      </c>
    </row>
    <row r="3595" spans="1:27" x14ac:dyDescent="0.25">
      <c r="A3595">
        <v>4943</v>
      </c>
      <c r="B3595" t="s">
        <v>27</v>
      </c>
      <c r="C3595" t="s">
        <v>402</v>
      </c>
      <c r="D3595" t="s">
        <v>403</v>
      </c>
      <c r="G3595" t="s">
        <v>384</v>
      </c>
      <c r="H3595" t="s">
        <v>10090</v>
      </c>
      <c r="I3595" s="4">
        <v>45443.875</v>
      </c>
      <c r="K3595" t="s">
        <v>1528</v>
      </c>
      <c r="L3595" s="5"/>
      <c r="M3595" s="5" t="s">
        <v>8423</v>
      </c>
      <c r="N3595" t="s">
        <v>82</v>
      </c>
      <c r="O3595" t="s">
        <v>10091</v>
      </c>
      <c r="R3595">
        <v>1</v>
      </c>
      <c r="T3595" s="5"/>
      <c r="W3595">
        <v>270</v>
      </c>
      <c r="X3595" t="s">
        <v>8412</v>
      </c>
      <c r="Y3595" t="str">
        <f>VLOOKUP(C3595,'[1]DBS_KPY Sorumlular'!A:C,2,FALSE)</f>
        <v>Tayfun VİÇE</v>
      </c>
      <c r="Z3595" t="str">
        <f>VLOOKUP(C3595,'[1]DBS_KPY Sorumlular'!A:C,3,FALSE)</f>
        <v>Mehmet Ali YAVUZ</v>
      </c>
      <c r="AA3595" t="str">
        <f>VLOOKUP(K3595,[1]!Tablo3[#Data],2,FALSE)</f>
        <v>Tayfun VİÇE</v>
      </c>
    </row>
    <row r="3596" spans="1:27" x14ac:dyDescent="0.25">
      <c r="A3596">
        <v>4944</v>
      </c>
      <c r="B3596" t="s">
        <v>27</v>
      </c>
      <c r="C3596" t="s">
        <v>402</v>
      </c>
      <c r="D3596" t="s">
        <v>403</v>
      </c>
      <c r="G3596" t="s">
        <v>384</v>
      </c>
      <c r="H3596" t="s">
        <v>10092</v>
      </c>
      <c r="I3596" s="4">
        <v>45443.875</v>
      </c>
      <c r="K3596" t="s">
        <v>1528</v>
      </c>
      <c r="L3596" s="5"/>
      <c r="M3596" s="5" t="s">
        <v>8423</v>
      </c>
      <c r="N3596" t="s">
        <v>82</v>
      </c>
      <c r="O3596" t="s">
        <v>10093</v>
      </c>
      <c r="R3596">
        <v>1</v>
      </c>
      <c r="T3596" s="5"/>
      <c r="W3596">
        <v>270</v>
      </c>
      <c r="X3596" t="s">
        <v>8412</v>
      </c>
      <c r="Y3596" t="str">
        <f>VLOOKUP(C3596,'[1]DBS_KPY Sorumlular'!A:C,2,FALSE)</f>
        <v>Tayfun VİÇE</v>
      </c>
      <c r="Z3596" t="str">
        <f>VLOOKUP(C3596,'[1]DBS_KPY Sorumlular'!A:C,3,FALSE)</f>
        <v>Mehmet Ali YAVUZ</v>
      </c>
      <c r="AA3596" t="str">
        <f>VLOOKUP(K3596,[1]!Tablo3[#Data],2,FALSE)</f>
        <v>Tayfun VİÇE</v>
      </c>
    </row>
    <row r="3597" spans="1:27" x14ac:dyDescent="0.25">
      <c r="A3597">
        <v>4945</v>
      </c>
      <c r="B3597" t="s">
        <v>27</v>
      </c>
      <c r="C3597" t="s">
        <v>402</v>
      </c>
      <c r="D3597" t="s">
        <v>403</v>
      </c>
      <c r="G3597" t="s">
        <v>384</v>
      </c>
      <c r="H3597" t="s">
        <v>10094</v>
      </c>
      <c r="I3597" s="4">
        <v>45443.875</v>
      </c>
      <c r="K3597" t="s">
        <v>743</v>
      </c>
      <c r="L3597" s="5"/>
      <c r="M3597" s="5" t="s">
        <v>8423</v>
      </c>
      <c r="N3597" t="s">
        <v>82</v>
      </c>
      <c r="O3597" t="s">
        <v>10095</v>
      </c>
      <c r="R3597">
        <v>1</v>
      </c>
      <c r="T3597" s="5"/>
      <c r="W3597">
        <v>270</v>
      </c>
      <c r="X3597" t="s">
        <v>8412</v>
      </c>
      <c r="Y3597" t="str">
        <f>VLOOKUP(C3597,'[1]DBS_KPY Sorumlular'!A:C,2,FALSE)</f>
        <v>Tayfun VİÇE</v>
      </c>
      <c r="Z3597" t="str">
        <f>VLOOKUP(C3597,'[1]DBS_KPY Sorumlular'!A:C,3,FALSE)</f>
        <v>Mehmet Ali YAVUZ</v>
      </c>
      <c r="AA3597" t="str">
        <f>VLOOKUP(K3597,[1]!Tablo3[#Data],2,FALSE)</f>
        <v>Kadir TOPÇU</v>
      </c>
    </row>
    <row r="3598" spans="1:27" x14ac:dyDescent="0.25">
      <c r="A3598">
        <v>4946</v>
      </c>
      <c r="B3598" t="s">
        <v>27</v>
      </c>
      <c r="C3598" t="s">
        <v>402</v>
      </c>
      <c r="D3598" t="s">
        <v>403</v>
      </c>
      <c r="G3598" t="s">
        <v>384</v>
      </c>
      <c r="H3598" t="s">
        <v>10096</v>
      </c>
      <c r="I3598" s="4">
        <v>45443.875</v>
      </c>
      <c r="K3598" t="s">
        <v>743</v>
      </c>
      <c r="L3598" s="5"/>
      <c r="M3598" s="5" t="s">
        <v>8423</v>
      </c>
      <c r="N3598" t="s">
        <v>82</v>
      </c>
      <c r="O3598" t="s">
        <v>10097</v>
      </c>
      <c r="R3598">
        <v>1</v>
      </c>
      <c r="T3598" s="5"/>
      <c r="W3598">
        <v>270</v>
      </c>
      <c r="X3598" t="s">
        <v>8412</v>
      </c>
      <c r="Y3598" t="str">
        <f>VLOOKUP(C3598,'[1]DBS_KPY Sorumlular'!A:C,2,FALSE)</f>
        <v>Tayfun VİÇE</v>
      </c>
      <c r="Z3598" t="str">
        <f>VLOOKUP(C3598,'[1]DBS_KPY Sorumlular'!A:C,3,FALSE)</f>
        <v>Mehmet Ali YAVUZ</v>
      </c>
      <c r="AA3598" t="str">
        <f>VLOOKUP(K3598,[1]!Tablo3[#Data],2,FALSE)</f>
        <v>Kadir TOPÇU</v>
      </c>
    </row>
    <row r="3599" spans="1:27" x14ac:dyDescent="0.25">
      <c r="A3599">
        <v>4947</v>
      </c>
      <c r="B3599" t="s">
        <v>27</v>
      </c>
      <c r="C3599" t="s">
        <v>402</v>
      </c>
      <c r="D3599" t="s">
        <v>403</v>
      </c>
      <c r="G3599" t="s">
        <v>384</v>
      </c>
      <c r="H3599" t="s">
        <v>10098</v>
      </c>
      <c r="I3599" s="4">
        <v>45443.875</v>
      </c>
      <c r="K3599" t="s">
        <v>1528</v>
      </c>
      <c r="L3599" s="5"/>
      <c r="M3599" s="5" t="s">
        <v>8423</v>
      </c>
      <c r="N3599" t="s">
        <v>82</v>
      </c>
      <c r="O3599" t="s">
        <v>10099</v>
      </c>
      <c r="R3599">
        <v>1</v>
      </c>
      <c r="T3599" s="5"/>
      <c r="W3599">
        <v>270</v>
      </c>
      <c r="X3599" t="s">
        <v>8412</v>
      </c>
      <c r="Y3599" t="str">
        <f>VLOOKUP(C3599,'[1]DBS_KPY Sorumlular'!A:C,2,FALSE)</f>
        <v>Tayfun VİÇE</v>
      </c>
      <c r="Z3599" t="str">
        <f>VLOOKUP(C3599,'[1]DBS_KPY Sorumlular'!A:C,3,FALSE)</f>
        <v>Mehmet Ali YAVUZ</v>
      </c>
      <c r="AA3599" t="str">
        <f>VLOOKUP(K3599,[1]!Tablo3[#Data],2,FALSE)</f>
        <v>Tayfun VİÇE</v>
      </c>
    </row>
    <row r="3600" spans="1:27" x14ac:dyDescent="0.25">
      <c r="A3600">
        <v>4948</v>
      </c>
      <c r="B3600" t="s">
        <v>27</v>
      </c>
      <c r="C3600" t="s">
        <v>402</v>
      </c>
      <c r="D3600" t="s">
        <v>403</v>
      </c>
      <c r="G3600" t="s">
        <v>384</v>
      </c>
      <c r="H3600" t="s">
        <v>10100</v>
      </c>
      <c r="I3600" s="4">
        <v>45443.875</v>
      </c>
      <c r="K3600" t="s">
        <v>743</v>
      </c>
      <c r="L3600" s="5"/>
      <c r="M3600" s="5" t="s">
        <v>8423</v>
      </c>
      <c r="N3600" t="s">
        <v>82</v>
      </c>
      <c r="O3600" t="s">
        <v>10101</v>
      </c>
      <c r="R3600">
        <v>1</v>
      </c>
      <c r="T3600" s="5"/>
      <c r="W3600">
        <v>270</v>
      </c>
      <c r="X3600" t="s">
        <v>8412</v>
      </c>
      <c r="Y3600" t="str">
        <f>VLOOKUP(C3600,'[1]DBS_KPY Sorumlular'!A:C,2,FALSE)</f>
        <v>Tayfun VİÇE</v>
      </c>
      <c r="Z3600" t="str">
        <f>VLOOKUP(C3600,'[1]DBS_KPY Sorumlular'!A:C,3,FALSE)</f>
        <v>Mehmet Ali YAVUZ</v>
      </c>
      <c r="AA3600" t="str">
        <f>VLOOKUP(K3600,[1]!Tablo3[#Data],2,FALSE)</f>
        <v>Kadir TOPÇU</v>
      </c>
    </row>
    <row r="3601" spans="1:27" x14ac:dyDescent="0.25">
      <c r="A3601">
        <v>4949</v>
      </c>
      <c r="B3601" t="s">
        <v>27</v>
      </c>
      <c r="C3601" t="s">
        <v>402</v>
      </c>
      <c r="D3601" t="s">
        <v>403</v>
      </c>
      <c r="G3601" t="s">
        <v>384</v>
      </c>
      <c r="H3601" t="s">
        <v>10102</v>
      </c>
      <c r="I3601" s="4">
        <v>45443.875</v>
      </c>
      <c r="K3601" t="s">
        <v>743</v>
      </c>
      <c r="L3601" s="5"/>
      <c r="M3601" s="5" t="s">
        <v>8423</v>
      </c>
      <c r="N3601" t="s">
        <v>82</v>
      </c>
      <c r="O3601" t="s">
        <v>10103</v>
      </c>
      <c r="R3601">
        <v>1</v>
      </c>
      <c r="T3601" s="5"/>
      <c r="W3601">
        <v>270</v>
      </c>
      <c r="X3601" t="s">
        <v>8412</v>
      </c>
      <c r="Y3601" t="str">
        <f>VLOOKUP(C3601,'[1]DBS_KPY Sorumlular'!A:C,2,FALSE)</f>
        <v>Tayfun VİÇE</v>
      </c>
      <c r="Z3601" t="str">
        <f>VLOOKUP(C3601,'[1]DBS_KPY Sorumlular'!A:C,3,FALSE)</f>
        <v>Mehmet Ali YAVUZ</v>
      </c>
      <c r="AA3601" t="str">
        <f>VLOOKUP(K3601,[1]!Tablo3[#Data],2,FALSE)</f>
        <v>Kadir TOPÇU</v>
      </c>
    </row>
    <row r="3602" spans="1:27" x14ac:dyDescent="0.25">
      <c r="A3602">
        <v>4950</v>
      </c>
      <c r="B3602" t="s">
        <v>27</v>
      </c>
      <c r="C3602" t="s">
        <v>402</v>
      </c>
      <c r="D3602" t="s">
        <v>403</v>
      </c>
      <c r="G3602" t="s">
        <v>384</v>
      </c>
      <c r="H3602" t="s">
        <v>10104</v>
      </c>
      <c r="I3602" s="4">
        <v>45443.875</v>
      </c>
      <c r="K3602" t="s">
        <v>743</v>
      </c>
      <c r="L3602" s="5"/>
      <c r="M3602" s="5" t="s">
        <v>8423</v>
      </c>
      <c r="N3602" t="s">
        <v>82</v>
      </c>
      <c r="O3602" t="s">
        <v>10105</v>
      </c>
      <c r="R3602">
        <v>1</v>
      </c>
      <c r="T3602" s="5"/>
      <c r="W3602">
        <v>270</v>
      </c>
      <c r="X3602" t="s">
        <v>8412</v>
      </c>
      <c r="Y3602" t="str">
        <f>VLOOKUP(C3602,'[1]DBS_KPY Sorumlular'!A:C,2,FALSE)</f>
        <v>Tayfun VİÇE</v>
      </c>
      <c r="Z3602" t="str">
        <f>VLOOKUP(C3602,'[1]DBS_KPY Sorumlular'!A:C,3,FALSE)</f>
        <v>Mehmet Ali YAVUZ</v>
      </c>
      <c r="AA3602" t="str">
        <f>VLOOKUP(K3602,[1]!Tablo3[#Data],2,FALSE)</f>
        <v>Kadir TOPÇU</v>
      </c>
    </row>
    <row r="3603" spans="1:27" x14ac:dyDescent="0.25">
      <c r="A3603">
        <v>4951</v>
      </c>
      <c r="B3603" t="s">
        <v>27</v>
      </c>
      <c r="C3603" t="s">
        <v>402</v>
      </c>
      <c r="D3603" t="s">
        <v>403</v>
      </c>
      <c r="G3603" t="s">
        <v>384</v>
      </c>
      <c r="H3603" t="s">
        <v>10106</v>
      </c>
      <c r="I3603" s="4">
        <v>45443.875</v>
      </c>
      <c r="K3603" t="s">
        <v>1528</v>
      </c>
      <c r="L3603" s="5"/>
      <c r="M3603" s="5" t="s">
        <v>8423</v>
      </c>
      <c r="N3603" t="s">
        <v>82</v>
      </c>
      <c r="O3603" t="s">
        <v>10107</v>
      </c>
      <c r="R3603">
        <v>1</v>
      </c>
      <c r="T3603" s="5"/>
      <c r="W3603">
        <v>270</v>
      </c>
      <c r="X3603" t="s">
        <v>8412</v>
      </c>
      <c r="Y3603" t="str">
        <f>VLOOKUP(C3603,'[1]DBS_KPY Sorumlular'!A:C,2,FALSE)</f>
        <v>Tayfun VİÇE</v>
      </c>
      <c r="Z3603" t="str">
        <f>VLOOKUP(C3603,'[1]DBS_KPY Sorumlular'!A:C,3,FALSE)</f>
        <v>Mehmet Ali YAVUZ</v>
      </c>
      <c r="AA3603" t="str">
        <f>VLOOKUP(K3603,[1]!Tablo3[#Data],2,FALSE)</f>
        <v>Tayfun VİÇE</v>
      </c>
    </row>
    <row r="3604" spans="1:27" x14ac:dyDescent="0.25">
      <c r="A3604">
        <v>4952</v>
      </c>
      <c r="B3604" t="s">
        <v>27</v>
      </c>
      <c r="C3604" t="s">
        <v>402</v>
      </c>
      <c r="D3604" t="s">
        <v>403</v>
      </c>
      <c r="G3604" t="s">
        <v>384</v>
      </c>
      <c r="H3604" t="s">
        <v>10108</v>
      </c>
      <c r="I3604" s="4">
        <v>45443.875</v>
      </c>
      <c r="K3604" t="s">
        <v>743</v>
      </c>
      <c r="L3604" s="5"/>
      <c r="M3604" s="5" t="s">
        <v>8423</v>
      </c>
      <c r="N3604" t="s">
        <v>82</v>
      </c>
      <c r="O3604" t="s">
        <v>10109</v>
      </c>
      <c r="R3604">
        <v>1</v>
      </c>
      <c r="T3604" s="5"/>
      <c r="W3604">
        <v>270</v>
      </c>
      <c r="X3604" t="s">
        <v>8412</v>
      </c>
      <c r="Y3604" t="str">
        <f>VLOOKUP(C3604,'[1]DBS_KPY Sorumlular'!A:C,2,FALSE)</f>
        <v>Tayfun VİÇE</v>
      </c>
      <c r="Z3604" t="str">
        <f>VLOOKUP(C3604,'[1]DBS_KPY Sorumlular'!A:C,3,FALSE)</f>
        <v>Mehmet Ali YAVUZ</v>
      </c>
      <c r="AA3604" t="str">
        <f>VLOOKUP(K3604,[1]!Tablo3[#Data],2,FALSE)</f>
        <v>Kadir TOPÇU</v>
      </c>
    </row>
    <row r="3605" spans="1:27" x14ac:dyDescent="0.25">
      <c r="A3605">
        <v>4953</v>
      </c>
      <c r="B3605" t="s">
        <v>27</v>
      </c>
      <c r="C3605" t="s">
        <v>402</v>
      </c>
      <c r="D3605" t="s">
        <v>403</v>
      </c>
      <c r="G3605" t="s">
        <v>384</v>
      </c>
      <c r="H3605" t="s">
        <v>10110</v>
      </c>
      <c r="I3605" s="4">
        <v>45443.875</v>
      </c>
      <c r="K3605" t="s">
        <v>743</v>
      </c>
      <c r="L3605" s="5"/>
      <c r="M3605" s="5" t="s">
        <v>8423</v>
      </c>
      <c r="N3605" t="s">
        <v>82</v>
      </c>
      <c r="O3605" t="s">
        <v>10111</v>
      </c>
      <c r="R3605">
        <v>1</v>
      </c>
      <c r="T3605" s="5"/>
      <c r="W3605">
        <v>270</v>
      </c>
      <c r="X3605" t="s">
        <v>8412</v>
      </c>
      <c r="Y3605" t="str">
        <f>VLOOKUP(C3605,'[1]DBS_KPY Sorumlular'!A:C,2,FALSE)</f>
        <v>Tayfun VİÇE</v>
      </c>
      <c r="Z3605" t="str">
        <f>VLOOKUP(C3605,'[1]DBS_KPY Sorumlular'!A:C,3,FALSE)</f>
        <v>Mehmet Ali YAVUZ</v>
      </c>
      <c r="AA3605" t="str">
        <f>VLOOKUP(K3605,[1]!Tablo3[#Data],2,FALSE)</f>
        <v>Kadir TOPÇU</v>
      </c>
    </row>
    <row r="3606" spans="1:27" x14ac:dyDescent="0.25">
      <c r="A3606">
        <v>4954</v>
      </c>
      <c r="B3606" t="s">
        <v>27</v>
      </c>
      <c r="C3606" t="s">
        <v>402</v>
      </c>
      <c r="D3606" t="s">
        <v>403</v>
      </c>
      <c r="G3606" t="s">
        <v>384</v>
      </c>
      <c r="H3606" t="s">
        <v>10112</v>
      </c>
      <c r="I3606" s="4">
        <v>45443.875</v>
      </c>
      <c r="K3606" t="s">
        <v>743</v>
      </c>
      <c r="L3606" s="5"/>
      <c r="M3606" s="5" t="s">
        <v>8423</v>
      </c>
      <c r="N3606" t="s">
        <v>82</v>
      </c>
      <c r="O3606" t="s">
        <v>10113</v>
      </c>
      <c r="R3606">
        <v>1</v>
      </c>
      <c r="T3606" s="5"/>
      <c r="W3606">
        <v>270</v>
      </c>
      <c r="X3606" t="s">
        <v>8412</v>
      </c>
      <c r="Y3606" t="str">
        <f>VLOOKUP(C3606,'[1]DBS_KPY Sorumlular'!A:C,2,FALSE)</f>
        <v>Tayfun VİÇE</v>
      </c>
      <c r="Z3606" t="str">
        <f>VLOOKUP(C3606,'[1]DBS_KPY Sorumlular'!A:C,3,FALSE)</f>
        <v>Mehmet Ali YAVUZ</v>
      </c>
      <c r="AA3606" t="str">
        <f>VLOOKUP(K3606,[1]!Tablo3[#Data],2,FALSE)</f>
        <v>Kadir TOPÇU</v>
      </c>
    </row>
    <row r="3607" spans="1:27" x14ac:dyDescent="0.25">
      <c r="A3607">
        <v>4955</v>
      </c>
      <c r="B3607" t="s">
        <v>27</v>
      </c>
      <c r="C3607" t="s">
        <v>402</v>
      </c>
      <c r="D3607" t="s">
        <v>403</v>
      </c>
      <c r="G3607" t="s">
        <v>384</v>
      </c>
      <c r="H3607" t="s">
        <v>10114</v>
      </c>
      <c r="I3607" s="4">
        <v>45443.875</v>
      </c>
      <c r="K3607" t="s">
        <v>1528</v>
      </c>
      <c r="L3607" s="5"/>
      <c r="M3607" s="5" t="s">
        <v>8423</v>
      </c>
      <c r="N3607" t="s">
        <v>82</v>
      </c>
      <c r="O3607" t="s">
        <v>10115</v>
      </c>
      <c r="R3607">
        <v>1</v>
      </c>
      <c r="T3607" s="5"/>
      <c r="W3607">
        <v>270</v>
      </c>
      <c r="X3607" t="s">
        <v>8412</v>
      </c>
      <c r="Y3607" t="str">
        <f>VLOOKUP(C3607,'[1]DBS_KPY Sorumlular'!A:C,2,FALSE)</f>
        <v>Tayfun VİÇE</v>
      </c>
      <c r="Z3607" t="str">
        <f>VLOOKUP(C3607,'[1]DBS_KPY Sorumlular'!A:C,3,FALSE)</f>
        <v>Mehmet Ali YAVUZ</v>
      </c>
      <c r="AA3607" t="str">
        <f>VLOOKUP(K3607,[1]!Tablo3[#Data],2,FALSE)</f>
        <v>Tayfun VİÇE</v>
      </c>
    </row>
    <row r="3608" spans="1:27" x14ac:dyDescent="0.25">
      <c r="A3608">
        <v>4956</v>
      </c>
      <c r="B3608" t="s">
        <v>27</v>
      </c>
      <c r="C3608" t="s">
        <v>402</v>
      </c>
      <c r="D3608" t="s">
        <v>403</v>
      </c>
      <c r="G3608" t="s">
        <v>384</v>
      </c>
      <c r="H3608" t="s">
        <v>10116</v>
      </c>
      <c r="I3608" s="4">
        <v>45443.875</v>
      </c>
      <c r="K3608" t="s">
        <v>743</v>
      </c>
      <c r="L3608" s="5"/>
      <c r="M3608" s="5" t="s">
        <v>8423</v>
      </c>
      <c r="N3608" t="s">
        <v>82</v>
      </c>
      <c r="O3608" t="s">
        <v>10117</v>
      </c>
      <c r="R3608">
        <v>1</v>
      </c>
      <c r="T3608" s="5"/>
      <c r="W3608">
        <v>270</v>
      </c>
      <c r="X3608" t="s">
        <v>8412</v>
      </c>
      <c r="Y3608" t="str">
        <f>VLOOKUP(C3608,'[1]DBS_KPY Sorumlular'!A:C,2,FALSE)</f>
        <v>Tayfun VİÇE</v>
      </c>
      <c r="Z3608" t="str">
        <f>VLOOKUP(C3608,'[1]DBS_KPY Sorumlular'!A:C,3,FALSE)</f>
        <v>Mehmet Ali YAVUZ</v>
      </c>
      <c r="AA3608" t="str">
        <f>VLOOKUP(K3608,[1]!Tablo3[#Data],2,FALSE)</f>
        <v>Kadir TOPÇU</v>
      </c>
    </row>
    <row r="3609" spans="1:27" x14ac:dyDescent="0.25">
      <c r="A3609">
        <v>4957</v>
      </c>
      <c r="B3609" t="s">
        <v>27</v>
      </c>
      <c r="C3609" t="s">
        <v>402</v>
      </c>
      <c r="D3609" t="s">
        <v>403</v>
      </c>
      <c r="G3609" t="s">
        <v>384</v>
      </c>
      <c r="H3609" t="s">
        <v>10118</v>
      </c>
      <c r="I3609" s="4">
        <v>45443.875</v>
      </c>
      <c r="K3609" t="s">
        <v>1550</v>
      </c>
      <c r="L3609" s="5"/>
      <c r="M3609" s="5" t="s">
        <v>8423</v>
      </c>
      <c r="N3609" t="s">
        <v>82</v>
      </c>
      <c r="O3609" t="s">
        <v>10119</v>
      </c>
      <c r="R3609">
        <v>1</v>
      </c>
      <c r="T3609" s="5"/>
      <c r="W3609">
        <v>270</v>
      </c>
      <c r="X3609" t="s">
        <v>8412</v>
      </c>
      <c r="Y3609" t="str">
        <f>VLOOKUP(C3609,'[1]DBS_KPY Sorumlular'!A:C,2,FALSE)</f>
        <v>Tayfun VİÇE</v>
      </c>
      <c r="Z3609" t="str">
        <f>VLOOKUP(C3609,'[1]DBS_KPY Sorumlular'!A:C,3,FALSE)</f>
        <v>Mehmet Ali YAVUZ</v>
      </c>
      <c r="AA3609" t="str">
        <f>VLOOKUP(K3609,[1]!Tablo3[#Data],2,FALSE)</f>
        <v>Kadir TOPÇU</v>
      </c>
    </row>
    <row r="3610" spans="1:27" x14ac:dyDescent="0.25">
      <c r="A3610">
        <v>4958</v>
      </c>
      <c r="B3610" t="s">
        <v>27</v>
      </c>
      <c r="C3610" t="s">
        <v>402</v>
      </c>
      <c r="D3610" t="s">
        <v>403</v>
      </c>
      <c r="G3610" t="s">
        <v>384</v>
      </c>
      <c r="H3610" t="s">
        <v>10120</v>
      </c>
      <c r="I3610" s="4">
        <v>45443.875</v>
      </c>
      <c r="K3610" t="s">
        <v>743</v>
      </c>
      <c r="L3610" s="5"/>
      <c r="M3610" s="5" t="s">
        <v>8423</v>
      </c>
      <c r="N3610" t="s">
        <v>82</v>
      </c>
      <c r="O3610" t="s">
        <v>10121</v>
      </c>
      <c r="R3610">
        <v>1</v>
      </c>
      <c r="T3610" s="5"/>
      <c r="W3610">
        <v>270</v>
      </c>
      <c r="X3610" t="s">
        <v>8412</v>
      </c>
      <c r="Y3610" t="str">
        <f>VLOOKUP(C3610,'[1]DBS_KPY Sorumlular'!A:C,2,FALSE)</f>
        <v>Tayfun VİÇE</v>
      </c>
      <c r="Z3610" t="str">
        <f>VLOOKUP(C3610,'[1]DBS_KPY Sorumlular'!A:C,3,FALSE)</f>
        <v>Mehmet Ali YAVUZ</v>
      </c>
      <c r="AA3610" t="str">
        <f>VLOOKUP(K3610,[1]!Tablo3[#Data],2,FALSE)</f>
        <v>Kadir TOPÇU</v>
      </c>
    </row>
    <row r="3611" spans="1:27" x14ac:dyDescent="0.25">
      <c r="A3611">
        <v>4959</v>
      </c>
      <c r="B3611" t="s">
        <v>27</v>
      </c>
      <c r="C3611" t="s">
        <v>402</v>
      </c>
      <c r="D3611" t="s">
        <v>403</v>
      </c>
      <c r="G3611" t="s">
        <v>384</v>
      </c>
      <c r="H3611" t="s">
        <v>10122</v>
      </c>
      <c r="I3611" s="4">
        <v>45443.875</v>
      </c>
      <c r="K3611" t="s">
        <v>743</v>
      </c>
      <c r="L3611" s="5"/>
      <c r="M3611" s="5" t="s">
        <v>8423</v>
      </c>
      <c r="N3611" t="s">
        <v>82</v>
      </c>
      <c r="O3611" t="s">
        <v>10123</v>
      </c>
      <c r="R3611">
        <v>1</v>
      </c>
      <c r="T3611" s="5"/>
      <c r="W3611">
        <v>270</v>
      </c>
      <c r="X3611" t="s">
        <v>8412</v>
      </c>
      <c r="Y3611" t="str">
        <f>VLOOKUP(C3611,'[1]DBS_KPY Sorumlular'!A:C,2,FALSE)</f>
        <v>Tayfun VİÇE</v>
      </c>
      <c r="Z3611" t="str">
        <f>VLOOKUP(C3611,'[1]DBS_KPY Sorumlular'!A:C,3,FALSE)</f>
        <v>Mehmet Ali YAVUZ</v>
      </c>
      <c r="AA3611" t="str">
        <f>VLOOKUP(K3611,[1]!Tablo3[#Data],2,FALSE)</f>
        <v>Kadir TOPÇU</v>
      </c>
    </row>
    <row r="3612" spans="1:27" x14ac:dyDescent="0.25">
      <c r="A3612">
        <v>4960</v>
      </c>
      <c r="B3612" t="s">
        <v>27</v>
      </c>
      <c r="C3612" t="s">
        <v>402</v>
      </c>
      <c r="D3612" t="s">
        <v>403</v>
      </c>
      <c r="G3612" t="s">
        <v>384</v>
      </c>
      <c r="H3612" t="s">
        <v>10124</v>
      </c>
      <c r="I3612" s="4">
        <v>45443.875</v>
      </c>
      <c r="K3612" t="s">
        <v>743</v>
      </c>
      <c r="L3612" s="5"/>
      <c r="M3612" s="5" t="s">
        <v>8423</v>
      </c>
      <c r="N3612" t="s">
        <v>82</v>
      </c>
      <c r="O3612" t="s">
        <v>10125</v>
      </c>
      <c r="R3612">
        <v>1</v>
      </c>
      <c r="T3612" s="5"/>
      <c r="W3612">
        <v>270</v>
      </c>
      <c r="X3612" t="s">
        <v>8412</v>
      </c>
      <c r="Y3612" t="str">
        <f>VLOOKUP(C3612,'[1]DBS_KPY Sorumlular'!A:C,2,FALSE)</f>
        <v>Tayfun VİÇE</v>
      </c>
      <c r="Z3612" t="str">
        <f>VLOOKUP(C3612,'[1]DBS_KPY Sorumlular'!A:C,3,FALSE)</f>
        <v>Mehmet Ali YAVUZ</v>
      </c>
      <c r="AA3612" t="str">
        <f>VLOOKUP(K3612,[1]!Tablo3[#Data],2,FALSE)</f>
        <v>Kadir TOPÇU</v>
      </c>
    </row>
    <row r="3613" spans="1:27" x14ac:dyDescent="0.25">
      <c r="A3613">
        <v>4961</v>
      </c>
      <c r="B3613" t="s">
        <v>27</v>
      </c>
      <c r="C3613" t="s">
        <v>402</v>
      </c>
      <c r="D3613" t="s">
        <v>403</v>
      </c>
      <c r="G3613" t="s">
        <v>384</v>
      </c>
      <c r="H3613" t="s">
        <v>10126</v>
      </c>
      <c r="I3613" s="4">
        <v>45443.875</v>
      </c>
      <c r="K3613" t="s">
        <v>1528</v>
      </c>
      <c r="L3613" s="5"/>
      <c r="M3613" s="5" t="s">
        <v>8423</v>
      </c>
      <c r="N3613" t="s">
        <v>82</v>
      </c>
      <c r="O3613" t="s">
        <v>10127</v>
      </c>
      <c r="R3613">
        <v>1</v>
      </c>
      <c r="T3613" s="5"/>
      <c r="W3613">
        <v>270</v>
      </c>
      <c r="X3613" t="s">
        <v>8412</v>
      </c>
      <c r="Y3613" t="str">
        <f>VLOOKUP(C3613,'[1]DBS_KPY Sorumlular'!A:C,2,FALSE)</f>
        <v>Tayfun VİÇE</v>
      </c>
      <c r="Z3613" t="str">
        <f>VLOOKUP(C3613,'[1]DBS_KPY Sorumlular'!A:C,3,FALSE)</f>
        <v>Mehmet Ali YAVUZ</v>
      </c>
      <c r="AA3613" t="str">
        <f>VLOOKUP(K3613,[1]!Tablo3[#Data],2,FALSE)</f>
        <v>Tayfun VİÇE</v>
      </c>
    </row>
    <row r="3614" spans="1:27" x14ac:dyDescent="0.25">
      <c r="A3614">
        <v>4962</v>
      </c>
      <c r="B3614" t="s">
        <v>27</v>
      </c>
      <c r="C3614" t="s">
        <v>402</v>
      </c>
      <c r="D3614" t="s">
        <v>403</v>
      </c>
      <c r="G3614" t="s">
        <v>384</v>
      </c>
      <c r="H3614" t="s">
        <v>10128</v>
      </c>
      <c r="I3614" s="4">
        <v>45443.875</v>
      </c>
      <c r="K3614" t="s">
        <v>226</v>
      </c>
      <c r="L3614" s="5"/>
      <c r="M3614" s="5" t="s">
        <v>8423</v>
      </c>
      <c r="N3614" t="s">
        <v>82</v>
      </c>
      <c r="O3614" t="s">
        <v>10129</v>
      </c>
      <c r="R3614">
        <v>1</v>
      </c>
      <c r="T3614" s="5"/>
      <c r="W3614">
        <v>270</v>
      </c>
      <c r="X3614" t="s">
        <v>8412</v>
      </c>
      <c r="Y3614" t="str">
        <f>VLOOKUP(C3614,'[1]DBS_KPY Sorumlular'!A:C,2,FALSE)</f>
        <v>Tayfun VİÇE</v>
      </c>
      <c r="Z3614" t="str">
        <f>VLOOKUP(C3614,'[1]DBS_KPY Sorumlular'!A:C,3,FALSE)</f>
        <v>Mehmet Ali YAVUZ</v>
      </c>
      <c r="AA3614" t="str">
        <f>VLOOKUP(K3614,[1]!Tablo3[#Data],2,FALSE)</f>
        <v>Kadir TOPÇU</v>
      </c>
    </row>
    <row r="3615" spans="1:27" x14ac:dyDescent="0.25">
      <c r="A3615">
        <v>4963</v>
      </c>
      <c r="B3615" t="s">
        <v>27</v>
      </c>
      <c r="C3615" t="s">
        <v>402</v>
      </c>
      <c r="D3615" t="s">
        <v>403</v>
      </c>
      <c r="G3615" t="s">
        <v>384</v>
      </c>
      <c r="H3615" t="s">
        <v>10130</v>
      </c>
      <c r="I3615" s="4">
        <v>45443.875</v>
      </c>
      <c r="K3615" t="s">
        <v>743</v>
      </c>
      <c r="L3615" s="5"/>
      <c r="M3615" s="5" t="s">
        <v>8423</v>
      </c>
      <c r="N3615" t="s">
        <v>82</v>
      </c>
      <c r="O3615" t="s">
        <v>10131</v>
      </c>
      <c r="R3615">
        <v>1</v>
      </c>
      <c r="T3615" s="5"/>
      <c r="W3615">
        <v>270</v>
      </c>
      <c r="X3615" t="s">
        <v>8412</v>
      </c>
      <c r="Y3615" t="str">
        <f>VLOOKUP(C3615,'[1]DBS_KPY Sorumlular'!A:C,2,FALSE)</f>
        <v>Tayfun VİÇE</v>
      </c>
      <c r="Z3615" t="str">
        <f>VLOOKUP(C3615,'[1]DBS_KPY Sorumlular'!A:C,3,FALSE)</f>
        <v>Mehmet Ali YAVUZ</v>
      </c>
      <c r="AA3615" t="str">
        <f>VLOOKUP(K3615,[1]!Tablo3[#Data],2,FALSE)</f>
        <v>Kadir TOPÇU</v>
      </c>
    </row>
    <row r="3616" spans="1:27" x14ac:dyDescent="0.25">
      <c r="A3616">
        <v>4964</v>
      </c>
      <c r="B3616" t="s">
        <v>27</v>
      </c>
      <c r="C3616" t="s">
        <v>402</v>
      </c>
      <c r="D3616" t="s">
        <v>403</v>
      </c>
      <c r="G3616" t="s">
        <v>384</v>
      </c>
      <c r="H3616" t="s">
        <v>10132</v>
      </c>
      <c r="I3616" s="4">
        <v>45443.875</v>
      </c>
      <c r="K3616" t="s">
        <v>1550</v>
      </c>
      <c r="L3616" s="5"/>
      <c r="M3616" s="5" t="s">
        <v>8423</v>
      </c>
      <c r="N3616" t="s">
        <v>82</v>
      </c>
      <c r="O3616" t="s">
        <v>10133</v>
      </c>
      <c r="R3616">
        <v>1</v>
      </c>
      <c r="T3616" s="5"/>
      <c r="W3616">
        <v>270</v>
      </c>
      <c r="X3616" t="s">
        <v>8412</v>
      </c>
      <c r="Y3616" t="str">
        <f>VLOOKUP(C3616,'[1]DBS_KPY Sorumlular'!A:C,2,FALSE)</f>
        <v>Tayfun VİÇE</v>
      </c>
      <c r="Z3616" t="str">
        <f>VLOOKUP(C3616,'[1]DBS_KPY Sorumlular'!A:C,3,FALSE)</f>
        <v>Mehmet Ali YAVUZ</v>
      </c>
      <c r="AA3616" t="str">
        <f>VLOOKUP(K3616,[1]!Tablo3[#Data],2,FALSE)</f>
        <v>Kadir TOPÇU</v>
      </c>
    </row>
    <row r="3617" spans="1:27" x14ac:dyDescent="0.25">
      <c r="A3617">
        <v>4966</v>
      </c>
      <c r="B3617" t="s">
        <v>27</v>
      </c>
      <c r="C3617" t="s">
        <v>402</v>
      </c>
      <c r="D3617" t="s">
        <v>403</v>
      </c>
      <c r="G3617" t="s">
        <v>384</v>
      </c>
      <c r="H3617" t="s">
        <v>10134</v>
      </c>
      <c r="I3617" s="4">
        <v>45443.875</v>
      </c>
      <c r="K3617" t="s">
        <v>435</v>
      </c>
      <c r="L3617" s="5"/>
      <c r="M3617" s="5" t="s">
        <v>8423</v>
      </c>
      <c r="N3617" t="s">
        <v>82</v>
      </c>
      <c r="O3617" t="s">
        <v>10135</v>
      </c>
      <c r="R3617">
        <v>1</v>
      </c>
      <c r="T3617" s="5"/>
      <c r="W3617">
        <v>270</v>
      </c>
      <c r="X3617" t="s">
        <v>8412</v>
      </c>
      <c r="Y3617" t="str">
        <f>VLOOKUP(C3617,'[1]DBS_KPY Sorumlular'!A:C,2,FALSE)</f>
        <v>Tayfun VİÇE</v>
      </c>
      <c r="Z3617" t="str">
        <f>VLOOKUP(C3617,'[1]DBS_KPY Sorumlular'!A:C,3,FALSE)</f>
        <v>Mehmet Ali YAVUZ</v>
      </c>
      <c r="AA3617" t="str">
        <f>VLOOKUP(K3617,[1]!Tablo3[#Data],2,FALSE)</f>
        <v>Tayfun VİÇE</v>
      </c>
    </row>
    <row r="3618" spans="1:27" x14ac:dyDescent="0.25">
      <c r="A3618">
        <v>4967</v>
      </c>
      <c r="B3618" t="s">
        <v>27</v>
      </c>
      <c r="C3618" t="s">
        <v>402</v>
      </c>
      <c r="D3618" t="s">
        <v>403</v>
      </c>
      <c r="G3618" t="s">
        <v>384</v>
      </c>
      <c r="H3618" t="s">
        <v>10136</v>
      </c>
      <c r="I3618" s="4">
        <v>45443.875</v>
      </c>
      <c r="K3618" t="s">
        <v>743</v>
      </c>
      <c r="L3618" s="5"/>
      <c r="M3618" s="5" t="s">
        <v>8423</v>
      </c>
      <c r="N3618" t="s">
        <v>82</v>
      </c>
      <c r="O3618" t="s">
        <v>10137</v>
      </c>
      <c r="R3618">
        <v>1</v>
      </c>
      <c r="T3618" s="5"/>
      <c r="W3618">
        <v>270</v>
      </c>
      <c r="X3618" t="s">
        <v>8412</v>
      </c>
      <c r="Y3618" t="str">
        <f>VLOOKUP(C3618,'[1]DBS_KPY Sorumlular'!A:C,2,FALSE)</f>
        <v>Tayfun VİÇE</v>
      </c>
      <c r="Z3618" t="str">
        <f>VLOOKUP(C3618,'[1]DBS_KPY Sorumlular'!A:C,3,FALSE)</f>
        <v>Mehmet Ali YAVUZ</v>
      </c>
      <c r="AA3618" t="str">
        <f>VLOOKUP(K3618,[1]!Tablo3[#Data],2,FALSE)</f>
        <v>Kadir TOPÇU</v>
      </c>
    </row>
    <row r="3619" spans="1:27" x14ac:dyDescent="0.25">
      <c r="A3619">
        <v>4968</v>
      </c>
      <c r="B3619" t="s">
        <v>27</v>
      </c>
      <c r="C3619" t="s">
        <v>402</v>
      </c>
      <c r="D3619" t="s">
        <v>403</v>
      </c>
      <c r="G3619" t="s">
        <v>384</v>
      </c>
      <c r="H3619" t="s">
        <v>10138</v>
      </c>
      <c r="I3619" s="4">
        <v>45443.875</v>
      </c>
      <c r="K3619" t="s">
        <v>743</v>
      </c>
      <c r="L3619" s="5"/>
      <c r="M3619" s="5" t="s">
        <v>8423</v>
      </c>
      <c r="N3619" t="s">
        <v>82</v>
      </c>
      <c r="O3619" t="s">
        <v>10139</v>
      </c>
      <c r="R3619">
        <v>1</v>
      </c>
      <c r="T3619" s="5"/>
      <c r="W3619">
        <v>270</v>
      </c>
      <c r="X3619" t="s">
        <v>8412</v>
      </c>
      <c r="Y3619" t="str">
        <f>VLOOKUP(C3619,'[1]DBS_KPY Sorumlular'!A:C,2,FALSE)</f>
        <v>Tayfun VİÇE</v>
      </c>
      <c r="Z3619" t="str">
        <f>VLOOKUP(C3619,'[1]DBS_KPY Sorumlular'!A:C,3,FALSE)</f>
        <v>Mehmet Ali YAVUZ</v>
      </c>
      <c r="AA3619" t="str">
        <f>VLOOKUP(K3619,[1]!Tablo3[#Data],2,FALSE)</f>
        <v>Kadir TOPÇU</v>
      </c>
    </row>
    <row r="3620" spans="1:27" x14ac:dyDescent="0.25">
      <c r="A3620">
        <v>4969</v>
      </c>
      <c r="B3620" t="s">
        <v>27</v>
      </c>
      <c r="C3620" t="s">
        <v>402</v>
      </c>
      <c r="D3620" t="s">
        <v>403</v>
      </c>
      <c r="G3620" t="s">
        <v>384</v>
      </c>
      <c r="H3620" t="s">
        <v>10140</v>
      </c>
      <c r="I3620" s="4">
        <v>45443.875</v>
      </c>
      <c r="K3620" t="s">
        <v>743</v>
      </c>
      <c r="L3620" s="5"/>
      <c r="M3620" s="5" t="s">
        <v>8423</v>
      </c>
      <c r="N3620" t="s">
        <v>82</v>
      </c>
      <c r="O3620" t="s">
        <v>10141</v>
      </c>
      <c r="R3620">
        <v>1</v>
      </c>
      <c r="T3620" s="5"/>
      <c r="W3620">
        <v>270</v>
      </c>
      <c r="X3620" t="s">
        <v>8412</v>
      </c>
      <c r="Y3620" t="str">
        <f>VLOOKUP(C3620,'[1]DBS_KPY Sorumlular'!A:C,2,FALSE)</f>
        <v>Tayfun VİÇE</v>
      </c>
      <c r="Z3620" t="str">
        <f>VLOOKUP(C3620,'[1]DBS_KPY Sorumlular'!A:C,3,FALSE)</f>
        <v>Mehmet Ali YAVUZ</v>
      </c>
      <c r="AA3620" t="str">
        <f>VLOOKUP(K3620,[1]!Tablo3[#Data],2,FALSE)</f>
        <v>Kadir TOPÇU</v>
      </c>
    </row>
    <row r="3621" spans="1:27" x14ac:dyDescent="0.25">
      <c r="A3621">
        <v>4970</v>
      </c>
      <c r="B3621" t="s">
        <v>27</v>
      </c>
      <c r="C3621" t="s">
        <v>402</v>
      </c>
      <c r="D3621" t="s">
        <v>403</v>
      </c>
      <c r="G3621" t="s">
        <v>384</v>
      </c>
      <c r="H3621" t="s">
        <v>10142</v>
      </c>
      <c r="I3621" s="4">
        <v>45443.875</v>
      </c>
      <c r="K3621" t="s">
        <v>1528</v>
      </c>
      <c r="L3621" s="5"/>
      <c r="M3621" s="5" t="s">
        <v>8423</v>
      </c>
      <c r="N3621" t="s">
        <v>82</v>
      </c>
      <c r="O3621" t="s">
        <v>10143</v>
      </c>
      <c r="R3621">
        <v>1</v>
      </c>
      <c r="T3621" s="5"/>
      <c r="W3621">
        <v>270</v>
      </c>
      <c r="X3621" t="s">
        <v>8412</v>
      </c>
      <c r="Y3621" t="str">
        <f>VLOOKUP(C3621,'[1]DBS_KPY Sorumlular'!A:C,2,FALSE)</f>
        <v>Tayfun VİÇE</v>
      </c>
      <c r="Z3621" t="str">
        <f>VLOOKUP(C3621,'[1]DBS_KPY Sorumlular'!A:C,3,FALSE)</f>
        <v>Mehmet Ali YAVUZ</v>
      </c>
      <c r="AA3621" t="str">
        <f>VLOOKUP(K3621,[1]!Tablo3[#Data],2,FALSE)</f>
        <v>Tayfun VİÇE</v>
      </c>
    </row>
    <row r="3622" spans="1:27" x14ac:dyDescent="0.25">
      <c r="A3622">
        <v>4971</v>
      </c>
      <c r="B3622" t="s">
        <v>27</v>
      </c>
      <c r="C3622" t="s">
        <v>402</v>
      </c>
      <c r="D3622" t="s">
        <v>403</v>
      </c>
      <c r="G3622" t="s">
        <v>384</v>
      </c>
      <c r="H3622" t="s">
        <v>10144</v>
      </c>
      <c r="I3622" s="4">
        <v>45443.875</v>
      </c>
      <c r="K3622" t="s">
        <v>1528</v>
      </c>
      <c r="L3622" s="5"/>
      <c r="M3622" s="5" t="s">
        <v>8423</v>
      </c>
      <c r="N3622" t="s">
        <v>82</v>
      </c>
      <c r="O3622" t="s">
        <v>10145</v>
      </c>
      <c r="R3622">
        <v>1</v>
      </c>
      <c r="T3622" s="5"/>
      <c r="W3622">
        <v>270</v>
      </c>
      <c r="X3622" t="s">
        <v>8412</v>
      </c>
      <c r="Y3622" t="str">
        <f>VLOOKUP(C3622,'[1]DBS_KPY Sorumlular'!A:C,2,FALSE)</f>
        <v>Tayfun VİÇE</v>
      </c>
      <c r="Z3622" t="str">
        <f>VLOOKUP(C3622,'[1]DBS_KPY Sorumlular'!A:C,3,FALSE)</f>
        <v>Mehmet Ali YAVUZ</v>
      </c>
      <c r="AA3622" t="str">
        <f>VLOOKUP(K3622,[1]!Tablo3[#Data],2,FALSE)</f>
        <v>Tayfun VİÇE</v>
      </c>
    </row>
    <row r="3623" spans="1:27" x14ac:dyDescent="0.25">
      <c r="A3623">
        <v>4972</v>
      </c>
      <c r="B3623" t="s">
        <v>27</v>
      </c>
      <c r="C3623" t="s">
        <v>402</v>
      </c>
      <c r="D3623" t="s">
        <v>403</v>
      </c>
      <c r="G3623" t="s">
        <v>384</v>
      </c>
      <c r="H3623" t="s">
        <v>10146</v>
      </c>
      <c r="I3623" s="4">
        <v>45443.875</v>
      </c>
      <c r="K3623" t="s">
        <v>743</v>
      </c>
      <c r="L3623" s="5"/>
      <c r="M3623" s="5" t="s">
        <v>8423</v>
      </c>
      <c r="N3623" t="s">
        <v>82</v>
      </c>
      <c r="O3623" t="s">
        <v>10147</v>
      </c>
      <c r="R3623">
        <v>1</v>
      </c>
      <c r="T3623" s="5"/>
      <c r="W3623">
        <v>270</v>
      </c>
      <c r="X3623" t="s">
        <v>8412</v>
      </c>
      <c r="Y3623" t="str">
        <f>VLOOKUP(C3623,'[1]DBS_KPY Sorumlular'!A:C,2,FALSE)</f>
        <v>Tayfun VİÇE</v>
      </c>
      <c r="Z3623" t="str">
        <f>VLOOKUP(C3623,'[1]DBS_KPY Sorumlular'!A:C,3,FALSE)</f>
        <v>Mehmet Ali YAVUZ</v>
      </c>
      <c r="AA3623" t="str">
        <f>VLOOKUP(K3623,[1]!Tablo3[#Data],2,FALSE)</f>
        <v>Kadir TOPÇU</v>
      </c>
    </row>
    <row r="3624" spans="1:27" x14ac:dyDescent="0.25">
      <c r="A3624">
        <v>4973</v>
      </c>
      <c r="B3624" t="s">
        <v>27</v>
      </c>
      <c r="C3624" t="s">
        <v>402</v>
      </c>
      <c r="D3624" t="s">
        <v>403</v>
      </c>
      <c r="G3624" t="s">
        <v>384</v>
      </c>
      <c r="H3624" t="s">
        <v>10148</v>
      </c>
      <c r="I3624" s="4">
        <v>45443.875</v>
      </c>
      <c r="K3624" t="s">
        <v>743</v>
      </c>
      <c r="L3624" s="5"/>
      <c r="M3624" s="5" t="s">
        <v>8423</v>
      </c>
      <c r="N3624" t="s">
        <v>82</v>
      </c>
      <c r="O3624" t="s">
        <v>10149</v>
      </c>
      <c r="R3624">
        <v>1</v>
      </c>
      <c r="T3624" s="5"/>
      <c r="W3624">
        <v>270</v>
      </c>
      <c r="X3624" t="s">
        <v>8412</v>
      </c>
      <c r="Y3624" t="str">
        <f>VLOOKUP(C3624,'[1]DBS_KPY Sorumlular'!A:C,2,FALSE)</f>
        <v>Tayfun VİÇE</v>
      </c>
      <c r="Z3624" t="str">
        <f>VLOOKUP(C3624,'[1]DBS_KPY Sorumlular'!A:C,3,FALSE)</f>
        <v>Mehmet Ali YAVUZ</v>
      </c>
      <c r="AA3624" t="str">
        <f>VLOOKUP(K3624,[1]!Tablo3[#Data],2,FALSE)</f>
        <v>Kadir TOPÇU</v>
      </c>
    </row>
    <row r="3625" spans="1:27" x14ac:dyDescent="0.25">
      <c r="A3625">
        <v>4974</v>
      </c>
      <c r="B3625" t="s">
        <v>27</v>
      </c>
      <c r="C3625" t="s">
        <v>402</v>
      </c>
      <c r="D3625" t="s">
        <v>403</v>
      </c>
      <c r="G3625" t="s">
        <v>384</v>
      </c>
      <c r="H3625" t="s">
        <v>10150</v>
      </c>
      <c r="I3625" s="4">
        <v>45443.875</v>
      </c>
      <c r="K3625" t="s">
        <v>743</v>
      </c>
      <c r="L3625" s="5"/>
      <c r="M3625" s="5" t="s">
        <v>8423</v>
      </c>
      <c r="N3625" t="s">
        <v>82</v>
      </c>
      <c r="O3625" t="s">
        <v>10151</v>
      </c>
      <c r="R3625">
        <v>1</v>
      </c>
      <c r="T3625" s="5"/>
      <c r="W3625">
        <v>270</v>
      </c>
      <c r="X3625" t="s">
        <v>8412</v>
      </c>
      <c r="Y3625" t="str">
        <f>VLOOKUP(C3625,'[1]DBS_KPY Sorumlular'!A:C,2,FALSE)</f>
        <v>Tayfun VİÇE</v>
      </c>
      <c r="Z3625" t="str">
        <f>VLOOKUP(C3625,'[1]DBS_KPY Sorumlular'!A:C,3,FALSE)</f>
        <v>Mehmet Ali YAVUZ</v>
      </c>
      <c r="AA3625" t="str">
        <f>VLOOKUP(K3625,[1]!Tablo3[#Data],2,FALSE)</f>
        <v>Kadir TOPÇU</v>
      </c>
    </row>
    <row r="3626" spans="1:27" x14ac:dyDescent="0.25">
      <c r="A3626">
        <v>4975</v>
      </c>
      <c r="B3626" t="s">
        <v>27</v>
      </c>
      <c r="C3626" t="s">
        <v>402</v>
      </c>
      <c r="D3626" t="s">
        <v>403</v>
      </c>
      <c r="G3626" t="s">
        <v>384</v>
      </c>
      <c r="H3626" t="s">
        <v>10152</v>
      </c>
      <c r="I3626" s="4">
        <v>45443.875</v>
      </c>
      <c r="K3626" t="s">
        <v>743</v>
      </c>
      <c r="L3626" s="5"/>
      <c r="M3626" s="5" t="s">
        <v>8423</v>
      </c>
      <c r="N3626" t="s">
        <v>82</v>
      </c>
      <c r="O3626" t="s">
        <v>10153</v>
      </c>
      <c r="R3626">
        <v>1</v>
      </c>
      <c r="T3626" s="5"/>
      <c r="W3626">
        <v>270</v>
      </c>
      <c r="X3626" t="s">
        <v>8412</v>
      </c>
      <c r="Y3626" t="str">
        <f>VLOOKUP(C3626,'[1]DBS_KPY Sorumlular'!A:C,2,FALSE)</f>
        <v>Tayfun VİÇE</v>
      </c>
      <c r="Z3626" t="str">
        <f>VLOOKUP(C3626,'[1]DBS_KPY Sorumlular'!A:C,3,FALSE)</f>
        <v>Mehmet Ali YAVUZ</v>
      </c>
      <c r="AA3626" t="str">
        <f>VLOOKUP(K3626,[1]!Tablo3[#Data],2,FALSE)</f>
        <v>Kadir TOPÇU</v>
      </c>
    </row>
    <row r="3627" spans="1:27" x14ac:dyDescent="0.25">
      <c r="A3627">
        <v>4976</v>
      </c>
      <c r="B3627" t="s">
        <v>27</v>
      </c>
      <c r="C3627" t="s">
        <v>402</v>
      </c>
      <c r="D3627" t="s">
        <v>403</v>
      </c>
      <c r="G3627" t="s">
        <v>384</v>
      </c>
      <c r="H3627" t="s">
        <v>10154</v>
      </c>
      <c r="I3627" s="4">
        <v>45443.875</v>
      </c>
      <c r="K3627" t="s">
        <v>743</v>
      </c>
      <c r="L3627" s="5"/>
      <c r="M3627" s="5" t="s">
        <v>8423</v>
      </c>
      <c r="N3627" t="s">
        <v>82</v>
      </c>
      <c r="O3627" t="s">
        <v>10155</v>
      </c>
      <c r="R3627">
        <v>1</v>
      </c>
      <c r="T3627" s="5"/>
      <c r="W3627">
        <v>270</v>
      </c>
      <c r="X3627" t="s">
        <v>8412</v>
      </c>
      <c r="Y3627" t="str">
        <f>VLOOKUP(C3627,'[1]DBS_KPY Sorumlular'!A:C,2,FALSE)</f>
        <v>Tayfun VİÇE</v>
      </c>
      <c r="Z3627" t="str">
        <f>VLOOKUP(C3627,'[1]DBS_KPY Sorumlular'!A:C,3,FALSE)</f>
        <v>Mehmet Ali YAVUZ</v>
      </c>
      <c r="AA3627" t="str">
        <f>VLOOKUP(K3627,[1]!Tablo3[#Data],2,FALSE)</f>
        <v>Kadir TOPÇU</v>
      </c>
    </row>
    <row r="3628" spans="1:27" x14ac:dyDescent="0.25">
      <c r="A3628">
        <v>4977</v>
      </c>
      <c r="B3628" t="s">
        <v>27</v>
      </c>
      <c r="C3628" t="s">
        <v>402</v>
      </c>
      <c r="D3628" t="s">
        <v>403</v>
      </c>
      <c r="G3628" t="s">
        <v>384</v>
      </c>
      <c r="H3628" t="s">
        <v>10156</v>
      </c>
      <c r="I3628" s="4">
        <v>45443.875</v>
      </c>
      <c r="K3628" t="s">
        <v>743</v>
      </c>
      <c r="L3628" s="5"/>
      <c r="M3628" s="5" t="s">
        <v>8423</v>
      </c>
      <c r="N3628" t="s">
        <v>82</v>
      </c>
      <c r="O3628" t="s">
        <v>10157</v>
      </c>
      <c r="R3628">
        <v>1</v>
      </c>
      <c r="T3628" s="5"/>
      <c r="W3628">
        <v>270</v>
      </c>
      <c r="X3628" t="s">
        <v>8412</v>
      </c>
      <c r="Y3628" t="str">
        <f>VLOOKUP(C3628,'[1]DBS_KPY Sorumlular'!A:C,2,FALSE)</f>
        <v>Tayfun VİÇE</v>
      </c>
      <c r="Z3628" t="str">
        <f>VLOOKUP(C3628,'[1]DBS_KPY Sorumlular'!A:C,3,FALSE)</f>
        <v>Mehmet Ali YAVUZ</v>
      </c>
      <c r="AA3628" t="str">
        <f>VLOOKUP(K3628,[1]!Tablo3[#Data],2,FALSE)</f>
        <v>Kadir TOPÇU</v>
      </c>
    </row>
    <row r="3629" spans="1:27" x14ac:dyDescent="0.25">
      <c r="A3629">
        <v>4978</v>
      </c>
      <c r="B3629" t="s">
        <v>27</v>
      </c>
      <c r="C3629" t="s">
        <v>402</v>
      </c>
      <c r="D3629" t="s">
        <v>403</v>
      </c>
      <c r="G3629" t="s">
        <v>384</v>
      </c>
      <c r="H3629" t="s">
        <v>10158</v>
      </c>
      <c r="I3629" s="4">
        <v>45443.875</v>
      </c>
      <c r="K3629" t="s">
        <v>743</v>
      </c>
      <c r="L3629" s="5"/>
      <c r="M3629" s="5" t="s">
        <v>8423</v>
      </c>
      <c r="N3629" t="s">
        <v>82</v>
      </c>
      <c r="O3629" t="s">
        <v>10159</v>
      </c>
      <c r="R3629">
        <v>1</v>
      </c>
      <c r="T3629" s="5"/>
      <c r="W3629">
        <v>270</v>
      </c>
      <c r="X3629" t="s">
        <v>8412</v>
      </c>
      <c r="Y3629" t="str">
        <f>VLOOKUP(C3629,'[1]DBS_KPY Sorumlular'!A:C,2,FALSE)</f>
        <v>Tayfun VİÇE</v>
      </c>
      <c r="Z3629" t="str">
        <f>VLOOKUP(C3629,'[1]DBS_KPY Sorumlular'!A:C,3,FALSE)</f>
        <v>Mehmet Ali YAVUZ</v>
      </c>
      <c r="AA3629" t="str">
        <f>VLOOKUP(K3629,[1]!Tablo3[#Data],2,FALSE)</f>
        <v>Kadir TOPÇU</v>
      </c>
    </row>
    <row r="3630" spans="1:27" x14ac:dyDescent="0.25">
      <c r="A3630">
        <v>4979</v>
      </c>
      <c r="B3630" t="s">
        <v>27</v>
      </c>
      <c r="C3630" t="s">
        <v>402</v>
      </c>
      <c r="D3630" t="s">
        <v>403</v>
      </c>
      <c r="G3630" t="s">
        <v>384</v>
      </c>
      <c r="H3630" t="s">
        <v>10160</v>
      </c>
      <c r="I3630" s="4">
        <v>45443.875</v>
      </c>
      <c r="K3630" t="s">
        <v>743</v>
      </c>
      <c r="L3630" s="5"/>
      <c r="M3630" s="5" t="s">
        <v>8423</v>
      </c>
      <c r="N3630" t="s">
        <v>82</v>
      </c>
      <c r="O3630" t="s">
        <v>10161</v>
      </c>
      <c r="R3630">
        <v>1</v>
      </c>
      <c r="T3630" s="5"/>
      <c r="W3630">
        <v>270</v>
      </c>
      <c r="X3630" t="s">
        <v>8412</v>
      </c>
      <c r="Y3630" t="str">
        <f>VLOOKUP(C3630,'[1]DBS_KPY Sorumlular'!A:C,2,FALSE)</f>
        <v>Tayfun VİÇE</v>
      </c>
      <c r="Z3630" t="str">
        <f>VLOOKUP(C3630,'[1]DBS_KPY Sorumlular'!A:C,3,FALSE)</f>
        <v>Mehmet Ali YAVUZ</v>
      </c>
      <c r="AA3630" t="str">
        <f>VLOOKUP(K3630,[1]!Tablo3[#Data],2,FALSE)</f>
        <v>Kadir TOPÇU</v>
      </c>
    </row>
    <row r="3631" spans="1:27" x14ac:dyDescent="0.25">
      <c r="A3631">
        <v>4980</v>
      </c>
      <c r="B3631" t="s">
        <v>27</v>
      </c>
      <c r="C3631" t="s">
        <v>402</v>
      </c>
      <c r="D3631" t="s">
        <v>403</v>
      </c>
      <c r="G3631" t="s">
        <v>384</v>
      </c>
      <c r="H3631" t="s">
        <v>10162</v>
      </c>
      <c r="I3631" s="4">
        <v>45443.875</v>
      </c>
      <c r="K3631" t="s">
        <v>743</v>
      </c>
      <c r="L3631" s="5"/>
      <c r="M3631" s="5" t="s">
        <v>8423</v>
      </c>
      <c r="N3631" t="s">
        <v>82</v>
      </c>
      <c r="O3631" t="s">
        <v>10163</v>
      </c>
      <c r="R3631">
        <v>1</v>
      </c>
      <c r="T3631" s="5"/>
      <c r="W3631">
        <v>270</v>
      </c>
      <c r="X3631" t="s">
        <v>8412</v>
      </c>
      <c r="Y3631" t="str">
        <f>VLOOKUP(C3631,'[1]DBS_KPY Sorumlular'!A:C,2,FALSE)</f>
        <v>Tayfun VİÇE</v>
      </c>
      <c r="Z3631" t="str">
        <f>VLOOKUP(C3631,'[1]DBS_KPY Sorumlular'!A:C,3,FALSE)</f>
        <v>Mehmet Ali YAVUZ</v>
      </c>
      <c r="AA3631" t="str">
        <f>VLOOKUP(K3631,[1]!Tablo3[#Data],2,FALSE)</f>
        <v>Kadir TOPÇU</v>
      </c>
    </row>
    <row r="3632" spans="1:27" x14ac:dyDescent="0.25">
      <c r="A3632">
        <v>4981</v>
      </c>
      <c r="B3632" t="s">
        <v>27</v>
      </c>
      <c r="C3632" t="s">
        <v>402</v>
      </c>
      <c r="D3632" t="s">
        <v>403</v>
      </c>
      <c r="G3632" t="s">
        <v>384</v>
      </c>
      <c r="H3632" t="s">
        <v>10164</v>
      </c>
      <c r="I3632" s="4">
        <v>45443.875</v>
      </c>
      <c r="K3632" t="s">
        <v>743</v>
      </c>
      <c r="L3632" s="5"/>
      <c r="M3632" s="5" t="s">
        <v>8423</v>
      </c>
      <c r="N3632" t="s">
        <v>82</v>
      </c>
      <c r="O3632" t="s">
        <v>10165</v>
      </c>
      <c r="R3632">
        <v>1</v>
      </c>
      <c r="T3632" s="5"/>
      <c r="W3632">
        <v>270</v>
      </c>
      <c r="X3632" t="s">
        <v>8412</v>
      </c>
      <c r="Y3632" t="str">
        <f>VLOOKUP(C3632,'[1]DBS_KPY Sorumlular'!A:C,2,FALSE)</f>
        <v>Tayfun VİÇE</v>
      </c>
      <c r="Z3632" t="str">
        <f>VLOOKUP(C3632,'[1]DBS_KPY Sorumlular'!A:C,3,FALSE)</f>
        <v>Mehmet Ali YAVUZ</v>
      </c>
      <c r="AA3632" t="str">
        <f>VLOOKUP(K3632,[1]!Tablo3[#Data],2,FALSE)</f>
        <v>Kadir TOPÇU</v>
      </c>
    </row>
    <row r="3633" spans="1:27" x14ac:dyDescent="0.25">
      <c r="A3633">
        <v>4982</v>
      </c>
      <c r="B3633" t="s">
        <v>27</v>
      </c>
      <c r="C3633" t="s">
        <v>402</v>
      </c>
      <c r="D3633" t="s">
        <v>403</v>
      </c>
      <c r="G3633" t="s">
        <v>384</v>
      </c>
      <c r="H3633" t="s">
        <v>10166</v>
      </c>
      <c r="I3633" s="4">
        <v>45443.875</v>
      </c>
      <c r="K3633" t="s">
        <v>743</v>
      </c>
      <c r="L3633" s="5"/>
      <c r="M3633" s="5" t="s">
        <v>8423</v>
      </c>
      <c r="N3633" t="s">
        <v>82</v>
      </c>
      <c r="O3633" t="s">
        <v>10167</v>
      </c>
      <c r="R3633">
        <v>1</v>
      </c>
      <c r="T3633" s="5"/>
      <c r="W3633">
        <v>270</v>
      </c>
      <c r="X3633" t="s">
        <v>8412</v>
      </c>
      <c r="Y3633" t="str">
        <f>VLOOKUP(C3633,'[1]DBS_KPY Sorumlular'!A:C,2,FALSE)</f>
        <v>Tayfun VİÇE</v>
      </c>
      <c r="Z3633" t="str">
        <f>VLOOKUP(C3633,'[1]DBS_KPY Sorumlular'!A:C,3,FALSE)</f>
        <v>Mehmet Ali YAVUZ</v>
      </c>
      <c r="AA3633" t="str">
        <f>VLOOKUP(K3633,[1]!Tablo3[#Data],2,FALSE)</f>
        <v>Kadir TOPÇU</v>
      </c>
    </row>
    <row r="3634" spans="1:27" x14ac:dyDescent="0.25">
      <c r="A3634">
        <v>4983</v>
      </c>
      <c r="B3634" t="s">
        <v>27</v>
      </c>
      <c r="C3634" t="s">
        <v>402</v>
      </c>
      <c r="D3634" t="s">
        <v>403</v>
      </c>
      <c r="G3634" t="s">
        <v>384</v>
      </c>
      <c r="H3634" t="s">
        <v>10168</v>
      </c>
      <c r="I3634" s="4">
        <v>45443.875</v>
      </c>
      <c r="K3634" t="s">
        <v>743</v>
      </c>
      <c r="L3634" s="5"/>
      <c r="M3634" s="5" t="s">
        <v>8423</v>
      </c>
      <c r="N3634" t="s">
        <v>82</v>
      </c>
      <c r="O3634" t="s">
        <v>10169</v>
      </c>
      <c r="R3634">
        <v>1</v>
      </c>
      <c r="T3634" s="5"/>
      <c r="W3634">
        <v>270</v>
      </c>
      <c r="X3634" t="s">
        <v>8412</v>
      </c>
      <c r="Y3634" t="str">
        <f>VLOOKUP(C3634,'[1]DBS_KPY Sorumlular'!A:C,2,FALSE)</f>
        <v>Tayfun VİÇE</v>
      </c>
      <c r="Z3634" t="str">
        <f>VLOOKUP(C3634,'[1]DBS_KPY Sorumlular'!A:C,3,FALSE)</f>
        <v>Mehmet Ali YAVUZ</v>
      </c>
      <c r="AA3634" t="str">
        <f>VLOOKUP(K3634,[1]!Tablo3[#Data],2,FALSE)</f>
        <v>Kadir TOPÇU</v>
      </c>
    </row>
    <row r="3635" spans="1:27" x14ac:dyDescent="0.25">
      <c r="A3635">
        <v>4984</v>
      </c>
      <c r="B3635" t="s">
        <v>27</v>
      </c>
      <c r="C3635" t="s">
        <v>402</v>
      </c>
      <c r="D3635" t="s">
        <v>403</v>
      </c>
      <c r="G3635" t="s">
        <v>384</v>
      </c>
      <c r="H3635" t="s">
        <v>10170</v>
      </c>
      <c r="I3635" s="4">
        <v>45443.875</v>
      </c>
      <c r="K3635" t="s">
        <v>743</v>
      </c>
      <c r="L3635" s="5"/>
      <c r="M3635" s="5" t="s">
        <v>8423</v>
      </c>
      <c r="N3635" t="s">
        <v>82</v>
      </c>
      <c r="O3635" t="s">
        <v>10171</v>
      </c>
      <c r="R3635">
        <v>1</v>
      </c>
      <c r="T3635" s="5"/>
      <c r="W3635">
        <v>270</v>
      </c>
      <c r="X3635" t="s">
        <v>8412</v>
      </c>
      <c r="Y3635" t="str">
        <f>VLOOKUP(C3635,'[1]DBS_KPY Sorumlular'!A:C,2,FALSE)</f>
        <v>Tayfun VİÇE</v>
      </c>
      <c r="Z3635" t="str">
        <f>VLOOKUP(C3635,'[1]DBS_KPY Sorumlular'!A:C,3,FALSE)</f>
        <v>Mehmet Ali YAVUZ</v>
      </c>
      <c r="AA3635" t="str">
        <f>VLOOKUP(K3635,[1]!Tablo3[#Data],2,FALSE)</f>
        <v>Kadir TOPÇU</v>
      </c>
    </row>
    <row r="3636" spans="1:27" x14ac:dyDescent="0.25">
      <c r="A3636">
        <v>4985</v>
      </c>
      <c r="B3636" t="s">
        <v>27</v>
      </c>
      <c r="C3636" t="s">
        <v>402</v>
      </c>
      <c r="D3636" t="s">
        <v>403</v>
      </c>
      <c r="G3636" t="s">
        <v>384</v>
      </c>
      <c r="H3636" t="s">
        <v>10172</v>
      </c>
      <c r="I3636" s="4">
        <v>45443.875</v>
      </c>
      <c r="K3636" t="s">
        <v>217</v>
      </c>
      <c r="L3636" s="5"/>
      <c r="M3636" s="5" t="s">
        <v>8423</v>
      </c>
      <c r="N3636" t="s">
        <v>82</v>
      </c>
      <c r="O3636" t="s">
        <v>10173</v>
      </c>
      <c r="R3636">
        <v>1</v>
      </c>
      <c r="T3636" s="5"/>
      <c r="W3636">
        <v>270</v>
      </c>
      <c r="X3636" t="s">
        <v>8412</v>
      </c>
      <c r="Y3636" t="str">
        <f>VLOOKUP(C3636,'[1]DBS_KPY Sorumlular'!A:C,2,FALSE)</f>
        <v>Tayfun VİÇE</v>
      </c>
      <c r="Z3636" t="str">
        <f>VLOOKUP(C3636,'[1]DBS_KPY Sorumlular'!A:C,3,FALSE)</f>
        <v>Mehmet Ali YAVUZ</v>
      </c>
      <c r="AA3636" t="str">
        <f>VLOOKUP(K3636,[1]!Tablo3[#Data],2,FALSE)</f>
        <v>Erkan AKDOĞAN</v>
      </c>
    </row>
    <row r="3637" spans="1:27" x14ac:dyDescent="0.25">
      <c r="A3637">
        <v>4986</v>
      </c>
      <c r="B3637" t="s">
        <v>27</v>
      </c>
      <c r="C3637" t="s">
        <v>402</v>
      </c>
      <c r="D3637" t="s">
        <v>403</v>
      </c>
      <c r="G3637" t="s">
        <v>384</v>
      </c>
      <c r="H3637" t="s">
        <v>10174</v>
      </c>
      <c r="I3637" s="4">
        <v>45443.875</v>
      </c>
      <c r="K3637" t="s">
        <v>914</v>
      </c>
      <c r="L3637" s="5"/>
      <c r="M3637" s="5" t="s">
        <v>8423</v>
      </c>
      <c r="N3637" t="s">
        <v>82</v>
      </c>
      <c r="O3637" t="s">
        <v>10175</v>
      </c>
      <c r="R3637">
        <v>1</v>
      </c>
      <c r="T3637" s="5"/>
      <c r="W3637">
        <v>270</v>
      </c>
      <c r="X3637" t="s">
        <v>8412</v>
      </c>
      <c r="Y3637" t="str">
        <f>VLOOKUP(C3637,'[1]DBS_KPY Sorumlular'!A:C,2,FALSE)</f>
        <v>Tayfun VİÇE</v>
      </c>
      <c r="Z3637" t="str">
        <f>VLOOKUP(C3637,'[1]DBS_KPY Sorumlular'!A:C,3,FALSE)</f>
        <v>Mehmet Ali YAVUZ</v>
      </c>
      <c r="AA3637" t="str">
        <f>VLOOKUP(K3637,[1]!Tablo3[#Data],2,FALSE)</f>
        <v>Tayfun VİÇE</v>
      </c>
    </row>
    <row r="3638" spans="1:27" x14ac:dyDescent="0.25">
      <c r="A3638">
        <v>4987</v>
      </c>
      <c r="B3638" t="s">
        <v>27</v>
      </c>
      <c r="C3638" t="s">
        <v>402</v>
      </c>
      <c r="D3638" t="s">
        <v>403</v>
      </c>
      <c r="G3638" t="s">
        <v>384</v>
      </c>
      <c r="H3638" t="s">
        <v>10176</v>
      </c>
      <c r="I3638" s="4">
        <v>43982.875</v>
      </c>
      <c r="K3638" t="s">
        <v>914</v>
      </c>
      <c r="L3638" s="5"/>
      <c r="M3638" s="5"/>
      <c r="N3638" t="s">
        <v>82</v>
      </c>
      <c r="O3638" t="s">
        <v>10177</v>
      </c>
      <c r="R3638">
        <v>1</v>
      </c>
      <c r="T3638" s="5"/>
      <c r="W3638">
        <v>32</v>
      </c>
      <c r="X3638" t="s">
        <v>4412</v>
      </c>
      <c r="Y3638" t="str">
        <f>VLOOKUP(C3638,'[1]DBS_KPY Sorumlular'!A:C,2,FALSE)</f>
        <v>Tayfun VİÇE</v>
      </c>
      <c r="Z3638" t="str">
        <f>VLOOKUP(C3638,'[1]DBS_KPY Sorumlular'!A:C,3,FALSE)</f>
        <v>Mehmet Ali YAVUZ</v>
      </c>
      <c r="AA3638" t="str">
        <f>VLOOKUP(K3638,[1]!Tablo3[#Data],2,FALSE)</f>
        <v>Tayfun VİÇE</v>
      </c>
    </row>
    <row r="3639" spans="1:27" x14ac:dyDescent="0.25">
      <c r="A3639">
        <v>4988</v>
      </c>
      <c r="B3639" t="s">
        <v>27</v>
      </c>
      <c r="C3639" t="s">
        <v>402</v>
      </c>
      <c r="D3639" t="s">
        <v>403</v>
      </c>
      <c r="G3639" t="s">
        <v>384</v>
      </c>
      <c r="H3639" t="s">
        <v>10178</v>
      </c>
      <c r="I3639" s="4">
        <v>43982.875</v>
      </c>
      <c r="K3639" t="s">
        <v>914</v>
      </c>
      <c r="L3639" s="5"/>
      <c r="M3639" s="5"/>
      <c r="N3639" t="s">
        <v>82</v>
      </c>
      <c r="O3639" t="s">
        <v>10179</v>
      </c>
      <c r="R3639">
        <v>1</v>
      </c>
      <c r="T3639" s="5"/>
      <c r="W3639">
        <v>32</v>
      </c>
      <c r="X3639" t="s">
        <v>4412</v>
      </c>
      <c r="Y3639" t="str">
        <f>VLOOKUP(C3639,'[1]DBS_KPY Sorumlular'!A:C,2,FALSE)</f>
        <v>Tayfun VİÇE</v>
      </c>
      <c r="Z3639" t="str">
        <f>VLOOKUP(C3639,'[1]DBS_KPY Sorumlular'!A:C,3,FALSE)</f>
        <v>Mehmet Ali YAVUZ</v>
      </c>
      <c r="AA3639" t="str">
        <f>VLOOKUP(K3639,[1]!Tablo3[#Data],2,FALSE)</f>
        <v>Tayfun VİÇE</v>
      </c>
    </row>
    <row r="3640" spans="1:27" x14ac:dyDescent="0.25">
      <c r="A3640">
        <v>4989</v>
      </c>
      <c r="B3640" t="s">
        <v>27</v>
      </c>
      <c r="C3640" t="s">
        <v>402</v>
      </c>
      <c r="D3640" t="s">
        <v>403</v>
      </c>
      <c r="G3640" t="s">
        <v>384</v>
      </c>
      <c r="H3640" t="s">
        <v>10180</v>
      </c>
      <c r="I3640" s="4">
        <v>44347.875</v>
      </c>
      <c r="K3640" t="s">
        <v>914</v>
      </c>
      <c r="L3640" s="5"/>
      <c r="M3640" s="5"/>
      <c r="N3640" t="s">
        <v>82</v>
      </c>
      <c r="O3640" t="s">
        <v>10181</v>
      </c>
      <c r="R3640">
        <v>1</v>
      </c>
      <c r="T3640" s="5"/>
      <c r="W3640">
        <v>196</v>
      </c>
      <c r="X3640" t="s">
        <v>7066</v>
      </c>
      <c r="Y3640" t="str">
        <f>VLOOKUP(C3640,'[1]DBS_KPY Sorumlular'!A:C,2,FALSE)</f>
        <v>Tayfun VİÇE</v>
      </c>
      <c r="Z3640" t="str">
        <f>VLOOKUP(C3640,'[1]DBS_KPY Sorumlular'!A:C,3,FALSE)</f>
        <v>Mehmet Ali YAVUZ</v>
      </c>
      <c r="AA3640" t="str">
        <f>VLOOKUP(K3640,[1]!Tablo3[#Data],2,FALSE)</f>
        <v>Tayfun VİÇE</v>
      </c>
    </row>
    <row r="3641" spans="1:27" x14ac:dyDescent="0.25">
      <c r="A3641">
        <v>4990</v>
      </c>
      <c r="B3641" t="s">
        <v>27</v>
      </c>
      <c r="C3641" t="s">
        <v>402</v>
      </c>
      <c r="D3641" t="s">
        <v>403</v>
      </c>
      <c r="G3641" t="s">
        <v>384</v>
      </c>
      <c r="H3641" t="s">
        <v>10182</v>
      </c>
      <c r="I3641" s="4">
        <v>44347.875</v>
      </c>
      <c r="K3641" t="s">
        <v>914</v>
      </c>
      <c r="L3641" s="5"/>
      <c r="M3641" s="5"/>
      <c r="N3641" t="s">
        <v>82</v>
      </c>
      <c r="O3641" t="s">
        <v>10183</v>
      </c>
      <c r="R3641">
        <v>1</v>
      </c>
      <c r="T3641" s="5"/>
      <c r="W3641">
        <v>116</v>
      </c>
      <c r="X3641" t="s">
        <v>3651</v>
      </c>
      <c r="Y3641" t="str">
        <f>VLOOKUP(C3641,'[1]DBS_KPY Sorumlular'!A:C,2,FALSE)</f>
        <v>Tayfun VİÇE</v>
      </c>
      <c r="Z3641" t="str">
        <f>VLOOKUP(C3641,'[1]DBS_KPY Sorumlular'!A:C,3,FALSE)</f>
        <v>Mehmet Ali YAVUZ</v>
      </c>
      <c r="AA3641" t="str">
        <f>VLOOKUP(K3641,[1]!Tablo3[#Data],2,FALSE)</f>
        <v>Tayfun VİÇE</v>
      </c>
    </row>
    <row r="3642" spans="1:27" x14ac:dyDescent="0.25">
      <c r="A3642">
        <v>4991</v>
      </c>
      <c r="B3642" t="s">
        <v>27</v>
      </c>
      <c r="C3642" t="s">
        <v>402</v>
      </c>
      <c r="D3642" t="s">
        <v>403</v>
      </c>
      <c r="G3642" t="s">
        <v>384</v>
      </c>
      <c r="H3642" t="s">
        <v>10184</v>
      </c>
      <c r="I3642" s="4">
        <v>44347.875</v>
      </c>
      <c r="K3642" t="s">
        <v>914</v>
      </c>
      <c r="L3642" s="5"/>
      <c r="M3642" s="5"/>
      <c r="N3642" t="s">
        <v>82</v>
      </c>
      <c r="O3642" t="s">
        <v>10183</v>
      </c>
      <c r="R3642">
        <v>1</v>
      </c>
      <c r="T3642" s="5"/>
      <c r="W3642">
        <v>134</v>
      </c>
      <c r="X3642" t="s">
        <v>1577</v>
      </c>
      <c r="Y3642" t="str">
        <f>VLOOKUP(C3642,'[1]DBS_KPY Sorumlular'!A:C,2,FALSE)</f>
        <v>Tayfun VİÇE</v>
      </c>
      <c r="Z3642" t="str">
        <f>VLOOKUP(C3642,'[1]DBS_KPY Sorumlular'!A:C,3,FALSE)</f>
        <v>Mehmet Ali YAVUZ</v>
      </c>
      <c r="AA3642" t="str">
        <f>VLOOKUP(K3642,[1]!Tablo3[#Data],2,FALSE)</f>
        <v>Tayfun VİÇE</v>
      </c>
    </row>
    <row r="3643" spans="1:27" x14ac:dyDescent="0.25">
      <c r="A3643">
        <v>4992</v>
      </c>
      <c r="B3643" t="s">
        <v>27</v>
      </c>
      <c r="C3643" t="s">
        <v>402</v>
      </c>
      <c r="D3643" t="s">
        <v>403</v>
      </c>
      <c r="G3643" t="s">
        <v>384</v>
      </c>
      <c r="H3643" t="s">
        <v>10185</v>
      </c>
      <c r="I3643" s="4">
        <v>44347.875</v>
      </c>
      <c r="K3643" t="s">
        <v>914</v>
      </c>
      <c r="L3643" s="5"/>
      <c r="M3643" s="5"/>
      <c r="N3643" t="s">
        <v>82</v>
      </c>
      <c r="O3643" t="s">
        <v>10183</v>
      </c>
      <c r="R3643">
        <v>1</v>
      </c>
      <c r="T3643" s="5"/>
      <c r="W3643">
        <v>51</v>
      </c>
      <c r="X3643" t="s">
        <v>809</v>
      </c>
      <c r="Y3643" t="str">
        <f>VLOOKUP(C3643,'[1]DBS_KPY Sorumlular'!A:C,2,FALSE)</f>
        <v>Tayfun VİÇE</v>
      </c>
      <c r="Z3643" t="str">
        <f>VLOOKUP(C3643,'[1]DBS_KPY Sorumlular'!A:C,3,FALSE)</f>
        <v>Mehmet Ali YAVUZ</v>
      </c>
      <c r="AA3643" t="str">
        <f>VLOOKUP(K3643,[1]!Tablo3[#Data],2,FALSE)</f>
        <v>Tayfun VİÇE</v>
      </c>
    </row>
    <row r="3644" spans="1:27" x14ac:dyDescent="0.25">
      <c r="A3644">
        <v>4993</v>
      </c>
      <c r="B3644" t="s">
        <v>27</v>
      </c>
      <c r="C3644" t="s">
        <v>402</v>
      </c>
      <c r="D3644" t="s">
        <v>403</v>
      </c>
      <c r="G3644" t="s">
        <v>384</v>
      </c>
      <c r="H3644" t="s">
        <v>10186</v>
      </c>
      <c r="I3644" s="4">
        <v>44347.875</v>
      </c>
      <c r="K3644" t="s">
        <v>914</v>
      </c>
      <c r="L3644" s="5"/>
      <c r="M3644" s="5"/>
      <c r="N3644" t="s">
        <v>82</v>
      </c>
      <c r="O3644" t="s">
        <v>10187</v>
      </c>
      <c r="R3644">
        <v>1</v>
      </c>
      <c r="T3644" s="5"/>
      <c r="W3644">
        <v>163</v>
      </c>
      <c r="X3644" t="s">
        <v>869</v>
      </c>
      <c r="Y3644" t="str">
        <f>VLOOKUP(C3644,'[1]DBS_KPY Sorumlular'!A:C,2,FALSE)</f>
        <v>Tayfun VİÇE</v>
      </c>
      <c r="Z3644" t="str">
        <f>VLOOKUP(C3644,'[1]DBS_KPY Sorumlular'!A:C,3,FALSE)</f>
        <v>Mehmet Ali YAVUZ</v>
      </c>
      <c r="AA3644" t="str">
        <f>VLOOKUP(K3644,[1]!Tablo3[#Data],2,FALSE)</f>
        <v>Tayfun VİÇE</v>
      </c>
    </row>
    <row r="3645" spans="1:27" x14ac:dyDescent="0.25">
      <c r="A3645">
        <v>4994</v>
      </c>
      <c r="B3645" t="s">
        <v>27</v>
      </c>
      <c r="C3645" t="s">
        <v>402</v>
      </c>
      <c r="D3645" t="s">
        <v>403</v>
      </c>
      <c r="G3645" t="s">
        <v>384</v>
      </c>
      <c r="H3645" t="s">
        <v>10188</v>
      </c>
      <c r="I3645" s="4">
        <v>44347.875</v>
      </c>
      <c r="K3645" t="s">
        <v>914</v>
      </c>
      <c r="L3645" s="5"/>
      <c r="M3645" s="5"/>
      <c r="N3645" t="s">
        <v>82</v>
      </c>
      <c r="O3645" t="s">
        <v>10187</v>
      </c>
      <c r="R3645">
        <v>1</v>
      </c>
      <c r="T3645" s="5"/>
      <c r="W3645">
        <v>190</v>
      </c>
      <c r="X3645" t="s">
        <v>3630</v>
      </c>
      <c r="Y3645" t="str">
        <f>VLOOKUP(C3645,'[1]DBS_KPY Sorumlular'!A:C,2,FALSE)</f>
        <v>Tayfun VİÇE</v>
      </c>
      <c r="Z3645" t="str">
        <f>VLOOKUP(C3645,'[1]DBS_KPY Sorumlular'!A:C,3,FALSE)</f>
        <v>Mehmet Ali YAVUZ</v>
      </c>
      <c r="AA3645" t="str">
        <f>VLOOKUP(K3645,[1]!Tablo3[#Data],2,FALSE)</f>
        <v>Tayfun VİÇE</v>
      </c>
    </row>
    <row r="3646" spans="1:27" x14ac:dyDescent="0.25">
      <c r="A3646">
        <v>4995</v>
      </c>
      <c r="B3646" t="s">
        <v>27</v>
      </c>
      <c r="C3646" t="s">
        <v>402</v>
      </c>
      <c r="D3646" t="s">
        <v>403</v>
      </c>
      <c r="G3646" t="s">
        <v>384</v>
      </c>
      <c r="H3646" t="s">
        <v>10189</v>
      </c>
      <c r="I3646" s="4">
        <v>44712.875</v>
      </c>
      <c r="K3646" t="s">
        <v>914</v>
      </c>
      <c r="L3646" s="5"/>
      <c r="M3646" s="5"/>
      <c r="N3646" t="s">
        <v>82</v>
      </c>
      <c r="O3646" t="s">
        <v>10190</v>
      </c>
      <c r="R3646">
        <v>1</v>
      </c>
      <c r="T3646" s="5"/>
      <c r="W3646">
        <v>66</v>
      </c>
      <c r="X3646" t="s">
        <v>8482</v>
      </c>
      <c r="Y3646" t="str">
        <f>VLOOKUP(C3646,'[1]DBS_KPY Sorumlular'!A:C,2,FALSE)</f>
        <v>Tayfun VİÇE</v>
      </c>
      <c r="Z3646" t="str">
        <f>VLOOKUP(C3646,'[1]DBS_KPY Sorumlular'!A:C,3,FALSE)</f>
        <v>Mehmet Ali YAVUZ</v>
      </c>
      <c r="AA3646" t="str">
        <f>VLOOKUP(K3646,[1]!Tablo3[#Data],2,FALSE)</f>
        <v>Tayfun VİÇE</v>
      </c>
    </row>
    <row r="3647" spans="1:27" x14ac:dyDescent="0.25">
      <c r="A3647">
        <v>4996</v>
      </c>
      <c r="B3647" t="s">
        <v>27</v>
      </c>
      <c r="C3647" t="s">
        <v>402</v>
      </c>
      <c r="D3647" t="s">
        <v>403</v>
      </c>
      <c r="G3647" t="s">
        <v>384</v>
      </c>
      <c r="H3647" t="s">
        <v>10191</v>
      </c>
      <c r="I3647" s="4">
        <v>44712.875</v>
      </c>
      <c r="K3647" t="s">
        <v>914</v>
      </c>
      <c r="L3647" s="5"/>
      <c r="M3647" s="5"/>
      <c r="N3647" t="s">
        <v>82</v>
      </c>
      <c r="O3647" t="s">
        <v>10192</v>
      </c>
      <c r="R3647">
        <v>1</v>
      </c>
      <c r="T3647" s="5"/>
      <c r="W3647">
        <v>32</v>
      </c>
      <c r="X3647" t="s">
        <v>4412</v>
      </c>
      <c r="Y3647" t="str">
        <f>VLOOKUP(C3647,'[1]DBS_KPY Sorumlular'!A:C,2,FALSE)</f>
        <v>Tayfun VİÇE</v>
      </c>
      <c r="Z3647" t="str">
        <f>VLOOKUP(C3647,'[1]DBS_KPY Sorumlular'!A:C,3,FALSE)</f>
        <v>Mehmet Ali YAVUZ</v>
      </c>
      <c r="AA3647" t="str">
        <f>VLOOKUP(K3647,[1]!Tablo3[#Data],2,FALSE)</f>
        <v>Tayfun VİÇE</v>
      </c>
    </row>
    <row r="3648" spans="1:27" x14ac:dyDescent="0.25">
      <c r="A3648">
        <v>4997</v>
      </c>
      <c r="B3648" t="s">
        <v>27</v>
      </c>
      <c r="C3648" t="s">
        <v>402</v>
      </c>
      <c r="D3648" t="s">
        <v>403</v>
      </c>
      <c r="G3648" t="s">
        <v>384</v>
      </c>
      <c r="H3648" t="s">
        <v>10193</v>
      </c>
      <c r="I3648" s="4">
        <v>44712.875</v>
      </c>
      <c r="K3648" t="s">
        <v>914</v>
      </c>
      <c r="L3648" s="5"/>
      <c r="M3648" s="5"/>
      <c r="N3648" t="s">
        <v>82</v>
      </c>
      <c r="O3648" t="s">
        <v>10194</v>
      </c>
      <c r="R3648">
        <v>1</v>
      </c>
      <c r="T3648" s="5"/>
      <c r="W3648">
        <v>32</v>
      </c>
      <c r="X3648" t="s">
        <v>4412</v>
      </c>
      <c r="Y3648" t="str">
        <f>VLOOKUP(C3648,'[1]DBS_KPY Sorumlular'!A:C,2,FALSE)</f>
        <v>Tayfun VİÇE</v>
      </c>
      <c r="Z3648" t="str">
        <f>VLOOKUP(C3648,'[1]DBS_KPY Sorumlular'!A:C,3,FALSE)</f>
        <v>Mehmet Ali YAVUZ</v>
      </c>
      <c r="AA3648" t="str">
        <f>VLOOKUP(K3648,[1]!Tablo3[#Data],2,FALSE)</f>
        <v>Tayfun VİÇE</v>
      </c>
    </row>
    <row r="3649" spans="1:27" x14ac:dyDescent="0.25">
      <c r="A3649">
        <v>4998</v>
      </c>
      <c r="B3649" t="s">
        <v>27</v>
      </c>
      <c r="C3649" t="s">
        <v>402</v>
      </c>
      <c r="D3649" t="s">
        <v>403</v>
      </c>
      <c r="G3649" t="s">
        <v>384</v>
      </c>
      <c r="H3649" t="s">
        <v>10195</v>
      </c>
      <c r="I3649" s="4">
        <v>44712.875</v>
      </c>
      <c r="K3649" t="s">
        <v>914</v>
      </c>
      <c r="L3649" s="5"/>
      <c r="M3649" s="5"/>
      <c r="N3649" t="s">
        <v>82</v>
      </c>
      <c r="O3649" t="s">
        <v>10196</v>
      </c>
      <c r="R3649">
        <v>1</v>
      </c>
      <c r="T3649" s="5"/>
      <c r="W3649">
        <v>224</v>
      </c>
      <c r="X3649" t="s">
        <v>6599</v>
      </c>
      <c r="Y3649" t="str">
        <f>VLOOKUP(C3649,'[1]DBS_KPY Sorumlular'!A:C,2,FALSE)</f>
        <v>Tayfun VİÇE</v>
      </c>
      <c r="Z3649" t="str">
        <f>VLOOKUP(C3649,'[1]DBS_KPY Sorumlular'!A:C,3,FALSE)</f>
        <v>Mehmet Ali YAVUZ</v>
      </c>
      <c r="AA3649" t="str">
        <f>VLOOKUP(K3649,[1]!Tablo3[#Data],2,FALSE)</f>
        <v>Tayfun VİÇE</v>
      </c>
    </row>
    <row r="3650" spans="1:27" x14ac:dyDescent="0.25">
      <c r="A3650">
        <v>4999</v>
      </c>
      <c r="B3650" t="s">
        <v>27</v>
      </c>
      <c r="C3650" t="s">
        <v>402</v>
      </c>
      <c r="D3650" t="s">
        <v>403</v>
      </c>
      <c r="G3650" t="s">
        <v>384</v>
      </c>
      <c r="H3650" t="s">
        <v>10197</v>
      </c>
      <c r="I3650" s="4">
        <v>45077.875</v>
      </c>
      <c r="K3650" t="s">
        <v>914</v>
      </c>
      <c r="L3650" s="5"/>
      <c r="M3650" s="5"/>
      <c r="N3650" t="s">
        <v>82</v>
      </c>
      <c r="O3650" t="s">
        <v>10198</v>
      </c>
      <c r="R3650">
        <v>1</v>
      </c>
      <c r="T3650" s="5"/>
      <c r="W3650">
        <v>32</v>
      </c>
      <c r="X3650" t="s">
        <v>4412</v>
      </c>
      <c r="Y3650" t="str">
        <f>VLOOKUP(C3650,'[1]DBS_KPY Sorumlular'!A:C,2,FALSE)</f>
        <v>Tayfun VİÇE</v>
      </c>
      <c r="Z3650" t="str">
        <f>VLOOKUP(C3650,'[1]DBS_KPY Sorumlular'!A:C,3,FALSE)</f>
        <v>Mehmet Ali YAVUZ</v>
      </c>
      <c r="AA3650" t="str">
        <f>VLOOKUP(K3650,[1]!Tablo3[#Data],2,FALSE)</f>
        <v>Tayfun VİÇE</v>
      </c>
    </row>
    <row r="3651" spans="1:27" x14ac:dyDescent="0.25">
      <c r="A3651">
        <v>5000</v>
      </c>
      <c r="B3651" t="s">
        <v>27</v>
      </c>
      <c r="C3651" t="s">
        <v>402</v>
      </c>
      <c r="D3651" t="s">
        <v>403</v>
      </c>
      <c r="G3651" t="s">
        <v>384</v>
      </c>
      <c r="H3651" t="s">
        <v>10199</v>
      </c>
      <c r="I3651" s="4">
        <v>45443.875</v>
      </c>
      <c r="K3651" t="s">
        <v>743</v>
      </c>
      <c r="L3651" s="5"/>
      <c r="M3651" s="5"/>
      <c r="N3651" t="s">
        <v>82</v>
      </c>
      <c r="O3651" t="s">
        <v>10200</v>
      </c>
      <c r="R3651">
        <v>1</v>
      </c>
      <c r="T3651" s="5"/>
      <c r="W3651">
        <v>32</v>
      </c>
      <c r="X3651" t="s">
        <v>4412</v>
      </c>
      <c r="Y3651" t="str">
        <f>VLOOKUP(C3651,'[1]DBS_KPY Sorumlular'!A:C,2,FALSE)</f>
        <v>Tayfun VİÇE</v>
      </c>
      <c r="Z3651" t="str">
        <f>VLOOKUP(C3651,'[1]DBS_KPY Sorumlular'!A:C,3,FALSE)</f>
        <v>Mehmet Ali YAVUZ</v>
      </c>
      <c r="AA3651" t="str">
        <f>VLOOKUP(K3651,[1]!Tablo3[#Data],2,FALSE)</f>
        <v>Kadir TOPÇU</v>
      </c>
    </row>
    <row r="3652" spans="1:27" x14ac:dyDescent="0.25">
      <c r="A3652">
        <v>5001</v>
      </c>
      <c r="B3652" t="s">
        <v>27</v>
      </c>
      <c r="C3652" t="s">
        <v>402</v>
      </c>
      <c r="D3652" t="s">
        <v>403</v>
      </c>
      <c r="G3652" t="s">
        <v>384</v>
      </c>
      <c r="H3652" t="s">
        <v>10201</v>
      </c>
      <c r="I3652" s="4">
        <v>45077.875</v>
      </c>
      <c r="K3652" t="s">
        <v>914</v>
      </c>
      <c r="L3652" s="5"/>
      <c r="M3652" s="5"/>
      <c r="N3652" t="s">
        <v>82</v>
      </c>
      <c r="O3652" t="s">
        <v>10202</v>
      </c>
      <c r="R3652">
        <v>1</v>
      </c>
      <c r="T3652" s="5"/>
      <c r="W3652">
        <v>32</v>
      </c>
      <c r="X3652" t="s">
        <v>4412</v>
      </c>
      <c r="Y3652" t="str">
        <f>VLOOKUP(C3652,'[1]DBS_KPY Sorumlular'!A:C,2,FALSE)</f>
        <v>Tayfun VİÇE</v>
      </c>
      <c r="Z3652" t="str">
        <f>VLOOKUP(C3652,'[1]DBS_KPY Sorumlular'!A:C,3,FALSE)</f>
        <v>Mehmet Ali YAVUZ</v>
      </c>
      <c r="AA3652" t="str">
        <f>VLOOKUP(K3652,[1]!Tablo3[#Data],2,FALSE)</f>
        <v>Tayfun VİÇE</v>
      </c>
    </row>
    <row r="3653" spans="1:27" x14ac:dyDescent="0.25">
      <c r="A3653">
        <v>5002</v>
      </c>
      <c r="B3653" t="s">
        <v>27</v>
      </c>
      <c r="C3653" t="s">
        <v>402</v>
      </c>
      <c r="D3653" t="s">
        <v>403</v>
      </c>
      <c r="G3653" t="s">
        <v>384</v>
      </c>
      <c r="H3653" t="s">
        <v>10203</v>
      </c>
      <c r="I3653" s="4">
        <v>45077.875</v>
      </c>
      <c r="K3653" t="s">
        <v>914</v>
      </c>
      <c r="L3653" s="5"/>
      <c r="M3653" s="5"/>
      <c r="N3653" t="s">
        <v>82</v>
      </c>
      <c r="O3653" t="s">
        <v>10204</v>
      </c>
      <c r="R3653">
        <v>1</v>
      </c>
      <c r="T3653" s="5"/>
      <c r="W3653">
        <v>224</v>
      </c>
      <c r="X3653" t="s">
        <v>6599</v>
      </c>
      <c r="Y3653" t="str">
        <f>VLOOKUP(C3653,'[1]DBS_KPY Sorumlular'!A:C,2,FALSE)</f>
        <v>Tayfun VİÇE</v>
      </c>
      <c r="Z3653" t="str">
        <f>VLOOKUP(C3653,'[1]DBS_KPY Sorumlular'!A:C,3,FALSE)</f>
        <v>Mehmet Ali YAVUZ</v>
      </c>
      <c r="AA3653" t="str">
        <f>VLOOKUP(K3653,[1]!Tablo3[#Data],2,FALSE)</f>
        <v>Tayfun VİÇE</v>
      </c>
    </row>
    <row r="3654" spans="1:27" x14ac:dyDescent="0.25">
      <c r="A3654">
        <v>5003</v>
      </c>
      <c r="B3654" t="s">
        <v>27</v>
      </c>
      <c r="C3654" t="s">
        <v>402</v>
      </c>
      <c r="D3654" t="s">
        <v>403</v>
      </c>
      <c r="G3654" t="s">
        <v>384</v>
      </c>
      <c r="H3654" t="s">
        <v>10205</v>
      </c>
      <c r="I3654" s="4">
        <v>45077.875</v>
      </c>
      <c r="K3654" t="s">
        <v>914</v>
      </c>
      <c r="L3654" s="5"/>
      <c r="M3654" s="5"/>
      <c r="N3654" t="s">
        <v>82</v>
      </c>
      <c r="O3654" t="s">
        <v>10206</v>
      </c>
      <c r="R3654">
        <v>1</v>
      </c>
      <c r="T3654" s="5"/>
      <c r="W3654">
        <v>66</v>
      </c>
      <c r="X3654" t="s">
        <v>8482</v>
      </c>
      <c r="Y3654" t="str">
        <f>VLOOKUP(C3654,'[1]DBS_KPY Sorumlular'!A:C,2,FALSE)</f>
        <v>Tayfun VİÇE</v>
      </c>
      <c r="Z3654" t="str">
        <f>VLOOKUP(C3654,'[1]DBS_KPY Sorumlular'!A:C,3,FALSE)</f>
        <v>Mehmet Ali YAVUZ</v>
      </c>
      <c r="AA3654" t="str">
        <f>VLOOKUP(K3654,[1]!Tablo3[#Data],2,FALSE)</f>
        <v>Tayfun VİÇE</v>
      </c>
    </row>
    <row r="3655" spans="1:27" x14ac:dyDescent="0.25">
      <c r="A3655">
        <v>5004</v>
      </c>
      <c r="B3655" t="s">
        <v>27</v>
      </c>
      <c r="C3655" t="s">
        <v>402</v>
      </c>
      <c r="D3655" t="s">
        <v>403</v>
      </c>
      <c r="G3655" t="s">
        <v>384</v>
      </c>
      <c r="H3655" t="s">
        <v>10207</v>
      </c>
      <c r="I3655" s="4">
        <v>45077.875</v>
      </c>
      <c r="K3655" t="s">
        <v>914</v>
      </c>
      <c r="L3655" s="5"/>
      <c r="M3655" s="5"/>
      <c r="N3655" t="s">
        <v>82</v>
      </c>
      <c r="O3655" t="s">
        <v>10208</v>
      </c>
      <c r="R3655">
        <v>1</v>
      </c>
      <c r="T3655" s="5"/>
      <c r="W3655">
        <v>32</v>
      </c>
      <c r="X3655" t="s">
        <v>4412</v>
      </c>
      <c r="Y3655" t="str">
        <f>VLOOKUP(C3655,'[1]DBS_KPY Sorumlular'!A:C,2,FALSE)</f>
        <v>Tayfun VİÇE</v>
      </c>
      <c r="Z3655" t="str">
        <f>VLOOKUP(C3655,'[1]DBS_KPY Sorumlular'!A:C,3,FALSE)</f>
        <v>Mehmet Ali YAVUZ</v>
      </c>
      <c r="AA3655" t="str">
        <f>VLOOKUP(K3655,[1]!Tablo3[#Data],2,FALSE)</f>
        <v>Tayfun VİÇE</v>
      </c>
    </row>
    <row r="3656" spans="1:27" x14ac:dyDescent="0.25">
      <c r="A3656">
        <v>5005</v>
      </c>
      <c r="B3656" t="s">
        <v>27</v>
      </c>
      <c r="C3656" t="s">
        <v>402</v>
      </c>
      <c r="D3656" t="s">
        <v>403</v>
      </c>
      <c r="G3656" t="s">
        <v>384</v>
      </c>
      <c r="H3656" t="s">
        <v>10209</v>
      </c>
      <c r="I3656" s="4">
        <v>45077.875</v>
      </c>
      <c r="K3656" t="s">
        <v>914</v>
      </c>
      <c r="L3656" s="5"/>
      <c r="M3656" s="5"/>
      <c r="N3656" t="s">
        <v>82</v>
      </c>
      <c r="O3656" t="s">
        <v>10210</v>
      </c>
      <c r="R3656">
        <v>1</v>
      </c>
      <c r="T3656" s="5"/>
      <c r="W3656">
        <v>32</v>
      </c>
      <c r="X3656" t="s">
        <v>4412</v>
      </c>
      <c r="Y3656" t="str">
        <f>VLOOKUP(C3656,'[1]DBS_KPY Sorumlular'!A:C,2,FALSE)</f>
        <v>Tayfun VİÇE</v>
      </c>
      <c r="Z3656" t="str">
        <f>VLOOKUP(C3656,'[1]DBS_KPY Sorumlular'!A:C,3,FALSE)</f>
        <v>Mehmet Ali YAVUZ</v>
      </c>
      <c r="AA3656" t="str">
        <f>VLOOKUP(K3656,[1]!Tablo3[#Data],2,FALSE)</f>
        <v>Tayfun VİÇE</v>
      </c>
    </row>
    <row r="3657" spans="1:27" x14ac:dyDescent="0.25">
      <c r="A3657">
        <v>5006</v>
      </c>
      <c r="B3657" t="s">
        <v>27</v>
      </c>
      <c r="C3657" t="s">
        <v>402</v>
      </c>
      <c r="D3657" t="s">
        <v>403</v>
      </c>
      <c r="G3657" t="s">
        <v>384</v>
      </c>
      <c r="H3657" t="s">
        <v>10211</v>
      </c>
      <c r="I3657" s="4">
        <v>45077.875</v>
      </c>
      <c r="K3657" t="s">
        <v>914</v>
      </c>
      <c r="L3657" s="5"/>
      <c r="M3657" s="5"/>
      <c r="N3657" t="s">
        <v>82</v>
      </c>
      <c r="O3657" t="s">
        <v>10212</v>
      </c>
      <c r="R3657">
        <v>1</v>
      </c>
      <c r="T3657" s="5"/>
      <c r="W3657">
        <v>196</v>
      </c>
      <c r="X3657" t="s">
        <v>7066</v>
      </c>
      <c r="Y3657" t="str">
        <f>VLOOKUP(C3657,'[1]DBS_KPY Sorumlular'!A:C,2,FALSE)</f>
        <v>Tayfun VİÇE</v>
      </c>
      <c r="Z3657" t="str">
        <f>VLOOKUP(C3657,'[1]DBS_KPY Sorumlular'!A:C,3,FALSE)</f>
        <v>Mehmet Ali YAVUZ</v>
      </c>
      <c r="AA3657" t="str">
        <f>VLOOKUP(K3657,[1]!Tablo3[#Data],2,FALSE)</f>
        <v>Tayfun VİÇE</v>
      </c>
    </row>
    <row r="3658" spans="1:27" x14ac:dyDescent="0.25">
      <c r="A3658">
        <v>5007</v>
      </c>
      <c r="B3658" t="s">
        <v>27</v>
      </c>
      <c r="C3658" t="s">
        <v>402</v>
      </c>
      <c r="D3658" t="s">
        <v>403</v>
      </c>
      <c r="G3658" t="s">
        <v>384</v>
      </c>
      <c r="H3658" t="s">
        <v>10213</v>
      </c>
      <c r="I3658" s="4">
        <v>45077.875</v>
      </c>
      <c r="K3658" t="s">
        <v>914</v>
      </c>
      <c r="L3658" s="5"/>
      <c r="M3658" s="5"/>
      <c r="N3658" t="s">
        <v>82</v>
      </c>
      <c r="O3658" t="s">
        <v>10214</v>
      </c>
      <c r="R3658">
        <v>1</v>
      </c>
      <c r="T3658" s="5"/>
      <c r="W3658">
        <v>131</v>
      </c>
      <c r="X3658" t="s">
        <v>61</v>
      </c>
      <c r="Y3658" t="str">
        <f>VLOOKUP(C3658,'[1]DBS_KPY Sorumlular'!A:C,2,FALSE)</f>
        <v>Tayfun VİÇE</v>
      </c>
      <c r="Z3658" t="str">
        <f>VLOOKUP(C3658,'[1]DBS_KPY Sorumlular'!A:C,3,FALSE)</f>
        <v>Mehmet Ali YAVUZ</v>
      </c>
      <c r="AA3658" t="str">
        <f>VLOOKUP(K3658,[1]!Tablo3[#Data],2,FALSE)</f>
        <v>Tayfun VİÇE</v>
      </c>
    </row>
    <row r="3659" spans="1:27" x14ac:dyDescent="0.25">
      <c r="A3659">
        <v>5008</v>
      </c>
      <c r="B3659" t="s">
        <v>27</v>
      </c>
      <c r="C3659" t="s">
        <v>402</v>
      </c>
      <c r="D3659" t="s">
        <v>403</v>
      </c>
      <c r="G3659" t="s">
        <v>384</v>
      </c>
      <c r="H3659" t="s">
        <v>10215</v>
      </c>
      <c r="I3659" s="4">
        <v>45077.875</v>
      </c>
      <c r="K3659" t="s">
        <v>914</v>
      </c>
      <c r="L3659" s="5"/>
      <c r="M3659" s="5"/>
      <c r="N3659" t="s">
        <v>82</v>
      </c>
      <c r="O3659" t="s">
        <v>10216</v>
      </c>
      <c r="R3659">
        <v>1</v>
      </c>
      <c r="T3659" s="5"/>
      <c r="W3659">
        <v>32</v>
      </c>
      <c r="X3659" t="s">
        <v>4412</v>
      </c>
      <c r="Y3659" t="str">
        <f>VLOOKUP(C3659,'[1]DBS_KPY Sorumlular'!A:C,2,FALSE)</f>
        <v>Tayfun VİÇE</v>
      </c>
      <c r="Z3659" t="str">
        <f>VLOOKUP(C3659,'[1]DBS_KPY Sorumlular'!A:C,3,FALSE)</f>
        <v>Mehmet Ali YAVUZ</v>
      </c>
      <c r="AA3659" t="str">
        <f>VLOOKUP(K3659,[1]!Tablo3[#Data],2,FALSE)</f>
        <v>Tayfun VİÇE</v>
      </c>
    </row>
    <row r="3660" spans="1:27" x14ac:dyDescent="0.25">
      <c r="A3660">
        <v>5009</v>
      </c>
      <c r="B3660" t="s">
        <v>27</v>
      </c>
      <c r="C3660" t="s">
        <v>402</v>
      </c>
      <c r="D3660" t="s">
        <v>403</v>
      </c>
      <c r="G3660" t="s">
        <v>384</v>
      </c>
      <c r="H3660" t="s">
        <v>10217</v>
      </c>
      <c r="I3660" s="4">
        <v>45077.875</v>
      </c>
      <c r="K3660" t="s">
        <v>914</v>
      </c>
      <c r="L3660" s="5"/>
      <c r="M3660" s="5"/>
      <c r="N3660" t="s">
        <v>82</v>
      </c>
      <c r="O3660" t="s">
        <v>10218</v>
      </c>
      <c r="R3660">
        <v>1</v>
      </c>
      <c r="T3660" s="5"/>
      <c r="W3660">
        <v>64</v>
      </c>
      <c r="X3660" t="s">
        <v>5394</v>
      </c>
      <c r="Y3660" t="str">
        <f>VLOOKUP(C3660,'[1]DBS_KPY Sorumlular'!A:C,2,FALSE)</f>
        <v>Tayfun VİÇE</v>
      </c>
      <c r="Z3660" t="str">
        <f>VLOOKUP(C3660,'[1]DBS_KPY Sorumlular'!A:C,3,FALSE)</f>
        <v>Mehmet Ali YAVUZ</v>
      </c>
      <c r="AA3660" t="str">
        <f>VLOOKUP(K3660,[1]!Tablo3[#Data],2,FALSE)</f>
        <v>Tayfun VİÇE</v>
      </c>
    </row>
    <row r="3661" spans="1:27" x14ac:dyDescent="0.25">
      <c r="A3661">
        <v>5010</v>
      </c>
      <c r="B3661" t="s">
        <v>27</v>
      </c>
      <c r="C3661" t="s">
        <v>402</v>
      </c>
      <c r="D3661" t="s">
        <v>403</v>
      </c>
      <c r="G3661" t="s">
        <v>384</v>
      </c>
      <c r="H3661" t="s">
        <v>10219</v>
      </c>
      <c r="I3661" s="4">
        <v>45077.875</v>
      </c>
      <c r="K3661" t="s">
        <v>914</v>
      </c>
      <c r="L3661" s="5"/>
      <c r="M3661" s="5"/>
      <c r="N3661" t="s">
        <v>82</v>
      </c>
      <c r="O3661" t="s">
        <v>10220</v>
      </c>
      <c r="R3661">
        <v>1</v>
      </c>
      <c r="T3661" s="5"/>
      <c r="W3661">
        <v>66</v>
      </c>
      <c r="X3661" t="s">
        <v>8482</v>
      </c>
      <c r="Y3661" t="str">
        <f>VLOOKUP(C3661,'[1]DBS_KPY Sorumlular'!A:C,2,FALSE)</f>
        <v>Tayfun VİÇE</v>
      </c>
      <c r="Z3661" t="str">
        <f>VLOOKUP(C3661,'[1]DBS_KPY Sorumlular'!A:C,3,FALSE)</f>
        <v>Mehmet Ali YAVUZ</v>
      </c>
      <c r="AA3661" t="str">
        <f>VLOOKUP(K3661,[1]!Tablo3[#Data],2,FALSE)</f>
        <v>Tayfun VİÇE</v>
      </c>
    </row>
    <row r="3662" spans="1:27" x14ac:dyDescent="0.25">
      <c r="A3662">
        <v>5011</v>
      </c>
      <c r="B3662" t="s">
        <v>27</v>
      </c>
      <c r="C3662" t="s">
        <v>402</v>
      </c>
      <c r="D3662" t="s">
        <v>403</v>
      </c>
      <c r="G3662" t="s">
        <v>384</v>
      </c>
      <c r="H3662" t="s">
        <v>10221</v>
      </c>
      <c r="I3662" s="4">
        <v>45077.875</v>
      </c>
      <c r="K3662" t="s">
        <v>914</v>
      </c>
      <c r="L3662" s="5"/>
      <c r="M3662" s="5"/>
      <c r="N3662" t="s">
        <v>82</v>
      </c>
      <c r="O3662" t="s">
        <v>10222</v>
      </c>
      <c r="R3662">
        <v>1</v>
      </c>
      <c r="T3662" s="5"/>
      <c r="W3662">
        <v>32</v>
      </c>
      <c r="X3662" t="s">
        <v>4412</v>
      </c>
      <c r="Y3662" t="str">
        <f>VLOOKUP(C3662,'[1]DBS_KPY Sorumlular'!A:C,2,FALSE)</f>
        <v>Tayfun VİÇE</v>
      </c>
      <c r="Z3662" t="str">
        <f>VLOOKUP(C3662,'[1]DBS_KPY Sorumlular'!A:C,3,FALSE)</f>
        <v>Mehmet Ali YAVUZ</v>
      </c>
      <c r="AA3662" t="str">
        <f>VLOOKUP(K3662,[1]!Tablo3[#Data],2,FALSE)</f>
        <v>Tayfun VİÇE</v>
      </c>
    </row>
    <row r="3663" spans="1:27" x14ac:dyDescent="0.25">
      <c r="A3663">
        <v>5012</v>
      </c>
      <c r="B3663" t="s">
        <v>27</v>
      </c>
      <c r="C3663" t="s">
        <v>402</v>
      </c>
      <c r="D3663" t="s">
        <v>403</v>
      </c>
      <c r="G3663" t="s">
        <v>384</v>
      </c>
      <c r="H3663" t="s">
        <v>10223</v>
      </c>
      <c r="I3663" s="4">
        <v>45077.875</v>
      </c>
      <c r="K3663" t="s">
        <v>914</v>
      </c>
      <c r="L3663" s="5"/>
      <c r="M3663" s="5"/>
      <c r="N3663" t="s">
        <v>82</v>
      </c>
      <c r="O3663" t="s">
        <v>10224</v>
      </c>
      <c r="R3663">
        <v>1</v>
      </c>
      <c r="T3663" s="5"/>
      <c r="W3663">
        <v>66</v>
      </c>
      <c r="X3663" t="s">
        <v>8482</v>
      </c>
      <c r="Y3663" t="str">
        <f>VLOOKUP(C3663,'[1]DBS_KPY Sorumlular'!A:C,2,FALSE)</f>
        <v>Tayfun VİÇE</v>
      </c>
      <c r="Z3663" t="str">
        <f>VLOOKUP(C3663,'[1]DBS_KPY Sorumlular'!A:C,3,FALSE)</f>
        <v>Mehmet Ali YAVUZ</v>
      </c>
      <c r="AA3663" t="str">
        <f>VLOOKUP(K3663,[1]!Tablo3[#Data],2,FALSE)</f>
        <v>Tayfun VİÇE</v>
      </c>
    </row>
    <row r="3664" spans="1:27" x14ac:dyDescent="0.25">
      <c r="A3664">
        <v>5013</v>
      </c>
      <c r="B3664" t="s">
        <v>27</v>
      </c>
      <c r="C3664" t="s">
        <v>402</v>
      </c>
      <c r="D3664" t="s">
        <v>403</v>
      </c>
      <c r="G3664" t="s">
        <v>384</v>
      </c>
      <c r="H3664" t="s">
        <v>10225</v>
      </c>
      <c r="I3664" s="4">
        <v>45077.875</v>
      </c>
      <c r="K3664" t="s">
        <v>914</v>
      </c>
      <c r="L3664" s="5"/>
      <c r="M3664" s="5"/>
      <c r="N3664" t="s">
        <v>82</v>
      </c>
      <c r="O3664" t="s">
        <v>10226</v>
      </c>
      <c r="R3664">
        <v>1</v>
      </c>
      <c r="T3664" s="5"/>
      <c r="W3664">
        <v>66</v>
      </c>
      <c r="X3664" t="s">
        <v>8482</v>
      </c>
      <c r="Y3664" t="str">
        <f>VLOOKUP(C3664,'[1]DBS_KPY Sorumlular'!A:C,2,FALSE)</f>
        <v>Tayfun VİÇE</v>
      </c>
      <c r="Z3664" t="str">
        <f>VLOOKUP(C3664,'[1]DBS_KPY Sorumlular'!A:C,3,FALSE)</f>
        <v>Mehmet Ali YAVUZ</v>
      </c>
      <c r="AA3664" t="str">
        <f>VLOOKUP(K3664,[1]!Tablo3[#Data],2,FALSE)</f>
        <v>Tayfun VİÇE</v>
      </c>
    </row>
    <row r="3665" spans="1:27" x14ac:dyDescent="0.25">
      <c r="A3665">
        <v>5014</v>
      </c>
      <c r="B3665" t="s">
        <v>27</v>
      </c>
      <c r="C3665" t="s">
        <v>402</v>
      </c>
      <c r="D3665" t="s">
        <v>403</v>
      </c>
      <c r="G3665" t="s">
        <v>384</v>
      </c>
      <c r="H3665" t="s">
        <v>10227</v>
      </c>
      <c r="I3665" s="4">
        <v>45077.875</v>
      </c>
      <c r="K3665" t="s">
        <v>914</v>
      </c>
      <c r="L3665" s="5"/>
      <c r="M3665" s="5"/>
      <c r="N3665" t="s">
        <v>82</v>
      </c>
      <c r="O3665" t="s">
        <v>10228</v>
      </c>
      <c r="R3665">
        <v>1</v>
      </c>
      <c r="T3665" s="5"/>
      <c r="W3665">
        <v>32</v>
      </c>
      <c r="X3665" t="s">
        <v>4412</v>
      </c>
      <c r="Y3665" t="str">
        <f>VLOOKUP(C3665,'[1]DBS_KPY Sorumlular'!A:C,2,FALSE)</f>
        <v>Tayfun VİÇE</v>
      </c>
      <c r="Z3665" t="str">
        <f>VLOOKUP(C3665,'[1]DBS_KPY Sorumlular'!A:C,3,FALSE)</f>
        <v>Mehmet Ali YAVUZ</v>
      </c>
      <c r="AA3665" t="str">
        <f>VLOOKUP(K3665,[1]!Tablo3[#Data],2,FALSE)</f>
        <v>Tayfun VİÇE</v>
      </c>
    </row>
    <row r="3666" spans="1:27" x14ac:dyDescent="0.25">
      <c r="A3666">
        <v>5015</v>
      </c>
      <c r="B3666" t="s">
        <v>27</v>
      </c>
      <c r="C3666" t="s">
        <v>402</v>
      </c>
      <c r="D3666" t="s">
        <v>403</v>
      </c>
      <c r="G3666" t="s">
        <v>384</v>
      </c>
      <c r="H3666" t="s">
        <v>10229</v>
      </c>
      <c r="I3666" s="4">
        <v>43982.875</v>
      </c>
      <c r="K3666" t="s">
        <v>914</v>
      </c>
      <c r="L3666" s="5"/>
      <c r="M3666" s="5"/>
      <c r="N3666" t="s">
        <v>82</v>
      </c>
      <c r="O3666" t="s">
        <v>10230</v>
      </c>
      <c r="R3666">
        <v>1</v>
      </c>
      <c r="T3666" s="5"/>
      <c r="W3666">
        <v>32</v>
      </c>
      <c r="X3666" t="s">
        <v>4412</v>
      </c>
      <c r="Y3666" t="str">
        <f>VLOOKUP(C3666,'[1]DBS_KPY Sorumlular'!A:C,2,FALSE)</f>
        <v>Tayfun VİÇE</v>
      </c>
      <c r="Z3666" t="str">
        <f>VLOOKUP(C3666,'[1]DBS_KPY Sorumlular'!A:C,3,FALSE)</f>
        <v>Mehmet Ali YAVUZ</v>
      </c>
      <c r="AA3666" t="str">
        <f>VLOOKUP(K3666,[1]!Tablo3[#Data],2,FALSE)</f>
        <v>Tayfun VİÇE</v>
      </c>
    </row>
    <row r="3667" spans="1:27" x14ac:dyDescent="0.25">
      <c r="A3667">
        <v>5016</v>
      </c>
      <c r="B3667" t="s">
        <v>27</v>
      </c>
      <c r="C3667" t="s">
        <v>402</v>
      </c>
      <c r="D3667" t="s">
        <v>403</v>
      </c>
      <c r="G3667" t="s">
        <v>384</v>
      </c>
      <c r="H3667" t="s">
        <v>10231</v>
      </c>
      <c r="I3667" s="4">
        <v>45443.875</v>
      </c>
      <c r="K3667" t="s">
        <v>914</v>
      </c>
      <c r="L3667" s="5"/>
      <c r="M3667" s="5"/>
      <c r="N3667" t="s">
        <v>82</v>
      </c>
      <c r="O3667" t="s">
        <v>10232</v>
      </c>
      <c r="R3667">
        <v>1</v>
      </c>
      <c r="T3667" s="5"/>
      <c r="W3667">
        <v>32</v>
      </c>
      <c r="X3667" t="s">
        <v>4412</v>
      </c>
      <c r="Y3667" t="str">
        <f>VLOOKUP(C3667,'[1]DBS_KPY Sorumlular'!A:C,2,FALSE)</f>
        <v>Tayfun VİÇE</v>
      </c>
      <c r="Z3667" t="str">
        <f>VLOOKUP(C3667,'[1]DBS_KPY Sorumlular'!A:C,3,FALSE)</f>
        <v>Mehmet Ali YAVUZ</v>
      </c>
      <c r="AA3667" t="str">
        <f>VLOOKUP(K3667,[1]!Tablo3[#Data],2,FALSE)</f>
        <v>Tayfun VİÇE</v>
      </c>
    </row>
    <row r="3668" spans="1:27" x14ac:dyDescent="0.25">
      <c r="A3668">
        <v>5017</v>
      </c>
      <c r="B3668" t="s">
        <v>27</v>
      </c>
      <c r="C3668" t="s">
        <v>402</v>
      </c>
      <c r="D3668" t="s">
        <v>403</v>
      </c>
      <c r="G3668" t="s">
        <v>384</v>
      </c>
      <c r="H3668" t="s">
        <v>10233</v>
      </c>
      <c r="I3668" s="4">
        <v>45077.875</v>
      </c>
      <c r="K3668" t="s">
        <v>914</v>
      </c>
      <c r="L3668" s="5"/>
      <c r="M3668" s="5"/>
      <c r="N3668" t="s">
        <v>82</v>
      </c>
      <c r="O3668" t="s">
        <v>10234</v>
      </c>
      <c r="R3668">
        <v>1</v>
      </c>
      <c r="T3668" s="5"/>
      <c r="W3668">
        <v>32</v>
      </c>
      <c r="X3668" t="s">
        <v>4412</v>
      </c>
      <c r="Y3668" t="str">
        <f>VLOOKUP(C3668,'[1]DBS_KPY Sorumlular'!A:C,2,FALSE)</f>
        <v>Tayfun VİÇE</v>
      </c>
      <c r="Z3668" t="str">
        <f>VLOOKUP(C3668,'[1]DBS_KPY Sorumlular'!A:C,3,FALSE)</f>
        <v>Mehmet Ali YAVUZ</v>
      </c>
      <c r="AA3668" t="str">
        <f>VLOOKUP(K3668,[1]!Tablo3[#Data],2,FALSE)</f>
        <v>Tayfun VİÇE</v>
      </c>
    </row>
    <row r="3669" spans="1:27" x14ac:dyDescent="0.25">
      <c r="A3669">
        <v>5018</v>
      </c>
      <c r="B3669" t="s">
        <v>27</v>
      </c>
      <c r="C3669" t="s">
        <v>402</v>
      </c>
      <c r="D3669" t="s">
        <v>403</v>
      </c>
      <c r="G3669" t="s">
        <v>384</v>
      </c>
      <c r="H3669" t="s">
        <v>10235</v>
      </c>
      <c r="I3669" s="4">
        <v>45443.875</v>
      </c>
      <c r="K3669" t="s">
        <v>914</v>
      </c>
      <c r="L3669" s="5"/>
      <c r="M3669" s="5"/>
      <c r="N3669" t="s">
        <v>82</v>
      </c>
      <c r="O3669" t="s">
        <v>10236</v>
      </c>
      <c r="R3669">
        <v>1</v>
      </c>
      <c r="T3669" s="5"/>
      <c r="W3669">
        <v>32</v>
      </c>
      <c r="X3669" t="s">
        <v>4412</v>
      </c>
      <c r="Y3669" t="str">
        <f>VLOOKUP(C3669,'[1]DBS_KPY Sorumlular'!A:C,2,FALSE)</f>
        <v>Tayfun VİÇE</v>
      </c>
      <c r="Z3669" t="str">
        <f>VLOOKUP(C3669,'[1]DBS_KPY Sorumlular'!A:C,3,FALSE)</f>
        <v>Mehmet Ali YAVUZ</v>
      </c>
      <c r="AA3669" t="str">
        <f>VLOOKUP(K3669,[1]!Tablo3[#Data],2,FALSE)</f>
        <v>Tayfun VİÇE</v>
      </c>
    </row>
    <row r="3670" spans="1:27" x14ac:dyDescent="0.25">
      <c r="A3670">
        <v>5019</v>
      </c>
      <c r="B3670" t="s">
        <v>27</v>
      </c>
      <c r="C3670" t="s">
        <v>402</v>
      </c>
      <c r="D3670" t="s">
        <v>403</v>
      </c>
      <c r="G3670" t="s">
        <v>384</v>
      </c>
      <c r="H3670" t="s">
        <v>10237</v>
      </c>
      <c r="I3670" s="4">
        <v>43982.875</v>
      </c>
      <c r="K3670" t="s">
        <v>914</v>
      </c>
      <c r="L3670" s="5"/>
      <c r="M3670" s="5"/>
      <c r="N3670" t="s">
        <v>82</v>
      </c>
      <c r="O3670" t="s">
        <v>10238</v>
      </c>
      <c r="R3670">
        <v>1</v>
      </c>
      <c r="T3670" s="5"/>
      <c r="W3670">
        <v>32</v>
      </c>
      <c r="X3670" t="s">
        <v>4412</v>
      </c>
      <c r="Y3670" t="str">
        <f>VLOOKUP(C3670,'[1]DBS_KPY Sorumlular'!A:C,2,FALSE)</f>
        <v>Tayfun VİÇE</v>
      </c>
      <c r="Z3670" t="str">
        <f>VLOOKUP(C3670,'[1]DBS_KPY Sorumlular'!A:C,3,FALSE)</f>
        <v>Mehmet Ali YAVUZ</v>
      </c>
      <c r="AA3670" t="str">
        <f>VLOOKUP(K3670,[1]!Tablo3[#Data],2,FALSE)</f>
        <v>Tayfun VİÇE</v>
      </c>
    </row>
    <row r="3671" spans="1:27" x14ac:dyDescent="0.25">
      <c r="A3671">
        <v>5020</v>
      </c>
      <c r="B3671" t="s">
        <v>27</v>
      </c>
      <c r="C3671" t="s">
        <v>402</v>
      </c>
      <c r="D3671" t="s">
        <v>403</v>
      </c>
      <c r="G3671" t="s">
        <v>384</v>
      </c>
      <c r="H3671" t="s">
        <v>10239</v>
      </c>
      <c r="I3671" s="4">
        <v>45443.875</v>
      </c>
      <c r="K3671" t="s">
        <v>914</v>
      </c>
      <c r="L3671" s="5"/>
      <c r="M3671" s="5"/>
      <c r="N3671" t="s">
        <v>82</v>
      </c>
      <c r="O3671" t="s">
        <v>10240</v>
      </c>
      <c r="R3671">
        <v>1</v>
      </c>
      <c r="T3671" s="5"/>
      <c r="W3671">
        <v>131</v>
      </c>
      <c r="X3671" t="s">
        <v>61</v>
      </c>
      <c r="Y3671" t="str">
        <f>VLOOKUP(C3671,'[1]DBS_KPY Sorumlular'!A:C,2,FALSE)</f>
        <v>Tayfun VİÇE</v>
      </c>
      <c r="Z3671" t="str">
        <f>VLOOKUP(C3671,'[1]DBS_KPY Sorumlular'!A:C,3,FALSE)</f>
        <v>Mehmet Ali YAVUZ</v>
      </c>
      <c r="AA3671" t="str">
        <f>VLOOKUP(K3671,[1]!Tablo3[#Data],2,FALSE)</f>
        <v>Tayfun VİÇE</v>
      </c>
    </row>
    <row r="3672" spans="1:27" x14ac:dyDescent="0.25">
      <c r="A3672">
        <v>5021</v>
      </c>
      <c r="B3672" t="s">
        <v>27</v>
      </c>
      <c r="C3672" t="s">
        <v>402</v>
      </c>
      <c r="D3672" t="s">
        <v>403</v>
      </c>
      <c r="G3672" t="s">
        <v>384</v>
      </c>
      <c r="H3672" t="s">
        <v>10241</v>
      </c>
      <c r="I3672" s="4">
        <v>45335.875</v>
      </c>
      <c r="K3672" t="s">
        <v>914</v>
      </c>
      <c r="L3672" s="5"/>
      <c r="M3672" s="5"/>
      <c r="N3672" t="s">
        <v>82</v>
      </c>
      <c r="O3672" t="s">
        <v>10242</v>
      </c>
      <c r="R3672">
        <v>1</v>
      </c>
      <c r="T3672" s="5"/>
      <c r="W3672">
        <v>154</v>
      </c>
      <c r="X3672" t="s">
        <v>4370</v>
      </c>
      <c r="Y3672" t="str">
        <f>VLOOKUP(C3672,'[1]DBS_KPY Sorumlular'!A:C,2,FALSE)</f>
        <v>Tayfun VİÇE</v>
      </c>
      <c r="Z3672" t="str">
        <f>VLOOKUP(C3672,'[1]DBS_KPY Sorumlular'!A:C,3,FALSE)</f>
        <v>Mehmet Ali YAVUZ</v>
      </c>
      <c r="AA3672" t="str">
        <f>VLOOKUP(K3672,[1]!Tablo3[#Data],2,FALSE)</f>
        <v>Tayfun VİÇE</v>
      </c>
    </row>
    <row r="3673" spans="1:27" x14ac:dyDescent="0.25">
      <c r="A3673">
        <v>5022</v>
      </c>
      <c r="B3673" t="s">
        <v>27</v>
      </c>
      <c r="C3673" t="s">
        <v>402</v>
      </c>
      <c r="D3673" t="s">
        <v>403</v>
      </c>
      <c r="G3673" t="s">
        <v>384</v>
      </c>
      <c r="H3673" t="s">
        <v>10243</v>
      </c>
      <c r="I3673" s="4">
        <v>45443.875</v>
      </c>
      <c r="K3673" t="s">
        <v>678</v>
      </c>
      <c r="L3673" s="5"/>
      <c r="M3673" s="5" t="s">
        <v>8423</v>
      </c>
      <c r="N3673" t="s">
        <v>82</v>
      </c>
      <c r="O3673" t="s">
        <v>10244</v>
      </c>
      <c r="R3673">
        <v>1</v>
      </c>
      <c r="T3673" s="5"/>
      <c r="W3673">
        <v>270</v>
      </c>
      <c r="X3673" t="s">
        <v>8412</v>
      </c>
      <c r="Y3673" t="str">
        <f>VLOOKUP(C3673,'[1]DBS_KPY Sorumlular'!A:C,2,FALSE)</f>
        <v>Tayfun VİÇE</v>
      </c>
      <c r="Z3673" t="str">
        <f>VLOOKUP(C3673,'[1]DBS_KPY Sorumlular'!A:C,3,FALSE)</f>
        <v>Mehmet Ali YAVUZ</v>
      </c>
      <c r="AA3673" t="str">
        <f>VLOOKUP(K3673,[1]!Tablo3[#Data],2,FALSE)</f>
        <v>Kadir TOPÇU</v>
      </c>
    </row>
    <row r="3674" spans="1:27" x14ac:dyDescent="0.25">
      <c r="A3674">
        <v>5023</v>
      </c>
      <c r="B3674" t="s">
        <v>27</v>
      </c>
      <c r="C3674" t="s">
        <v>402</v>
      </c>
      <c r="D3674" t="s">
        <v>403</v>
      </c>
      <c r="G3674" t="s">
        <v>384</v>
      </c>
      <c r="H3674" t="s">
        <v>10245</v>
      </c>
      <c r="I3674" s="4">
        <v>45443.875</v>
      </c>
      <c r="K3674" t="s">
        <v>678</v>
      </c>
      <c r="L3674" s="5"/>
      <c r="M3674" s="5" t="s">
        <v>8423</v>
      </c>
      <c r="N3674" t="s">
        <v>82</v>
      </c>
      <c r="O3674" t="s">
        <v>10246</v>
      </c>
      <c r="R3674">
        <v>1</v>
      </c>
      <c r="T3674" s="5"/>
      <c r="W3674">
        <v>270</v>
      </c>
      <c r="X3674" t="s">
        <v>8412</v>
      </c>
      <c r="Y3674" t="str">
        <f>VLOOKUP(C3674,'[1]DBS_KPY Sorumlular'!A:C,2,FALSE)</f>
        <v>Tayfun VİÇE</v>
      </c>
      <c r="Z3674" t="str">
        <f>VLOOKUP(C3674,'[1]DBS_KPY Sorumlular'!A:C,3,FALSE)</f>
        <v>Mehmet Ali YAVUZ</v>
      </c>
      <c r="AA3674" t="str">
        <f>VLOOKUP(K3674,[1]!Tablo3[#Data],2,FALSE)</f>
        <v>Kadir TOPÇU</v>
      </c>
    </row>
    <row r="3675" spans="1:27" x14ac:dyDescent="0.25">
      <c r="A3675">
        <v>5024</v>
      </c>
      <c r="B3675" t="s">
        <v>27</v>
      </c>
      <c r="C3675" t="s">
        <v>402</v>
      </c>
      <c r="D3675" t="s">
        <v>403</v>
      </c>
      <c r="G3675" t="s">
        <v>384</v>
      </c>
      <c r="H3675" t="s">
        <v>10247</v>
      </c>
      <c r="I3675" s="4">
        <v>45443.875</v>
      </c>
      <c r="K3675" t="s">
        <v>678</v>
      </c>
      <c r="L3675" s="5"/>
      <c r="M3675" s="5" t="s">
        <v>8423</v>
      </c>
      <c r="N3675" t="s">
        <v>82</v>
      </c>
      <c r="O3675" t="s">
        <v>10248</v>
      </c>
      <c r="R3675">
        <v>1</v>
      </c>
      <c r="T3675" s="5"/>
      <c r="W3675">
        <v>270</v>
      </c>
      <c r="X3675" t="s">
        <v>8412</v>
      </c>
      <c r="Y3675" t="str">
        <f>VLOOKUP(C3675,'[1]DBS_KPY Sorumlular'!A:C,2,FALSE)</f>
        <v>Tayfun VİÇE</v>
      </c>
      <c r="Z3675" t="str">
        <f>VLOOKUP(C3675,'[1]DBS_KPY Sorumlular'!A:C,3,FALSE)</f>
        <v>Mehmet Ali YAVUZ</v>
      </c>
      <c r="AA3675" t="str">
        <f>VLOOKUP(K3675,[1]!Tablo3[#Data],2,FALSE)</f>
        <v>Kadir TOPÇU</v>
      </c>
    </row>
    <row r="3676" spans="1:27" x14ac:dyDescent="0.25">
      <c r="A3676">
        <v>5025</v>
      </c>
      <c r="B3676" t="s">
        <v>27</v>
      </c>
      <c r="C3676" t="s">
        <v>402</v>
      </c>
      <c r="D3676" t="s">
        <v>403</v>
      </c>
      <c r="G3676" t="s">
        <v>384</v>
      </c>
      <c r="H3676" t="s">
        <v>10249</v>
      </c>
      <c r="I3676" s="4">
        <v>45443.875</v>
      </c>
      <c r="K3676" t="s">
        <v>678</v>
      </c>
      <c r="L3676" s="5"/>
      <c r="M3676" s="5" t="s">
        <v>8423</v>
      </c>
      <c r="N3676" t="s">
        <v>82</v>
      </c>
      <c r="O3676" t="s">
        <v>10250</v>
      </c>
      <c r="R3676">
        <v>1</v>
      </c>
      <c r="T3676" s="5"/>
      <c r="W3676">
        <v>270</v>
      </c>
      <c r="X3676" t="s">
        <v>8412</v>
      </c>
      <c r="Y3676" t="str">
        <f>VLOOKUP(C3676,'[1]DBS_KPY Sorumlular'!A:C,2,FALSE)</f>
        <v>Tayfun VİÇE</v>
      </c>
      <c r="Z3676" t="str">
        <f>VLOOKUP(C3676,'[1]DBS_KPY Sorumlular'!A:C,3,FALSE)</f>
        <v>Mehmet Ali YAVUZ</v>
      </c>
      <c r="AA3676" t="str">
        <f>VLOOKUP(K3676,[1]!Tablo3[#Data],2,FALSE)</f>
        <v>Kadir TOPÇU</v>
      </c>
    </row>
    <row r="3677" spans="1:27" x14ac:dyDescent="0.25">
      <c r="A3677">
        <v>5026</v>
      </c>
      <c r="B3677" t="s">
        <v>27</v>
      </c>
      <c r="C3677" t="s">
        <v>402</v>
      </c>
      <c r="D3677" t="s">
        <v>403</v>
      </c>
      <c r="G3677" t="s">
        <v>384</v>
      </c>
      <c r="H3677" t="s">
        <v>10251</v>
      </c>
      <c r="I3677" s="4">
        <v>45443.875</v>
      </c>
      <c r="K3677" t="s">
        <v>678</v>
      </c>
      <c r="L3677" s="5"/>
      <c r="M3677" s="5" t="s">
        <v>8423</v>
      </c>
      <c r="N3677" t="s">
        <v>82</v>
      </c>
      <c r="O3677" t="s">
        <v>10252</v>
      </c>
      <c r="R3677">
        <v>1</v>
      </c>
      <c r="T3677" s="5"/>
      <c r="W3677">
        <v>270</v>
      </c>
      <c r="X3677" t="s">
        <v>8412</v>
      </c>
      <c r="Y3677" t="str">
        <f>VLOOKUP(C3677,'[1]DBS_KPY Sorumlular'!A:C,2,FALSE)</f>
        <v>Tayfun VİÇE</v>
      </c>
      <c r="Z3677" t="str">
        <f>VLOOKUP(C3677,'[1]DBS_KPY Sorumlular'!A:C,3,FALSE)</f>
        <v>Mehmet Ali YAVUZ</v>
      </c>
      <c r="AA3677" t="str">
        <f>VLOOKUP(K3677,[1]!Tablo3[#Data],2,FALSE)</f>
        <v>Kadir TOPÇU</v>
      </c>
    </row>
    <row r="3678" spans="1:27" x14ac:dyDescent="0.25">
      <c r="A3678">
        <v>5027</v>
      </c>
      <c r="B3678" t="s">
        <v>27</v>
      </c>
      <c r="C3678" t="s">
        <v>402</v>
      </c>
      <c r="D3678" t="s">
        <v>403</v>
      </c>
      <c r="G3678" t="s">
        <v>384</v>
      </c>
      <c r="H3678" t="s">
        <v>10253</v>
      </c>
      <c r="I3678" s="4">
        <v>45443.875</v>
      </c>
      <c r="K3678" t="s">
        <v>678</v>
      </c>
      <c r="L3678" s="5"/>
      <c r="M3678" s="5" t="s">
        <v>8423</v>
      </c>
      <c r="N3678" t="s">
        <v>82</v>
      </c>
      <c r="O3678" t="s">
        <v>10254</v>
      </c>
      <c r="R3678">
        <v>1</v>
      </c>
      <c r="T3678" s="5"/>
      <c r="W3678">
        <v>270</v>
      </c>
      <c r="X3678" t="s">
        <v>8412</v>
      </c>
      <c r="Y3678" t="str">
        <f>VLOOKUP(C3678,'[1]DBS_KPY Sorumlular'!A:C,2,FALSE)</f>
        <v>Tayfun VİÇE</v>
      </c>
      <c r="Z3678" t="str">
        <f>VLOOKUP(C3678,'[1]DBS_KPY Sorumlular'!A:C,3,FALSE)</f>
        <v>Mehmet Ali YAVUZ</v>
      </c>
      <c r="AA3678" t="str">
        <f>VLOOKUP(K3678,[1]!Tablo3[#Data],2,FALSE)</f>
        <v>Kadir TOPÇU</v>
      </c>
    </row>
    <row r="3679" spans="1:27" x14ac:dyDescent="0.25">
      <c r="A3679">
        <v>5028</v>
      </c>
      <c r="B3679" t="s">
        <v>27</v>
      </c>
      <c r="C3679" t="s">
        <v>402</v>
      </c>
      <c r="D3679" t="s">
        <v>403</v>
      </c>
      <c r="G3679" t="s">
        <v>384</v>
      </c>
      <c r="H3679" t="s">
        <v>10255</v>
      </c>
      <c r="I3679" s="4">
        <v>45443.875</v>
      </c>
      <c r="K3679" t="s">
        <v>678</v>
      </c>
      <c r="L3679" s="5"/>
      <c r="M3679" s="5" t="s">
        <v>8423</v>
      </c>
      <c r="N3679" t="s">
        <v>82</v>
      </c>
      <c r="O3679" t="s">
        <v>10256</v>
      </c>
      <c r="R3679">
        <v>1</v>
      </c>
      <c r="T3679" s="5"/>
      <c r="W3679">
        <v>270</v>
      </c>
      <c r="X3679" t="s">
        <v>8412</v>
      </c>
      <c r="Y3679" t="str">
        <f>VLOOKUP(C3679,'[1]DBS_KPY Sorumlular'!A:C,2,FALSE)</f>
        <v>Tayfun VİÇE</v>
      </c>
      <c r="Z3679" t="str">
        <f>VLOOKUP(C3679,'[1]DBS_KPY Sorumlular'!A:C,3,FALSE)</f>
        <v>Mehmet Ali YAVUZ</v>
      </c>
      <c r="AA3679" t="str">
        <f>VLOOKUP(K3679,[1]!Tablo3[#Data],2,FALSE)</f>
        <v>Kadir TOPÇU</v>
      </c>
    </row>
    <row r="3680" spans="1:27" x14ac:dyDescent="0.25">
      <c r="A3680">
        <v>5029</v>
      </c>
      <c r="B3680" t="s">
        <v>27</v>
      </c>
      <c r="C3680" t="s">
        <v>402</v>
      </c>
      <c r="D3680" t="s">
        <v>403</v>
      </c>
      <c r="G3680" t="s">
        <v>384</v>
      </c>
      <c r="H3680" t="s">
        <v>10257</v>
      </c>
      <c r="I3680" s="4">
        <v>45443.875</v>
      </c>
      <c r="K3680" t="s">
        <v>678</v>
      </c>
      <c r="L3680" s="5"/>
      <c r="M3680" s="5" t="s">
        <v>8423</v>
      </c>
      <c r="N3680" t="s">
        <v>82</v>
      </c>
      <c r="O3680" t="s">
        <v>10258</v>
      </c>
      <c r="R3680">
        <v>1</v>
      </c>
      <c r="T3680" s="5"/>
      <c r="W3680">
        <v>270</v>
      </c>
      <c r="X3680" t="s">
        <v>8412</v>
      </c>
      <c r="Y3680" t="str">
        <f>VLOOKUP(C3680,'[1]DBS_KPY Sorumlular'!A:C,2,FALSE)</f>
        <v>Tayfun VİÇE</v>
      </c>
      <c r="Z3680" t="str">
        <f>VLOOKUP(C3680,'[1]DBS_KPY Sorumlular'!A:C,3,FALSE)</f>
        <v>Mehmet Ali YAVUZ</v>
      </c>
      <c r="AA3680" t="str">
        <f>VLOOKUP(K3680,[1]!Tablo3[#Data],2,FALSE)</f>
        <v>Kadir TOPÇU</v>
      </c>
    </row>
    <row r="3681" spans="1:27" x14ac:dyDescent="0.25">
      <c r="A3681">
        <v>5030</v>
      </c>
      <c r="B3681" t="s">
        <v>27</v>
      </c>
      <c r="C3681" t="s">
        <v>402</v>
      </c>
      <c r="D3681" t="s">
        <v>403</v>
      </c>
      <c r="G3681" t="s">
        <v>384</v>
      </c>
      <c r="H3681" t="s">
        <v>10259</v>
      </c>
      <c r="I3681" s="4">
        <v>45443.875</v>
      </c>
      <c r="K3681" t="s">
        <v>678</v>
      </c>
      <c r="L3681" s="5"/>
      <c r="M3681" s="5" t="s">
        <v>8423</v>
      </c>
      <c r="N3681" t="s">
        <v>82</v>
      </c>
      <c r="O3681" t="s">
        <v>10260</v>
      </c>
      <c r="R3681">
        <v>1</v>
      </c>
      <c r="T3681" s="5"/>
      <c r="W3681">
        <v>270</v>
      </c>
      <c r="X3681" t="s">
        <v>8412</v>
      </c>
      <c r="Y3681" t="str">
        <f>VLOOKUP(C3681,'[1]DBS_KPY Sorumlular'!A:C,2,FALSE)</f>
        <v>Tayfun VİÇE</v>
      </c>
      <c r="Z3681" t="str">
        <f>VLOOKUP(C3681,'[1]DBS_KPY Sorumlular'!A:C,3,FALSE)</f>
        <v>Mehmet Ali YAVUZ</v>
      </c>
      <c r="AA3681" t="str">
        <f>VLOOKUP(K3681,[1]!Tablo3[#Data],2,FALSE)</f>
        <v>Kadir TOPÇU</v>
      </c>
    </row>
    <row r="3682" spans="1:27" x14ac:dyDescent="0.25">
      <c r="A3682">
        <v>5031</v>
      </c>
      <c r="B3682" t="s">
        <v>27</v>
      </c>
      <c r="C3682" t="s">
        <v>402</v>
      </c>
      <c r="D3682" t="s">
        <v>403</v>
      </c>
      <c r="G3682" t="s">
        <v>384</v>
      </c>
      <c r="H3682" t="s">
        <v>10261</v>
      </c>
      <c r="I3682" s="4">
        <v>45443.875</v>
      </c>
      <c r="K3682" t="s">
        <v>678</v>
      </c>
      <c r="L3682" s="5"/>
      <c r="M3682" s="5" t="s">
        <v>8423</v>
      </c>
      <c r="N3682" t="s">
        <v>82</v>
      </c>
      <c r="O3682" t="s">
        <v>10262</v>
      </c>
      <c r="R3682">
        <v>1</v>
      </c>
      <c r="T3682" s="5"/>
      <c r="W3682">
        <v>270</v>
      </c>
      <c r="X3682" t="s">
        <v>8412</v>
      </c>
      <c r="Y3682" t="str">
        <f>VLOOKUP(C3682,'[1]DBS_KPY Sorumlular'!A:C,2,FALSE)</f>
        <v>Tayfun VİÇE</v>
      </c>
      <c r="Z3682" t="str">
        <f>VLOOKUP(C3682,'[1]DBS_KPY Sorumlular'!A:C,3,FALSE)</f>
        <v>Mehmet Ali YAVUZ</v>
      </c>
      <c r="AA3682" t="str">
        <f>VLOOKUP(K3682,[1]!Tablo3[#Data],2,FALSE)</f>
        <v>Kadir TOPÇU</v>
      </c>
    </row>
    <row r="3683" spans="1:27" x14ac:dyDescent="0.25">
      <c r="A3683">
        <v>5032</v>
      </c>
      <c r="B3683" t="s">
        <v>27</v>
      </c>
      <c r="C3683" t="s">
        <v>402</v>
      </c>
      <c r="D3683" t="s">
        <v>403</v>
      </c>
      <c r="G3683" t="s">
        <v>384</v>
      </c>
      <c r="H3683" t="s">
        <v>10263</v>
      </c>
      <c r="I3683" s="4">
        <v>45443.875</v>
      </c>
      <c r="K3683" t="s">
        <v>678</v>
      </c>
      <c r="L3683" s="5"/>
      <c r="M3683" s="5" t="s">
        <v>8423</v>
      </c>
      <c r="N3683" t="s">
        <v>82</v>
      </c>
      <c r="O3683" t="s">
        <v>10264</v>
      </c>
      <c r="R3683">
        <v>1</v>
      </c>
      <c r="T3683" s="5"/>
      <c r="W3683">
        <v>270</v>
      </c>
      <c r="X3683" t="s">
        <v>8412</v>
      </c>
      <c r="Y3683" t="str">
        <f>VLOOKUP(C3683,'[1]DBS_KPY Sorumlular'!A:C,2,FALSE)</f>
        <v>Tayfun VİÇE</v>
      </c>
      <c r="Z3683" t="str">
        <f>VLOOKUP(C3683,'[1]DBS_KPY Sorumlular'!A:C,3,FALSE)</f>
        <v>Mehmet Ali YAVUZ</v>
      </c>
      <c r="AA3683" t="str">
        <f>VLOOKUP(K3683,[1]!Tablo3[#Data],2,FALSE)</f>
        <v>Kadir TOPÇU</v>
      </c>
    </row>
    <row r="3684" spans="1:27" x14ac:dyDescent="0.25">
      <c r="A3684">
        <v>5033</v>
      </c>
      <c r="B3684" t="s">
        <v>27</v>
      </c>
      <c r="C3684" t="s">
        <v>402</v>
      </c>
      <c r="D3684" t="s">
        <v>403</v>
      </c>
      <c r="G3684" t="s">
        <v>384</v>
      </c>
      <c r="H3684" t="s">
        <v>10265</v>
      </c>
      <c r="I3684" s="4">
        <v>45443.875</v>
      </c>
      <c r="K3684" t="s">
        <v>678</v>
      </c>
      <c r="L3684" s="5"/>
      <c r="M3684" s="5" t="s">
        <v>8423</v>
      </c>
      <c r="N3684" t="s">
        <v>82</v>
      </c>
      <c r="O3684" t="s">
        <v>10266</v>
      </c>
      <c r="R3684">
        <v>1</v>
      </c>
      <c r="T3684" s="5"/>
      <c r="W3684">
        <v>270</v>
      </c>
      <c r="X3684" t="s">
        <v>8412</v>
      </c>
      <c r="Y3684" t="str">
        <f>VLOOKUP(C3684,'[1]DBS_KPY Sorumlular'!A:C,2,FALSE)</f>
        <v>Tayfun VİÇE</v>
      </c>
      <c r="Z3684" t="str">
        <f>VLOOKUP(C3684,'[1]DBS_KPY Sorumlular'!A:C,3,FALSE)</f>
        <v>Mehmet Ali YAVUZ</v>
      </c>
      <c r="AA3684" t="str">
        <f>VLOOKUP(K3684,[1]!Tablo3[#Data],2,FALSE)</f>
        <v>Kadir TOPÇU</v>
      </c>
    </row>
    <row r="3685" spans="1:27" x14ac:dyDescent="0.25">
      <c r="A3685">
        <v>5034</v>
      </c>
      <c r="B3685" t="s">
        <v>27</v>
      </c>
      <c r="C3685" t="s">
        <v>402</v>
      </c>
      <c r="D3685" t="s">
        <v>403</v>
      </c>
      <c r="G3685" t="s">
        <v>384</v>
      </c>
      <c r="H3685" t="s">
        <v>10267</v>
      </c>
      <c r="I3685" s="4">
        <v>45443.875</v>
      </c>
      <c r="K3685" t="s">
        <v>678</v>
      </c>
      <c r="L3685" s="5"/>
      <c r="M3685" s="5" t="s">
        <v>8423</v>
      </c>
      <c r="N3685" t="s">
        <v>82</v>
      </c>
      <c r="O3685" t="s">
        <v>10268</v>
      </c>
      <c r="R3685">
        <v>1</v>
      </c>
      <c r="T3685" s="5"/>
      <c r="W3685">
        <v>270</v>
      </c>
      <c r="X3685" t="s">
        <v>8412</v>
      </c>
      <c r="Y3685" t="str">
        <f>VLOOKUP(C3685,'[1]DBS_KPY Sorumlular'!A:C,2,FALSE)</f>
        <v>Tayfun VİÇE</v>
      </c>
      <c r="Z3685" t="str">
        <f>VLOOKUP(C3685,'[1]DBS_KPY Sorumlular'!A:C,3,FALSE)</f>
        <v>Mehmet Ali YAVUZ</v>
      </c>
      <c r="AA3685" t="str">
        <f>VLOOKUP(K3685,[1]!Tablo3[#Data],2,FALSE)</f>
        <v>Kadir TOPÇU</v>
      </c>
    </row>
    <row r="3686" spans="1:27" x14ac:dyDescent="0.25">
      <c r="A3686">
        <v>5035</v>
      </c>
      <c r="B3686" t="s">
        <v>27</v>
      </c>
      <c r="C3686" t="s">
        <v>402</v>
      </c>
      <c r="D3686" t="s">
        <v>403</v>
      </c>
      <c r="G3686" t="s">
        <v>384</v>
      </c>
      <c r="H3686" t="s">
        <v>10269</v>
      </c>
      <c r="I3686" s="4">
        <v>45443.875</v>
      </c>
      <c r="K3686" t="s">
        <v>678</v>
      </c>
      <c r="L3686" s="5"/>
      <c r="M3686" s="5" t="s">
        <v>8423</v>
      </c>
      <c r="N3686" t="s">
        <v>82</v>
      </c>
      <c r="O3686" t="s">
        <v>10270</v>
      </c>
      <c r="R3686">
        <v>1</v>
      </c>
      <c r="T3686" s="5"/>
      <c r="W3686">
        <v>270</v>
      </c>
      <c r="X3686" t="s">
        <v>8412</v>
      </c>
      <c r="Y3686" t="str">
        <f>VLOOKUP(C3686,'[1]DBS_KPY Sorumlular'!A:C,2,FALSE)</f>
        <v>Tayfun VİÇE</v>
      </c>
      <c r="Z3686" t="str">
        <f>VLOOKUP(C3686,'[1]DBS_KPY Sorumlular'!A:C,3,FALSE)</f>
        <v>Mehmet Ali YAVUZ</v>
      </c>
      <c r="AA3686" t="str">
        <f>VLOOKUP(K3686,[1]!Tablo3[#Data],2,FALSE)</f>
        <v>Kadir TOPÇU</v>
      </c>
    </row>
    <row r="3687" spans="1:27" x14ac:dyDescent="0.25">
      <c r="A3687">
        <v>5036</v>
      </c>
      <c r="B3687" t="s">
        <v>27</v>
      </c>
      <c r="C3687" t="s">
        <v>402</v>
      </c>
      <c r="D3687" t="s">
        <v>403</v>
      </c>
      <c r="G3687" t="s">
        <v>384</v>
      </c>
      <c r="H3687" t="s">
        <v>10271</v>
      </c>
      <c r="I3687" s="4">
        <v>45443.875</v>
      </c>
      <c r="K3687" t="s">
        <v>678</v>
      </c>
      <c r="L3687" s="5"/>
      <c r="M3687" s="5" t="s">
        <v>8423</v>
      </c>
      <c r="N3687" t="s">
        <v>82</v>
      </c>
      <c r="O3687" t="s">
        <v>10272</v>
      </c>
      <c r="R3687">
        <v>1</v>
      </c>
      <c r="T3687" s="5"/>
      <c r="W3687">
        <v>270</v>
      </c>
      <c r="X3687" t="s">
        <v>8412</v>
      </c>
      <c r="Y3687" t="str">
        <f>VLOOKUP(C3687,'[1]DBS_KPY Sorumlular'!A:C,2,FALSE)</f>
        <v>Tayfun VİÇE</v>
      </c>
      <c r="Z3687" t="str">
        <f>VLOOKUP(C3687,'[1]DBS_KPY Sorumlular'!A:C,3,FALSE)</f>
        <v>Mehmet Ali YAVUZ</v>
      </c>
      <c r="AA3687" t="str">
        <f>VLOOKUP(K3687,[1]!Tablo3[#Data],2,FALSE)</f>
        <v>Kadir TOPÇU</v>
      </c>
    </row>
    <row r="3688" spans="1:27" x14ac:dyDescent="0.25">
      <c r="A3688">
        <v>5037</v>
      </c>
      <c r="B3688" t="s">
        <v>27</v>
      </c>
      <c r="C3688" t="s">
        <v>402</v>
      </c>
      <c r="D3688" t="s">
        <v>403</v>
      </c>
      <c r="G3688" t="s">
        <v>384</v>
      </c>
      <c r="H3688" t="s">
        <v>10273</v>
      </c>
      <c r="I3688" s="4">
        <v>45443.875</v>
      </c>
      <c r="K3688" t="s">
        <v>678</v>
      </c>
      <c r="L3688" s="5"/>
      <c r="M3688" s="5" t="s">
        <v>8423</v>
      </c>
      <c r="N3688" t="s">
        <v>82</v>
      </c>
      <c r="O3688" t="s">
        <v>10274</v>
      </c>
      <c r="R3688">
        <v>1</v>
      </c>
      <c r="T3688" s="5"/>
      <c r="W3688">
        <v>270</v>
      </c>
      <c r="X3688" t="s">
        <v>8412</v>
      </c>
      <c r="Y3688" t="str">
        <f>VLOOKUP(C3688,'[1]DBS_KPY Sorumlular'!A:C,2,FALSE)</f>
        <v>Tayfun VİÇE</v>
      </c>
      <c r="Z3688" t="str">
        <f>VLOOKUP(C3688,'[1]DBS_KPY Sorumlular'!A:C,3,FALSE)</f>
        <v>Mehmet Ali YAVUZ</v>
      </c>
      <c r="AA3688" t="str">
        <f>VLOOKUP(K3688,[1]!Tablo3[#Data],2,FALSE)</f>
        <v>Kadir TOPÇU</v>
      </c>
    </row>
    <row r="3689" spans="1:27" x14ac:dyDescent="0.25">
      <c r="A3689">
        <v>5039</v>
      </c>
      <c r="B3689" t="s">
        <v>27</v>
      </c>
      <c r="C3689" t="s">
        <v>402</v>
      </c>
      <c r="D3689" t="s">
        <v>403</v>
      </c>
      <c r="G3689" t="s">
        <v>384</v>
      </c>
      <c r="H3689" t="s">
        <v>10275</v>
      </c>
      <c r="I3689" s="4">
        <v>45443.875</v>
      </c>
      <c r="K3689" t="s">
        <v>678</v>
      </c>
      <c r="L3689" s="5"/>
      <c r="M3689" s="5" t="s">
        <v>8423</v>
      </c>
      <c r="N3689" t="s">
        <v>82</v>
      </c>
      <c r="O3689" t="s">
        <v>10276</v>
      </c>
      <c r="R3689">
        <v>1</v>
      </c>
      <c r="T3689" s="5"/>
      <c r="W3689">
        <v>270</v>
      </c>
      <c r="X3689" t="s">
        <v>8412</v>
      </c>
      <c r="Y3689" t="str">
        <f>VLOOKUP(C3689,'[1]DBS_KPY Sorumlular'!A:C,2,FALSE)</f>
        <v>Tayfun VİÇE</v>
      </c>
      <c r="Z3689" t="str">
        <f>VLOOKUP(C3689,'[1]DBS_KPY Sorumlular'!A:C,3,FALSE)</f>
        <v>Mehmet Ali YAVUZ</v>
      </c>
      <c r="AA3689" t="str">
        <f>VLOOKUP(K3689,[1]!Tablo3[#Data],2,FALSE)</f>
        <v>Kadir TOPÇU</v>
      </c>
    </row>
    <row r="3690" spans="1:27" x14ac:dyDescent="0.25">
      <c r="A3690">
        <v>5040</v>
      </c>
      <c r="B3690" t="s">
        <v>27</v>
      </c>
      <c r="C3690" t="s">
        <v>402</v>
      </c>
      <c r="D3690" t="s">
        <v>403</v>
      </c>
      <c r="G3690" t="s">
        <v>384</v>
      </c>
      <c r="H3690" t="s">
        <v>10277</v>
      </c>
      <c r="I3690" s="4">
        <v>45443.875</v>
      </c>
      <c r="K3690" t="s">
        <v>678</v>
      </c>
      <c r="L3690" s="5"/>
      <c r="M3690" s="5" t="s">
        <v>8423</v>
      </c>
      <c r="N3690" t="s">
        <v>82</v>
      </c>
      <c r="O3690" t="s">
        <v>10278</v>
      </c>
      <c r="R3690">
        <v>1</v>
      </c>
      <c r="T3690" s="5"/>
      <c r="W3690">
        <v>270</v>
      </c>
      <c r="X3690" t="s">
        <v>8412</v>
      </c>
      <c r="Y3690" t="str">
        <f>VLOOKUP(C3690,'[1]DBS_KPY Sorumlular'!A:C,2,FALSE)</f>
        <v>Tayfun VİÇE</v>
      </c>
      <c r="Z3690" t="str">
        <f>VLOOKUP(C3690,'[1]DBS_KPY Sorumlular'!A:C,3,FALSE)</f>
        <v>Mehmet Ali YAVUZ</v>
      </c>
      <c r="AA3690" t="str">
        <f>VLOOKUP(K3690,[1]!Tablo3[#Data],2,FALSE)</f>
        <v>Kadir TOPÇU</v>
      </c>
    </row>
    <row r="3691" spans="1:27" x14ac:dyDescent="0.25">
      <c r="A3691">
        <v>5041</v>
      </c>
      <c r="B3691" t="s">
        <v>27</v>
      </c>
      <c r="C3691" t="s">
        <v>402</v>
      </c>
      <c r="D3691" t="s">
        <v>403</v>
      </c>
      <c r="G3691" t="s">
        <v>384</v>
      </c>
      <c r="H3691" t="s">
        <v>10279</v>
      </c>
      <c r="I3691" s="4">
        <v>45443.875</v>
      </c>
      <c r="K3691" t="s">
        <v>678</v>
      </c>
      <c r="L3691" s="5"/>
      <c r="M3691" s="5" t="s">
        <v>8423</v>
      </c>
      <c r="N3691" t="s">
        <v>82</v>
      </c>
      <c r="O3691" t="s">
        <v>10280</v>
      </c>
      <c r="R3691">
        <v>1</v>
      </c>
      <c r="T3691" s="5"/>
      <c r="W3691">
        <v>270</v>
      </c>
      <c r="X3691" t="s">
        <v>8412</v>
      </c>
      <c r="Y3691" t="str">
        <f>VLOOKUP(C3691,'[1]DBS_KPY Sorumlular'!A:C,2,FALSE)</f>
        <v>Tayfun VİÇE</v>
      </c>
      <c r="Z3691" t="str">
        <f>VLOOKUP(C3691,'[1]DBS_KPY Sorumlular'!A:C,3,FALSE)</f>
        <v>Mehmet Ali YAVUZ</v>
      </c>
      <c r="AA3691" t="str">
        <f>VLOOKUP(K3691,[1]!Tablo3[#Data],2,FALSE)</f>
        <v>Kadir TOPÇU</v>
      </c>
    </row>
    <row r="3692" spans="1:27" x14ac:dyDescent="0.25">
      <c r="A3692">
        <v>5042</v>
      </c>
      <c r="B3692" t="s">
        <v>27</v>
      </c>
      <c r="C3692" t="s">
        <v>402</v>
      </c>
      <c r="D3692" t="s">
        <v>403</v>
      </c>
      <c r="G3692" t="s">
        <v>384</v>
      </c>
      <c r="H3692" t="s">
        <v>10281</v>
      </c>
      <c r="I3692" s="4">
        <v>45443.875</v>
      </c>
      <c r="K3692" t="s">
        <v>678</v>
      </c>
      <c r="L3692" s="5"/>
      <c r="M3692" s="5" t="s">
        <v>8423</v>
      </c>
      <c r="N3692" t="s">
        <v>82</v>
      </c>
      <c r="O3692" t="s">
        <v>10282</v>
      </c>
      <c r="R3692">
        <v>1</v>
      </c>
      <c r="T3692" s="5"/>
      <c r="W3692">
        <v>270</v>
      </c>
      <c r="X3692" t="s">
        <v>8412</v>
      </c>
      <c r="Y3692" t="str">
        <f>VLOOKUP(C3692,'[1]DBS_KPY Sorumlular'!A:C,2,FALSE)</f>
        <v>Tayfun VİÇE</v>
      </c>
      <c r="Z3692" t="str">
        <f>VLOOKUP(C3692,'[1]DBS_KPY Sorumlular'!A:C,3,FALSE)</f>
        <v>Mehmet Ali YAVUZ</v>
      </c>
      <c r="AA3692" t="str">
        <f>VLOOKUP(K3692,[1]!Tablo3[#Data],2,FALSE)</f>
        <v>Kadir TOPÇU</v>
      </c>
    </row>
    <row r="3693" spans="1:27" x14ac:dyDescent="0.25">
      <c r="A3693">
        <v>5043</v>
      </c>
      <c r="B3693" t="s">
        <v>27</v>
      </c>
      <c r="C3693" t="s">
        <v>402</v>
      </c>
      <c r="D3693" t="s">
        <v>403</v>
      </c>
      <c r="G3693" t="s">
        <v>384</v>
      </c>
      <c r="H3693" t="s">
        <v>10283</v>
      </c>
      <c r="I3693" s="4">
        <v>45443.875</v>
      </c>
      <c r="K3693" t="s">
        <v>678</v>
      </c>
      <c r="L3693" s="5"/>
      <c r="M3693" s="5" t="s">
        <v>8423</v>
      </c>
      <c r="N3693" t="s">
        <v>82</v>
      </c>
      <c r="O3693" t="s">
        <v>10284</v>
      </c>
      <c r="R3693">
        <v>1</v>
      </c>
      <c r="T3693" s="5"/>
      <c r="W3693">
        <v>270</v>
      </c>
      <c r="X3693" t="s">
        <v>8412</v>
      </c>
      <c r="Y3693" t="str">
        <f>VLOOKUP(C3693,'[1]DBS_KPY Sorumlular'!A:C,2,FALSE)</f>
        <v>Tayfun VİÇE</v>
      </c>
      <c r="Z3693" t="str">
        <f>VLOOKUP(C3693,'[1]DBS_KPY Sorumlular'!A:C,3,FALSE)</f>
        <v>Mehmet Ali YAVUZ</v>
      </c>
      <c r="AA3693" t="str">
        <f>VLOOKUP(K3693,[1]!Tablo3[#Data],2,FALSE)</f>
        <v>Kadir TOPÇU</v>
      </c>
    </row>
    <row r="3694" spans="1:27" x14ac:dyDescent="0.25">
      <c r="A3694">
        <v>5044</v>
      </c>
      <c r="B3694" t="s">
        <v>27</v>
      </c>
      <c r="C3694" t="s">
        <v>402</v>
      </c>
      <c r="D3694" t="s">
        <v>403</v>
      </c>
      <c r="G3694" t="s">
        <v>384</v>
      </c>
      <c r="H3694" t="s">
        <v>10285</v>
      </c>
      <c r="I3694" s="4">
        <v>45443.875</v>
      </c>
      <c r="K3694" t="s">
        <v>678</v>
      </c>
      <c r="L3694" s="5"/>
      <c r="M3694" s="5" t="s">
        <v>8423</v>
      </c>
      <c r="N3694" t="s">
        <v>82</v>
      </c>
      <c r="O3694" t="s">
        <v>10286</v>
      </c>
      <c r="R3694">
        <v>1</v>
      </c>
      <c r="T3694" s="5"/>
      <c r="W3694">
        <v>270</v>
      </c>
      <c r="X3694" t="s">
        <v>8412</v>
      </c>
      <c r="Y3694" t="str">
        <f>VLOOKUP(C3694,'[1]DBS_KPY Sorumlular'!A:C,2,FALSE)</f>
        <v>Tayfun VİÇE</v>
      </c>
      <c r="Z3694" t="str">
        <f>VLOOKUP(C3694,'[1]DBS_KPY Sorumlular'!A:C,3,FALSE)</f>
        <v>Mehmet Ali YAVUZ</v>
      </c>
      <c r="AA3694" t="str">
        <f>VLOOKUP(K3694,[1]!Tablo3[#Data],2,FALSE)</f>
        <v>Kadir TOPÇU</v>
      </c>
    </row>
    <row r="3695" spans="1:27" x14ac:dyDescent="0.25">
      <c r="A3695">
        <v>5045</v>
      </c>
      <c r="B3695" t="s">
        <v>27</v>
      </c>
      <c r="C3695" t="s">
        <v>402</v>
      </c>
      <c r="D3695" t="s">
        <v>403</v>
      </c>
      <c r="G3695" t="s">
        <v>384</v>
      </c>
      <c r="H3695" t="s">
        <v>10287</v>
      </c>
      <c r="I3695" s="4">
        <v>45443.875</v>
      </c>
      <c r="K3695" t="s">
        <v>678</v>
      </c>
      <c r="L3695" s="5"/>
      <c r="M3695" s="5" t="s">
        <v>8423</v>
      </c>
      <c r="N3695" t="s">
        <v>82</v>
      </c>
      <c r="O3695" t="s">
        <v>10288</v>
      </c>
      <c r="R3695">
        <v>1</v>
      </c>
      <c r="T3695" s="5"/>
      <c r="W3695">
        <v>270</v>
      </c>
      <c r="X3695" t="s">
        <v>8412</v>
      </c>
      <c r="Y3695" t="str">
        <f>VLOOKUP(C3695,'[1]DBS_KPY Sorumlular'!A:C,2,FALSE)</f>
        <v>Tayfun VİÇE</v>
      </c>
      <c r="Z3695" t="str">
        <f>VLOOKUP(C3695,'[1]DBS_KPY Sorumlular'!A:C,3,FALSE)</f>
        <v>Mehmet Ali YAVUZ</v>
      </c>
      <c r="AA3695" t="str">
        <f>VLOOKUP(K3695,[1]!Tablo3[#Data],2,FALSE)</f>
        <v>Kadir TOPÇU</v>
      </c>
    </row>
    <row r="3696" spans="1:27" x14ac:dyDescent="0.25">
      <c r="A3696">
        <v>5046</v>
      </c>
      <c r="B3696" t="s">
        <v>27</v>
      </c>
      <c r="C3696" t="s">
        <v>402</v>
      </c>
      <c r="D3696" t="s">
        <v>403</v>
      </c>
      <c r="G3696" t="s">
        <v>384</v>
      </c>
      <c r="H3696" t="s">
        <v>10289</v>
      </c>
      <c r="I3696" s="4">
        <v>45443.875</v>
      </c>
      <c r="K3696" t="s">
        <v>678</v>
      </c>
      <c r="L3696" s="5"/>
      <c r="M3696" s="5" t="s">
        <v>8423</v>
      </c>
      <c r="N3696" t="s">
        <v>82</v>
      </c>
      <c r="O3696" t="s">
        <v>10290</v>
      </c>
      <c r="R3696">
        <v>1</v>
      </c>
      <c r="T3696" s="5"/>
      <c r="W3696">
        <v>270</v>
      </c>
      <c r="X3696" t="s">
        <v>8412</v>
      </c>
      <c r="Y3696" t="str">
        <f>VLOOKUP(C3696,'[1]DBS_KPY Sorumlular'!A:C,2,FALSE)</f>
        <v>Tayfun VİÇE</v>
      </c>
      <c r="Z3696" t="str">
        <f>VLOOKUP(C3696,'[1]DBS_KPY Sorumlular'!A:C,3,FALSE)</f>
        <v>Mehmet Ali YAVUZ</v>
      </c>
      <c r="AA3696" t="str">
        <f>VLOOKUP(K3696,[1]!Tablo3[#Data],2,FALSE)</f>
        <v>Kadir TOPÇU</v>
      </c>
    </row>
    <row r="3697" spans="1:27" x14ac:dyDescent="0.25">
      <c r="A3697">
        <v>5047</v>
      </c>
      <c r="B3697" t="s">
        <v>27</v>
      </c>
      <c r="C3697" t="s">
        <v>402</v>
      </c>
      <c r="D3697" t="s">
        <v>403</v>
      </c>
      <c r="G3697" t="s">
        <v>384</v>
      </c>
      <c r="H3697" t="s">
        <v>10291</v>
      </c>
      <c r="I3697" s="4">
        <v>45443.875</v>
      </c>
      <c r="K3697" t="s">
        <v>678</v>
      </c>
      <c r="L3697" s="5"/>
      <c r="M3697" s="5" t="s">
        <v>8423</v>
      </c>
      <c r="N3697" t="s">
        <v>82</v>
      </c>
      <c r="O3697" t="s">
        <v>10292</v>
      </c>
      <c r="R3697">
        <v>1</v>
      </c>
      <c r="T3697" s="5"/>
      <c r="W3697">
        <v>270</v>
      </c>
      <c r="X3697" t="s">
        <v>8412</v>
      </c>
      <c r="Y3697" t="str">
        <f>VLOOKUP(C3697,'[1]DBS_KPY Sorumlular'!A:C,2,FALSE)</f>
        <v>Tayfun VİÇE</v>
      </c>
      <c r="Z3697" t="str">
        <f>VLOOKUP(C3697,'[1]DBS_KPY Sorumlular'!A:C,3,FALSE)</f>
        <v>Mehmet Ali YAVUZ</v>
      </c>
      <c r="AA3697" t="str">
        <f>VLOOKUP(K3697,[1]!Tablo3[#Data],2,FALSE)</f>
        <v>Kadir TOPÇU</v>
      </c>
    </row>
    <row r="3698" spans="1:27" x14ac:dyDescent="0.25">
      <c r="A3698">
        <v>5048</v>
      </c>
      <c r="B3698" t="s">
        <v>27</v>
      </c>
      <c r="C3698" t="s">
        <v>402</v>
      </c>
      <c r="D3698" t="s">
        <v>403</v>
      </c>
      <c r="G3698" t="s">
        <v>384</v>
      </c>
      <c r="H3698" t="s">
        <v>10293</v>
      </c>
      <c r="I3698" s="4">
        <v>45443.875</v>
      </c>
      <c r="K3698" t="s">
        <v>678</v>
      </c>
      <c r="L3698" s="5"/>
      <c r="M3698" s="5" t="s">
        <v>8423</v>
      </c>
      <c r="N3698" t="s">
        <v>82</v>
      </c>
      <c r="O3698" t="s">
        <v>10294</v>
      </c>
      <c r="R3698">
        <v>1</v>
      </c>
      <c r="T3698" s="5"/>
      <c r="W3698">
        <v>270</v>
      </c>
      <c r="X3698" t="s">
        <v>8412</v>
      </c>
      <c r="Y3698" t="str">
        <f>VLOOKUP(C3698,'[1]DBS_KPY Sorumlular'!A:C,2,FALSE)</f>
        <v>Tayfun VİÇE</v>
      </c>
      <c r="Z3698" t="str">
        <f>VLOOKUP(C3698,'[1]DBS_KPY Sorumlular'!A:C,3,FALSE)</f>
        <v>Mehmet Ali YAVUZ</v>
      </c>
      <c r="AA3698" t="str">
        <f>VLOOKUP(K3698,[1]!Tablo3[#Data],2,FALSE)</f>
        <v>Kadir TOPÇU</v>
      </c>
    </row>
    <row r="3699" spans="1:27" x14ac:dyDescent="0.25">
      <c r="A3699">
        <v>5049</v>
      </c>
      <c r="B3699" t="s">
        <v>27</v>
      </c>
      <c r="C3699" t="s">
        <v>402</v>
      </c>
      <c r="D3699" t="s">
        <v>403</v>
      </c>
      <c r="G3699" t="s">
        <v>384</v>
      </c>
      <c r="H3699" t="s">
        <v>10295</v>
      </c>
      <c r="I3699" s="4">
        <v>45443.875</v>
      </c>
      <c r="K3699" t="s">
        <v>678</v>
      </c>
      <c r="L3699" s="5"/>
      <c r="M3699" s="5" t="s">
        <v>8423</v>
      </c>
      <c r="N3699" t="s">
        <v>82</v>
      </c>
      <c r="O3699" t="s">
        <v>10296</v>
      </c>
      <c r="R3699">
        <v>1</v>
      </c>
      <c r="T3699" s="5"/>
      <c r="W3699">
        <v>270</v>
      </c>
      <c r="X3699" t="s">
        <v>8412</v>
      </c>
      <c r="Y3699" t="str">
        <f>VLOOKUP(C3699,'[1]DBS_KPY Sorumlular'!A:C,2,FALSE)</f>
        <v>Tayfun VİÇE</v>
      </c>
      <c r="Z3699" t="str">
        <f>VLOOKUP(C3699,'[1]DBS_KPY Sorumlular'!A:C,3,FALSE)</f>
        <v>Mehmet Ali YAVUZ</v>
      </c>
      <c r="AA3699" t="str">
        <f>VLOOKUP(K3699,[1]!Tablo3[#Data],2,FALSE)</f>
        <v>Kadir TOPÇU</v>
      </c>
    </row>
    <row r="3700" spans="1:27" x14ac:dyDescent="0.25">
      <c r="A3700">
        <v>5050</v>
      </c>
      <c r="B3700" t="s">
        <v>27</v>
      </c>
      <c r="C3700" t="s">
        <v>402</v>
      </c>
      <c r="D3700" t="s">
        <v>403</v>
      </c>
      <c r="G3700" t="s">
        <v>384</v>
      </c>
      <c r="H3700" t="s">
        <v>10297</v>
      </c>
      <c r="I3700" s="4">
        <v>45443.875</v>
      </c>
      <c r="K3700" t="s">
        <v>586</v>
      </c>
      <c r="L3700" s="5"/>
      <c r="M3700" s="5" t="s">
        <v>8423</v>
      </c>
      <c r="N3700" t="s">
        <v>82</v>
      </c>
      <c r="O3700" t="s">
        <v>10298</v>
      </c>
      <c r="R3700">
        <v>1</v>
      </c>
      <c r="T3700" s="5"/>
      <c r="W3700">
        <v>270</v>
      </c>
      <c r="X3700" t="s">
        <v>8412</v>
      </c>
      <c r="Y3700" t="str">
        <f>VLOOKUP(C3700,'[1]DBS_KPY Sorumlular'!A:C,2,FALSE)</f>
        <v>Tayfun VİÇE</v>
      </c>
      <c r="Z3700" t="str">
        <f>VLOOKUP(C3700,'[1]DBS_KPY Sorumlular'!A:C,3,FALSE)</f>
        <v>Mehmet Ali YAVUZ</v>
      </c>
      <c r="AA3700" t="str">
        <f>VLOOKUP(K3700,[1]!Tablo3[#Data],2,FALSE)</f>
        <v>Tayfun VİÇE</v>
      </c>
    </row>
    <row r="3701" spans="1:27" x14ac:dyDescent="0.25">
      <c r="A3701">
        <v>5051</v>
      </c>
      <c r="B3701" t="s">
        <v>27</v>
      </c>
      <c r="C3701" t="s">
        <v>402</v>
      </c>
      <c r="D3701" t="s">
        <v>403</v>
      </c>
      <c r="G3701" t="s">
        <v>384</v>
      </c>
      <c r="H3701" t="s">
        <v>10299</v>
      </c>
      <c r="I3701" s="4">
        <v>45443.875</v>
      </c>
      <c r="K3701" t="s">
        <v>586</v>
      </c>
      <c r="L3701" s="5"/>
      <c r="M3701" s="5" t="s">
        <v>8423</v>
      </c>
      <c r="N3701" t="s">
        <v>82</v>
      </c>
      <c r="O3701" t="s">
        <v>10300</v>
      </c>
      <c r="R3701">
        <v>1</v>
      </c>
      <c r="T3701" s="5"/>
      <c r="W3701">
        <v>270</v>
      </c>
      <c r="X3701" t="s">
        <v>8412</v>
      </c>
      <c r="Y3701" t="str">
        <f>VLOOKUP(C3701,'[1]DBS_KPY Sorumlular'!A:C,2,FALSE)</f>
        <v>Tayfun VİÇE</v>
      </c>
      <c r="Z3701" t="str">
        <f>VLOOKUP(C3701,'[1]DBS_KPY Sorumlular'!A:C,3,FALSE)</f>
        <v>Mehmet Ali YAVUZ</v>
      </c>
      <c r="AA3701" t="str">
        <f>VLOOKUP(K3701,[1]!Tablo3[#Data],2,FALSE)</f>
        <v>Tayfun VİÇE</v>
      </c>
    </row>
    <row r="3702" spans="1:27" x14ac:dyDescent="0.25">
      <c r="A3702">
        <v>5052</v>
      </c>
      <c r="B3702" t="s">
        <v>27</v>
      </c>
      <c r="C3702" t="s">
        <v>402</v>
      </c>
      <c r="D3702" t="s">
        <v>403</v>
      </c>
      <c r="G3702" t="s">
        <v>384</v>
      </c>
      <c r="H3702" t="s">
        <v>10301</v>
      </c>
      <c r="I3702" s="4">
        <v>45443.875</v>
      </c>
      <c r="K3702" t="s">
        <v>586</v>
      </c>
      <c r="L3702" s="5"/>
      <c r="M3702" s="5" t="s">
        <v>8423</v>
      </c>
      <c r="N3702" t="s">
        <v>82</v>
      </c>
      <c r="O3702" t="s">
        <v>10302</v>
      </c>
      <c r="R3702">
        <v>1</v>
      </c>
      <c r="T3702" s="5"/>
      <c r="W3702">
        <v>270</v>
      </c>
      <c r="X3702" t="s">
        <v>8412</v>
      </c>
      <c r="Y3702" t="str">
        <f>VLOOKUP(C3702,'[1]DBS_KPY Sorumlular'!A:C,2,FALSE)</f>
        <v>Tayfun VİÇE</v>
      </c>
      <c r="Z3702" t="str">
        <f>VLOOKUP(C3702,'[1]DBS_KPY Sorumlular'!A:C,3,FALSE)</f>
        <v>Mehmet Ali YAVUZ</v>
      </c>
      <c r="AA3702" t="str">
        <f>VLOOKUP(K3702,[1]!Tablo3[#Data],2,FALSE)</f>
        <v>Tayfun VİÇE</v>
      </c>
    </row>
    <row r="3703" spans="1:27" x14ac:dyDescent="0.25">
      <c r="A3703">
        <v>5054</v>
      </c>
      <c r="B3703" t="s">
        <v>27</v>
      </c>
      <c r="C3703" t="s">
        <v>402</v>
      </c>
      <c r="D3703" t="s">
        <v>403</v>
      </c>
      <c r="G3703" t="s">
        <v>384</v>
      </c>
      <c r="H3703" t="s">
        <v>10303</v>
      </c>
      <c r="I3703" s="4">
        <v>45443.875</v>
      </c>
      <c r="K3703" t="s">
        <v>678</v>
      </c>
      <c r="L3703" s="5"/>
      <c r="M3703" s="5" t="s">
        <v>8423</v>
      </c>
      <c r="N3703" t="s">
        <v>82</v>
      </c>
      <c r="O3703" t="s">
        <v>10304</v>
      </c>
      <c r="R3703">
        <v>1</v>
      </c>
      <c r="T3703" s="5"/>
      <c r="W3703">
        <v>270</v>
      </c>
      <c r="X3703" t="s">
        <v>8412</v>
      </c>
      <c r="Y3703" t="str">
        <f>VLOOKUP(C3703,'[1]DBS_KPY Sorumlular'!A:C,2,FALSE)</f>
        <v>Tayfun VİÇE</v>
      </c>
      <c r="Z3703" t="str">
        <f>VLOOKUP(C3703,'[1]DBS_KPY Sorumlular'!A:C,3,FALSE)</f>
        <v>Mehmet Ali YAVUZ</v>
      </c>
      <c r="AA3703" t="str">
        <f>VLOOKUP(K3703,[1]!Tablo3[#Data],2,FALSE)</f>
        <v>Kadir TOPÇU</v>
      </c>
    </row>
    <row r="3704" spans="1:27" x14ac:dyDescent="0.25">
      <c r="A3704">
        <v>5055</v>
      </c>
      <c r="B3704" t="s">
        <v>27</v>
      </c>
      <c r="C3704" t="s">
        <v>402</v>
      </c>
      <c r="D3704" t="s">
        <v>403</v>
      </c>
      <c r="G3704" t="s">
        <v>384</v>
      </c>
      <c r="H3704" t="s">
        <v>10305</v>
      </c>
      <c r="I3704" s="4">
        <v>45443.875</v>
      </c>
      <c r="K3704" t="s">
        <v>678</v>
      </c>
      <c r="L3704" s="5"/>
      <c r="M3704" s="5" t="s">
        <v>8423</v>
      </c>
      <c r="N3704" t="s">
        <v>82</v>
      </c>
      <c r="O3704" t="s">
        <v>10306</v>
      </c>
      <c r="R3704">
        <v>1</v>
      </c>
      <c r="T3704" s="5"/>
      <c r="W3704">
        <v>270</v>
      </c>
      <c r="X3704" t="s">
        <v>8412</v>
      </c>
      <c r="Y3704" t="str">
        <f>VLOOKUP(C3704,'[1]DBS_KPY Sorumlular'!A:C,2,FALSE)</f>
        <v>Tayfun VİÇE</v>
      </c>
      <c r="Z3704" t="str">
        <f>VLOOKUP(C3704,'[1]DBS_KPY Sorumlular'!A:C,3,FALSE)</f>
        <v>Mehmet Ali YAVUZ</v>
      </c>
      <c r="AA3704" t="str">
        <f>VLOOKUP(K3704,[1]!Tablo3[#Data],2,FALSE)</f>
        <v>Kadir TOPÇU</v>
      </c>
    </row>
    <row r="3705" spans="1:27" x14ac:dyDescent="0.25">
      <c r="A3705">
        <v>5056</v>
      </c>
      <c r="B3705" t="s">
        <v>27</v>
      </c>
      <c r="C3705" t="s">
        <v>402</v>
      </c>
      <c r="D3705" t="s">
        <v>403</v>
      </c>
      <c r="G3705" t="s">
        <v>384</v>
      </c>
      <c r="H3705" t="s">
        <v>10307</v>
      </c>
      <c r="I3705" s="4">
        <v>45443.875</v>
      </c>
      <c r="K3705" t="s">
        <v>678</v>
      </c>
      <c r="L3705" s="5"/>
      <c r="M3705" s="5" t="s">
        <v>8423</v>
      </c>
      <c r="N3705" t="s">
        <v>82</v>
      </c>
      <c r="O3705" t="s">
        <v>10308</v>
      </c>
      <c r="R3705">
        <v>1</v>
      </c>
      <c r="T3705" s="5"/>
      <c r="W3705">
        <v>270</v>
      </c>
      <c r="X3705" t="s">
        <v>8412</v>
      </c>
      <c r="Y3705" t="str">
        <f>VLOOKUP(C3705,'[1]DBS_KPY Sorumlular'!A:C,2,FALSE)</f>
        <v>Tayfun VİÇE</v>
      </c>
      <c r="Z3705" t="str">
        <f>VLOOKUP(C3705,'[1]DBS_KPY Sorumlular'!A:C,3,FALSE)</f>
        <v>Mehmet Ali YAVUZ</v>
      </c>
      <c r="AA3705" t="str">
        <f>VLOOKUP(K3705,[1]!Tablo3[#Data],2,FALSE)</f>
        <v>Kadir TOPÇU</v>
      </c>
    </row>
    <row r="3706" spans="1:27" x14ac:dyDescent="0.25">
      <c r="A3706">
        <v>5057</v>
      </c>
      <c r="B3706" t="s">
        <v>27</v>
      </c>
      <c r="C3706" t="s">
        <v>402</v>
      </c>
      <c r="D3706" t="s">
        <v>403</v>
      </c>
      <c r="G3706" t="s">
        <v>384</v>
      </c>
      <c r="H3706" t="s">
        <v>10309</v>
      </c>
      <c r="I3706" s="4">
        <v>45443.875</v>
      </c>
      <c r="K3706" t="s">
        <v>678</v>
      </c>
      <c r="L3706" s="5"/>
      <c r="M3706" s="5" t="s">
        <v>8423</v>
      </c>
      <c r="N3706" t="s">
        <v>82</v>
      </c>
      <c r="O3706" t="s">
        <v>10310</v>
      </c>
      <c r="R3706">
        <v>1</v>
      </c>
      <c r="T3706" s="5"/>
      <c r="W3706">
        <v>270</v>
      </c>
      <c r="X3706" t="s">
        <v>8412</v>
      </c>
      <c r="Y3706" t="str">
        <f>VLOOKUP(C3706,'[1]DBS_KPY Sorumlular'!A:C,2,FALSE)</f>
        <v>Tayfun VİÇE</v>
      </c>
      <c r="Z3706" t="str">
        <f>VLOOKUP(C3706,'[1]DBS_KPY Sorumlular'!A:C,3,FALSE)</f>
        <v>Mehmet Ali YAVUZ</v>
      </c>
      <c r="AA3706" t="str">
        <f>VLOOKUP(K3706,[1]!Tablo3[#Data],2,FALSE)</f>
        <v>Kadir TOPÇU</v>
      </c>
    </row>
    <row r="3707" spans="1:27" x14ac:dyDescent="0.25">
      <c r="A3707">
        <v>5059</v>
      </c>
      <c r="B3707" t="s">
        <v>27</v>
      </c>
      <c r="C3707" t="s">
        <v>402</v>
      </c>
      <c r="D3707" t="s">
        <v>403</v>
      </c>
      <c r="G3707" t="s">
        <v>384</v>
      </c>
      <c r="H3707" t="s">
        <v>10311</v>
      </c>
      <c r="I3707" s="4">
        <v>45443.875</v>
      </c>
      <c r="K3707" t="s">
        <v>678</v>
      </c>
      <c r="L3707" s="5"/>
      <c r="M3707" s="5" t="s">
        <v>8423</v>
      </c>
      <c r="N3707" t="s">
        <v>82</v>
      </c>
      <c r="O3707" t="s">
        <v>10312</v>
      </c>
      <c r="R3707">
        <v>1</v>
      </c>
      <c r="T3707" s="5"/>
      <c r="W3707">
        <v>270</v>
      </c>
      <c r="X3707" t="s">
        <v>8412</v>
      </c>
      <c r="Y3707" t="str">
        <f>VLOOKUP(C3707,'[1]DBS_KPY Sorumlular'!A:C,2,FALSE)</f>
        <v>Tayfun VİÇE</v>
      </c>
      <c r="Z3707" t="str">
        <f>VLOOKUP(C3707,'[1]DBS_KPY Sorumlular'!A:C,3,FALSE)</f>
        <v>Mehmet Ali YAVUZ</v>
      </c>
      <c r="AA3707" t="str">
        <f>VLOOKUP(K3707,[1]!Tablo3[#Data],2,FALSE)</f>
        <v>Kadir TOPÇU</v>
      </c>
    </row>
    <row r="3708" spans="1:27" x14ac:dyDescent="0.25">
      <c r="A3708">
        <v>5060</v>
      </c>
      <c r="B3708" t="s">
        <v>27</v>
      </c>
      <c r="C3708" t="s">
        <v>402</v>
      </c>
      <c r="D3708" t="s">
        <v>403</v>
      </c>
      <c r="G3708" t="s">
        <v>384</v>
      </c>
      <c r="H3708" t="s">
        <v>10313</v>
      </c>
      <c r="I3708" s="4">
        <v>45443.875</v>
      </c>
      <c r="K3708" t="s">
        <v>678</v>
      </c>
      <c r="L3708" s="5"/>
      <c r="M3708" s="5" t="s">
        <v>8423</v>
      </c>
      <c r="N3708" t="s">
        <v>82</v>
      </c>
      <c r="O3708" t="s">
        <v>10314</v>
      </c>
      <c r="R3708">
        <v>1</v>
      </c>
      <c r="T3708" s="5"/>
      <c r="W3708">
        <v>270</v>
      </c>
      <c r="X3708" t="s">
        <v>8412</v>
      </c>
      <c r="Y3708" t="str">
        <f>VLOOKUP(C3708,'[1]DBS_KPY Sorumlular'!A:C,2,FALSE)</f>
        <v>Tayfun VİÇE</v>
      </c>
      <c r="Z3708" t="str">
        <f>VLOOKUP(C3708,'[1]DBS_KPY Sorumlular'!A:C,3,FALSE)</f>
        <v>Mehmet Ali YAVUZ</v>
      </c>
      <c r="AA3708" t="str">
        <f>VLOOKUP(K3708,[1]!Tablo3[#Data],2,FALSE)</f>
        <v>Kadir TOPÇU</v>
      </c>
    </row>
    <row r="3709" spans="1:27" x14ac:dyDescent="0.25">
      <c r="A3709">
        <v>5061</v>
      </c>
      <c r="B3709" t="s">
        <v>27</v>
      </c>
      <c r="C3709" t="s">
        <v>402</v>
      </c>
      <c r="D3709" t="s">
        <v>403</v>
      </c>
      <c r="G3709" t="s">
        <v>384</v>
      </c>
      <c r="H3709" t="s">
        <v>10315</v>
      </c>
      <c r="I3709" s="4">
        <v>45443.875</v>
      </c>
      <c r="K3709" t="s">
        <v>678</v>
      </c>
      <c r="L3709" s="5"/>
      <c r="M3709" s="5" t="s">
        <v>8423</v>
      </c>
      <c r="N3709" t="s">
        <v>82</v>
      </c>
      <c r="O3709" t="s">
        <v>10316</v>
      </c>
      <c r="R3709">
        <v>1</v>
      </c>
      <c r="T3709" s="5"/>
      <c r="W3709">
        <v>270</v>
      </c>
      <c r="X3709" t="s">
        <v>8412</v>
      </c>
      <c r="Y3709" t="str">
        <f>VLOOKUP(C3709,'[1]DBS_KPY Sorumlular'!A:C,2,FALSE)</f>
        <v>Tayfun VİÇE</v>
      </c>
      <c r="Z3709" t="str">
        <f>VLOOKUP(C3709,'[1]DBS_KPY Sorumlular'!A:C,3,FALSE)</f>
        <v>Mehmet Ali YAVUZ</v>
      </c>
      <c r="AA3709" t="str">
        <f>VLOOKUP(K3709,[1]!Tablo3[#Data],2,FALSE)</f>
        <v>Kadir TOPÇU</v>
      </c>
    </row>
    <row r="3710" spans="1:27" x14ac:dyDescent="0.25">
      <c r="A3710">
        <v>5062</v>
      </c>
      <c r="B3710" t="s">
        <v>27</v>
      </c>
      <c r="C3710" t="s">
        <v>402</v>
      </c>
      <c r="D3710" t="s">
        <v>403</v>
      </c>
      <c r="G3710" t="s">
        <v>384</v>
      </c>
      <c r="H3710" t="s">
        <v>10317</v>
      </c>
      <c r="I3710" s="4">
        <v>45443.875</v>
      </c>
      <c r="K3710" t="s">
        <v>678</v>
      </c>
      <c r="L3710" s="5"/>
      <c r="M3710" s="5" t="s">
        <v>8423</v>
      </c>
      <c r="N3710" t="s">
        <v>82</v>
      </c>
      <c r="O3710" t="s">
        <v>10318</v>
      </c>
      <c r="R3710">
        <v>1</v>
      </c>
      <c r="T3710" s="5"/>
      <c r="W3710">
        <v>270</v>
      </c>
      <c r="X3710" t="s">
        <v>8412</v>
      </c>
      <c r="Y3710" t="str">
        <f>VLOOKUP(C3710,'[1]DBS_KPY Sorumlular'!A:C,2,FALSE)</f>
        <v>Tayfun VİÇE</v>
      </c>
      <c r="Z3710" t="str">
        <f>VLOOKUP(C3710,'[1]DBS_KPY Sorumlular'!A:C,3,FALSE)</f>
        <v>Mehmet Ali YAVUZ</v>
      </c>
      <c r="AA3710" t="str">
        <f>VLOOKUP(K3710,[1]!Tablo3[#Data],2,FALSE)</f>
        <v>Kadir TOPÇU</v>
      </c>
    </row>
    <row r="3711" spans="1:27" x14ac:dyDescent="0.25">
      <c r="A3711">
        <v>5063</v>
      </c>
      <c r="B3711" t="s">
        <v>27</v>
      </c>
      <c r="C3711" t="s">
        <v>402</v>
      </c>
      <c r="D3711" t="s">
        <v>403</v>
      </c>
      <c r="G3711" t="s">
        <v>384</v>
      </c>
      <c r="H3711" t="s">
        <v>10319</v>
      </c>
      <c r="I3711" s="4">
        <v>45443.875</v>
      </c>
      <c r="K3711" t="s">
        <v>678</v>
      </c>
      <c r="L3711" s="5"/>
      <c r="M3711" s="5" t="s">
        <v>8423</v>
      </c>
      <c r="N3711" t="s">
        <v>82</v>
      </c>
      <c r="O3711" t="s">
        <v>10320</v>
      </c>
      <c r="R3711">
        <v>1</v>
      </c>
      <c r="T3711" s="5"/>
      <c r="W3711">
        <v>270</v>
      </c>
      <c r="X3711" t="s">
        <v>8412</v>
      </c>
      <c r="Y3711" t="str">
        <f>VLOOKUP(C3711,'[1]DBS_KPY Sorumlular'!A:C,2,FALSE)</f>
        <v>Tayfun VİÇE</v>
      </c>
      <c r="Z3711" t="str">
        <f>VLOOKUP(C3711,'[1]DBS_KPY Sorumlular'!A:C,3,FALSE)</f>
        <v>Mehmet Ali YAVUZ</v>
      </c>
      <c r="AA3711" t="str">
        <f>VLOOKUP(K3711,[1]!Tablo3[#Data],2,FALSE)</f>
        <v>Kadir TOPÇU</v>
      </c>
    </row>
    <row r="3712" spans="1:27" x14ac:dyDescent="0.25">
      <c r="A3712">
        <v>5064</v>
      </c>
      <c r="B3712" t="s">
        <v>27</v>
      </c>
      <c r="C3712" t="s">
        <v>402</v>
      </c>
      <c r="D3712" t="s">
        <v>403</v>
      </c>
      <c r="G3712" t="s">
        <v>384</v>
      </c>
      <c r="H3712" t="s">
        <v>10321</v>
      </c>
      <c r="I3712" s="4">
        <v>45443.875</v>
      </c>
      <c r="K3712" t="s">
        <v>678</v>
      </c>
      <c r="L3712" s="5"/>
      <c r="M3712" s="5" t="s">
        <v>8423</v>
      </c>
      <c r="N3712" t="s">
        <v>82</v>
      </c>
      <c r="O3712" t="s">
        <v>10322</v>
      </c>
      <c r="R3712">
        <v>1</v>
      </c>
      <c r="T3712" s="5"/>
      <c r="W3712">
        <v>270</v>
      </c>
      <c r="X3712" t="s">
        <v>8412</v>
      </c>
      <c r="Y3712" t="str">
        <f>VLOOKUP(C3712,'[1]DBS_KPY Sorumlular'!A:C,2,FALSE)</f>
        <v>Tayfun VİÇE</v>
      </c>
      <c r="Z3712" t="str">
        <f>VLOOKUP(C3712,'[1]DBS_KPY Sorumlular'!A:C,3,FALSE)</f>
        <v>Mehmet Ali YAVUZ</v>
      </c>
      <c r="AA3712" t="str">
        <f>VLOOKUP(K3712,[1]!Tablo3[#Data],2,FALSE)</f>
        <v>Kadir TOPÇU</v>
      </c>
    </row>
    <row r="3713" spans="1:27" x14ac:dyDescent="0.25">
      <c r="A3713">
        <v>5065</v>
      </c>
      <c r="B3713" t="s">
        <v>27</v>
      </c>
      <c r="C3713" t="s">
        <v>402</v>
      </c>
      <c r="D3713" t="s">
        <v>403</v>
      </c>
      <c r="G3713" t="s">
        <v>384</v>
      </c>
      <c r="H3713" t="s">
        <v>10323</v>
      </c>
      <c r="I3713" s="4">
        <v>45443.875</v>
      </c>
      <c r="K3713" t="s">
        <v>678</v>
      </c>
      <c r="L3713" s="5"/>
      <c r="M3713" s="5" t="s">
        <v>8423</v>
      </c>
      <c r="N3713" t="s">
        <v>82</v>
      </c>
      <c r="O3713" t="s">
        <v>10324</v>
      </c>
      <c r="R3713">
        <v>1</v>
      </c>
      <c r="T3713" s="5"/>
      <c r="W3713">
        <v>270</v>
      </c>
      <c r="X3713" t="s">
        <v>8412</v>
      </c>
      <c r="Y3713" t="str">
        <f>VLOOKUP(C3713,'[1]DBS_KPY Sorumlular'!A:C,2,FALSE)</f>
        <v>Tayfun VİÇE</v>
      </c>
      <c r="Z3713" t="str">
        <f>VLOOKUP(C3713,'[1]DBS_KPY Sorumlular'!A:C,3,FALSE)</f>
        <v>Mehmet Ali YAVUZ</v>
      </c>
      <c r="AA3713" t="str">
        <f>VLOOKUP(K3713,[1]!Tablo3[#Data],2,FALSE)</f>
        <v>Kadir TOPÇU</v>
      </c>
    </row>
    <row r="3714" spans="1:27" x14ac:dyDescent="0.25">
      <c r="A3714">
        <v>5066</v>
      </c>
      <c r="B3714" t="s">
        <v>27</v>
      </c>
      <c r="C3714" t="s">
        <v>402</v>
      </c>
      <c r="D3714" t="s">
        <v>403</v>
      </c>
      <c r="G3714" t="s">
        <v>384</v>
      </c>
      <c r="H3714" t="s">
        <v>10325</v>
      </c>
      <c r="I3714" s="4">
        <v>45443.875</v>
      </c>
      <c r="K3714" t="s">
        <v>678</v>
      </c>
      <c r="L3714" s="5"/>
      <c r="M3714" s="5" t="s">
        <v>8423</v>
      </c>
      <c r="N3714" t="s">
        <v>82</v>
      </c>
      <c r="O3714" t="s">
        <v>10326</v>
      </c>
      <c r="R3714">
        <v>1</v>
      </c>
      <c r="T3714" s="5"/>
      <c r="W3714">
        <v>270</v>
      </c>
      <c r="X3714" t="s">
        <v>8412</v>
      </c>
      <c r="Y3714" t="str">
        <f>VLOOKUP(C3714,'[1]DBS_KPY Sorumlular'!A:C,2,FALSE)</f>
        <v>Tayfun VİÇE</v>
      </c>
      <c r="Z3714" t="str">
        <f>VLOOKUP(C3714,'[1]DBS_KPY Sorumlular'!A:C,3,FALSE)</f>
        <v>Mehmet Ali YAVUZ</v>
      </c>
      <c r="AA3714" t="str">
        <f>VLOOKUP(K3714,[1]!Tablo3[#Data],2,FALSE)</f>
        <v>Kadir TOPÇU</v>
      </c>
    </row>
    <row r="3715" spans="1:27" x14ac:dyDescent="0.25">
      <c r="A3715">
        <v>5067</v>
      </c>
      <c r="B3715" t="s">
        <v>27</v>
      </c>
      <c r="C3715" t="s">
        <v>402</v>
      </c>
      <c r="D3715" t="s">
        <v>403</v>
      </c>
      <c r="G3715" t="s">
        <v>384</v>
      </c>
      <c r="H3715" t="s">
        <v>10327</v>
      </c>
      <c r="I3715" s="4">
        <v>45443.875</v>
      </c>
      <c r="K3715" t="s">
        <v>678</v>
      </c>
      <c r="L3715" s="5"/>
      <c r="M3715" s="5" t="s">
        <v>8423</v>
      </c>
      <c r="N3715" t="s">
        <v>82</v>
      </c>
      <c r="O3715" t="s">
        <v>10328</v>
      </c>
      <c r="R3715">
        <v>1</v>
      </c>
      <c r="T3715" s="5"/>
      <c r="W3715">
        <v>270</v>
      </c>
      <c r="X3715" t="s">
        <v>8412</v>
      </c>
      <c r="Y3715" t="str">
        <f>VLOOKUP(C3715,'[1]DBS_KPY Sorumlular'!A:C,2,FALSE)</f>
        <v>Tayfun VİÇE</v>
      </c>
      <c r="Z3715" t="str">
        <f>VLOOKUP(C3715,'[1]DBS_KPY Sorumlular'!A:C,3,FALSE)</f>
        <v>Mehmet Ali YAVUZ</v>
      </c>
      <c r="AA3715" t="str">
        <f>VLOOKUP(K3715,[1]!Tablo3[#Data],2,FALSE)</f>
        <v>Kadir TOPÇU</v>
      </c>
    </row>
    <row r="3716" spans="1:27" x14ac:dyDescent="0.25">
      <c r="A3716">
        <v>5068</v>
      </c>
      <c r="B3716" t="s">
        <v>27</v>
      </c>
      <c r="C3716" t="s">
        <v>402</v>
      </c>
      <c r="D3716" t="s">
        <v>403</v>
      </c>
      <c r="G3716" t="s">
        <v>384</v>
      </c>
      <c r="H3716" t="s">
        <v>10329</v>
      </c>
      <c r="I3716" s="4">
        <v>45443.875</v>
      </c>
      <c r="K3716" t="s">
        <v>678</v>
      </c>
      <c r="L3716" s="5"/>
      <c r="M3716" s="5" t="s">
        <v>8423</v>
      </c>
      <c r="N3716" t="s">
        <v>82</v>
      </c>
      <c r="O3716" t="s">
        <v>10330</v>
      </c>
      <c r="R3716">
        <v>1</v>
      </c>
      <c r="T3716" s="5"/>
      <c r="W3716">
        <v>270</v>
      </c>
      <c r="X3716" t="s">
        <v>8412</v>
      </c>
      <c r="Y3716" t="str">
        <f>VLOOKUP(C3716,'[1]DBS_KPY Sorumlular'!A:C,2,FALSE)</f>
        <v>Tayfun VİÇE</v>
      </c>
      <c r="Z3716" t="str">
        <f>VLOOKUP(C3716,'[1]DBS_KPY Sorumlular'!A:C,3,FALSE)</f>
        <v>Mehmet Ali YAVUZ</v>
      </c>
      <c r="AA3716" t="str">
        <f>VLOOKUP(K3716,[1]!Tablo3[#Data],2,FALSE)</f>
        <v>Kadir TOPÇU</v>
      </c>
    </row>
    <row r="3717" spans="1:27" x14ac:dyDescent="0.25">
      <c r="A3717">
        <v>5069</v>
      </c>
      <c r="B3717" t="s">
        <v>27</v>
      </c>
      <c r="C3717" t="s">
        <v>402</v>
      </c>
      <c r="D3717" t="s">
        <v>403</v>
      </c>
      <c r="G3717" t="s">
        <v>384</v>
      </c>
      <c r="H3717" t="s">
        <v>10331</v>
      </c>
      <c r="I3717" s="4">
        <v>45443.875</v>
      </c>
      <c r="K3717" t="s">
        <v>678</v>
      </c>
      <c r="L3717" s="5"/>
      <c r="M3717" s="5" t="s">
        <v>8423</v>
      </c>
      <c r="N3717" t="s">
        <v>82</v>
      </c>
      <c r="O3717" t="s">
        <v>10332</v>
      </c>
      <c r="R3717">
        <v>1</v>
      </c>
      <c r="T3717" s="5"/>
      <c r="W3717">
        <v>270</v>
      </c>
      <c r="X3717" t="s">
        <v>8412</v>
      </c>
      <c r="Y3717" t="str">
        <f>VLOOKUP(C3717,'[1]DBS_KPY Sorumlular'!A:C,2,FALSE)</f>
        <v>Tayfun VİÇE</v>
      </c>
      <c r="Z3717" t="str">
        <f>VLOOKUP(C3717,'[1]DBS_KPY Sorumlular'!A:C,3,FALSE)</f>
        <v>Mehmet Ali YAVUZ</v>
      </c>
      <c r="AA3717" t="str">
        <f>VLOOKUP(K3717,[1]!Tablo3[#Data],2,FALSE)</f>
        <v>Kadir TOPÇU</v>
      </c>
    </row>
    <row r="3718" spans="1:27" x14ac:dyDescent="0.25">
      <c r="A3718">
        <v>5070</v>
      </c>
      <c r="B3718" t="s">
        <v>27</v>
      </c>
      <c r="C3718" t="s">
        <v>402</v>
      </c>
      <c r="D3718" t="s">
        <v>403</v>
      </c>
      <c r="G3718" t="s">
        <v>384</v>
      </c>
      <c r="H3718" t="s">
        <v>10333</v>
      </c>
      <c r="I3718" s="4">
        <v>45443.875</v>
      </c>
      <c r="K3718" t="s">
        <v>678</v>
      </c>
      <c r="L3718" s="5"/>
      <c r="M3718" s="5" t="s">
        <v>8423</v>
      </c>
      <c r="N3718" t="s">
        <v>82</v>
      </c>
      <c r="O3718" t="s">
        <v>10334</v>
      </c>
      <c r="R3718">
        <v>1</v>
      </c>
      <c r="T3718" s="5"/>
      <c r="W3718">
        <v>270</v>
      </c>
      <c r="X3718" t="s">
        <v>8412</v>
      </c>
      <c r="Y3718" t="str">
        <f>VLOOKUP(C3718,'[1]DBS_KPY Sorumlular'!A:C,2,FALSE)</f>
        <v>Tayfun VİÇE</v>
      </c>
      <c r="Z3718" t="str">
        <f>VLOOKUP(C3718,'[1]DBS_KPY Sorumlular'!A:C,3,FALSE)</f>
        <v>Mehmet Ali YAVUZ</v>
      </c>
      <c r="AA3718" t="str">
        <f>VLOOKUP(K3718,[1]!Tablo3[#Data],2,FALSE)</f>
        <v>Kadir TOPÇU</v>
      </c>
    </row>
    <row r="3719" spans="1:27" x14ac:dyDescent="0.25">
      <c r="A3719">
        <v>5071</v>
      </c>
      <c r="B3719" t="s">
        <v>27</v>
      </c>
      <c r="C3719" t="s">
        <v>402</v>
      </c>
      <c r="D3719" t="s">
        <v>403</v>
      </c>
      <c r="G3719" t="s">
        <v>384</v>
      </c>
      <c r="H3719" t="s">
        <v>10335</v>
      </c>
      <c r="I3719" s="4">
        <v>45443.875</v>
      </c>
      <c r="K3719" t="s">
        <v>678</v>
      </c>
      <c r="L3719" s="5"/>
      <c r="M3719" s="5" t="s">
        <v>8423</v>
      </c>
      <c r="N3719" t="s">
        <v>82</v>
      </c>
      <c r="O3719" t="s">
        <v>10336</v>
      </c>
      <c r="R3719">
        <v>1</v>
      </c>
      <c r="T3719" s="5"/>
      <c r="W3719">
        <v>270</v>
      </c>
      <c r="X3719" t="s">
        <v>8412</v>
      </c>
      <c r="Y3719" t="str">
        <f>VLOOKUP(C3719,'[1]DBS_KPY Sorumlular'!A:C,2,FALSE)</f>
        <v>Tayfun VİÇE</v>
      </c>
      <c r="Z3719" t="str">
        <f>VLOOKUP(C3719,'[1]DBS_KPY Sorumlular'!A:C,3,FALSE)</f>
        <v>Mehmet Ali YAVUZ</v>
      </c>
      <c r="AA3719" t="str">
        <f>VLOOKUP(K3719,[1]!Tablo3[#Data],2,FALSE)</f>
        <v>Kadir TOPÇU</v>
      </c>
    </row>
    <row r="3720" spans="1:27" x14ac:dyDescent="0.25">
      <c r="A3720">
        <v>5072</v>
      </c>
      <c r="B3720" t="s">
        <v>27</v>
      </c>
      <c r="C3720" t="s">
        <v>402</v>
      </c>
      <c r="D3720" t="s">
        <v>403</v>
      </c>
      <c r="G3720" t="s">
        <v>384</v>
      </c>
      <c r="H3720" t="s">
        <v>10337</v>
      </c>
      <c r="I3720" s="4">
        <v>45443.875</v>
      </c>
      <c r="K3720" t="s">
        <v>678</v>
      </c>
      <c r="L3720" s="5"/>
      <c r="M3720" s="5" t="s">
        <v>8423</v>
      </c>
      <c r="N3720" t="s">
        <v>82</v>
      </c>
      <c r="O3720" t="s">
        <v>10338</v>
      </c>
      <c r="R3720">
        <v>1</v>
      </c>
      <c r="T3720" s="5"/>
      <c r="W3720">
        <v>270</v>
      </c>
      <c r="X3720" t="s">
        <v>8412</v>
      </c>
      <c r="Y3720" t="str">
        <f>VLOOKUP(C3720,'[1]DBS_KPY Sorumlular'!A:C,2,FALSE)</f>
        <v>Tayfun VİÇE</v>
      </c>
      <c r="Z3720" t="str">
        <f>VLOOKUP(C3720,'[1]DBS_KPY Sorumlular'!A:C,3,FALSE)</f>
        <v>Mehmet Ali YAVUZ</v>
      </c>
      <c r="AA3720" t="str">
        <f>VLOOKUP(K3720,[1]!Tablo3[#Data],2,FALSE)</f>
        <v>Kadir TOPÇU</v>
      </c>
    </row>
    <row r="3721" spans="1:27" x14ac:dyDescent="0.25">
      <c r="A3721">
        <v>5073</v>
      </c>
      <c r="B3721" t="s">
        <v>27</v>
      </c>
      <c r="C3721" t="s">
        <v>402</v>
      </c>
      <c r="D3721" t="s">
        <v>403</v>
      </c>
      <c r="G3721" t="s">
        <v>384</v>
      </c>
      <c r="H3721" t="s">
        <v>10339</v>
      </c>
      <c r="I3721" s="4">
        <v>45443.875</v>
      </c>
      <c r="K3721" t="s">
        <v>678</v>
      </c>
      <c r="L3721" s="5"/>
      <c r="M3721" s="5" t="s">
        <v>8423</v>
      </c>
      <c r="N3721" t="s">
        <v>82</v>
      </c>
      <c r="O3721" t="s">
        <v>10340</v>
      </c>
      <c r="R3721">
        <v>1</v>
      </c>
      <c r="T3721" s="5"/>
      <c r="W3721">
        <v>270</v>
      </c>
      <c r="X3721" t="s">
        <v>8412</v>
      </c>
      <c r="Y3721" t="str">
        <f>VLOOKUP(C3721,'[1]DBS_KPY Sorumlular'!A:C,2,FALSE)</f>
        <v>Tayfun VİÇE</v>
      </c>
      <c r="Z3721" t="str">
        <f>VLOOKUP(C3721,'[1]DBS_KPY Sorumlular'!A:C,3,FALSE)</f>
        <v>Mehmet Ali YAVUZ</v>
      </c>
      <c r="AA3721" t="str">
        <f>VLOOKUP(K3721,[1]!Tablo3[#Data],2,FALSE)</f>
        <v>Kadir TOPÇU</v>
      </c>
    </row>
    <row r="3722" spans="1:27" x14ac:dyDescent="0.25">
      <c r="A3722">
        <v>5074</v>
      </c>
      <c r="B3722" t="s">
        <v>27</v>
      </c>
      <c r="C3722" t="s">
        <v>402</v>
      </c>
      <c r="D3722" t="s">
        <v>403</v>
      </c>
      <c r="G3722" t="s">
        <v>384</v>
      </c>
      <c r="H3722" t="s">
        <v>10341</v>
      </c>
      <c r="I3722" s="4">
        <v>45443.875</v>
      </c>
      <c r="K3722" t="s">
        <v>678</v>
      </c>
      <c r="L3722" s="5"/>
      <c r="M3722" s="5" t="s">
        <v>8423</v>
      </c>
      <c r="N3722" t="s">
        <v>82</v>
      </c>
      <c r="O3722" t="s">
        <v>10342</v>
      </c>
      <c r="R3722">
        <v>1</v>
      </c>
      <c r="T3722" s="5"/>
      <c r="W3722">
        <v>270</v>
      </c>
      <c r="X3722" t="s">
        <v>8412</v>
      </c>
      <c r="Y3722" t="str">
        <f>VLOOKUP(C3722,'[1]DBS_KPY Sorumlular'!A:C,2,FALSE)</f>
        <v>Tayfun VİÇE</v>
      </c>
      <c r="Z3722" t="str">
        <f>VLOOKUP(C3722,'[1]DBS_KPY Sorumlular'!A:C,3,FALSE)</f>
        <v>Mehmet Ali YAVUZ</v>
      </c>
      <c r="AA3722" t="str">
        <f>VLOOKUP(K3722,[1]!Tablo3[#Data],2,FALSE)</f>
        <v>Kadir TOPÇU</v>
      </c>
    </row>
    <row r="3723" spans="1:27" x14ac:dyDescent="0.25">
      <c r="A3723">
        <v>5075</v>
      </c>
      <c r="B3723" t="s">
        <v>27</v>
      </c>
      <c r="C3723" t="s">
        <v>402</v>
      </c>
      <c r="D3723" t="s">
        <v>403</v>
      </c>
      <c r="G3723" t="s">
        <v>384</v>
      </c>
      <c r="H3723" t="s">
        <v>10343</v>
      </c>
      <c r="I3723" s="4">
        <v>45443.875</v>
      </c>
      <c r="K3723" t="s">
        <v>678</v>
      </c>
      <c r="L3723" s="5"/>
      <c r="M3723" s="5" t="s">
        <v>8423</v>
      </c>
      <c r="N3723" t="s">
        <v>82</v>
      </c>
      <c r="O3723" t="s">
        <v>10344</v>
      </c>
      <c r="R3723">
        <v>1</v>
      </c>
      <c r="T3723" s="5"/>
      <c r="W3723">
        <v>270</v>
      </c>
      <c r="X3723" t="s">
        <v>8412</v>
      </c>
      <c r="Y3723" t="str">
        <f>VLOOKUP(C3723,'[1]DBS_KPY Sorumlular'!A:C,2,FALSE)</f>
        <v>Tayfun VİÇE</v>
      </c>
      <c r="Z3723" t="str">
        <f>VLOOKUP(C3723,'[1]DBS_KPY Sorumlular'!A:C,3,FALSE)</f>
        <v>Mehmet Ali YAVUZ</v>
      </c>
      <c r="AA3723" t="str">
        <f>VLOOKUP(K3723,[1]!Tablo3[#Data],2,FALSE)</f>
        <v>Kadir TOPÇU</v>
      </c>
    </row>
    <row r="3724" spans="1:27" x14ac:dyDescent="0.25">
      <c r="A3724">
        <v>5076</v>
      </c>
      <c r="B3724" t="s">
        <v>27</v>
      </c>
      <c r="C3724" t="s">
        <v>402</v>
      </c>
      <c r="D3724" t="s">
        <v>403</v>
      </c>
      <c r="G3724" t="s">
        <v>384</v>
      </c>
      <c r="H3724" t="s">
        <v>10345</v>
      </c>
      <c r="I3724" s="4">
        <v>45443.875</v>
      </c>
      <c r="K3724" t="s">
        <v>678</v>
      </c>
      <c r="L3724" s="5"/>
      <c r="M3724" s="5" t="s">
        <v>8423</v>
      </c>
      <c r="N3724" t="s">
        <v>82</v>
      </c>
      <c r="O3724" t="s">
        <v>10346</v>
      </c>
      <c r="R3724">
        <v>1</v>
      </c>
      <c r="T3724" s="5"/>
      <c r="W3724">
        <v>270</v>
      </c>
      <c r="X3724" t="s">
        <v>8412</v>
      </c>
      <c r="Y3724" t="str">
        <f>VLOOKUP(C3724,'[1]DBS_KPY Sorumlular'!A:C,2,FALSE)</f>
        <v>Tayfun VİÇE</v>
      </c>
      <c r="Z3724" t="str">
        <f>VLOOKUP(C3724,'[1]DBS_KPY Sorumlular'!A:C,3,FALSE)</f>
        <v>Mehmet Ali YAVUZ</v>
      </c>
      <c r="AA3724" t="str">
        <f>VLOOKUP(K3724,[1]!Tablo3[#Data],2,FALSE)</f>
        <v>Kadir TOPÇU</v>
      </c>
    </row>
    <row r="3725" spans="1:27" x14ac:dyDescent="0.25">
      <c r="A3725">
        <v>5077</v>
      </c>
      <c r="B3725" t="s">
        <v>27</v>
      </c>
      <c r="C3725" t="s">
        <v>402</v>
      </c>
      <c r="D3725" t="s">
        <v>403</v>
      </c>
      <c r="G3725" t="s">
        <v>384</v>
      </c>
      <c r="H3725" t="s">
        <v>10347</v>
      </c>
      <c r="I3725" s="4">
        <v>45443.875</v>
      </c>
      <c r="K3725" t="s">
        <v>678</v>
      </c>
      <c r="L3725" s="5"/>
      <c r="M3725" s="5" t="s">
        <v>8423</v>
      </c>
      <c r="N3725" t="s">
        <v>82</v>
      </c>
      <c r="O3725" t="s">
        <v>10348</v>
      </c>
      <c r="R3725">
        <v>1</v>
      </c>
      <c r="T3725" s="5"/>
      <c r="W3725">
        <v>270</v>
      </c>
      <c r="X3725" t="s">
        <v>8412</v>
      </c>
      <c r="Y3725" t="str">
        <f>VLOOKUP(C3725,'[1]DBS_KPY Sorumlular'!A:C,2,FALSE)</f>
        <v>Tayfun VİÇE</v>
      </c>
      <c r="Z3725" t="str">
        <f>VLOOKUP(C3725,'[1]DBS_KPY Sorumlular'!A:C,3,FALSE)</f>
        <v>Mehmet Ali YAVUZ</v>
      </c>
      <c r="AA3725" t="str">
        <f>VLOOKUP(K3725,[1]!Tablo3[#Data],2,FALSE)</f>
        <v>Kadir TOPÇU</v>
      </c>
    </row>
    <row r="3726" spans="1:27" x14ac:dyDescent="0.25">
      <c r="A3726">
        <v>5078</v>
      </c>
      <c r="B3726" t="s">
        <v>27</v>
      </c>
      <c r="C3726" t="s">
        <v>402</v>
      </c>
      <c r="D3726" t="s">
        <v>403</v>
      </c>
      <c r="G3726" t="s">
        <v>384</v>
      </c>
      <c r="H3726" t="s">
        <v>10349</v>
      </c>
      <c r="I3726" s="4">
        <v>45443.875</v>
      </c>
      <c r="K3726" t="s">
        <v>678</v>
      </c>
      <c r="L3726" s="5"/>
      <c r="M3726" s="5" t="s">
        <v>8423</v>
      </c>
      <c r="N3726" t="s">
        <v>82</v>
      </c>
      <c r="O3726" t="s">
        <v>10350</v>
      </c>
      <c r="R3726">
        <v>1</v>
      </c>
      <c r="T3726" s="5"/>
      <c r="W3726">
        <v>270</v>
      </c>
      <c r="X3726" t="s">
        <v>8412</v>
      </c>
      <c r="Y3726" t="str">
        <f>VLOOKUP(C3726,'[1]DBS_KPY Sorumlular'!A:C,2,FALSE)</f>
        <v>Tayfun VİÇE</v>
      </c>
      <c r="Z3726" t="str">
        <f>VLOOKUP(C3726,'[1]DBS_KPY Sorumlular'!A:C,3,FALSE)</f>
        <v>Mehmet Ali YAVUZ</v>
      </c>
      <c r="AA3726" t="str">
        <f>VLOOKUP(K3726,[1]!Tablo3[#Data],2,FALSE)</f>
        <v>Kadir TOPÇU</v>
      </c>
    </row>
    <row r="3727" spans="1:27" x14ac:dyDescent="0.25">
      <c r="A3727">
        <v>5079</v>
      </c>
      <c r="B3727" t="s">
        <v>27</v>
      </c>
      <c r="C3727" t="s">
        <v>402</v>
      </c>
      <c r="D3727" t="s">
        <v>403</v>
      </c>
      <c r="G3727" t="s">
        <v>384</v>
      </c>
      <c r="H3727" t="s">
        <v>10351</v>
      </c>
      <c r="I3727" s="4">
        <v>45443.875</v>
      </c>
      <c r="K3727" t="s">
        <v>678</v>
      </c>
      <c r="L3727" s="5"/>
      <c r="M3727" s="5" t="s">
        <v>8423</v>
      </c>
      <c r="N3727" t="s">
        <v>82</v>
      </c>
      <c r="O3727" t="s">
        <v>10352</v>
      </c>
      <c r="R3727">
        <v>1</v>
      </c>
      <c r="T3727" s="5"/>
      <c r="W3727">
        <v>270</v>
      </c>
      <c r="X3727" t="s">
        <v>8412</v>
      </c>
      <c r="Y3727" t="str">
        <f>VLOOKUP(C3727,'[1]DBS_KPY Sorumlular'!A:C,2,FALSE)</f>
        <v>Tayfun VİÇE</v>
      </c>
      <c r="Z3727" t="str">
        <f>VLOOKUP(C3727,'[1]DBS_KPY Sorumlular'!A:C,3,FALSE)</f>
        <v>Mehmet Ali YAVUZ</v>
      </c>
      <c r="AA3727" t="str">
        <f>VLOOKUP(K3727,[1]!Tablo3[#Data],2,FALSE)</f>
        <v>Kadir TOPÇU</v>
      </c>
    </row>
    <row r="3728" spans="1:27" x14ac:dyDescent="0.25">
      <c r="A3728">
        <v>5080</v>
      </c>
      <c r="B3728" t="s">
        <v>27</v>
      </c>
      <c r="C3728" t="s">
        <v>402</v>
      </c>
      <c r="D3728" t="s">
        <v>403</v>
      </c>
      <c r="G3728" t="s">
        <v>384</v>
      </c>
      <c r="H3728" t="s">
        <v>10353</v>
      </c>
      <c r="I3728" s="4">
        <v>45443.875</v>
      </c>
      <c r="K3728" t="s">
        <v>678</v>
      </c>
      <c r="L3728" s="5"/>
      <c r="M3728" s="5" t="s">
        <v>8423</v>
      </c>
      <c r="N3728" t="s">
        <v>82</v>
      </c>
      <c r="O3728" t="s">
        <v>10354</v>
      </c>
      <c r="R3728">
        <v>1</v>
      </c>
      <c r="T3728" s="5"/>
      <c r="W3728">
        <v>270</v>
      </c>
      <c r="X3728" t="s">
        <v>8412</v>
      </c>
      <c r="Y3728" t="str">
        <f>VLOOKUP(C3728,'[1]DBS_KPY Sorumlular'!A:C,2,FALSE)</f>
        <v>Tayfun VİÇE</v>
      </c>
      <c r="Z3728" t="str">
        <f>VLOOKUP(C3728,'[1]DBS_KPY Sorumlular'!A:C,3,FALSE)</f>
        <v>Mehmet Ali YAVUZ</v>
      </c>
      <c r="AA3728" t="str">
        <f>VLOOKUP(K3728,[1]!Tablo3[#Data],2,FALSE)</f>
        <v>Kadir TOPÇU</v>
      </c>
    </row>
    <row r="3729" spans="1:27" x14ac:dyDescent="0.25">
      <c r="A3729">
        <v>5081</v>
      </c>
      <c r="B3729" t="s">
        <v>27</v>
      </c>
      <c r="C3729" t="s">
        <v>402</v>
      </c>
      <c r="D3729" t="s">
        <v>403</v>
      </c>
      <c r="G3729" t="s">
        <v>384</v>
      </c>
      <c r="H3729" t="s">
        <v>10355</v>
      </c>
      <c r="I3729" s="4">
        <v>45443.875</v>
      </c>
      <c r="K3729" t="s">
        <v>678</v>
      </c>
      <c r="L3729" s="5"/>
      <c r="M3729" s="5" t="s">
        <v>8423</v>
      </c>
      <c r="N3729" t="s">
        <v>82</v>
      </c>
      <c r="O3729" t="s">
        <v>10356</v>
      </c>
      <c r="R3729">
        <v>1</v>
      </c>
      <c r="T3729" s="5"/>
      <c r="W3729">
        <v>270</v>
      </c>
      <c r="X3729" t="s">
        <v>8412</v>
      </c>
      <c r="Y3729" t="str">
        <f>VLOOKUP(C3729,'[1]DBS_KPY Sorumlular'!A:C,2,FALSE)</f>
        <v>Tayfun VİÇE</v>
      </c>
      <c r="Z3729" t="str">
        <f>VLOOKUP(C3729,'[1]DBS_KPY Sorumlular'!A:C,3,FALSE)</f>
        <v>Mehmet Ali YAVUZ</v>
      </c>
      <c r="AA3729" t="str">
        <f>VLOOKUP(K3729,[1]!Tablo3[#Data],2,FALSE)</f>
        <v>Kadir TOPÇU</v>
      </c>
    </row>
    <row r="3730" spans="1:27" x14ac:dyDescent="0.25">
      <c r="A3730">
        <v>5082</v>
      </c>
      <c r="B3730" t="s">
        <v>27</v>
      </c>
      <c r="C3730" t="s">
        <v>402</v>
      </c>
      <c r="D3730" t="s">
        <v>403</v>
      </c>
      <c r="G3730" t="s">
        <v>384</v>
      </c>
      <c r="H3730" t="s">
        <v>10357</v>
      </c>
      <c r="I3730" s="4">
        <v>45443.875</v>
      </c>
      <c r="K3730" t="s">
        <v>678</v>
      </c>
      <c r="L3730" s="5"/>
      <c r="M3730" s="5" t="s">
        <v>8423</v>
      </c>
      <c r="N3730" t="s">
        <v>82</v>
      </c>
      <c r="O3730" t="s">
        <v>10358</v>
      </c>
      <c r="R3730">
        <v>1</v>
      </c>
      <c r="T3730" s="5"/>
      <c r="W3730">
        <v>270</v>
      </c>
      <c r="X3730" t="s">
        <v>8412</v>
      </c>
      <c r="Y3730" t="str">
        <f>VLOOKUP(C3730,'[1]DBS_KPY Sorumlular'!A:C,2,FALSE)</f>
        <v>Tayfun VİÇE</v>
      </c>
      <c r="Z3730" t="str">
        <f>VLOOKUP(C3730,'[1]DBS_KPY Sorumlular'!A:C,3,FALSE)</f>
        <v>Mehmet Ali YAVUZ</v>
      </c>
      <c r="AA3730" t="str">
        <f>VLOOKUP(K3730,[1]!Tablo3[#Data],2,FALSE)</f>
        <v>Kadir TOPÇU</v>
      </c>
    </row>
    <row r="3731" spans="1:27" x14ac:dyDescent="0.25">
      <c r="A3731">
        <v>5083</v>
      </c>
      <c r="B3731" t="s">
        <v>27</v>
      </c>
      <c r="C3731" t="s">
        <v>402</v>
      </c>
      <c r="D3731" t="s">
        <v>403</v>
      </c>
      <c r="G3731" t="s">
        <v>384</v>
      </c>
      <c r="H3731" t="s">
        <v>10359</v>
      </c>
      <c r="I3731" s="4">
        <v>45443.875</v>
      </c>
      <c r="K3731" t="s">
        <v>678</v>
      </c>
      <c r="L3731" s="5"/>
      <c r="M3731" s="5" t="s">
        <v>8423</v>
      </c>
      <c r="N3731" t="s">
        <v>82</v>
      </c>
      <c r="O3731" t="s">
        <v>10360</v>
      </c>
      <c r="R3731">
        <v>1</v>
      </c>
      <c r="T3731" s="5"/>
      <c r="W3731">
        <v>270</v>
      </c>
      <c r="X3731" t="s">
        <v>8412</v>
      </c>
      <c r="Y3731" t="str">
        <f>VLOOKUP(C3731,'[1]DBS_KPY Sorumlular'!A:C,2,FALSE)</f>
        <v>Tayfun VİÇE</v>
      </c>
      <c r="Z3731" t="str">
        <f>VLOOKUP(C3731,'[1]DBS_KPY Sorumlular'!A:C,3,FALSE)</f>
        <v>Mehmet Ali YAVUZ</v>
      </c>
      <c r="AA3731" t="str">
        <f>VLOOKUP(K3731,[1]!Tablo3[#Data],2,FALSE)</f>
        <v>Kadir TOPÇU</v>
      </c>
    </row>
    <row r="3732" spans="1:27" x14ac:dyDescent="0.25">
      <c r="A3732">
        <v>5084</v>
      </c>
      <c r="B3732" t="s">
        <v>27</v>
      </c>
      <c r="C3732" t="s">
        <v>402</v>
      </c>
      <c r="D3732" t="s">
        <v>403</v>
      </c>
      <c r="G3732" t="s">
        <v>384</v>
      </c>
      <c r="H3732" t="s">
        <v>10361</v>
      </c>
      <c r="I3732" s="4">
        <v>45443.875</v>
      </c>
      <c r="K3732" t="s">
        <v>1157</v>
      </c>
      <c r="L3732" s="5"/>
      <c r="M3732" s="5" t="s">
        <v>8423</v>
      </c>
      <c r="N3732" t="s">
        <v>82</v>
      </c>
      <c r="O3732" t="s">
        <v>10362</v>
      </c>
      <c r="R3732">
        <v>1</v>
      </c>
      <c r="T3732" s="5"/>
      <c r="W3732">
        <v>270</v>
      </c>
      <c r="X3732" t="s">
        <v>8412</v>
      </c>
      <c r="Y3732" t="str">
        <f>VLOOKUP(C3732,'[1]DBS_KPY Sorumlular'!A:C,2,FALSE)</f>
        <v>Tayfun VİÇE</v>
      </c>
      <c r="Z3732" t="str">
        <f>VLOOKUP(C3732,'[1]DBS_KPY Sorumlular'!A:C,3,FALSE)</f>
        <v>Mehmet Ali YAVUZ</v>
      </c>
      <c r="AA3732" t="str">
        <f>VLOOKUP(K3732,[1]!Tablo3[#Data],2,FALSE)</f>
        <v>Tayfun VİÇE</v>
      </c>
    </row>
    <row r="3733" spans="1:27" x14ac:dyDescent="0.25">
      <c r="A3733">
        <v>5085</v>
      </c>
      <c r="B3733" t="s">
        <v>27</v>
      </c>
      <c r="C3733" t="s">
        <v>402</v>
      </c>
      <c r="D3733" t="s">
        <v>403</v>
      </c>
      <c r="G3733" t="s">
        <v>384</v>
      </c>
      <c r="H3733" t="s">
        <v>10363</v>
      </c>
      <c r="I3733" s="4">
        <v>45443.875</v>
      </c>
      <c r="K3733" t="s">
        <v>1157</v>
      </c>
      <c r="L3733" s="5"/>
      <c r="M3733" s="5" t="s">
        <v>8423</v>
      </c>
      <c r="N3733" t="s">
        <v>82</v>
      </c>
      <c r="O3733" t="s">
        <v>10364</v>
      </c>
      <c r="R3733">
        <v>1</v>
      </c>
      <c r="T3733" s="5"/>
      <c r="W3733">
        <v>270</v>
      </c>
      <c r="X3733" t="s">
        <v>8412</v>
      </c>
      <c r="Y3733" t="str">
        <f>VLOOKUP(C3733,'[1]DBS_KPY Sorumlular'!A:C,2,FALSE)</f>
        <v>Tayfun VİÇE</v>
      </c>
      <c r="Z3733" t="str">
        <f>VLOOKUP(C3733,'[1]DBS_KPY Sorumlular'!A:C,3,FALSE)</f>
        <v>Mehmet Ali YAVUZ</v>
      </c>
      <c r="AA3733" t="str">
        <f>VLOOKUP(K3733,[1]!Tablo3[#Data],2,FALSE)</f>
        <v>Tayfun VİÇE</v>
      </c>
    </row>
    <row r="3734" spans="1:27" x14ac:dyDescent="0.25">
      <c r="A3734">
        <v>5086</v>
      </c>
      <c r="B3734" t="s">
        <v>27</v>
      </c>
      <c r="C3734" t="s">
        <v>402</v>
      </c>
      <c r="D3734" t="s">
        <v>403</v>
      </c>
      <c r="G3734" t="s">
        <v>384</v>
      </c>
      <c r="H3734" t="s">
        <v>10365</v>
      </c>
      <c r="I3734" s="4">
        <v>45443.875</v>
      </c>
      <c r="K3734" t="s">
        <v>1157</v>
      </c>
      <c r="L3734" s="5"/>
      <c r="M3734" s="5" t="s">
        <v>8423</v>
      </c>
      <c r="N3734" t="s">
        <v>82</v>
      </c>
      <c r="O3734" t="s">
        <v>10366</v>
      </c>
      <c r="R3734">
        <v>1</v>
      </c>
      <c r="T3734" s="5"/>
      <c r="W3734">
        <v>270</v>
      </c>
      <c r="X3734" t="s">
        <v>8412</v>
      </c>
      <c r="Y3734" t="str">
        <f>VLOOKUP(C3734,'[1]DBS_KPY Sorumlular'!A:C,2,FALSE)</f>
        <v>Tayfun VİÇE</v>
      </c>
      <c r="Z3734" t="str">
        <f>VLOOKUP(C3734,'[1]DBS_KPY Sorumlular'!A:C,3,FALSE)</f>
        <v>Mehmet Ali YAVUZ</v>
      </c>
      <c r="AA3734" t="str">
        <f>VLOOKUP(K3734,[1]!Tablo3[#Data],2,FALSE)</f>
        <v>Tayfun VİÇE</v>
      </c>
    </row>
    <row r="3735" spans="1:27" x14ac:dyDescent="0.25">
      <c r="A3735">
        <v>5087</v>
      </c>
      <c r="B3735" t="s">
        <v>27</v>
      </c>
      <c r="C3735" t="s">
        <v>402</v>
      </c>
      <c r="D3735" t="s">
        <v>403</v>
      </c>
      <c r="G3735" t="s">
        <v>384</v>
      </c>
      <c r="H3735" t="s">
        <v>10367</v>
      </c>
      <c r="I3735" s="4">
        <v>45443.875</v>
      </c>
      <c r="K3735" t="s">
        <v>678</v>
      </c>
      <c r="L3735" s="5"/>
      <c r="M3735" s="5" t="s">
        <v>8423</v>
      </c>
      <c r="N3735" t="s">
        <v>82</v>
      </c>
      <c r="O3735" t="s">
        <v>10368</v>
      </c>
      <c r="R3735">
        <v>1</v>
      </c>
      <c r="T3735" s="5"/>
      <c r="W3735">
        <v>270</v>
      </c>
      <c r="X3735" t="s">
        <v>8412</v>
      </c>
      <c r="Y3735" t="str">
        <f>VLOOKUP(C3735,'[1]DBS_KPY Sorumlular'!A:C,2,FALSE)</f>
        <v>Tayfun VİÇE</v>
      </c>
      <c r="Z3735" t="str">
        <f>VLOOKUP(C3735,'[1]DBS_KPY Sorumlular'!A:C,3,FALSE)</f>
        <v>Mehmet Ali YAVUZ</v>
      </c>
      <c r="AA3735" t="str">
        <f>VLOOKUP(K3735,[1]!Tablo3[#Data],2,FALSE)</f>
        <v>Kadir TOPÇU</v>
      </c>
    </row>
    <row r="3736" spans="1:27" x14ac:dyDescent="0.25">
      <c r="A3736">
        <v>5088</v>
      </c>
      <c r="B3736" t="s">
        <v>27</v>
      </c>
      <c r="C3736" t="s">
        <v>402</v>
      </c>
      <c r="D3736" t="s">
        <v>403</v>
      </c>
      <c r="G3736" t="s">
        <v>384</v>
      </c>
      <c r="H3736" t="s">
        <v>10369</v>
      </c>
      <c r="I3736" s="4">
        <v>45443.875</v>
      </c>
      <c r="K3736" t="s">
        <v>226</v>
      </c>
      <c r="L3736" s="5"/>
      <c r="M3736" s="5" t="s">
        <v>8423</v>
      </c>
      <c r="N3736" t="s">
        <v>82</v>
      </c>
      <c r="O3736" t="s">
        <v>10370</v>
      </c>
      <c r="R3736">
        <v>1</v>
      </c>
      <c r="T3736" s="5"/>
      <c r="W3736">
        <v>270</v>
      </c>
      <c r="X3736" t="s">
        <v>8412</v>
      </c>
      <c r="Y3736" t="str">
        <f>VLOOKUP(C3736,'[1]DBS_KPY Sorumlular'!A:C,2,FALSE)</f>
        <v>Tayfun VİÇE</v>
      </c>
      <c r="Z3736" t="str">
        <f>VLOOKUP(C3736,'[1]DBS_KPY Sorumlular'!A:C,3,FALSE)</f>
        <v>Mehmet Ali YAVUZ</v>
      </c>
      <c r="AA3736" t="str">
        <f>VLOOKUP(K3736,[1]!Tablo3[#Data],2,FALSE)</f>
        <v>Kadir TOPÇU</v>
      </c>
    </row>
    <row r="3737" spans="1:27" x14ac:dyDescent="0.25">
      <c r="A3737">
        <v>5089</v>
      </c>
      <c r="B3737" t="s">
        <v>27</v>
      </c>
      <c r="C3737" t="s">
        <v>402</v>
      </c>
      <c r="D3737" t="s">
        <v>403</v>
      </c>
      <c r="G3737" t="s">
        <v>384</v>
      </c>
      <c r="H3737" t="s">
        <v>10371</v>
      </c>
      <c r="I3737" s="4">
        <v>45443.875</v>
      </c>
      <c r="K3737" t="s">
        <v>678</v>
      </c>
      <c r="L3737" s="5"/>
      <c r="M3737" s="5" t="s">
        <v>8423</v>
      </c>
      <c r="N3737" t="s">
        <v>82</v>
      </c>
      <c r="O3737" t="s">
        <v>10372</v>
      </c>
      <c r="R3737">
        <v>1</v>
      </c>
      <c r="T3737" s="5"/>
      <c r="W3737">
        <v>270</v>
      </c>
      <c r="X3737" t="s">
        <v>8412</v>
      </c>
      <c r="Y3737" t="str">
        <f>VLOOKUP(C3737,'[1]DBS_KPY Sorumlular'!A:C,2,FALSE)</f>
        <v>Tayfun VİÇE</v>
      </c>
      <c r="Z3737" t="str">
        <f>VLOOKUP(C3737,'[1]DBS_KPY Sorumlular'!A:C,3,FALSE)</f>
        <v>Mehmet Ali YAVUZ</v>
      </c>
      <c r="AA3737" t="str">
        <f>VLOOKUP(K3737,[1]!Tablo3[#Data],2,FALSE)</f>
        <v>Kadir TOPÇU</v>
      </c>
    </row>
    <row r="3738" spans="1:27" x14ac:dyDescent="0.25">
      <c r="A3738">
        <v>5090</v>
      </c>
      <c r="B3738" t="s">
        <v>27</v>
      </c>
      <c r="C3738" t="s">
        <v>402</v>
      </c>
      <c r="D3738" t="s">
        <v>403</v>
      </c>
      <c r="G3738" t="s">
        <v>384</v>
      </c>
      <c r="H3738" t="s">
        <v>10373</v>
      </c>
      <c r="I3738" s="4">
        <v>45443.875</v>
      </c>
      <c r="K3738" t="s">
        <v>226</v>
      </c>
      <c r="L3738" s="5"/>
      <c r="M3738" s="5" t="s">
        <v>8423</v>
      </c>
      <c r="N3738" t="s">
        <v>82</v>
      </c>
      <c r="O3738" t="s">
        <v>10374</v>
      </c>
      <c r="R3738">
        <v>1</v>
      </c>
      <c r="T3738" s="5"/>
      <c r="W3738">
        <v>270</v>
      </c>
      <c r="X3738" t="s">
        <v>8412</v>
      </c>
      <c r="Y3738" t="str">
        <f>VLOOKUP(C3738,'[1]DBS_KPY Sorumlular'!A:C,2,FALSE)</f>
        <v>Tayfun VİÇE</v>
      </c>
      <c r="Z3738" t="str">
        <f>VLOOKUP(C3738,'[1]DBS_KPY Sorumlular'!A:C,3,FALSE)</f>
        <v>Mehmet Ali YAVUZ</v>
      </c>
      <c r="AA3738" t="str">
        <f>VLOOKUP(K3738,[1]!Tablo3[#Data],2,FALSE)</f>
        <v>Kadir TOPÇU</v>
      </c>
    </row>
    <row r="3739" spans="1:27" x14ac:dyDescent="0.25">
      <c r="A3739">
        <v>5091</v>
      </c>
      <c r="B3739" t="s">
        <v>27</v>
      </c>
      <c r="C3739" t="s">
        <v>402</v>
      </c>
      <c r="D3739" t="s">
        <v>403</v>
      </c>
      <c r="G3739" t="s">
        <v>384</v>
      </c>
      <c r="H3739" t="s">
        <v>10375</v>
      </c>
      <c r="I3739" s="4">
        <v>45443.875</v>
      </c>
      <c r="K3739" t="s">
        <v>226</v>
      </c>
      <c r="L3739" s="5"/>
      <c r="M3739" s="5" t="s">
        <v>8423</v>
      </c>
      <c r="N3739" t="s">
        <v>82</v>
      </c>
      <c r="O3739" t="s">
        <v>10376</v>
      </c>
      <c r="R3739">
        <v>1</v>
      </c>
      <c r="T3739" s="5"/>
      <c r="W3739">
        <v>270</v>
      </c>
      <c r="X3739" t="s">
        <v>8412</v>
      </c>
      <c r="Y3739" t="str">
        <f>VLOOKUP(C3739,'[1]DBS_KPY Sorumlular'!A:C,2,FALSE)</f>
        <v>Tayfun VİÇE</v>
      </c>
      <c r="Z3739" t="str">
        <f>VLOOKUP(C3739,'[1]DBS_KPY Sorumlular'!A:C,3,FALSE)</f>
        <v>Mehmet Ali YAVUZ</v>
      </c>
      <c r="AA3739" t="str">
        <f>VLOOKUP(K3739,[1]!Tablo3[#Data],2,FALSE)</f>
        <v>Kadir TOPÇU</v>
      </c>
    </row>
    <row r="3740" spans="1:27" x14ac:dyDescent="0.25">
      <c r="A3740">
        <v>5092</v>
      </c>
      <c r="B3740" t="s">
        <v>27</v>
      </c>
      <c r="C3740" t="s">
        <v>402</v>
      </c>
      <c r="D3740" t="s">
        <v>403</v>
      </c>
      <c r="G3740" t="s">
        <v>384</v>
      </c>
      <c r="H3740" t="s">
        <v>10377</v>
      </c>
      <c r="I3740" s="4">
        <v>45443.875</v>
      </c>
      <c r="K3740" t="s">
        <v>914</v>
      </c>
      <c r="L3740" s="5"/>
      <c r="M3740" s="5" t="s">
        <v>8423</v>
      </c>
      <c r="N3740" t="s">
        <v>82</v>
      </c>
      <c r="O3740" t="s">
        <v>10378</v>
      </c>
      <c r="R3740">
        <v>1</v>
      </c>
      <c r="T3740" s="5"/>
      <c r="W3740">
        <v>270</v>
      </c>
      <c r="X3740" t="s">
        <v>8412</v>
      </c>
      <c r="Y3740" t="str">
        <f>VLOOKUP(C3740,'[1]DBS_KPY Sorumlular'!A:C,2,FALSE)</f>
        <v>Tayfun VİÇE</v>
      </c>
      <c r="Z3740" t="str">
        <f>VLOOKUP(C3740,'[1]DBS_KPY Sorumlular'!A:C,3,FALSE)</f>
        <v>Mehmet Ali YAVUZ</v>
      </c>
      <c r="AA3740" t="str">
        <f>VLOOKUP(K3740,[1]!Tablo3[#Data],2,FALSE)</f>
        <v>Tayfun VİÇE</v>
      </c>
    </row>
    <row r="3741" spans="1:27" x14ac:dyDescent="0.25">
      <c r="A3741">
        <v>5093</v>
      </c>
      <c r="B3741" t="s">
        <v>27</v>
      </c>
      <c r="C3741" t="s">
        <v>402</v>
      </c>
      <c r="D3741" t="s">
        <v>403</v>
      </c>
      <c r="G3741" t="s">
        <v>384</v>
      </c>
      <c r="H3741" t="s">
        <v>10379</v>
      </c>
      <c r="I3741" s="4">
        <v>45443.875</v>
      </c>
      <c r="K3741" t="s">
        <v>226</v>
      </c>
      <c r="L3741" s="5"/>
      <c r="M3741" s="5" t="s">
        <v>8423</v>
      </c>
      <c r="N3741" t="s">
        <v>82</v>
      </c>
      <c r="O3741" t="s">
        <v>10380</v>
      </c>
      <c r="R3741">
        <v>1</v>
      </c>
      <c r="T3741" s="5"/>
      <c r="W3741">
        <v>270</v>
      </c>
      <c r="X3741" t="s">
        <v>8412</v>
      </c>
      <c r="Y3741" t="str">
        <f>VLOOKUP(C3741,'[1]DBS_KPY Sorumlular'!A:C,2,FALSE)</f>
        <v>Tayfun VİÇE</v>
      </c>
      <c r="Z3741" t="str">
        <f>VLOOKUP(C3741,'[1]DBS_KPY Sorumlular'!A:C,3,FALSE)</f>
        <v>Mehmet Ali YAVUZ</v>
      </c>
      <c r="AA3741" t="str">
        <f>VLOOKUP(K3741,[1]!Tablo3[#Data],2,FALSE)</f>
        <v>Kadir TOPÇU</v>
      </c>
    </row>
    <row r="3742" spans="1:27" x14ac:dyDescent="0.25">
      <c r="A3742">
        <v>5094</v>
      </c>
      <c r="B3742" t="s">
        <v>27</v>
      </c>
      <c r="C3742" t="s">
        <v>402</v>
      </c>
      <c r="D3742" t="s">
        <v>403</v>
      </c>
      <c r="G3742" t="s">
        <v>384</v>
      </c>
      <c r="H3742" t="s">
        <v>10381</v>
      </c>
      <c r="I3742" s="4">
        <v>45443.875</v>
      </c>
      <c r="K3742" t="s">
        <v>226</v>
      </c>
      <c r="L3742" s="5"/>
      <c r="M3742" s="5" t="s">
        <v>8423</v>
      </c>
      <c r="N3742" t="s">
        <v>82</v>
      </c>
      <c r="O3742" t="s">
        <v>10380</v>
      </c>
      <c r="R3742">
        <v>1</v>
      </c>
      <c r="T3742" s="5"/>
      <c r="W3742">
        <v>270</v>
      </c>
      <c r="X3742" t="s">
        <v>8412</v>
      </c>
      <c r="Y3742" t="str">
        <f>VLOOKUP(C3742,'[1]DBS_KPY Sorumlular'!A:C,2,FALSE)</f>
        <v>Tayfun VİÇE</v>
      </c>
      <c r="Z3742" t="str">
        <f>VLOOKUP(C3742,'[1]DBS_KPY Sorumlular'!A:C,3,FALSE)</f>
        <v>Mehmet Ali YAVUZ</v>
      </c>
      <c r="AA3742" t="str">
        <f>VLOOKUP(K3742,[1]!Tablo3[#Data],2,FALSE)</f>
        <v>Kadir TOPÇU</v>
      </c>
    </row>
    <row r="3743" spans="1:27" x14ac:dyDescent="0.25">
      <c r="A3743">
        <v>5095</v>
      </c>
      <c r="B3743" t="s">
        <v>27</v>
      </c>
      <c r="C3743" t="s">
        <v>402</v>
      </c>
      <c r="D3743" t="s">
        <v>403</v>
      </c>
      <c r="G3743" t="s">
        <v>384</v>
      </c>
      <c r="H3743" t="s">
        <v>10382</v>
      </c>
      <c r="I3743" s="4">
        <v>45443.875</v>
      </c>
      <c r="K3743" t="s">
        <v>678</v>
      </c>
      <c r="L3743" s="5"/>
      <c r="M3743" s="5" t="s">
        <v>8423</v>
      </c>
      <c r="N3743" t="s">
        <v>82</v>
      </c>
      <c r="O3743" t="s">
        <v>10383</v>
      </c>
      <c r="R3743">
        <v>1</v>
      </c>
      <c r="T3743" s="5"/>
      <c r="W3743">
        <v>270</v>
      </c>
      <c r="X3743" t="s">
        <v>8412</v>
      </c>
      <c r="Y3743" t="str">
        <f>VLOOKUP(C3743,'[1]DBS_KPY Sorumlular'!A:C,2,FALSE)</f>
        <v>Tayfun VİÇE</v>
      </c>
      <c r="Z3743" t="str">
        <f>VLOOKUP(C3743,'[1]DBS_KPY Sorumlular'!A:C,3,FALSE)</f>
        <v>Mehmet Ali YAVUZ</v>
      </c>
      <c r="AA3743" t="str">
        <f>VLOOKUP(K3743,[1]!Tablo3[#Data],2,FALSE)</f>
        <v>Kadir TOPÇU</v>
      </c>
    </row>
    <row r="3744" spans="1:27" x14ac:dyDescent="0.25">
      <c r="A3744">
        <v>5096</v>
      </c>
      <c r="B3744" t="s">
        <v>27</v>
      </c>
      <c r="C3744" t="s">
        <v>402</v>
      </c>
      <c r="D3744" t="s">
        <v>403</v>
      </c>
      <c r="G3744" t="s">
        <v>384</v>
      </c>
      <c r="H3744" t="s">
        <v>10384</v>
      </c>
      <c r="I3744" s="4">
        <v>45443.875</v>
      </c>
      <c r="K3744" t="s">
        <v>226</v>
      </c>
      <c r="L3744" s="5"/>
      <c r="M3744" s="5" t="s">
        <v>8423</v>
      </c>
      <c r="N3744" t="s">
        <v>82</v>
      </c>
      <c r="O3744" t="s">
        <v>10385</v>
      </c>
      <c r="R3744">
        <v>1</v>
      </c>
      <c r="T3744" s="5"/>
      <c r="W3744">
        <v>270</v>
      </c>
      <c r="X3744" t="s">
        <v>8412</v>
      </c>
      <c r="Y3744" t="str">
        <f>VLOOKUP(C3744,'[1]DBS_KPY Sorumlular'!A:C,2,FALSE)</f>
        <v>Tayfun VİÇE</v>
      </c>
      <c r="Z3744" t="str">
        <f>VLOOKUP(C3744,'[1]DBS_KPY Sorumlular'!A:C,3,FALSE)</f>
        <v>Mehmet Ali YAVUZ</v>
      </c>
      <c r="AA3744" t="str">
        <f>VLOOKUP(K3744,[1]!Tablo3[#Data],2,FALSE)</f>
        <v>Kadir TOPÇU</v>
      </c>
    </row>
    <row r="3745" spans="1:27" x14ac:dyDescent="0.25">
      <c r="A3745">
        <v>5097</v>
      </c>
      <c r="B3745" t="s">
        <v>27</v>
      </c>
      <c r="C3745" t="s">
        <v>402</v>
      </c>
      <c r="D3745" t="s">
        <v>403</v>
      </c>
      <c r="G3745" t="s">
        <v>384</v>
      </c>
      <c r="H3745" t="s">
        <v>10386</v>
      </c>
      <c r="I3745" s="4">
        <v>45443.875</v>
      </c>
      <c r="K3745" t="s">
        <v>678</v>
      </c>
      <c r="L3745" s="5"/>
      <c r="M3745" s="5" t="s">
        <v>8423</v>
      </c>
      <c r="N3745" t="s">
        <v>82</v>
      </c>
      <c r="O3745" t="s">
        <v>10387</v>
      </c>
      <c r="R3745">
        <v>1</v>
      </c>
      <c r="T3745" s="5"/>
      <c r="W3745">
        <v>270</v>
      </c>
      <c r="X3745" t="s">
        <v>8412</v>
      </c>
      <c r="Y3745" t="str">
        <f>VLOOKUP(C3745,'[1]DBS_KPY Sorumlular'!A:C,2,FALSE)</f>
        <v>Tayfun VİÇE</v>
      </c>
      <c r="Z3745" t="str">
        <f>VLOOKUP(C3745,'[1]DBS_KPY Sorumlular'!A:C,3,FALSE)</f>
        <v>Mehmet Ali YAVUZ</v>
      </c>
      <c r="AA3745" t="str">
        <f>VLOOKUP(K3745,[1]!Tablo3[#Data],2,FALSE)</f>
        <v>Kadir TOPÇU</v>
      </c>
    </row>
    <row r="3746" spans="1:27" x14ac:dyDescent="0.25">
      <c r="A3746">
        <v>5098</v>
      </c>
      <c r="B3746" t="s">
        <v>27</v>
      </c>
      <c r="C3746" t="s">
        <v>402</v>
      </c>
      <c r="D3746" t="s">
        <v>403</v>
      </c>
      <c r="G3746" t="s">
        <v>384</v>
      </c>
      <c r="H3746" t="s">
        <v>10388</v>
      </c>
      <c r="I3746" s="4">
        <v>45443.875</v>
      </c>
      <c r="K3746" t="s">
        <v>226</v>
      </c>
      <c r="L3746" s="5"/>
      <c r="M3746" s="5" t="s">
        <v>8423</v>
      </c>
      <c r="N3746" t="s">
        <v>82</v>
      </c>
      <c r="O3746" t="s">
        <v>10389</v>
      </c>
      <c r="R3746">
        <v>1</v>
      </c>
      <c r="T3746" s="5"/>
      <c r="W3746">
        <v>270</v>
      </c>
      <c r="X3746" t="s">
        <v>8412</v>
      </c>
      <c r="Y3746" t="str">
        <f>VLOOKUP(C3746,'[1]DBS_KPY Sorumlular'!A:C,2,FALSE)</f>
        <v>Tayfun VİÇE</v>
      </c>
      <c r="Z3746" t="str">
        <f>VLOOKUP(C3746,'[1]DBS_KPY Sorumlular'!A:C,3,FALSE)</f>
        <v>Mehmet Ali YAVUZ</v>
      </c>
      <c r="AA3746" t="str">
        <f>VLOOKUP(K3746,[1]!Tablo3[#Data],2,FALSE)</f>
        <v>Kadir TOPÇU</v>
      </c>
    </row>
    <row r="3747" spans="1:27" x14ac:dyDescent="0.25">
      <c r="A3747">
        <v>5099</v>
      </c>
      <c r="B3747" t="s">
        <v>27</v>
      </c>
      <c r="C3747" t="s">
        <v>402</v>
      </c>
      <c r="D3747" t="s">
        <v>403</v>
      </c>
      <c r="G3747" t="s">
        <v>384</v>
      </c>
      <c r="H3747" t="s">
        <v>10390</v>
      </c>
      <c r="I3747" s="4">
        <v>45443.875</v>
      </c>
      <c r="K3747" t="s">
        <v>226</v>
      </c>
      <c r="L3747" s="5"/>
      <c r="M3747" s="5" t="s">
        <v>8423</v>
      </c>
      <c r="N3747" t="s">
        <v>82</v>
      </c>
      <c r="O3747" t="s">
        <v>10391</v>
      </c>
      <c r="R3747">
        <v>1</v>
      </c>
      <c r="T3747" s="5"/>
      <c r="W3747">
        <v>270</v>
      </c>
      <c r="X3747" t="s">
        <v>8412</v>
      </c>
      <c r="Y3747" t="str">
        <f>VLOOKUP(C3747,'[1]DBS_KPY Sorumlular'!A:C,2,FALSE)</f>
        <v>Tayfun VİÇE</v>
      </c>
      <c r="Z3747" t="str">
        <f>VLOOKUP(C3747,'[1]DBS_KPY Sorumlular'!A:C,3,FALSE)</f>
        <v>Mehmet Ali YAVUZ</v>
      </c>
      <c r="AA3747" t="str">
        <f>VLOOKUP(K3747,[1]!Tablo3[#Data],2,FALSE)</f>
        <v>Kadir TOPÇU</v>
      </c>
    </row>
    <row r="3748" spans="1:27" x14ac:dyDescent="0.25">
      <c r="A3748">
        <v>5100</v>
      </c>
      <c r="B3748" t="s">
        <v>27</v>
      </c>
      <c r="C3748" t="s">
        <v>402</v>
      </c>
      <c r="D3748" t="s">
        <v>403</v>
      </c>
      <c r="G3748" t="s">
        <v>384</v>
      </c>
      <c r="H3748" t="s">
        <v>10392</v>
      </c>
      <c r="I3748" s="4">
        <v>45443.875</v>
      </c>
      <c r="K3748" t="s">
        <v>226</v>
      </c>
      <c r="L3748" s="5"/>
      <c r="M3748" s="5" t="s">
        <v>8423</v>
      </c>
      <c r="N3748" t="s">
        <v>82</v>
      </c>
      <c r="O3748" t="s">
        <v>10393</v>
      </c>
      <c r="R3748">
        <v>1</v>
      </c>
      <c r="T3748" s="5"/>
      <c r="W3748">
        <v>270</v>
      </c>
      <c r="X3748" t="s">
        <v>8412</v>
      </c>
      <c r="Y3748" t="str">
        <f>VLOOKUP(C3748,'[1]DBS_KPY Sorumlular'!A:C,2,FALSE)</f>
        <v>Tayfun VİÇE</v>
      </c>
      <c r="Z3748" t="str">
        <f>VLOOKUP(C3748,'[1]DBS_KPY Sorumlular'!A:C,3,FALSE)</f>
        <v>Mehmet Ali YAVUZ</v>
      </c>
      <c r="AA3748" t="str">
        <f>VLOOKUP(K3748,[1]!Tablo3[#Data],2,FALSE)</f>
        <v>Kadir TOPÇU</v>
      </c>
    </row>
    <row r="3749" spans="1:27" x14ac:dyDescent="0.25">
      <c r="A3749">
        <v>5101</v>
      </c>
      <c r="B3749" t="s">
        <v>27</v>
      </c>
      <c r="C3749" t="s">
        <v>402</v>
      </c>
      <c r="D3749" t="s">
        <v>403</v>
      </c>
      <c r="G3749" t="s">
        <v>384</v>
      </c>
      <c r="H3749" t="s">
        <v>10394</v>
      </c>
      <c r="I3749" s="4">
        <v>45443.875</v>
      </c>
      <c r="K3749" t="s">
        <v>678</v>
      </c>
      <c r="L3749" s="5"/>
      <c r="M3749" s="5" t="s">
        <v>8423</v>
      </c>
      <c r="N3749" t="s">
        <v>82</v>
      </c>
      <c r="O3749" t="s">
        <v>10395</v>
      </c>
      <c r="R3749">
        <v>1</v>
      </c>
      <c r="T3749" s="5"/>
      <c r="W3749">
        <v>270</v>
      </c>
      <c r="X3749" t="s">
        <v>8412</v>
      </c>
      <c r="Y3749" t="str">
        <f>VLOOKUP(C3749,'[1]DBS_KPY Sorumlular'!A:C,2,FALSE)</f>
        <v>Tayfun VİÇE</v>
      </c>
      <c r="Z3749" t="str">
        <f>VLOOKUP(C3749,'[1]DBS_KPY Sorumlular'!A:C,3,FALSE)</f>
        <v>Mehmet Ali YAVUZ</v>
      </c>
      <c r="AA3749" t="str">
        <f>VLOOKUP(K3749,[1]!Tablo3[#Data],2,FALSE)</f>
        <v>Kadir TOPÇU</v>
      </c>
    </row>
    <row r="3750" spans="1:27" x14ac:dyDescent="0.25">
      <c r="A3750">
        <v>5102</v>
      </c>
      <c r="B3750" t="s">
        <v>27</v>
      </c>
      <c r="C3750" t="s">
        <v>402</v>
      </c>
      <c r="D3750" t="s">
        <v>403</v>
      </c>
      <c r="G3750" t="s">
        <v>384</v>
      </c>
      <c r="H3750" t="s">
        <v>10396</v>
      </c>
      <c r="I3750" s="4">
        <v>45443.875</v>
      </c>
      <c r="K3750" t="s">
        <v>914</v>
      </c>
      <c r="L3750" s="5"/>
      <c r="M3750" s="5" t="s">
        <v>8423</v>
      </c>
      <c r="N3750" t="s">
        <v>82</v>
      </c>
      <c r="O3750" t="s">
        <v>10397</v>
      </c>
      <c r="R3750">
        <v>1</v>
      </c>
      <c r="T3750" s="5"/>
      <c r="W3750">
        <v>270</v>
      </c>
      <c r="X3750" t="s">
        <v>8412</v>
      </c>
      <c r="Y3750" t="str">
        <f>VLOOKUP(C3750,'[1]DBS_KPY Sorumlular'!A:C,2,FALSE)</f>
        <v>Tayfun VİÇE</v>
      </c>
      <c r="Z3750" t="str">
        <f>VLOOKUP(C3750,'[1]DBS_KPY Sorumlular'!A:C,3,FALSE)</f>
        <v>Mehmet Ali YAVUZ</v>
      </c>
      <c r="AA3750" t="str">
        <f>VLOOKUP(K3750,[1]!Tablo3[#Data],2,FALSE)</f>
        <v>Tayfun VİÇE</v>
      </c>
    </row>
    <row r="3751" spans="1:27" x14ac:dyDescent="0.25">
      <c r="A3751">
        <v>5103</v>
      </c>
      <c r="B3751" t="s">
        <v>27</v>
      </c>
      <c r="C3751" t="s">
        <v>402</v>
      </c>
      <c r="D3751" t="s">
        <v>403</v>
      </c>
      <c r="G3751" t="s">
        <v>384</v>
      </c>
      <c r="H3751" t="s">
        <v>10398</v>
      </c>
      <c r="I3751" s="4">
        <v>45443.875</v>
      </c>
      <c r="K3751" t="s">
        <v>226</v>
      </c>
      <c r="L3751" s="5"/>
      <c r="M3751" s="5" t="s">
        <v>8423</v>
      </c>
      <c r="N3751" t="s">
        <v>82</v>
      </c>
      <c r="O3751" t="s">
        <v>10399</v>
      </c>
      <c r="R3751">
        <v>1</v>
      </c>
      <c r="T3751" s="5"/>
      <c r="W3751">
        <v>270</v>
      </c>
      <c r="X3751" t="s">
        <v>8412</v>
      </c>
      <c r="Y3751" t="str">
        <f>VLOOKUP(C3751,'[1]DBS_KPY Sorumlular'!A:C,2,FALSE)</f>
        <v>Tayfun VİÇE</v>
      </c>
      <c r="Z3751" t="str">
        <f>VLOOKUP(C3751,'[1]DBS_KPY Sorumlular'!A:C,3,FALSE)</f>
        <v>Mehmet Ali YAVUZ</v>
      </c>
      <c r="AA3751" t="str">
        <f>VLOOKUP(K3751,[1]!Tablo3[#Data],2,FALSE)</f>
        <v>Kadir TOPÇU</v>
      </c>
    </row>
    <row r="3752" spans="1:27" x14ac:dyDescent="0.25">
      <c r="A3752">
        <v>5104</v>
      </c>
      <c r="B3752" t="s">
        <v>27</v>
      </c>
      <c r="C3752" t="s">
        <v>402</v>
      </c>
      <c r="D3752" t="s">
        <v>403</v>
      </c>
      <c r="G3752" t="s">
        <v>384</v>
      </c>
      <c r="H3752" t="s">
        <v>10400</v>
      </c>
      <c r="I3752" s="4">
        <v>45443.875</v>
      </c>
      <c r="K3752" t="s">
        <v>914</v>
      </c>
      <c r="L3752" s="5"/>
      <c r="M3752" s="5" t="s">
        <v>8423</v>
      </c>
      <c r="N3752" t="s">
        <v>82</v>
      </c>
      <c r="O3752" t="s">
        <v>10401</v>
      </c>
      <c r="R3752">
        <v>1</v>
      </c>
      <c r="T3752" s="5"/>
      <c r="W3752">
        <v>270</v>
      </c>
      <c r="X3752" t="s">
        <v>8412</v>
      </c>
      <c r="Y3752" t="str">
        <f>VLOOKUP(C3752,'[1]DBS_KPY Sorumlular'!A:C,2,FALSE)</f>
        <v>Tayfun VİÇE</v>
      </c>
      <c r="Z3752" t="str">
        <f>VLOOKUP(C3752,'[1]DBS_KPY Sorumlular'!A:C,3,FALSE)</f>
        <v>Mehmet Ali YAVUZ</v>
      </c>
      <c r="AA3752" t="str">
        <f>VLOOKUP(K3752,[1]!Tablo3[#Data],2,FALSE)</f>
        <v>Tayfun VİÇE</v>
      </c>
    </row>
    <row r="3753" spans="1:27" x14ac:dyDescent="0.25">
      <c r="A3753">
        <v>5105</v>
      </c>
      <c r="B3753" t="s">
        <v>27</v>
      </c>
      <c r="C3753" t="s">
        <v>402</v>
      </c>
      <c r="D3753" t="s">
        <v>403</v>
      </c>
      <c r="G3753" t="s">
        <v>384</v>
      </c>
      <c r="H3753" t="s">
        <v>10402</v>
      </c>
      <c r="I3753" s="4">
        <v>45443.875</v>
      </c>
      <c r="K3753" t="s">
        <v>914</v>
      </c>
      <c r="L3753" s="5"/>
      <c r="M3753" s="5" t="s">
        <v>8423</v>
      </c>
      <c r="N3753" t="s">
        <v>82</v>
      </c>
      <c r="O3753" t="s">
        <v>10403</v>
      </c>
      <c r="R3753">
        <v>1</v>
      </c>
      <c r="T3753" s="5"/>
      <c r="W3753">
        <v>270</v>
      </c>
      <c r="X3753" t="s">
        <v>8412</v>
      </c>
      <c r="Y3753" t="str">
        <f>VLOOKUP(C3753,'[1]DBS_KPY Sorumlular'!A:C,2,FALSE)</f>
        <v>Tayfun VİÇE</v>
      </c>
      <c r="Z3753" t="str">
        <f>VLOOKUP(C3753,'[1]DBS_KPY Sorumlular'!A:C,3,FALSE)</f>
        <v>Mehmet Ali YAVUZ</v>
      </c>
      <c r="AA3753" t="str">
        <f>VLOOKUP(K3753,[1]!Tablo3[#Data],2,FALSE)</f>
        <v>Tayfun VİÇE</v>
      </c>
    </row>
    <row r="3754" spans="1:27" x14ac:dyDescent="0.25">
      <c r="A3754">
        <v>5106</v>
      </c>
      <c r="B3754" t="s">
        <v>27</v>
      </c>
      <c r="C3754" t="s">
        <v>402</v>
      </c>
      <c r="D3754" t="s">
        <v>403</v>
      </c>
      <c r="G3754" t="s">
        <v>384</v>
      </c>
      <c r="H3754" t="s">
        <v>10404</v>
      </c>
      <c r="I3754" s="4">
        <v>45443.875</v>
      </c>
      <c r="K3754" t="s">
        <v>914</v>
      </c>
      <c r="L3754" s="5"/>
      <c r="M3754" s="5" t="s">
        <v>8423</v>
      </c>
      <c r="N3754" t="s">
        <v>82</v>
      </c>
      <c r="O3754" t="s">
        <v>10405</v>
      </c>
      <c r="R3754">
        <v>1</v>
      </c>
      <c r="T3754" s="5"/>
      <c r="W3754">
        <v>270</v>
      </c>
      <c r="X3754" t="s">
        <v>8412</v>
      </c>
      <c r="Y3754" t="str">
        <f>VLOOKUP(C3754,'[1]DBS_KPY Sorumlular'!A:C,2,FALSE)</f>
        <v>Tayfun VİÇE</v>
      </c>
      <c r="Z3754" t="str">
        <f>VLOOKUP(C3754,'[1]DBS_KPY Sorumlular'!A:C,3,FALSE)</f>
        <v>Mehmet Ali YAVUZ</v>
      </c>
      <c r="AA3754" t="str">
        <f>VLOOKUP(K3754,[1]!Tablo3[#Data],2,FALSE)</f>
        <v>Tayfun VİÇE</v>
      </c>
    </row>
    <row r="3755" spans="1:27" x14ac:dyDescent="0.25">
      <c r="A3755">
        <v>5107</v>
      </c>
      <c r="B3755" t="s">
        <v>27</v>
      </c>
      <c r="C3755" t="s">
        <v>402</v>
      </c>
      <c r="D3755" t="s">
        <v>403</v>
      </c>
      <c r="G3755" t="s">
        <v>384</v>
      </c>
      <c r="H3755" t="s">
        <v>10406</v>
      </c>
      <c r="I3755" s="4">
        <v>45443.875</v>
      </c>
      <c r="K3755" t="s">
        <v>914</v>
      </c>
      <c r="L3755" s="5"/>
      <c r="M3755" s="5" t="s">
        <v>8423</v>
      </c>
      <c r="N3755" t="s">
        <v>82</v>
      </c>
      <c r="O3755" t="s">
        <v>10407</v>
      </c>
      <c r="R3755">
        <v>1</v>
      </c>
      <c r="T3755" s="5"/>
      <c r="W3755">
        <v>270</v>
      </c>
      <c r="X3755" t="s">
        <v>8412</v>
      </c>
      <c r="Y3755" t="str">
        <f>VLOOKUP(C3755,'[1]DBS_KPY Sorumlular'!A:C,2,FALSE)</f>
        <v>Tayfun VİÇE</v>
      </c>
      <c r="Z3755" t="str">
        <f>VLOOKUP(C3755,'[1]DBS_KPY Sorumlular'!A:C,3,FALSE)</f>
        <v>Mehmet Ali YAVUZ</v>
      </c>
      <c r="AA3755" t="str">
        <f>VLOOKUP(K3755,[1]!Tablo3[#Data],2,FALSE)</f>
        <v>Tayfun VİÇE</v>
      </c>
    </row>
    <row r="3756" spans="1:27" x14ac:dyDescent="0.25">
      <c r="A3756">
        <v>5109</v>
      </c>
      <c r="B3756" t="s">
        <v>27</v>
      </c>
      <c r="C3756" t="s">
        <v>402</v>
      </c>
      <c r="D3756" t="s">
        <v>403</v>
      </c>
      <c r="G3756" t="s">
        <v>384</v>
      </c>
      <c r="H3756" t="s">
        <v>10408</v>
      </c>
      <c r="I3756" s="4">
        <v>45443.875</v>
      </c>
      <c r="K3756" t="s">
        <v>914</v>
      </c>
      <c r="L3756" s="5"/>
      <c r="M3756" s="5" t="s">
        <v>8423</v>
      </c>
      <c r="N3756" t="s">
        <v>82</v>
      </c>
      <c r="O3756" t="s">
        <v>10409</v>
      </c>
      <c r="R3756">
        <v>1</v>
      </c>
      <c r="T3756" s="5"/>
      <c r="W3756">
        <v>270</v>
      </c>
      <c r="X3756" t="s">
        <v>8412</v>
      </c>
      <c r="Y3756" t="str">
        <f>VLOOKUP(C3756,'[1]DBS_KPY Sorumlular'!A:C,2,FALSE)</f>
        <v>Tayfun VİÇE</v>
      </c>
      <c r="Z3756" t="str">
        <f>VLOOKUP(C3756,'[1]DBS_KPY Sorumlular'!A:C,3,FALSE)</f>
        <v>Mehmet Ali YAVUZ</v>
      </c>
      <c r="AA3756" t="str">
        <f>VLOOKUP(K3756,[1]!Tablo3[#Data],2,FALSE)</f>
        <v>Tayfun VİÇE</v>
      </c>
    </row>
    <row r="3757" spans="1:27" x14ac:dyDescent="0.25">
      <c r="A3757">
        <v>5110</v>
      </c>
      <c r="B3757" t="s">
        <v>27</v>
      </c>
      <c r="C3757" t="s">
        <v>402</v>
      </c>
      <c r="D3757" t="s">
        <v>403</v>
      </c>
      <c r="G3757" t="s">
        <v>384</v>
      </c>
      <c r="H3757" t="s">
        <v>10410</v>
      </c>
      <c r="I3757" s="4">
        <v>45443.875</v>
      </c>
      <c r="K3757" t="s">
        <v>914</v>
      </c>
      <c r="L3757" s="5"/>
      <c r="M3757" s="5" t="s">
        <v>8423</v>
      </c>
      <c r="N3757" t="s">
        <v>82</v>
      </c>
      <c r="O3757" t="s">
        <v>10411</v>
      </c>
      <c r="R3757">
        <v>1</v>
      </c>
      <c r="T3757" s="5"/>
      <c r="W3757">
        <v>270</v>
      </c>
      <c r="X3757" t="s">
        <v>8412</v>
      </c>
      <c r="Y3757" t="str">
        <f>VLOOKUP(C3757,'[1]DBS_KPY Sorumlular'!A:C,2,FALSE)</f>
        <v>Tayfun VİÇE</v>
      </c>
      <c r="Z3757" t="str">
        <f>VLOOKUP(C3757,'[1]DBS_KPY Sorumlular'!A:C,3,FALSE)</f>
        <v>Mehmet Ali YAVUZ</v>
      </c>
      <c r="AA3757" t="str">
        <f>VLOOKUP(K3757,[1]!Tablo3[#Data],2,FALSE)</f>
        <v>Tayfun VİÇE</v>
      </c>
    </row>
    <row r="3758" spans="1:27" x14ac:dyDescent="0.25">
      <c r="A3758">
        <v>5111</v>
      </c>
      <c r="B3758" t="s">
        <v>27</v>
      </c>
      <c r="C3758" t="s">
        <v>402</v>
      </c>
      <c r="D3758" t="s">
        <v>403</v>
      </c>
      <c r="G3758" t="s">
        <v>384</v>
      </c>
      <c r="H3758" t="s">
        <v>10412</v>
      </c>
      <c r="I3758" s="4">
        <v>45443.875</v>
      </c>
      <c r="K3758" t="s">
        <v>914</v>
      </c>
      <c r="L3758" s="5"/>
      <c r="M3758" s="5" t="s">
        <v>8423</v>
      </c>
      <c r="N3758" t="s">
        <v>82</v>
      </c>
      <c r="O3758" t="s">
        <v>10413</v>
      </c>
      <c r="R3758">
        <v>1</v>
      </c>
      <c r="T3758" s="5"/>
      <c r="W3758">
        <v>270</v>
      </c>
      <c r="X3758" t="s">
        <v>8412</v>
      </c>
      <c r="Y3758" t="str">
        <f>VLOOKUP(C3758,'[1]DBS_KPY Sorumlular'!A:C,2,FALSE)</f>
        <v>Tayfun VİÇE</v>
      </c>
      <c r="Z3758" t="str">
        <f>VLOOKUP(C3758,'[1]DBS_KPY Sorumlular'!A:C,3,FALSE)</f>
        <v>Mehmet Ali YAVUZ</v>
      </c>
      <c r="AA3758" t="str">
        <f>VLOOKUP(K3758,[1]!Tablo3[#Data],2,FALSE)</f>
        <v>Tayfun VİÇE</v>
      </c>
    </row>
    <row r="3759" spans="1:27" x14ac:dyDescent="0.25">
      <c r="A3759">
        <v>5112</v>
      </c>
      <c r="B3759" t="s">
        <v>27</v>
      </c>
      <c r="C3759" t="s">
        <v>402</v>
      </c>
      <c r="D3759" t="s">
        <v>403</v>
      </c>
      <c r="G3759" t="s">
        <v>384</v>
      </c>
      <c r="H3759" t="s">
        <v>10414</v>
      </c>
      <c r="I3759" s="4">
        <v>45443.875</v>
      </c>
      <c r="K3759" t="s">
        <v>914</v>
      </c>
      <c r="L3759" s="5"/>
      <c r="M3759" s="5" t="s">
        <v>8423</v>
      </c>
      <c r="N3759" t="s">
        <v>82</v>
      </c>
      <c r="O3759" t="s">
        <v>10415</v>
      </c>
      <c r="R3759">
        <v>1</v>
      </c>
      <c r="T3759" s="5"/>
      <c r="W3759">
        <v>270</v>
      </c>
      <c r="X3759" t="s">
        <v>8412</v>
      </c>
      <c r="Y3759" t="str">
        <f>VLOOKUP(C3759,'[1]DBS_KPY Sorumlular'!A:C,2,FALSE)</f>
        <v>Tayfun VİÇE</v>
      </c>
      <c r="Z3759" t="str">
        <f>VLOOKUP(C3759,'[1]DBS_KPY Sorumlular'!A:C,3,FALSE)</f>
        <v>Mehmet Ali YAVUZ</v>
      </c>
      <c r="AA3759" t="str">
        <f>VLOOKUP(K3759,[1]!Tablo3[#Data],2,FALSE)</f>
        <v>Tayfun VİÇE</v>
      </c>
    </row>
    <row r="3760" spans="1:27" x14ac:dyDescent="0.25">
      <c r="A3760">
        <v>5113</v>
      </c>
      <c r="B3760" t="s">
        <v>27</v>
      </c>
      <c r="C3760" t="s">
        <v>402</v>
      </c>
      <c r="D3760" t="s">
        <v>403</v>
      </c>
      <c r="G3760" t="s">
        <v>384</v>
      </c>
      <c r="H3760" t="s">
        <v>10416</v>
      </c>
      <c r="I3760" s="4">
        <v>45443.875</v>
      </c>
      <c r="K3760" t="s">
        <v>914</v>
      </c>
      <c r="L3760" s="5"/>
      <c r="M3760" s="5" t="s">
        <v>8423</v>
      </c>
      <c r="N3760" t="s">
        <v>82</v>
      </c>
      <c r="O3760" t="s">
        <v>10417</v>
      </c>
      <c r="R3760">
        <v>1</v>
      </c>
      <c r="T3760" s="5"/>
      <c r="W3760">
        <v>270</v>
      </c>
      <c r="X3760" t="s">
        <v>8412</v>
      </c>
      <c r="Y3760" t="str">
        <f>VLOOKUP(C3760,'[1]DBS_KPY Sorumlular'!A:C,2,FALSE)</f>
        <v>Tayfun VİÇE</v>
      </c>
      <c r="Z3760" t="str">
        <f>VLOOKUP(C3760,'[1]DBS_KPY Sorumlular'!A:C,3,FALSE)</f>
        <v>Mehmet Ali YAVUZ</v>
      </c>
      <c r="AA3760" t="str">
        <f>VLOOKUP(K3760,[1]!Tablo3[#Data],2,FALSE)</f>
        <v>Tayfun VİÇE</v>
      </c>
    </row>
    <row r="3761" spans="1:27" x14ac:dyDescent="0.25">
      <c r="A3761">
        <v>5114</v>
      </c>
      <c r="B3761" t="s">
        <v>27</v>
      </c>
      <c r="C3761" t="s">
        <v>402</v>
      </c>
      <c r="D3761" t="s">
        <v>403</v>
      </c>
      <c r="G3761" t="s">
        <v>384</v>
      </c>
      <c r="H3761" t="s">
        <v>10418</v>
      </c>
      <c r="I3761" s="4">
        <v>45443.875</v>
      </c>
      <c r="K3761" t="s">
        <v>914</v>
      </c>
      <c r="L3761" s="5"/>
      <c r="M3761" s="5" t="s">
        <v>8423</v>
      </c>
      <c r="N3761" t="s">
        <v>82</v>
      </c>
      <c r="O3761" t="s">
        <v>10419</v>
      </c>
      <c r="R3761">
        <v>1</v>
      </c>
      <c r="T3761" s="5"/>
      <c r="W3761">
        <v>270</v>
      </c>
      <c r="X3761" t="s">
        <v>8412</v>
      </c>
      <c r="Y3761" t="str">
        <f>VLOOKUP(C3761,'[1]DBS_KPY Sorumlular'!A:C,2,FALSE)</f>
        <v>Tayfun VİÇE</v>
      </c>
      <c r="Z3761" t="str">
        <f>VLOOKUP(C3761,'[1]DBS_KPY Sorumlular'!A:C,3,FALSE)</f>
        <v>Mehmet Ali YAVUZ</v>
      </c>
      <c r="AA3761" t="str">
        <f>VLOOKUP(K3761,[1]!Tablo3[#Data],2,FALSE)</f>
        <v>Tayfun VİÇE</v>
      </c>
    </row>
    <row r="3762" spans="1:27" x14ac:dyDescent="0.25">
      <c r="A3762">
        <v>5115</v>
      </c>
      <c r="B3762" t="s">
        <v>27</v>
      </c>
      <c r="C3762" t="s">
        <v>402</v>
      </c>
      <c r="D3762" t="s">
        <v>403</v>
      </c>
      <c r="G3762" t="s">
        <v>384</v>
      </c>
      <c r="H3762" t="s">
        <v>10420</v>
      </c>
      <c r="I3762" s="4">
        <v>45443.875</v>
      </c>
      <c r="K3762" t="s">
        <v>678</v>
      </c>
      <c r="L3762" s="5"/>
      <c r="M3762" s="5" t="s">
        <v>8423</v>
      </c>
      <c r="N3762" t="s">
        <v>82</v>
      </c>
      <c r="O3762" t="s">
        <v>10421</v>
      </c>
      <c r="R3762">
        <v>1</v>
      </c>
      <c r="T3762" s="5"/>
      <c r="W3762">
        <v>270</v>
      </c>
      <c r="X3762" t="s">
        <v>8412</v>
      </c>
      <c r="Y3762" t="str">
        <f>VLOOKUP(C3762,'[1]DBS_KPY Sorumlular'!A:C,2,FALSE)</f>
        <v>Tayfun VİÇE</v>
      </c>
      <c r="Z3762" t="str">
        <f>VLOOKUP(C3762,'[1]DBS_KPY Sorumlular'!A:C,3,FALSE)</f>
        <v>Mehmet Ali YAVUZ</v>
      </c>
      <c r="AA3762" t="str">
        <f>VLOOKUP(K3762,[1]!Tablo3[#Data],2,FALSE)</f>
        <v>Kadir TOPÇU</v>
      </c>
    </row>
    <row r="3763" spans="1:27" x14ac:dyDescent="0.25">
      <c r="A3763">
        <v>5116</v>
      </c>
      <c r="B3763" t="s">
        <v>27</v>
      </c>
      <c r="C3763" t="s">
        <v>402</v>
      </c>
      <c r="D3763" t="s">
        <v>403</v>
      </c>
      <c r="G3763" t="s">
        <v>384</v>
      </c>
      <c r="H3763" t="s">
        <v>10422</v>
      </c>
      <c r="I3763" s="4">
        <v>45443.875</v>
      </c>
      <c r="K3763" t="s">
        <v>678</v>
      </c>
      <c r="L3763" s="5"/>
      <c r="M3763" s="5" t="s">
        <v>8423</v>
      </c>
      <c r="N3763" t="s">
        <v>82</v>
      </c>
      <c r="O3763" t="s">
        <v>10423</v>
      </c>
      <c r="R3763">
        <v>1</v>
      </c>
      <c r="T3763" s="5"/>
      <c r="W3763">
        <v>270</v>
      </c>
      <c r="X3763" t="s">
        <v>8412</v>
      </c>
      <c r="Y3763" t="str">
        <f>VLOOKUP(C3763,'[1]DBS_KPY Sorumlular'!A:C,2,FALSE)</f>
        <v>Tayfun VİÇE</v>
      </c>
      <c r="Z3763" t="str">
        <f>VLOOKUP(C3763,'[1]DBS_KPY Sorumlular'!A:C,3,FALSE)</f>
        <v>Mehmet Ali YAVUZ</v>
      </c>
      <c r="AA3763" t="str">
        <f>VLOOKUP(K3763,[1]!Tablo3[#Data],2,FALSE)</f>
        <v>Kadir TOPÇU</v>
      </c>
    </row>
    <row r="3764" spans="1:27" x14ac:dyDescent="0.25">
      <c r="A3764">
        <v>5117</v>
      </c>
      <c r="B3764" t="s">
        <v>27</v>
      </c>
      <c r="C3764" t="s">
        <v>402</v>
      </c>
      <c r="D3764" t="s">
        <v>403</v>
      </c>
      <c r="G3764" t="s">
        <v>384</v>
      </c>
      <c r="H3764" t="s">
        <v>10424</v>
      </c>
      <c r="I3764" s="4">
        <v>44347.875</v>
      </c>
      <c r="K3764" t="s">
        <v>1029</v>
      </c>
      <c r="L3764" s="5"/>
      <c r="M3764" s="5"/>
      <c r="N3764" t="s">
        <v>82</v>
      </c>
      <c r="O3764" t="s">
        <v>10425</v>
      </c>
      <c r="R3764">
        <v>1</v>
      </c>
      <c r="T3764" s="5"/>
      <c r="W3764">
        <v>32</v>
      </c>
      <c r="X3764" t="s">
        <v>4412</v>
      </c>
      <c r="Y3764" t="str">
        <f>VLOOKUP(C3764,'[1]DBS_KPY Sorumlular'!A:C,2,FALSE)</f>
        <v>Tayfun VİÇE</v>
      </c>
      <c r="Z3764" t="str">
        <f>VLOOKUP(C3764,'[1]DBS_KPY Sorumlular'!A:C,3,FALSE)</f>
        <v>Mehmet Ali YAVUZ</v>
      </c>
      <c r="AA3764" t="str">
        <f>VLOOKUP(K3764,[1]!Tablo3[#Data],2,FALSE)</f>
        <v>Tayfun VİÇE</v>
      </c>
    </row>
    <row r="3765" spans="1:27" x14ac:dyDescent="0.25">
      <c r="A3765">
        <v>5118</v>
      </c>
      <c r="B3765" t="s">
        <v>27</v>
      </c>
      <c r="C3765" t="s">
        <v>402</v>
      </c>
      <c r="D3765" t="s">
        <v>403</v>
      </c>
      <c r="G3765" t="s">
        <v>384</v>
      </c>
      <c r="H3765" t="s">
        <v>10426</v>
      </c>
      <c r="I3765" s="4">
        <v>45077.875</v>
      </c>
      <c r="K3765" t="s">
        <v>1029</v>
      </c>
      <c r="L3765" s="5"/>
      <c r="M3765" s="5"/>
      <c r="N3765" t="s">
        <v>82</v>
      </c>
      <c r="O3765" t="s">
        <v>10427</v>
      </c>
      <c r="R3765">
        <v>1</v>
      </c>
      <c r="T3765" s="5"/>
      <c r="W3765">
        <v>66</v>
      </c>
      <c r="X3765" t="s">
        <v>8482</v>
      </c>
      <c r="Y3765" t="str">
        <f>VLOOKUP(C3765,'[1]DBS_KPY Sorumlular'!A:C,2,FALSE)</f>
        <v>Tayfun VİÇE</v>
      </c>
      <c r="Z3765" t="str">
        <f>VLOOKUP(C3765,'[1]DBS_KPY Sorumlular'!A:C,3,FALSE)</f>
        <v>Mehmet Ali YAVUZ</v>
      </c>
      <c r="AA3765" t="str">
        <f>VLOOKUP(K3765,[1]!Tablo3[#Data],2,FALSE)</f>
        <v>Tayfun VİÇE</v>
      </c>
    </row>
    <row r="3766" spans="1:27" x14ac:dyDescent="0.25">
      <c r="A3766">
        <v>5119</v>
      </c>
      <c r="B3766" t="s">
        <v>27</v>
      </c>
      <c r="C3766" t="s">
        <v>402</v>
      </c>
      <c r="D3766" t="s">
        <v>403</v>
      </c>
      <c r="G3766" t="s">
        <v>384</v>
      </c>
      <c r="H3766" t="s">
        <v>10428</v>
      </c>
      <c r="I3766" s="4">
        <v>45077.875</v>
      </c>
      <c r="K3766" t="s">
        <v>1029</v>
      </c>
      <c r="L3766" s="5"/>
      <c r="M3766" s="5"/>
      <c r="N3766" t="s">
        <v>82</v>
      </c>
      <c r="O3766" t="s">
        <v>10429</v>
      </c>
      <c r="R3766">
        <v>1</v>
      </c>
      <c r="T3766" s="5"/>
      <c r="W3766">
        <v>32</v>
      </c>
      <c r="X3766" t="s">
        <v>4412</v>
      </c>
      <c r="Y3766" t="str">
        <f>VLOOKUP(C3766,'[1]DBS_KPY Sorumlular'!A:C,2,FALSE)</f>
        <v>Tayfun VİÇE</v>
      </c>
      <c r="Z3766" t="str">
        <f>VLOOKUP(C3766,'[1]DBS_KPY Sorumlular'!A:C,3,FALSE)</f>
        <v>Mehmet Ali YAVUZ</v>
      </c>
      <c r="AA3766" t="str">
        <f>VLOOKUP(K3766,[1]!Tablo3[#Data],2,FALSE)</f>
        <v>Tayfun VİÇE</v>
      </c>
    </row>
    <row r="3767" spans="1:27" x14ac:dyDescent="0.25">
      <c r="A3767">
        <v>5120</v>
      </c>
      <c r="B3767" t="s">
        <v>27</v>
      </c>
      <c r="C3767" t="s">
        <v>402</v>
      </c>
      <c r="D3767" t="s">
        <v>403</v>
      </c>
      <c r="G3767" t="s">
        <v>384</v>
      </c>
      <c r="H3767" t="s">
        <v>10430</v>
      </c>
      <c r="I3767" s="4">
        <v>45443.875</v>
      </c>
      <c r="K3767" t="s">
        <v>678</v>
      </c>
      <c r="L3767" s="5"/>
      <c r="M3767" s="5" t="s">
        <v>8423</v>
      </c>
      <c r="N3767" t="s">
        <v>82</v>
      </c>
      <c r="O3767" t="s">
        <v>10431</v>
      </c>
      <c r="R3767">
        <v>1</v>
      </c>
      <c r="T3767" s="5"/>
      <c r="W3767">
        <v>270</v>
      </c>
      <c r="X3767" t="s">
        <v>8412</v>
      </c>
      <c r="Y3767" t="str">
        <f>VLOOKUP(C3767,'[1]DBS_KPY Sorumlular'!A:C,2,FALSE)</f>
        <v>Tayfun VİÇE</v>
      </c>
      <c r="Z3767" t="str">
        <f>VLOOKUP(C3767,'[1]DBS_KPY Sorumlular'!A:C,3,FALSE)</f>
        <v>Mehmet Ali YAVUZ</v>
      </c>
      <c r="AA3767" t="str">
        <f>VLOOKUP(K3767,[1]!Tablo3[#Data],2,FALSE)</f>
        <v>Kadir TOPÇU</v>
      </c>
    </row>
    <row r="3768" spans="1:27" x14ac:dyDescent="0.25">
      <c r="A3768">
        <v>5122</v>
      </c>
      <c r="B3768" t="s">
        <v>27</v>
      </c>
      <c r="C3768" t="s">
        <v>402</v>
      </c>
      <c r="D3768" t="s">
        <v>403</v>
      </c>
      <c r="G3768" t="s">
        <v>384</v>
      </c>
      <c r="H3768" t="s">
        <v>10432</v>
      </c>
      <c r="I3768" s="4">
        <v>45443.875</v>
      </c>
      <c r="K3768" t="s">
        <v>678</v>
      </c>
      <c r="L3768" s="5"/>
      <c r="M3768" s="5" t="s">
        <v>8423</v>
      </c>
      <c r="N3768" t="s">
        <v>82</v>
      </c>
      <c r="O3768" t="s">
        <v>10433</v>
      </c>
      <c r="R3768">
        <v>1</v>
      </c>
      <c r="T3768" s="5"/>
      <c r="W3768">
        <v>270</v>
      </c>
      <c r="X3768" t="s">
        <v>8412</v>
      </c>
      <c r="Y3768" t="str">
        <f>VLOOKUP(C3768,'[1]DBS_KPY Sorumlular'!A:C,2,FALSE)</f>
        <v>Tayfun VİÇE</v>
      </c>
      <c r="Z3768" t="str">
        <f>VLOOKUP(C3768,'[1]DBS_KPY Sorumlular'!A:C,3,FALSE)</f>
        <v>Mehmet Ali YAVUZ</v>
      </c>
      <c r="AA3768" t="str">
        <f>VLOOKUP(K3768,[1]!Tablo3[#Data],2,FALSE)</f>
        <v>Kadir TOPÇU</v>
      </c>
    </row>
    <row r="3769" spans="1:27" x14ac:dyDescent="0.25">
      <c r="A3769">
        <v>5123</v>
      </c>
      <c r="B3769" t="s">
        <v>27</v>
      </c>
      <c r="C3769" t="s">
        <v>402</v>
      </c>
      <c r="D3769" t="s">
        <v>403</v>
      </c>
      <c r="G3769" t="s">
        <v>384</v>
      </c>
      <c r="H3769" t="s">
        <v>10434</v>
      </c>
      <c r="I3769" s="4">
        <v>45443.875</v>
      </c>
      <c r="K3769" t="s">
        <v>1029</v>
      </c>
      <c r="L3769" s="5"/>
      <c r="M3769" s="5" t="s">
        <v>8423</v>
      </c>
      <c r="N3769" t="s">
        <v>82</v>
      </c>
      <c r="O3769" t="s">
        <v>10435</v>
      </c>
      <c r="R3769">
        <v>1</v>
      </c>
      <c r="T3769" s="5"/>
      <c r="W3769">
        <v>270</v>
      </c>
      <c r="X3769" t="s">
        <v>8412</v>
      </c>
      <c r="Y3769" t="str">
        <f>VLOOKUP(C3769,'[1]DBS_KPY Sorumlular'!A:C,2,FALSE)</f>
        <v>Tayfun VİÇE</v>
      </c>
      <c r="Z3769" t="str">
        <f>VLOOKUP(C3769,'[1]DBS_KPY Sorumlular'!A:C,3,FALSE)</f>
        <v>Mehmet Ali YAVUZ</v>
      </c>
      <c r="AA3769" t="str">
        <f>VLOOKUP(K3769,[1]!Tablo3[#Data],2,FALSE)</f>
        <v>Tayfun VİÇE</v>
      </c>
    </row>
    <row r="3770" spans="1:27" x14ac:dyDescent="0.25">
      <c r="A3770">
        <v>5124</v>
      </c>
      <c r="B3770" t="s">
        <v>27</v>
      </c>
      <c r="C3770" t="s">
        <v>402</v>
      </c>
      <c r="D3770" t="s">
        <v>403</v>
      </c>
      <c r="G3770" t="s">
        <v>384</v>
      </c>
      <c r="H3770" t="s">
        <v>10436</v>
      </c>
      <c r="I3770" s="4">
        <v>45443.875</v>
      </c>
      <c r="K3770" t="s">
        <v>1029</v>
      </c>
      <c r="L3770" s="5"/>
      <c r="M3770" s="5" t="s">
        <v>8423</v>
      </c>
      <c r="N3770" t="s">
        <v>82</v>
      </c>
      <c r="O3770" t="s">
        <v>10437</v>
      </c>
      <c r="R3770">
        <v>1</v>
      </c>
      <c r="T3770" s="5"/>
      <c r="W3770">
        <v>270</v>
      </c>
      <c r="X3770" t="s">
        <v>8412</v>
      </c>
      <c r="Y3770" t="str">
        <f>VLOOKUP(C3770,'[1]DBS_KPY Sorumlular'!A:C,2,FALSE)</f>
        <v>Tayfun VİÇE</v>
      </c>
      <c r="Z3770" t="str">
        <f>VLOOKUP(C3770,'[1]DBS_KPY Sorumlular'!A:C,3,FALSE)</f>
        <v>Mehmet Ali YAVUZ</v>
      </c>
      <c r="AA3770" t="str">
        <f>VLOOKUP(K3770,[1]!Tablo3[#Data],2,FALSE)</f>
        <v>Tayfun VİÇE</v>
      </c>
    </row>
    <row r="3771" spans="1:27" x14ac:dyDescent="0.25">
      <c r="A3771">
        <v>5125</v>
      </c>
      <c r="B3771" t="s">
        <v>27</v>
      </c>
      <c r="C3771" t="s">
        <v>402</v>
      </c>
      <c r="D3771" t="s">
        <v>403</v>
      </c>
      <c r="G3771" t="s">
        <v>384</v>
      </c>
      <c r="H3771" t="s">
        <v>10438</v>
      </c>
      <c r="I3771" s="4">
        <v>45443.875</v>
      </c>
      <c r="K3771" t="s">
        <v>1029</v>
      </c>
      <c r="L3771" s="5"/>
      <c r="M3771" s="5" t="s">
        <v>8423</v>
      </c>
      <c r="N3771" t="s">
        <v>82</v>
      </c>
      <c r="O3771" t="s">
        <v>10439</v>
      </c>
      <c r="R3771">
        <v>1</v>
      </c>
      <c r="T3771" s="5"/>
      <c r="W3771">
        <v>270</v>
      </c>
      <c r="X3771" t="s">
        <v>8412</v>
      </c>
      <c r="Y3771" t="str">
        <f>VLOOKUP(C3771,'[1]DBS_KPY Sorumlular'!A:C,2,FALSE)</f>
        <v>Tayfun VİÇE</v>
      </c>
      <c r="Z3771" t="str">
        <f>VLOOKUP(C3771,'[1]DBS_KPY Sorumlular'!A:C,3,FALSE)</f>
        <v>Mehmet Ali YAVUZ</v>
      </c>
      <c r="AA3771" t="str">
        <f>VLOOKUP(K3771,[1]!Tablo3[#Data],2,FALSE)</f>
        <v>Tayfun VİÇE</v>
      </c>
    </row>
    <row r="3772" spans="1:27" x14ac:dyDescent="0.25">
      <c r="A3772">
        <v>5126</v>
      </c>
      <c r="B3772" t="s">
        <v>27</v>
      </c>
      <c r="C3772" t="s">
        <v>402</v>
      </c>
      <c r="D3772" t="s">
        <v>403</v>
      </c>
      <c r="G3772" t="s">
        <v>384</v>
      </c>
      <c r="H3772" t="s">
        <v>10440</v>
      </c>
      <c r="I3772" s="4">
        <v>45443.875</v>
      </c>
      <c r="K3772" t="s">
        <v>1029</v>
      </c>
      <c r="L3772" s="5"/>
      <c r="M3772" s="5" t="s">
        <v>8423</v>
      </c>
      <c r="N3772" t="s">
        <v>82</v>
      </c>
      <c r="O3772" t="s">
        <v>10441</v>
      </c>
      <c r="R3772">
        <v>1</v>
      </c>
      <c r="T3772" s="5"/>
      <c r="W3772">
        <v>270</v>
      </c>
      <c r="X3772" t="s">
        <v>8412</v>
      </c>
      <c r="Y3772" t="str">
        <f>VLOOKUP(C3772,'[1]DBS_KPY Sorumlular'!A:C,2,FALSE)</f>
        <v>Tayfun VİÇE</v>
      </c>
      <c r="Z3772" t="str">
        <f>VLOOKUP(C3772,'[1]DBS_KPY Sorumlular'!A:C,3,FALSE)</f>
        <v>Mehmet Ali YAVUZ</v>
      </c>
      <c r="AA3772" t="str">
        <f>VLOOKUP(K3772,[1]!Tablo3[#Data],2,FALSE)</f>
        <v>Tayfun VİÇE</v>
      </c>
    </row>
    <row r="3773" spans="1:27" x14ac:dyDescent="0.25">
      <c r="A3773">
        <v>5127</v>
      </c>
      <c r="B3773" t="s">
        <v>27</v>
      </c>
      <c r="C3773" t="s">
        <v>402</v>
      </c>
      <c r="D3773" t="s">
        <v>403</v>
      </c>
      <c r="G3773" t="s">
        <v>384</v>
      </c>
      <c r="H3773" t="s">
        <v>10442</v>
      </c>
      <c r="I3773" s="4">
        <v>45443.875</v>
      </c>
      <c r="K3773" t="s">
        <v>1029</v>
      </c>
      <c r="L3773" s="5"/>
      <c r="M3773" s="5" t="s">
        <v>8423</v>
      </c>
      <c r="N3773" t="s">
        <v>82</v>
      </c>
      <c r="O3773" t="s">
        <v>10443</v>
      </c>
      <c r="R3773">
        <v>1</v>
      </c>
      <c r="T3773" s="5"/>
      <c r="W3773">
        <v>270</v>
      </c>
      <c r="X3773" t="s">
        <v>8412</v>
      </c>
      <c r="Y3773" t="str">
        <f>VLOOKUP(C3773,'[1]DBS_KPY Sorumlular'!A:C,2,FALSE)</f>
        <v>Tayfun VİÇE</v>
      </c>
      <c r="Z3773" t="str">
        <f>VLOOKUP(C3773,'[1]DBS_KPY Sorumlular'!A:C,3,FALSE)</f>
        <v>Mehmet Ali YAVUZ</v>
      </c>
      <c r="AA3773" t="str">
        <f>VLOOKUP(K3773,[1]!Tablo3[#Data],2,FALSE)</f>
        <v>Tayfun VİÇE</v>
      </c>
    </row>
    <row r="3774" spans="1:27" x14ac:dyDescent="0.25">
      <c r="A3774">
        <v>5128</v>
      </c>
      <c r="B3774" t="s">
        <v>27</v>
      </c>
      <c r="C3774" t="s">
        <v>402</v>
      </c>
      <c r="D3774" t="s">
        <v>403</v>
      </c>
      <c r="G3774" t="s">
        <v>384</v>
      </c>
      <c r="H3774" t="s">
        <v>10444</v>
      </c>
      <c r="I3774" s="4">
        <v>45443.875</v>
      </c>
      <c r="K3774" t="s">
        <v>280</v>
      </c>
      <c r="L3774" s="5"/>
      <c r="M3774" s="5" t="s">
        <v>8423</v>
      </c>
      <c r="N3774" t="s">
        <v>82</v>
      </c>
      <c r="O3774" t="s">
        <v>10445</v>
      </c>
      <c r="R3774">
        <v>1</v>
      </c>
      <c r="T3774" s="5"/>
      <c r="W3774">
        <v>270</v>
      </c>
      <c r="X3774" t="s">
        <v>8412</v>
      </c>
      <c r="Y3774" t="str">
        <f>VLOOKUP(C3774,'[1]DBS_KPY Sorumlular'!A:C,2,FALSE)</f>
        <v>Tayfun VİÇE</v>
      </c>
      <c r="Z3774" t="str">
        <f>VLOOKUP(C3774,'[1]DBS_KPY Sorumlular'!A:C,3,FALSE)</f>
        <v>Mehmet Ali YAVUZ</v>
      </c>
      <c r="AA3774" t="str">
        <f>VLOOKUP(K3774,[1]!Tablo3[#Data],2,FALSE)</f>
        <v>Erkan AKDOĞAN</v>
      </c>
    </row>
    <row r="3775" spans="1:27" x14ac:dyDescent="0.25">
      <c r="A3775">
        <v>5129</v>
      </c>
      <c r="B3775" t="s">
        <v>27</v>
      </c>
      <c r="C3775" t="s">
        <v>402</v>
      </c>
      <c r="D3775" t="s">
        <v>403</v>
      </c>
      <c r="G3775" t="s">
        <v>384</v>
      </c>
      <c r="H3775" t="s">
        <v>10446</v>
      </c>
      <c r="I3775" s="4">
        <v>45443.875</v>
      </c>
      <c r="K3775" t="s">
        <v>280</v>
      </c>
      <c r="L3775" s="5"/>
      <c r="M3775" s="5" t="s">
        <v>8423</v>
      </c>
      <c r="N3775" t="s">
        <v>82</v>
      </c>
      <c r="O3775" t="s">
        <v>10447</v>
      </c>
      <c r="R3775">
        <v>1</v>
      </c>
      <c r="T3775" s="5"/>
      <c r="W3775">
        <v>270</v>
      </c>
      <c r="X3775" t="s">
        <v>8412</v>
      </c>
      <c r="Y3775" t="str">
        <f>VLOOKUP(C3775,'[1]DBS_KPY Sorumlular'!A:C,2,FALSE)</f>
        <v>Tayfun VİÇE</v>
      </c>
      <c r="Z3775" t="str">
        <f>VLOOKUP(C3775,'[1]DBS_KPY Sorumlular'!A:C,3,FALSE)</f>
        <v>Mehmet Ali YAVUZ</v>
      </c>
      <c r="AA3775" t="str">
        <f>VLOOKUP(K3775,[1]!Tablo3[#Data],2,FALSE)</f>
        <v>Erkan AKDOĞAN</v>
      </c>
    </row>
    <row r="3776" spans="1:27" x14ac:dyDescent="0.25">
      <c r="A3776">
        <v>5130</v>
      </c>
      <c r="B3776" t="s">
        <v>27</v>
      </c>
      <c r="C3776" t="s">
        <v>402</v>
      </c>
      <c r="D3776" t="s">
        <v>403</v>
      </c>
      <c r="G3776" t="s">
        <v>384</v>
      </c>
      <c r="H3776" t="s">
        <v>10448</v>
      </c>
      <c r="I3776" s="4">
        <v>45443.875</v>
      </c>
      <c r="K3776" t="s">
        <v>280</v>
      </c>
      <c r="L3776" s="5"/>
      <c r="M3776" s="5" t="s">
        <v>8423</v>
      </c>
      <c r="N3776" t="s">
        <v>82</v>
      </c>
      <c r="O3776" t="s">
        <v>10449</v>
      </c>
      <c r="R3776">
        <v>1</v>
      </c>
      <c r="T3776" s="5"/>
      <c r="W3776">
        <v>270</v>
      </c>
      <c r="X3776" t="s">
        <v>8412</v>
      </c>
      <c r="Y3776" t="str">
        <f>VLOOKUP(C3776,'[1]DBS_KPY Sorumlular'!A:C,2,FALSE)</f>
        <v>Tayfun VİÇE</v>
      </c>
      <c r="Z3776" t="str">
        <f>VLOOKUP(C3776,'[1]DBS_KPY Sorumlular'!A:C,3,FALSE)</f>
        <v>Mehmet Ali YAVUZ</v>
      </c>
      <c r="AA3776" t="str">
        <f>VLOOKUP(K3776,[1]!Tablo3[#Data],2,FALSE)</f>
        <v>Erkan AKDOĞAN</v>
      </c>
    </row>
    <row r="3777" spans="1:27" x14ac:dyDescent="0.25">
      <c r="A3777">
        <v>5131</v>
      </c>
      <c r="B3777" t="s">
        <v>27</v>
      </c>
      <c r="C3777" t="s">
        <v>402</v>
      </c>
      <c r="D3777" t="s">
        <v>403</v>
      </c>
      <c r="G3777" t="s">
        <v>384</v>
      </c>
      <c r="H3777" t="s">
        <v>10450</v>
      </c>
      <c r="I3777" s="4">
        <v>45443.875</v>
      </c>
      <c r="K3777" t="s">
        <v>280</v>
      </c>
      <c r="L3777" s="5"/>
      <c r="M3777" s="5" t="s">
        <v>8423</v>
      </c>
      <c r="N3777" t="s">
        <v>82</v>
      </c>
      <c r="O3777" t="s">
        <v>10451</v>
      </c>
      <c r="R3777">
        <v>1</v>
      </c>
      <c r="T3777" s="5"/>
      <c r="W3777">
        <v>270</v>
      </c>
      <c r="X3777" t="s">
        <v>8412</v>
      </c>
      <c r="Y3777" t="str">
        <f>VLOOKUP(C3777,'[1]DBS_KPY Sorumlular'!A:C,2,FALSE)</f>
        <v>Tayfun VİÇE</v>
      </c>
      <c r="Z3777" t="str">
        <f>VLOOKUP(C3777,'[1]DBS_KPY Sorumlular'!A:C,3,FALSE)</f>
        <v>Mehmet Ali YAVUZ</v>
      </c>
      <c r="AA3777" t="str">
        <f>VLOOKUP(K3777,[1]!Tablo3[#Data],2,FALSE)</f>
        <v>Erkan AKDOĞAN</v>
      </c>
    </row>
    <row r="3778" spans="1:27" x14ac:dyDescent="0.25">
      <c r="A3778">
        <v>5132</v>
      </c>
      <c r="B3778" t="s">
        <v>27</v>
      </c>
      <c r="C3778" t="s">
        <v>402</v>
      </c>
      <c r="D3778" t="s">
        <v>403</v>
      </c>
      <c r="G3778" t="s">
        <v>384</v>
      </c>
      <c r="H3778" t="s">
        <v>10452</v>
      </c>
      <c r="I3778" s="4">
        <v>45443.875</v>
      </c>
      <c r="K3778" t="s">
        <v>280</v>
      </c>
      <c r="L3778" s="5"/>
      <c r="M3778" s="5" t="s">
        <v>8423</v>
      </c>
      <c r="N3778" t="s">
        <v>82</v>
      </c>
      <c r="O3778" t="s">
        <v>10453</v>
      </c>
      <c r="R3778">
        <v>1</v>
      </c>
      <c r="T3778" s="5"/>
      <c r="W3778">
        <v>270</v>
      </c>
      <c r="X3778" t="s">
        <v>8412</v>
      </c>
      <c r="Y3778" t="str">
        <f>VLOOKUP(C3778,'[1]DBS_KPY Sorumlular'!A:C,2,FALSE)</f>
        <v>Tayfun VİÇE</v>
      </c>
      <c r="Z3778" t="str">
        <f>VLOOKUP(C3778,'[1]DBS_KPY Sorumlular'!A:C,3,FALSE)</f>
        <v>Mehmet Ali YAVUZ</v>
      </c>
      <c r="AA3778" t="str">
        <f>VLOOKUP(K3778,[1]!Tablo3[#Data],2,FALSE)</f>
        <v>Erkan AKDOĞAN</v>
      </c>
    </row>
    <row r="3779" spans="1:27" x14ac:dyDescent="0.25">
      <c r="A3779">
        <v>5133</v>
      </c>
      <c r="B3779" t="s">
        <v>27</v>
      </c>
      <c r="C3779" t="s">
        <v>402</v>
      </c>
      <c r="D3779" t="s">
        <v>403</v>
      </c>
      <c r="G3779" t="s">
        <v>384</v>
      </c>
      <c r="H3779" t="s">
        <v>10454</v>
      </c>
      <c r="I3779" s="4">
        <v>43982.875</v>
      </c>
      <c r="K3779" t="s">
        <v>280</v>
      </c>
      <c r="L3779" s="5"/>
      <c r="M3779" s="5"/>
      <c r="N3779" t="s">
        <v>82</v>
      </c>
      <c r="O3779" t="s">
        <v>10455</v>
      </c>
      <c r="R3779">
        <v>1</v>
      </c>
      <c r="T3779" s="5"/>
      <c r="W3779">
        <v>32</v>
      </c>
      <c r="X3779" t="s">
        <v>4412</v>
      </c>
      <c r="Y3779" t="str">
        <f>VLOOKUP(C3779,'[1]DBS_KPY Sorumlular'!A:C,2,FALSE)</f>
        <v>Tayfun VİÇE</v>
      </c>
      <c r="Z3779" t="str">
        <f>VLOOKUP(C3779,'[1]DBS_KPY Sorumlular'!A:C,3,FALSE)</f>
        <v>Mehmet Ali YAVUZ</v>
      </c>
      <c r="AA3779" t="str">
        <f>VLOOKUP(K3779,[1]!Tablo3[#Data],2,FALSE)</f>
        <v>Erkan AKDOĞAN</v>
      </c>
    </row>
    <row r="3780" spans="1:27" x14ac:dyDescent="0.25">
      <c r="A3780">
        <v>5134</v>
      </c>
      <c r="B3780" t="s">
        <v>27</v>
      </c>
      <c r="C3780" t="s">
        <v>402</v>
      </c>
      <c r="D3780" t="s">
        <v>403</v>
      </c>
      <c r="G3780" t="s">
        <v>384</v>
      </c>
      <c r="H3780" t="s">
        <v>10456</v>
      </c>
      <c r="I3780" s="4">
        <v>44712.875</v>
      </c>
      <c r="K3780" t="s">
        <v>1106</v>
      </c>
      <c r="L3780" s="5"/>
      <c r="M3780" s="5"/>
      <c r="N3780" t="s">
        <v>82</v>
      </c>
      <c r="O3780" t="s">
        <v>10457</v>
      </c>
      <c r="R3780">
        <v>1</v>
      </c>
      <c r="T3780" s="5"/>
      <c r="W3780">
        <v>8</v>
      </c>
      <c r="X3780" t="s">
        <v>8399</v>
      </c>
      <c r="Y3780" t="str">
        <f>VLOOKUP(C3780,'[1]DBS_KPY Sorumlular'!A:C,2,FALSE)</f>
        <v>Tayfun VİÇE</v>
      </c>
      <c r="Z3780" t="str">
        <f>VLOOKUP(C3780,'[1]DBS_KPY Sorumlular'!A:C,3,FALSE)</f>
        <v>Mehmet Ali YAVUZ</v>
      </c>
      <c r="AA3780" t="str">
        <f>VLOOKUP(K3780,[1]!Tablo3[#Data],2,FALSE)</f>
        <v>Tayfun VİÇE</v>
      </c>
    </row>
    <row r="3781" spans="1:27" x14ac:dyDescent="0.25">
      <c r="A3781">
        <v>5135</v>
      </c>
      <c r="B3781" t="s">
        <v>27</v>
      </c>
      <c r="C3781" t="s">
        <v>402</v>
      </c>
      <c r="D3781" t="s">
        <v>403</v>
      </c>
      <c r="G3781" t="s">
        <v>384</v>
      </c>
      <c r="H3781" t="s">
        <v>10458</v>
      </c>
      <c r="I3781" s="4">
        <v>45077.875</v>
      </c>
      <c r="K3781" t="s">
        <v>1471</v>
      </c>
      <c r="L3781" s="5"/>
      <c r="M3781" s="5"/>
      <c r="N3781" t="s">
        <v>82</v>
      </c>
      <c r="O3781" t="s">
        <v>10459</v>
      </c>
      <c r="R3781">
        <v>1</v>
      </c>
      <c r="T3781" s="5"/>
      <c r="W3781">
        <v>131</v>
      </c>
      <c r="X3781" t="s">
        <v>61</v>
      </c>
      <c r="Y3781" t="str">
        <f>VLOOKUP(C3781,'[1]DBS_KPY Sorumlular'!A:C,2,FALSE)</f>
        <v>Tayfun VİÇE</v>
      </c>
      <c r="Z3781" t="str">
        <f>VLOOKUP(C3781,'[1]DBS_KPY Sorumlular'!A:C,3,FALSE)</f>
        <v>Mehmet Ali YAVUZ</v>
      </c>
      <c r="AA3781" t="str">
        <f>VLOOKUP(K3781,[1]!Tablo3[#Data],2,FALSE)</f>
        <v>Tayfun VİÇE</v>
      </c>
    </row>
    <row r="3782" spans="1:27" x14ac:dyDescent="0.25">
      <c r="A3782">
        <v>5136</v>
      </c>
      <c r="B3782" t="s">
        <v>27</v>
      </c>
      <c r="C3782" t="s">
        <v>402</v>
      </c>
      <c r="D3782" t="s">
        <v>403</v>
      </c>
      <c r="G3782" t="s">
        <v>384</v>
      </c>
      <c r="H3782" t="s">
        <v>10460</v>
      </c>
      <c r="I3782" s="4">
        <v>45077.875</v>
      </c>
      <c r="K3782" t="s">
        <v>1106</v>
      </c>
      <c r="L3782" s="5"/>
      <c r="M3782" s="5"/>
      <c r="N3782" t="s">
        <v>82</v>
      </c>
      <c r="O3782" t="s">
        <v>10461</v>
      </c>
      <c r="R3782">
        <v>1</v>
      </c>
      <c r="T3782" s="5"/>
      <c r="W3782">
        <v>8</v>
      </c>
      <c r="X3782" t="s">
        <v>8399</v>
      </c>
      <c r="Y3782" t="str">
        <f>VLOOKUP(C3782,'[1]DBS_KPY Sorumlular'!A:C,2,FALSE)</f>
        <v>Tayfun VİÇE</v>
      </c>
      <c r="Z3782" t="str">
        <f>VLOOKUP(C3782,'[1]DBS_KPY Sorumlular'!A:C,3,FALSE)</f>
        <v>Mehmet Ali YAVUZ</v>
      </c>
      <c r="AA3782" t="str">
        <f>VLOOKUP(K3782,[1]!Tablo3[#Data],2,FALSE)</f>
        <v>Tayfun VİÇE</v>
      </c>
    </row>
    <row r="3783" spans="1:27" x14ac:dyDescent="0.25">
      <c r="A3783">
        <v>5137</v>
      </c>
      <c r="B3783" t="s">
        <v>27</v>
      </c>
      <c r="C3783" t="s">
        <v>402</v>
      </c>
      <c r="D3783" t="s">
        <v>403</v>
      </c>
      <c r="G3783" t="s">
        <v>384</v>
      </c>
      <c r="H3783" t="s">
        <v>10462</v>
      </c>
      <c r="I3783" s="4">
        <v>45443.875</v>
      </c>
      <c r="K3783" t="s">
        <v>743</v>
      </c>
      <c r="L3783" s="5"/>
      <c r="M3783" s="5" t="s">
        <v>8423</v>
      </c>
      <c r="N3783" t="s">
        <v>82</v>
      </c>
      <c r="O3783" t="s">
        <v>10463</v>
      </c>
      <c r="R3783">
        <v>1</v>
      </c>
      <c r="T3783" s="5"/>
      <c r="W3783">
        <v>270</v>
      </c>
      <c r="X3783" t="s">
        <v>8412</v>
      </c>
      <c r="Y3783" t="str">
        <f>VLOOKUP(C3783,'[1]DBS_KPY Sorumlular'!A:C,2,FALSE)</f>
        <v>Tayfun VİÇE</v>
      </c>
      <c r="Z3783" t="str">
        <f>VLOOKUP(C3783,'[1]DBS_KPY Sorumlular'!A:C,3,FALSE)</f>
        <v>Mehmet Ali YAVUZ</v>
      </c>
      <c r="AA3783" t="str">
        <f>VLOOKUP(K3783,[1]!Tablo3[#Data],2,FALSE)</f>
        <v>Kadir TOPÇU</v>
      </c>
    </row>
    <row r="3784" spans="1:27" x14ac:dyDescent="0.25">
      <c r="A3784">
        <v>5138</v>
      </c>
      <c r="B3784" t="s">
        <v>27</v>
      </c>
      <c r="C3784" t="s">
        <v>402</v>
      </c>
      <c r="D3784" t="s">
        <v>403</v>
      </c>
      <c r="G3784" t="s">
        <v>384</v>
      </c>
      <c r="H3784" t="s">
        <v>10464</v>
      </c>
      <c r="I3784" s="4">
        <v>45443.875</v>
      </c>
      <c r="K3784" t="s">
        <v>743</v>
      </c>
      <c r="L3784" s="5"/>
      <c r="M3784" s="5" t="s">
        <v>8423</v>
      </c>
      <c r="N3784" t="s">
        <v>82</v>
      </c>
      <c r="O3784" t="s">
        <v>10465</v>
      </c>
      <c r="R3784">
        <v>1</v>
      </c>
      <c r="T3784" s="5"/>
      <c r="W3784">
        <v>270</v>
      </c>
      <c r="X3784" t="s">
        <v>8412</v>
      </c>
      <c r="Y3784" t="str">
        <f>VLOOKUP(C3784,'[1]DBS_KPY Sorumlular'!A:C,2,FALSE)</f>
        <v>Tayfun VİÇE</v>
      </c>
      <c r="Z3784" t="str">
        <f>VLOOKUP(C3784,'[1]DBS_KPY Sorumlular'!A:C,3,FALSE)</f>
        <v>Mehmet Ali YAVUZ</v>
      </c>
      <c r="AA3784" t="str">
        <f>VLOOKUP(K3784,[1]!Tablo3[#Data],2,FALSE)</f>
        <v>Kadir TOPÇU</v>
      </c>
    </row>
    <row r="3785" spans="1:27" x14ac:dyDescent="0.25">
      <c r="A3785">
        <v>5139</v>
      </c>
      <c r="B3785" t="s">
        <v>27</v>
      </c>
      <c r="C3785" t="s">
        <v>402</v>
      </c>
      <c r="D3785" t="s">
        <v>403</v>
      </c>
      <c r="G3785" t="s">
        <v>384</v>
      </c>
      <c r="H3785" t="s">
        <v>10466</v>
      </c>
      <c r="I3785" s="4">
        <v>43982.875</v>
      </c>
      <c r="K3785" t="s">
        <v>926</v>
      </c>
      <c r="L3785" s="5"/>
      <c r="M3785" s="5"/>
      <c r="N3785" t="s">
        <v>82</v>
      </c>
      <c r="O3785" t="s">
        <v>10467</v>
      </c>
      <c r="R3785">
        <v>1</v>
      </c>
      <c r="T3785" s="5"/>
      <c r="W3785">
        <v>131</v>
      </c>
      <c r="X3785" t="s">
        <v>61</v>
      </c>
      <c r="Y3785" t="str">
        <f>VLOOKUP(C3785,'[1]DBS_KPY Sorumlular'!A:C,2,FALSE)</f>
        <v>Tayfun VİÇE</v>
      </c>
      <c r="Z3785" t="str">
        <f>VLOOKUP(C3785,'[1]DBS_KPY Sorumlular'!A:C,3,FALSE)</f>
        <v>Mehmet Ali YAVUZ</v>
      </c>
      <c r="AA3785" t="str">
        <f>VLOOKUP(K3785,[1]!Tablo3[#Data],2,FALSE)</f>
        <v>Kadir TOPÇU</v>
      </c>
    </row>
    <row r="3786" spans="1:27" x14ac:dyDescent="0.25">
      <c r="A3786">
        <v>5140</v>
      </c>
      <c r="B3786" t="s">
        <v>27</v>
      </c>
      <c r="C3786" t="s">
        <v>402</v>
      </c>
      <c r="D3786" t="s">
        <v>403</v>
      </c>
      <c r="G3786" t="s">
        <v>384</v>
      </c>
      <c r="H3786" t="s">
        <v>10468</v>
      </c>
      <c r="I3786" s="4">
        <v>43982.875</v>
      </c>
      <c r="K3786" t="s">
        <v>926</v>
      </c>
      <c r="L3786" s="5"/>
      <c r="M3786" s="5"/>
      <c r="N3786" t="s">
        <v>82</v>
      </c>
      <c r="O3786" t="s">
        <v>10469</v>
      </c>
      <c r="R3786">
        <v>1</v>
      </c>
      <c r="T3786" s="5"/>
      <c r="W3786">
        <v>32</v>
      </c>
      <c r="X3786" t="s">
        <v>4412</v>
      </c>
      <c r="Y3786" t="str">
        <f>VLOOKUP(C3786,'[1]DBS_KPY Sorumlular'!A:C,2,FALSE)</f>
        <v>Tayfun VİÇE</v>
      </c>
      <c r="Z3786" t="str">
        <f>VLOOKUP(C3786,'[1]DBS_KPY Sorumlular'!A:C,3,FALSE)</f>
        <v>Mehmet Ali YAVUZ</v>
      </c>
      <c r="AA3786" t="str">
        <f>VLOOKUP(K3786,[1]!Tablo3[#Data],2,FALSE)</f>
        <v>Kadir TOPÇU</v>
      </c>
    </row>
    <row r="3787" spans="1:27" x14ac:dyDescent="0.25">
      <c r="A3787">
        <v>5141</v>
      </c>
      <c r="B3787" t="s">
        <v>27</v>
      </c>
      <c r="C3787" t="s">
        <v>402</v>
      </c>
      <c r="D3787" t="s">
        <v>403</v>
      </c>
      <c r="G3787" t="s">
        <v>384</v>
      </c>
      <c r="H3787" t="s">
        <v>10470</v>
      </c>
      <c r="I3787" s="4">
        <v>44347.875</v>
      </c>
      <c r="K3787" t="s">
        <v>926</v>
      </c>
      <c r="L3787" s="5"/>
      <c r="M3787" s="5"/>
      <c r="N3787" t="s">
        <v>82</v>
      </c>
      <c r="O3787" t="s">
        <v>10471</v>
      </c>
      <c r="R3787">
        <v>1</v>
      </c>
      <c r="T3787" s="5"/>
      <c r="W3787">
        <v>131</v>
      </c>
      <c r="X3787" t="s">
        <v>61</v>
      </c>
      <c r="Y3787" t="str">
        <f>VLOOKUP(C3787,'[1]DBS_KPY Sorumlular'!A:C,2,FALSE)</f>
        <v>Tayfun VİÇE</v>
      </c>
      <c r="Z3787" t="str">
        <f>VLOOKUP(C3787,'[1]DBS_KPY Sorumlular'!A:C,3,FALSE)</f>
        <v>Mehmet Ali YAVUZ</v>
      </c>
      <c r="AA3787" t="str">
        <f>VLOOKUP(K3787,[1]!Tablo3[#Data],2,FALSE)</f>
        <v>Kadir TOPÇU</v>
      </c>
    </row>
    <row r="3788" spans="1:27" x14ac:dyDescent="0.25">
      <c r="A3788">
        <v>5142</v>
      </c>
      <c r="B3788" t="s">
        <v>27</v>
      </c>
      <c r="C3788" t="s">
        <v>402</v>
      </c>
      <c r="D3788" t="s">
        <v>403</v>
      </c>
      <c r="G3788" t="s">
        <v>384</v>
      </c>
      <c r="H3788" t="s">
        <v>10472</v>
      </c>
      <c r="I3788" s="4">
        <v>44712.875</v>
      </c>
      <c r="K3788" t="s">
        <v>926</v>
      </c>
      <c r="L3788" s="5"/>
      <c r="M3788" s="5"/>
      <c r="N3788" t="s">
        <v>82</v>
      </c>
      <c r="O3788" t="s">
        <v>10473</v>
      </c>
      <c r="R3788">
        <v>1</v>
      </c>
      <c r="T3788" s="5"/>
      <c r="W3788">
        <v>131</v>
      </c>
      <c r="X3788" t="s">
        <v>61</v>
      </c>
      <c r="Y3788" t="str">
        <f>VLOOKUP(C3788,'[1]DBS_KPY Sorumlular'!A:C,2,FALSE)</f>
        <v>Tayfun VİÇE</v>
      </c>
      <c r="Z3788" t="str">
        <f>VLOOKUP(C3788,'[1]DBS_KPY Sorumlular'!A:C,3,FALSE)</f>
        <v>Mehmet Ali YAVUZ</v>
      </c>
      <c r="AA3788" t="str">
        <f>VLOOKUP(K3788,[1]!Tablo3[#Data],2,FALSE)</f>
        <v>Kadir TOPÇU</v>
      </c>
    </row>
    <row r="3789" spans="1:27" x14ac:dyDescent="0.25">
      <c r="A3789">
        <v>5143</v>
      </c>
      <c r="B3789" t="s">
        <v>27</v>
      </c>
      <c r="C3789" t="s">
        <v>402</v>
      </c>
      <c r="D3789" t="s">
        <v>403</v>
      </c>
      <c r="G3789" t="s">
        <v>384</v>
      </c>
      <c r="H3789" t="s">
        <v>10474</v>
      </c>
      <c r="I3789" s="4">
        <v>44712.875</v>
      </c>
      <c r="K3789" t="s">
        <v>926</v>
      </c>
      <c r="L3789" s="5"/>
      <c r="M3789" s="5"/>
      <c r="N3789" t="s">
        <v>82</v>
      </c>
      <c r="O3789" t="s">
        <v>10475</v>
      </c>
      <c r="R3789">
        <v>1</v>
      </c>
      <c r="T3789" s="5"/>
      <c r="W3789">
        <v>134</v>
      </c>
      <c r="X3789" t="s">
        <v>1577</v>
      </c>
      <c r="Y3789" t="str">
        <f>VLOOKUP(C3789,'[1]DBS_KPY Sorumlular'!A:C,2,FALSE)</f>
        <v>Tayfun VİÇE</v>
      </c>
      <c r="Z3789" t="str">
        <f>VLOOKUP(C3789,'[1]DBS_KPY Sorumlular'!A:C,3,FALSE)</f>
        <v>Mehmet Ali YAVUZ</v>
      </c>
      <c r="AA3789" t="str">
        <f>VLOOKUP(K3789,[1]!Tablo3[#Data],2,FALSE)</f>
        <v>Kadir TOPÇU</v>
      </c>
    </row>
    <row r="3790" spans="1:27" x14ac:dyDescent="0.25">
      <c r="A3790">
        <v>5144</v>
      </c>
      <c r="B3790" t="s">
        <v>27</v>
      </c>
      <c r="C3790" t="s">
        <v>402</v>
      </c>
      <c r="D3790" t="s">
        <v>403</v>
      </c>
      <c r="G3790" t="s">
        <v>384</v>
      </c>
      <c r="H3790" t="s">
        <v>10476</v>
      </c>
      <c r="I3790" s="4">
        <v>44712.875</v>
      </c>
      <c r="K3790" t="s">
        <v>926</v>
      </c>
      <c r="L3790" s="5"/>
      <c r="M3790" s="5"/>
      <c r="N3790" t="s">
        <v>82</v>
      </c>
      <c r="O3790" t="s">
        <v>10477</v>
      </c>
      <c r="R3790">
        <v>1</v>
      </c>
      <c r="T3790" s="5"/>
      <c r="W3790">
        <v>32</v>
      </c>
      <c r="X3790" t="s">
        <v>4412</v>
      </c>
      <c r="Y3790" t="str">
        <f>VLOOKUP(C3790,'[1]DBS_KPY Sorumlular'!A:C,2,FALSE)</f>
        <v>Tayfun VİÇE</v>
      </c>
      <c r="Z3790" t="str">
        <f>VLOOKUP(C3790,'[1]DBS_KPY Sorumlular'!A:C,3,FALSE)</f>
        <v>Mehmet Ali YAVUZ</v>
      </c>
      <c r="AA3790" t="str">
        <f>VLOOKUP(K3790,[1]!Tablo3[#Data],2,FALSE)</f>
        <v>Kadir TOPÇU</v>
      </c>
    </row>
    <row r="3791" spans="1:27" x14ac:dyDescent="0.25">
      <c r="A3791">
        <v>5145</v>
      </c>
      <c r="B3791" t="s">
        <v>27</v>
      </c>
      <c r="C3791" t="s">
        <v>402</v>
      </c>
      <c r="D3791" t="s">
        <v>403</v>
      </c>
      <c r="G3791" t="s">
        <v>384</v>
      </c>
      <c r="H3791" t="s">
        <v>10478</v>
      </c>
      <c r="I3791" s="4">
        <v>44712.875</v>
      </c>
      <c r="K3791" t="s">
        <v>926</v>
      </c>
      <c r="L3791" s="5"/>
      <c r="M3791" s="5"/>
      <c r="N3791" t="s">
        <v>82</v>
      </c>
      <c r="O3791" t="s">
        <v>10479</v>
      </c>
      <c r="R3791">
        <v>1</v>
      </c>
      <c r="T3791" s="5"/>
      <c r="W3791">
        <v>32</v>
      </c>
      <c r="X3791" t="s">
        <v>4412</v>
      </c>
      <c r="Y3791" t="str">
        <f>VLOOKUP(C3791,'[1]DBS_KPY Sorumlular'!A:C,2,FALSE)</f>
        <v>Tayfun VİÇE</v>
      </c>
      <c r="Z3791" t="str">
        <f>VLOOKUP(C3791,'[1]DBS_KPY Sorumlular'!A:C,3,FALSE)</f>
        <v>Mehmet Ali YAVUZ</v>
      </c>
      <c r="AA3791" t="str">
        <f>VLOOKUP(K3791,[1]!Tablo3[#Data],2,FALSE)</f>
        <v>Kadir TOPÇU</v>
      </c>
    </row>
    <row r="3792" spans="1:27" x14ac:dyDescent="0.25">
      <c r="A3792">
        <v>5146</v>
      </c>
      <c r="B3792" t="s">
        <v>27</v>
      </c>
      <c r="C3792" t="s">
        <v>402</v>
      </c>
      <c r="D3792" t="s">
        <v>403</v>
      </c>
      <c r="G3792" t="s">
        <v>384</v>
      </c>
      <c r="H3792" t="s">
        <v>10480</v>
      </c>
      <c r="I3792" s="4">
        <v>44712.875</v>
      </c>
      <c r="K3792" t="s">
        <v>364</v>
      </c>
      <c r="L3792" s="5" t="s">
        <v>10481</v>
      </c>
      <c r="M3792" s="5"/>
      <c r="N3792" t="s">
        <v>82</v>
      </c>
      <c r="O3792" t="s">
        <v>10482</v>
      </c>
      <c r="R3792">
        <v>1</v>
      </c>
      <c r="T3792" s="5"/>
      <c r="W3792">
        <v>66</v>
      </c>
      <c r="X3792" t="s">
        <v>8482</v>
      </c>
      <c r="Y3792" t="str">
        <f>VLOOKUP(C3792,'[1]DBS_KPY Sorumlular'!A:C,2,FALSE)</f>
        <v>Tayfun VİÇE</v>
      </c>
      <c r="Z3792" t="str">
        <f>VLOOKUP(C3792,'[1]DBS_KPY Sorumlular'!A:C,3,FALSE)</f>
        <v>Mehmet Ali YAVUZ</v>
      </c>
      <c r="AA3792" t="str">
        <f>VLOOKUP(K3792,[1]!Tablo3[#Data],2,FALSE)</f>
        <v>Kadir TOPÇU</v>
      </c>
    </row>
    <row r="3793" spans="1:27" x14ac:dyDescent="0.25">
      <c r="A3793">
        <v>5147</v>
      </c>
      <c r="B3793" t="s">
        <v>27</v>
      </c>
      <c r="C3793" t="s">
        <v>402</v>
      </c>
      <c r="D3793" t="s">
        <v>403</v>
      </c>
      <c r="G3793" t="s">
        <v>384</v>
      </c>
      <c r="H3793" t="s">
        <v>10483</v>
      </c>
      <c r="I3793" s="4">
        <v>45077.875</v>
      </c>
      <c r="K3793" t="s">
        <v>926</v>
      </c>
      <c r="L3793" s="5"/>
      <c r="M3793" s="5"/>
      <c r="N3793" t="s">
        <v>82</v>
      </c>
      <c r="O3793" t="s">
        <v>10484</v>
      </c>
      <c r="R3793">
        <v>1</v>
      </c>
      <c r="T3793" s="5"/>
      <c r="W3793">
        <v>131</v>
      </c>
      <c r="X3793" t="s">
        <v>61</v>
      </c>
      <c r="Y3793" t="str">
        <f>VLOOKUP(C3793,'[1]DBS_KPY Sorumlular'!A:C,2,FALSE)</f>
        <v>Tayfun VİÇE</v>
      </c>
      <c r="Z3793" t="str">
        <f>VLOOKUP(C3793,'[1]DBS_KPY Sorumlular'!A:C,3,FALSE)</f>
        <v>Mehmet Ali YAVUZ</v>
      </c>
      <c r="AA3793" t="str">
        <f>VLOOKUP(K3793,[1]!Tablo3[#Data],2,FALSE)</f>
        <v>Kadir TOPÇU</v>
      </c>
    </row>
    <row r="3794" spans="1:27" x14ac:dyDescent="0.25">
      <c r="A3794">
        <v>5148</v>
      </c>
      <c r="B3794" t="s">
        <v>27</v>
      </c>
      <c r="C3794" t="s">
        <v>402</v>
      </c>
      <c r="D3794" t="s">
        <v>403</v>
      </c>
      <c r="G3794" t="s">
        <v>384</v>
      </c>
      <c r="H3794" t="s">
        <v>10485</v>
      </c>
      <c r="I3794" s="4">
        <v>45443.875</v>
      </c>
      <c r="K3794" t="s">
        <v>364</v>
      </c>
      <c r="L3794" s="5"/>
      <c r="M3794" s="5" t="s">
        <v>8423</v>
      </c>
      <c r="N3794" t="s">
        <v>82</v>
      </c>
      <c r="O3794" t="s">
        <v>10486</v>
      </c>
      <c r="R3794">
        <v>1</v>
      </c>
      <c r="T3794" s="5"/>
      <c r="W3794">
        <v>270</v>
      </c>
      <c r="X3794" t="s">
        <v>8412</v>
      </c>
      <c r="Y3794" t="str">
        <f>VLOOKUP(C3794,'[1]DBS_KPY Sorumlular'!A:C,2,FALSE)</f>
        <v>Tayfun VİÇE</v>
      </c>
      <c r="Z3794" t="str">
        <f>VLOOKUP(C3794,'[1]DBS_KPY Sorumlular'!A:C,3,FALSE)</f>
        <v>Mehmet Ali YAVUZ</v>
      </c>
      <c r="AA3794" t="str">
        <f>VLOOKUP(K3794,[1]!Tablo3[#Data],2,FALSE)</f>
        <v>Kadir TOPÇU</v>
      </c>
    </row>
    <row r="3795" spans="1:27" x14ac:dyDescent="0.25">
      <c r="A3795">
        <v>5149</v>
      </c>
      <c r="B3795" t="s">
        <v>27</v>
      </c>
      <c r="C3795" t="s">
        <v>402</v>
      </c>
      <c r="D3795" t="s">
        <v>403</v>
      </c>
      <c r="G3795" t="s">
        <v>384</v>
      </c>
      <c r="H3795" t="s">
        <v>10487</v>
      </c>
      <c r="I3795" s="4">
        <v>45443.875</v>
      </c>
      <c r="K3795" t="s">
        <v>364</v>
      </c>
      <c r="L3795" s="5"/>
      <c r="M3795" s="5" t="s">
        <v>8423</v>
      </c>
      <c r="N3795" t="s">
        <v>82</v>
      </c>
      <c r="O3795" t="s">
        <v>10488</v>
      </c>
      <c r="R3795">
        <v>1</v>
      </c>
      <c r="T3795" s="5"/>
      <c r="W3795">
        <v>270</v>
      </c>
      <c r="X3795" t="s">
        <v>8412</v>
      </c>
      <c r="Y3795" t="str">
        <f>VLOOKUP(C3795,'[1]DBS_KPY Sorumlular'!A:C,2,FALSE)</f>
        <v>Tayfun VİÇE</v>
      </c>
      <c r="Z3795" t="str">
        <f>VLOOKUP(C3795,'[1]DBS_KPY Sorumlular'!A:C,3,FALSE)</f>
        <v>Mehmet Ali YAVUZ</v>
      </c>
      <c r="AA3795" t="str">
        <f>VLOOKUP(K3795,[1]!Tablo3[#Data],2,FALSE)</f>
        <v>Kadir TOPÇU</v>
      </c>
    </row>
    <row r="3796" spans="1:27" x14ac:dyDescent="0.25">
      <c r="A3796">
        <v>5150</v>
      </c>
      <c r="B3796" t="s">
        <v>27</v>
      </c>
      <c r="C3796" t="s">
        <v>402</v>
      </c>
      <c r="D3796" t="s">
        <v>403</v>
      </c>
      <c r="G3796" t="s">
        <v>384</v>
      </c>
      <c r="H3796" t="s">
        <v>10489</v>
      </c>
      <c r="I3796" s="4">
        <v>45443.875</v>
      </c>
      <c r="K3796" t="s">
        <v>364</v>
      </c>
      <c r="L3796" s="5"/>
      <c r="M3796" s="5" t="s">
        <v>8423</v>
      </c>
      <c r="N3796" t="s">
        <v>82</v>
      </c>
      <c r="O3796" t="s">
        <v>10490</v>
      </c>
      <c r="R3796">
        <v>1</v>
      </c>
      <c r="T3796" s="5"/>
      <c r="W3796">
        <v>270</v>
      </c>
      <c r="X3796" t="s">
        <v>8412</v>
      </c>
      <c r="Y3796" t="str">
        <f>VLOOKUP(C3796,'[1]DBS_KPY Sorumlular'!A:C,2,FALSE)</f>
        <v>Tayfun VİÇE</v>
      </c>
      <c r="Z3796" t="str">
        <f>VLOOKUP(C3796,'[1]DBS_KPY Sorumlular'!A:C,3,FALSE)</f>
        <v>Mehmet Ali YAVUZ</v>
      </c>
      <c r="AA3796" t="str">
        <f>VLOOKUP(K3796,[1]!Tablo3[#Data],2,FALSE)</f>
        <v>Kadir TOPÇU</v>
      </c>
    </row>
    <row r="3797" spans="1:27" x14ac:dyDescent="0.25">
      <c r="A3797">
        <v>5151</v>
      </c>
      <c r="B3797" t="s">
        <v>27</v>
      </c>
      <c r="C3797" t="s">
        <v>402</v>
      </c>
      <c r="D3797" t="s">
        <v>403</v>
      </c>
      <c r="G3797" t="s">
        <v>384</v>
      </c>
      <c r="H3797" t="s">
        <v>10491</v>
      </c>
      <c r="I3797" s="4">
        <v>45443.875</v>
      </c>
      <c r="K3797" t="s">
        <v>364</v>
      </c>
      <c r="L3797" s="5"/>
      <c r="M3797" s="5" t="s">
        <v>8423</v>
      </c>
      <c r="N3797" t="s">
        <v>82</v>
      </c>
      <c r="O3797" t="s">
        <v>10492</v>
      </c>
      <c r="R3797">
        <v>1</v>
      </c>
      <c r="T3797" s="5"/>
      <c r="W3797">
        <v>270</v>
      </c>
      <c r="X3797" t="s">
        <v>8412</v>
      </c>
      <c r="Y3797" t="str">
        <f>VLOOKUP(C3797,'[1]DBS_KPY Sorumlular'!A:C,2,FALSE)</f>
        <v>Tayfun VİÇE</v>
      </c>
      <c r="Z3797" t="str">
        <f>VLOOKUP(C3797,'[1]DBS_KPY Sorumlular'!A:C,3,FALSE)</f>
        <v>Mehmet Ali YAVUZ</v>
      </c>
      <c r="AA3797" t="str">
        <f>VLOOKUP(K3797,[1]!Tablo3[#Data],2,FALSE)</f>
        <v>Kadir TOPÇU</v>
      </c>
    </row>
    <row r="3798" spans="1:27" x14ac:dyDescent="0.25">
      <c r="A3798">
        <v>5153</v>
      </c>
      <c r="B3798" t="s">
        <v>27</v>
      </c>
      <c r="C3798" t="s">
        <v>402</v>
      </c>
      <c r="D3798" t="s">
        <v>403</v>
      </c>
      <c r="G3798" t="s">
        <v>384</v>
      </c>
      <c r="H3798" t="s">
        <v>10493</v>
      </c>
      <c r="I3798" s="4">
        <v>45443.875</v>
      </c>
      <c r="K3798" t="s">
        <v>364</v>
      </c>
      <c r="L3798" s="5"/>
      <c r="M3798" s="5" t="s">
        <v>8423</v>
      </c>
      <c r="N3798" t="s">
        <v>82</v>
      </c>
      <c r="O3798" t="s">
        <v>10494</v>
      </c>
      <c r="R3798">
        <v>1</v>
      </c>
      <c r="T3798" s="5"/>
      <c r="W3798">
        <v>270</v>
      </c>
      <c r="X3798" t="s">
        <v>8412</v>
      </c>
      <c r="Y3798" t="str">
        <f>VLOOKUP(C3798,'[1]DBS_KPY Sorumlular'!A:C,2,FALSE)</f>
        <v>Tayfun VİÇE</v>
      </c>
      <c r="Z3798" t="str">
        <f>VLOOKUP(C3798,'[1]DBS_KPY Sorumlular'!A:C,3,FALSE)</f>
        <v>Mehmet Ali YAVUZ</v>
      </c>
      <c r="AA3798" t="str">
        <f>VLOOKUP(K3798,[1]!Tablo3[#Data],2,FALSE)</f>
        <v>Kadir TOPÇU</v>
      </c>
    </row>
    <row r="3799" spans="1:27" x14ac:dyDescent="0.25">
      <c r="A3799">
        <v>5154</v>
      </c>
      <c r="B3799" t="s">
        <v>27</v>
      </c>
      <c r="C3799" t="s">
        <v>402</v>
      </c>
      <c r="D3799" t="s">
        <v>403</v>
      </c>
      <c r="G3799" t="s">
        <v>384</v>
      </c>
      <c r="H3799" t="s">
        <v>10495</v>
      </c>
      <c r="I3799" s="4">
        <v>45443.875</v>
      </c>
      <c r="K3799" t="s">
        <v>364</v>
      </c>
      <c r="L3799" s="5"/>
      <c r="M3799" s="5" t="s">
        <v>8423</v>
      </c>
      <c r="N3799" t="s">
        <v>82</v>
      </c>
      <c r="O3799" t="s">
        <v>10496</v>
      </c>
      <c r="R3799">
        <v>1</v>
      </c>
      <c r="T3799" s="5"/>
      <c r="W3799">
        <v>270</v>
      </c>
      <c r="X3799" t="s">
        <v>8412</v>
      </c>
      <c r="Y3799" t="str">
        <f>VLOOKUP(C3799,'[1]DBS_KPY Sorumlular'!A:C,2,FALSE)</f>
        <v>Tayfun VİÇE</v>
      </c>
      <c r="Z3799" t="str">
        <f>VLOOKUP(C3799,'[1]DBS_KPY Sorumlular'!A:C,3,FALSE)</f>
        <v>Mehmet Ali YAVUZ</v>
      </c>
      <c r="AA3799" t="str">
        <f>VLOOKUP(K3799,[1]!Tablo3[#Data],2,FALSE)</f>
        <v>Kadir TOPÇU</v>
      </c>
    </row>
    <row r="3800" spans="1:27" x14ac:dyDescent="0.25">
      <c r="A3800">
        <v>5155</v>
      </c>
      <c r="B3800" t="s">
        <v>27</v>
      </c>
      <c r="C3800" t="s">
        <v>402</v>
      </c>
      <c r="D3800" t="s">
        <v>403</v>
      </c>
      <c r="G3800" t="s">
        <v>384</v>
      </c>
      <c r="H3800" t="s">
        <v>10497</v>
      </c>
      <c r="I3800" s="4">
        <v>45443.875</v>
      </c>
      <c r="K3800" t="s">
        <v>364</v>
      </c>
      <c r="L3800" s="5"/>
      <c r="M3800" s="5" t="s">
        <v>8423</v>
      </c>
      <c r="N3800" t="s">
        <v>82</v>
      </c>
      <c r="O3800" t="s">
        <v>10498</v>
      </c>
      <c r="R3800">
        <v>1</v>
      </c>
      <c r="T3800" s="5"/>
      <c r="W3800">
        <v>270</v>
      </c>
      <c r="X3800" t="s">
        <v>8412</v>
      </c>
      <c r="Y3800" t="str">
        <f>VLOOKUP(C3800,'[1]DBS_KPY Sorumlular'!A:C,2,FALSE)</f>
        <v>Tayfun VİÇE</v>
      </c>
      <c r="Z3800" t="str">
        <f>VLOOKUP(C3800,'[1]DBS_KPY Sorumlular'!A:C,3,FALSE)</f>
        <v>Mehmet Ali YAVUZ</v>
      </c>
      <c r="AA3800" t="str">
        <f>VLOOKUP(K3800,[1]!Tablo3[#Data],2,FALSE)</f>
        <v>Kadir TOPÇU</v>
      </c>
    </row>
    <row r="3801" spans="1:27" x14ac:dyDescent="0.25">
      <c r="A3801">
        <v>5156</v>
      </c>
      <c r="B3801" t="s">
        <v>27</v>
      </c>
      <c r="C3801" t="s">
        <v>402</v>
      </c>
      <c r="D3801" t="s">
        <v>403</v>
      </c>
      <c r="G3801" t="s">
        <v>384</v>
      </c>
      <c r="H3801" t="s">
        <v>10499</v>
      </c>
      <c r="I3801" s="4">
        <v>45443.875</v>
      </c>
      <c r="K3801" t="s">
        <v>364</v>
      </c>
      <c r="L3801" s="5"/>
      <c r="M3801" s="5" t="s">
        <v>8423</v>
      </c>
      <c r="N3801" t="s">
        <v>82</v>
      </c>
      <c r="O3801" t="s">
        <v>10500</v>
      </c>
      <c r="R3801">
        <v>1</v>
      </c>
      <c r="T3801" s="5"/>
      <c r="W3801">
        <v>270</v>
      </c>
      <c r="X3801" t="s">
        <v>8412</v>
      </c>
      <c r="Y3801" t="str">
        <f>VLOOKUP(C3801,'[1]DBS_KPY Sorumlular'!A:C,2,FALSE)</f>
        <v>Tayfun VİÇE</v>
      </c>
      <c r="Z3801" t="str">
        <f>VLOOKUP(C3801,'[1]DBS_KPY Sorumlular'!A:C,3,FALSE)</f>
        <v>Mehmet Ali YAVUZ</v>
      </c>
      <c r="AA3801" t="str">
        <f>VLOOKUP(K3801,[1]!Tablo3[#Data],2,FALSE)</f>
        <v>Kadir TOPÇU</v>
      </c>
    </row>
    <row r="3802" spans="1:27" x14ac:dyDescent="0.25">
      <c r="A3802">
        <v>5157</v>
      </c>
      <c r="B3802" t="s">
        <v>27</v>
      </c>
      <c r="C3802" t="s">
        <v>402</v>
      </c>
      <c r="D3802" t="s">
        <v>403</v>
      </c>
      <c r="G3802" t="s">
        <v>384</v>
      </c>
      <c r="H3802" t="s">
        <v>10501</v>
      </c>
      <c r="I3802" s="4">
        <v>45443.875</v>
      </c>
      <c r="K3802" t="s">
        <v>364</v>
      </c>
      <c r="L3802" s="5"/>
      <c r="M3802" s="5" t="s">
        <v>8423</v>
      </c>
      <c r="N3802" t="s">
        <v>82</v>
      </c>
      <c r="O3802" t="s">
        <v>10502</v>
      </c>
      <c r="R3802">
        <v>1</v>
      </c>
      <c r="T3802" s="5"/>
      <c r="W3802">
        <v>270</v>
      </c>
      <c r="X3802" t="s">
        <v>8412</v>
      </c>
      <c r="Y3802" t="str">
        <f>VLOOKUP(C3802,'[1]DBS_KPY Sorumlular'!A:C,2,FALSE)</f>
        <v>Tayfun VİÇE</v>
      </c>
      <c r="Z3802" t="str">
        <f>VLOOKUP(C3802,'[1]DBS_KPY Sorumlular'!A:C,3,FALSE)</f>
        <v>Mehmet Ali YAVUZ</v>
      </c>
      <c r="AA3802" t="str">
        <f>VLOOKUP(K3802,[1]!Tablo3[#Data],2,FALSE)</f>
        <v>Kadir TOPÇU</v>
      </c>
    </row>
    <row r="3803" spans="1:27" x14ac:dyDescent="0.25">
      <c r="A3803">
        <v>5158</v>
      </c>
      <c r="B3803" t="s">
        <v>27</v>
      </c>
      <c r="C3803" t="s">
        <v>402</v>
      </c>
      <c r="D3803" t="s">
        <v>403</v>
      </c>
      <c r="G3803" t="s">
        <v>384</v>
      </c>
      <c r="H3803" t="s">
        <v>10503</v>
      </c>
      <c r="I3803" s="4">
        <v>45443.875</v>
      </c>
      <c r="K3803" t="s">
        <v>364</v>
      </c>
      <c r="L3803" s="5"/>
      <c r="M3803" s="5" t="s">
        <v>8423</v>
      </c>
      <c r="N3803" t="s">
        <v>82</v>
      </c>
      <c r="O3803" t="s">
        <v>10504</v>
      </c>
      <c r="R3803">
        <v>1</v>
      </c>
      <c r="T3803" s="5"/>
      <c r="W3803">
        <v>270</v>
      </c>
      <c r="X3803" t="s">
        <v>8412</v>
      </c>
      <c r="Y3803" t="str">
        <f>VLOOKUP(C3803,'[1]DBS_KPY Sorumlular'!A:C,2,FALSE)</f>
        <v>Tayfun VİÇE</v>
      </c>
      <c r="Z3803" t="str">
        <f>VLOOKUP(C3803,'[1]DBS_KPY Sorumlular'!A:C,3,FALSE)</f>
        <v>Mehmet Ali YAVUZ</v>
      </c>
      <c r="AA3803" t="str">
        <f>VLOOKUP(K3803,[1]!Tablo3[#Data],2,FALSE)</f>
        <v>Kadir TOPÇU</v>
      </c>
    </row>
    <row r="3804" spans="1:27" x14ac:dyDescent="0.25">
      <c r="A3804">
        <v>5159</v>
      </c>
      <c r="B3804" t="s">
        <v>27</v>
      </c>
      <c r="C3804" t="s">
        <v>402</v>
      </c>
      <c r="D3804" t="s">
        <v>403</v>
      </c>
      <c r="G3804" t="s">
        <v>384</v>
      </c>
      <c r="H3804" t="s">
        <v>10505</v>
      </c>
      <c r="I3804" s="4">
        <v>45443.875</v>
      </c>
      <c r="K3804" t="s">
        <v>364</v>
      </c>
      <c r="L3804" s="5"/>
      <c r="M3804" s="5" t="s">
        <v>8423</v>
      </c>
      <c r="N3804" t="s">
        <v>82</v>
      </c>
      <c r="O3804" t="s">
        <v>10506</v>
      </c>
      <c r="R3804">
        <v>1</v>
      </c>
      <c r="T3804" s="5"/>
      <c r="W3804">
        <v>270</v>
      </c>
      <c r="X3804" t="s">
        <v>8412</v>
      </c>
      <c r="Y3804" t="str">
        <f>VLOOKUP(C3804,'[1]DBS_KPY Sorumlular'!A:C,2,FALSE)</f>
        <v>Tayfun VİÇE</v>
      </c>
      <c r="Z3804" t="str">
        <f>VLOOKUP(C3804,'[1]DBS_KPY Sorumlular'!A:C,3,FALSE)</f>
        <v>Mehmet Ali YAVUZ</v>
      </c>
      <c r="AA3804" t="str">
        <f>VLOOKUP(K3804,[1]!Tablo3[#Data],2,FALSE)</f>
        <v>Kadir TOPÇU</v>
      </c>
    </row>
    <row r="3805" spans="1:27" x14ac:dyDescent="0.25">
      <c r="A3805">
        <v>5160</v>
      </c>
      <c r="B3805" t="s">
        <v>27</v>
      </c>
      <c r="C3805" t="s">
        <v>402</v>
      </c>
      <c r="D3805" t="s">
        <v>403</v>
      </c>
      <c r="G3805" t="s">
        <v>384</v>
      </c>
      <c r="H3805" t="s">
        <v>10507</v>
      </c>
      <c r="I3805" s="4">
        <v>45443.875</v>
      </c>
      <c r="K3805" t="s">
        <v>364</v>
      </c>
      <c r="L3805" s="5"/>
      <c r="M3805" s="5" t="s">
        <v>8423</v>
      </c>
      <c r="N3805" t="s">
        <v>82</v>
      </c>
      <c r="O3805" t="s">
        <v>10508</v>
      </c>
      <c r="R3805">
        <v>1</v>
      </c>
      <c r="T3805" s="5"/>
      <c r="W3805">
        <v>270</v>
      </c>
      <c r="X3805" t="s">
        <v>8412</v>
      </c>
      <c r="Y3805" t="str">
        <f>VLOOKUP(C3805,'[1]DBS_KPY Sorumlular'!A:C,2,FALSE)</f>
        <v>Tayfun VİÇE</v>
      </c>
      <c r="Z3805" t="str">
        <f>VLOOKUP(C3805,'[1]DBS_KPY Sorumlular'!A:C,3,FALSE)</f>
        <v>Mehmet Ali YAVUZ</v>
      </c>
      <c r="AA3805" t="str">
        <f>VLOOKUP(K3805,[1]!Tablo3[#Data],2,FALSE)</f>
        <v>Kadir TOPÇU</v>
      </c>
    </row>
    <row r="3806" spans="1:27" x14ac:dyDescent="0.25">
      <c r="A3806">
        <v>5161</v>
      </c>
      <c r="B3806" t="s">
        <v>27</v>
      </c>
      <c r="C3806" t="s">
        <v>402</v>
      </c>
      <c r="D3806" t="s">
        <v>403</v>
      </c>
      <c r="G3806" t="s">
        <v>384</v>
      </c>
      <c r="H3806" t="s">
        <v>10509</v>
      </c>
      <c r="I3806" s="4">
        <v>45443.875</v>
      </c>
      <c r="K3806" t="s">
        <v>364</v>
      </c>
      <c r="L3806" s="5"/>
      <c r="M3806" s="5" t="s">
        <v>8423</v>
      </c>
      <c r="N3806" t="s">
        <v>82</v>
      </c>
      <c r="O3806" t="s">
        <v>10510</v>
      </c>
      <c r="R3806">
        <v>1</v>
      </c>
      <c r="T3806" s="5"/>
      <c r="W3806">
        <v>270</v>
      </c>
      <c r="X3806" t="s">
        <v>8412</v>
      </c>
      <c r="Y3806" t="str">
        <f>VLOOKUP(C3806,'[1]DBS_KPY Sorumlular'!A:C,2,FALSE)</f>
        <v>Tayfun VİÇE</v>
      </c>
      <c r="Z3806" t="str">
        <f>VLOOKUP(C3806,'[1]DBS_KPY Sorumlular'!A:C,3,FALSE)</f>
        <v>Mehmet Ali YAVUZ</v>
      </c>
      <c r="AA3806" t="str">
        <f>VLOOKUP(K3806,[1]!Tablo3[#Data],2,FALSE)</f>
        <v>Kadir TOPÇU</v>
      </c>
    </row>
    <row r="3807" spans="1:27" x14ac:dyDescent="0.25">
      <c r="A3807">
        <v>5162</v>
      </c>
      <c r="B3807" t="s">
        <v>27</v>
      </c>
      <c r="C3807" t="s">
        <v>402</v>
      </c>
      <c r="D3807" t="s">
        <v>403</v>
      </c>
      <c r="G3807" t="s">
        <v>384</v>
      </c>
      <c r="H3807" t="s">
        <v>10511</v>
      </c>
      <c r="I3807" s="4">
        <v>45443.875</v>
      </c>
      <c r="K3807" t="s">
        <v>364</v>
      </c>
      <c r="L3807" s="5"/>
      <c r="M3807" s="5" t="s">
        <v>8423</v>
      </c>
      <c r="N3807" t="s">
        <v>82</v>
      </c>
      <c r="O3807" t="s">
        <v>10512</v>
      </c>
      <c r="R3807">
        <v>1</v>
      </c>
      <c r="T3807" s="5"/>
      <c r="W3807">
        <v>270</v>
      </c>
      <c r="X3807" t="s">
        <v>8412</v>
      </c>
      <c r="Y3807" t="str">
        <f>VLOOKUP(C3807,'[1]DBS_KPY Sorumlular'!A:C,2,FALSE)</f>
        <v>Tayfun VİÇE</v>
      </c>
      <c r="Z3807" t="str">
        <f>VLOOKUP(C3807,'[1]DBS_KPY Sorumlular'!A:C,3,FALSE)</f>
        <v>Mehmet Ali YAVUZ</v>
      </c>
      <c r="AA3807" t="str">
        <f>VLOOKUP(K3807,[1]!Tablo3[#Data],2,FALSE)</f>
        <v>Kadir TOPÇU</v>
      </c>
    </row>
    <row r="3808" spans="1:27" x14ac:dyDescent="0.25">
      <c r="A3808">
        <v>5163</v>
      </c>
      <c r="B3808" t="s">
        <v>27</v>
      </c>
      <c r="C3808" t="s">
        <v>402</v>
      </c>
      <c r="D3808" t="s">
        <v>403</v>
      </c>
      <c r="G3808" t="s">
        <v>384</v>
      </c>
      <c r="H3808" t="s">
        <v>10513</v>
      </c>
      <c r="I3808" s="4">
        <v>45443.875</v>
      </c>
      <c r="K3808" t="s">
        <v>364</v>
      </c>
      <c r="L3808" s="5"/>
      <c r="M3808" s="5" t="s">
        <v>8423</v>
      </c>
      <c r="N3808" t="s">
        <v>82</v>
      </c>
      <c r="O3808" t="s">
        <v>10514</v>
      </c>
      <c r="R3808">
        <v>1</v>
      </c>
      <c r="T3808" s="5"/>
      <c r="W3808">
        <v>270</v>
      </c>
      <c r="X3808" t="s">
        <v>8412</v>
      </c>
      <c r="Y3808" t="str">
        <f>VLOOKUP(C3808,'[1]DBS_KPY Sorumlular'!A:C,2,FALSE)</f>
        <v>Tayfun VİÇE</v>
      </c>
      <c r="Z3808" t="str">
        <f>VLOOKUP(C3808,'[1]DBS_KPY Sorumlular'!A:C,3,FALSE)</f>
        <v>Mehmet Ali YAVUZ</v>
      </c>
      <c r="AA3808" t="str">
        <f>VLOOKUP(K3808,[1]!Tablo3[#Data],2,FALSE)</f>
        <v>Kadir TOPÇU</v>
      </c>
    </row>
    <row r="3809" spans="1:27" x14ac:dyDescent="0.25">
      <c r="A3809">
        <v>5164</v>
      </c>
      <c r="B3809" t="s">
        <v>27</v>
      </c>
      <c r="C3809" t="s">
        <v>402</v>
      </c>
      <c r="D3809" t="s">
        <v>403</v>
      </c>
      <c r="G3809" t="s">
        <v>384</v>
      </c>
      <c r="H3809" t="s">
        <v>10515</v>
      </c>
      <c r="I3809" s="4">
        <v>45443.875</v>
      </c>
      <c r="K3809" t="s">
        <v>364</v>
      </c>
      <c r="L3809" s="5"/>
      <c r="M3809" s="5" t="s">
        <v>8423</v>
      </c>
      <c r="N3809" t="s">
        <v>82</v>
      </c>
      <c r="O3809" t="s">
        <v>10516</v>
      </c>
      <c r="R3809">
        <v>1</v>
      </c>
      <c r="T3809" s="5"/>
      <c r="W3809">
        <v>270</v>
      </c>
      <c r="X3809" t="s">
        <v>8412</v>
      </c>
      <c r="Y3809" t="str">
        <f>VLOOKUP(C3809,'[1]DBS_KPY Sorumlular'!A:C,2,FALSE)</f>
        <v>Tayfun VİÇE</v>
      </c>
      <c r="Z3809" t="str">
        <f>VLOOKUP(C3809,'[1]DBS_KPY Sorumlular'!A:C,3,FALSE)</f>
        <v>Mehmet Ali YAVUZ</v>
      </c>
      <c r="AA3809" t="str">
        <f>VLOOKUP(K3809,[1]!Tablo3[#Data],2,FALSE)</f>
        <v>Kadir TOPÇU</v>
      </c>
    </row>
    <row r="3810" spans="1:27" x14ac:dyDescent="0.25">
      <c r="A3810">
        <v>5166</v>
      </c>
      <c r="B3810" t="s">
        <v>27</v>
      </c>
      <c r="C3810" t="s">
        <v>402</v>
      </c>
      <c r="D3810" t="s">
        <v>403</v>
      </c>
      <c r="G3810" t="s">
        <v>384</v>
      </c>
      <c r="H3810" t="s">
        <v>10517</v>
      </c>
      <c r="I3810" s="4">
        <v>45443.875</v>
      </c>
      <c r="K3810" t="s">
        <v>364</v>
      </c>
      <c r="L3810" s="5"/>
      <c r="M3810" s="5" t="s">
        <v>8423</v>
      </c>
      <c r="N3810" t="s">
        <v>82</v>
      </c>
      <c r="O3810" t="s">
        <v>10518</v>
      </c>
      <c r="R3810">
        <v>1</v>
      </c>
      <c r="T3810" s="5"/>
      <c r="W3810">
        <v>270</v>
      </c>
      <c r="X3810" t="s">
        <v>8412</v>
      </c>
      <c r="Y3810" t="str">
        <f>VLOOKUP(C3810,'[1]DBS_KPY Sorumlular'!A:C,2,FALSE)</f>
        <v>Tayfun VİÇE</v>
      </c>
      <c r="Z3810" t="str">
        <f>VLOOKUP(C3810,'[1]DBS_KPY Sorumlular'!A:C,3,FALSE)</f>
        <v>Mehmet Ali YAVUZ</v>
      </c>
      <c r="AA3810" t="str">
        <f>VLOOKUP(K3810,[1]!Tablo3[#Data],2,FALSE)</f>
        <v>Kadir TOPÇU</v>
      </c>
    </row>
    <row r="3811" spans="1:27" x14ac:dyDescent="0.25">
      <c r="A3811">
        <v>5167</v>
      </c>
      <c r="B3811" t="s">
        <v>27</v>
      </c>
      <c r="C3811" t="s">
        <v>402</v>
      </c>
      <c r="D3811" t="s">
        <v>403</v>
      </c>
      <c r="G3811" t="s">
        <v>384</v>
      </c>
      <c r="H3811" t="s">
        <v>10519</v>
      </c>
      <c r="I3811" s="4">
        <v>45443.875</v>
      </c>
      <c r="K3811" t="s">
        <v>364</v>
      </c>
      <c r="L3811" s="5"/>
      <c r="M3811" s="5" t="s">
        <v>8423</v>
      </c>
      <c r="N3811" t="s">
        <v>82</v>
      </c>
      <c r="O3811" t="s">
        <v>10520</v>
      </c>
      <c r="R3811">
        <v>1</v>
      </c>
      <c r="T3811" s="5"/>
      <c r="W3811">
        <v>270</v>
      </c>
      <c r="X3811" t="s">
        <v>8412</v>
      </c>
      <c r="Y3811" t="str">
        <f>VLOOKUP(C3811,'[1]DBS_KPY Sorumlular'!A:C,2,FALSE)</f>
        <v>Tayfun VİÇE</v>
      </c>
      <c r="Z3811" t="str">
        <f>VLOOKUP(C3811,'[1]DBS_KPY Sorumlular'!A:C,3,FALSE)</f>
        <v>Mehmet Ali YAVUZ</v>
      </c>
      <c r="AA3811" t="str">
        <f>VLOOKUP(K3811,[1]!Tablo3[#Data],2,FALSE)</f>
        <v>Kadir TOPÇU</v>
      </c>
    </row>
    <row r="3812" spans="1:27" x14ac:dyDescent="0.25">
      <c r="A3812">
        <v>5168</v>
      </c>
      <c r="B3812" t="s">
        <v>27</v>
      </c>
      <c r="C3812" t="s">
        <v>402</v>
      </c>
      <c r="D3812" t="s">
        <v>403</v>
      </c>
      <c r="G3812" t="s">
        <v>384</v>
      </c>
      <c r="H3812" t="s">
        <v>10521</v>
      </c>
      <c r="I3812" s="4">
        <v>45443.875</v>
      </c>
      <c r="K3812" t="s">
        <v>364</v>
      </c>
      <c r="L3812" s="5"/>
      <c r="M3812" s="5" t="s">
        <v>8423</v>
      </c>
      <c r="N3812" t="s">
        <v>82</v>
      </c>
      <c r="O3812" t="s">
        <v>10522</v>
      </c>
      <c r="R3812">
        <v>1</v>
      </c>
      <c r="T3812" s="5"/>
      <c r="W3812">
        <v>270</v>
      </c>
      <c r="X3812" t="s">
        <v>8412</v>
      </c>
      <c r="Y3812" t="str">
        <f>VLOOKUP(C3812,'[1]DBS_KPY Sorumlular'!A:C,2,FALSE)</f>
        <v>Tayfun VİÇE</v>
      </c>
      <c r="Z3812" t="str">
        <f>VLOOKUP(C3812,'[1]DBS_KPY Sorumlular'!A:C,3,FALSE)</f>
        <v>Mehmet Ali YAVUZ</v>
      </c>
      <c r="AA3812" t="str">
        <f>VLOOKUP(K3812,[1]!Tablo3[#Data],2,FALSE)</f>
        <v>Kadir TOPÇU</v>
      </c>
    </row>
    <row r="3813" spans="1:27" x14ac:dyDescent="0.25">
      <c r="A3813">
        <v>5170</v>
      </c>
      <c r="B3813" t="s">
        <v>27</v>
      </c>
      <c r="C3813" t="s">
        <v>402</v>
      </c>
      <c r="D3813" t="s">
        <v>403</v>
      </c>
      <c r="G3813" t="s">
        <v>384</v>
      </c>
      <c r="H3813" t="s">
        <v>10523</v>
      </c>
      <c r="I3813" s="4">
        <v>45443.875</v>
      </c>
      <c r="K3813" t="s">
        <v>364</v>
      </c>
      <c r="L3813" s="5"/>
      <c r="M3813" s="5" t="s">
        <v>8423</v>
      </c>
      <c r="N3813" t="s">
        <v>82</v>
      </c>
      <c r="O3813" t="s">
        <v>10524</v>
      </c>
      <c r="R3813">
        <v>1</v>
      </c>
      <c r="T3813" s="5"/>
      <c r="W3813">
        <v>270</v>
      </c>
      <c r="X3813" t="s">
        <v>8412</v>
      </c>
      <c r="Y3813" t="str">
        <f>VLOOKUP(C3813,'[1]DBS_KPY Sorumlular'!A:C,2,FALSE)</f>
        <v>Tayfun VİÇE</v>
      </c>
      <c r="Z3813" t="str">
        <f>VLOOKUP(C3813,'[1]DBS_KPY Sorumlular'!A:C,3,FALSE)</f>
        <v>Mehmet Ali YAVUZ</v>
      </c>
      <c r="AA3813" t="str">
        <f>VLOOKUP(K3813,[1]!Tablo3[#Data],2,FALSE)</f>
        <v>Kadir TOPÇU</v>
      </c>
    </row>
    <row r="3814" spans="1:27" x14ac:dyDescent="0.25">
      <c r="A3814">
        <v>5171</v>
      </c>
      <c r="B3814" t="s">
        <v>27</v>
      </c>
      <c r="C3814" t="s">
        <v>402</v>
      </c>
      <c r="D3814" t="s">
        <v>403</v>
      </c>
      <c r="G3814" t="s">
        <v>384</v>
      </c>
      <c r="H3814" t="s">
        <v>10525</v>
      </c>
      <c r="I3814" s="4">
        <v>45443.875</v>
      </c>
      <c r="K3814" t="s">
        <v>364</v>
      </c>
      <c r="L3814" s="5"/>
      <c r="M3814" s="5" t="s">
        <v>8423</v>
      </c>
      <c r="N3814" t="s">
        <v>82</v>
      </c>
      <c r="O3814" t="s">
        <v>10526</v>
      </c>
      <c r="R3814">
        <v>1</v>
      </c>
      <c r="T3814" s="5"/>
      <c r="W3814">
        <v>270</v>
      </c>
      <c r="X3814" t="s">
        <v>8412</v>
      </c>
      <c r="Y3814" t="str">
        <f>VLOOKUP(C3814,'[1]DBS_KPY Sorumlular'!A:C,2,FALSE)</f>
        <v>Tayfun VİÇE</v>
      </c>
      <c r="Z3814" t="str">
        <f>VLOOKUP(C3814,'[1]DBS_KPY Sorumlular'!A:C,3,FALSE)</f>
        <v>Mehmet Ali YAVUZ</v>
      </c>
      <c r="AA3814" t="str">
        <f>VLOOKUP(K3814,[1]!Tablo3[#Data],2,FALSE)</f>
        <v>Kadir TOPÇU</v>
      </c>
    </row>
    <row r="3815" spans="1:27" x14ac:dyDescent="0.25">
      <c r="A3815">
        <v>5172</v>
      </c>
      <c r="B3815" t="s">
        <v>27</v>
      </c>
      <c r="C3815" t="s">
        <v>402</v>
      </c>
      <c r="D3815" t="s">
        <v>403</v>
      </c>
      <c r="G3815" t="s">
        <v>384</v>
      </c>
      <c r="H3815" t="s">
        <v>10527</v>
      </c>
      <c r="I3815" s="4">
        <v>45443.875</v>
      </c>
      <c r="K3815" t="s">
        <v>364</v>
      </c>
      <c r="L3815" s="5"/>
      <c r="M3815" s="5" t="s">
        <v>8423</v>
      </c>
      <c r="N3815" t="s">
        <v>82</v>
      </c>
      <c r="O3815" t="s">
        <v>10528</v>
      </c>
      <c r="R3815">
        <v>1</v>
      </c>
      <c r="T3815" s="5"/>
      <c r="W3815">
        <v>270</v>
      </c>
      <c r="X3815" t="s">
        <v>8412</v>
      </c>
      <c r="Y3815" t="str">
        <f>VLOOKUP(C3815,'[1]DBS_KPY Sorumlular'!A:C,2,FALSE)</f>
        <v>Tayfun VİÇE</v>
      </c>
      <c r="Z3815" t="str">
        <f>VLOOKUP(C3815,'[1]DBS_KPY Sorumlular'!A:C,3,FALSE)</f>
        <v>Mehmet Ali YAVUZ</v>
      </c>
      <c r="AA3815" t="str">
        <f>VLOOKUP(K3815,[1]!Tablo3[#Data],2,FALSE)</f>
        <v>Kadir TOPÇU</v>
      </c>
    </row>
    <row r="3816" spans="1:27" x14ac:dyDescent="0.25">
      <c r="A3816">
        <v>5173</v>
      </c>
      <c r="B3816" t="s">
        <v>27</v>
      </c>
      <c r="C3816" t="s">
        <v>402</v>
      </c>
      <c r="D3816" t="s">
        <v>403</v>
      </c>
      <c r="G3816" t="s">
        <v>384</v>
      </c>
      <c r="H3816" t="s">
        <v>10529</v>
      </c>
      <c r="I3816" s="4">
        <v>45443.875</v>
      </c>
      <c r="K3816" t="s">
        <v>364</v>
      </c>
      <c r="L3816" s="5"/>
      <c r="M3816" s="5" t="s">
        <v>8423</v>
      </c>
      <c r="N3816" t="s">
        <v>82</v>
      </c>
      <c r="O3816" t="s">
        <v>10530</v>
      </c>
      <c r="R3816">
        <v>1</v>
      </c>
      <c r="T3816" s="5"/>
      <c r="W3816">
        <v>270</v>
      </c>
      <c r="X3816" t="s">
        <v>8412</v>
      </c>
      <c r="Y3816" t="str">
        <f>VLOOKUP(C3816,'[1]DBS_KPY Sorumlular'!A:C,2,FALSE)</f>
        <v>Tayfun VİÇE</v>
      </c>
      <c r="Z3816" t="str">
        <f>VLOOKUP(C3816,'[1]DBS_KPY Sorumlular'!A:C,3,FALSE)</f>
        <v>Mehmet Ali YAVUZ</v>
      </c>
      <c r="AA3816" t="str">
        <f>VLOOKUP(K3816,[1]!Tablo3[#Data],2,FALSE)</f>
        <v>Kadir TOPÇU</v>
      </c>
    </row>
    <row r="3817" spans="1:27" x14ac:dyDescent="0.25">
      <c r="A3817">
        <v>5174</v>
      </c>
      <c r="B3817" t="s">
        <v>27</v>
      </c>
      <c r="C3817" t="s">
        <v>402</v>
      </c>
      <c r="D3817" t="s">
        <v>403</v>
      </c>
      <c r="G3817" t="s">
        <v>384</v>
      </c>
      <c r="H3817" t="s">
        <v>10531</v>
      </c>
      <c r="I3817" s="4">
        <v>45443.875</v>
      </c>
      <c r="K3817" t="s">
        <v>435</v>
      </c>
      <c r="L3817" s="5"/>
      <c r="M3817" s="5" t="s">
        <v>8423</v>
      </c>
      <c r="N3817" t="s">
        <v>82</v>
      </c>
      <c r="O3817" t="s">
        <v>10532</v>
      </c>
      <c r="R3817">
        <v>1</v>
      </c>
      <c r="T3817" s="5"/>
      <c r="W3817">
        <v>270</v>
      </c>
      <c r="X3817" t="s">
        <v>8412</v>
      </c>
      <c r="Y3817" t="str">
        <f>VLOOKUP(C3817,'[1]DBS_KPY Sorumlular'!A:C,2,FALSE)</f>
        <v>Tayfun VİÇE</v>
      </c>
      <c r="Z3817" t="str">
        <f>VLOOKUP(C3817,'[1]DBS_KPY Sorumlular'!A:C,3,FALSE)</f>
        <v>Mehmet Ali YAVUZ</v>
      </c>
      <c r="AA3817" t="str">
        <f>VLOOKUP(K3817,[1]!Tablo3[#Data],2,FALSE)</f>
        <v>Tayfun VİÇE</v>
      </c>
    </row>
    <row r="3818" spans="1:27" x14ac:dyDescent="0.25">
      <c r="A3818">
        <v>5176</v>
      </c>
      <c r="B3818" t="s">
        <v>27</v>
      </c>
      <c r="C3818" t="s">
        <v>402</v>
      </c>
      <c r="D3818" t="s">
        <v>403</v>
      </c>
      <c r="G3818" t="s">
        <v>384</v>
      </c>
      <c r="H3818" t="s">
        <v>10533</v>
      </c>
      <c r="I3818" s="4">
        <v>45443.875</v>
      </c>
      <c r="K3818" t="s">
        <v>435</v>
      </c>
      <c r="L3818" s="5"/>
      <c r="M3818" s="5" t="s">
        <v>8423</v>
      </c>
      <c r="N3818" t="s">
        <v>82</v>
      </c>
      <c r="O3818" t="s">
        <v>10534</v>
      </c>
      <c r="R3818">
        <v>1</v>
      </c>
      <c r="T3818" s="5"/>
      <c r="W3818">
        <v>270</v>
      </c>
      <c r="X3818" t="s">
        <v>8412</v>
      </c>
      <c r="Y3818" t="str">
        <f>VLOOKUP(C3818,'[1]DBS_KPY Sorumlular'!A:C,2,FALSE)</f>
        <v>Tayfun VİÇE</v>
      </c>
      <c r="Z3818" t="str">
        <f>VLOOKUP(C3818,'[1]DBS_KPY Sorumlular'!A:C,3,FALSE)</f>
        <v>Mehmet Ali YAVUZ</v>
      </c>
      <c r="AA3818" t="str">
        <f>VLOOKUP(K3818,[1]!Tablo3[#Data],2,FALSE)</f>
        <v>Tayfun VİÇE</v>
      </c>
    </row>
    <row r="3819" spans="1:27" x14ac:dyDescent="0.25">
      <c r="A3819">
        <v>5178</v>
      </c>
      <c r="B3819" t="s">
        <v>27</v>
      </c>
      <c r="C3819" t="s">
        <v>402</v>
      </c>
      <c r="D3819" t="s">
        <v>403</v>
      </c>
      <c r="G3819" t="s">
        <v>384</v>
      </c>
      <c r="H3819" t="s">
        <v>10535</v>
      </c>
      <c r="I3819" s="4">
        <v>45443.875</v>
      </c>
      <c r="K3819" t="s">
        <v>435</v>
      </c>
      <c r="L3819" s="5"/>
      <c r="M3819" s="5" t="s">
        <v>8423</v>
      </c>
      <c r="N3819" t="s">
        <v>82</v>
      </c>
      <c r="O3819" t="s">
        <v>10536</v>
      </c>
      <c r="R3819">
        <v>1</v>
      </c>
      <c r="T3819" s="5"/>
      <c r="W3819">
        <v>270</v>
      </c>
      <c r="X3819" t="s">
        <v>8412</v>
      </c>
      <c r="Y3819" t="str">
        <f>VLOOKUP(C3819,'[1]DBS_KPY Sorumlular'!A:C,2,FALSE)</f>
        <v>Tayfun VİÇE</v>
      </c>
      <c r="Z3819" t="str">
        <f>VLOOKUP(C3819,'[1]DBS_KPY Sorumlular'!A:C,3,FALSE)</f>
        <v>Mehmet Ali YAVUZ</v>
      </c>
      <c r="AA3819" t="str">
        <f>VLOOKUP(K3819,[1]!Tablo3[#Data],2,FALSE)</f>
        <v>Tayfun VİÇE</v>
      </c>
    </row>
    <row r="3820" spans="1:27" x14ac:dyDescent="0.25">
      <c r="A3820">
        <v>5179</v>
      </c>
      <c r="B3820" t="s">
        <v>27</v>
      </c>
      <c r="C3820" t="s">
        <v>402</v>
      </c>
      <c r="D3820" t="s">
        <v>403</v>
      </c>
      <c r="G3820" t="s">
        <v>384</v>
      </c>
      <c r="H3820" t="s">
        <v>10537</v>
      </c>
      <c r="I3820" s="4">
        <v>45443.875</v>
      </c>
      <c r="K3820" t="s">
        <v>435</v>
      </c>
      <c r="L3820" s="5"/>
      <c r="M3820" s="5" t="s">
        <v>8423</v>
      </c>
      <c r="N3820" t="s">
        <v>82</v>
      </c>
      <c r="O3820" t="s">
        <v>10538</v>
      </c>
      <c r="R3820">
        <v>1</v>
      </c>
      <c r="T3820" s="5"/>
      <c r="W3820">
        <v>270</v>
      </c>
      <c r="X3820" t="s">
        <v>8412</v>
      </c>
      <c r="Y3820" t="str">
        <f>VLOOKUP(C3820,'[1]DBS_KPY Sorumlular'!A:C,2,FALSE)</f>
        <v>Tayfun VİÇE</v>
      </c>
      <c r="Z3820" t="str">
        <f>VLOOKUP(C3820,'[1]DBS_KPY Sorumlular'!A:C,3,FALSE)</f>
        <v>Mehmet Ali YAVUZ</v>
      </c>
      <c r="AA3820" t="str">
        <f>VLOOKUP(K3820,[1]!Tablo3[#Data],2,FALSE)</f>
        <v>Tayfun VİÇE</v>
      </c>
    </row>
    <row r="3821" spans="1:27" x14ac:dyDescent="0.25">
      <c r="A3821">
        <v>5180</v>
      </c>
      <c r="B3821" t="s">
        <v>27</v>
      </c>
      <c r="C3821" t="s">
        <v>402</v>
      </c>
      <c r="D3821" t="s">
        <v>403</v>
      </c>
      <c r="G3821" t="s">
        <v>384</v>
      </c>
      <c r="H3821" t="s">
        <v>10539</v>
      </c>
      <c r="I3821" s="4">
        <v>45443.875</v>
      </c>
      <c r="K3821" t="s">
        <v>435</v>
      </c>
      <c r="L3821" s="5"/>
      <c r="M3821" s="5" t="s">
        <v>8423</v>
      </c>
      <c r="N3821" t="s">
        <v>82</v>
      </c>
      <c r="O3821" t="s">
        <v>10540</v>
      </c>
      <c r="R3821">
        <v>1</v>
      </c>
      <c r="T3821" s="5"/>
      <c r="W3821">
        <v>270</v>
      </c>
      <c r="X3821" t="s">
        <v>8412</v>
      </c>
      <c r="Y3821" t="str">
        <f>VLOOKUP(C3821,'[1]DBS_KPY Sorumlular'!A:C,2,FALSE)</f>
        <v>Tayfun VİÇE</v>
      </c>
      <c r="Z3821" t="str">
        <f>VLOOKUP(C3821,'[1]DBS_KPY Sorumlular'!A:C,3,FALSE)</f>
        <v>Mehmet Ali YAVUZ</v>
      </c>
      <c r="AA3821" t="str">
        <f>VLOOKUP(K3821,[1]!Tablo3[#Data],2,FALSE)</f>
        <v>Tayfun VİÇE</v>
      </c>
    </row>
    <row r="3822" spans="1:27" x14ac:dyDescent="0.25">
      <c r="A3822">
        <v>5181</v>
      </c>
      <c r="B3822" t="s">
        <v>27</v>
      </c>
      <c r="C3822" t="s">
        <v>402</v>
      </c>
      <c r="D3822" t="s">
        <v>403</v>
      </c>
      <c r="G3822" t="s">
        <v>384</v>
      </c>
      <c r="H3822" t="s">
        <v>10541</v>
      </c>
      <c r="I3822" s="4">
        <v>45443.875</v>
      </c>
      <c r="K3822" t="s">
        <v>435</v>
      </c>
      <c r="L3822" s="5"/>
      <c r="M3822" s="5" t="s">
        <v>8423</v>
      </c>
      <c r="N3822" t="s">
        <v>82</v>
      </c>
      <c r="O3822" t="s">
        <v>10542</v>
      </c>
      <c r="R3822">
        <v>1</v>
      </c>
      <c r="T3822" s="5"/>
      <c r="W3822">
        <v>270</v>
      </c>
      <c r="X3822" t="s">
        <v>8412</v>
      </c>
      <c r="Y3822" t="str">
        <f>VLOOKUP(C3822,'[1]DBS_KPY Sorumlular'!A:C,2,FALSE)</f>
        <v>Tayfun VİÇE</v>
      </c>
      <c r="Z3822" t="str">
        <f>VLOOKUP(C3822,'[1]DBS_KPY Sorumlular'!A:C,3,FALSE)</f>
        <v>Mehmet Ali YAVUZ</v>
      </c>
      <c r="AA3822" t="str">
        <f>VLOOKUP(K3822,[1]!Tablo3[#Data],2,FALSE)</f>
        <v>Tayfun VİÇE</v>
      </c>
    </row>
    <row r="3823" spans="1:27" x14ac:dyDescent="0.25">
      <c r="A3823">
        <v>5182</v>
      </c>
      <c r="B3823" t="s">
        <v>27</v>
      </c>
      <c r="C3823" t="s">
        <v>402</v>
      </c>
      <c r="D3823" t="s">
        <v>403</v>
      </c>
      <c r="G3823" t="s">
        <v>384</v>
      </c>
      <c r="H3823" t="s">
        <v>10543</v>
      </c>
      <c r="I3823" s="4">
        <v>45443.875</v>
      </c>
      <c r="K3823" t="s">
        <v>435</v>
      </c>
      <c r="L3823" s="5"/>
      <c r="M3823" s="5" t="s">
        <v>8423</v>
      </c>
      <c r="N3823" t="s">
        <v>82</v>
      </c>
      <c r="O3823" t="s">
        <v>10544</v>
      </c>
      <c r="R3823">
        <v>1</v>
      </c>
      <c r="T3823" s="5"/>
      <c r="W3823">
        <v>270</v>
      </c>
      <c r="X3823" t="s">
        <v>8412</v>
      </c>
      <c r="Y3823" t="str">
        <f>VLOOKUP(C3823,'[1]DBS_KPY Sorumlular'!A:C,2,FALSE)</f>
        <v>Tayfun VİÇE</v>
      </c>
      <c r="Z3823" t="str">
        <f>VLOOKUP(C3823,'[1]DBS_KPY Sorumlular'!A:C,3,FALSE)</f>
        <v>Mehmet Ali YAVUZ</v>
      </c>
      <c r="AA3823" t="str">
        <f>VLOOKUP(K3823,[1]!Tablo3[#Data],2,FALSE)</f>
        <v>Tayfun VİÇE</v>
      </c>
    </row>
    <row r="3824" spans="1:27" x14ac:dyDescent="0.25">
      <c r="A3824">
        <v>5183</v>
      </c>
      <c r="B3824" t="s">
        <v>27</v>
      </c>
      <c r="C3824" t="s">
        <v>402</v>
      </c>
      <c r="D3824" t="s">
        <v>403</v>
      </c>
      <c r="G3824" t="s">
        <v>384</v>
      </c>
      <c r="H3824" t="s">
        <v>10545</v>
      </c>
      <c r="I3824" s="4">
        <v>45443.875</v>
      </c>
      <c r="K3824" t="s">
        <v>435</v>
      </c>
      <c r="L3824" s="5"/>
      <c r="M3824" s="5" t="s">
        <v>8423</v>
      </c>
      <c r="N3824" t="s">
        <v>82</v>
      </c>
      <c r="O3824" t="s">
        <v>10546</v>
      </c>
      <c r="R3824">
        <v>1</v>
      </c>
      <c r="T3824" s="5"/>
      <c r="W3824">
        <v>270</v>
      </c>
      <c r="X3824" t="s">
        <v>8412</v>
      </c>
      <c r="Y3824" t="str">
        <f>VLOOKUP(C3824,'[1]DBS_KPY Sorumlular'!A:C,2,FALSE)</f>
        <v>Tayfun VİÇE</v>
      </c>
      <c r="Z3824" t="str">
        <f>VLOOKUP(C3824,'[1]DBS_KPY Sorumlular'!A:C,3,FALSE)</f>
        <v>Mehmet Ali YAVUZ</v>
      </c>
      <c r="AA3824" t="str">
        <f>VLOOKUP(K3824,[1]!Tablo3[#Data],2,FALSE)</f>
        <v>Tayfun VİÇE</v>
      </c>
    </row>
    <row r="3825" spans="1:27" x14ac:dyDescent="0.25">
      <c r="A3825">
        <v>5184</v>
      </c>
      <c r="B3825" t="s">
        <v>27</v>
      </c>
      <c r="C3825" t="s">
        <v>402</v>
      </c>
      <c r="D3825" t="s">
        <v>403</v>
      </c>
      <c r="G3825" t="s">
        <v>384</v>
      </c>
      <c r="H3825" t="s">
        <v>10547</v>
      </c>
      <c r="I3825" s="4">
        <v>45443.875</v>
      </c>
      <c r="K3825" t="s">
        <v>435</v>
      </c>
      <c r="L3825" s="5"/>
      <c r="M3825" s="5" t="s">
        <v>8423</v>
      </c>
      <c r="N3825" t="s">
        <v>82</v>
      </c>
      <c r="O3825" t="s">
        <v>10548</v>
      </c>
      <c r="R3825">
        <v>1</v>
      </c>
      <c r="T3825" s="5"/>
      <c r="W3825">
        <v>270</v>
      </c>
      <c r="X3825" t="s">
        <v>8412</v>
      </c>
      <c r="Y3825" t="str">
        <f>VLOOKUP(C3825,'[1]DBS_KPY Sorumlular'!A:C,2,FALSE)</f>
        <v>Tayfun VİÇE</v>
      </c>
      <c r="Z3825" t="str">
        <f>VLOOKUP(C3825,'[1]DBS_KPY Sorumlular'!A:C,3,FALSE)</f>
        <v>Mehmet Ali YAVUZ</v>
      </c>
      <c r="AA3825" t="str">
        <f>VLOOKUP(K3825,[1]!Tablo3[#Data],2,FALSE)</f>
        <v>Tayfun VİÇE</v>
      </c>
    </row>
    <row r="3826" spans="1:27" x14ac:dyDescent="0.25">
      <c r="A3826">
        <v>5185</v>
      </c>
      <c r="B3826" t="s">
        <v>27</v>
      </c>
      <c r="C3826" t="s">
        <v>402</v>
      </c>
      <c r="D3826" t="s">
        <v>403</v>
      </c>
      <c r="G3826" t="s">
        <v>384</v>
      </c>
      <c r="H3826" t="s">
        <v>10549</v>
      </c>
      <c r="I3826" s="4">
        <v>45443.875</v>
      </c>
      <c r="K3826" t="s">
        <v>435</v>
      </c>
      <c r="L3826" s="5"/>
      <c r="M3826" s="5" t="s">
        <v>8423</v>
      </c>
      <c r="N3826" t="s">
        <v>82</v>
      </c>
      <c r="O3826" t="s">
        <v>10550</v>
      </c>
      <c r="R3826">
        <v>1</v>
      </c>
      <c r="T3826" s="5"/>
      <c r="W3826">
        <v>270</v>
      </c>
      <c r="X3826" t="s">
        <v>8412</v>
      </c>
      <c r="Y3826" t="str">
        <f>VLOOKUP(C3826,'[1]DBS_KPY Sorumlular'!A:C,2,FALSE)</f>
        <v>Tayfun VİÇE</v>
      </c>
      <c r="Z3826" t="str">
        <f>VLOOKUP(C3826,'[1]DBS_KPY Sorumlular'!A:C,3,FALSE)</f>
        <v>Mehmet Ali YAVUZ</v>
      </c>
      <c r="AA3826" t="str">
        <f>VLOOKUP(K3826,[1]!Tablo3[#Data],2,FALSE)</f>
        <v>Tayfun VİÇE</v>
      </c>
    </row>
    <row r="3827" spans="1:27" x14ac:dyDescent="0.25">
      <c r="A3827">
        <v>5187</v>
      </c>
      <c r="B3827" t="s">
        <v>27</v>
      </c>
      <c r="C3827" t="s">
        <v>402</v>
      </c>
      <c r="D3827" t="s">
        <v>403</v>
      </c>
      <c r="G3827" t="s">
        <v>384</v>
      </c>
      <c r="H3827" t="s">
        <v>10551</v>
      </c>
      <c r="I3827" s="4">
        <v>45443.875</v>
      </c>
      <c r="K3827" t="s">
        <v>435</v>
      </c>
      <c r="L3827" s="5"/>
      <c r="M3827" s="5" t="s">
        <v>8423</v>
      </c>
      <c r="N3827" t="s">
        <v>82</v>
      </c>
      <c r="O3827" t="s">
        <v>10552</v>
      </c>
      <c r="R3827">
        <v>1</v>
      </c>
      <c r="T3827" s="5"/>
      <c r="W3827">
        <v>270</v>
      </c>
      <c r="X3827" t="s">
        <v>8412</v>
      </c>
      <c r="Y3827" t="str">
        <f>VLOOKUP(C3827,'[1]DBS_KPY Sorumlular'!A:C,2,FALSE)</f>
        <v>Tayfun VİÇE</v>
      </c>
      <c r="Z3827" t="str">
        <f>VLOOKUP(C3827,'[1]DBS_KPY Sorumlular'!A:C,3,FALSE)</f>
        <v>Mehmet Ali YAVUZ</v>
      </c>
      <c r="AA3827" t="str">
        <f>VLOOKUP(K3827,[1]!Tablo3[#Data],2,FALSE)</f>
        <v>Tayfun VİÇE</v>
      </c>
    </row>
    <row r="3828" spans="1:27" x14ac:dyDescent="0.25">
      <c r="A3828">
        <v>5188</v>
      </c>
      <c r="B3828" t="s">
        <v>27</v>
      </c>
      <c r="C3828" t="s">
        <v>402</v>
      </c>
      <c r="D3828" t="s">
        <v>403</v>
      </c>
      <c r="G3828" t="s">
        <v>384</v>
      </c>
      <c r="H3828" t="s">
        <v>10553</v>
      </c>
      <c r="I3828" s="4">
        <v>45443.875</v>
      </c>
      <c r="K3828" t="s">
        <v>435</v>
      </c>
      <c r="L3828" s="5"/>
      <c r="M3828" s="5" t="s">
        <v>8423</v>
      </c>
      <c r="N3828" t="s">
        <v>82</v>
      </c>
      <c r="O3828" t="s">
        <v>10554</v>
      </c>
      <c r="R3828">
        <v>1</v>
      </c>
      <c r="T3828" s="5"/>
      <c r="W3828">
        <v>270</v>
      </c>
      <c r="X3828" t="s">
        <v>8412</v>
      </c>
      <c r="Y3828" t="str">
        <f>VLOOKUP(C3828,'[1]DBS_KPY Sorumlular'!A:C,2,FALSE)</f>
        <v>Tayfun VİÇE</v>
      </c>
      <c r="Z3828" t="str">
        <f>VLOOKUP(C3828,'[1]DBS_KPY Sorumlular'!A:C,3,FALSE)</f>
        <v>Mehmet Ali YAVUZ</v>
      </c>
      <c r="AA3828" t="str">
        <f>VLOOKUP(K3828,[1]!Tablo3[#Data],2,FALSE)</f>
        <v>Tayfun VİÇE</v>
      </c>
    </row>
    <row r="3829" spans="1:27" x14ac:dyDescent="0.25">
      <c r="A3829">
        <v>5189</v>
      </c>
      <c r="B3829" t="s">
        <v>27</v>
      </c>
      <c r="C3829" t="s">
        <v>402</v>
      </c>
      <c r="D3829" t="s">
        <v>403</v>
      </c>
      <c r="G3829" t="s">
        <v>384</v>
      </c>
      <c r="H3829" t="s">
        <v>10555</v>
      </c>
      <c r="I3829" s="4">
        <v>45443.875</v>
      </c>
      <c r="K3829" t="s">
        <v>435</v>
      </c>
      <c r="L3829" s="5"/>
      <c r="M3829" s="5" t="s">
        <v>8423</v>
      </c>
      <c r="N3829" t="s">
        <v>82</v>
      </c>
      <c r="O3829" t="s">
        <v>10556</v>
      </c>
      <c r="R3829">
        <v>1</v>
      </c>
      <c r="T3829" s="5"/>
      <c r="W3829">
        <v>270</v>
      </c>
      <c r="X3829" t="s">
        <v>8412</v>
      </c>
      <c r="Y3829" t="str">
        <f>VLOOKUP(C3829,'[1]DBS_KPY Sorumlular'!A:C,2,FALSE)</f>
        <v>Tayfun VİÇE</v>
      </c>
      <c r="Z3829" t="str">
        <f>VLOOKUP(C3829,'[1]DBS_KPY Sorumlular'!A:C,3,FALSE)</f>
        <v>Mehmet Ali YAVUZ</v>
      </c>
      <c r="AA3829" t="str">
        <f>VLOOKUP(K3829,[1]!Tablo3[#Data],2,FALSE)</f>
        <v>Tayfun VİÇE</v>
      </c>
    </row>
    <row r="3830" spans="1:27" x14ac:dyDescent="0.25">
      <c r="A3830">
        <v>5190</v>
      </c>
      <c r="B3830" t="s">
        <v>27</v>
      </c>
      <c r="C3830" t="s">
        <v>402</v>
      </c>
      <c r="D3830" t="s">
        <v>403</v>
      </c>
      <c r="G3830" t="s">
        <v>384</v>
      </c>
      <c r="H3830" t="s">
        <v>10557</v>
      </c>
      <c r="I3830" s="4">
        <v>45443.875</v>
      </c>
      <c r="K3830" t="s">
        <v>435</v>
      </c>
      <c r="L3830" s="5"/>
      <c r="M3830" s="5" t="s">
        <v>8423</v>
      </c>
      <c r="N3830" t="s">
        <v>82</v>
      </c>
      <c r="O3830" t="s">
        <v>10558</v>
      </c>
      <c r="R3830">
        <v>1</v>
      </c>
      <c r="T3830" s="5"/>
      <c r="W3830">
        <v>270</v>
      </c>
      <c r="X3830" t="s">
        <v>8412</v>
      </c>
      <c r="Y3830" t="str">
        <f>VLOOKUP(C3830,'[1]DBS_KPY Sorumlular'!A:C,2,FALSE)</f>
        <v>Tayfun VİÇE</v>
      </c>
      <c r="Z3830" t="str">
        <f>VLOOKUP(C3830,'[1]DBS_KPY Sorumlular'!A:C,3,FALSE)</f>
        <v>Mehmet Ali YAVUZ</v>
      </c>
      <c r="AA3830" t="str">
        <f>VLOOKUP(K3830,[1]!Tablo3[#Data],2,FALSE)</f>
        <v>Tayfun VİÇE</v>
      </c>
    </row>
    <row r="3831" spans="1:27" x14ac:dyDescent="0.25">
      <c r="A3831">
        <v>5191</v>
      </c>
      <c r="B3831" t="s">
        <v>27</v>
      </c>
      <c r="C3831" t="s">
        <v>402</v>
      </c>
      <c r="D3831" t="s">
        <v>403</v>
      </c>
      <c r="G3831" t="s">
        <v>384</v>
      </c>
      <c r="H3831" t="s">
        <v>10559</v>
      </c>
      <c r="I3831" s="4">
        <v>45443.875</v>
      </c>
      <c r="K3831" t="s">
        <v>435</v>
      </c>
      <c r="L3831" s="5"/>
      <c r="M3831" s="5" t="s">
        <v>8423</v>
      </c>
      <c r="N3831" t="s">
        <v>82</v>
      </c>
      <c r="O3831" t="s">
        <v>10560</v>
      </c>
      <c r="R3831">
        <v>1</v>
      </c>
      <c r="T3831" s="5"/>
      <c r="W3831">
        <v>270</v>
      </c>
      <c r="X3831" t="s">
        <v>8412</v>
      </c>
      <c r="Y3831" t="str">
        <f>VLOOKUP(C3831,'[1]DBS_KPY Sorumlular'!A:C,2,FALSE)</f>
        <v>Tayfun VİÇE</v>
      </c>
      <c r="Z3831" t="str">
        <f>VLOOKUP(C3831,'[1]DBS_KPY Sorumlular'!A:C,3,FALSE)</f>
        <v>Mehmet Ali YAVUZ</v>
      </c>
      <c r="AA3831" t="str">
        <f>VLOOKUP(K3831,[1]!Tablo3[#Data],2,FALSE)</f>
        <v>Tayfun VİÇE</v>
      </c>
    </row>
    <row r="3832" spans="1:27" x14ac:dyDescent="0.25">
      <c r="A3832">
        <v>5192</v>
      </c>
      <c r="B3832" t="s">
        <v>27</v>
      </c>
      <c r="C3832" t="s">
        <v>402</v>
      </c>
      <c r="D3832" t="s">
        <v>403</v>
      </c>
      <c r="G3832" t="s">
        <v>384</v>
      </c>
      <c r="H3832" t="s">
        <v>10561</v>
      </c>
      <c r="I3832" s="4">
        <v>45443.875</v>
      </c>
      <c r="K3832" t="s">
        <v>435</v>
      </c>
      <c r="L3832" s="5"/>
      <c r="M3832" s="5" t="s">
        <v>8423</v>
      </c>
      <c r="N3832" t="s">
        <v>82</v>
      </c>
      <c r="O3832" t="s">
        <v>10562</v>
      </c>
      <c r="R3832">
        <v>1</v>
      </c>
      <c r="T3832" s="5"/>
      <c r="W3832">
        <v>270</v>
      </c>
      <c r="X3832" t="s">
        <v>8412</v>
      </c>
      <c r="Y3832" t="str">
        <f>VLOOKUP(C3832,'[1]DBS_KPY Sorumlular'!A:C,2,FALSE)</f>
        <v>Tayfun VİÇE</v>
      </c>
      <c r="Z3832" t="str">
        <f>VLOOKUP(C3832,'[1]DBS_KPY Sorumlular'!A:C,3,FALSE)</f>
        <v>Mehmet Ali YAVUZ</v>
      </c>
      <c r="AA3832" t="str">
        <f>VLOOKUP(K3832,[1]!Tablo3[#Data],2,FALSE)</f>
        <v>Tayfun VİÇE</v>
      </c>
    </row>
    <row r="3833" spans="1:27" x14ac:dyDescent="0.25">
      <c r="A3833">
        <v>5196</v>
      </c>
      <c r="B3833" t="s">
        <v>27</v>
      </c>
      <c r="C3833" t="s">
        <v>402</v>
      </c>
      <c r="D3833" t="s">
        <v>403</v>
      </c>
      <c r="G3833" t="s">
        <v>384</v>
      </c>
      <c r="H3833" t="s">
        <v>10563</v>
      </c>
      <c r="I3833" s="4">
        <v>45443.875</v>
      </c>
      <c r="K3833" t="s">
        <v>435</v>
      </c>
      <c r="L3833" s="5"/>
      <c r="M3833" s="5" t="s">
        <v>8423</v>
      </c>
      <c r="N3833" t="s">
        <v>82</v>
      </c>
      <c r="O3833" t="s">
        <v>10564</v>
      </c>
      <c r="R3833">
        <v>1</v>
      </c>
      <c r="T3833" s="5"/>
      <c r="W3833">
        <v>270</v>
      </c>
      <c r="X3833" t="s">
        <v>8412</v>
      </c>
      <c r="Y3833" t="str">
        <f>VLOOKUP(C3833,'[1]DBS_KPY Sorumlular'!A:C,2,FALSE)</f>
        <v>Tayfun VİÇE</v>
      </c>
      <c r="Z3833" t="str">
        <f>VLOOKUP(C3833,'[1]DBS_KPY Sorumlular'!A:C,3,FALSE)</f>
        <v>Mehmet Ali YAVUZ</v>
      </c>
      <c r="AA3833" t="str">
        <f>VLOOKUP(K3833,[1]!Tablo3[#Data],2,FALSE)</f>
        <v>Tayfun VİÇE</v>
      </c>
    </row>
    <row r="3834" spans="1:27" x14ac:dyDescent="0.25">
      <c r="A3834">
        <v>5197</v>
      </c>
      <c r="B3834" t="s">
        <v>27</v>
      </c>
      <c r="C3834" t="s">
        <v>402</v>
      </c>
      <c r="D3834" t="s">
        <v>403</v>
      </c>
      <c r="G3834" t="s">
        <v>384</v>
      </c>
      <c r="H3834" t="s">
        <v>10565</v>
      </c>
      <c r="I3834" s="4">
        <v>45443.875</v>
      </c>
      <c r="K3834" t="s">
        <v>435</v>
      </c>
      <c r="L3834" s="5"/>
      <c r="M3834" s="5" t="s">
        <v>8423</v>
      </c>
      <c r="N3834" t="s">
        <v>82</v>
      </c>
      <c r="O3834" t="s">
        <v>10566</v>
      </c>
      <c r="R3834">
        <v>1</v>
      </c>
      <c r="T3834" s="5"/>
      <c r="W3834">
        <v>270</v>
      </c>
      <c r="X3834" t="s">
        <v>8412</v>
      </c>
      <c r="Y3834" t="str">
        <f>VLOOKUP(C3834,'[1]DBS_KPY Sorumlular'!A:C,2,FALSE)</f>
        <v>Tayfun VİÇE</v>
      </c>
      <c r="Z3834" t="str">
        <f>VLOOKUP(C3834,'[1]DBS_KPY Sorumlular'!A:C,3,FALSE)</f>
        <v>Mehmet Ali YAVUZ</v>
      </c>
      <c r="AA3834" t="str">
        <f>VLOOKUP(K3834,[1]!Tablo3[#Data],2,FALSE)</f>
        <v>Tayfun VİÇE</v>
      </c>
    </row>
    <row r="3835" spans="1:27" x14ac:dyDescent="0.25">
      <c r="A3835">
        <v>5198</v>
      </c>
      <c r="B3835" t="s">
        <v>27</v>
      </c>
      <c r="C3835" t="s">
        <v>402</v>
      </c>
      <c r="D3835" t="s">
        <v>403</v>
      </c>
      <c r="G3835" t="s">
        <v>384</v>
      </c>
      <c r="H3835" t="s">
        <v>10567</v>
      </c>
      <c r="I3835" s="4">
        <v>45443.875</v>
      </c>
      <c r="K3835" t="s">
        <v>435</v>
      </c>
      <c r="L3835" s="5"/>
      <c r="M3835" s="5" t="s">
        <v>8423</v>
      </c>
      <c r="N3835" t="s">
        <v>82</v>
      </c>
      <c r="O3835" t="s">
        <v>10568</v>
      </c>
      <c r="R3835">
        <v>1</v>
      </c>
      <c r="T3835" s="5"/>
      <c r="W3835">
        <v>270</v>
      </c>
      <c r="X3835" t="s">
        <v>8412</v>
      </c>
      <c r="Y3835" t="str">
        <f>VLOOKUP(C3835,'[1]DBS_KPY Sorumlular'!A:C,2,FALSE)</f>
        <v>Tayfun VİÇE</v>
      </c>
      <c r="Z3835" t="str">
        <f>VLOOKUP(C3835,'[1]DBS_KPY Sorumlular'!A:C,3,FALSE)</f>
        <v>Mehmet Ali YAVUZ</v>
      </c>
      <c r="AA3835" t="str">
        <f>VLOOKUP(K3835,[1]!Tablo3[#Data],2,FALSE)</f>
        <v>Tayfun VİÇE</v>
      </c>
    </row>
    <row r="3836" spans="1:27" x14ac:dyDescent="0.25">
      <c r="A3836">
        <v>5199</v>
      </c>
      <c r="B3836" t="s">
        <v>27</v>
      </c>
      <c r="C3836" t="s">
        <v>402</v>
      </c>
      <c r="D3836" t="s">
        <v>403</v>
      </c>
      <c r="G3836" t="s">
        <v>384</v>
      </c>
      <c r="H3836" t="s">
        <v>10569</v>
      </c>
      <c r="I3836" s="4">
        <v>45443.875</v>
      </c>
      <c r="K3836" t="s">
        <v>435</v>
      </c>
      <c r="L3836" s="5"/>
      <c r="M3836" s="5" t="s">
        <v>8423</v>
      </c>
      <c r="N3836" t="s">
        <v>82</v>
      </c>
      <c r="O3836" t="s">
        <v>10570</v>
      </c>
      <c r="R3836">
        <v>1</v>
      </c>
      <c r="T3836" s="5"/>
      <c r="W3836">
        <v>270</v>
      </c>
      <c r="X3836" t="s">
        <v>8412</v>
      </c>
      <c r="Y3836" t="str">
        <f>VLOOKUP(C3836,'[1]DBS_KPY Sorumlular'!A:C,2,FALSE)</f>
        <v>Tayfun VİÇE</v>
      </c>
      <c r="Z3836" t="str">
        <f>VLOOKUP(C3836,'[1]DBS_KPY Sorumlular'!A:C,3,FALSE)</f>
        <v>Mehmet Ali YAVUZ</v>
      </c>
      <c r="AA3836" t="str">
        <f>VLOOKUP(K3836,[1]!Tablo3[#Data],2,FALSE)</f>
        <v>Tayfun VİÇE</v>
      </c>
    </row>
    <row r="3837" spans="1:27" x14ac:dyDescent="0.25">
      <c r="A3837">
        <v>5200</v>
      </c>
      <c r="B3837" t="s">
        <v>27</v>
      </c>
      <c r="C3837" t="s">
        <v>402</v>
      </c>
      <c r="D3837" t="s">
        <v>403</v>
      </c>
      <c r="G3837" t="s">
        <v>384</v>
      </c>
      <c r="H3837" t="s">
        <v>10571</v>
      </c>
      <c r="I3837" s="4">
        <v>45443.875</v>
      </c>
      <c r="K3837" t="s">
        <v>459</v>
      </c>
      <c r="L3837" s="5"/>
      <c r="M3837" s="5" t="s">
        <v>8423</v>
      </c>
      <c r="N3837" t="s">
        <v>82</v>
      </c>
      <c r="O3837" t="s">
        <v>10572</v>
      </c>
      <c r="R3837">
        <v>1</v>
      </c>
      <c r="T3837" s="5"/>
      <c r="W3837">
        <v>270</v>
      </c>
      <c r="X3837" t="s">
        <v>8412</v>
      </c>
      <c r="Y3837" t="str">
        <f>VLOOKUP(C3837,'[1]DBS_KPY Sorumlular'!A:C,2,FALSE)</f>
        <v>Tayfun VİÇE</v>
      </c>
      <c r="Z3837" t="str">
        <f>VLOOKUP(C3837,'[1]DBS_KPY Sorumlular'!A:C,3,FALSE)</f>
        <v>Mehmet Ali YAVUZ</v>
      </c>
      <c r="AA3837" t="str">
        <f>VLOOKUP(K3837,[1]!Tablo3[#Data],2,FALSE)</f>
        <v>Erkan AKDOĞAN</v>
      </c>
    </row>
    <row r="3838" spans="1:27" x14ac:dyDescent="0.25">
      <c r="A3838">
        <v>5201</v>
      </c>
      <c r="B3838" t="s">
        <v>27</v>
      </c>
      <c r="C3838" t="s">
        <v>402</v>
      </c>
      <c r="D3838" t="s">
        <v>403</v>
      </c>
      <c r="G3838" t="s">
        <v>384</v>
      </c>
      <c r="H3838" t="s">
        <v>10573</v>
      </c>
      <c r="I3838" s="4">
        <v>45443.875</v>
      </c>
      <c r="K3838" t="s">
        <v>232</v>
      </c>
      <c r="L3838" s="5"/>
      <c r="M3838" s="5" t="s">
        <v>8423</v>
      </c>
      <c r="N3838" t="s">
        <v>82</v>
      </c>
      <c r="O3838" t="s">
        <v>10574</v>
      </c>
      <c r="R3838">
        <v>1</v>
      </c>
      <c r="T3838" s="5"/>
      <c r="W3838">
        <v>270</v>
      </c>
      <c r="X3838" t="s">
        <v>8412</v>
      </c>
      <c r="Y3838" t="str">
        <f>VLOOKUP(C3838,'[1]DBS_KPY Sorumlular'!A:C,2,FALSE)</f>
        <v>Tayfun VİÇE</v>
      </c>
      <c r="Z3838" t="str">
        <f>VLOOKUP(C3838,'[1]DBS_KPY Sorumlular'!A:C,3,FALSE)</f>
        <v>Mehmet Ali YAVUZ</v>
      </c>
      <c r="AA3838" t="str">
        <f>VLOOKUP(K3838,[1]!Tablo3[#Data],2,FALSE)</f>
        <v>Erkan AKDOĞAN</v>
      </c>
    </row>
    <row r="3839" spans="1:27" x14ac:dyDescent="0.25">
      <c r="A3839">
        <v>5202</v>
      </c>
      <c r="B3839" t="s">
        <v>27</v>
      </c>
      <c r="C3839" t="s">
        <v>402</v>
      </c>
      <c r="D3839" t="s">
        <v>403</v>
      </c>
      <c r="G3839" t="s">
        <v>384</v>
      </c>
      <c r="H3839" t="s">
        <v>10575</v>
      </c>
      <c r="I3839" s="4">
        <v>45443.875</v>
      </c>
      <c r="K3839" t="s">
        <v>217</v>
      </c>
      <c r="L3839" s="5"/>
      <c r="M3839" s="5" t="s">
        <v>8423</v>
      </c>
      <c r="N3839" t="s">
        <v>82</v>
      </c>
      <c r="O3839" t="s">
        <v>10576</v>
      </c>
      <c r="R3839">
        <v>1</v>
      </c>
      <c r="T3839" s="5"/>
      <c r="W3839">
        <v>270</v>
      </c>
      <c r="X3839" t="s">
        <v>8412</v>
      </c>
      <c r="Y3839" t="str">
        <f>VLOOKUP(C3839,'[1]DBS_KPY Sorumlular'!A:C,2,FALSE)</f>
        <v>Tayfun VİÇE</v>
      </c>
      <c r="Z3839" t="str">
        <f>VLOOKUP(C3839,'[1]DBS_KPY Sorumlular'!A:C,3,FALSE)</f>
        <v>Mehmet Ali YAVUZ</v>
      </c>
      <c r="AA3839" t="str">
        <f>VLOOKUP(K3839,[1]!Tablo3[#Data],2,FALSE)</f>
        <v>Erkan AKDOĞAN</v>
      </c>
    </row>
    <row r="3840" spans="1:27" x14ac:dyDescent="0.25">
      <c r="A3840">
        <v>5203</v>
      </c>
      <c r="B3840" t="s">
        <v>27</v>
      </c>
      <c r="C3840" t="s">
        <v>402</v>
      </c>
      <c r="D3840" t="s">
        <v>403</v>
      </c>
      <c r="G3840" t="s">
        <v>384</v>
      </c>
      <c r="H3840" t="s">
        <v>10577</v>
      </c>
      <c r="I3840" s="4">
        <v>45443.875</v>
      </c>
      <c r="K3840" t="s">
        <v>217</v>
      </c>
      <c r="L3840" s="5"/>
      <c r="M3840" s="5" t="s">
        <v>8423</v>
      </c>
      <c r="N3840" t="s">
        <v>82</v>
      </c>
      <c r="O3840" t="s">
        <v>10578</v>
      </c>
      <c r="R3840">
        <v>1</v>
      </c>
      <c r="T3840" s="5"/>
      <c r="W3840">
        <v>270</v>
      </c>
      <c r="X3840" t="s">
        <v>8412</v>
      </c>
      <c r="Y3840" t="str">
        <f>VLOOKUP(C3840,'[1]DBS_KPY Sorumlular'!A:C,2,FALSE)</f>
        <v>Tayfun VİÇE</v>
      </c>
      <c r="Z3840" t="str">
        <f>VLOOKUP(C3840,'[1]DBS_KPY Sorumlular'!A:C,3,FALSE)</f>
        <v>Mehmet Ali YAVUZ</v>
      </c>
      <c r="AA3840" t="str">
        <f>VLOOKUP(K3840,[1]!Tablo3[#Data],2,FALSE)</f>
        <v>Erkan AKDOĞAN</v>
      </c>
    </row>
    <row r="3841" spans="1:27" x14ac:dyDescent="0.25">
      <c r="A3841">
        <v>5204</v>
      </c>
      <c r="B3841" t="s">
        <v>27</v>
      </c>
      <c r="C3841" t="s">
        <v>402</v>
      </c>
      <c r="D3841" t="s">
        <v>403</v>
      </c>
      <c r="G3841" t="s">
        <v>384</v>
      </c>
      <c r="H3841" t="s">
        <v>10579</v>
      </c>
      <c r="I3841" s="4">
        <v>45443.875</v>
      </c>
      <c r="K3841" t="s">
        <v>232</v>
      </c>
      <c r="L3841" s="5"/>
      <c r="M3841" s="5" t="s">
        <v>8423</v>
      </c>
      <c r="N3841" t="s">
        <v>82</v>
      </c>
      <c r="O3841" t="s">
        <v>10580</v>
      </c>
      <c r="R3841">
        <v>1</v>
      </c>
      <c r="T3841" s="5"/>
      <c r="W3841">
        <v>270</v>
      </c>
      <c r="X3841" t="s">
        <v>8412</v>
      </c>
      <c r="Y3841" t="str">
        <f>VLOOKUP(C3841,'[1]DBS_KPY Sorumlular'!A:C,2,FALSE)</f>
        <v>Tayfun VİÇE</v>
      </c>
      <c r="Z3841" t="str">
        <f>VLOOKUP(C3841,'[1]DBS_KPY Sorumlular'!A:C,3,FALSE)</f>
        <v>Mehmet Ali YAVUZ</v>
      </c>
      <c r="AA3841" t="str">
        <f>VLOOKUP(K3841,[1]!Tablo3[#Data],2,FALSE)</f>
        <v>Erkan AKDOĞAN</v>
      </c>
    </row>
    <row r="3842" spans="1:27" x14ac:dyDescent="0.25">
      <c r="A3842">
        <v>5206</v>
      </c>
      <c r="B3842" t="s">
        <v>27</v>
      </c>
      <c r="C3842" t="s">
        <v>402</v>
      </c>
      <c r="D3842" t="s">
        <v>403</v>
      </c>
      <c r="G3842" t="s">
        <v>384</v>
      </c>
      <c r="H3842" t="s">
        <v>10581</v>
      </c>
      <c r="I3842" s="4">
        <v>45443.875</v>
      </c>
      <c r="K3842" t="s">
        <v>1002</v>
      </c>
      <c r="L3842" s="5"/>
      <c r="M3842" s="5" t="s">
        <v>8423</v>
      </c>
      <c r="N3842" t="s">
        <v>82</v>
      </c>
      <c r="O3842" t="s">
        <v>10582</v>
      </c>
      <c r="R3842">
        <v>1</v>
      </c>
      <c r="T3842" s="5"/>
      <c r="W3842">
        <v>270</v>
      </c>
      <c r="X3842" t="s">
        <v>8412</v>
      </c>
      <c r="Y3842" t="str">
        <f>VLOOKUP(C3842,'[1]DBS_KPY Sorumlular'!A:C,2,FALSE)</f>
        <v>Tayfun VİÇE</v>
      </c>
      <c r="Z3842" t="str">
        <f>VLOOKUP(C3842,'[1]DBS_KPY Sorumlular'!A:C,3,FALSE)</f>
        <v>Mehmet Ali YAVUZ</v>
      </c>
      <c r="AA3842" t="str">
        <f>VLOOKUP(K3842,[1]!Tablo3[#Data],2,FALSE)</f>
        <v>Kadir TOPÇU</v>
      </c>
    </row>
    <row r="3843" spans="1:27" x14ac:dyDescent="0.25">
      <c r="A3843">
        <v>5207</v>
      </c>
      <c r="B3843" t="s">
        <v>27</v>
      </c>
      <c r="C3843" t="s">
        <v>402</v>
      </c>
      <c r="D3843" t="s">
        <v>403</v>
      </c>
      <c r="G3843" t="s">
        <v>384</v>
      </c>
      <c r="H3843" t="s">
        <v>10583</v>
      </c>
      <c r="I3843" s="4">
        <v>45443.875</v>
      </c>
      <c r="K3843" t="s">
        <v>534</v>
      </c>
      <c r="L3843" s="5"/>
      <c r="M3843" s="5" t="s">
        <v>8423</v>
      </c>
      <c r="N3843" t="s">
        <v>82</v>
      </c>
      <c r="O3843" t="s">
        <v>10584</v>
      </c>
      <c r="R3843">
        <v>1</v>
      </c>
      <c r="T3843" s="5"/>
      <c r="W3843">
        <v>270</v>
      </c>
      <c r="X3843" t="s">
        <v>8412</v>
      </c>
      <c r="Y3843" t="str">
        <f>VLOOKUP(C3843,'[1]DBS_KPY Sorumlular'!A:C,2,FALSE)</f>
        <v>Tayfun VİÇE</v>
      </c>
      <c r="Z3843" t="str">
        <f>VLOOKUP(C3843,'[1]DBS_KPY Sorumlular'!A:C,3,FALSE)</f>
        <v>Mehmet Ali YAVUZ</v>
      </c>
      <c r="AA3843" t="str">
        <f>VLOOKUP(K3843,[1]!Tablo3[#Data],2,FALSE)</f>
        <v>Erkan AKDOĞAN</v>
      </c>
    </row>
    <row r="3844" spans="1:27" x14ac:dyDescent="0.25">
      <c r="A3844">
        <v>5208</v>
      </c>
      <c r="B3844" t="s">
        <v>27</v>
      </c>
      <c r="C3844" t="s">
        <v>402</v>
      </c>
      <c r="D3844" t="s">
        <v>403</v>
      </c>
      <c r="G3844" t="s">
        <v>384</v>
      </c>
      <c r="H3844" t="s">
        <v>10585</v>
      </c>
      <c r="I3844" s="4">
        <v>45443.875</v>
      </c>
      <c r="K3844" t="s">
        <v>743</v>
      </c>
      <c r="L3844" s="5"/>
      <c r="M3844" s="5" t="s">
        <v>8423</v>
      </c>
      <c r="N3844" t="s">
        <v>82</v>
      </c>
      <c r="O3844" t="s">
        <v>10586</v>
      </c>
      <c r="R3844">
        <v>1</v>
      </c>
      <c r="T3844" s="5"/>
      <c r="W3844">
        <v>270</v>
      </c>
      <c r="X3844" t="s">
        <v>8412</v>
      </c>
      <c r="Y3844" t="str">
        <f>VLOOKUP(C3844,'[1]DBS_KPY Sorumlular'!A:C,2,FALSE)</f>
        <v>Tayfun VİÇE</v>
      </c>
      <c r="Z3844" t="str">
        <f>VLOOKUP(C3844,'[1]DBS_KPY Sorumlular'!A:C,3,FALSE)</f>
        <v>Mehmet Ali YAVUZ</v>
      </c>
      <c r="AA3844" t="str">
        <f>VLOOKUP(K3844,[1]!Tablo3[#Data],2,FALSE)</f>
        <v>Kadir TOPÇU</v>
      </c>
    </row>
    <row r="3845" spans="1:27" x14ac:dyDescent="0.25">
      <c r="A3845">
        <v>5209</v>
      </c>
      <c r="B3845" t="s">
        <v>27</v>
      </c>
      <c r="C3845" t="s">
        <v>402</v>
      </c>
      <c r="D3845" t="s">
        <v>403</v>
      </c>
      <c r="G3845" t="s">
        <v>384</v>
      </c>
      <c r="H3845" t="s">
        <v>10587</v>
      </c>
      <c r="I3845" s="4">
        <v>45443.875</v>
      </c>
      <c r="K3845" t="s">
        <v>534</v>
      </c>
      <c r="L3845" s="5"/>
      <c r="M3845" s="5" t="s">
        <v>8423</v>
      </c>
      <c r="N3845" t="s">
        <v>82</v>
      </c>
      <c r="O3845" t="s">
        <v>10588</v>
      </c>
      <c r="R3845">
        <v>1</v>
      </c>
      <c r="T3845" s="5"/>
      <c r="W3845">
        <v>270</v>
      </c>
      <c r="X3845" t="s">
        <v>8412</v>
      </c>
      <c r="Y3845" t="str">
        <f>VLOOKUP(C3845,'[1]DBS_KPY Sorumlular'!A:C,2,FALSE)</f>
        <v>Tayfun VİÇE</v>
      </c>
      <c r="Z3845" t="str">
        <f>VLOOKUP(C3845,'[1]DBS_KPY Sorumlular'!A:C,3,FALSE)</f>
        <v>Mehmet Ali YAVUZ</v>
      </c>
      <c r="AA3845" t="str">
        <f>VLOOKUP(K3845,[1]!Tablo3[#Data],2,FALSE)</f>
        <v>Erkan AKDOĞAN</v>
      </c>
    </row>
    <row r="3846" spans="1:27" x14ac:dyDescent="0.25">
      <c r="A3846">
        <v>5210</v>
      </c>
      <c r="B3846" t="s">
        <v>27</v>
      </c>
      <c r="C3846" t="s">
        <v>402</v>
      </c>
      <c r="D3846" t="s">
        <v>403</v>
      </c>
      <c r="G3846" t="s">
        <v>384</v>
      </c>
      <c r="H3846" t="s">
        <v>10589</v>
      </c>
      <c r="I3846" s="4">
        <v>45443.875</v>
      </c>
      <c r="K3846" t="s">
        <v>534</v>
      </c>
      <c r="L3846" s="5"/>
      <c r="M3846" s="5" t="s">
        <v>8423</v>
      </c>
      <c r="N3846" t="s">
        <v>82</v>
      </c>
      <c r="O3846" t="s">
        <v>10590</v>
      </c>
      <c r="R3846">
        <v>1</v>
      </c>
      <c r="T3846" s="5"/>
      <c r="W3846">
        <v>270</v>
      </c>
      <c r="X3846" t="s">
        <v>8412</v>
      </c>
      <c r="Y3846" t="str">
        <f>VLOOKUP(C3846,'[1]DBS_KPY Sorumlular'!A:C,2,FALSE)</f>
        <v>Tayfun VİÇE</v>
      </c>
      <c r="Z3846" t="str">
        <f>VLOOKUP(C3846,'[1]DBS_KPY Sorumlular'!A:C,3,FALSE)</f>
        <v>Mehmet Ali YAVUZ</v>
      </c>
      <c r="AA3846" t="str">
        <f>VLOOKUP(K3846,[1]!Tablo3[#Data],2,FALSE)</f>
        <v>Erkan AKDOĞAN</v>
      </c>
    </row>
    <row r="3847" spans="1:27" x14ac:dyDescent="0.25">
      <c r="A3847">
        <v>5211</v>
      </c>
      <c r="B3847" t="s">
        <v>27</v>
      </c>
      <c r="C3847" t="s">
        <v>402</v>
      </c>
      <c r="D3847" t="s">
        <v>403</v>
      </c>
      <c r="G3847" t="s">
        <v>384</v>
      </c>
      <c r="H3847" t="s">
        <v>10591</v>
      </c>
      <c r="I3847" s="4">
        <v>45443.875</v>
      </c>
      <c r="K3847" t="s">
        <v>611</v>
      </c>
      <c r="L3847" s="5"/>
      <c r="M3847" s="5" t="s">
        <v>8423</v>
      </c>
      <c r="N3847" t="s">
        <v>82</v>
      </c>
      <c r="O3847" t="s">
        <v>10592</v>
      </c>
      <c r="R3847">
        <v>1</v>
      </c>
      <c r="T3847" s="5"/>
      <c r="W3847">
        <v>270</v>
      </c>
      <c r="X3847" t="s">
        <v>8412</v>
      </c>
      <c r="Y3847" t="str">
        <f>VLOOKUP(C3847,'[1]DBS_KPY Sorumlular'!A:C,2,FALSE)</f>
        <v>Tayfun VİÇE</v>
      </c>
      <c r="Z3847" t="str">
        <f>VLOOKUP(C3847,'[1]DBS_KPY Sorumlular'!A:C,3,FALSE)</f>
        <v>Mehmet Ali YAVUZ</v>
      </c>
      <c r="AA3847" t="str">
        <f>VLOOKUP(K3847,[1]!Tablo3[#Data],2,FALSE)</f>
        <v>Kadir TOPÇU</v>
      </c>
    </row>
    <row r="3848" spans="1:27" x14ac:dyDescent="0.25">
      <c r="A3848">
        <v>5212</v>
      </c>
      <c r="B3848" t="s">
        <v>27</v>
      </c>
      <c r="C3848" t="s">
        <v>402</v>
      </c>
      <c r="D3848" t="s">
        <v>403</v>
      </c>
      <c r="G3848" t="s">
        <v>384</v>
      </c>
      <c r="H3848" t="s">
        <v>10593</v>
      </c>
      <c r="I3848" s="4">
        <v>45443.875</v>
      </c>
      <c r="K3848" t="s">
        <v>611</v>
      </c>
      <c r="L3848" s="5"/>
      <c r="M3848" s="5" t="s">
        <v>8423</v>
      </c>
      <c r="N3848" t="s">
        <v>82</v>
      </c>
      <c r="O3848" t="s">
        <v>10594</v>
      </c>
      <c r="R3848">
        <v>1</v>
      </c>
      <c r="T3848" s="5"/>
      <c r="W3848">
        <v>270</v>
      </c>
      <c r="X3848" t="s">
        <v>8412</v>
      </c>
      <c r="Y3848" t="str">
        <f>VLOOKUP(C3848,'[1]DBS_KPY Sorumlular'!A:C,2,FALSE)</f>
        <v>Tayfun VİÇE</v>
      </c>
      <c r="Z3848" t="str">
        <f>VLOOKUP(C3848,'[1]DBS_KPY Sorumlular'!A:C,3,FALSE)</f>
        <v>Mehmet Ali YAVUZ</v>
      </c>
      <c r="AA3848" t="str">
        <f>VLOOKUP(K3848,[1]!Tablo3[#Data],2,FALSE)</f>
        <v>Kadir TOPÇU</v>
      </c>
    </row>
    <row r="3849" spans="1:27" x14ac:dyDescent="0.25">
      <c r="A3849">
        <v>5213</v>
      </c>
      <c r="B3849" t="s">
        <v>27</v>
      </c>
      <c r="C3849" t="s">
        <v>402</v>
      </c>
      <c r="D3849" t="s">
        <v>403</v>
      </c>
      <c r="G3849" t="s">
        <v>384</v>
      </c>
      <c r="H3849" t="s">
        <v>10595</v>
      </c>
      <c r="I3849" s="4">
        <v>45443.875</v>
      </c>
      <c r="K3849" t="s">
        <v>611</v>
      </c>
      <c r="L3849" s="5"/>
      <c r="M3849" s="5" t="s">
        <v>8423</v>
      </c>
      <c r="N3849" t="s">
        <v>82</v>
      </c>
      <c r="O3849" t="s">
        <v>10596</v>
      </c>
      <c r="R3849">
        <v>1</v>
      </c>
      <c r="T3849" s="5"/>
      <c r="W3849">
        <v>270</v>
      </c>
      <c r="X3849" t="s">
        <v>8412</v>
      </c>
      <c r="Y3849" t="str">
        <f>VLOOKUP(C3849,'[1]DBS_KPY Sorumlular'!A:C,2,FALSE)</f>
        <v>Tayfun VİÇE</v>
      </c>
      <c r="Z3849" t="str">
        <f>VLOOKUP(C3849,'[1]DBS_KPY Sorumlular'!A:C,3,FALSE)</f>
        <v>Mehmet Ali YAVUZ</v>
      </c>
      <c r="AA3849" t="str">
        <f>VLOOKUP(K3849,[1]!Tablo3[#Data],2,FALSE)</f>
        <v>Kadir TOPÇU</v>
      </c>
    </row>
    <row r="3850" spans="1:27" x14ac:dyDescent="0.25">
      <c r="A3850">
        <v>5214</v>
      </c>
      <c r="B3850" t="s">
        <v>27</v>
      </c>
      <c r="C3850" t="s">
        <v>402</v>
      </c>
      <c r="D3850" t="s">
        <v>403</v>
      </c>
      <c r="G3850" t="s">
        <v>384</v>
      </c>
      <c r="H3850" t="s">
        <v>10597</v>
      </c>
      <c r="I3850" s="4">
        <v>44712.875</v>
      </c>
      <c r="K3850" t="s">
        <v>152</v>
      </c>
      <c r="L3850" s="5" t="s">
        <v>8430</v>
      </c>
      <c r="M3850" s="5"/>
      <c r="N3850" t="s">
        <v>82</v>
      </c>
      <c r="O3850" t="s">
        <v>10598</v>
      </c>
      <c r="R3850">
        <v>1</v>
      </c>
      <c r="T3850" s="5"/>
      <c r="W3850">
        <v>270</v>
      </c>
      <c r="X3850" t="s">
        <v>8412</v>
      </c>
      <c r="Y3850" t="str">
        <f>VLOOKUP(C3850,'[1]DBS_KPY Sorumlular'!A:C,2,FALSE)</f>
        <v>Tayfun VİÇE</v>
      </c>
      <c r="Z3850" t="str">
        <f>VLOOKUP(C3850,'[1]DBS_KPY Sorumlular'!A:C,3,FALSE)</f>
        <v>Mehmet Ali YAVUZ</v>
      </c>
      <c r="AA3850" t="str">
        <f>VLOOKUP(K3850,[1]!Tablo3[#Data],2,FALSE)</f>
        <v>Erkan AKDOĞAN</v>
      </c>
    </row>
    <row r="3851" spans="1:27" x14ac:dyDescent="0.25">
      <c r="A3851">
        <v>5215</v>
      </c>
      <c r="B3851" t="s">
        <v>27</v>
      </c>
      <c r="C3851" t="s">
        <v>402</v>
      </c>
      <c r="D3851" t="s">
        <v>403</v>
      </c>
      <c r="G3851" t="s">
        <v>384</v>
      </c>
      <c r="H3851" t="s">
        <v>10599</v>
      </c>
      <c r="I3851" s="4">
        <v>45443.875</v>
      </c>
      <c r="K3851" t="s">
        <v>636</v>
      </c>
      <c r="L3851" s="5" t="s">
        <v>8430</v>
      </c>
      <c r="M3851" s="5"/>
      <c r="N3851" t="s">
        <v>82</v>
      </c>
      <c r="O3851" t="s">
        <v>10600</v>
      </c>
      <c r="R3851">
        <v>1</v>
      </c>
      <c r="T3851" s="5"/>
      <c r="W3851">
        <v>270</v>
      </c>
      <c r="X3851" t="s">
        <v>8412</v>
      </c>
      <c r="Y3851" t="str">
        <f>VLOOKUP(C3851,'[1]DBS_KPY Sorumlular'!A:C,2,FALSE)</f>
        <v>Tayfun VİÇE</v>
      </c>
      <c r="Z3851" t="str">
        <f>VLOOKUP(C3851,'[1]DBS_KPY Sorumlular'!A:C,3,FALSE)</f>
        <v>Mehmet Ali YAVUZ</v>
      </c>
      <c r="AA3851" t="str">
        <f>VLOOKUP(K3851,[1]!Tablo3[#Data],2,FALSE)</f>
        <v>Erkan AKDOĞAN</v>
      </c>
    </row>
    <row r="3852" spans="1:27" x14ac:dyDescent="0.25">
      <c r="A3852">
        <v>5216</v>
      </c>
      <c r="B3852" t="s">
        <v>27</v>
      </c>
      <c r="C3852" t="s">
        <v>402</v>
      </c>
      <c r="D3852" t="s">
        <v>403</v>
      </c>
      <c r="G3852" t="s">
        <v>384</v>
      </c>
      <c r="H3852" t="s">
        <v>10601</v>
      </c>
      <c r="I3852" s="4">
        <v>45443.875</v>
      </c>
      <c r="K3852" t="s">
        <v>835</v>
      </c>
      <c r="L3852" s="5"/>
      <c r="M3852" s="5" t="s">
        <v>8423</v>
      </c>
      <c r="N3852" t="s">
        <v>82</v>
      </c>
      <c r="O3852" t="s">
        <v>10602</v>
      </c>
      <c r="R3852">
        <v>1</v>
      </c>
      <c r="T3852" s="5"/>
      <c r="W3852">
        <v>270</v>
      </c>
      <c r="X3852" t="s">
        <v>8412</v>
      </c>
      <c r="Y3852" t="str">
        <f>VLOOKUP(C3852,'[1]DBS_KPY Sorumlular'!A:C,2,FALSE)</f>
        <v>Tayfun VİÇE</v>
      </c>
      <c r="Z3852" t="str">
        <f>VLOOKUP(C3852,'[1]DBS_KPY Sorumlular'!A:C,3,FALSE)</f>
        <v>Mehmet Ali YAVUZ</v>
      </c>
      <c r="AA3852" t="str">
        <f>VLOOKUP(K3852,[1]!Tablo3[#Data],2,FALSE)</f>
        <v>Kadir TOPÇU</v>
      </c>
    </row>
    <row r="3853" spans="1:27" x14ac:dyDescent="0.25">
      <c r="A3853">
        <v>5217</v>
      </c>
      <c r="B3853" t="s">
        <v>27</v>
      </c>
      <c r="C3853" t="s">
        <v>402</v>
      </c>
      <c r="D3853" t="s">
        <v>403</v>
      </c>
      <c r="G3853" t="s">
        <v>384</v>
      </c>
      <c r="H3853" t="s">
        <v>10603</v>
      </c>
      <c r="I3853" s="4">
        <v>45443.875</v>
      </c>
      <c r="K3853" t="s">
        <v>853</v>
      </c>
      <c r="L3853" s="5"/>
      <c r="M3853" s="5" t="s">
        <v>8423</v>
      </c>
      <c r="N3853" t="s">
        <v>82</v>
      </c>
      <c r="O3853" t="s">
        <v>10604</v>
      </c>
      <c r="R3853">
        <v>1</v>
      </c>
      <c r="T3853" s="5"/>
      <c r="W3853">
        <v>270</v>
      </c>
      <c r="X3853" t="s">
        <v>8412</v>
      </c>
      <c r="Y3853" t="str">
        <f>VLOOKUP(C3853,'[1]DBS_KPY Sorumlular'!A:C,2,FALSE)</f>
        <v>Tayfun VİÇE</v>
      </c>
      <c r="Z3853" t="str">
        <f>VLOOKUP(C3853,'[1]DBS_KPY Sorumlular'!A:C,3,FALSE)</f>
        <v>Mehmet Ali YAVUZ</v>
      </c>
      <c r="AA3853" t="str">
        <f>VLOOKUP(K3853,[1]!Tablo3[#Data],2,FALSE)</f>
        <v>Erkan AKDOĞAN</v>
      </c>
    </row>
    <row r="3854" spans="1:27" x14ac:dyDescent="0.25">
      <c r="A3854">
        <v>5218</v>
      </c>
      <c r="B3854" t="s">
        <v>27</v>
      </c>
      <c r="C3854" t="s">
        <v>402</v>
      </c>
      <c r="D3854" t="s">
        <v>403</v>
      </c>
      <c r="G3854" t="s">
        <v>384</v>
      </c>
      <c r="H3854" t="s">
        <v>10605</v>
      </c>
      <c r="I3854" s="4">
        <v>45443.875</v>
      </c>
      <c r="K3854" t="s">
        <v>853</v>
      </c>
      <c r="L3854" s="5"/>
      <c r="M3854" s="5" t="s">
        <v>8423</v>
      </c>
      <c r="N3854" t="s">
        <v>82</v>
      </c>
      <c r="O3854" t="s">
        <v>10606</v>
      </c>
      <c r="R3854">
        <v>1</v>
      </c>
      <c r="T3854" s="5"/>
      <c r="W3854">
        <v>270</v>
      </c>
      <c r="X3854" t="s">
        <v>8412</v>
      </c>
      <c r="Y3854" t="str">
        <f>VLOOKUP(C3854,'[1]DBS_KPY Sorumlular'!A:C,2,FALSE)</f>
        <v>Tayfun VİÇE</v>
      </c>
      <c r="Z3854" t="str">
        <f>VLOOKUP(C3854,'[1]DBS_KPY Sorumlular'!A:C,3,FALSE)</f>
        <v>Mehmet Ali YAVUZ</v>
      </c>
      <c r="AA3854" t="str">
        <f>VLOOKUP(K3854,[1]!Tablo3[#Data],2,FALSE)</f>
        <v>Erkan AKDOĞAN</v>
      </c>
    </row>
    <row r="3855" spans="1:27" x14ac:dyDescent="0.25">
      <c r="A3855">
        <v>5220</v>
      </c>
      <c r="B3855" t="s">
        <v>27</v>
      </c>
      <c r="C3855" t="s">
        <v>402</v>
      </c>
      <c r="D3855" t="s">
        <v>403</v>
      </c>
      <c r="G3855" t="s">
        <v>384</v>
      </c>
      <c r="H3855" t="s">
        <v>10607</v>
      </c>
      <c r="I3855" s="4">
        <v>45443.875</v>
      </c>
      <c r="K3855" t="s">
        <v>1002</v>
      </c>
      <c r="L3855" s="5"/>
      <c r="M3855" s="5" t="s">
        <v>8423</v>
      </c>
      <c r="N3855" t="s">
        <v>82</v>
      </c>
      <c r="O3855" t="s">
        <v>10608</v>
      </c>
      <c r="R3855">
        <v>1</v>
      </c>
      <c r="T3855" s="5"/>
      <c r="W3855">
        <v>270</v>
      </c>
      <c r="X3855" t="s">
        <v>8412</v>
      </c>
      <c r="Y3855" t="str">
        <f>VLOOKUP(C3855,'[1]DBS_KPY Sorumlular'!A:C,2,FALSE)</f>
        <v>Tayfun VİÇE</v>
      </c>
      <c r="Z3855" t="str">
        <f>VLOOKUP(C3855,'[1]DBS_KPY Sorumlular'!A:C,3,FALSE)</f>
        <v>Mehmet Ali YAVUZ</v>
      </c>
      <c r="AA3855" t="str">
        <f>VLOOKUP(K3855,[1]!Tablo3[#Data],2,FALSE)</f>
        <v>Kadir TOPÇU</v>
      </c>
    </row>
    <row r="3856" spans="1:27" x14ac:dyDescent="0.25">
      <c r="A3856">
        <v>5221</v>
      </c>
      <c r="B3856" t="s">
        <v>27</v>
      </c>
      <c r="C3856" t="s">
        <v>402</v>
      </c>
      <c r="D3856" t="s">
        <v>403</v>
      </c>
      <c r="G3856" t="s">
        <v>384</v>
      </c>
      <c r="H3856" t="s">
        <v>10609</v>
      </c>
      <c r="I3856" s="4">
        <v>45443.875</v>
      </c>
      <c r="K3856" t="s">
        <v>1002</v>
      </c>
      <c r="L3856" s="5"/>
      <c r="M3856" s="5" t="s">
        <v>8423</v>
      </c>
      <c r="N3856" t="s">
        <v>82</v>
      </c>
      <c r="O3856" t="s">
        <v>10610</v>
      </c>
      <c r="R3856">
        <v>1</v>
      </c>
      <c r="T3856" s="5"/>
      <c r="W3856">
        <v>270</v>
      </c>
      <c r="X3856" t="s">
        <v>8412</v>
      </c>
      <c r="Y3856" t="str">
        <f>VLOOKUP(C3856,'[1]DBS_KPY Sorumlular'!A:C,2,FALSE)</f>
        <v>Tayfun VİÇE</v>
      </c>
      <c r="Z3856" t="str">
        <f>VLOOKUP(C3856,'[1]DBS_KPY Sorumlular'!A:C,3,FALSE)</f>
        <v>Mehmet Ali YAVUZ</v>
      </c>
      <c r="AA3856" t="str">
        <f>VLOOKUP(K3856,[1]!Tablo3[#Data],2,FALSE)</f>
        <v>Kadir TOPÇU</v>
      </c>
    </row>
    <row r="3857" spans="1:27" x14ac:dyDescent="0.25">
      <c r="A3857">
        <v>5222</v>
      </c>
      <c r="B3857" t="s">
        <v>27</v>
      </c>
      <c r="C3857" t="s">
        <v>402</v>
      </c>
      <c r="D3857" t="s">
        <v>403</v>
      </c>
      <c r="G3857" t="s">
        <v>384</v>
      </c>
      <c r="H3857" t="s">
        <v>10611</v>
      </c>
      <c r="I3857" s="4">
        <v>45443.875</v>
      </c>
      <c r="K3857" t="s">
        <v>1002</v>
      </c>
      <c r="L3857" s="5"/>
      <c r="M3857" s="5" t="s">
        <v>8423</v>
      </c>
      <c r="N3857" t="s">
        <v>82</v>
      </c>
      <c r="O3857" t="s">
        <v>10612</v>
      </c>
      <c r="R3857">
        <v>1</v>
      </c>
      <c r="T3857" s="5"/>
      <c r="W3857">
        <v>270</v>
      </c>
      <c r="X3857" t="s">
        <v>8412</v>
      </c>
      <c r="Y3857" t="str">
        <f>VLOOKUP(C3857,'[1]DBS_KPY Sorumlular'!A:C,2,FALSE)</f>
        <v>Tayfun VİÇE</v>
      </c>
      <c r="Z3857" t="str">
        <f>VLOOKUP(C3857,'[1]DBS_KPY Sorumlular'!A:C,3,FALSE)</f>
        <v>Mehmet Ali YAVUZ</v>
      </c>
      <c r="AA3857" t="str">
        <f>VLOOKUP(K3857,[1]!Tablo3[#Data],2,FALSE)</f>
        <v>Kadir TOPÇU</v>
      </c>
    </row>
    <row r="3858" spans="1:27" x14ac:dyDescent="0.25">
      <c r="A3858">
        <v>5223</v>
      </c>
      <c r="B3858" t="s">
        <v>27</v>
      </c>
      <c r="C3858" t="s">
        <v>402</v>
      </c>
      <c r="D3858" t="s">
        <v>403</v>
      </c>
      <c r="G3858" t="s">
        <v>384</v>
      </c>
      <c r="H3858" t="s">
        <v>10613</v>
      </c>
      <c r="I3858" s="4">
        <v>45443.875</v>
      </c>
      <c r="K3858" t="s">
        <v>1002</v>
      </c>
      <c r="L3858" s="5"/>
      <c r="M3858" s="5" t="s">
        <v>8423</v>
      </c>
      <c r="N3858" t="s">
        <v>82</v>
      </c>
      <c r="O3858" t="s">
        <v>10614</v>
      </c>
      <c r="R3858">
        <v>1</v>
      </c>
      <c r="T3858" s="5"/>
      <c r="W3858">
        <v>270</v>
      </c>
      <c r="X3858" t="s">
        <v>8412</v>
      </c>
      <c r="Y3858" t="str">
        <f>VLOOKUP(C3858,'[1]DBS_KPY Sorumlular'!A:C,2,FALSE)</f>
        <v>Tayfun VİÇE</v>
      </c>
      <c r="Z3858" t="str">
        <f>VLOOKUP(C3858,'[1]DBS_KPY Sorumlular'!A:C,3,FALSE)</f>
        <v>Mehmet Ali YAVUZ</v>
      </c>
      <c r="AA3858" t="str">
        <f>VLOOKUP(K3858,[1]!Tablo3[#Data],2,FALSE)</f>
        <v>Kadir TOPÇU</v>
      </c>
    </row>
    <row r="3859" spans="1:27" x14ac:dyDescent="0.25">
      <c r="A3859">
        <v>5224</v>
      </c>
      <c r="B3859" t="s">
        <v>27</v>
      </c>
      <c r="C3859" t="s">
        <v>402</v>
      </c>
      <c r="D3859" t="s">
        <v>403</v>
      </c>
      <c r="G3859" t="s">
        <v>384</v>
      </c>
      <c r="H3859" t="s">
        <v>10615</v>
      </c>
      <c r="I3859" s="4">
        <v>45443.875</v>
      </c>
      <c r="K3859" t="s">
        <v>1002</v>
      </c>
      <c r="L3859" s="5"/>
      <c r="M3859" s="5" t="s">
        <v>8423</v>
      </c>
      <c r="N3859" t="s">
        <v>82</v>
      </c>
      <c r="O3859" t="s">
        <v>10616</v>
      </c>
      <c r="R3859">
        <v>1</v>
      </c>
      <c r="T3859" s="5"/>
      <c r="W3859">
        <v>270</v>
      </c>
      <c r="X3859" t="s">
        <v>8412</v>
      </c>
      <c r="Y3859" t="str">
        <f>VLOOKUP(C3859,'[1]DBS_KPY Sorumlular'!A:C,2,FALSE)</f>
        <v>Tayfun VİÇE</v>
      </c>
      <c r="Z3859" t="str">
        <f>VLOOKUP(C3859,'[1]DBS_KPY Sorumlular'!A:C,3,FALSE)</f>
        <v>Mehmet Ali YAVUZ</v>
      </c>
      <c r="AA3859" t="str">
        <f>VLOOKUP(K3859,[1]!Tablo3[#Data],2,FALSE)</f>
        <v>Kadir TOPÇU</v>
      </c>
    </row>
    <row r="3860" spans="1:27" x14ac:dyDescent="0.25">
      <c r="A3860">
        <v>5225</v>
      </c>
      <c r="B3860" t="s">
        <v>27</v>
      </c>
      <c r="C3860" t="s">
        <v>402</v>
      </c>
      <c r="D3860" t="s">
        <v>403</v>
      </c>
      <c r="G3860" t="s">
        <v>384</v>
      </c>
      <c r="H3860" t="s">
        <v>10617</v>
      </c>
      <c r="I3860" s="4">
        <v>45443.875</v>
      </c>
      <c r="K3860" t="s">
        <v>1002</v>
      </c>
      <c r="L3860" s="5"/>
      <c r="M3860" s="5" t="s">
        <v>8423</v>
      </c>
      <c r="N3860" t="s">
        <v>82</v>
      </c>
      <c r="O3860" t="s">
        <v>10618</v>
      </c>
      <c r="R3860">
        <v>1</v>
      </c>
      <c r="T3860" s="5"/>
      <c r="W3860">
        <v>270</v>
      </c>
      <c r="X3860" t="s">
        <v>8412</v>
      </c>
      <c r="Y3860" t="str">
        <f>VLOOKUP(C3860,'[1]DBS_KPY Sorumlular'!A:C,2,FALSE)</f>
        <v>Tayfun VİÇE</v>
      </c>
      <c r="Z3860" t="str">
        <f>VLOOKUP(C3860,'[1]DBS_KPY Sorumlular'!A:C,3,FALSE)</f>
        <v>Mehmet Ali YAVUZ</v>
      </c>
      <c r="AA3860" t="str">
        <f>VLOOKUP(K3860,[1]!Tablo3[#Data],2,FALSE)</f>
        <v>Kadir TOPÇU</v>
      </c>
    </row>
    <row r="3861" spans="1:27" x14ac:dyDescent="0.25">
      <c r="A3861">
        <v>5226</v>
      </c>
      <c r="B3861" t="s">
        <v>27</v>
      </c>
      <c r="C3861" t="s">
        <v>402</v>
      </c>
      <c r="D3861" t="s">
        <v>403</v>
      </c>
      <c r="G3861" t="s">
        <v>384</v>
      </c>
      <c r="H3861" t="s">
        <v>10619</v>
      </c>
      <c r="I3861" s="4">
        <v>45443.875</v>
      </c>
      <c r="K3861" t="s">
        <v>143</v>
      </c>
      <c r="L3861" s="5"/>
      <c r="M3861" s="5" t="s">
        <v>8423</v>
      </c>
      <c r="N3861" t="s">
        <v>82</v>
      </c>
      <c r="O3861" t="s">
        <v>10620</v>
      </c>
      <c r="R3861">
        <v>1</v>
      </c>
      <c r="T3861" s="5"/>
      <c r="W3861">
        <v>270</v>
      </c>
      <c r="X3861" t="s">
        <v>8412</v>
      </c>
      <c r="Y3861" t="str">
        <f>VLOOKUP(C3861,'[1]DBS_KPY Sorumlular'!A:C,2,FALSE)</f>
        <v>Tayfun VİÇE</v>
      </c>
      <c r="Z3861" t="str">
        <f>VLOOKUP(C3861,'[1]DBS_KPY Sorumlular'!A:C,3,FALSE)</f>
        <v>Mehmet Ali YAVUZ</v>
      </c>
      <c r="AA3861" t="str">
        <f>VLOOKUP(K3861,[1]!Tablo3[#Data],2,FALSE)</f>
        <v>Tayfun VİÇE</v>
      </c>
    </row>
    <row r="3862" spans="1:27" x14ac:dyDescent="0.25">
      <c r="A3862">
        <v>5227</v>
      </c>
      <c r="B3862" t="s">
        <v>27</v>
      </c>
      <c r="C3862" t="s">
        <v>402</v>
      </c>
      <c r="D3862" t="s">
        <v>403</v>
      </c>
      <c r="G3862" t="s">
        <v>384</v>
      </c>
      <c r="H3862" t="s">
        <v>10621</v>
      </c>
      <c r="I3862" s="4">
        <v>45443.875</v>
      </c>
      <c r="K3862" t="s">
        <v>1029</v>
      </c>
      <c r="L3862" s="5"/>
      <c r="M3862" s="5" t="s">
        <v>8423</v>
      </c>
      <c r="N3862" t="s">
        <v>82</v>
      </c>
      <c r="O3862" t="s">
        <v>10622</v>
      </c>
      <c r="R3862">
        <v>1</v>
      </c>
      <c r="T3862" s="5"/>
      <c r="W3862">
        <v>270</v>
      </c>
      <c r="X3862" t="s">
        <v>8412</v>
      </c>
      <c r="Y3862" t="str">
        <f>VLOOKUP(C3862,'[1]DBS_KPY Sorumlular'!A:C,2,FALSE)</f>
        <v>Tayfun VİÇE</v>
      </c>
      <c r="Z3862" t="str">
        <f>VLOOKUP(C3862,'[1]DBS_KPY Sorumlular'!A:C,3,FALSE)</f>
        <v>Mehmet Ali YAVUZ</v>
      </c>
      <c r="AA3862" t="str">
        <f>VLOOKUP(K3862,[1]!Tablo3[#Data],2,FALSE)</f>
        <v>Tayfun VİÇE</v>
      </c>
    </row>
    <row r="3863" spans="1:27" x14ac:dyDescent="0.25">
      <c r="A3863">
        <v>5228</v>
      </c>
      <c r="B3863" t="s">
        <v>27</v>
      </c>
      <c r="C3863" t="s">
        <v>402</v>
      </c>
      <c r="D3863" t="s">
        <v>403</v>
      </c>
      <c r="G3863" t="s">
        <v>384</v>
      </c>
      <c r="H3863" t="s">
        <v>10623</v>
      </c>
      <c r="I3863" s="4">
        <v>45443.875</v>
      </c>
      <c r="K3863" t="s">
        <v>1029</v>
      </c>
      <c r="L3863" s="5"/>
      <c r="M3863" s="5" t="s">
        <v>8423</v>
      </c>
      <c r="N3863" t="s">
        <v>82</v>
      </c>
      <c r="O3863" t="s">
        <v>10624</v>
      </c>
      <c r="R3863">
        <v>1</v>
      </c>
      <c r="T3863" s="5"/>
      <c r="W3863">
        <v>270</v>
      </c>
      <c r="X3863" t="s">
        <v>8412</v>
      </c>
      <c r="Y3863" t="str">
        <f>VLOOKUP(C3863,'[1]DBS_KPY Sorumlular'!A:C,2,FALSE)</f>
        <v>Tayfun VİÇE</v>
      </c>
      <c r="Z3863" t="str">
        <f>VLOOKUP(C3863,'[1]DBS_KPY Sorumlular'!A:C,3,FALSE)</f>
        <v>Mehmet Ali YAVUZ</v>
      </c>
      <c r="AA3863" t="str">
        <f>VLOOKUP(K3863,[1]!Tablo3[#Data],2,FALSE)</f>
        <v>Tayfun VİÇE</v>
      </c>
    </row>
    <row r="3864" spans="1:27" x14ac:dyDescent="0.25">
      <c r="A3864">
        <v>5229</v>
      </c>
      <c r="B3864" t="s">
        <v>27</v>
      </c>
      <c r="C3864" t="s">
        <v>402</v>
      </c>
      <c r="D3864" t="s">
        <v>403</v>
      </c>
      <c r="G3864" t="s">
        <v>384</v>
      </c>
      <c r="H3864" t="s">
        <v>10625</v>
      </c>
      <c r="I3864" s="4">
        <v>45443.875</v>
      </c>
      <c r="K3864" t="s">
        <v>1029</v>
      </c>
      <c r="L3864" s="5"/>
      <c r="M3864" s="5" t="s">
        <v>8423</v>
      </c>
      <c r="N3864" t="s">
        <v>82</v>
      </c>
      <c r="O3864" t="s">
        <v>10626</v>
      </c>
      <c r="R3864">
        <v>1</v>
      </c>
      <c r="T3864" s="5"/>
      <c r="W3864">
        <v>270</v>
      </c>
      <c r="X3864" t="s">
        <v>8412</v>
      </c>
      <c r="Y3864" t="str">
        <f>VLOOKUP(C3864,'[1]DBS_KPY Sorumlular'!A:C,2,FALSE)</f>
        <v>Tayfun VİÇE</v>
      </c>
      <c r="Z3864" t="str">
        <f>VLOOKUP(C3864,'[1]DBS_KPY Sorumlular'!A:C,3,FALSE)</f>
        <v>Mehmet Ali YAVUZ</v>
      </c>
      <c r="AA3864" t="str">
        <f>VLOOKUP(K3864,[1]!Tablo3[#Data],2,FALSE)</f>
        <v>Tayfun VİÇE</v>
      </c>
    </row>
    <row r="3865" spans="1:27" x14ac:dyDescent="0.25">
      <c r="A3865">
        <v>5230</v>
      </c>
      <c r="B3865" t="s">
        <v>27</v>
      </c>
      <c r="C3865" t="s">
        <v>402</v>
      </c>
      <c r="D3865" t="s">
        <v>403</v>
      </c>
      <c r="G3865" t="s">
        <v>384</v>
      </c>
      <c r="H3865" t="s">
        <v>10627</v>
      </c>
      <c r="I3865" s="4">
        <v>45443.875</v>
      </c>
      <c r="K3865" t="s">
        <v>1029</v>
      </c>
      <c r="L3865" s="5"/>
      <c r="M3865" s="5" t="s">
        <v>8423</v>
      </c>
      <c r="N3865" t="s">
        <v>82</v>
      </c>
      <c r="O3865" t="s">
        <v>10628</v>
      </c>
      <c r="R3865">
        <v>1</v>
      </c>
      <c r="T3865" s="5"/>
      <c r="W3865">
        <v>270</v>
      </c>
      <c r="X3865" t="s">
        <v>8412</v>
      </c>
      <c r="Y3865" t="str">
        <f>VLOOKUP(C3865,'[1]DBS_KPY Sorumlular'!A:C,2,FALSE)</f>
        <v>Tayfun VİÇE</v>
      </c>
      <c r="Z3865" t="str">
        <f>VLOOKUP(C3865,'[1]DBS_KPY Sorumlular'!A:C,3,FALSE)</f>
        <v>Mehmet Ali YAVUZ</v>
      </c>
      <c r="AA3865" t="str">
        <f>VLOOKUP(K3865,[1]!Tablo3[#Data],2,FALSE)</f>
        <v>Tayfun VİÇE</v>
      </c>
    </row>
    <row r="3866" spans="1:27" x14ac:dyDescent="0.25">
      <c r="A3866">
        <v>5231</v>
      </c>
      <c r="B3866" t="s">
        <v>27</v>
      </c>
      <c r="C3866" t="s">
        <v>402</v>
      </c>
      <c r="D3866" t="s">
        <v>403</v>
      </c>
      <c r="G3866" t="s">
        <v>384</v>
      </c>
      <c r="H3866" t="s">
        <v>10629</v>
      </c>
      <c r="I3866" s="4">
        <v>45443.875</v>
      </c>
      <c r="K3866" t="s">
        <v>1029</v>
      </c>
      <c r="L3866" s="5"/>
      <c r="M3866" s="5" t="s">
        <v>8423</v>
      </c>
      <c r="N3866" t="s">
        <v>82</v>
      </c>
      <c r="O3866" t="s">
        <v>10630</v>
      </c>
      <c r="R3866">
        <v>1</v>
      </c>
      <c r="T3866" s="5"/>
      <c r="W3866">
        <v>270</v>
      </c>
      <c r="X3866" t="s">
        <v>8412</v>
      </c>
      <c r="Y3866" t="str">
        <f>VLOOKUP(C3866,'[1]DBS_KPY Sorumlular'!A:C,2,FALSE)</f>
        <v>Tayfun VİÇE</v>
      </c>
      <c r="Z3866" t="str">
        <f>VLOOKUP(C3866,'[1]DBS_KPY Sorumlular'!A:C,3,FALSE)</f>
        <v>Mehmet Ali YAVUZ</v>
      </c>
      <c r="AA3866" t="str">
        <f>VLOOKUP(K3866,[1]!Tablo3[#Data],2,FALSE)</f>
        <v>Tayfun VİÇE</v>
      </c>
    </row>
    <row r="3867" spans="1:27" x14ac:dyDescent="0.25">
      <c r="A3867">
        <v>5232</v>
      </c>
      <c r="B3867" t="s">
        <v>27</v>
      </c>
      <c r="C3867" t="s">
        <v>402</v>
      </c>
      <c r="D3867" t="s">
        <v>403</v>
      </c>
      <c r="G3867" t="s">
        <v>384</v>
      </c>
      <c r="H3867" t="s">
        <v>10631</v>
      </c>
      <c r="I3867" s="4">
        <v>45443.875</v>
      </c>
      <c r="K3867" t="s">
        <v>1029</v>
      </c>
      <c r="L3867" s="5"/>
      <c r="M3867" s="5" t="s">
        <v>8423</v>
      </c>
      <c r="N3867" t="s">
        <v>82</v>
      </c>
      <c r="O3867" t="s">
        <v>10632</v>
      </c>
      <c r="R3867">
        <v>1</v>
      </c>
      <c r="T3867" s="5"/>
      <c r="W3867">
        <v>270</v>
      </c>
      <c r="X3867" t="s">
        <v>8412</v>
      </c>
      <c r="Y3867" t="str">
        <f>VLOOKUP(C3867,'[1]DBS_KPY Sorumlular'!A:C,2,FALSE)</f>
        <v>Tayfun VİÇE</v>
      </c>
      <c r="Z3867" t="str">
        <f>VLOOKUP(C3867,'[1]DBS_KPY Sorumlular'!A:C,3,FALSE)</f>
        <v>Mehmet Ali YAVUZ</v>
      </c>
      <c r="AA3867" t="str">
        <f>VLOOKUP(K3867,[1]!Tablo3[#Data],2,FALSE)</f>
        <v>Tayfun VİÇE</v>
      </c>
    </row>
    <row r="3868" spans="1:27" x14ac:dyDescent="0.25">
      <c r="A3868">
        <v>5233</v>
      </c>
      <c r="B3868" t="s">
        <v>27</v>
      </c>
      <c r="C3868" t="s">
        <v>402</v>
      </c>
      <c r="D3868" t="s">
        <v>403</v>
      </c>
      <c r="G3868" t="s">
        <v>384</v>
      </c>
      <c r="H3868" t="s">
        <v>10633</v>
      </c>
      <c r="I3868" s="4">
        <v>45443.875</v>
      </c>
      <c r="K3868" t="s">
        <v>926</v>
      </c>
      <c r="L3868" s="5"/>
      <c r="M3868" s="5" t="s">
        <v>8423</v>
      </c>
      <c r="N3868" t="s">
        <v>82</v>
      </c>
      <c r="O3868" t="s">
        <v>10634</v>
      </c>
      <c r="R3868">
        <v>1</v>
      </c>
      <c r="T3868" s="5"/>
      <c r="W3868">
        <v>270</v>
      </c>
      <c r="X3868" t="s">
        <v>8412</v>
      </c>
      <c r="Y3868" t="str">
        <f>VLOOKUP(C3868,'[1]DBS_KPY Sorumlular'!A:C,2,FALSE)</f>
        <v>Tayfun VİÇE</v>
      </c>
      <c r="Z3868" t="str">
        <f>VLOOKUP(C3868,'[1]DBS_KPY Sorumlular'!A:C,3,FALSE)</f>
        <v>Mehmet Ali YAVUZ</v>
      </c>
      <c r="AA3868" t="str">
        <f>VLOOKUP(K3868,[1]!Tablo3[#Data],2,FALSE)</f>
        <v>Kadir TOPÇU</v>
      </c>
    </row>
    <row r="3869" spans="1:27" x14ac:dyDescent="0.25">
      <c r="A3869">
        <v>5234</v>
      </c>
      <c r="B3869" t="s">
        <v>27</v>
      </c>
      <c r="C3869" t="s">
        <v>402</v>
      </c>
      <c r="D3869" t="s">
        <v>403</v>
      </c>
      <c r="G3869" t="s">
        <v>384</v>
      </c>
      <c r="H3869" t="s">
        <v>10635</v>
      </c>
      <c r="I3869" s="4">
        <v>45443.875</v>
      </c>
      <c r="K3869" t="s">
        <v>926</v>
      </c>
      <c r="L3869" s="5"/>
      <c r="M3869" s="5" t="s">
        <v>8423</v>
      </c>
      <c r="N3869" t="s">
        <v>82</v>
      </c>
      <c r="O3869" t="s">
        <v>10636</v>
      </c>
      <c r="R3869">
        <v>1</v>
      </c>
      <c r="T3869" s="5"/>
      <c r="W3869">
        <v>270</v>
      </c>
      <c r="X3869" t="s">
        <v>8412</v>
      </c>
      <c r="Y3869" t="str">
        <f>VLOOKUP(C3869,'[1]DBS_KPY Sorumlular'!A:C,2,FALSE)</f>
        <v>Tayfun VİÇE</v>
      </c>
      <c r="Z3869" t="str">
        <f>VLOOKUP(C3869,'[1]DBS_KPY Sorumlular'!A:C,3,FALSE)</f>
        <v>Mehmet Ali YAVUZ</v>
      </c>
      <c r="AA3869" t="str">
        <f>VLOOKUP(K3869,[1]!Tablo3[#Data],2,FALSE)</f>
        <v>Kadir TOPÇU</v>
      </c>
    </row>
    <row r="3870" spans="1:27" x14ac:dyDescent="0.25">
      <c r="A3870">
        <v>5236</v>
      </c>
      <c r="B3870" t="s">
        <v>27</v>
      </c>
      <c r="C3870" t="s">
        <v>402</v>
      </c>
      <c r="D3870" t="s">
        <v>403</v>
      </c>
      <c r="G3870" t="s">
        <v>384</v>
      </c>
      <c r="H3870" t="s">
        <v>10637</v>
      </c>
      <c r="I3870" s="4">
        <v>45443.875</v>
      </c>
      <c r="K3870" t="s">
        <v>926</v>
      </c>
      <c r="L3870" s="5"/>
      <c r="M3870" s="5" t="s">
        <v>8423</v>
      </c>
      <c r="N3870" t="s">
        <v>82</v>
      </c>
      <c r="O3870" t="s">
        <v>10638</v>
      </c>
      <c r="R3870">
        <v>1</v>
      </c>
      <c r="T3870" s="5"/>
      <c r="W3870">
        <v>270</v>
      </c>
      <c r="X3870" t="s">
        <v>8412</v>
      </c>
      <c r="Y3870" t="str">
        <f>VLOOKUP(C3870,'[1]DBS_KPY Sorumlular'!A:C,2,FALSE)</f>
        <v>Tayfun VİÇE</v>
      </c>
      <c r="Z3870" t="str">
        <f>VLOOKUP(C3870,'[1]DBS_KPY Sorumlular'!A:C,3,FALSE)</f>
        <v>Mehmet Ali YAVUZ</v>
      </c>
      <c r="AA3870" t="str">
        <f>VLOOKUP(K3870,[1]!Tablo3[#Data],2,FALSE)</f>
        <v>Kadir TOPÇU</v>
      </c>
    </row>
    <row r="3871" spans="1:27" x14ac:dyDescent="0.25">
      <c r="A3871">
        <v>5237</v>
      </c>
      <c r="B3871" t="s">
        <v>27</v>
      </c>
      <c r="C3871" t="s">
        <v>402</v>
      </c>
      <c r="D3871" t="s">
        <v>403</v>
      </c>
      <c r="G3871" t="s">
        <v>384</v>
      </c>
      <c r="H3871" t="s">
        <v>10639</v>
      </c>
      <c r="I3871" s="4">
        <v>45443.875</v>
      </c>
      <c r="K3871" t="s">
        <v>926</v>
      </c>
      <c r="L3871" s="5"/>
      <c r="M3871" s="5" t="s">
        <v>8423</v>
      </c>
      <c r="N3871" t="s">
        <v>82</v>
      </c>
      <c r="O3871" t="s">
        <v>10640</v>
      </c>
      <c r="R3871">
        <v>1</v>
      </c>
      <c r="T3871" s="5"/>
      <c r="W3871">
        <v>270</v>
      </c>
      <c r="X3871" t="s">
        <v>8412</v>
      </c>
      <c r="Y3871" t="str">
        <f>VLOOKUP(C3871,'[1]DBS_KPY Sorumlular'!A:C,2,FALSE)</f>
        <v>Tayfun VİÇE</v>
      </c>
      <c r="Z3871" t="str">
        <f>VLOOKUP(C3871,'[1]DBS_KPY Sorumlular'!A:C,3,FALSE)</f>
        <v>Mehmet Ali YAVUZ</v>
      </c>
      <c r="AA3871" t="str">
        <f>VLOOKUP(K3871,[1]!Tablo3[#Data],2,FALSE)</f>
        <v>Kadir TOPÇU</v>
      </c>
    </row>
    <row r="3872" spans="1:27" x14ac:dyDescent="0.25">
      <c r="A3872">
        <v>5238</v>
      </c>
      <c r="B3872" t="s">
        <v>27</v>
      </c>
      <c r="C3872" t="s">
        <v>402</v>
      </c>
      <c r="D3872" t="s">
        <v>403</v>
      </c>
      <c r="G3872" t="s">
        <v>384</v>
      </c>
      <c r="H3872" t="s">
        <v>10641</v>
      </c>
      <c r="I3872" s="4">
        <v>45443.875</v>
      </c>
      <c r="K3872" t="s">
        <v>926</v>
      </c>
      <c r="L3872" s="5"/>
      <c r="M3872" s="5" t="s">
        <v>8423</v>
      </c>
      <c r="N3872" t="s">
        <v>82</v>
      </c>
      <c r="O3872" t="s">
        <v>10642</v>
      </c>
      <c r="R3872">
        <v>1</v>
      </c>
      <c r="T3872" s="5"/>
      <c r="W3872">
        <v>270</v>
      </c>
      <c r="X3872" t="s">
        <v>8412</v>
      </c>
      <c r="Y3872" t="str">
        <f>VLOOKUP(C3872,'[1]DBS_KPY Sorumlular'!A:C,2,FALSE)</f>
        <v>Tayfun VİÇE</v>
      </c>
      <c r="Z3872" t="str">
        <f>VLOOKUP(C3872,'[1]DBS_KPY Sorumlular'!A:C,3,FALSE)</f>
        <v>Mehmet Ali YAVUZ</v>
      </c>
      <c r="AA3872" t="str">
        <f>VLOOKUP(K3872,[1]!Tablo3[#Data],2,FALSE)</f>
        <v>Kadir TOPÇU</v>
      </c>
    </row>
    <row r="3873" spans="1:27" x14ac:dyDescent="0.25">
      <c r="A3873">
        <v>5239</v>
      </c>
      <c r="B3873" t="s">
        <v>27</v>
      </c>
      <c r="C3873" t="s">
        <v>402</v>
      </c>
      <c r="D3873" t="s">
        <v>403</v>
      </c>
      <c r="G3873" t="s">
        <v>384</v>
      </c>
      <c r="H3873" t="s">
        <v>10643</v>
      </c>
      <c r="I3873" s="4">
        <v>45443.875</v>
      </c>
      <c r="K3873" t="s">
        <v>926</v>
      </c>
      <c r="L3873" s="5"/>
      <c r="M3873" s="5" t="s">
        <v>8423</v>
      </c>
      <c r="N3873" t="s">
        <v>82</v>
      </c>
      <c r="O3873" t="s">
        <v>10644</v>
      </c>
      <c r="R3873">
        <v>1</v>
      </c>
      <c r="T3873" s="5"/>
      <c r="W3873">
        <v>270</v>
      </c>
      <c r="X3873" t="s">
        <v>8412</v>
      </c>
      <c r="Y3873" t="str">
        <f>VLOOKUP(C3873,'[1]DBS_KPY Sorumlular'!A:C,2,FALSE)</f>
        <v>Tayfun VİÇE</v>
      </c>
      <c r="Z3873" t="str">
        <f>VLOOKUP(C3873,'[1]DBS_KPY Sorumlular'!A:C,3,FALSE)</f>
        <v>Mehmet Ali YAVUZ</v>
      </c>
      <c r="AA3873" t="str">
        <f>VLOOKUP(K3873,[1]!Tablo3[#Data],2,FALSE)</f>
        <v>Kadir TOPÇU</v>
      </c>
    </row>
    <row r="3874" spans="1:27" x14ac:dyDescent="0.25">
      <c r="A3874">
        <v>5240</v>
      </c>
      <c r="B3874" t="s">
        <v>27</v>
      </c>
      <c r="C3874" t="s">
        <v>402</v>
      </c>
      <c r="D3874" t="s">
        <v>403</v>
      </c>
      <c r="G3874" t="s">
        <v>384</v>
      </c>
      <c r="H3874" t="s">
        <v>10645</v>
      </c>
      <c r="I3874" s="4">
        <v>45443.875</v>
      </c>
      <c r="K3874" t="s">
        <v>926</v>
      </c>
      <c r="L3874" s="5"/>
      <c r="M3874" s="5" t="s">
        <v>8423</v>
      </c>
      <c r="N3874" t="s">
        <v>82</v>
      </c>
      <c r="O3874" t="s">
        <v>10646</v>
      </c>
      <c r="R3874">
        <v>1</v>
      </c>
      <c r="T3874" s="5"/>
      <c r="W3874">
        <v>270</v>
      </c>
      <c r="X3874" t="s">
        <v>8412</v>
      </c>
      <c r="Y3874" t="str">
        <f>VLOOKUP(C3874,'[1]DBS_KPY Sorumlular'!A:C,2,FALSE)</f>
        <v>Tayfun VİÇE</v>
      </c>
      <c r="Z3874" t="str">
        <f>VLOOKUP(C3874,'[1]DBS_KPY Sorumlular'!A:C,3,FALSE)</f>
        <v>Mehmet Ali YAVUZ</v>
      </c>
      <c r="AA3874" t="str">
        <f>VLOOKUP(K3874,[1]!Tablo3[#Data],2,FALSE)</f>
        <v>Kadir TOPÇU</v>
      </c>
    </row>
    <row r="3875" spans="1:27" x14ac:dyDescent="0.25">
      <c r="A3875">
        <v>5241</v>
      </c>
      <c r="B3875" t="s">
        <v>27</v>
      </c>
      <c r="C3875" t="s">
        <v>402</v>
      </c>
      <c r="D3875" t="s">
        <v>403</v>
      </c>
      <c r="G3875" t="s">
        <v>384</v>
      </c>
      <c r="H3875" t="s">
        <v>10647</v>
      </c>
      <c r="I3875" s="4">
        <v>45443.875</v>
      </c>
      <c r="K3875" t="s">
        <v>926</v>
      </c>
      <c r="L3875" s="5"/>
      <c r="M3875" s="5" t="s">
        <v>8423</v>
      </c>
      <c r="N3875" t="s">
        <v>82</v>
      </c>
      <c r="O3875" t="s">
        <v>10648</v>
      </c>
      <c r="R3875">
        <v>1</v>
      </c>
      <c r="T3875" s="5"/>
      <c r="W3875">
        <v>270</v>
      </c>
      <c r="X3875" t="s">
        <v>8412</v>
      </c>
      <c r="Y3875" t="str">
        <f>VLOOKUP(C3875,'[1]DBS_KPY Sorumlular'!A:C,2,FALSE)</f>
        <v>Tayfun VİÇE</v>
      </c>
      <c r="Z3875" t="str">
        <f>VLOOKUP(C3875,'[1]DBS_KPY Sorumlular'!A:C,3,FALSE)</f>
        <v>Mehmet Ali YAVUZ</v>
      </c>
      <c r="AA3875" t="str">
        <f>VLOOKUP(K3875,[1]!Tablo3[#Data],2,FALSE)</f>
        <v>Kadir TOPÇU</v>
      </c>
    </row>
    <row r="3876" spans="1:27" x14ac:dyDescent="0.25">
      <c r="A3876">
        <v>5242</v>
      </c>
      <c r="B3876" t="s">
        <v>27</v>
      </c>
      <c r="C3876" t="s">
        <v>402</v>
      </c>
      <c r="D3876" t="s">
        <v>403</v>
      </c>
      <c r="G3876" t="s">
        <v>384</v>
      </c>
      <c r="H3876" t="s">
        <v>10649</v>
      </c>
      <c r="I3876" s="4">
        <v>45443.875</v>
      </c>
      <c r="K3876" t="s">
        <v>926</v>
      </c>
      <c r="L3876" s="5"/>
      <c r="M3876" s="5" t="s">
        <v>8423</v>
      </c>
      <c r="N3876" t="s">
        <v>82</v>
      </c>
      <c r="O3876" t="s">
        <v>10650</v>
      </c>
      <c r="R3876">
        <v>1</v>
      </c>
      <c r="T3876" s="5"/>
      <c r="W3876">
        <v>270</v>
      </c>
      <c r="X3876" t="s">
        <v>8412</v>
      </c>
      <c r="Y3876" t="str">
        <f>VLOOKUP(C3876,'[1]DBS_KPY Sorumlular'!A:C,2,FALSE)</f>
        <v>Tayfun VİÇE</v>
      </c>
      <c r="Z3876" t="str">
        <f>VLOOKUP(C3876,'[1]DBS_KPY Sorumlular'!A:C,3,FALSE)</f>
        <v>Mehmet Ali YAVUZ</v>
      </c>
      <c r="AA3876" t="str">
        <f>VLOOKUP(K3876,[1]!Tablo3[#Data],2,FALSE)</f>
        <v>Kadir TOPÇU</v>
      </c>
    </row>
    <row r="3877" spans="1:27" x14ac:dyDescent="0.25">
      <c r="A3877">
        <v>5243</v>
      </c>
      <c r="B3877" t="s">
        <v>27</v>
      </c>
      <c r="C3877" t="s">
        <v>402</v>
      </c>
      <c r="D3877" t="s">
        <v>403</v>
      </c>
      <c r="G3877" t="s">
        <v>384</v>
      </c>
      <c r="H3877" t="s">
        <v>10651</v>
      </c>
      <c r="I3877" s="4">
        <v>45443.875</v>
      </c>
      <c r="K3877" t="s">
        <v>926</v>
      </c>
      <c r="L3877" s="5"/>
      <c r="M3877" s="5" t="s">
        <v>8423</v>
      </c>
      <c r="N3877" t="s">
        <v>82</v>
      </c>
      <c r="O3877" t="s">
        <v>10652</v>
      </c>
      <c r="R3877">
        <v>1</v>
      </c>
      <c r="T3877" s="5"/>
      <c r="W3877">
        <v>270</v>
      </c>
      <c r="X3877" t="s">
        <v>8412</v>
      </c>
      <c r="Y3877" t="str">
        <f>VLOOKUP(C3877,'[1]DBS_KPY Sorumlular'!A:C,2,FALSE)</f>
        <v>Tayfun VİÇE</v>
      </c>
      <c r="Z3877" t="str">
        <f>VLOOKUP(C3877,'[1]DBS_KPY Sorumlular'!A:C,3,FALSE)</f>
        <v>Mehmet Ali YAVUZ</v>
      </c>
      <c r="AA3877" t="str">
        <f>VLOOKUP(K3877,[1]!Tablo3[#Data],2,FALSE)</f>
        <v>Kadir TOPÇU</v>
      </c>
    </row>
    <row r="3878" spans="1:27" x14ac:dyDescent="0.25">
      <c r="A3878">
        <v>5244</v>
      </c>
      <c r="B3878" t="s">
        <v>27</v>
      </c>
      <c r="C3878" t="s">
        <v>402</v>
      </c>
      <c r="D3878" t="s">
        <v>403</v>
      </c>
      <c r="G3878" t="s">
        <v>384</v>
      </c>
      <c r="H3878" t="s">
        <v>10653</v>
      </c>
      <c r="I3878" s="4">
        <v>45443.875</v>
      </c>
      <c r="K3878" t="s">
        <v>926</v>
      </c>
      <c r="L3878" s="5"/>
      <c r="M3878" s="5" t="s">
        <v>8423</v>
      </c>
      <c r="N3878" t="s">
        <v>82</v>
      </c>
      <c r="O3878" t="s">
        <v>10654</v>
      </c>
      <c r="R3878">
        <v>1</v>
      </c>
      <c r="T3878" s="5"/>
      <c r="W3878">
        <v>270</v>
      </c>
      <c r="X3878" t="s">
        <v>8412</v>
      </c>
      <c r="Y3878" t="str">
        <f>VLOOKUP(C3878,'[1]DBS_KPY Sorumlular'!A:C,2,FALSE)</f>
        <v>Tayfun VİÇE</v>
      </c>
      <c r="Z3878" t="str">
        <f>VLOOKUP(C3878,'[1]DBS_KPY Sorumlular'!A:C,3,FALSE)</f>
        <v>Mehmet Ali YAVUZ</v>
      </c>
      <c r="AA3878" t="str">
        <f>VLOOKUP(K3878,[1]!Tablo3[#Data],2,FALSE)</f>
        <v>Kadir TOPÇU</v>
      </c>
    </row>
    <row r="3879" spans="1:27" x14ac:dyDescent="0.25">
      <c r="A3879">
        <v>5245</v>
      </c>
      <c r="B3879" t="s">
        <v>27</v>
      </c>
      <c r="C3879" t="s">
        <v>402</v>
      </c>
      <c r="D3879" t="s">
        <v>403</v>
      </c>
      <c r="G3879" t="s">
        <v>384</v>
      </c>
      <c r="H3879" t="s">
        <v>10655</v>
      </c>
      <c r="I3879" s="4">
        <v>45443.875</v>
      </c>
      <c r="K3879" t="s">
        <v>926</v>
      </c>
      <c r="L3879" s="5"/>
      <c r="M3879" s="5" t="s">
        <v>8423</v>
      </c>
      <c r="N3879" t="s">
        <v>82</v>
      </c>
      <c r="O3879" t="s">
        <v>10656</v>
      </c>
      <c r="R3879">
        <v>1</v>
      </c>
      <c r="T3879" s="5"/>
      <c r="W3879">
        <v>270</v>
      </c>
      <c r="X3879" t="s">
        <v>8412</v>
      </c>
      <c r="Y3879" t="str">
        <f>VLOOKUP(C3879,'[1]DBS_KPY Sorumlular'!A:C,2,FALSE)</f>
        <v>Tayfun VİÇE</v>
      </c>
      <c r="Z3879" t="str">
        <f>VLOOKUP(C3879,'[1]DBS_KPY Sorumlular'!A:C,3,FALSE)</f>
        <v>Mehmet Ali YAVUZ</v>
      </c>
      <c r="AA3879" t="str">
        <f>VLOOKUP(K3879,[1]!Tablo3[#Data],2,FALSE)</f>
        <v>Kadir TOPÇU</v>
      </c>
    </row>
    <row r="3880" spans="1:27" x14ac:dyDescent="0.25">
      <c r="A3880">
        <v>5246</v>
      </c>
      <c r="B3880" t="s">
        <v>27</v>
      </c>
      <c r="C3880" t="s">
        <v>402</v>
      </c>
      <c r="D3880" t="s">
        <v>403</v>
      </c>
      <c r="G3880" t="s">
        <v>384</v>
      </c>
      <c r="H3880" t="s">
        <v>10657</v>
      </c>
      <c r="I3880" s="4">
        <v>45443.875</v>
      </c>
      <c r="K3880" t="s">
        <v>926</v>
      </c>
      <c r="L3880" s="5"/>
      <c r="M3880" s="5" t="s">
        <v>8423</v>
      </c>
      <c r="N3880" t="s">
        <v>82</v>
      </c>
      <c r="O3880" t="s">
        <v>10658</v>
      </c>
      <c r="R3880">
        <v>1</v>
      </c>
      <c r="T3880" s="5"/>
      <c r="W3880">
        <v>270</v>
      </c>
      <c r="X3880" t="s">
        <v>8412</v>
      </c>
      <c r="Y3880" t="str">
        <f>VLOOKUP(C3880,'[1]DBS_KPY Sorumlular'!A:C,2,FALSE)</f>
        <v>Tayfun VİÇE</v>
      </c>
      <c r="Z3880" t="str">
        <f>VLOOKUP(C3880,'[1]DBS_KPY Sorumlular'!A:C,3,FALSE)</f>
        <v>Mehmet Ali YAVUZ</v>
      </c>
      <c r="AA3880" t="str">
        <f>VLOOKUP(K3880,[1]!Tablo3[#Data],2,FALSE)</f>
        <v>Kadir TOPÇU</v>
      </c>
    </row>
    <row r="3881" spans="1:27" x14ac:dyDescent="0.25">
      <c r="A3881">
        <v>5247</v>
      </c>
      <c r="B3881" t="s">
        <v>27</v>
      </c>
      <c r="C3881" t="s">
        <v>402</v>
      </c>
      <c r="D3881" t="s">
        <v>403</v>
      </c>
      <c r="G3881" t="s">
        <v>384</v>
      </c>
      <c r="H3881" t="s">
        <v>10659</v>
      </c>
      <c r="I3881" s="4">
        <v>45077.875</v>
      </c>
      <c r="K3881" t="s">
        <v>926</v>
      </c>
      <c r="L3881" s="5"/>
      <c r="M3881" s="5"/>
      <c r="N3881" t="s">
        <v>82</v>
      </c>
      <c r="O3881" t="s">
        <v>10660</v>
      </c>
      <c r="R3881">
        <v>1</v>
      </c>
      <c r="T3881" s="5"/>
      <c r="W3881">
        <v>32</v>
      </c>
      <c r="X3881" t="s">
        <v>4412</v>
      </c>
      <c r="Y3881" t="str">
        <f>VLOOKUP(C3881,'[1]DBS_KPY Sorumlular'!A:C,2,FALSE)</f>
        <v>Tayfun VİÇE</v>
      </c>
      <c r="Z3881" t="str">
        <f>VLOOKUP(C3881,'[1]DBS_KPY Sorumlular'!A:C,3,FALSE)</f>
        <v>Mehmet Ali YAVUZ</v>
      </c>
      <c r="AA3881" t="str">
        <f>VLOOKUP(K3881,[1]!Tablo3[#Data],2,FALSE)</f>
        <v>Kadir TOPÇU</v>
      </c>
    </row>
    <row r="3882" spans="1:27" x14ac:dyDescent="0.25">
      <c r="A3882">
        <v>5248</v>
      </c>
      <c r="B3882" t="s">
        <v>27</v>
      </c>
      <c r="C3882" t="s">
        <v>402</v>
      </c>
      <c r="D3882" t="s">
        <v>403</v>
      </c>
      <c r="G3882" t="s">
        <v>384</v>
      </c>
      <c r="H3882" t="s">
        <v>10661</v>
      </c>
      <c r="I3882" s="4">
        <v>45077.875</v>
      </c>
      <c r="K3882" t="s">
        <v>926</v>
      </c>
      <c r="L3882" s="5"/>
      <c r="M3882" s="5"/>
      <c r="N3882" t="s">
        <v>82</v>
      </c>
      <c r="O3882" t="s">
        <v>10662</v>
      </c>
      <c r="R3882">
        <v>1</v>
      </c>
      <c r="T3882" s="5"/>
      <c r="W3882">
        <v>131</v>
      </c>
      <c r="X3882" t="s">
        <v>61</v>
      </c>
      <c r="Y3882" t="str">
        <f>VLOOKUP(C3882,'[1]DBS_KPY Sorumlular'!A:C,2,FALSE)</f>
        <v>Tayfun VİÇE</v>
      </c>
      <c r="Z3882" t="str">
        <f>VLOOKUP(C3882,'[1]DBS_KPY Sorumlular'!A:C,3,FALSE)</f>
        <v>Mehmet Ali YAVUZ</v>
      </c>
      <c r="AA3882" t="str">
        <f>VLOOKUP(K3882,[1]!Tablo3[#Data],2,FALSE)</f>
        <v>Kadir TOPÇU</v>
      </c>
    </row>
    <row r="3883" spans="1:27" x14ac:dyDescent="0.25">
      <c r="A3883">
        <v>5249</v>
      </c>
      <c r="B3883" t="s">
        <v>27</v>
      </c>
      <c r="C3883" t="s">
        <v>402</v>
      </c>
      <c r="D3883" t="s">
        <v>403</v>
      </c>
      <c r="G3883" t="s">
        <v>384</v>
      </c>
      <c r="H3883" t="s">
        <v>10663</v>
      </c>
      <c r="I3883" s="4">
        <v>45808.875</v>
      </c>
      <c r="K3883" t="s">
        <v>926</v>
      </c>
      <c r="L3883" s="5"/>
      <c r="M3883" s="5"/>
      <c r="N3883" t="s">
        <v>82</v>
      </c>
      <c r="O3883" t="s">
        <v>10664</v>
      </c>
      <c r="R3883">
        <v>1</v>
      </c>
      <c r="T3883" s="5"/>
      <c r="W3883">
        <v>196</v>
      </c>
      <c r="X3883" t="s">
        <v>7066</v>
      </c>
      <c r="Y3883" t="str">
        <f>VLOOKUP(C3883,'[1]DBS_KPY Sorumlular'!A:C,2,FALSE)</f>
        <v>Tayfun VİÇE</v>
      </c>
      <c r="Z3883" t="str">
        <f>VLOOKUP(C3883,'[1]DBS_KPY Sorumlular'!A:C,3,FALSE)</f>
        <v>Mehmet Ali YAVUZ</v>
      </c>
      <c r="AA3883" t="str">
        <f>VLOOKUP(K3883,[1]!Tablo3[#Data],2,FALSE)</f>
        <v>Kadir TOPÇU</v>
      </c>
    </row>
    <row r="3884" spans="1:27" x14ac:dyDescent="0.25">
      <c r="A3884">
        <v>5250</v>
      </c>
      <c r="B3884" t="s">
        <v>27</v>
      </c>
      <c r="C3884" t="s">
        <v>402</v>
      </c>
      <c r="D3884" t="s">
        <v>403</v>
      </c>
      <c r="G3884" t="s">
        <v>384</v>
      </c>
      <c r="H3884" t="s">
        <v>10665</v>
      </c>
      <c r="I3884" s="4">
        <v>45443.875</v>
      </c>
      <c r="K3884" t="s">
        <v>926</v>
      </c>
      <c r="L3884" s="5"/>
      <c r="M3884" s="5"/>
      <c r="N3884" t="s">
        <v>82</v>
      </c>
      <c r="O3884" t="s">
        <v>10666</v>
      </c>
      <c r="R3884">
        <v>1</v>
      </c>
      <c r="T3884" s="5"/>
      <c r="W3884">
        <v>177</v>
      </c>
      <c r="X3884" t="s">
        <v>2818</v>
      </c>
      <c r="Y3884" t="str">
        <f>VLOOKUP(C3884,'[1]DBS_KPY Sorumlular'!A:C,2,FALSE)</f>
        <v>Tayfun VİÇE</v>
      </c>
      <c r="Z3884" t="str">
        <f>VLOOKUP(C3884,'[1]DBS_KPY Sorumlular'!A:C,3,FALSE)</f>
        <v>Mehmet Ali YAVUZ</v>
      </c>
      <c r="AA3884" t="str">
        <f>VLOOKUP(K3884,[1]!Tablo3[#Data],2,FALSE)</f>
        <v>Kadir TOPÇU</v>
      </c>
    </row>
    <row r="3885" spans="1:27" x14ac:dyDescent="0.25">
      <c r="A3885">
        <v>5251</v>
      </c>
      <c r="B3885" t="s">
        <v>27</v>
      </c>
      <c r="C3885" t="s">
        <v>402</v>
      </c>
      <c r="D3885" t="s">
        <v>403</v>
      </c>
      <c r="G3885" t="s">
        <v>384</v>
      </c>
      <c r="H3885" t="s">
        <v>10667</v>
      </c>
      <c r="I3885" s="4">
        <v>45443.875</v>
      </c>
      <c r="K3885" t="s">
        <v>435</v>
      </c>
      <c r="L3885" s="5"/>
      <c r="M3885" s="5" t="s">
        <v>8423</v>
      </c>
      <c r="N3885" t="s">
        <v>82</v>
      </c>
      <c r="O3885" t="s">
        <v>10668</v>
      </c>
      <c r="R3885">
        <v>1</v>
      </c>
      <c r="T3885" s="5"/>
      <c r="W3885">
        <v>270</v>
      </c>
      <c r="X3885" t="s">
        <v>8412</v>
      </c>
      <c r="Y3885" t="str">
        <f>VLOOKUP(C3885,'[1]DBS_KPY Sorumlular'!A:C,2,FALSE)</f>
        <v>Tayfun VİÇE</v>
      </c>
      <c r="Z3885" t="str">
        <f>VLOOKUP(C3885,'[1]DBS_KPY Sorumlular'!A:C,3,FALSE)</f>
        <v>Mehmet Ali YAVUZ</v>
      </c>
      <c r="AA3885" t="str">
        <f>VLOOKUP(K3885,[1]!Tablo3[#Data],2,FALSE)</f>
        <v>Tayfun VİÇE</v>
      </c>
    </row>
    <row r="3886" spans="1:27" x14ac:dyDescent="0.25">
      <c r="A3886">
        <v>5252</v>
      </c>
      <c r="B3886" t="s">
        <v>27</v>
      </c>
      <c r="C3886" t="s">
        <v>402</v>
      </c>
      <c r="D3886" t="s">
        <v>403</v>
      </c>
      <c r="G3886" t="s">
        <v>384</v>
      </c>
      <c r="H3886" t="s">
        <v>10669</v>
      </c>
      <c r="I3886" s="4">
        <v>45443.875</v>
      </c>
      <c r="K3886" t="s">
        <v>743</v>
      </c>
      <c r="L3886" s="5"/>
      <c r="M3886" s="5" t="s">
        <v>8423</v>
      </c>
      <c r="N3886" t="s">
        <v>82</v>
      </c>
      <c r="O3886" t="s">
        <v>10670</v>
      </c>
      <c r="R3886">
        <v>1</v>
      </c>
      <c r="T3886" s="5"/>
      <c r="W3886">
        <v>270</v>
      </c>
      <c r="X3886" t="s">
        <v>8412</v>
      </c>
      <c r="Y3886" t="str">
        <f>VLOOKUP(C3886,'[1]DBS_KPY Sorumlular'!A:C,2,FALSE)</f>
        <v>Tayfun VİÇE</v>
      </c>
      <c r="Z3886" t="str">
        <f>VLOOKUP(C3886,'[1]DBS_KPY Sorumlular'!A:C,3,FALSE)</f>
        <v>Mehmet Ali YAVUZ</v>
      </c>
      <c r="AA3886" t="str">
        <f>VLOOKUP(K3886,[1]!Tablo3[#Data],2,FALSE)</f>
        <v>Kadir TOPÇU</v>
      </c>
    </row>
    <row r="3887" spans="1:27" x14ac:dyDescent="0.25">
      <c r="A3887">
        <v>5253</v>
      </c>
      <c r="B3887" t="s">
        <v>27</v>
      </c>
      <c r="C3887" t="s">
        <v>402</v>
      </c>
      <c r="D3887" t="s">
        <v>403</v>
      </c>
      <c r="G3887" t="s">
        <v>384</v>
      </c>
      <c r="H3887" t="s">
        <v>10671</v>
      </c>
      <c r="I3887" s="4">
        <v>45443.875</v>
      </c>
      <c r="K3887" t="s">
        <v>926</v>
      </c>
      <c r="L3887" s="5"/>
      <c r="M3887" s="5" t="s">
        <v>8423</v>
      </c>
      <c r="N3887" t="s">
        <v>82</v>
      </c>
      <c r="O3887" t="s">
        <v>10672</v>
      </c>
      <c r="R3887">
        <v>1</v>
      </c>
      <c r="T3887" s="5"/>
      <c r="W3887">
        <v>270</v>
      </c>
      <c r="X3887" t="s">
        <v>8412</v>
      </c>
      <c r="Y3887" t="str">
        <f>VLOOKUP(C3887,'[1]DBS_KPY Sorumlular'!A:C,2,FALSE)</f>
        <v>Tayfun VİÇE</v>
      </c>
      <c r="Z3887" t="str">
        <f>VLOOKUP(C3887,'[1]DBS_KPY Sorumlular'!A:C,3,FALSE)</f>
        <v>Mehmet Ali YAVUZ</v>
      </c>
      <c r="AA3887" t="str">
        <f>VLOOKUP(K3887,[1]!Tablo3[#Data],2,FALSE)</f>
        <v>Kadir TOPÇU</v>
      </c>
    </row>
    <row r="3888" spans="1:27" x14ac:dyDescent="0.25">
      <c r="A3888">
        <v>5254</v>
      </c>
      <c r="B3888" t="s">
        <v>27</v>
      </c>
      <c r="C3888" t="s">
        <v>402</v>
      </c>
      <c r="D3888" t="s">
        <v>403</v>
      </c>
      <c r="G3888" t="s">
        <v>384</v>
      </c>
      <c r="H3888" t="s">
        <v>10673</v>
      </c>
      <c r="I3888" s="4">
        <v>45443.875</v>
      </c>
      <c r="K3888" t="s">
        <v>743</v>
      </c>
      <c r="L3888" s="5"/>
      <c r="M3888" s="5" t="s">
        <v>8423</v>
      </c>
      <c r="N3888" t="s">
        <v>82</v>
      </c>
      <c r="O3888" t="s">
        <v>10674</v>
      </c>
      <c r="R3888">
        <v>1</v>
      </c>
      <c r="T3888" s="5"/>
      <c r="W3888">
        <v>270</v>
      </c>
      <c r="X3888" t="s">
        <v>8412</v>
      </c>
      <c r="Y3888" t="str">
        <f>VLOOKUP(C3888,'[1]DBS_KPY Sorumlular'!A:C,2,FALSE)</f>
        <v>Tayfun VİÇE</v>
      </c>
      <c r="Z3888" t="str">
        <f>VLOOKUP(C3888,'[1]DBS_KPY Sorumlular'!A:C,3,FALSE)</f>
        <v>Mehmet Ali YAVUZ</v>
      </c>
      <c r="AA3888" t="str">
        <f>VLOOKUP(K3888,[1]!Tablo3[#Data],2,FALSE)</f>
        <v>Kadir TOPÇU</v>
      </c>
    </row>
    <row r="3889" spans="1:27" x14ac:dyDescent="0.25">
      <c r="A3889">
        <v>5255</v>
      </c>
      <c r="B3889" t="s">
        <v>27</v>
      </c>
      <c r="C3889" t="s">
        <v>402</v>
      </c>
      <c r="D3889" t="s">
        <v>403</v>
      </c>
      <c r="G3889" t="s">
        <v>384</v>
      </c>
      <c r="H3889" t="s">
        <v>10675</v>
      </c>
      <c r="I3889" s="4">
        <v>45443.875</v>
      </c>
      <c r="K3889" t="s">
        <v>926</v>
      </c>
      <c r="L3889" s="5"/>
      <c r="M3889" s="5" t="s">
        <v>8423</v>
      </c>
      <c r="N3889" t="s">
        <v>82</v>
      </c>
      <c r="O3889" t="s">
        <v>10676</v>
      </c>
      <c r="R3889">
        <v>1</v>
      </c>
      <c r="T3889" s="5"/>
      <c r="W3889">
        <v>270</v>
      </c>
      <c r="X3889" t="s">
        <v>8412</v>
      </c>
      <c r="Y3889" t="str">
        <f>VLOOKUP(C3889,'[1]DBS_KPY Sorumlular'!A:C,2,FALSE)</f>
        <v>Tayfun VİÇE</v>
      </c>
      <c r="Z3889" t="str">
        <f>VLOOKUP(C3889,'[1]DBS_KPY Sorumlular'!A:C,3,FALSE)</f>
        <v>Mehmet Ali YAVUZ</v>
      </c>
      <c r="AA3889" t="str">
        <f>VLOOKUP(K3889,[1]!Tablo3[#Data],2,FALSE)</f>
        <v>Kadir TOPÇU</v>
      </c>
    </row>
    <row r="3890" spans="1:27" x14ac:dyDescent="0.25">
      <c r="A3890">
        <v>5256</v>
      </c>
      <c r="B3890" t="s">
        <v>27</v>
      </c>
      <c r="C3890" t="s">
        <v>402</v>
      </c>
      <c r="D3890" t="s">
        <v>403</v>
      </c>
      <c r="G3890" t="s">
        <v>384</v>
      </c>
      <c r="H3890" t="s">
        <v>10677</v>
      </c>
      <c r="I3890" s="4">
        <v>45443.875</v>
      </c>
      <c r="K3890" t="s">
        <v>54</v>
      </c>
      <c r="L3890" s="5"/>
      <c r="M3890" s="5" t="s">
        <v>8423</v>
      </c>
      <c r="N3890" t="s">
        <v>82</v>
      </c>
      <c r="O3890" t="s">
        <v>10678</v>
      </c>
      <c r="R3890">
        <v>1</v>
      </c>
      <c r="T3890" s="5"/>
      <c r="W3890">
        <v>270</v>
      </c>
      <c r="X3890" t="s">
        <v>8412</v>
      </c>
      <c r="Y3890" t="str">
        <f>VLOOKUP(C3890,'[1]DBS_KPY Sorumlular'!A:C,2,FALSE)</f>
        <v>Tayfun VİÇE</v>
      </c>
      <c r="Z3890" t="str">
        <f>VLOOKUP(C3890,'[1]DBS_KPY Sorumlular'!A:C,3,FALSE)</f>
        <v>Mehmet Ali YAVUZ</v>
      </c>
      <c r="AA3890" t="str">
        <f>VLOOKUP(K3890,[1]!Tablo3[#Data],2,FALSE)</f>
        <v>Erkan AKDOĞAN</v>
      </c>
    </row>
    <row r="3891" spans="1:27" x14ac:dyDescent="0.25">
      <c r="A3891">
        <v>5257</v>
      </c>
      <c r="B3891" t="s">
        <v>27</v>
      </c>
      <c r="C3891" t="s">
        <v>402</v>
      </c>
      <c r="D3891" t="s">
        <v>403</v>
      </c>
      <c r="G3891" t="s">
        <v>384</v>
      </c>
      <c r="H3891" t="s">
        <v>10679</v>
      </c>
      <c r="I3891" s="4">
        <v>45443.875</v>
      </c>
      <c r="K3891" t="s">
        <v>743</v>
      </c>
      <c r="L3891" s="5"/>
      <c r="M3891" s="5" t="s">
        <v>8423</v>
      </c>
      <c r="N3891" t="s">
        <v>82</v>
      </c>
      <c r="O3891" t="s">
        <v>10680</v>
      </c>
      <c r="R3891">
        <v>1</v>
      </c>
      <c r="T3891" s="5"/>
      <c r="W3891">
        <v>270</v>
      </c>
      <c r="X3891" t="s">
        <v>8412</v>
      </c>
      <c r="Y3891" t="str">
        <f>VLOOKUP(C3891,'[1]DBS_KPY Sorumlular'!A:C,2,FALSE)</f>
        <v>Tayfun VİÇE</v>
      </c>
      <c r="Z3891" t="str">
        <f>VLOOKUP(C3891,'[1]DBS_KPY Sorumlular'!A:C,3,FALSE)</f>
        <v>Mehmet Ali YAVUZ</v>
      </c>
      <c r="AA3891" t="str">
        <f>VLOOKUP(K3891,[1]!Tablo3[#Data],2,FALSE)</f>
        <v>Kadir TOPÇU</v>
      </c>
    </row>
    <row r="3892" spans="1:27" x14ac:dyDescent="0.25">
      <c r="A3892">
        <v>5258</v>
      </c>
      <c r="B3892" t="s">
        <v>27</v>
      </c>
      <c r="C3892" t="s">
        <v>402</v>
      </c>
      <c r="D3892" t="s">
        <v>403</v>
      </c>
      <c r="G3892" t="s">
        <v>384</v>
      </c>
      <c r="H3892" t="s">
        <v>10681</v>
      </c>
      <c r="I3892" s="4">
        <v>45443.875</v>
      </c>
      <c r="K3892" t="s">
        <v>743</v>
      </c>
      <c r="L3892" s="5"/>
      <c r="M3892" s="5" t="s">
        <v>8423</v>
      </c>
      <c r="N3892" t="s">
        <v>82</v>
      </c>
      <c r="O3892" t="s">
        <v>10682</v>
      </c>
      <c r="R3892">
        <v>1</v>
      </c>
      <c r="T3892" s="5"/>
      <c r="W3892">
        <v>270</v>
      </c>
      <c r="X3892" t="s">
        <v>8412</v>
      </c>
      <c r="Y3892" t="str">
        <f>VLOOKUP(C3892,'[1]DBS_KPY Sorumlular'!A:C,2,FALSE)</f>
        <v>Tayfun VİÇE</v>
      </c>
      <c r="Z3892" t="str">
        <f>VLOOKUP(C3892,'[1]DBS_KPY Sorumlular'!A:C,3,FALSE)</f>
        <v>Mehmet Ali YAVUZ</v>
      </c>
      <c r="AA3892" t="str">
        <f>VLOOKUP(K3892,[1]!Tablo3[#Data],2,FALSE)</f>
        <v>Kadir TOPÇU</v>
      </c>
    </row>
    <row r="3893" spans="1:27" x14ac:dyDescent="0.25">
      <c r="A3893">
        <v>5259</v>
      </c>
      <c r="B3893" t="s">
        <v>27</v>
      </c>
      <c r="C3893" t="s">
        <v>402</v>
      </c>
      <c r="D3893" t="s">
        <v>403</v>
      </c>
      <c r="G3893" t="s">
        <v>384</v>
      </c>
      <c r="H3893" t="s">
        <v>10683</v>
      </c>
      <c r="I3893" s="4">
        <v>45443.875</v>
      </c>
      <c r="K3893" t="s">
        <v>743</v>
      </c>
      <c r="L3893" s="5"/>
      <c r="M3893" s="5" t="s">
        <v>8423</v>
      </c>
      <c r="N3893" t="s">
        <v>82</v>
      </c>
      <c r="O3893" t="s">
        <v>10684</v>
      </c>
      <c r="R3893">
        <v>1</v>
      </c>
      <c r="T3893" s="5"/>
      <c r="W3893">
        <v>270</v>
      </c>
      <c r="X3893" t="s">
        <v>8412</v>
      </c>
      <c r="Y3893" t="str">
        <f>VLOOKUP(C3893,'[1]DBS_KPY Sorumlular'!A:C,2,FALSE)</f>
        <v>Tayfun VİÇE</v>
      </c>
      <c r="Z3893" t="str">
        <f>VLOOKUP(C3893,'[1]DBS_KPY Sorumlular'!A:C,3,FALSE)</f>
        <v>Mehmet Ali YAVUZ</v>
      </c>
      <c r="AA3893" t="str">
        <f>VLOOKUP(K3893,[1]!Tablo3[#Data],2,FALSE)</f>
        <v>Kadir TOPÇU</v>
      </c>
    </row>
    <row r="3894" spans="1:27" x14ac:dyDescent="0.25">
      <c r="A3894">
        <v>5260</v>
      </c>
      <c r="B3894" t="s">
        <v>27</v>
      </c>
      <c r="C3894" t="s">
        <v>402</v>
      </c>
      <c r="D3894" t="s">
        <v>403</v>
      </c>
      <c r="G3894" t="s">
        <v>384</v>
      </c>
      <c r="H3894" t="s">
        <v>10685</v>
      </c>
      <c r="I3894" s="4">
        <v>45443.875</v>
      </c>
      <c r="K3894" t="s">
        <v>743</v>
      </c>
      <c r="L3894" s="5"/>
      <c r="M3894" s="5" t="s">
        <v>8423</v>
      </c>
      <c r="N3894" t="s">
        <v>82</v>
      </c>
      <c r="O3894" t="s">
        <v>10686</v>
      </c>
      <c r="R3894">
        <v>1</v>
      </c>
      <c r="T3894" s="5"/>
      <c r="W3894">
        <v>270</v>
      </c>
      <c r="X3894" t="s">
        <v>8412</v>
      </c>
      <c r="Y3894" t="str">
        <f>VLOOKUP(C3894,'[1]DBS_KPY Sorumlular'!A:C,2,FALSE)</f>
        <v>Tayfun VİÇE</v>
      </c>
      <c r="Z3894" t="str">
        <f>VLOOKUP(C3894,'[1]DBS_KPY Sorumlular'!A:C,3,FALSE)</f>
        <v>Mehmet Ali YAVUZ</v>
      </c>
      <c r="AA3894" t="str">
        <f>VLOOKUP(K3894,[1]!Tablo3[#Data],2,FALSE)</f>
        <v>Kadir TOPÇU</v>
      </c>
    </row>
    <row r="3895" spans="1:27" x14ac:dyDescent="0.25">
      <c r="A3895">
        <v>5261</v>
      </c>
      <c r="B3895" t="s">
        <v>27</v>
      </c>
      <c r="C3895" t="s">
        <v>402</v>
      </c>
      <c r="D3895" t="s">
        <v>403</v>
      </c>
      <c r="G3895" t="s">
        <v>384</v>
      </c>
      <c r="H3895" t="s">
        <v>10687</v>
      </c>
      <c r="I3895" s="4">
        <v>45443.875</v>
      </c>
      <c r="K3895" t="s">
        <v>743</v>
      </c>
      <c r="L3895" s="5"/>
      <c r="M3895" s="5" t="s">
        <v>8423</v>
      </c>
      <c r="N3895" t="s">
        <v>82</v>
      </c>
      <c r="O3895" t="s">
        <v>10688</v>
      </c>
      <c r="R3895">
        <v>1</v>
      </c>
      <c r="T3895" s="5"/>
      <c r="W3895">
        <v>270</v>
      </c>
      <c r="X3895" t="s">
        <v>8412</v>
      </c>
      <c r="Y3895" t="str">
        <f>VLOOKUP(C3895,'[1]DBS_KPY Sorumlular'!A:C,2,FALSE)</f>
        <v>Tayfun VİÇE</v>
      </c>
      <c r="Z3895" t="str">
        <f>VLOOKUP(C3895,'[1]DBS_KPY Sorumlular'!A:C,3,FALSE)</f>
        <v>Mehmet Ali YAVUZ</v>
      </c>
      <c r="AA3895" t="str">
        <f>VLOOKUP(K3895,[1]!Tablo3[#Data],2,FALSE)</f>
        <v>Kadir TOPÇU</v>
      </c>
    </row>
    <row r="3896" spans="1:27" x14ac:dyDescent="0.25">
      <c r="A3896">
        <v>5262</v>
      </c>
      <c r="B3896" t="s">
        <v>27</v>
      </c>
      <c r="C3896" t="s">
        <v>402</v>
      </c>
      <c r="D3896" t="s">
        <v>403</v>
      </c>
      <c r="G3896" t="s">
        <v>384</v>
      </c>
      <c r="H3896" t="s">
        <v>10689</v>
      </c>
      <c r="I3896" s="4">
        <v>45443.875</v>
      </c>
      <c r="K3896" t="s">
        <v>743</v>
      </c>
      <c r="L3896" s="5"/>
      <c r="M3896" s="5" t="s">
        <v>8423</v>
      </c>
      <c r="N3896" t="s">
        <v>82</v>
      </c>
      <c r="O3896" t="s">
        <v>10690</v>
      </c>
      <c r="R3896">
        <v>1</v>
      </c>
      <c r="T3896" s="5"/>
      <c r="W3896">
        <v>270</v>
      </c>
      <c r="X3896" t="s">
        <v>8412</v>
      </c>
      <c r="Y3896" t="str">
        <f>VLOOKUP(C3896,'[1]DBS_KPY Sorumlular'!A:C,2,FALSE)</f>
        <v>Tayfun VİÇE</v>
      </c>
      <c r="Z3896" t="str">
        <f>VLOOKUP(C3896,'[1]DBS_KPY Sorumlular'!A:C,3,FALSE)</f>
        <v>Mehmet Ali YAVUZ</v>
      </c>
      <c r="AA3896" t="str">
        <f>VLOOKUP(K3896,[1]!Tablo3[#Data],2,FALSE)</f>
        <v>Kadir TOPÇU</v>
      </c>
    </row>
    <row r="3897" spans="1:27" x14ac:dyDescent="0.25">
      <c r="A3897">
        <v>5263</v>
      </c>
      <c r="B3897" t="s">
        <v>27</v>
      </c>
      <c r="C3897" t="s">
        <v>402</v>
      </c>
      <c r="D3897" t="s">
        <v>403</v>
      </c>
      <c r="G3897" t="s">
        <v>384</v>
      </c>
      <c r="H3897" t="s">
        <v>10691</v>
      </c>
      <c r="I3897" s="4">
        <v>45443.875</v>
      </c>
      <c r="K3897" t="s">
        <v>926</v>
      </c>
      <c r="L3897" s="5"/>
      <c r="M3897" s="5" t="s">
        <v>8423</v>
      </c>
      <c r="N3897" t="s">
        <v>82</v>
      </c>
      <c r="O3897" t="s">
        <v>10692</v>
      </c>
      <c r="R3897">
        <v>1</v>
      </c>
      <c r="T3897" s="5"/>
      <c r="W3897">
        <v>270</v>
      </c>
      <c r="X3897" t="s">
        <v>8412</v>
      </c>
      <c r="Y3897" t="str">
        <f>VLOOKUP(C3897,'[1]DBS_KPY Sorumlular'!A:C,2,FALSE)</f>
        <v>Tayfun VİÇE</v>
      </c>
      <c r="Z3897" t="str">
        <f>VLOOKUP(C3897,'[1]DBS_KPY Sorumlular'!A:C,3,FALSE)</f>
        <v>Mehmet Ali YAVUZ</v>
      </c>
      <c r="AA3897" t="str">
        <f>VLOOKUP(K3897,[1]!Tablo3[#Data],2,FALSE)</f>
        <v>Kadir TOPÇU</v>
      </c>
    </row>
    <row r="3898" spans="1:27" x14ac:dyDescent="0.25">
      <c r="A3898">
        <v>5264</v>
      </c>
      <c r="B3898" t="s">
        <v>27</v>
      </c>
      <c r="C3898" t="s">
        <v>402</v>
      </c>
      <c r="D3898" t="s">
        <v>403</v>
      </c>
      <c r="G3898" t="s">
        <v>384</v>
      </c>
      <c r="H3898" t="s">
        <v>10693</v>
      </c>
      <c r="I3898" s="4">
        <v>45443.875</v>
      </c>
      <c r="K3898" t="s">
        <v>743</v>
      </c>
      <c r="L3898" s="5"/>
      <c r="M3898" s="5" t="s">
        <v>8423</v>
      </c>
      <c r="N3898" t="s">
        <v>82</v>
      </c>
      <c r="O3898" t="s">
        <v>10694</v>
      </c>
      <c r="R3898">
        <v>1</v>
      </c>
      <c r="T3898" s="5"/>
      <c r="W3898">
        <v>270</v>
      </c>
      <c r="X3898" t="s">
        <v>8412</v>
      </c>
      <c r="Y3898" t="str">
        <f>VLOOKUP(C3898,'[1]DBS_KPY Sorumlular'!A:C,2,FALSE)</f>
        <v>Tayfun VİÇE</v>
      </c>
      <c r="Z3898" t="str">
        <f>VLOOKUP(C3898,'[1]DBS_KPY Sorumlular'!A:C,3,FALSE)</f>
        <v>Mehmet Ali YAVUZ</v>
      </c>
      <c r="AA3898" t="str">
        <f>VLOOKUP(K3898,[1]!Tablo3[#Data],2,FALSE)</f>
        <v>Kadir TOPÇU</v>
      </c>
    </row>
    <row r="3899" spans="1:27" x14ac:dyDescent="0.25">
      <c r="A3899">
        <v>5265</v>
      </c>
      <c r="B3899" t="s">
        <v>27</v>
      </c>
      <c r="C3899" t="s">
        <v>402</v>
      </c>
      <c r="D3899" t="s">
        <v>403</v>
      </c>
      <c r="G3899" t="s">
        <v>384</v>
      </c>
      <c r="H3899" t="s">
        <v>10695</v>
      </c>
      <c r="I3899" s="4">
        <v>45443.875</v>
      </c>
      <c r="K3899" t="s">
        <v>743</v>
      </c>
      <c r="L3899" s="5"/>
      <c r="M3899" s="5" t="s">
        <v>8423</v>
      </c>
      <c r="N3899" t="s">
        <v>82</v>
      </c>
      <c r="O3899" t="s">
        <v>10696</v>
      </c>
      <c r="R3899">
        <v>1</v>
      </c>
      <c r="T3899" s="5"/>
      <c r="W3899">
        <v>270</v>
      </c>
      <c r="X3899" t="s">
        <v>8412</v>
      </c>
      <c r="Y3899" t="str">
        <f>VLOOKUP(C3899,'[1]DBS_KPY Sorumlular'!A:C,2,FALSE)</f>
        <v>Tayfun VİÇE</v>
      </c>
      <c r="Z3899" t="str">
        <f>VLOOKUP(C3899,'[1]DBS_KPY Sorumlular'!A:C,3,FALSE)</f>
        <v>Mehmet Ali YAVUZ</v>
      </c>
      <c r="AA3899" t="str">
        <f>VLOOKUP(K3899,[1]!Tablo3[#Data],2,FALSE)</f>
        <v>Kadir TOPÇU</v>
      </c>
    </row>
    <row r="3900" spans="1:27" x14ac:dyDescent="0.25">
      <c r="A3900">
        <v>5266</v>
      </c>
      <c r="B3900" t="s">
        <v>27</v>
      </c>
      <c r="C3900" t="s">
        <v>402</v>
      </c>
      <c r="D3900" t="s">
        <v>403</v>
      </c>
      <c r="G3900" t="s">
        <v>384</v>
      </c>
      <c r="H3900" t="s">
        <v>10697</v>
      </c>
      <c r="I3900" s="4">
        <v>45443.875</v>
      </c>
      <c r="K3900" t="s">
        <v>743</v>
      </c>
      <c r="L3900" s="5"/>
      <c r="M3900" s="5" t="s">
        <v>8423</v>
      </c>
      <c r="N3900" t="s">
        <v>82</v>
      </c>
      <c r="O3900" t="s">
        <v>10698</v>
      </c>
      <c r="R3900">
        <v>1</v>
      </c>
      <c r="T3900" s="5"/>
      <c r="W3900">
        <v>270</v>
      </c>
      <c r="X3900" t="s">
        <v>8412</v>
      </c>
      <c r="Y3900" t="str">
        <f>VLOOKUP(C3900,'[1]DBS_KPY Sorumlular'!A:C,2,FALSE)</f>
        <v>Tayfun VİÇE</v>
      </c>
      <c r="Z3900" t="str">
        <f>VLOOKUP(C3900,'[1]DBS_KPY Sorumlular'!A:C,3,FALSE)</f>
        <v>Mehmet Ali YAVUZ</v>
      </c>
      <c r="AA3900" t="str">
        <f>VLOOKUP(K3900,[1]!Tablo3[#Data],2,FALSE)</f>
        <v>Kadir TOPÇU</v>
      </c>
    </row>
    <row r="3901" spans="1:27" x14ac:dyDescent="0.25">
      <c r="A3901">
        <v>5267</v>
      </c>
      <c r="B3901" t="s">
        <v>27</v>
      </c>
      <c r="C3901" t="s">
        <v>402</v>
      </c>
      <c r="D3901" t="s">
        <v>403</v>
      </c>
      <c r="G3901" t="s">
        <v>384</v>
      </c>
      <c r="H3901" t="s">
        <v>10699</v>
      </c>
      <c r="I3901" s="4">
        <v>45443.875</v>
      </c>
      <c r="K3901" t="s">
        <v>743</v>
      </c>
      <c r="L3901" s="5"/>
      <c r="M3901" s="5" t="s">
        <v>8423</v>
      </c>
      <c r="N3901" t="s">
        <v>82</v>
      </c>
      <c r="O3901" t="s">
        <v>10700</v>
      </c>
      <c r="R3901">
        <v>1</v>
      </c>
      <c r="T3901" s="5"/>
      <c r="W3901">
        <v>270</v>
      </c>
      <c r="X3901" t="s">
        <v>8412</v>
      </c>
      <c r="Y3901" t="str">
        <f>VLOOKUP(C3901,'[1]DBS_KPY Sorumlular'!A:C,2,FALSE)</f>
        <v>Tayfun VİÇE</v>
      </c>
      <c r="Z3901" t="str">
        <f>VLOOKUP(C3901,'[1]DBS_KPY Sorumlular'!A:C,3,FALSE)</f>
        <v>Mehmet Ali YAVUZ</v>
      </c>
      <c r="AA3901" t="str">
        <f>VLOOKUP(K3901,[1]!Tablo3[#Data],2,FALSE)</f>
        <v>Kadir TOPÇU</v>
      </c>
    </row>
    <row r="3902" spans="1:27" x14ac:dyDescent="0.25">
      <c r="A3902">
        <v>5268</v>
      </c>
      <c r="B3902" t="s">
        <v>27</v>
      </c>
      <c r="C3902" t="s">
        <v>402</v>
      </c>
      <c r="D3902" t="s">
        <v>403</v>
      </c>
      <c r="G3902" t="s">
        <v>384</v>
      </c>
      <c r="H3902" t="s">
        <v>10701</v>
      </c>
      <c r="I3902" s="4">
        <v>45443.875</v>
      </c>
      <c r="K3902" t="s">
        <v>1398</v>
      </c>
      <c r="L3902" s="5"/>
      <c r="M3902" s="5"/>
      <c r="N3902" t="s">
        <v>82</v>
      </c>
      <c r="O3902" t="s">
        <v>10702</v>
      </c>
      <c r="R3902">
        <v>1</v>
      </c>
      <c r="T3902" s="5"/>
      <c r="W3902">
        <v>131</v>
      </c>
      <c r="X3902" t="s">
        <v>61</v>
      </c>
      <c r="Y3902" t="str">
        <f>VLOOKUP(C3902,'[1]DBS_KPY Sorumlular'!A:C,2,FALSE)</f>
        <v>Tayfun VİÇE</v>
      </c>
      <c r="Z3902" t="str">
        <f>VLOOKUP(C3902,'[1]DBS_KPY Sorumlular'!A:C,3,FALSE)</f>
        <v>Mehmet Ali YAVUZ</v>
      </c>
      <c r="AA3902" t="str">
        <f>VLOOKUP(K3902,[1]!Tablo3[#Data],2,FALSE)</f>
        <v>Tayfun VİÇE</v>
      </c>
    </row>
    <row r="3903" spans="1:27" x14ac:dyDescent="0.25">
      <c r="A3903">
        <v>5269</v>
      </c>
      <c r="B3903" t="s">
        <v>27</v>
      </c>
      <c r="C3903" t="s">
        <v>402</v>
      </c>
      <c r="D3903" t="s">
        <v>403</v>
      </c>
      <c r="G3903" t="s">
        <v>384</v>
      </c>
      <c r="H3903" t="s">
        <v>10703</v>
      </c>
      <c r="I3903" s="4">
        <v>43982.875</v>
      </c>
      <c r="K3903" t="s">
        <v>423</v>
      </c>
      <c r="L3903" s="5"/>
      <c r="M3903" s="5"/>
      <c r="N3903" t="s">
        <v>82</v>
      </c>
      <c r="O3903" t="s">
        <v>10704</v>
      </c>
      <c r="R3903">
        <v>1</v>
      </c>
      <c r="T3903" s="5"/>
      <c r="W3903">
        <v>131</v>
      </c>
      <c r="X3903" t="s">
        <v>61</v>
      </c>
      <c r="Y3903" t="str">
        <f>VLOOKUP(C3903,'[1]DBS_KPY Sorumlular'!A:C,2,FALSE)</f>
        <v>Tayfun VİÇE</v>
      </c>
      <c r="Z3903" t="str">
        <f>VLOOKUP(C3903,'[1]DBS_KPY Sorumlular'!A:C,3,FALSE)</f>
        <v>Mehmet Ali YAVUZ</v>
      </c>
      <c r="AA3903" t="str">
        <f>VLOOKUP(K3903,[1]!Tablo3[#Data],2,FALSE)</f>
        <v>Kadir TOPÇU</v>
      </c>
    </row>
    <row r="3904" spans="1:27" x14ac:dyDescent="0.25">
      <c r="A3904">
        <v>5270</v>
      </c>
      <c r="B3904" t="s">
        <v>27</v>
      </c>
      <c r="C3904" t="s">
        <v>402</v>
      </c>
      <c r="D3904" t="s">
        <v>403</v>
      </c>
      <c r="G3904" t="s">
        <v>384</v>
      </c>
      <c r="H3904" t="s">
        <v>10705</v>
      </c>
      <c r="I3904" s="4">
        <v>43982.875</v>
      </c>
      <c r="K3904" t="s">
        <v>423</v>
      </c>
      <c r="L3904" s="5"/>
      <c r="M3904" s="5"/>
      <c r="N3904" t="s">
        <v>82</v>
      </c>
      <c r="O3904" t="s">
        <v>10706</v>
      </c>
      <c r="R3904">
        <v>1</v>
      </c>
      <c r="T3904" s="5"/>
      <c r="W3904">
        <v>32</v>
      </c>
      <c r="X3904" t="s">
        <v>4412</v>
      </c>
      <c r="Y3904" t="str">
        <f>VLOOKUP(C3904,'[1]DBS_KPY Sorumlular'!A:C,2,FALSE)</f>
        <v>Tayfun VİÇE</v>
      </c>
      <c r="Z3904" t="str">
        <f>VLOOKUP(C3904,'[1]DBS_KPY Sorumlular'!A:C,3,FALSE)</f>
        <v>Mehmet Ali YAVUZ</v>
      </c>
      <c r="AA3904" t="str">
        <f>VLOOKUP(K3904,[1]!Tablo3[#Data],2,FALSE)</f>
        <v>Kadir TOPÇU</v>
      </c>
    </row>
    <row r="3905" spans="1:27" x14ac:dyDescent="0.25">
      <c r="A3905">
        <v>5271</v>
      </c>
      <c r="B3905" t="s">
        <v>27</v>
      </c>
      <c r="C3905" t="s">
        <v>402</v>
      </c>
      <c r="D3905" t="s">
        <v>403</v>
      </c>
      <c r="G3905" t="s">
        <v>384</v>
      </c>
      <c r="H3905" t="s">
        <v>10707</v>
      </c>
      <c r="I3905" s="4">
        <v>44347.875</v>
      </c>
      <c r="K3905" t="s">
        <v>423</v>
      </c>
      <c r="L3905" s="5"/>
      <c r="M3905" s="5"/>
      <c r="N3905" t="s">
        <v>82</v>
      </c>
      <c r="O3905" t="s">
        <v>10708</v>
      </c>
      <c r="R3905">
        <v>1</v>
      </c>
      <c r="T3905" s="5"/>
      <c r="W3905">
        <v>96</v>
      </c>
      <c r="X3905" t="s">
        <v>1379</v>
      </c>
      <c r="Y3905" t="str">
        <f>VLOOKUP(C3905,'[1]DBS_KPY Sorumlular'!A:C,2,FALSE)</f>
        <v>Tayfun VİÇE</v>
      </c>
      <c r="Z3905" t="str">
        <f>VLOOKUP(C3905,'[1]DBS_KPY Sorumlular'!A:C,3,FALSE)</f>
        <v>Mehmet Ali YAVUZ</v>
      </c>
      <c r="AA3905" t="str">
        <f>VLOOKUP(K3905,[1]!Tablo3[#Data],2,FALSE)</f>
        <v>Kadir TOPÇU</v>
      </c>
    </row>
    <row r="3906" spans="1:27" x14ac:dyDescent="0.25">
      <c r="A3906">
        <v>5272</v>
      </c>
      <c r="B3906" t="s">
        <v>27</v>
      </c>
      <c r="C3906" t="s">
        <v>402</v>
      </c>
      <c r="D3906" t="s">
        <v>403</v>
      </c>
      <c r="G3906" t="s">
        <v>384</v>
      </c>
      <c r="H3906" t="s">
        <v>10709</v>
      </c>
      <c r="I3906" s="4">
        <v>44347.875</v>
      </c>
      <c r="K3906" t="s">
        <v>423</v>
      </c>
      <c r="L3906" s="5"/>
      <c r="M3906" s="5"/>
      <c r="N3906" t="s">
        <v>82</v>
      </c>
      <c r="O3906" t="s">
        <v>10710</v>
      </c>
      <c r="R3906">
        <v>1</v>
      </c>
      <c r="T3906" s="5"/>
      <c r="W3906">
        <v>66</v>
      </c>
      <c r="X3906" t="s">
        <v>8482</v>
      </c>
      <c r="Y3906" t="str">
        <f>VLOOKUP(C3906,'[1]DBS_KPY Sorumlular'!A:C,2,FALSE)</f>
        <v>Tayfun VİÇE</v>
      </c>
      <c r="Z3906" t="str">
        <f>VLOOKUP(C3906,'[1]DBS_KPY Sorumlular'!A:C,3,FALSE)</f>
        <v>Mehmet Ali YAVUZ</v>
      </c>
      <c r="AA3906" t="str">
        <f>VLOOKUP(K3906,[1]!Tablo3[#Data],2,FALSE)</f>
        <v>Kadir TOPÇU</v>
      </c>
    </row>
    <row r="3907" spans="1:27" x14ac:dyDescent="0.25">
      <c r="A3907">
        <v>5273</v>
      </c>
      <c r="B3907" t="s">
        <v>27</v>
      </c>
      <c r="C3907" t="s">
        <v>402</v>
      </c>
      <c r="D3907" t="s">
        <v>403</v>
      </c>
      <c r="G3907" t="s">
        <v>384</v>
      </c>
      <c r="H3907" t="s">
        <v>10711</v>
      </c>
      <c r="I3907" s="4">
        <v>44347.875</v>
      </c>
      <c r="K3907" t="s">
        <v>743</v>
      </c>
      <c r="L3907" s="5"/>
      <c r="M3907" s="5"/>
      <c r="N3907" t="s">
        <v>82</v>
      </c>
      <c r="O3907" t="s">
        <v>10712</v>
      </c>
      <c r="R3907">
        <v>1</v>
      </c>
      <c r="T3907" s="5"/>
      <c r="W3907">
        <v>32</v>
      </c>
      <c r="X3907" t="s">
        <v>4412</v>
      </c>
      <c r="Y3907" t="str">
        <f>VLOOKUP(C3907,'[1]DBS_KPY Sorumlular'!A:C,2,FALSE)</f>
        <v>Tayfun VİÇE</v>
      </c>
      <c r="Z3907" t="str">
        <f>VLOOKUP(C3907,'[1]DBS_KPY Sorumlular'!A:C,3,FALSE)</f>
        <v>Mehmet Ali YAVUZ</v>
      </c>
      <c r="AA3907" t="str">
        <f>VLOOKUP(K3907,[1]!Tablo3[#Data],2,FALSE)</f>
        <v>Kadir TOPÇU</v>
      </c>
    </row>
    <row r="3908" spans="1:27" x14ac:dyDescent="0.25">
      <c r="A3908">
        <v>5274</v>
      </c>
      <c r="B3908" t="s">
        <v>27</v>
      </c>
      <c r="C3908" t="s">
        <v>402</v>
      </c>
      <c r="D3908" t="s">
        <v>403</v>
      </c>
      <c r="G3908" t="s">
        <v>384</v>
      </c>
      <c r="H3908" t="s">
        <v>10713</v>
      </c>
      <c r="I3908" s="4">
        <v>44712.875</v>
      </c>
      <c r="K3908" t="s">
        <v>423</v>
      </c>
      <c r="L3908" s="5"/>
      <c r="M3908" s="5"/>
      <c r="N3908" t="s">
        <v>82</v>
      </c>
      <c r="O3908" t="s">
        <v>10714</v>
      </c>
      <c r="R3908">
        <v>1</v>
      </c>
      <c r="T3908" s="5"/>
      <c r="W3908">
        <v>96</v>
      </c>
      <c r="X3908" t="s">
        <v>1379</v>
      </c>
      <c r="Y3908" t="str">
        <f>VLOOKUP(C3908,'[1]DBS_KPY Sorumlular'!A:C,2,FALSE)</f>
        <v>Tayfun VİÇE</v>
      </c>
      <c r="Z3908" t="str">
        <f>VLOOKUP(C3908,'[1]DBS_KPY Sorumlular'!A:C,3,FALSE)</f>
        <v>Mehmet Ali YAVUZ</v>
      </c>
      <c r="AA3908" t="str">
        <f>VLOOKUP(K3908,[1]!Tablo3[#Data],2,FALSE)</f>
        <v>Kadir TOPÇU</v>
      </c>
    </row>
    <row r="3909" spans="1:27" x14ac:dyDescent="0.25">
      <c r="A3909">
        <v>5275</v>
      </c>
      <c r="B3909" t="s">
        <v>27</v>
      </c>
      <c r="C3909" t="s">
        <v>402</v>
      </c>
      <c r="D3909" t="s">
        <v>403</v>
      </c>
      <c r="G3909" t="s">
        <v>384</v>
      </c>
      <c r="H3909" t="s">
        <v>10715</v>
      </c>
      <c r="I3909" s="4">
        <v>44712.875</v>
      </c>
      <c r="K3909" t="s">
        <v>423</v>
      </c>
      <c r="L3909" s="5"/>
      <c r="M3909" s="5"/>
      <c r="N3909" t="s">
        <v>82</v>
      </c>
      <c r="O3909" t="s">
        <v>10716</v>
      </c>
      <c r="R3909">
        <v>1</v>
      </c>
      <c r="T3909" s="5"/>
      <c r="W3909">
        <v>131</v>
      </c>
      <c r="X3909" t="s">
        <v>61</v>
      </c>
      <c r="Y3909" t="str">
        <f>VLOOKUP(C3909,'[1]DBS_KPY Sorumlular'!A:C,2,FALSE)</f>
        <v>Tayfun VİÇE</v>
      </c>
      <c r="Z3909" t="str">
        <f>VLOOKUP(C3909,'[1]DBS_KPY Sorumlular'!A:C,3,FALSE)</f>
        <v>Mehmet Ali YAVUZ</v>
      </c>
      <c r="AA3909" t="str">
        <f>VLOOKUP(K3909,[1]!Tablo3[#Data],2,FALSE)</f>
        <v>Kadir TOPÇU</v>
      </c>
    </row>
    <row r="3910" spans="1:27" x14ac:dyDescent="0.25">
      <c r="A3910">
        <v>5276</v>
      </c>
      <c r="B3910" t="s">
        <v>27</v>
      </c>
      <c r="C3910" t="s">
        <v>402</v>
      </c>
      <c r="D3910" t="s">
        <v>403</v>
      </c>
      <c r="G3910" t="s">
        <v>384</v>
      </c>
      <c r="H3910" t="s">
        <v>10717</v>
      </c>
      <c r="I3910" s="4">
        <v>44712.875</v>
      </c>
      <c r="K3910" t="s">
        <v>423</v>
      </c>
      <c r="L3910" s="5"/>
      <c r="M3910" s="5"/>
      <c r="N3910" t="s">
        <v>82</v>
      </c>
      <c r="O3910" t="s">
        <v>10718</v>
      </c>
      <c r="R3910">
        <v>1</v>
      </c>
      <c r="T3910" s="5"/>
      <c r="W3910">
        <v>32</v>
      </c>
      <c r="X3910" t="s">
        <v>4412</v>
      </c>
      <c r="Y3910" t="str">
        <f>VLOOKUP(C3910,'[1]DBS_KPY Sorumlular'!A:C,2,FALSE)</f>
        <v>Tayfun VİÇE</v>
      </c>
      <c r="Z3910" t="str">
        <f>VLOOKUP(C3910,'[1]DBS_KPY Sorumlular'!A:C,3,FALSE)</f>
        <v>Mehmet Ali YAVUZ</v>
      </c>
      <c r="AA3910" t="str">
        <f>VLOOKUP(K3910,[1]!Tablo3[#Data],2,FALSE)</f>
        <v>Kadir TOPÇU</v>
      </c>
    </row>
    <row r="3911" spans="1:27" x14ac:dyDescent="0.25">
      <c r="A3911">
        <v>5277</v>
      </c>
      <c r="B3911" t="s">
        <v>27</v>
      </c>
      <c r="C3911" t="s">
        <v>402</v>
      </c>
      <c r="D3911" t="s">
        <v>403</v>
      </c>
      <c r="G3911" t="s">
        <v>384</v>
      </c>
      <c r="H3911" t="s">
        <v>10719</v>
      </c>
      <c r="I3911" s="4">
        <v>44712.875</v>
      </c>
      <c r="K3911" t="s">
        <v>423</v>
      </c>
      <c r="L3911" s="5"/>
      <c r="M3911" s="5"/>
      <c r="N3911" t="s">
        <v>82</v>
      </c>
      <c r="O3911" t="s">
        <v>10720</v>
      </c>
      <c r="R3911">
        <v>1</v>
      </c>
      <c r="T3911" s="5"/>
      <c r="W3911">
        <v>131</v>
      </c>
      <c r="X3911" t="s">
        <v>61</v>
      </c>
      <c r="Y3911" t="str">
        <f>VLOOKUP(C3911,'[1]DBS_KPY Sorumlular'!A:C,2,FALSE)</f>
        <v>Tayfun VİÇE</v>
      </c>
      <c r="Z3911" t="str">
        <f>VLOOKUP(C3911,'[1]DBS_KPY Sorumlular'!A:C,3,FALSE)</f>
        <v>Mehmet Ali YAVUZ</v>
      </c>
      <c r="AA3911" t="str">
        <f>VLOOKUP(K3911,[1]!Tablo3[#Data],2,FALSE)</f>
        <v>Kadir TOPÇU</v>
      </c>
    </row>
    <row r="3912" spans="1:27" x14ac:dyDescent="0.25">
      <c r="A3912">
        <v>5278</v>
      </c>
      <c r="B3912" t="s">
        <v>27</v>
      </c>
      <c r="C3912" t="s">
        <v>402</v>
      </c>
      <c r="D3912" t="s">
        <v>403</v>
      </c>
      <c r="G3912" t="s">
        <v>384</v>
      </c>
      <c r="H3912" t="s">
        <v>10721</v>
      </c>
      <c r="I3912" s="4">
        <v>44712.875</v>
      </c>
      <c r="K3912" t="s">
        <v>423</v>
      </c>
      <c r="L3912" s="5"/>
      <c r="M3912" s="5"/>
      <c r="N3912" t="s">
        <v>82</v>
      </c>
      <c r="O3912" t="s">
        <v>10720</v>
      </c>
      <c r="R3912">
        <v>1</v>
      </c>
      <c r="T3912" s="5"/>
      <c r="W3912">
        <v>131</v>
      </c>
      <c r="X3912" t="s">
        <v>61</v>
      </c>
      <c r="Y3912" t="str">
        <f>VLOOKUP(C3912,'[1]DBS_KPY Sorumlular'!A:C,2,FALSE)</f>
        <v>Tayfun VİÇE</v>
      </c>
      <c r="Z3912" t="str">
        <f>VLOOKUP(C3912,'[1]DBS_KPY Sorumlular'!A:C,3,FALSE)</f>
        <v>Mehmet Ali YAVUZ</v>
      </c>
      <c r="AA3912" t="str">
        <f>VLOOKUP(K3912,[1]!Tablo3[#Data],2,FALSE)</f>
        <v>Kadir TOPÇU</v>
      </c>
    </row>
    <row r="3913" spans="1:27" x14ac:dyDescent="0.25">
      <c r="A3913">
        <v>5279</v>
      </c>
      <c r="B3913" t="s">
        <v>27</v>
      </c>
      <c r="C3913" t="s">
        <v>402</v>
      </c>
      <c r="D3913" t="s">
        <v>403</v>
      </c>
      <c r="G3913" t="s">
        <v>384</v>
      </c>
      <c r="H3913" t="s">
        <v>10722</v>
      </c>
      <c r="I3913" s="4">
        <v>44712.875</v>
      </c>
      <c r="K3913" t="s">
        <v>423</v>
      </c>
      <c r="L3913" s="5"/>
      <c r="M3913" s="5"/>
      <c r="N3913" t="s">
        <v>82</v>
      </c>
      <c r="O3913" t="s">
        <v>10720</v>
      </c>
      <c r="R3913">
        <v>1</v>
      </c>
      <c r="T3913" s="5"/>
      <c r="W3913">
        <v>131</v>
      </c>
      <c r="X3913" t="s">
        <v>61</v>
      </c>
      <c r="Y3913" t="str">
        <f>VLOOKUP(C3913,'[1]DBS_KPY Sorumlular'!A:C,2,FALSE)</f>
        <v>Tayfun VİÇE</v>
      </c>
      <c r="Z3913" t="str">
        <f>VLOOKUP(C3913,'[1]DBS_KPY Sorumlular'!A:C,3,FALSE)</f>
        <v>Mehmet Ali YAVUZ</v>
      </c>
      <c r="AA3913" t="str">
        <f>VLOOKUP(K3913,[1]!Tablo3[#Data],2,FALSE)</f>
        <v>Kadir TOPÇU</v>
      </c>
    </row>
    <row r="3914" spans="1:27" x14ac:dyDescent="0.25">
      <c r="A3914">
        <v>5280</v>
      </c>
      <c r="B3914" t="s">
        <v>27</v>
      </c>
      <c r="C3914" t="s">
        <v>402</v>
      </c>
      <c r="D3914" t="s">
        <v>403</v>
      </c>
      <c r="G3914" t="s">
        <v>384</v>
      </c>
      <c r="H3914" t="s">
        <v>10723</v>
      </c>
      <c r="I3914" s="4">
        <v>45443.875</v>
      </c>
      <c r="K3914" t="s">
        <v>914</v>
      </c>
      <c r="L3914" s="5"/>
      <c r="M3914" s="5"/>
      <c r="N3914" t="s">
        <v>82</v>
      </c>
      <c r="O3914" t="s">
        <v>10724</v>
      </c>
      <c r="R3914">
        <v>1</v>
      </c>
      <c r="T3914" s="5"/>
      <c r="W3914">
        <v>66</v>
      </c>
      <c r="X3914" t="s">
        <v>8482</v>
      </c>
      <c r="Y3914" t="str">
        <f>VLOOKUP(C3914,'[1]DBS_KPY Sorumlular'!A:C,2,FALSE)</f>
        <v>Tayfun VİÇE</v>
      </c>
      <c r="Z3914" t="str">
        <f>VLOOKUP(C3914,'[1]DBS_KPY Sorumlular'!A:C,3,FALSE)</f>
        <v>Mehmet Ali YAVUZ</v>
      </c>
      <c r="AA3914" t="str">
        <f>VLOOKUP(K3914,[1]!Tablo3[#Data],2,FALSE)</f>
        <v>Tayfun VİÇE</v>
      </c>
    </row>
    <row r="3915" spans="1:27" x14ac:dyDescent="0.25">
      <c r="A3915">
        <v>5281</v>
      </c>
      <c r="B3915" t="s">
        <v>27</v>
      </c>
      <c r="C3915" t="s">
        <v>402</v>
      </c>
      <c r="D3915" t="s">
        <v>403</v>
      </c>
      <c r="G3915" t="s">
        <v>384</v>
      </c>
      <c r="H3915" t="s">
        <v>10725</v>
      </c>
      <c r="I3915" s="4">
        <v>45443.875</v>
      </c>
      <c r="K3915" t="s">
        <v>743</v>
      </c>
      <c r="L3915" s="5"/>
      <c r="M3915" s="5" t="s">
        <v>8423</v>
      </c>
      <c r="N3915" t="s">
        <v>82</v>
      </c>
      <c r="O3915" t="s">
        <v>10726</v>
      </c>
      <c r="R3915">
        <v>1</v>
      </c>
      <c r="T3915" s="5"/>
      <c r="W3915">
        <v>270</v>
      </c>
      <c r="X3915" t="s">
        <v>8412</v>
      </c>
      <c r="Y3915" t="str">
        <f>VLOOKUP(C3915,'[1]DBS_KPY Sorumlular'!A:C,2,FALSE)</f>
        <v>Tayfun VİÇE</v>
      </c>
      <c r="Z3915" t="str">
        <f>VLOOKUP(C3915,'[1]DBS_KPY Sorumlular'!A:C,3,FALSE)</f>
        <v>Mehmet Ali YAVUZ</v>
      </c>
      <c r="AA3915" t="str">
        <f>VLOOKUP(K3915,[1]!Tablo3[#Data],2,FALSE)</f>
        <v>Kadir TOPÇU</v>
      </c>
    </row>
    <row r="3916" spans="1:27" x14ac:dyDescent="0.25">
      <c r="A3916">
        <v>5282</v>
      </c>
      <c r="B3916" t="s">
        <v>27</v>
      </c>
      <c r="C3916" t="s">
        <v>402</v>
      </c>
      <c r="D3916" t="s">
        <v>403</v>
      </c>
      <c r="G3916" t="s">
        <v>384</v>
      </c>
      <c r="H3916" t="s">
        <v>10727</v>
      </c>
      <c r="I3916" s="4">
        <v>45443.875</v>
      </c>
      <c r="K3916" t="s">
        <v>743</v>
      </c>
      <c r="L3916" s="5"/>
      <c r="M3916" s="5" t="s">
        <v>8423</v>
      </c>
      <c r="N3916" t="s">
        <v>82</v>
      </c>
      <c r="O3916" t="s">
        <v>10728</v>
      </c>
      <c r="R3916">
        <v>1</v>
      </c>
      <c r="T3916" s="5"/>
      <c r="W3916">
        <v>270</v>
      </c>
      <c r="X3916" t="s">
        <v>8412</v>
      </c>
      <c r="Y3916" t="str">
        <f>VLOOKUP(C3916,'[1]DBS_KPY Sorumlular'!A:C,2,FALSE)</f>
        <v>Tayfun VİÇE</v>
      </c>
      <c r="Z3916" t="str">
        <f>VLOOKUP(C3916,'[1]DBS_KPY Sorumlular'!A:C,3,FALSE)</f>
        <v>Mehmet Ali YAVUZ</v>
      </c>
      <c r="AA3916" t="str">
        <f>VLOOKUP(K3916,[1]!Tablo3[#Data],2,FALSE)</f>
        <v>Kadir TOPÇU</v>
      </c>
    </row>
    <row r="3917" spans="1:27" x14ac:dyDescent="0.25">
      <c r="A3917">
        <v>5283</v>
      </c>
      <c r="B3917" t="s">
        <v>27</v>
      </c>
      <c r="C3917" t="s">
        <v>402</v>
      </c>
      <c r="D3917" t="s">
        <v>403</v>
      </c>
      <c r="G3917" t="s">
        <v>384</v>
      </c>
      <c r="H3917" t="s">
        <v>10729</v>
      </c>
      <c r="I3917" s="4">
        <v>45443.875</v>
      </c>
      <c r="K3917" t="s">
        <v>743</v>
      </c>
      <c r="L3917" s="5"/>
      <c r="M3917" s="5" t="s">
        <v>8423</v>
      </c>
      <c r="N3917" t="s">
        <v>82</v>
      </c>
      <c r="O3917" t="s">
        <v>10730</v>
      </c>
      <c r="R3917">
        <v>1</v>
      </c>
      <c r="T3917" s="5"/>
      <c r="W3917">
        <v>270</v>
      </c>
      <c r="X3917" t="s">
        <v>8412</v>
      </c>
      <c r="Y3917" t="str">
        <f>VLOOKUP(C3917,'[1]DBS_KPY Sorumlular'!A:C,2,FALSE)</f>
        <v>Tayfun VİÇE</v>
      </c>
      <c r="Z3917" t="str">
        <f>VLOOKUP(C3917,'[1]DBS_KPY Sorumlular'!A:C,3,FALSE)</f>
        <v>Mehmet Ali YAVUZ</v>
      </c>
      <c r="AA3917" t="str">
        <f>VLOOKUP(K3917,[1]!Tablo3[#Data],2,FALSE)</f>
        <v>Kadir TOPÇU</v>
      </c>
    </row>
    <row r="3918" spans="1:27" x14ac:dyDescent="0.25">
      <c r="A3918">
        <v>5284</v>
      </c>
      <c r="B3918" t="s">
        <v>27</v>
      </c>
      <c r="C3918" t="s">
        <v>402</v>
      </c>
      <c r="D3918" t="s">
        <v>403</v>
      </c>
      <c r="G3918" t="s">
        <v>384</v>
      </c>
      <c r="H3918" t="s">
        <v>10731</v>
      </c>
      <c r="I3918" s="4">
        <v>45443.875</v>
      </c>
      <c r="K3918" t="s">
        <v>743</v>
      </c>
      <c r="L3918" s="5"/>
      <c r="M3918" s="5" t="s">
        <v>8423</v>
      </c>
      <c r="N3918" t="s">
        <v>82</v>
      </c>
      <c r="O3918" t="s">
        <v>10732</v>
      </c>
      <c r="R3918">
        <v>1</v>
      </c>
      <c r="T3918" s="5"/>
      <c r="W3918">
        <v>270</v>
      </c>
      <c r="X3918" t="s">
        <v>8412</v>
      </c>
      <c r="Y3918" t="str">
        <f>VLOOKUP(C3918,'[1]DBS_KPY Sorumlular'!A:C,2,FALSE)</f>
        <v>Tayfun VİÇE</v>
      </c>
      <c r="Z3918" t="str">
        <f>VLOOKUP(C3918,'[1]DBS_KPY Sorumlular'!A:C,3,FALSE)</f>
        <v>Mehmet Ali YAVUZ</v>
      </c>
      <c r="AA3918" t="str">
        <f>VLOOKUP(K3918,[1]!Tablo3[#Data],2,FALSE)</f>
        <v>Kadir TOPÇU</v>
      </c>
    </row>
    <row r="3919" spans="1:27" x14ac:dyDescent="0.25">
      <c r="A3919">
        <v>5285</v>
      </c>
      <c r="B3919" t="s">
        <v>27</v>
      </c>
      <c r="C3919" t="s">
        <v>402</v>
      </c>
      <c r="D3919" t="s">
        <v>403</v>
      </c>
      <c r="G3919" t="s">
        <v>384</v>
      </c>
      <c r="H3919" t="s">
        <v>10733</v>
      </c>
      <c r="I3919" s="4">
        <v>45443.875</v>
      </c>
      <c r="K3919" t="s">
        <v>743</v>
      </c>
      <c r="L3919" s="5"/>
      <c r="M3919" s="5" t="s">
        <v>8423</v>
      </c>
      <c r="N3919" t="s">
        <v>82</v>
      </c>
      <c r="O3919" t="s">
        <v>10734</v>
      </c>
      <c r="R3919">
        <v>1</v>
      </c>
      <c r="T3919" s="5"/>
      <c r="W3919">
        <v>270</v>
      </c>
      <c r="X3919" t="s">
        <v>8412</v>
      </c>
      <c r="Y3919" t="str">
        <f>VLOOKUP(C3919,'[1]DBS_KPY Sorumlular'!A:C,2,FALSE)</f>
        <v>Tayfun VİÇE</v>
      </c>
      <c r="Z3919" t="str">
        <f>VLOOKUP(C3919,'[1]DBS_KPY Sorumlular'!A:C,3,FALSE)</f>
        <v>Mehmet Ali YAVUZ</v>
      </c>
      <c r="AA3919" t="str">
        <f>VLOOKUP(K3919,[1]!Tablo3[#Data],2,FALSE)</f>
        <v>Kadir TOPÇU</v>
      </c>
    </row>
    <row r="3920" spans="1:27" x14ac:dyDescent="0.25">
      <c r="A3920">
        <v>5286</v>
      </c>
      <c r="B3920" t="s">
        <v>27</v>
      </c>
      <c r="C3920" t="s">
        <v>402</v>
      </c>
      <c r="D3920" t="s">
        <v>403</v>
      </c>
      <c r="G3920" t="s">
        <v>384</v>
      </c>
      <c r="H3920" t="s">
        <v>10735</v>
      </c>
      <c r="I3920" s="4">
        <v>45443.875</v>
      </c>
      <c r="K3920" t="s">
        <v>1471</v>
      </c>
      <c r="L3920" s="5"/>
      <c r="M3920" s="5"/>
      <c r="N3920" t="s">
        <v>82</v>
      </c>
      <c r="O3920" t="s">
        <v>10736</v>
      </c>
      <c r="R3920">
        <v>1</v>
      </c>
      <c r="T3920" s="5"/>
      <c r="W3920">
        <v>32</v>
      </c>
      <c r="X3920" t="s">
        <v>4412</v>
      </c>
      <c r="Y3920" t="str">
        <f>VLOOKUP(C3920,'[1]DBS_KPY Sorumlular'!A:C,2,FALSE)</f>
        <v>Tayfun VİÇE</v>
      </c>
      <c r="Z3920" t="str">
        <f>VLOOKUP(C3920,'[1]DBS_KPY Sorumlular'!A:C,3,FALSE)</f>
        <v>Mehmet Ali YAVUZ</v>
      </c>
      <c r="AA3920" t="str">
        <f>VLOOKUP(K3920,[1]!Tablo3[#Data],2,FALSE)</f>
        <v>Tayfun VİÇE</v>
      </c>
    </row>
    <row r="3921" spans="1:27" x14ac:dyDescent="0.25">
      <c r="A3921">
        <v>5287</v>
      </c>
      <c r="B3921" t="s">
        <v>27</v>
      </c>
      <c r="C3921" t="s">
        <v>402</v>
      </c>
      <c r="D3921" t="s">
        <v>403</v>
      </c>
      <c r="G3921" t="s">
        <v>384</v>
      </c>
      <c r="H3921" t="s">
        <v>10737</v>
      </c>
      <c r="I3921" s="4">
        <v>45443.875</v>
      </c>
      <c r="K3921" t="s">
        <v>1471</v>
      </c>
      <c r="L3921" s="5"/>
      <c r="M3921" s="5"/>
      <c r="N3921" t="s">
        <v>82</v>
      </c>
      <c r="O3921" t="s">
        <v>10738</v>
      </c>
      <c r="R3921">
        <v>1</v>
      </c>
      <c r="T3921" s="5"/>
      <c r="W3921">
        <v>32</v>
      </c>
      <c r="X3921" t="s">
        <v>4412</v>
      </c>
      <c r="Y3921" t="str">
        <f>VLOOKUP(C3921,'[1]DBS_KPY Sorumlular'!A:C,2,FALSE)</f>
        <v>Tayfun VİÇE</v>
      </c>
      <c r="Z3921" t="str">
        <f>VLOOKUP(C3921,'[1]DBS_KPY Sorumlular'!A:C,3,FALSE)</f>
        <v>Mehmet Ali YAVUZ</v>
      </c>
      <c r="AA3921" t="str">
        <f>VLOOKUP(K3921,[1]!Tablo3[#Data],2,FALSE)</f>
        <v>Tayfun VİÇE</v>
      </c>
    </row>
    <row r="3922" spans="1:27" x14ac:dyDescent="0.25">
      <c r="A3922">
        <v>5288</v>
      </c>
      <c r="B3922" t="s">
        <v>27</v>
      </c>
      <c r="C3922" t="s">
        <v>402</v>
      </c>
      <c r="D3922" t="s">
        <v>403</v>
      </c>
      <c r="G3922" t="s">
        <v>384</v>
      </c>
      <c r="H3922" t="s">
        <v>10739</v>
      </c>
      <c r="I3922" s="4">
        <v>45443.875</v>
      </c>
      <c r="K3922" t="s">
        <v>1471</v>
      </c>
      <c r="L3922" s="5"/>
      <c r="M3922" s="5" t="s">
        <v>8423</v>
      </c>
      <c r="N3922" t="s">
        <v>82</v>
      </c>
      <c r="O3922" t="s">
        <v>10740</v>
      </c>
      <c r="R3922">
        <v>1</v>
      </c>
      <c r="T3922" s="5"/>
      <c r="W3922">
        <v>270</v>
      </c>
      <c r="X3922" t="s">
        <v>8412</v>
      </c>
      <c r="Y3922" t="str">
        <f>VLOOKUP(C3922,'[1]DBS_KPY Sorumlular'!A:C,2,FALSE)</f>
        <v>Tayfun VİÇE</v>
      </c>
      <c r="Z3922" t="str">
        <f>VLOOKUP(C3922,'[1]DBS_KPY Sorumlular'!A:C,3,FALSE)</f>
        <v>Mehmet Ali YAVUZ</v>
      </c>
      <c r="AA3922" t="str">
        <f>VLOOKUP(K3922,[1]!Tablo3[#Data],2,FALSE)</f>
        <v>Tayfun VİÇE</v>
      </c>
    </row>
    <row r="3923" spans="1:27" x14ac:dyDescent="0.25">
      <c r="A3923">
        <v>5290</v>
      </c>
      <c r="B3923" t="s">
        <v>27</v>
      </c>
      <c r="C3923" t="s">
        <v>402</v>
      </c>
      <c r="D3923" t="s">
        <v>403</v>
      </c>
      <c r="G3923" t="s">
        <v>384</v>
      </c>
      <c r="H3923" t="s">
        <v>10741</v>
      </c>
      <c r="I3923" s="4">
        <v>43982.875</v>
      </c>
      <c r="K3923" t="s">
        <v>1528</v>
      </c>
      <c r="L3923" s="5"/>
      <c r="M3923" s="5"/>
      <c r="N3923" t="s">
        <v>82</v>
      </c>
      <c r="O3923" t="s">
        <v>10742</v>
      </c>
      <c r="R3923">
        <v>1</v>
      </c>
      <c r="T3923" s="5"/>
      <c r="W3923">
        <v>32</v>
      </c>
      <c r="X3923" t="s">
        <v>4412</v>
      </c>
      <c r="Y3923" t="str">
        <f>VLOOKUP(C3923,'[1]DBS_KPY Sorumlular'!A:C,2,FALSE)</f>
        <v>Tayfun VİÇE</v>
      </c>
      <c r="Z3923" t="str">
        <f>VLOOKUP(C3923,'[1]DBS_KPY Sorumlular'!A:C,3,FALSE)</f>
        <v>Mehmet Ali YAVUZ</v>
      </c>
      <c r="AA3923" t="str">
        <f>VLOOKUP(K3923,[1]!Tablo3[#Data],2,FALSE)</f>
        <v>Tayfun VİÇE</v>
      </c>
    </row>
    <row r="3924" spans="1:27" x14ac:dyDescent="0.25">
      <c r="A3924">
        <v>5291</v>
      </c>
      <c r="B3924" t="s">
        <v>27</v>
      </c>
      <c r="C3924" t="s">
        <v>402</v>
      </c>
      <c r="D3924" t="s">
        <v>403</v>
      </c>
      <c r="G3924" t="s">
        <v>384</v>
      </c>
      <c r="H3924" t="s">
        <v>10743</v>
      </c>
      <c r="I3924" s="4">
        <v>43982.875</v>
      </c>
      <c r="K3924" t="s">
        <v>1528</v>
      </c>
      <c r="L3924" s="5"/>
      <c r="M3924" s="5"/>
      <c r="N3924" t="s">
        <v>82</v>
      </c>
      <c r="O3924" t="s">
        <v>10744</v>
      </c>
      <c r="R3924">
        <v>1</v>
      </c>
      <c r="T3924" s="5"/>
      <c r="W3924">
        <v>32</v>
      </c>
      <c r="X3924" t="s">
        <v>4412</v>
      </c>
      <c r="Y3924" t="str">
        <f>VLOOKUP(C3924,'[1]DBS_KPY Sorumlular'!A:C,2,FALSE)</f>
        <v>Tayfun VİÇE</v>
      </c>
      <c r="Z3924" t="str">
        <f>VLOOKUP(C3924,'[1]DBS_KPY Sorumlular'!A:C,3,FALSE)</f>
        <v>Mehmet Ali YAVUZ</v>
      </c>
      <c r="AA3924" t="str">
        <f>VLOOKUP(K3924,[1]!Tablo3[#Data],2,FALSE)</f>
        <v>Tayfun VİÇE</v>
      </c>
    </row>
    <row r="3925" spans="1:27" x14ac:dyDescent="0.25">
      <c r="A3925">
        <v>5292</v>
      </c>
      <c r="B3925" t="s">
        <v>27</v>
      </c>
      <c r="C3925" t="s">
        <v>402</v>
      </c>
      <c r="D3925" t="s">
        <v>403</v>
      </c>
      <c r="G3925" t="s">
        <v>384</v>
      </c>
      <c r="H3925" t="s">
        <v>10745</v>
      </c>
      <c r="I3925" s="4">
        <v>43982.875</v>
      </c>
      <c r="K3925" t="s">
        <v>1528</v>
      </c>
      <c r="L3925" s="5" t="s">
        <v>8430</v>
      </c>
      <c r="M3925" s="5"/>
      <c r="N3925" t="s">
        <v>82</v>
      </c>
      <c r="O3925" t="s">
        <v>10746</v>
      </c>
      <c r="R3925">
        <v>1</v>
      </c>
      <c r="T3925" s="5"/>
      <c r="W3925">
        <v>32</v>
      </c>
      <c r="X3925" t="s">
        <v>4412</v>
      </c>
      <c r="Y3925" t="str">
        <f>VLOOKUP(C3925,'[1]DBS_KPY Sorumlular'!A:C,2,FALSE)</f>
        <v>Tayfun VİÇE</v>
      </c>
      <c r="Z3925" t="str">
        <f>VLOOKUP(C3925,'[1]DBS_KPY Sorumlular'!A:C,3,FALSE)</f>
        <v>Mehmet Ali YAVUZ</v>
      </c>
      <c r="AA3925" t="str">
        <f>VLOOKUP(K3925,[1]!Tablo3[#Data],2,FALSE)</f>
        <v>Tayfun VİÇE</v>
      </c>
    </row>
    <row r="3926" spans="1:27" x14ac:dyDescent="0.25">
      <c r="A3926">
        <v>5293</v>
      </c>
      <c r="B3926" t="s">
        <v>27</v>
      </c>
      <c r="C3926" t="s">
        <v>402</v>
      </c>
      <c r="D3926" t="s">
        <v>403</v>
      </c>
      <c r="G3926" t="s">
        <v>384</v>
      </c>
      <c r="H3926" t="s">
        <v>10747</v>
      </c>
      <c r="I3926" s="4">
        <v>44347.875</v>
      </c>
      <c r="K3926" t="s">
        <v>1528</v>
      </c>
      <c r="L3926" s="5"/>
      <c r="M3926" s="5"/>
      <c r="N3926" t="s">
        <v>82</v>
      </c>
      <c r="O3926" t="s">
        <v>10748</v>
      </c>
      <c r="R3926">
        <v>1</v>
      </c>
      <c r="T3926" s="5"/>
      <c r="W3926">
        <v>131</v>
      </c>
      <c r="X3926" t="s">
        <v>61</v>
      </c>
      <c r="Y3926" t="str">
        <f>VLOOKUP(C3926,'[1]DBS_KPY Sorumlular'!A:C,2,FALSE)</f>
        <v>Tayfun VİÇE</v>
      </c>
      <c r="Z3926" t="str">
        <f>VLOOKUP(C3926,'[1]DBS_KPY Sorumlular'!A:C,3,FALSE)</f>
        <v>Mehmet Ali YAVUZ</v>
      </c>
      <c r="AA3926" t="str">
        <f>VLOOKUP(K3926,[1]!Tablo3[#Data],2,FALSE)</f>
        <v>Tayfun VİÇE</v>
      </c>
    </row>
    <row r="3927" spans="1:27" x14ac:dyDescent="0.25">
      <c r="A3927">
        <v>5294</v>
      </c>
      <c r="B3927" t="s">
        <v>27</v>
      </c>
      <c r="C3927" t="s">
        <v>402</v>
      </c>
      <c r="D3927" t="s">
        <v>403</v>
      </c>
      <c r="G3927" t="s">
        <v>384</v>
      </c>
      <c r="H3927" t="s">
        <v>10749</v>
      </c>
      <c r="I3927" s="4">
        <v>44347.875</v>
      </c>
      <c r="K3927" t="s">
        <v>1528</v>
      </c>
      <c r="L3927" s="5" t="s">
        <v>8430</v>
      </c>
      <c r="M3927" s="5"/>
      <c r="N3927" t="s">
        <v>82</v>
      </c>
      <c r="O3927" t="s">
        <v>10750</v>
      </c>
      <c r="R3927">
        <v>1</v>
      </c>
      <c r="T3927" s="5"/>
      <c r="W3927">
        <v>64</v>
      </c>
      <c r="X3927" t="s">
        <v>5394</v>
      </c>
      <c r="Y3927" t="str">
        <f>VLOOKUP(C3927,'[1]DBS_KPY Sorumlular'!A:C,2,FALSE)</f>
        <v>Tayfun VİÇE</v>
      </c>
      <c r="Z3927" t="str">
        <f>VLOOKUP(C3927,'[1]DBS_KPY Sorumlular'!A:C,3,FALSE)</f>
        <v>Mehmet Ali YAVUZ</v>
      </c>
      <c r="AA3927" t="str">
        <f>VLOOKUP(K3927,[1]!Tablo3[#Data],2,FALSE)</f>
        <v>Tayfun VİÇE</v>
      </c>
    </row>
    <row r="3928" spans="1:27" x14ac:dyDescent="0.25">
      <c r="A3928">
        <v>5295</v>
      </c>
      <c r="B3928" t="s">
        <v>27</v>
      </c>
      <c r="C3928" t="s">
        <v>402</v>
      </c>
      <c r="D3928" t="s">
        <v>403</v>
      </c>
      <c r="G3928" t="s">
        <v>384</v>
      </c>
      <c r="H3928" t="s">
        <v>10751</v>
      </c>
      <c r="I3928" s="4">
        <v>44347.875</v>
      </c>
      <c r="K3928" t="s">
        <v>743</v>
      </c>
      <c r="L3928" s="5"/>
      <c r="M3928" s="5"/>
      <c r="N3928" t="s">
        <v>82</v>
      </c>
      <c r="O3928" t="s">
        <v>10752</v>
      </c>
      <c r="R3928">
        <v>1</v>
      </c>
      <c r="T3928" s="5"/>
      <c r="W3928">
        <v>134</v>
      </c>
      <c r="X3928" t="s">
        <v>1577</v>
      </c>
      <c r="Y3928" t="str">
        <f>VLOOKUP(C3928,'[1]DBS_KPY Sorumlular'!A:C,2,FALSE)</f>
        <v>Tayfun VİÇE</v>
      </c>
      <c r="Z3928" t="str">
        <f>VLOOKUP(C3928,'[1]DBS_KPY Sorumlular'!A:C,3,FALSE)</f>
        <v>Mehmet Ali YAVUZ</v>
      </c>
      <c r="AA3928" t="str">
        <f>VLOOKUP(K3928,[1]!Tablo3[#Data],2,FALSE)</f>
        <v>Kadir TOPÇU</v>
      </c>
    </row>
    <row r="3929" spans="1:27" x14ac:dyDescent="0.25">
      <c r="A3929">
        <v>5296</v>
      </c>
      <c r="B3929" t="s">
        <v>27</v>
      </c>
      <c r="C3929" t="s">
        <v>402</v>
      </c>
      <c r="D3929" t="s">
        <v>403</v>
      </c>
      <c r="G3929" t="s">
        <v>384</v>
      </c>
      <c r="H3929" t="s">
        <v>10753</v>
      </c>
      <c r="I3929" s="4">
        <v>44712.875</v>
      </c>
      <c r="K3929" t="s">
        <v>1528</v>
      </c>
      <c r="L3929" s="5"/>
      <c r="M3929" s="5"/>
      <c r="N3929" t="s">
        <v>82</v>
      </c>
      <c r="O3929" t="s">
        <v>10754</v>
      </c>
      <c r="R3929">
        <v>1</v>
      </c>
      <c r="T3929" s="5"/>
      <c r="W3929">
        <v>131</v>
      </c>
      <c r="X3929" t="s">
        <v>61</v>
      </c>
      <c r="Y3929" t="str">
        <f>VLOOKUP(C3929,'[1]DBS_KPY Sorumlular'!A:C,2,FALSE)</f>
        <v>Tayfun VİÇE</v>
      </c>
      <c r="Z3929" t="str">
        <f>VLOOKUP(C3929,'[1]DBS_KPY Sorumlular'!A:C,3,FALSE)</f>
        <v>Mehmet Ali YAVUZ</v>
      </c>
      <c r="AA3929" t="str">
        <f>VLOOKUP(K3929,[1]!Tablo3[#Data],2,FALSE)</f>
        <v>Tayfun VİÇE</v>
      </c>
    </row>
    <row r="3930" spans="1:27" x14ac:dyDescent="0.25">
      <c r="A3930">
        <v>5297</v>
      </c>
      <c r="B3930" t="s">
        <v>27</v>
      </c>
      <c r="C3930" t="s">
        <v>402</v>
      </c>
      <c r="D3930" t="s">
        <v>403</v>
      </c>
      <c r="G3930" t="s">
        <v>384</v>
      </c>
      <c r="H3930" t="s">
        <v>10755</v>
      </c>
      <c r="I3930" s="4">
        <v>44712.875</v>
      </c>
      <c r="K3930" t="s">
        <v>1528</v>
      </c>
      <c r="L3930" s="5"/>
      <c r="M3930" s="5"/>
      <c r="N3930" t="s">
        <v>82</v>
      </c>
      <c r="O3930" t="s">
        <v>10756</v>
      </c>
      <c r="R3930">
        <v>1</v>
      </c>
      <c r="T3930" s="5"/>
      <c r="W3930">
        <v>131</v>
      </c>
      <c r="X3930" t="s">
        <v>61</v>
      </c>
      <c r="Y3930" t="str">
        <f>VLOOKUP(C3930,'[1]DBS_KPY Sorumlular'!A:C,2,FALSE)</f>
        <v>Tayfun VİÇE</v>
      </c>
      <c r="Z3930" t="str">
        <f>VLOOKUP(C3930,'[1]DBS_KPY Sorumlular'!A:C,3,FALSE)</f>
        <v>Mehmet Ali YAVUZ</v>
      </c>
      <c r="AA3930" t="str">
        <f>VLOOKUP(K3930,[1]!Tablo3[#Data],2,FALSE)</f>
        <v>Tayfun VİÇE</v>
      </c>
    </row>
    <row r="3931" spans="1:27" x14ac:dyDescent="0.25">
      <c r="A3931">
        <v>5298</v>
      </c>
      <c r="B3931" t="s">
        <v>27</v>
      </c>
      <c r="C3931" t="s">
        <v>402</v>
      </c>
      <c r="D3931" t="s">
        <v>403</v>
      </c>
      <c r="G3931" t="s">
        <v>384</v>
      </c>
      <c r="H3931" t="s">
        <v>10757</v>
      </c>
      <c r="I3931" s="4">
        <v>44712.875</v>
      </c>
      <c r="K3931" t="s">
        <v>1528</v>
      </c>
      <c r="L3931" s="5"/>
      <c r="M3931" s="5"/>
      <c r="N3931" t="s">
        <v>82</v>
      </c>
      <c r="O3931" t="s">
        <v>10758</v>
      </c>
      <c r="R3931">
        <v>1</v>
      </c>
      <c r="T3931" s="5"/>
      <c r="W3931">
        <v>66</v>
      </c>
      <c r="X3931" t="s">
        <v>8482</v>
      </c>
      <c r="Y3931" t="str">
        <f>VLOOKUP(C3931,'[1]DBS_KPY Sorumlular'!A:C,2,FALSE)</f>
        <v>Tayfun VİÇE</v>
      </c>
      <c r="Z3931" t="str">
        <f>VLOOKUP(C3931,'[1]DBS_KPY Sorumlular'!A:C,3,FALSE)</f>
        <v>Mehmet Ali YAVUZ</v>
      </c>
      <c r="AA3931" t="str">
        <f>VLOOKUP(K3931,[1]!Tablo3[#Data],2,FALSE)</f>
        <v>Tayfun VİÇE</v>
      </c>
    </row>
    <row r="3932" spans="1:27" x14ac:dyDescent="0.25">
      <c r="A3932">
        <v>5299</v>
      </c>
      <c r="B3932" t="s">
        <v>27</v>
      </c>
      <c r="C3932" t="s">
        <v>402</v>
      </c>
      <c r="D3932" t="s">
        <v>403</v>
      </c>
      <c r="G3932" t="s">
        <v>384</v>
      </c>
      <c r="H3932" t="s">
        <v>10759</v>
      </c>
      <c r="I3932" s="4">
        <v>44712.875</v>
      </c>
      <c r="K3932" t="s">
        <v>1528</v>
      </c>
      <c r="L3932" s="5"/>
      <c r="M3932" s="5"/>
      <c r="N3932" t="s">
        <v>82</v>
      </c>
      <c r="O3932" t="s">
        <v>10760</v>
      </c>
      <c r="R3932">
        <v>1</v>
      </c>
      <c r="T3932" s="5"/>
      <c r="W3932">
        <v>196</v>
      </c>
      <c r="X3932" t="s">
        <v>7066</v>
      </c>
      <c r="Y3932" t="str">
        <f>VLOOKUP(C3932,'[1]DBS_KPY Sorumlular'!A:C,2,FALSE)</f>
        <v>Tayfun VİÇE</v>
      </c>
      <c r="Z3932" t="str">
        <f>VLOOKUP(C3932,'[1]DBS_KPY Sorumlular'!A:C,3,FALSE)</f>
        <v>Mehmet Ali YAVUZ</v>
      </c>
      <c r="AA3932" t="str">
        <f>VLOOKUP(K3932,[1]!Tablo3[#Data],2,FALSE)</f>
        <v>Tayfun VİÇE</v>
      </c>
    </row>
    <row r="3933" spans="1:27" x14ac:dyDescent="0.25">
      <c r="A3933">
        <v>5300</v>
      </c>
      <c r="B3933" t="s">
        <v>27</v>
      </c>
      <c r="C3933" t="s">
        <v>402</v>
      </c>
      <c r="D3933" t="s">
        <v>403</v>
      </c>
      <c r="G3933" t="s">
        <v>384</v>
      </c>
      <c r="H3933" t="s">
        <v>10761</v>
      </c>
      <c r="I3933" s="4">
        <v>44712.875</v>
      </c>
      <c r="K3933" t="s">
        <v>1528</v>
      </c>
      <c r="L3933" s="5"/>
      <c r="M3933" s="5"/>
      <c r="N3933" t="s">
        <v>82</v>
      </c>
      <c r="O3933" t="s">
        <v>10762</v>
      </c>
      <c r="R3933">
        <v>1</v>
      </c>
      <c r="T3933" s="5"/>
      <c r="W3933">
        <v>131</v>
      </c>
      <c r="X3933" t="s">
        <v>61</v>
      </c>
      <c r="Y3933" t="str">
        <f>VLOOKUP(C3933,'[1]DBS_KPY Sorumlular'!A:C,2,FALSE)</f>
        <v>Tayfun VİÇE</v>
      </c>
      <c r="Z3933" t="str">
        <f>VLOOKUP(C3933,'[1]DBS_KPY Sorumlular'!A:C,3,FALSE)</f>
        <v>Mehmet Ali YAVUZ</v>
      </c>
      <c r="AA3933" t="str">
        <f>VLOOKUP(K3933,[1]!Tablo3[#Data],2,FALSE)</f>
        <v>Tayfun VİÇE</v>
      </c>
    </row>
    <row r="3934" spans="1:27" x14ac:dyDescent="0.25">
      <c r="A3934">
        <v>5301</v>
      </c>
      <c r="B3934" t="s">
        <v>27</v>
      </c>
      <c r="C3934" t="s">
        <v>402</v>
      </c>
      <c r="D3934" t="s">
        <v>403</v>
      </c>
      <c r="G3934" t="s">
        <v>384</v>
      </c>
      <c r="H3934" t="s">
        <v>10763</v>
      </c>
      <c r="I3934" s="4">
        <v>44712.875</v>
      </c>
      <c r="K3934" t="s">
        <v>1528</v>
      </c>
      <c r="L3934" s="5"/>
      <c r="M3934" s="5"/>
      <c r="N3934" t="s">
        <v>82</v>
      </c>
      <c r="O3934" t="s">
        <v>10764</v>
      </c>
      <c r="R3934">
        <v>1</v>
      </c>
      <c r="T3934" s="5"/>
      <c r="W3934">
        <v>131</v>
      </c>
      <c r="X3934" t="s">
        <v>61</v>
      </c>
      <c r="Y3934" t="str">
        <f>VLOOKUP(C3934,'[1]DBS_KPY Sorumlular'!A:C,2,FALSE)</f>
        <v>Tayfun VİÇE</v>
      </c>
      <c r="Z3934" t="str">
        <f>VLOOKUP(C3934,'[1]DBS_KPY Sorumlular'!A:C,3,FALSE)</f>
        <v>Mehmet Ali YAVUZ</v>
      </c>
      <c r="AA3934" t="str">
        <f>VLOOKUP(K3934,[1]!Tablo3[#Data],2,FALSE)</f>
        <v>Tayfun VİÇE</v>
      </c>
    </row>
    <row r="3935" spans="1:27" x14ac:dyDescent="0.25">
      <c r="A3935">
        <v>5302</v>
      </c>
      <c r="B3935" t="s">
        <v>27</v>
      </c>
      <c r="C3935" t="s">
        <v>402</v>
      </c>
      <c r="D3935" t="s">
        <v>403</v>
      </c>
      <c r="G3935" t="s">
        <v>384</v>
      </c>
      <c r="H3935" t="s">
        <v>10765</v>
      </c>
      <c r="I3935" s="4">
        <v>44712.875</v>
      </c>
      <c r="K3935" t="s">
        <v>1528</v>
      </c>
      <c r="L3935" s="5" t="s">
        <v>8430</v>
      </c>
      <c r="M3935" s="5"/>
      <c r="N3935" t="s">
        <v>82</v>
      </c>
      <c r="O3935" t="s">
        <v>10766</v>
      </c>
      <c r="R3935">
        <v>1</v>
      </c>
      <c r="T3935" s="5"/>
      <c r="W3935">
        <v>163</v>
      </c>
      <c r="X3935" t="s">
        <v>869</v>
      </c>
      <c r="Y3935" t="str">
        <f>VLOOKUP(C3935,'[1]DBS_KPY Sorumlular'!A:C,2,FALSE)</f>
        <v>Tayfun VİÇE</v>
      </c>
      <c r="Z3935" t="str">
        <f>VLOOKUP(C3935,'[1]DBS_KPY Sorumlular'!A:C,3,FALSE)</f>
        <v>Mehmet Ali YAVUZ</v>
      </c>
      <c r="AA3935" t="str">
        <f>VLOOKUP(K3935,[1]!Tablo3[#Data],2,FALSE)</f>
        <v>Tayfun VİÇE</v>
      </c>
    </row>
    <row r="3936" spans="1:27" x14ac:dyDescent="0.25">
      <c r="A3936">
        <v>5303</v>
      </c>
      <c r="B3936" t="s">
        <v>27</v>
      </c>
      <c r="C3936" t="s">
        <v>402</v>
      </c>
      <c r="D3936" t="s">
        <v>403</v>
      </c>
      <c r="G3936" t="s">
        <v>384</v>
      </c>
      <c r="H3936" t="s">
        <v>10767</v>
      </c>
      <c r="I3936" s="4">
        <v>44712.875</v>
      </c>
      <c r="K3936" t="s">
        <v>1528</v>
      </c>
      <c r="L3936" s="5"/>
      <c r="M3936" s="5"/>
      <c r="N3936" t="s">
        <v>82</v>
      </c>
      <c r="O3936" t="s">
        <v>10768</v>
      </c>
      <c r="R3936">
        <v>1</v>
      </c>
      <c r="T3936" s="5"/>
      <c r="W3936">
        <v>8</v>
      </c>
      <c r="X3936" t="s">
        <v>8399</v>
      </c>
      <c r="Y3936" t="str">
        <f>VLOOKUP(C3936,'[1]DBS_KPY Sorumlular'!A:C,2,FALSE)</f>
        <v>Tayfun VİÇE</v>
      </c>
      <c r="Z3936" t="str">
        <f>VLOOKUP(C3936,'[1]DBS_KPY Sorumlular'!A:C,3,FALSE)</f>
        <v>Mehmet Ali YAVUZ</v>
      </c>
      <c r="AA3936" t="str">
        <f>VLOOKUP(K3936,[1]!Tablo3[#Data],2,FALSE)</f>
        <v>Tayfun VİÇE</v>
      </c>
    </row>
    <row r="3937" spans="1:27" x14ac:dyDescent="0.25">
      <c r="A3937">
        <v>5304</v>
      </c>
      <c r="B3937" t="s">
        <v>27</v>
      </c>
      <c r="C3937" t="s">
        <v>402</v>
      </c>
      <c r="D3937" t="s">
        <v>403</v>
      </c>
      <c r="G3937" t="s">
        <v>384</v>
      </c>
      <c r="H3937" t="s">
        <v>10769</v>
      </c>
      <c r="I3937" s="4">
        <v>44712.875</v>
      </c>
      <c r="K3937" t="s">
        <v>1528</v>
      </c>
      <c r="L3937" s="5" t="s">
        <v>8430</v>
      </c>
      <c r="M3937" s="5"/>
      <c r="N3937" t="s">
        <v>82</v>
      </c>
      <c r="O3937" t="s">
        <v>10770</v>
      </c>
      <c r="R3937">
        <v>1</v>
      </c>
      <c r="T3937" s="5"/>
      <c r="W3937">
        <v>32</v>
      </c>
      <c r="X3937" t="s">
        <v>4412</v>
      </c>
      <c r="Y3937" t="str">
        <f>VLOOKUP(C3937,'[1]DBS_KPY Sorumlular'!A:C,2,FALSE)</f>
        <v>Tayfun VİÇE</v>
      </c>
      <c r="Z3937" t="str">
        <f>VLOOKUP(C3937,'[1]DBS_KPY Sorumlular'!A:C,3,FALSE)</f>
        <v>Mehmet Ali YAVUZ</v>
      </c>
      <c r="AA3937" t="str">
        <f>VLOOKUP(K3937,[1]!Tablo3[#Data],2,FALSE)</f>
        <v>Tayfun VİÇE</v>
      </c>
    </row>
    <row r="3938" spans="1:27" x14ac:dyDescent="0.25">
      <c r="A3938">
        <v>5305</v>
      </c>
      <c r="B3938" t="s">
        <v>27</v>
      </c>
      <c r="C3938" t="s">
        <v>402</v>
      </c>
      <c r="D3938" t="s">
        <v>403</v>
      </c>
      <c r="G3938" t="s">
        <v>384</v>
      </c>
      <c r="H3938" t="s">
        <v>10771</v>
      </c>
      <c r="I3938" s="4">
        <v>44712.875</v>
      </c>
      <c r="K3938" t="s">
        <v>1528</v>
      </c>
      <c r="L3938" s="5" t="s">
        <v>8430</v>
      </c>
      <c r="M3938" s="5"/>
      <c r="N3938" t="s">
        <v>82</v>
      </c>
      <c r="O3938" t="s">
        <v>10772</v>
      </c>
      <c r="R3938">
        <v>1</v>
      </c>
      <c r="T3938" s="5"/>
      <c r="W3938">
        <v>64</v>
      </c>
      <c r="X3938" t="s">
        <v>5394</v>
      </c>
      <c r="Y3938" t="str">
        <f>VLOOKUP(C3938,'[1]DBS_KPY Sorumlular'!A:C,2,FALSE)</f>
        <v>Tayfun VİÇE</v>
      </c>
      <c r="Z3938" t="str">
        <f>VLOOKUP(C3938,'[1]DBS_KPY Sorumlular'!A:C,3,FALSE)</f>
        <v>Mehmet Ali YAVUZ</v>
      </c>
      <c r="AA3938" t="str">
        <f>VLOOKUP(K3938,[1]!Tablo3[#Data],2,FALSE)</f>
        <v>Tayfun VİÇE</v>
      </c>
    </row>
    <row r="3939" spans="1:27" x14ac:dyDescent="0.25">
      <c r="A3939">
        <v>5306</v>
      </c>
      <c r="B3939" t="s">
        <v>27</v>
      </c>
      <c r="C3939" t="s">
        <v>402</v>
      </c>
      <c r="D3939" t="s">
        <v>403</v>
      </c>
      <c r="G3939" t="s">
        <v>384</v>
      </c>
      <c r="H3939" t="s">
        <v>10773</v>
      </c>
      <c r="I3939" s="4">
        <v>44712.875</v>
      </c>
      <c r="K3939" t="s">
        <v>1528</v>
      </c>
      <c r="L3939" s="5"/>
      <c r="M3939" s="5"/>
      <c r="N3939" t="s">
        <v>82</v>
      </c>
      <c r="O3939" t="s">
        <v>10774</v>
      </c>
      <c r="R3939">
        <v>1</v>
      </c>
      <c r="T3939" s="5"/>
      <c r="W3939">
        <v>66</v>
      </c>
      <c r="X3939" t="s">
        <v>8482</v>
      </c>
      <c r="Y3939" t="str">
        <f>VLOOKUP(C3939,'[1]DBS_KPY Sorumlular'!A:C,2,FALSE)</f>
        <v>Tayfun VİÇE</v>
      </c>
      <c r="Z3939" t="str">
        <f>VLOOKUP(C3939,'[1]DBS_KPY Sorumlular'!A:C,3,FALSE)</f>
        <v>Mehmet Ali YAVUZ</v>
      </c>
      <c r="AA3939" t="str">
        <f>VLOOKUP(K3939,[1]!Tablo3[#Data],2,FALSE)</f>
        <v>Tayfun VİÇE</v>
      </c>
    </row>
    <row r="3940" spans="1:27" x14ac:dyDescent="0.25">
      <c r="A3940">
        <v>5307</v>
      </c>
      <c r="B3940" t="s">
        <v>27</v>
      </c>
      <c r="C3940" t="s">
        <v>402</v>
      </c>
      <c r="D3940" t="s">
        <v>403</v>
      </c>
      <c r="G3940" t="s">
        <v>384</v>
      </c>
      <c r="H3940" t="s">
        <v>10775</v>
      </c>
      <c r="I3940" s="4">
        <v>45077.875</v>
      </c>
      <c r="K3940" t="s">
        <v>1528</v>
      </c>
      <c r="L3940" s="5"/>
      <c r="M3940" s="5"/>
      <c r="N3940" t="s">
        <v>82</v>
      </c>
      <c r="O3940" t="s">
        <v>10776</v>
      </c>
      <c r="R3940">
        <v>1</v>
      </c>
      <c r="T3940" s="5"/>
      <c r="W3940">
        <v>131</v>
      </c>
      <c r="X3940" t="s">
        <v>61</v>
      </c>
      <c r="Y3940" t="str">
        <f>VLOOKUP(C3940,'[1]DBS_KPY Sorumlular'!A:C,2,FALSE)</f>
        <v>Tayfun VİÇE</v>
      </c>
      <c r="Z3940" t="str">
        <f>VLOOKUP(C3940,'[1]DBS_KPY Sorumlular'!A:C,3,FALSE)</f>
        <v>Mehmet Ali YAVUZ</v>
      </c>
      <c r="AA3940" t="str">
        <f>VLOOKUP(K3940,[1]!Tablo3[#Data],2,FALSE)</f>
        <v>Tayfun VİÇE</v>
      </c>
    </row>
    <row r="3941" spans="1:27" x14ac:dyDescent="0.25">
      <c r="A3941">
        <v>5308</v>
      </c>
      <c r="B3941" t="s">
        <v>27</v>
      </c>
      <c r="C3941" t="s">
        <v>402</v>
      </c>
      <c r="D3941" t="s">
        <v>403</v>
      </c>
      <c r="G3941" t="s">
        <v>384</v>
      </c>
      <c r="H3941" t="s">
        <v>10777</v>
      </c>
      <c r="I3941" s="4">
        <v>45077.875</v>
      </c>
      <c r="K3941" t="s">
        <v>1528</v>
      </c>
      <c r="L3941" s="5" t="s">
        <v>8430</v>
      </c>
      <c r="M3941" s="5"/>
      <c r="N3941" t="s">
        <v>82</v>
      </c>
      <c r="O3941" t="s">
        <v>10778</v>
      </c>
      <c r="R3941">
        <v>1</v>
      </c>
      <c r="T3941" s="5"/>
      <c r="W3941">
        <v>32</v>
      </c>
      <c r="X3941" t="s">
        <v>4412</v>
      </c>
      <c r="Y3941" t="str">
        <f>VLOOKUP(C3941,'[1]DBS_KPY Sorumlular'!A:C,2,FALSE)</f>
        <v>Tayfun VİÇE</v>
      </c>
      <c r="Z3941" t="str">
        <f>VLOOKUP(C3941,'[1]DBS_KPY Sorumlular'!A:C,3,FALSE)</f>
        <v>Mehmet Ali YAVUZ</v>
      </c>
      <c r="AA3941" t="str">
        <f>VLOOKUP(K3941,[1]!Tablo3[#Data],2,FALSE)</f>
        <v>Tayfun VİÇE</v>
      </c>
    </row>
    <row r="3942" spans="1:27" x14ac:dyDescent="0.25">
      <c r="A3942">
        <v>5309</v>
      </c>
      <c r="B3942" t="s">
        <v>27</v>
      </c>
      <c r="C3942" t="s">
        <v>402</v>
      </c>
      <c r="D3942" t="s">
        <v>403</v>
      </c>
      <c r="G3942" t="s">
        <v>384</v>
      </c>
      <c r="H3942" t="s">
        <v>10779</v>
      </c>
      <c r="I3942" s="4">
        <v>45077.875</v>
      </c>
      <c r="K3942" t="s">
        <v>1528</v>
      </c>
      <c r="L3942" s="5"/>
      <c r="M3942" s="5"/>
      <c r="N3942" t="s">
        <v>82</v>
      </c>
      <c r="O3942" t="s">
        <v>10780</v>
      </c>
      <c r="R3942">
        <v>1</v>
      </c>
      <c r="T3942" s="5"/>
      <c r="W3942">
        <v>64</v>
      </c>
      <c r="X3942" t="s">
        <v>5394</v>
      </c>
      <c r="Y3942" t="str">
        <f>VLOOKUP(C3942,'[1]DBS_KPY Sorumlular'!A:C,2,FALSE)</f>
        <v>Tayfun VİÇE</v>
      </c>
      <c r="Z3942" t="str">
        <f>VLOOKUP(C3942,'[1]DBS_KPY Sorumlular'!A:C,3,FALSE)</f>
        <v>Mehmet Ali YAVUZ</v>
      </c>
      <c r="AA3942" t="str">
        <f>VLOOKUP(K3942,[1]!Tablo3[#Data],2,FALSE)</f>
        <v>Tayfun VİÇE</v>
      </c>
    </row>
    <row r="3943" spans="1:27" x14ac:dyDescent="0.25">
      <c r="A3943">
        <v>5310</v>
      </c>
      <c r="B3943" t="s">
        <v>27</v>
      </c>
      <c r="C3943" t="s">
        <v>402</v>
      </c>
      <c r="D3943" t="s">
        <v>403</v>
      </c>
      <c r="G3943" t="s">
        <v>384</v>
      </c>
      <c r="H3943" t="s">
        <v>10781</v>
      </c>
      <c r="I3943" s="4">
        <v>45077.875</v>
      </c>
      <c r="K3943" t="s">
        <v>1528</v>
      </c>
      <c r="L3943" s="5"/>
      <c r="M3943" s="5"/>
      <c r="N3943" t="s">
        <v>82</v>
      </c>
      <c r="O3943" t="s">
        <v>10782</v>
      </c>
      <c r="R3943">
        <v>1</v>
      </c>
      <c r="T3943" s="5"/>
      <c r="W3943">
        <v>131</v>
      </c>
      <c r="X3943" t="s">
        <v>61</v>
      </c>
      <c r="Y3943" t="str">
        <f>VLOOKUP(C3943,'[1]DBS_KPY Sorumlular'!A:C,2,FALSE)</f>
        <v>Tayfun VİÇE</v>
      </c>
      <c r="Z3943" t="str">
        <f>VLOOKUP(C3943,'[1]DBS_KPY Sorumlular'!A:C,3,FALSE)</f>
        <v>Mehmet Ali YAVUZ</v>
      </c>
      <c r="AA3943" t="str">
        <f>VLOOKUP(K3943,[1]!Tablo3[#Data],2,FALSE)</f>
        <v>Tayfun VİÇE</v>
      </c>
    </row>
    <row r="3944" spans="1:27" x14ac:dyDescent="0.25">
      <c r="A3944">
        <v>5311</v>
      </c>
      <c r="B3944" t="s">
        <v>27</v>
      </c>
      <c r="C3944" t="s">
        <v>402</v>
      </c>
      <c r="D3944" t="s">
        <v>403</v>
      </c>
      <c r="G3944" t="s">
        <v>384</v>
      </c>
      <c r="H3944" t="s">
        <v>10783</v>
      </c>
      <c r="I3944" s="4">
        <v>45077.875</v>
      </c>
      <c r="K3944" t="s">
        <v>1528</v>
      </c>
      <c r="L3944" s="5"/>
      <c r="M3944" s="5"/>
      <c r="N3944" t="s">
        <v>82</v>
      </c>
      <c r="O3944" t="s">
        <v>10784</v>
      </c>
      <c r="R3944">
        <v>1</v>
      </c>
      <c r="T3944" s="5"/>
      <c r="W3944">
        <v>131</v>
      </c>
      <c r="X3944" t="s">
        <v>61</v>
      </c>
      <c r="Y3944" t="str">
        <f>VLOOKUP(C3944,'[1]DBS_KPY Sorumlular'!A:C,2,FALSE)</f>
        <v>Tayfun VİÇE</v>
      </c>
      <c r="Z3944" t="str">
        <f>VLOOKUP(C3944,'[1]DBS_KPY Sorumlular'!A:C,3,FALSE)</f>
        <v>Mehmet Ali YAVUZ</v>
      </c>
      <c r="AA3944" t="str">
        <f>VLOOKUP(K3944,[1]!Tablo3[#Data],2,FALSE)</f>
        <v>Tayfun VİÇE</v>
      </c>
    </row>
    <row r="3945" spans="1:27" x14ac:dyDescent="0.25">
      <c r="A3945">
        <v>5312</v>
      </c>
      <c r="B3945" t="s">
        <v>27</v>
      </c>
      <c r="C3945" t="s">
        <v>402</v>
      </c>
      <c r="D3945" t="s">
        <v>403</v>
      </c>
      <c r="G3945" t="s">
        <v>384</v>
      </c>
      <c r="H3945" t="s">
        <v>10785</v>
      </c>
      <c r="I3945" s="4">
        <v>45077.875</v>
      </c>
      <c r="K3945" t="s">
        <v>1528</v>
      </c>
      <c r="L3945" s="5"/>
      <c r="M3945" s="5"/>
      <c r="N3945" t="s">
        <v>82</v>
      </c>
      <c r="O3945" t="s">
        <v>10784</v>
      </c>
      <c r="R3945">
        <v>1</v>
      </c>
      <c r="T3945" s="5"/>
      <c r="W3945">
        <v>29</v>
      </c>
      <c r="X3945" t="s">
        <v>7107</v>
      </c>
      <c r="Y3945" t="str">
        <f>VLOOKUP(C3945,'[1]DBS_KPY Sorumlular'!A:C,2,FALSE)</f>
        <v>Tayfun VİÇE</v>
      </c>
      <c r="Z3945" t="str">
        <f>VLOOKUP(C3945,'[1]DBS_KPY Sorumlular'!A:C,3,FALSE)</f>
        <v>Mehmet Ali YAVUZ</v>
      </c>
      <c r="AA3945" t="str">
        <f>VLOOKUP(K3945,[1]!Tablo3[#Data],2,FALSE)</f>
        <v>Tayfun VİÇE</v>
      </c>
    </row>
    <row r="3946" spans="1:27" x14ac:dyDescent="0.25">
      <c r="A3946">
        <v>5313</v>
      </c>
      <c r="B3946" t="s">
        <v>27</v>
      </c>
      <c r="C3946" t="s">
        <v>402</v>
      </c>
      <c r="D3946" t="s">
        <v>403</v>
      </c>
      <c r="G3946" t="s">
        <v>384</v>
      </c>
      <c r="H3946" t="s">
        <v>10786</v>
      </c>
      <c r="I3946" s="4">
        <v>45077.875</v>
      </c>
      <c r="K3946" t="s">
        <v>1528</v>
      </c>
      <c r="L3946" s="5"/>
      <c r="M3946" s="5"/>
      <c r="N3946" t="s">
        <v>82</v>
      </c>
      <c r="O3946" t="s">
        <v>10787</v>
      </c>
      <c r="R3946">
        <v>1</v>
      </c>
      <c r="T3946" s="5"/>
      <c r="W3946">
        <v>131</v>
      </c>
      <c r="X3946" t="s">
        <v>61</v>
      </c>
      <c r="Y3946" t="str">
        <f>VLOOKUP(C3946,'[1]DBS_KPY Sorumlular'!A:C,2,FALSE)</f>
        <v>Tayfun VİÇE</v>
      </c>
      <c r="Z3946" t="str">
        <f>VLOOKUP(C3946,'[1]DBS_KPY Sorumlular'!A:C,3,FALSE)</f>
        <v>Mehmet Ali YAVUZ</v>
      </c>
      <c r="AA3946" t="str">
        <f>VLOOKUP(K3946,[1]!Tablo3[#Data],2,FALSE)</f>
        <v>Tayfun VİÇE</v>
      </c>
    </row>
    <row r="3947" spans="1:27" x14ac:dyDescent="0.25">
      <c r="A3947">
        <v>5314</v>
      </c>
      <c r="B3947" t="s">
        <v>27</v>
      </c>
      <c r="C3947" t="s">
        <v>402</v>
      </c>
      <c r="D3947" t="s">
        <v>403</v>
      </c>
      <c r="G3947" t="s">
        <v>384</v>
      </c>
      <c r="H3947" t="s">
        <v>10788</v>
      </c>
      <c r="I3947" s="4">
        <v>45077.875</v>
      </c>
      <c r="K3947" t="s">
        <v>1528</v>
      </c>
      <c r="L3947" s="5"/>
      <c r="M3947" s="5"/>
      <c r="N3947" t="s">
        <v>82</v>
      </c>
      <c r="O3947" t="s">
        <v>10789</v>
      </c>
      <c r="R3947">
        <v>1</v>
      </c>
      <c r="T3947" s="5"/>
      <c r="W3947">
        <v>131</v>
      </c>
      <c r="X3947" t="s">
        <v>61</v>
      </c>
      <c r="Y3947" t="str">
        <f>VLOOKUP(C3947,'[1]DBS_KPY Sorumlular'!A:C,2,FALSE)</f>
        <v>Tayfun VİÇE</v>
      </c>
      <c r="Z3947" t="str">
        <f>VLOOKUP(C3947,'[1]DBS_KPY Sorumlular'!A:C,3,FALSE)</f>
        <v>Mehmet Ali YAVUZ</v>
      </c>
      <c r="AA3947" t="str">
        <f>VLOOKUP(K3947,[1]!Tablo3[#Data],2,FALSE)</f>
        <v>Tayfun VİÇE</v>
      </c>
    </row>
    <row r="3948" spans="1:27" x14ac:dyDescent="0.25">
      <c r="A3948">
        <v>5315</v>
      </c>
      <c r="B3948" t="s">
        <v>27</v>
      </c>
      <c r="C3948" t="s">
        <v>402</v>
      </c>
      <c r="D3948" t="s">
        <v>403</v>
      </c>
      <c r="G3948" t="s">
        <v>384</v>
      </c>
      <c r="H3948" t="s">
        <v>10790</v>
      </c>
      <c r="I3948" s="4">
        <v>45443.875</v>
      </c>
      <c r="K3948" t="s">
        <v>423</v>
      </c>
      <c r="L3948" s="5"/>
      <c r="M3948" s="5"/>
      <c r="N3948" t="s">
        <v>82</v>
      </c>
      <c r="O3948" t="s">
        <v>10791</v>
      </c>
      <c r="R3948">
        <v>1</v>
      </c>
      <c r="T3948" s="5"/>
      <c r="W3948">
        <v>178</v>
      </c>
      <c r="X3948" t="s">
        <v>9082</v>
      </c>
      <c r="Y3948" t="str">
        <f>VLOOKUP(C3948,'[1]DBS_KPY Sorumlular'!A:C,2,FALSE)</f>
        <v>Tayfun VİÇE</v>
      </c>
      <c r="Z3948" t="str">
        <f>VLOOKUP(C3948,'[1]DBS_KPY Sorumlular'!A:C,3,FALSE)</f>
        <v>Mehmet Ali YAVUZ</v>
      </c>
      <c r="AA3948" t="str">
        <f>VLOOKUP(K3948,[1]!Tablo3[#Data],2,FALSE)</f>
        <v>Kadir TOPÇU</v>
      </c>
    </row>
    <row r="3949" spans="1:27" x14ac:dyDescent="0.25">
      <c r="A3949">
        <v>5316</v>
      </c>
      <c r="B3949" t="s">
        <v>27</v>
      </c>
      <c r="C3949" t="s">
        <v>402</v>
      </c>
      <c r="D3949" t="s">
        <v>403</v>
      </c>
      <c r="G3949" t="s">
        <v>384</v>
      </c>
      <c r="H3949" t="s">
        <v>10792</v>
      </c>
      <c r="I3949" s="4">
        <v>45443.875</v>
      </c>
      <c r="K3949" t="s">
        <v>1528</v>
      </c>
      <c r="L3949" s="5" t="s">
        <v>8546</v>
      </c>
      <c r="M3949" s="5"/>
      <c r="N3949" t="s">
        <v>82</v>
      </c>
      <c r="O3949" t="s">
        <v>10793</v>
      </c>
      <c r="R3949">
        <v>1</v>
      </c>
      <c r="T3949" s="5"/>
      <c r="W3949">
        <v>32</v>
      </c>
      <c r="X3949" t="s">
        <v>4412</v>
      </c>
      <c r="Y3949" t="str">
        <f>VLOOKUP(C3949,'[1]DBS_KPY Sorumlular'!A:C,2,FALSE)</f>
        <v>Tayfun VİÇE</v>
      </c>
      <c r="Z3949" t="str">
        <f>VLOOKUP(C3949,'[1]DBS_KPY Sorumlular'!A:C,3,FALSE)</f>
        <v>Mehmet Ali YAVUZ</v>
      </c>
      <c r="AA3949" t="str">
        <f>VLOOKUP(K3949,[1]!Tablo3[#Data],2,FALSE)</f>
        <v>Tayfun VİÇE</v>
      </c>
    </row>
    <row r="3950" spans="1:27" x14ac:dyDescent="0.25">
      <c r="A3950">
        <v>5317</v>
      </c>
      <c r="B3950" t="s">
        <v>27</v>
      </c>
      <c r="C3950" t="s">
        <v>402</v>
      </c>
      <c r="D3950" t="s">
        <v>403</v>
      </c>
      <c r="G3950" t="s">
        <v>384</v>
      </c>
      <c r="H3950" t="s">
        <v>10794</v>
      </c>
      <c r="I3950" s="4">
        <v>45443.875</v>
      </c>
      <c r="K3950" t="s">
        <v>1528</v>
      </c>
      <c r="L3950" s="5"/>
      <c r="M3950" s="5"/>
      <c r="N3950" t="s">
        <v>82</v>
      </c>
      <c r="O3950" t="s">
        <v>10795</v>
      </c>
      <c r="R3950">
        <v>1</v>
      </c>
      <c r="T3950" s="5"/>
      <c r="W3950">
        <v>241</v>
      </c>
      <c r="X3950" t="s">
        <v>3500</v>
      </c>
      <c r="Y3950" t="str">
        <f>VLOOKUP(C3950,'[1]DBS_KPY Sorumlular'!A:C,2,FALSE)</f>
        <v>Tayfun VİÇE</v>
      </c>
      <c r="Z3950" t="str">
        <f>VLOOKUP(C3950,'[1]DBS_KPY Sorumlular'!A:C,3,FALSE)</f>
        <v>Mehmet Ali YAVUZ</v>
      </c>
      <c r="AA3950" t="str">
        <f>VLOOKUP(K3950,[1]!Tablo3[#Data],2,FALSE)</f>
        <v>Tayfun VİÇE</v>
      </c>
    </row>
    <row r="3951" spans="1:27" x14ac:dyDescent="0.25">
      <c r="A3951">
        <v>5318</v>
      </c>
      <c r="B3951" t="s">
        <v>27</v>
      </c>
      <c r="C3951" t="s">
        <v>402</v>
      </c>
      <c r="D3951" t="s">
        <v>403</v>
      </c>
      <c r="G3951" t="s">
        <v>384</v>
      </c>
      <c r="H3951" t="s">
        <v>10796</v>
      </c>
      <c r="I3951" s="4">
        <v>45443.875</v>
      </c>
      <c r="K3951" t="s">
        <v>1528</v>
      </c>
      <c r="L3951" s="5"/>
      <c r="M3951" s="5"/>
      <c r="N3951" t="s">
        <v>82</v>
      </c>
      <c r="O3951" t="s">
        <v>10797</v>
      </c>
      <c r="R3951">
        <v>1</v>
      </c>
      <c r="T3951" s="5"/>
      <c r="W3951">
        <v>196</v>
      </c>
      <c r="X3951" t="s">
        <v>7066</v>
      </c>
      <c r="Y3951" t="str">
        <f>VLOOKUP(C3951,'[1]DBS_KPY Sorumlular'!A:C,2,FALSE)</f>
        <v>Tayfun VİÇE</v>
      </c>
      <c r="Z3951" t="str">
        <f>VLOOKUP(C3951,'[1]DBS_KPY Sorumlular'!A:C,3,FALSE)</f>
        <v>Mehmet Ali YAVUZ</v>
      </c>
      <c r="AA3951" t="str">
        <f>VLOOKUP(K3951,[1]!Tablo3[#Data],2,FALSE)</f>
        <v>Tayfun VİÇE</v>
      </c>
    </row>
    <row r="3952" spans="1:27" x14ac:dyDescent="0.25">
      <c r="A3952">
        <v>5319</v>
      </c>
      <c r="B3952" t="s">
        <v>27</v>
      </c>
      <c r="C3952" t="s">
        <v>402</v>
      </c>
      <c r="D3952" t="s">
        <v>403</v>
      </c>
      <c r="G3952" t="s">
        <v>384</v>
      </c>
      <c r="H3952" t="s">
        <v>10798</v>
      </c>
      <c r="I3952" s="4">
        <v>45443.875</v>
      </c>
      <c r="K3952" t="s">
        <v>1528</v>
      </c>
      <c r="L3952" s="5"/>
      <c r="M3952" s="5"/>
      <c r="N3952" t="s">
        <v>82</v>
      </c>
      <c r="O3952" t="s">
        <v>10799</v>
      </c>
      <c r="R3952">
        <v>1</v>
      </c>
      <c r="T3952" s="5"/>
      <c r="W3952">
        <v>252</v>
      </c>
      <c r="X3952" t="s">
        <v>10800</v>
      </c>
      <c r="Y3952" t="str">
        <f>VLOOKUP(C3952,'[1]DBS_KPY Sorumlular'!A:C,2,FALSE)</f>
        <v>Tayfun VİÇE</v>
      </c>
      <c r="Z3952" t="str">
        <f>VLOOKUP(C3952,'[1]DBS_KPY Sorumlular'!A:C,3,FALSE)</f>
        <v>Mehmet Ali YAVUZ</v>
      </c>
      <c r="AA3952" t="str">
        <f>VLOOKUP(K3952,[1]!Tablo3[#Data],2,FALSE)</f>
        <v>Tayfun VİÇE</v>
      </c>
    </row>
    <row r="3953" spans="1:27" x14ac:dyDescent="0.25">
      <c r="A3953">
        <v>5320</v>
      </c>
      <c r="B3953" t="s">
        <v>27</v>
      </c>
      <c r="C3953" t="s">
        <v>402</v>
      </c>
      <c r="D3953" t="s">
        <v>403</v>
      </c>
      <c r="G3953" t="s">
        <v>384</v>
      </c>
      <c r="H3953" t="s">
        <v>10801</v>
      </c>
      <c r="I3953" s="4">
        <v>45443.875</v>
      </c>
      <c r="K3953" t="s">
        <v>1528</v>
      </c>
      <c r="L3953" s="5"/>
      <c r="M3953" s="5"/>
      <c r="N3953" t="s">
        <v>82</v>
      </c>
      <c r="O3953" t="s">
        <v>10802</v>
      </c>
      <c r="R3953">
        <v>1</v>
      </c>
      <c r="T3953" s="5"/>
      <c r="W3953">
        <v>252</v>
      </c>
      <c r="X3953" t="s">
        <v>10800</v>
      </c>
      <c r="Y3953" t="str">
        <f>VLOOKUP(C3953,'[1]DBS_KPY Sorumlular'!A:C,2,FALSE)</f>
        <v>Tayfun VİÇE</v>
      </c>
      <c r="Z3953" t="str">
        <f>VLOOKUP(C3953,'[1]DBS_KPY Sorumlular'!A:C,3,FALSE)</f>
        <v>Mehmet Ali YAVUZ</v>
      </c>
      <c r="AA3953" t="str">
        <f>VLOOKUP(K3953,[1]!Tablo3[#Data],2,FALSE)</f>
        <v>Tayfun VİÇE</v>
      </c>
    </row>
    <row r="3954" spans="1:27" x14ac:dyDescent="0.25">
      <c r="A3954">
        <v>5321</v>
      </c>
      <c r="B3954" t="s">
        <v>27</v>
      </c>
      <c r="C3954" t="s">
        <v>402</v>
      </c>
      <c r="D3954" t="s">
        <v>403</v>
      </c>
      <c r="G3954" t="s">
        <v>384</v>
      </c>
      <c r="H3954" t="s">
        <v>10803</v>
      </c>
      <c r="I3954" s="4">
        <v>45443.875</v>
      </c>
      <c r="K3954" t="s">
        <v>1528</v>
      </c>
      <c r="L3954" s="5"/>
      <c r="M3954" s="5" t="s">
        <v>8423</v>
      </c>
      <c r="N3954" t="s">
        <v>82</v>
      </c>
      <c r="O3954" t="s">
        <v>10804</v>
      </c>
      <c r="R3954">
        <v>1</v>
      </c>
      <c r="T3954" s="5"/>
      <c r="W3954">
        <v>270</v>
      </c>
      <c r="X3954" t="s">
        <v>8412</v>
      </c>
      <c r="Y3954" t="str">
        <f>VLOOKUP(C3954,'[1]DBS_KPY Sorumlular'!A:C,2,FALSE)</f>
        <v>Tayfun VİÇE</v>
      </c>
      <c r="Z3954" t="str">
        <f>VLOOKUP(C3954,'[1]DBS_KPY Sorumlular'!A:C,3,FALSE)</f>
        <v>Mehmet Ali YAVUZ</v>
      </c>
      <c r="AA3954" t="str">
        <f>VLOOKUP(K3954,[1]!Tablo3[#Data],2,FALSE)</f>
        <v>Tayfun VİÇE</v>
      </c>
    </row>
    <row r="3955" spans="1:27" x14ac:dyDescent="0.25">
      <c r="A3955">
        <v>5322</v>
      </c>
      <c r="B3955" t="s">
        <v>27</v>
      </c>
      <c r="C3955" t="s">
        <v>402</v>
      </c>
      <c r="D3955" t="s">
        <v>403</v>
      </c>
      <c r="G3955" t="s">
        <v>384</v>
      </c>
      <c r="H3955" t="s">
        <v>10805</v>
      </c>
      <c r="I3955" s="4">
        <v>45443.875</v>
      </c>
      <c r="K3955" t="s">
        <v>1528</v>
      </c>
      <c r="L3955" s="5"/>
      <c r="M3955" s="5" t="s">
        <v>8423</v>
      </c>
      <c r="N3955" t="s">
        <v>82</v>
      </c>
      <c r="O3955" t="s">
        <v>10770</v>
      </c>
      <c r="R3955">
        <v>1</v>
      </c>
      <c r="T3955" s="5"/>
      <c r="W3955">
        <v>270</v>
      </c>
      <c r="X3955" t="s">
        <v>8412</v>
      </c>
      <c r="Y3955" t="str">
        <f>VLOOKUP(C3955,'[1]DBS_KPY Sorumlular'!A:C,2,FALSE)</f>
        <v>Tayfun VİÇE</v>
      </c>
      <c r="Z3955" t="str">
        <f>VLOOKUP(C3955,'[1]DBS_KPY Sorumlular'!A:C,3,FALSE)</f>
        <v>Mehmet Ali YAVUZ</v>
      </c>
      <c r="AA3955" t="str">
        <f>VLOOKUP(K3955,[1]!Tablo3[#Data],2,FALSE)</f>
        <v>Tayfun VİÇE</v>
      </c>
    </row>
    <row r="3956" spans="1:27" x14ac:dyDescent="0.25">
      <c r="A3956">
        <v>5323</v>
      </c>
      <c r="B3956" t="s">
        <v>27</v>
      </c>
      <c r="C3956" t="s">
        <v>402</v>
      </c>
      <c r="D3956" t="s">
        <v>403</v>
      </c>
      <c r="G3956" t="s">
        <v>384</v>
      </c>
      <c r="H3956" t="s">
        <v>10806</v>
      </c>
      <c r="I3956" s="4">
        <v>45443.875</v>
      </c>
      <c r="K3956" t="s">
        <v>1528</v>
      </c>
      <c r="L3956" s="5"/>
      <c r="M3956" s="5" t="s">
        <v>8423</v>
      </c>
      <c r="N3956" t="s">
        <v>82</v>
      </c>
      <c r="O3956" t="s">
        <v>10807</v>
      </c>
      <c r="R3956">
        <v>1</v>
      </c>
      <c r="T3956" s="5"/>
      <c r="W3956">
        <v>270</v>
      </c>
      <c r="X3956" t="s">
        <v>8412</v>
      </c>
      <c r="Y3956" t="str">
        <f>VLOOKUP(C3956,'[1]DBS_KPY Sorumlular'!A:C,2,FALSE)</f>
        <v>Tayfun VİÇE</v>
      </c>
      <c r="Z3956" t="str">
        <f>VLOOKUP(C3956,'[1]DBS_KPY Sorumlular'!A:C,3,FALSE)</f>
        <v>Mehmet Ali YAVUZ</v>
      </c>
      <c r="AA3956" t="str">
        <f>VLOOKUP(K3956,[1]!Tablo3[#Data],2,FALSE)</f>
        <v>Tayfun VİÇE</v>
      </c>
    </row>
    <row r="3957" spans="1:27" x14ac:dyDescent="0.25">
      <c r="A3957">
        <v>5324</v>
      </c>
      <c r="B3957" t="s">
        <v>27</v>
      </c>
      <c r="C3957" t="s">
        <v>402</v>
      </c>
      <c r="D3957" t="s">
        <v>403</v>
      </c>
      <c r="G3957" t="s">
        <v>384</v>
      </c>
      <c r="H3957" t="s">
        <v>10808</v>
      </c>
      <c r="I3957" s="4">
        <v>45443.875</v>
      </c>
      <c r="K3957" t="s">
        <v>1528</v>
      </c>
      <c r="L3957" s="5"/>
      <c r="M3957" s="5" t="s">
        <v>8423</v>
      </c>
      <c r="N3957" t="s">
        <v>82</v>
      </c>
      <c r="O3957" t="s">
        <v>10809</v>
      </c>
      <c r="R3957">
        <v>1</v>
      </c>
      <c r="T3957" s="5"/>
      <c r="W3957">
        <v>270</v>
      </c>
      <c r="X3957" t="s">
        <v>8412</v>
      </c>
      <c r="Y3957" t="str">
        <f>VLOOKUP(C3957,'[1]DBS_KPY Sorumlular'!A:C,2,FALSE)</f>
        <v>Tayfun VİÇE</v>
      </c>
      <c r="Z3957" t="str">
        <f>VLOOKUP(C3957,'[1]DBS_KPY Sorumlular'!A:C,3,FALSE)</f>
        <v>Mehmet Ali YAVUZ</v>
      </c>
      <c r="AA3957" t="str">
        <f>VLOOKUP(K3957,[1]!Tablo3[#Data],2,FALSE)</f>
        <v>Tayfun VİÇE</v>
      </c>
    </row>
    <row r="3958" spans="1:27" x14ac:dyDescent="0.25">
      <c r="A3958">
        <v>5325</v>
      </c>
      <c r="B3958" t="s">
        <v>27</v>
      </c>
      <c r="C3958" t="s">
        <v>402</v>
      </c>
      <c r="D3958" t="s">
        <v>403</v>
      </c>
      <c r="G3958" t="s">
        <v>384</v>
      </c>
      <c r="H3958" t="s">
        <v>10810</v>
      </c>
      <c r="I3958" s="4">
        <v>45443.875</v>
      </c>
      <c r="K3958" t="s">
        <v>743</v>
      </c>
      <c r="L3958" s="5"/>
      <c r="M3958" s="5" t="s">
        <v>8423</v>
      </c>
      <c r="N3958" t="s">
        <v>82</v>
      </c>
      <c r="O3958" t="s">
        <v>10811</v>
      </c>
      <c r="R3958">
        <v>1</v>
      </c>
      <c r="T3958" s="5"/>
      <c r="W3958">
        <v>270</v>
      </c>
      <c r="X3958" t="s">
        <v>8412</v>
      </c>
      <c r="Y3958" t="str">
        <f>VLOOKUP(C3958,'[1]DBS_KPY Sorumlular'!A:C,2,FALSE)</f>
        <v>Tayfun VİÇE</v>
      </c>
      <c r="Z3958" t="str">
        <f>VLOOKUP(C3958,'[1]DBS_KPY Sorumlular'!A:C,3,FALSE)</f>
        <v>Mehmet Ali YAVUZ</v>
      </c>
      <c r="AA3958" t="str">
        <f>VLOOKUP(K3958,[1]!Tablo3[#Data],2,FALSE)</f>
        <v>Kadir TOPÇU</v>
      </c>
    </row>
    <row r="3959" spans="1:27" x14ac:dyDescent="0.25">
      <c r="A3959">
        <v>5326</v>
      </c>
      <c r="B3959" t="s">
        <v>27</v>
      </c>
      <c r="C3959" t="s">
        <v>402</v>
      </c>
      <c r="D3959" t="s">
        <v>403</v>
      </c>
      <c r="G3959" t="s">
        <v>384</v>
      </c>
      <c r="H3959" t="s">
        <v>10812</v>
      </c>
      <c r="I3959" s="4">
        <v>45443.875</v>
      </c>
      <c r="K3959" t="s">
        <v>743</v>
      </c>
      <c r="L3959" s="5"/>
      <c r="M3959" s="5" t="s">
        <v>8423</v>
      </c>
      <c r="N3959" t="s">
        <v>82</v>
      </c>
      <c r="O3959" t="s">
        <v>10813</v>
      </c>
      <c r="R3959">
        <v>1</v>
      </c>
      <c r="T3959" s="5"/>
      <c r="W3959">
        <v>270</v>
      </c>
      <c r="X3959" t="s">
        <v>8412</v>
      </c>
      <c r="Y3959" t="str">
        <f>VLOOKUP(C3959,'[1]DBS_KPY Sorumlular'!A:C,2,FALSE)</f>
        <v>Tayfun VİÇE</v>
      </c>
      <c r="Z3959" t="str">
        <f>VLOOKUP(C3959,'[1]DBS_KPY Sorumlular'!A:C,3,FALSE)</f>
        <v>Mehmet Ali YAVUZ</v>
      </c>
      <c r="AA3959" t="str">
        <f>VLOOKUP(K3959,[1]!Tablo3[#Data],2,FALSE)</f>
        <v>Kadir TOPÇU</v>
      </c>
    </row>
    <row r="3960" spans="1:27" x14ac:dyDescent="0.25">
      <c r="A3960">
        <v>5327</v>
      </c>
      <c r="B3960" t="s">
        <v>27</v>
      </c>
      <c r="C3960" t="s">
        <v>402</v>
      </c>
      <c r="D3960" t="s">
        <v>403</v>
      </c>
      <c r="G3960" t="s">
        <v>384</v>
      </c>
      <c r="H3960" t="s">
        <v>10814</v>
      </c>
      <c r="I3960" s="4">
        <v>45443.875</v>
      </c>
      <c r="K3960" t="s">
        <v>743</v>
      </c>
      <c r="L3960" s="5"/>
      <c r="M3960" s="5" t="s">
        <v>8423</v>
      </c>
      <c r="N3960" t="s">
        <v>82</v>
      </c>
      <c r="O3960" t="s">
        <v>10815</v>
      </c>
      <c r="R3960">
        <v>1</v>
      </c>
      <c r="T3960" s="5"/>
      <c r="W3960">
        <v>270</v>
      </c>
      <c r="X3960" t="s">
        <v>8412</v>
      </c>
      <c r="Y3960" t="str">
        <f>VLOOKUP(C3960,'[1]DBS_KPY Sorumlular'!A:C,2,FALSE)</f>
        <v>Tayfun VİÇE</v>
      </c>
      <c r="Z3960" t="str">
        <f>VLOOKUP(C3960,'[1]DBS_KPY Sorumlular'!A:C,3,FALSE)</f>
        <v>Mehmet Ali YAVUZ</v>
      </c>
      <c r="AA3960" t="str">
        <f>VLOOKUP(K3960,[1]!Tablo3[#Data],2,FALSE)</f>
        <v>Kadir TOPÇU</v>
      </c>
    </row>
    <row r="3961" spans="1:27" x14ac:dyDescent="0.25">
      <c r="A3961">
        <v>5328</v>
      </c>
      <c r="B3961" t="s">
        <v>27</v>
      </c>
      <c r="C3961" t="s">
        <v>402</v>
      </c>
      <c r="D3961" t="s">
        <v>403</v>
      </c>
      <c r="G3961" t="s">
        <v>384</v>
      </c>
      <c r="H3961" t="s">
        <v>10816</v>
      </c>
      <c r="I3961" s="4">
        <v>45443.875</v>
      </c>
      <c r="K3961" t="s">
        <v>743</v>
      </c>
      <c r="L3961" s="5"/>
      <c r="M3961" s="5" t="s">
        <v>8423</v>
      </c>
      <c r="N3961" t="s">
        <v>82</v>
      </c>
      <c r="O3961" t="s">
        <v>10817</v>
      </c>
      <c r="R3961">
        <v>1</v>
      </c>
      <c r="T3961" s="5"/>
      <c r="W3961">
        <v>270</v>
      </c>
      <c r="X3961" t="s">
        <v>8412</v>
      </c>
      <c r="Y3961" t="str">
        <f>VLOOKUP(C3961,'[1]DBS_KPY Sorumlular'!A:C,2,FALSE)</f>
        <v>Tayfun VİÇE</v>
      </c>
      <c r="Z3961" t="str">
        <f>VLOOKUP(C3961,'[1]DBS_KPY Sorumlular'!A:C,3,FALSE)</f>
        <v>Mehmet Ali YAVUZ</v>
      </c>
      <c r="AA3961" t="str">
        <f>VLOOKUP(K3961,[1]!Tablo3[#Data],2,FALSE)</f>
        <v>Kadir TOPÇU</v>
      </c>
    </row>
    <row r="3962" spans="1:27" x14ac:dyDescent="0.25">
      <c r="A3962">
        <v>5329</v>
      </c>
      <c r="B3962" t="s">
        <v>27</v>
      </c>
      <c r="C3962" t="s">
        <v>402</v>
      </c>
      <c r="D3962" t="s">
        <v>403</v>
      </c>
      <c r="G3962" t="s">
        <v>384</v>
      </c>
      <c r="H3962" t="s">
        <v>10818</v>
      </c>
      <c r="I3962" s="4">
        <v>45443.875</v>
      </c>
      <c r="K3962" t="s">
        <v>743</v>
      </c>
      <c r="L3962" s="5"/>
      <c r="M3962" s="5" t="s">
        <v>8423</v>
      </c>
      <c r="N3962" t="s">
        <v>82</v>
      </c>
      <c r="O3962" t="s">
        <v>10819</v>
      </c>
      <c r="R3962">
        <v>1</v>
      </c>
      <c r="T3962" s="5"/>
      <c r="W3962">
        <v>270</v>
      </c>
      <c r="X3962" t="s">
        <v>8412</v>
      </c>
      <c r="Y3962" t="str">
        <f>VLOOKUP(C3962,'[1]DBS_KPY Sorumlular'!A:C,2,FALSE)</f>
        <v>Tayfun VİÇE</v>
      </c>
      <c r="Z3962" t="str">
        <f>VLOOKUP(C3962,'[1]DBS_KPY Sorumlular'!A:C,3,FALSE)</f>
        <v>Mehmet Ali YAVUZ</v>
      </c>
      <c r="AA3962" t="str">
        <f>VLOOKUP(K3962,[1]!Tablo3[#Data],2,FALSE)</f>
        <v>Kadir TOPÇU</v>
      </c>
    </row>
    <row r="3963" spans="1:27" x14ac:dyDescent="0.25">
      <c r="A3963">
        <v>5330</v>
      </c>
      <c r="B3963" t="s">
        <v>27</v>
      </c>
      <c r="C3963" t="s">
        <v>402</v>
      </c>
      <c r="D3963" t="s">
        <v>403</v>
      </c>
      <c r="G3963" t="s">
        <v>384</v>
      </c>
      <c r="H3963" t="s">
        <v>10820</v>
      </c>
      <c r="I3963" s="4">
        <v>45443.875</v>
      </c>
      <c r="K3963" t="s">
        <v>1528</v>
      </c>
      <c r="L3963" s="5"/>
      <c r="M3963" s="5" t="s">
        <v>8423</v>
      </c>
      <c r="N3963" t="s">
        <v>82</v>
      </c>
      <c r="O3963" t="s">
        <v>10821</v>
      </c>
      <c r="R3963">
        <v>1</v>
      </c>
      <c r="T3963" s="5"/>
      <c r="W3963">
        <v>270</v>
      </c>
      <c r="X3963" t="s">
        <v>8412</v>
      </c>
      <c r="Y3963" t="str">
        <f>VLOOKUP(C3963,'[1]DBS_KPY Sorumlular'!A:C,2,FALSE)</f>
        <v>Tayfun VİÇE</v>
      </c>
      <c r="Z3963" t="str">
        <f>VLOOKUP(C3963,'[1]DBS_KPY Sorumlular'!A:C,3,FALSE)</f>
        <v>Mehmet Ali YAVUZ</v>
      </c>
      <c r="AA3963" t="str">
        <f>VLOOKUP(K3963,[1]!Tablo3[#Data],2,FALSE)</f>
        <v>Tayfun VİÇE</v>
      </c>
    </row>
    <row r="3964" spans="1:27" x14ac:dyDescent="0.25">
      <c r="A3964">
        <v>5331</v>
      </c>
      <c r="B3964" t="s">
        <v>27</v>
      </c>
      <c r="C3964" t="s">
        <v>402</v>
      </c>
      <c r="D3964" t="s">
        <v>403</v>
      </c>
      <c r="G3964" t="s">
        <v>384</v>
      </c>
      <c r="H3964" t="s">
        <v>10822</v>
      </c>
      <c r="I3964" s="4">
        <v>45443.875</v>
      </c>
      <c r="K3964" t="s">
        <v>743</v>
      </c>
      <c r="L3964" s="5"/>
      <c r="M3964" s="5" t="s">
        <v>8423</v>
      </c>
      <c r="N3964" t="s">
        <v>82</v>
      </c>
      <c r="O3964" t="s">
        <v>10823</v>
      </c>
      <c r="R3964">
        <v>1</v>
      </c>
      <c r="T3964" s="5"/>
      <c r="W3964">
        <v>270</v>
      </c>
      <c r="X3964" t="s">
        <v>8412</v>
      </c>
      <c r="Y3964" t="str">
        <f>VLOOKUP(C3964,'[1]DBS_KPY Sorumlular'!A:C,2,FALSE)</f>
        <v>Tayfun VİÇE</v>
      </c>
      <c r="Z3964" t="str">
        <f>VLOOKUP(C3964,'[1]DBS_KPY Sorumlular'!A:C,3,FALSE)</f>
        <v>Mehmet Ali YAVUZ</v>
      </c>
      <c r="AA3964" t="str">
        <f>VLOOKUP(K3964,[1]!Tablo3[#Data],2,FALSE)</f>
        <v>Kadir TOPÇU</v>
      </c>
    </row>
    <row r="3965" spans="1:27" x14ac:dyDescent="0.25">
      <c r="A3965">
        <v>5332</v>
      </c>
      <c r="B3965" t="s">
        <v>27</v>
      </c>
      <c r="C3965" t="s">
        <v>402</v>
      </c>
      <c r="D3965" t="s">
        <v>403</v>
      </c>
      <c r="G3965" t="s">
        <v>384</v>
      </c>
      <c r="H3965" t="s">
        <v>10824</v>
      </c>
      <c r="I3965" s="4">
        <v>45443.875</v>
      </c>
      <c r="K3965" t="s">
        <v>743</v>
      </c>
      <c r="L3965" s="5"/>
      <c r="M3965" s="5" t="s">
        <v>8423</v>
      </c>
      <c r="N3965" t="s">
        <v>82</v>
      </c>
      <c r="O3965" t="s">
        <v>10825</v>
      </c>
      <c r="R3965">
        <v>1</v>
      </c>
      <c r="T3965" s="5"/>
      <c r="W3965">
        <v>270</v>
      </c>
      <c r="X3965" t="s">
        <v>8412</v>
      </c>
      <c r="Y3965" t="str">
        <f>VLOOKUP(C3965,'[1]DBS_KPY Sorumlular'!A:C,2,FALSE)</f>
        <v>Tayfun VİÇE</v>
      </c>
      <c r="Z3965" t="str">
        <f>VLOOKUP(C3965,'[1]DBS_KPY Sorumlular'!A:C,3,FALSE)</f>
        <v>Mehmet Ali YAVUZ</v>
      </c>
      <c r="AA3965" t="str">
        <f>VLOOKUP(K3965,[1]!Tablo3[#Data],2,FALSE)</f>
        <v>Kadir TOPÇU</v>
      </c>
    </row>
    <row r="3966" spans="1:27" x14ac:dyDescent="0.25">
      <c r="A3966">
        <v>5333</v>
      </c>
      <c r="B3966" t="s">
        <v>27</v>
      </c>
      <c r="C3966" t="s">
        <v>402</v>
      </c>
      <c r="D3966" t="s">
        <v>403</v>
      </c>
      <c r="G3966" t="s">
        <v>384</v>
      </c>
      <c r="H3966" t="s">
        <v>10826</v>
      </c>
      <c r="I3966" s="4">
        <v>45443.875</v>
      </c>
      <c r="K3966" t="s">
        <v>1528</v>
      </c>
      <c r="L3966" s="5"/>
      <c r="M3966" s="5" t="s">
        <v>8423</v>
      </c>
      <c r="N3966" t="s">
        <v>82</v>
      </c>
      <c r="O3966" t="s">
        <v>10827</v>
      </c>
      <c r="R3966">
        <v>1</v>
      </c>
      <c r="T3966" s="5"/>
      <c r="W3966">
        <v>270</v>
      </c>
      <c r="X3966" t="s">
        <v>8412</v>
      </c>
      <c r="Y3966" t="str">
        <f>VLOOKUP(C3966,'[1]DBS_KPY Sorumlular'!A:C,2,FALSE)</f>
        <v>Tayfun VİÇE</v>
      </c>
      <c r="Z3966" t="str">
        <f>VLOOKUP(C3966,'[1]DBS_KPY Sorumlular'!A:C,3,FALSE)</f>
        <v>Mehmet Ali YAVUZ</v>
      </c>
      <c r="AA3966" t="str">
        <f>VLOOKUP(K3966,[1]!Tablo3[#Data],2,FALSE)</f>
        <v>Tayfun VİÇE</v>
      </c>
    </row>
    <row r="3967" spans="1:27" x14ac:dyDescent="0.25">
      <c r="A3967">
        <v>5334</v>
      </c>
      <c r="B3967" t="s">
        <v>27</v>
      </c>
      <c r="C3967" t="s">
        <v>402</v>
      </c>
      <c r="D3967" t="s">
        <v>403</v>
      </c>
      <c r="G3967" t="s">
        <v>384</v>
      </c>
      <c r="H3967" t="s">
        <v>10828</v>
      </c>
      <c r="I3967" s="4">
        <v>45443.875</v>
      </c>
      <c r="K3967" t="s">
        <v>743</v>
      </c>
      <c r="L3967" s="5"/>
      <c r="M3967" s="5" t="s">
        <v>8423</v>
      </c>
      <c r="N3967" t="s">
        <v>82</v>
      </c>
      <c r="O3967" t="s">
        <v>10829</v>
      </c>
      <c r="R3967">
        <v>1</v>
      </c>
      <c r="T3967" s="5"/>
      <c r="W3967">
        <v>270</v>
      </c>
      <c r="X3967" t="s">
        <v>8412</v>
      </c>
      <c r="Y3967" t="str">
        <f>VLOOKUP(C3967,'[1]DBS_KPY Sorumlular'!A:C,2,FALSE)</f>
        <v>Tayfun VİÇE</v>
      </c>
      <c r="Z3967" t="str">
        <f>VLOOKUP(C3967,'[1]DBS_KPY Sorumlular'!A:C,3,FALSE)</f>
        <v>Mehmet Ali YAVUZ</v>
      </c>
      <c r="AA3967" t="str">
        <f>VLOOKUP(K3967,[1]!Tablo3[#Data],2,FALSE)</f>
        <v>Kadir TOPÇU</v>
      </c>
    </row>
    <row r="3968" spans="1:27" x14ac:dyDescent="0.25">
      <c r="A3968">
        <v>5335</v>
      </c>
      <c r="B3968" t="s">
        <v>27</v>
      </c>
      <c r="C3968" t="s">
        <v>402</v>
      </c>
      <c r="D3968" t="s">
        <v>403</v>
      </c>
      <c r="G3968" t="s">
        <v>384</v>
      </c>
      <c r="H3968" t="s">
        <v>10830</v>
      </c>
      <c r="I3968" s="4">
        <v>45443.875</v>
      </c>
      <c r="K3968" t="s">
        <v>743</v>
      </c>
      <c r="L3968" s="5"/>
      <c r="M3968" s="5" t="s">
        <v>8423</v>
      </c>
      <c r="N3968" t="s">
        <v>82</v>
      </c>
      <c r="O3968" t="s">
        <v>10831</v>
      </c>
      <c r="R3968">
        <v>1</v>
      </c>
      <c r="T3968" s="5"/>
      <c r="W3968">
        <v>270</v>
      </c>
      <c r="X3968" t="s">
        <v>8412</v>
      </c>
      <c r="Y3968" t="str">
        <f>VLOOKUP(C3968,'[1]DBS_KPY Sorumlular'!A:C,2,FALSE)</f>
        <v>Tayfun VİÇE</v>
      </c>
      <c r="Z3968" t="str">
        <f>VLOOKUP(C3968,'[1]DBS_KPY Sorumlular'!A:C,3,FALSE)</f>
        <v>Mehmet Ali YAVUZ</v>
      </c>
      <c r="AA3968" t="str">
        <f>VLOOKUP(K3968,[1]!Tablo3[#Data],2,FALSE)</f>
        <v>Kadir TOPÇU</v>
      </c>
    </row>
    <row r="3969" spans="1:27" x14ac:dyDescent="0.25">
      <c r="A3969">
        <v>5336</v>
      </c>
      <c r="B3969" t="s">
        <v>27</v>
      </c>
      <c r="C3969" t="s">
        <v>402</v>
      </c>
      <c r="D3969" t="s">
        <v>403</v>
      </c>
      <c r="G3969" t="s">
        <v>384</v>
      </c>
      <c r="H3969" t="s">
        <v>10832</v>
      </c>
      <c r="I3969" s="4">
        <v>45443.875</v>
      </c>
      <c r="K3969" t="s">
        <v>1528</v>
      </c>
      <c r="L3969" s="5"/>
      <c r="M3969" s="5" t="s">
        <v>8423</v>
      </c>
      <c r="N3969" t="s">
        <v>82</v>
      </c>
      <c r="O3969" t="s">
        <v>10833</v>
      </c>
      <c r="R3969">
        <v>1</v>
      </c>
      <c r="T3969" s="5"/>
      <c r="W3969">
        <v>270</v>
      </c>
      <c r="X3969" t="s">
        <v>8412</v>
      </c>
      <c r="Y3969" t="str">
        <f>VLOOKUP(C3969,'[1]DBS_KPY Sorumlular'!A:C,2,FALSE)</f>
        <v>Tayfun VİÇE</v>
      </c>
      <c r="Z3969" t="str">
        <f>VLOOKUP(C3969,'[1]DBS_KPY Sorumlular'!A:C,3,FALSE)</f>
        <v>Mehmet Ali YAVUZ</v>
      </c>
      <c r="AA3969" t="str">
        <f>VLOOKUP(K3969,[1]!Tablo3[#Data],2,FALSE)</f>
        <v>Tayfun VİÇE</v>
      </c>
    </row>
    <row r="3970" spans="1:27" x14ac:dyDescent="0.25">
      <c r="A3970">
        <v>5337</v>
      </c>
      <c r="B3970" t="s">
        <v>27</v>
      </c>
      <c r="C3970" t="s">
        <v>402</v>
      </c>
      <c r="D3970" t="s">
        <v>403</v>
      </c>
      <c r="G3970" t="s">
        <v>384</v>
      </c>
      <c r="H3970" t="s">
        <v>10834</v>
      </c>
      <c r="I3970" s="4">
        <v>45443.875</v>
      </c>
      <c r="K3970" t="s">
        <v>743</v>
      </c>
      <c r="L3970" s="5"/>
      <c r="M3970" s="5" t="s">
        <v>8423</v>
      </c>
      <c r="N3970" t="s">
        <v>82</v>
      </c>
      <c r="O3970" t="s">
        <v>10835</v>
      </c>
      <c r="R3970">
        <v>1</v>
      </c>
      <c r="T3970" s="5"/>
      <c r="W3970">
        <v>270</v>
      </c>
      <c r="X3970" t="s">
        <v>8412</v>
      </c>
      <c r="Y3970" t="str">
        <f>VLOOKUP(C3970,'[1]DBS_KPY Sorumlular'!A:C,2,FALSE)</f>
        <v>Tayfun VİÇE</v>
      </c>
      <c r="Z3970" t="str">
        <f>VLOOKUP(C3970,'[1]DBS_KPY Sorumlular'!A:C,3,FALSE)</f>
        <v>Mehmet Ali YAVUZ</v>
      </c>
      <c r="AA3970" t="str">
        <f>VLOOKUP(K3970,[1]!Tablo3[#Data],2,FALSE)</f>
        <v>Kadir TOPÇU</v>
      </c>
    </row>
    <row r="3971" spans="1:27" x14ac:dyDescent="0.25">
      <c r="A3971">
        <v>5338</v>
      </c>
      <c r="B3971" t="s">
        <v>27</v>
      </c>
      <c r="C3971" t="s">
        <v>402</v>
      </c>
      <c r="D3971" t="s">
        <v>403</v>
      </c>
      <c r="G3971" t="s">
        <v>384</v>
      </c>
      <c r="H3971" t="s">
        <v>10836</v>
      </c>
      <c r="I3971" s="4">
        <v>45443.875</v>
      </c>
      <c r="K3971" t="s">
        <v>743</v>
      </c>
      <c r="L3971" s="5"/>
      <c r="M3971" s="5" t="s">
        <v>8423</v>
      </c>
      <c r="N3971" t="s">
        <v>82</v>
      </c>
      <c r="O3971" t="s">
        <v>10837</v>
      </c>
      <c r="R3971">
        <v>1</v>
      </c>
      <c r="T3971" s="5"/>
      <c r="W3971">
        <v>270</v>
      </c>
      <c r="X3971" t="s">
        <v>8412</v>
      </c>
      <c r="Y3971" t="str">
        <f>VLOOKUP(C3971,'[1]DBS_KPY Sorumlular'!A:C,2,FALSE)</f>
        <v>Tayfun VİÇE</v>
      </c>
      <c r="Z3971" t="str">
        <f>VLOOKUP(C3971,'[1]DBS_KPY Sorumlular'!A:C,3,FALSE)</f>
        <v>Mehmet Ali YAVUZ</v>
      </c>
      <c r="AA3971" t="str">
        <f>VLOOKUP(K3971,[1]!Tablo3[#Data],2,FALSE)</f>
        <v>Kadir TOPÇU</v>
      </c>
    </row>
    <row r="3972" spans="1:27" x14ac:dyDescent="0.25">
      <c r="A3972">
        <v>5339</v>
      </c>
      <c r="B3972" t="s">
        <v>27</v>
      </c>
      <c r="C3972" t="s">
        <v>402</v>
      </c>
      <c r="D3972" t="s">
        <v>403</v>
      </c>
      <c r="G3972" t="s">
        <v>384</v>
      </c>
      <c r="H3972" t="s">
        <v>10838</v>
      </c>
      <c r="I3972" s="4">
        <v>45443.875</v>
      </c>
      <c r="K3972" t="s">
        <v>743</v>
      </c>
      <c r="L3972" s="5"/>
      <c r="M3972" s="5" t="s">
        <v>8423</v>
      </c>
      <c r="N3972" t="s">
        <v>82</v>
      </c>
      <c r="O3972" t="s">
        <v>10839</v>
      </c>
      <c r="R3972">
        <v>1</v>
      </c>
      <c r="T3972" s="5"/>
      <c r="W3972">
        <v>270</v>
      </c>
      <c r="X3972" t="s">
        <v>8412</v>
      </c>
      <c r="Y3972" t="str">
        <f>VLOOKUP(C3972,'[1]DBS_KPY Sorumlular'!A:C,2,FALSE)</f>
        <v>Tayfun VİÇE</v>
      </c>
      <c r="Z3972" t="str">
        <f>VLOOKUP(C3972,'[1]DBS_KPY Sorumlular'!A:C,3,FALSE)</f>
        <v>Mehmet Ali YAVUZ</v>
      </c>
      <c r="AA3972" t="str">
        <f>VLOOKUP(K3972,[1]!Tablo3[#Data],2,FALSE)</f>
        <v>Kadir TOPÇU</v>
      </c>
    </row>
    <row r="3973" spans="1:27" x14ac:dyDescent="0.25">
      <c r="A3973">
        <v>5340</v>
      </c>
      <c r="B3973" t="s">
        <v>27</v>
      </c>
      <c r="C3973" t="s">
        <v>402</v>
      </c>
      <c r="D3973" t="s">
        <v>403</v>
      </c>
      <c r="G3973" t="s">
        <v>384</v>
      </c>
      <c r="H3973" t="s">
        <v>10840</v>
      </c>
      <c r="I3973" s="4">
        <v>45443.875</v>
      </c>
      <c r="K3973" t="s">
        <v>743</v>
      </c>
      <c r="L3973" s="5"/>
      <c r="M3973" s="5" t="s">
        <v>8423</v>
      </c>
      <c r="N3973" t="s">
        <v>82</v>
      </c>
      <c r="O3973" t="s">
        <v>10841</v>
      </c>
      <c r="R3973">
        <v>1</v>
      </c>
      <c r="T3973" s="5"/>
      <c r="W3973">
        <v>270</v>
      </c>
      <c r="X3973" t="s">
        <v>8412</v>
      </c>
      <c r="Y3973" t="str">
        <f>VLOOKUP(C3973,'[1]DBS_KPY Sorumlular'!A:C,2,FALSE)</f>
        <v>Tayfun VİÇE</v>
      </c>
      <c r="Z3973" t="str">
        <f>VLOOKUP(C3973,'[1]DBS_KPY Sorumlular'!A:C,3,FALSE)</f>
        <v>Mehmet Ali YAVUZ</v>
      </c>
      <c r="AA3973" t="str">
        <f>VLOOKUP(K3973,[1]!Tablo3[#Data],2,FALSE)</f>
        <v>Kadir TOPÇU</v>
      </c>
    </row>
    <row r="3974" spans="1:27" x14ac:dyDescent="0.25">
      <c r="A3974">
        <v>5341</v>
      </c>
      <c r="B3974" t="s">
        <v>27</v>
      </c>
      <c r="C3974" t="s">
        <v>402</v>
      </c>
      <c r="D3974" t="s">
        <v>403</v>
      </c>
      <c r="G3974" t="s">
        <v>384</v>
      </c>
      <c r="H3974" t="s">
        <v>10842</v>
      </c>
      <c r="I3974" s="4">
        <v>45443.875</v>
      </c>
      <c r="K3974" t="s">
        <v>743</v>
      </c>
      <c r="L3974" s="5"/>
      <c r="M3974" s="5" t="s">
        <v>8423</v>
      </c>
      <c r="N3974" t="s">
        <v>82</v>
      </c>
      <c r="O3974" t="s">
        <v>10843</v>
      </c>
      <c r="R3974">
        <v>1</v>
      </c>
      <c r="T3974" s="5"/>
      <c r="W3974">
        <v>270</v>
      </c>
      <c r="X3974" t="s">
        <v>8412</v>
      </c>
      <c r="Y3974" t="str">
        <f>VLOOKUP(C3974,'[1]DBS_KPY Sorumlular'!A:C,2,FALSE)</f>
        <v>Tayfun VİÇE</v>
      </c>
      <c r="Z3974" t="str">
        <f>VLOOKUP(C3974,'[1]DBS_KPY Sorumlular'!A:C,3,FALSE)</f>
        <v>Mehmet Ali YAVUZ</v>
      </c>
      <c r="AA3974" t="str">
        <f>VLOOKUP(K3974,[1]!Tablo3[#Data],2,FALSE)</f>
        <v>Kadir TOPÇU</v>
      </c>
    </row>
    <row r="3975" spans="1:27" x14ac:dyDescent="0.25">
      <c r="A3975">
        <v>5342</v>
      </c>
      <c r="B3975" t="s">
        <v>27</v>
      </c>
      <c r="C3975" t="s">
        <v>402</v>
      </c>
      <c r="D3975" t="s">
        <v>403</v>
      </c>
      <c r="G3975" t="s">
        <v>384</v>
      </c>
      <c r="H3975" t="s">
        <v>10844</v>
      </c>
      <c r="I3975" s="4">
        <v>45443.875</v>
      </c>
      <c r="K3975" t="s">
        <v>1528</v>
      </c>
      <c r="L3975" s="5"/>
      <c r="M3975" s="5" t="s">
        <v>8423</v>
      </c>
      <c r="N3975" t="s">
        <v>82</v>
      </c>
      <c r="O3975" t="s">
        <v>10845</v>
      </c>
      <c r="R3975">
        <v>1</v>
      </c>
      <c r="T3975" s="5"/>
      <c r="W3975">
        <v>270</v>
      </c>
      <c r="X3975" t="s">
        <v>8412</v>
      </c>
      <c r="Y3975" t="str">
        <f>VLOOKUP(C3975,'[1]DBS_KPY Sorumlular'!A:C,2,FALSE)</f>
        <v>Tayfun VİÇE</v>
      </c>
      <c r="Z3975" t="str">
        <f>VLOOKUP(C3975,'[1]DBS_KPY Sorumlular'!A:C,3,FALSE)</f>
        <v>Mehmet Ali YAVUZ</v>
      </c>
      <c r="AA3975" t="str">
        <f>VLOOKUP(K3975,[1]!Tablo3[#Data],2,FALSE)</f>
        <v>Tayfun VİÇE</v>
      </c>
    </row>
    <row r="3976" spans="1:27" x14ac:dyDescent="0.25">
      <c r="A3976">
        <v>5343</v>
      </c>
      <c r="B3976" t="s">
        <v>27</v>
      </c>
      <c r="C3976" t="s">
        <v>402</v>
      </c>
      <c r="D3976" t="s">
        <v>403</v>
      </c>
      <c r="G3976" t="s">
        <v>384</v>
      </c>
      <c r="H3976" t="s">
        <v>10846</v>
      </c>
      <c r="I3976" s="4">
        <v>45443.875</v>
      </c>
      <c r="K3976" t="s">
        <v>743</v>
      </c>
      <c r="L3976" s="5"/>
      <c r="M3976" s="5" t="s">
        <v>8423</v>
      </c>
      <c r="N3976" t="s">
        <v>82</v>
      </c>
      <c r="O3976" t="s">
        <v>10847</v>
      </c>
      <c r="R3976">
        <v>1</v>
      </c>
      <c r="T3976" s="5"/>
      <c r="W3976">
        <v>270</v>
      </c>
      <c r="X3976" t="s">
        <v>8412</v>
      </c>
      <c r="Y3976" t="str">
        <f>VLOOKUP(C3976,'[1]DBS_KPY Sorumlular'!A:C,2,FALSE)</f>
        <v>Tayfun VİÇE</v>
      </c>
      <c r="Z3976" t="str">
        <f>VLOOKUP(C3976,'[1]DBS_KPY Sorumlular'!A:C,3,FALSE)</f>
        <v>Mehmet Ali YAVUZ</v>
      </c>
      <c r="AA3976" t="str">
        <f>VLOOKUP(K3976,[1]!Tablo3[#Data],2,FALSE)</f>
        <v>Kadir TOPÇU</v>
      </c>
    </row>
    <row r="3977" spans="1:27" x14ac:dyDescent="0.25">
      <c r="A3977">
        <v>5344</v>
      </c>
      <c r="B3977" t="s">
        <v>27</v>
      </c>
      <c r="C3977" t="s">
        <v>402</v>
      </c>
      <c r="D3977" t="s">
        <v>403</v>
      </c>
      <c r="G3977" t="s">
        <v>384</v>
      </c>
      <c r="H3977" t="s">
        <v>10848</v>
      </c>
      <c r="I3977" s="4">
        <v>45443.875</v>
      </c>
      <c r="K3977" t="s">
        <v>1528</v>
      </c>
      <c r="L3977" s="5"/>
      <c r="M3977" s="5" t="s">
        <v>8423</v>
      </c>
      <c r="N3977" t="s">
        <v>82</v>
      </c>
      <c r="O3977" t="s">
        <v>10849</v>
      </c>
      <c r="R3977">
        <v>1</v>
      </c>
      <c r="T3977" s="5"/>
      <c r="W3977">
        <v>270</v>
      </c>
      <c r="X3977" t="s">
        <v>8412</v>
      </c>
      <c r="Y3977" t="str">
        <f>VLOOKUP(C3977,'[1]DBS_KPY Sorumlular'!A:C,2,FALSE)</f>
        <v>Tayfun VİÇE</v>
      </c>
      <c r="Z3977" t="str">
        <f>VLOOKUP(C3977,'[1]DBS_KPY Sorumlular'!A:C,3,FALSE)</f>
        <v>Mehmet Ali YAVUZ</v>
      </c>
      <c r="AA3977" t="str">
        <f>VLOOKUP(K3977,[1]!Tablo3[#Data],2,FALSE)</f>
        <v>Tayfun VİÇE</v>
      </c>
    </row>
    <row r="3978" spans="1:27" x14ac:dyDescent="0.25">
      <c r="A3978">
        <v>5345</v>
      </c>
      <c r="B3978" t="s">
        <v>27</v>
      </c>
      <c r="C3978" t="s">
        <v>402</v>
      </c>
      <c r="D3978" t="s">
        <v>403</v>
      </c>
      <c r="G3978" t="s">
        <v>384</v>
      </c>
      <c r="H3978" t="s">
        <v>10850</v>
      </c>
      <c r="I3978" s="4">
        <v>45443.875</v>
      </c>
      <c r="K3978" t="s">
        <v>743</v>
      </c>
      <c r="L3978" s="5"/>
      <c r="M3978" s="5" t="s">
        <v>8423</v>
      </c>
      <c r="N3978" t="s">
        <v>82</v>
      </c>
      <c r="O3978" t="s">
        <v>10851</v>
      </c>
      <c r="R3978">
        <v>1</v>
      </c>
      <c r="T3978" s="5"/>
      <c r="W3978">
        <v>270</v>
      </c>
      <c r="X3978" t="s">
        <v>8412</v>
      </c>
      <c r="Y3978" t="str">
        <f>VLOOKUP(C3978,'[1]DBS_KPY Sorumlular'!A:C,2,FALSE)</f>
        <v>Tayfun VİÇE</v>
      </c>
      <c r="Z3978" t="str">
        <f>VLOOKUP(C3978,'[1]DBS_KPY Sorumlular'!A:C,3,FALSE)</f>
        <v>Mehmet Ali YAVUZ</v>
      </c>
      <c r="AA3978" t="str">
        <f>VLOOKUP(K3978,[1]!Tablo3[#Data],2,FALSE)</f>
        <v>Kadir TOPÇU</v>
      </c>
    </row>
    <row r="3979" spans="1:27" x14ac:dyDescent="0.25">
      <c r="A3979">
        <v>5346</v>
      </c>
      <c r="B3979" t="s">
        <v>27</v>
      </c>
      <c r="C3979" t="s">
        <v>402</v>
      </c>
      <c r="D3979" t="s">
        <v>403</v>
      </c>
      <c r="G3979" t="s">
        <v>384</v>
      </c>
      <c r="H3979" t="s">
        <v>10852</v>
      </c>
      <c r="I3979" s="4">
        <v>45443.875</v>
      </c>
      <c r="K3979" t="s">
        <v>743</v>
      </c>
      <c r="L3979" s="5"/>
      <c r="M3979" s="5" t="s">
        <v>8423</v>
      </c>
      <c r="N3979" t="s">
        <v>82</v>
      </c>
      <c r="O3979" t="s">
        <v>10853</v>
      </c>
      <c r="R3979">
        <v>1</v>
      </c>
      <c r="T3979" s="5"/>
      <c r="W3979">
        <v>270</v>
      </c>
      <c r="X3979" t="s">
        <v>8412</v>
      </c>
      <c r="Y3979" t="str">
        <f>VLOOKUP(C3979,'[1]DBS_KPY Sorumlular'!A:C,2,FALSE)</f>
        <v>Tayfun VİÇE</v>
      </c>
      <c r="Z3979" t="str">
        <f>VLOOKUP(C3979,'[1]DBS_KPY Sorumlular'!A:C,3,FALSE)</f>
        <v>Mehmet Ali YAVUZ</v>
      </c>
      <c r="AA3979" t="str">
        <f>VLOOKUP(K3979,[1]!Tablo3[#Data],2,FALSE)</f>
        <v>Kadir TOPÇU</v>
      </c>
    </row>
    <row r="3980" spans="1:27" x14ac:dyDescent="0.25">
      <c r="A3980">
        <v>5347</v>
      </c>
      <c r="B3980" t="s">
        <v>27</v>
      </c>
      <c r="C3980" t="s">
        <v>402</v>
      </c>
      <c r="D3980" t="s">
        <v>403</v>
      </c>
      <c r="G3980" t="s">
        <v>384</v>
      </c>
      <c r="H3980" t="s">
        <v>10854</v>
      </c>
      <c r="I3980" s="4">
        <v>45443.875</v>
      </c>
      <c r="K3980" t="s">
        <v>743</v>
      </c>
      <c r="L3980" s="5"/>
      <c r="M3980" s="5" t="s">
        <v>8423</v>
      </c>
      <c r="N3980" t="s">
        <v>82</v>
      </c>
      <c r="O3980" t="s">
        <v>10855</v>
      </c>
      <c r="R3980">
        <v>1</v>
      </c>
      <c r="T3980" s="5"/>
      <c r="W3980">
        <v>270</v>
      </c>
      <c r="X3980" t="s">
        <v>8412</v>
      </c>
      <c r="Y3980" t="str">
        <f>VLOOKUP(C3980,'[1]DBS_KPY Sorumlular'!A:C,2,FALSE)</f>
        <v>Tayfun VİÇE</v>
      </c>
      <c r="Z3980" t="str">
        <f>VLOOKUP(C3980,'[1]DBS_KPY Sorumlular'!A:C,3,FALSE)</f>
        <v>Mehmet Ali YAVUZ</v>
      </c>
      <c r="AA3980" t="str">
        <f>VLOOKUP(K3980,[1]!Tablo3[#Data],2,FALSE)</f>
        <v>Kadir TOPÇU</v>
      </c>
    </row>
    <row r="3981" spans="1:27" x14ac:dyDescent="0.25">
      <c r="A3981">
        <v>5348</v>
      </c>
      <c r="B3981" t="s">
        <v>27</v>
      </c>
      <c r="C3981" t="s">
        <v>402</v>
      </c>
      <c r="D3981" t="s">
        <v>403</v>
      </c>
      <c r="G3981" t="s">
        <v>384</v>
      </c>
      <c r="H3981" t="s">
        <v>10856</v>
      </c>
      <c r="I3981" s="4">
        <v>45443.875</v>
      </c>
      <c r="K3981" t="s">
        <v>743</v>
      </c>
      <c r="L3981" s="5"/>
      <c r="M3981" s="5" t="s">
        <v>8423</v>
      </c>
      <c r="N3981" t="s">
        <v>82</v>
      </c>
      <c r="O3981" t="s">
        <v>10857</v>
      </c>
      <c r="R3981">
        <v>1</v>
      </c>
      <c r="T3981" s="5"/>
      <c r="W3981">
        <v>270</v>
      </c>
      <c r="X3981" t="s">
        <v>8412</v>
      </c>
      <c r="Y3981" t="str">
        <f>VLOOKUP(C3981,'[1]DBS_KPY Sorumlular'!A:C,2,FALSE)</f>
        <v>Tayfun VİÇE</v>
      </c>
      <c r="Z3981" t="str">
        <f>VLOOKUP(C3981,'[1]DBS_KPY Sorumlular'!A:C,3,FALSE)</f>
        <v>Mehmet Ali YAVUZ</v>
      </c>
      <c r="AA3981" t="str">
        <f>VLOOKUP(K3981,[1]!Tablo3[#Data],2,FALSE)</f>
        <v>Kadir TOPÇU</v>
      </c>
    </row>
    <row r="3982" spans="1:27" x14ac:dyDescent="0.25">
      <c r="A3982">
        <v>5349</v>
      </c>
      <c r="B3982" t="s">
        <v>27</v>
      </c>
      <c r="C3982" t="s">
        <v>402</v>
      </c>
      <c r="D3982" t="s">
        <v>403</v>
      </c>
      <c r="G3982" t="s">
        <v>384</v>
      </c>
      <c r="H3982" t="s">
        <v>10858</v>
      </c>
      <c r="I3982" s="4">
        <v>45443.875</v>
      </c>
      <c r="K3982" t="s">
        <v>743</v>
      </c>
      <c r="L3982" s="5"/>
      <c r="M3982" s="5" t="s">
        <v>8423</v>
      </c>
      <c r="N3982" t="s">
        <v>82</v>
      </c>
      <c r="O3982" t="s">
        <v>10859</v>
      </c>
      <c r="R3982">
        <v>1</v>
      </c>
      <c r="T3982" s="5"/>
      <c r="W3982">
        <v>270</v>
      </c>
      <c r="X3982" t="s">
        <v>8412</v>
      </c>
      <c r="Y3982" t="str">
        <f>VLOOKUP(C3982,'[1]DBS_KPY Sorumlular'!A:C,2,FALSE)</f>
        <v>Tayfun VİÇE</v>
      </c>
      <c r="Z3982" t="str">
        <f>VLOOKUP(C3982,'[1]DBS_KPY Sorumlular'!A:C,3,FALSE)</f>
        <v>Mehmet Ali YAVUZ</v>
      </c>
      <c r="AA3982" t="str">
        <f>VLOOKUP(K3982,[1]!Tablo3[#Data],2,FALSE)</f>
        <v>Kadir TOPÇU</v>
      </c>
    </row>
    <row r="3983" spans="1:27" x14ac:dyDescent="0.25">
      <c r="A3983">
        <v>5350</v>
      </c>
      <c r="B3983" t="s">
        <v>27</v>
      </c>
      <c r="C3983" t="s">
        <v>402</v>
      </c>
      <c r="D3983" t="s">
        <v>403</v>
      </c>
      <c r="G3983" t="s">
        <v>384</v>
      </c>
      <c r="H3983" t="s">
        <v>10860</v>
      </c>
      <c r="I3983" s="4">
        <v>45443.875</v>
      </c>
      <c r="K3983" t="s">
        <v>743</v>
      </c>
      <c r="L3983" s="5"/>
      <c r="M3983" s="5" t="s">
        <v>8423</v>
      </c>
      <c r="N3983" t="s">
        <v>82</v>
      </c>
      <c r="O3983" t="s">
        <v>10861</v>
      </c>
      <c r="R3983">
        <v>1</v>
      </c>
      <c r="T3983" s="5"/>
      <c r="W3983">
        <v>270</v>
      </c>
      <c r="X3983" t="s">
        <v>8412</v>
      </c>
      <c r="Y3983" t="str">
        <f>VLOOKUP(C3983,'[1]DBS_KPY Sorumlular'!A:C,2,FALSE)</f>
        <v>Tayfun VİÇE</v>
      </c>
      <c r="Z3983" t="str">
        <f>VLOOKUP(C3983,'[1]DBS_KPY Sorumlular'!A:C,3,FALSE)</f>
        <v>Mehmet Ali YAVUZ</v>
      </c>
      <c r="AA3983" t="str">
        <f>VLOOKUP(K3983,[1]!Tablo3[#Data],2,FALSE)</f>
        <v>Kadir TOPÇU</v>
      </c>
    </row>
    <row r="3984" spans="1:27" x14ac:dyDescent="0.25">
      <c r="A3984">
        <v>5351</v>
      </c>
      <c r="B3984" t="s">
        <v>27</v>
      </c>
      <c r="C3984" t="s">
        <v>402</v>
      </c>
      <c r="D3984" t="s">
        <v>403</v>
      </c>
      <c r="G3984" t="s">
        <v>384</v>
      </c>
      <c r="H3984" t="s">
        <v>10862</v>
      </c>
      <c r="I3984" s="4">
        <v>45443.875</v>
      </c>
      <c r="K3984" t="s">
        <v>743</v>
      </c>
      <c r="L3984" s="5"/>
      <c r="M3984" s="5" t="s">
        <v>8423</v>
      </c>
      <c r="N3984" t="s">
        <v>82</v>
      </c>
      <c r="O3984" t="s">
        <v>10863</v>
      </c>
      <c r="R3984">
        <v>1</v>
      </c>
      <c r="T3984" s="5"/>
      <c r="W3984">
        <v>270</v>
      </c>
      <c r="X3984" t="s">
        <v>8412</v>
      </c>
      <c r="Y3984" t="str">
        <f>VLOOKUP(C3984,'[1]DBS_KPY Sorumlular'!A:C,2,FALSE)</f>
        <v>Tayfun VİÇE</v>
      </c>
      <c r="Z3984" t="str">
        <f>VLOOKUP(C3984,'[1]DBS_KPY Sorumlular'!A:C,3,FALSE)</f>
        <v>Mehmet Ali YAVUZ</v>
      </c>
      <c r="AA3984" t="str">
        <f>VLOOKUP(K3984,[1]!Tablo3[#Data],2,FALSE)</f>
        <v>Kadir TOPÇU</v>
      </c>
    </row>
    <row r="3985" spans="1:27" x14ac:dyDescent="0.25">
      <c r="A3985">
        <v>5352</v>
      </c>
      <c r="B3985" t="s">
        <v>27</v>
      </c>
      <c r="C3985" t="s">
        <v>402</v>
      </c>
      <c r="D3985" t="s">
        <v>403</v>
      </c>
      <c r="G3985" t="s">
        <v>384</v>
      </c>
      <c r="H3985" t="s">
        <v>10864</v>
      </c>
      <c r="I3985" s="4">
        <v>45443.875</v>
      </c>
      <c r="K3985" t="s">
        <v>743</v>
      </c>
      <c r="L3985" s="5"/>
      <c r="M3985" s="5" t="s">
        <v>8423</v>
      </c>
      <c r="N3985" t="s">
        <v>82</v>
      </c>
      <c r="O3985" t="s">
        <v>10865</v>
      </c>
      <c r="R3985">
        <v>1</v>
      </c>
      <c r="T3985" s="5"/>
      <c r="W3985">
        <v>270</v>
      </c>
      <c r="X3985" t="s">
        <v>8412</v>
      </c>
      <c r="Y3985" t="str">
        <f>VLOOKUP(C3985,'[1]DBS_KPY Sorumlular'!A:C,2,FALSE)</f>
        <v>Tayfun VİÇE</v>
      </c>
      <c r="Z3985" t="str">
        <f>VLOOKUP(C3985,'[1]DBS_KPY Sorumlular'!A:C,3,FALSE)</f>
        <v>Mehmet Ali YAVUZ</v>
      </c>
      <c r="AA3985" t="str">
        <f>VLOOKUP(K3985,[1]!Tablo3[#Data],2,FALSE)</f>
        <v>Kadir TOPÇU</v>
      </c>
    </row>
    <row r="3986" spans="1:27" x14ac:dyDescent="0.25">
      <c r="A3986">
        <v>5353</v>
      </c>
      <c r="B3986" t="s">
        <v>27</v>
      </c>
      <c r="C3986" t="s">
        <v>402</v>
      </c>
      <c r="D3986" t="s">
        <v>403</v>
      </c>
      <c r="G3986" t="s">
        <v>384</v>
      </c>
      <c r="H3986" t="s">
        <v>10866</v>
      </c>
      <c r="I3986" s="4">
        <v>45443.875</v>
      </c>
      <c r="K3986" t="s">
        <v>1528</v>
      </c>
      <c r="L3986" s="5"/>
      <c r="M3986" s="5" t="s">
        <v>8423</v>
      </c>
      <c r="N3986" t="s">
        <v>82</v>
      </c>
      <c r="O3986" t="s">
        <v>10867</v>
      </c>
      <c r="R3986">
        <v>1</v>
      </c>
      <c r="T3986" s="5"/>
      <c r="W3986">
        <v>270</v>
      </c>
      <c r="X3986" t="s">
        <v>8412</v>
      </c>
      <c r="Y3986" t="str">
        <f>VLOOKUP(C3986,'[1]DBS_KPY Sorumlular'!A:C,2,FALSE)</f>
        <v>Tayfun VİÇE</v>
      </c>
      <c r="Z3986" t="str">
        <f>VLOOKUP(C3986,'[1]DBS_KPY Sorumlular'!A:C,3,FALSE)</f>
        <v>Mehmet Ali YAVUZ</v>
      </c>
      <c r="AA3986" t="str">
        <f>VLOOKUP(K3986,[1]!Tablo3[#Data],2,FALSE)</f>
        <v>Tayfun VİÇE</v>
      </c>
    </row>
    <row r="3987" spans="1:27" x14ac:dyDescent="0.25">
      <c r="A3987">
        <v>5354</v>
      </c>
      <c r="B3987" t="s">
        <v>27</v>
      </c>
      <c r="C3987" t="s">
        <v>402</v>
      </c>
      <c r="D3987" t="s">
        <v>403</v>
      </c>
      <c r="G3987" t="s">
        <v>384</v>
      </c>
      <c r="H3987" t="s">
        <v>10868</v>
      </c>
      <c r="I3987" s="4">
        <v>45443.875</v>
      </c>
      <c r="K3987" t="s">
        <v>743</v>
      </c>
      <c r="L3987" s="5"/>
      <c r="M3987" s="5" t="s">
        <v>8423</v>
      </c>
      <c r="N3987" t="s">
        <v>82</v>
      </c>
      <c r="O3987" t="s">
        <v>10869</v>
      </c>
      <c r="R3987">
        <v>1</v>
      </c>
      <c r="T3987" s="5"/>
      <c r="W3987">
        <v>270</v>
      </c>
      <c r="X3987" t="s">
        <v>8412</v>
      </c>
      <c r="Y3987" t="str">
        <f>VLOOKUP(C3987,'[1]DBS_KPY Sorumlular'!A:C,2,FALSE)</f>
        <v>Tayfun VİÇE</v>
      </c>
      <c r="Z3987" t="str">
        <f>VLOOKUP(C3987,'[1]DBS_KPY Sorumlular'!A:C,3,FALSE)</f>
        <v>Mehmet Ali YAVUZ</v>
      </c>
      <c r="AA3987" t="str">
        <f>VLOOKUP(K3987,[1]!Tablo3[#Data],2,FALSE)</f>
        <v>Kadir TOPÇU</v>
      </c>
    </row>
    <row r="3988" spans="1:27" x14ac:dyDescent="0.25">
      <c r="A3988">
        <v>5355</v>
      </c>
      <c r="B3988" t="s">
        <v>27</v>
      </c>
      <c r="C3988" t="s">
        <v>402</v>
      </c>
      <c r="D3988" t="s">
        <v>403</v>
      </c>
      <c r="G3988" t="s">
        <v>384</v>
      </c>
      <c r="H3988" t="s">
        <v>10870</v>
      </c>
      <c r="I3988" s="4">
        <v>45443.875</v>
      </c>
      <c r="K3988" t="s">
        <v>743</v>
      </c>
      <c r="L3988" s="5"/>
      <c r="M3988" s="5" t="s">
        <v>8423</v>
      </c>
      <c r="N3988" t="s">
        <v>82</v>
      </c>
      <c r="O3988" t="s">
        <v>10871</v>
      </c>
      <c r="R3988">
        <v>1</v>
      </c>
      <c r="T3988" s="5"/>
      <c r="W3988">
        <v>270</v>
      </c>
      <c r="X3988" t="s">
        <v>8412</v>
      </c>
      <c r="Y3988" t="str">
        <f>VLOOKUP(C3988,'[1]DBS_KPY Sorumlular'!A:C,2,FALSE)</f>
        <v>Tayfun VİÇE</v>
      </c>
      <c r="Z3988" t="str">
        <f>VLOOKUP(C3988,'[1]DBS_KPY Sorumlular'!A:C,3,FALSE)</f>
        <v>Mehmet Ali YAVUZ</v>
      </c>
      <c r="AA3988" t="str">
        <f>VLOOKUP(K3988,[1]!Tablo3[#Data],2,FALSE)</f>
        <v>Kadir TOPÇU</v>
      </c>
    </row>
    <row r="3989" spans="1:27" x14ac:dyDescent="0.25">
      <c r="A3989">
        <v>5356</v>
      </c>
      <c r="B3989" t="s">
        <v>27</v>
      </c>
      <c r="C3989" t="s">
        <v>402</v>
      </c>
      <c r="D3989" t="s">
        <v>403</v>
      </c>
      <c r="G3989" t="s">
        <v>384</v>
      </c>
      <c r="H3989" t="s">
        <v>10872</v>
      </c>
      <c r="I3989" s="4">
        <v>45443.875</v>
      </c>
      <c r="K3989" t="s">
        <v>743</v>
      </c>
      <c r="L3989" s="5"/>
      <c r="M3989" s="5" t="s">
        <v>8423</v>
      </c>
      <c r="N3989" t="s">
        <v>82</v>
      </c>
      <c r="O3989" t="s">
        <v>10873</v>
      </c>
      <c r="R3989">
        <v>1</v>
      </c>
      <c r="T3989" s="5"/>
      <c r="W3989">
        <v>270</v>
      </c>
      <c r="X3989" t="s">
        <v>8412</v>
      </c>
      <c r="Y3989" t="str">
        <f>VLOOKUP(C3989,'[1]DBS_KPY Sorumlular'!A:C,2,FALSE)</f>
        <v>Tayfun VİÇE</v>
      </c>
      <c r="Z3989" t="str">
        <f>VLOOKUP(C3989,'[1]DBS_KPY Sorumlular'!A:C,3,FALSE)</f>
        <v>Mehmet Ali YAVUZ</v>
      </c>
      <c r="AA3989" t="str">
        <f>VLOOKUP(K3989,[1]!Tablo3[#Data],2,FALSE)</f>
        <v>Kadir TOPÇU</v>
      </c>
    </row>
    <row r="3990" spans="1:27" x14ac:dyDescent="0.25">
      <c r="A3990">
        <v>5357</v>
      </c>
      <c r="B3990" t="s">
        <v>27</v>
      </c>
      <c r="C3990" t="s">
        <v>402</v>
      </c>
      <c r="D3990" t="s">
        <v>403</v>
      </c>
      <c r="G3990" t="s">
        <v>384</v>
      </c>
      <c r="H3990" t="s">
        <v>10874</v>
      </c>
      <c r="I3990" s="4">
        <v>45443.875</v>
      </c>
      <c r="K3990" t="s">
        <v>743</v>
      </c>
      <c r="L3990" s="5"/>
      <c r="M3990" s="5" t="s">
        <v>8423</v>
      </c>
      <c r="N3990" t="s">
        <v>82</v>
      </c>
      <c r="O3990" t="s">
        <v>10875</v>
      </c>
      <c r="R3990">
        <v>1</v>
      </c>
      <c r="T3990" s="5"/>
      <c r="W3990">
        <v>270</v>
      </c>
      <c r="X3990" t="s">
        <v>8412</v>
      </c>
      <c r="Y3990" t="str">
        <f>VLOOKUP(C3990,'[1]DBS_KPY Sorumlular'!A:C,2,FALSE)</f>
        <v>Tayfun VİÇE</v>
      </c>
      <c r="Z3990" t="str">
        <f>VLOOKUP(C3990,'[1]DBS_KPY Sorumlular'!A:C,3,FALSE)</f>
        <v>Mehmet Ali YAVUZ</v>
      </c>
      <c r="AA3990" t="str">
        <f>VLOOKUP(K3990,[1]!Tablo3[#Data],2,FALSE)</f>
        <v>Kadir TOPÇU</v>
      </c>
    </row>
    <row r="3991" spans="1:27" x14ac:dyDescent="0.25">
      <c r="A3991">
        <v>5358</v>
      </c>
      <c r="B3991" t="s">
        <v>27</v>
      </c>
      <c r="C3991" t="s">
        <v>402</v>
      </c>
      <c r="D3991" t="s">
        <v>403</v>
      </c>
      <c r="G3991" t="s">
        <v>384</v>
      </c>
      <c r="H3991" t="s">
        <v>10876</v>
      </c>
      <c r="I3991" s="4">
        <v>45443.875</v>
      </c>
      <c r="K3991" t="s">
        <v>743</v>
      </c>
      <c r="L3991" s="5"/>
      <c r="M3991" s="5" t="s">
        <v>8423</v>
      </c>
      <c r="N3991" t="s">
        <v>82</v>
      </c>
      <c r="O3991" t="s">
        <v>10877</v>
      </c>
      <c r="R3991">
        <v>1</v>
      </c>
      <c r="T3991" s="5"/>
      <c r="W3991">
        <v>270</v>
      </c>
      <c r="X3991" t="s">
        <v>8412</v>
      </c>
      <c r="Y3991" t="str">
        <f>VLOOKUP(C3991,'[1]DBS_KPY Sorumlular'!A:C,2,FALSE)</f>
        <v>Tayfun VİÇE</v>
      </c>
      <c r="Z3991" t="str">
        <f>VLOOKUP(C3991,'[1]DBS_KPY Sorumlular'!A:C,3,FALSE)</f>
        <v>Mehmet Ali YAVUZ</v>
      </c>
      <c r="AA3991" t="str">
        <f>VLOOKUP(K3991,[1]!Tablo3[#Data],2,FALSE)</f>
        <v>Kadir TOPÇU</v>
      </c>
    </row>
    <row r="3992" spans="1:27" x14ac:dyDescent="0.25">
      <c r="A3992">
        <v>5359</v>
      </c>
      <c r="B3992" t="s">
        <v>27</v>
      </c>
      <c r="C3992" t="s">
        <v>402</v>
      </c>
      <c r="D3992" t="s">
        <v>403</v>
      </c>
      <c r="G3992" t="s">
        <v>384</v>
      </c>
      <c r="H3992" t="s">
        <v>10878</v>
      </c>
      <c r="I3992" s="4">
        <v>45443.875</v>
      </c>
      <c r="K3992" t="s">
        <v>743</v>
      </c>
      <c r="L3992" s="5"/>
      <c r="M3992" s="5" t="s">
        <v>8423</v>
      </c>
      <c r="N3992" t="s">
        <v>82</v>
      </c>
      <c r="O3992" t="s">
        <v>10879</v>
      </c>
      <c r="R3992">
        <v>1</v>
      </c>
      <c r="T3992" s="5"/>
      <c r="W3992">
        <v>270</v>
      </c>
      <c r="X3992" t="s">
        <v>8412</v>
      </c>
      <c r="Y3992" t="str">
        <f>VLOOKUP(C3992,'[1]DBS_KPY Sorumlular'!A:C,2,FALSE)</f>
        <v>Tayfun VİÇE</v>
      </c>
      <c r="Z3992" t="str">
        <f>VLOOKUP(C3992,'[1]DBS_KPY Sorumlular'!A:C,3,FALSE)</f>
        <v>Mehmet Ali YAVUZ</v>
      </c>
      <c r="AA3992" t="str">
        <f>VLOOKUP(K3992,[1]!Tablo3[#Data],2,FALSE)</f>
        <v>Kadir TOPÇU</v>
      </c>
    </row>
    <row r="3993" spans="1:27" x14ac:dyDescent="0.25">
      <c r="A3993">
        <v>5360</v>
      </c>
      <c r="B3993" t="s">
        <v>27</v>
      </c>
      <c r="C3993" t="s">
        <v>402</v>
      </c>
      <c r="D3993" t="s">
        <v>403</v>
      </c>
      <c r="G3993" t="s">
        <v>384</v>
      </c>
      <c r="H3993" t="s">
        <v>10880</v>
      </c>
      <c r="I3993" s="4">
        <v>45443.875</v>
      </c>
      <c r="K3993" t="s">
        <v>743</v>
      </c>
      <c r="L3993" s="5"/>
      <c r="M3993" s="5" t="s">
        <v>8423</v>
      </c>
      <c r="N3993" t="s">
        <v>82</v>
      </c>
      <c r="O3993" t="s">
        <v>10881</v>
      </c>
      <c r="R3993">
        <v>1</v>
      </c>
      <c r="T3993" s="5"/>
      <c r="W3993">
        <v>270</v>
      </c>
      <c r="X3993" t="s">
        <v>8412</v>
      </c>
      <c r="Y3993" t="str">
        <f>VLOOKUP(C3993,'[1]DBS_KPY Sorumlular'!A:C,2,FALSE)</f>
        <v>Tayfun VİÇE</v>
      </c>
      <c r="Z3993" t="str">
        <f>VLOOKUP(C3993,'[1]DBS_KPY Sorumlular'!A:C,3,FALSE)</f>
        <v>Mehmet Ali YAVUZ</v>
      </c>
      <c r="AA3993" t="str">
        <f>VLOOKUP(K3993,[1]!Tablo3[#Data],2,FALSE)</f>
        <v>Kadir TOPÇU</v>
      </c>
    </row>
    <row r="3994" spans="1:27" x14ac:dyDescent="0.25">
      <c r="A3994">
        <v>5361</v>
      </c>
      <c r="B3994" t="s">
        <v>27</v>
      </c>
      <c r="C3994" t="s">
        <v>402</v>
      </c>
      <c r="D3994" t="s">
        <v>403</v>
      </c>
      <c r="G3994" t="s">
        <v>384</v>
      </c>
      <c r="H3994" t="s">
        <v>10882</v>
      </c>
      <c r="I3994" s="4">
        <v>45443.875</v>
      </c>
      <c r="K3994" t="s">
        <v>743</v>
      </c>
      <c r="L3994" s="5"/>
      <c r="M3994" s="5" t="s">
        <v>8423</v>
      </c>
      <c r="N3994" t="s">
        <v>82</v>
      </c>
      <c r="O3994" t="s">
        <v>10883</v>
      </c>
      <c r="R3994">
        <v>1</v>
      </c>
      <c r="T3994" s="5"/>
      <c r="W3994">
        <v>270</v>
      </c>
      <c r="X3994" t="s">
        <v>8412</v>
      </c>
      <c r="Y3994" t="str">
        <f>VLOOKUP(C3994,'[1]DBS_KPY Sorumlular'!A:C,2,FALSE)</f>
        <v>Tayfun VİÇE</v>
      </c>
      <c r="Z3994" t="str">
        <f>VLOOKUP(C3994,'[1]DBS_KPY Sorumlular'!A:C,3,FALSE)</f>
        <v>Mehmet Ali YAVUZ</v>
      </c>
      <c r="AA3994" t="str">
        <f>VLOOKUP(K3994,[1]!Tablo3[#Data],2,FALSE)</f>
        <v>Kadir TOPÇU</v>
      </c>
    </row>
    <row r="3995" spans="1:27" x14ac:dyDescent="0.25">
      <c r="A3995">
        <v>5362</v>
      </c>
      <c r="B3995" t="s">
        <v>27</v>
      </c>
      <c r="C3995" t="s">
        <v>402</v>
      </c>
      <c r="D3995" t="s">
        <v>403</v>
      </c>
      <c r="G3995" t="s">
        <v>384</v>
      </c>
      <c r="H3995" t="s">
        <v>10884</v>
      </c>
      <c r="I3995" s="4">
        <v>45443.875</v>
      </c>
      <c r="K3995" t="s">
        <v>743</v>
      </c>
      <c r="L3995" s="5"/>
      <c r="M3995" s="5" t="s">
        <v>8423</v>
      </c>
      <c r="N3995" t="s">
        <v>82</v>
      </c>
      <c r="O3995" t="s">
        <v>10885</v>
      </c>
      <c r="R3995">
        <v>1</v>
      </c>
      <c r="T3995" s="5"/>
      <c r="W3995">
        <v>270</v>
      </c>
      <c r="X3995" t="s">
        <v>8412</v>
      </c>
      <c r="Y3995" t="str">
        <f>VLOOKUP(C3995,'[1]DBS_KPY Sorumlular'!A:C,2,FALSE)</f>
        <v>Tayfun VİÇE</v>
      </c>
      <c r="Z3995" t="str">
        <f>VLOOKUP(C3995,'[1]DBS_KPY Sorumlular'!A:C,3,FALSE)</f>
        <v>Mehmet Ali YAVUZ</v>
      </c>
      <c r="AA3995" t="str">
        <f>VLOOKUP(K3995,[1]!Tablo3[#Data],2,FALSE)</f>
        <v>Kadir TOPÇU</v>
      </c>
    </row>
    <row r="3996" spans="1:27" x14ac:dyDescent="0.25">
      <c r="A3996">
        <v>5363</v>
      </c>
      <c r="B3996" t="s">
        <v>27</v>
      </c>
      <c r="C3996" t="s">
        <v>402</v>
      </c>
      <c r="D3996" t="s">
        <v>403</v>
      </c>
      <c r="G3996" t="s">
        <v>384</v>
      </c>
      <c r="H3996" t="s">
        <v>10886</v>
      </c>
      <c r="I3996" s="4">
        <v>45443.875</v>
      </c>
      <c r="K3996" t="s">
        <v>743</v>
      </c>
      <c r="L3996" s="5"/>
      <c r="M3996" s="5" t="s">
        <v>8423</v>
      </c>
      <c r="N3996" t="s">
        <v>82</v>
      </c>
      <c r="O3996" t="s">
        <v>10887</v>
      </c>
      <c r="R3996">
        <v>1</v>
      </c>
      <c r="T3996" s="5"/>
      <c r="W3996">
        <v>270</v>
      </c>
      <c r="X3996" t="s">
        <v>8412</v>
      </c>
      <c r="Y3996" t="str">
        <f>VLOOKUP(C3996,'[1]DBS_KPY Sorumlular'!A:C,2,FALSE)</f>
        <v>Tayfun VİÇE</v>
      </c>
      <c r="Z3996" t="str">
        <f>VLOOKUP(C3996,'[1]DBS_KPY Sorumlular'!A:C,3,FALSE)</f>
        <v>Mehmet Ali YAVUZ</v>
      </c>
      <c r="AA3996" t="str">
        <f>VLOOKUP(K3996,[1]!Tablo3[#Data],2,FALSE)</f>
        <v>Kadir TOPÇU</v>
      </c>
    </row>
    <row r="3997" spans="1:27" x14ac:dyDescent="0.25">
      <c r="A3997">
        <v>5364</v>
      </c>
      <c r="B3997" t="s">
        <v>27</v>
      </c>
      <c r="C3997" t="s">
        <v>402</v>
      </c>
      <c r="D3997" t="s">
        <v>403</v>
      </c>
      <c r="G3997" t="s">
        <v>384</v>
      </c>
      <c r="H3997" t="s">
        <v>10888</v>
      </c>
      <c r="I3997" s="4">
        <v>45443.875</v>
      </c>
      <c r="K3997" t="s">
        <v>743</v>
      </c>
      <c r="L3997" s="5"/>
      <c r="M3997" s="5" t="s">
        <v>8423</v>
      </c>
      <c r="N3997" t="s">
        <v>82</v>
      </c>
      <c r="O3997" t="s">
        <v>10889</v>
      </c>
      <c r="R3997">
        <v>1</v>
      </c>
      <c r="T3997" s="5"/>
      <c r="W3997">
        <v>270</v>
      </c>
      <c r="X3997" t="s">
        <v>8412</v>
      </c>
      <c r="Y3997" t="str">
        <f>VLOOKUP(C3997,'[1]DBS_KPY Sorumlular'!A:C,2,FALSE)</f>
        <v>Tayfun VİÇE</v>
      </c>
      <c r="Z3997" t="str">
        <f>VLOOKUP(C3997,'[1]DBS_KPY Sorumlular'!A:C,3,FALSE)</f>
        <v>Mehmet Ali YAVUZ</v>
      </c>
      <c r="AA3997" t="str">
        <f>VLOOKUP(K3997,[1]!Tablo3[#Data],2,FALSE)</f>
        <v>Kadir TOPÇU</v>
      </c>
    </row>
    <row r="3998" spans="1:27" x14ac:dyDescent="0.25">
      <c r="A3998">
        <v>5365</v>
      </c>
      <c r="B3998" t="s">
        <v>27</v>
      </c>
      <c r="C3998" t="s">
        <v>402</v>
      </c>
      <c r="D3998" t="s">
        <v>403</v>
      </c>
      <c r="G3998" t="s">
        <v>384</v>
      </c>
      <c r="H3998" t="s">
        <v>10890</v>
      </c>
      <c r="I3998" s="4">
        <v>45443.875</v>
      </c>
      <c r="K3998" t="s">
        <v>743</v>
      </c>
      <c r="L3998" s="5"/>
      <c r="M3998" s="5" t="s">
        <v>8423</v>
      </c>
      <c r="N3998" t="s">
        <v>82</v>
      </c>
      <c r="O3998" t="s">
        <v>10891</v>
      </c>
      <c r="R3998">
        <v>1</v>
      </c>
      <c r="T3998" s="5"/>
      <c r="W3998">
        <v>270</v>
      </c>
      <c r="X3998" t="s">
        <v>8412</v>
      </c>
      <c r="Y3998" t="str">
        <f>VLOOKUP(C3998,'[1]DBS_KPY Sorumlular'!A:C,2,FALSE)</f>
        <v>Tayfun VİÇE</v>
      </c>
      <c r="Z3998" t="str">
        <f>VLOOKUP(C3998,'[1]DBS_KPY Sorumlular'!A:C,3,FALSE)</f>
        <v>Mehmet Ali YAVUZ</v>
      </c>
      <c r="AA3998" t="str">
        <f>VLOOKUP(K3998,[1]!Tablo3[#Data],2,FALSE)</f>
        <v>Kadir TOPÇU</v>
      </c>
    </row>
    <row r="3999" spans="1:27" x14ac:dyDescent="0.25">
      <c r="A3999">
        <v>5366</v>
      </c>
      <c r="B3999" t="s">
        <v>27</v>
      </c>
      <c r="C3999" t="s">
        <v>402</v>
      </c>
      <c r="D3999" t="s">
        <v>403</v>
      </c>
      <c r="G3999" t="s">
        <v>384</v>
      </c>
      <c r="H3999" t="s">
        <v>10892</v>
      </c>
      <c r="I3999" s="4">
        <v>45443.875</v>
      </c>
      <c r="K3999" t="s">
        <v>743</v>
      </c>
      <c r="L3999" s="5"/>
      <c r="M3999" s="5" t="s">
        <v>8423</v>
      </c>
      <c r="N3999" t="s">
        <v>82</v>
      </c>
      <c r="O3999" t="s">
        <v>10893</v>
      </c>
      <c r="R3999">
        <v>1</v>
      </c>
      <c r="T3999" s="5"/>
      <c r="W3999">
        <v>270</v>
      </c>
      <c r="X3999" t="s">
        <v>8412</v>
      </c>
      <c r="Y3999" t="str">
        <f>VLOOKUP(C3999,'[1]DBS_KPY Sorumlular'!A:C,2,FALSE)</f>
        <v>Tayfun VİÇE</v>
      </c>
      <c r="Z3999" t="str">
        <f>VLOOKUP(C3999,'[1]DBS_KPY Sorumlular'!A:C,3,FALSE)</f>
        <v>Mehmet Ali YAVUZ</v>
      </c>
      <c r="AA3999" t="str">
        <f>VLOOKUP(K3999,[1]!Tablo3[#Data],2,FALSE)</f>
        <v>Kadir TOPÇU</v>
      </c>
    </row>
    <row r="4000" spans="1:27" x14ac:dyDescent="0.25">
      <c r="A4000">
        <v>5367</v>
      </c>
      <c r="B4000" t="s">
        <v>27</v>
      </c>
      <c r="C4000" t="s">
        <v>402</v>
      </c>
      <c r="D4000" t="s">
        <v>403</v>
      </c>
      <c r="G4000" t="s">
        <v>384</v>
      </c>
      <c r="H4000" t="s">
        <v>10894</v>
      </c>
      <c r="I4000" s="4">
        <v>45443.875</v>
      </c>
      <c r="K4000" t="s">
        <v>743</v>
      </c>
      <c r="L4000" s="5"/>
      <c r="M4000" s="5" t="s">
        <v>8423</v>
      </c>
      <c r="N4000" t="s">
        <v>82</v>
      </c>
      <c r="O4000" t="s">
        <v>10895</v>
      </c>
      <c r="R4000">
        <v>1</v>
      </c>
      <c r="T4000" s="5"/>
      <c r="W4000">
        <v>270</v>
      </c>
      <c r="X4000" t="s">
        <v>8412</v>
      </c>
      <c r="Y4000" t="str">
        <f>VLOOKUP(C4000,'[1]DBS_KPY Sorumlular'!A:C,2,FALSE)</f>
        <v>Tayfun VİÇE</v>
      </c>
      <c r="Z4000" t="str">
        <f>VLOOKUP(C4000,'[1]DBS_KPY Sorumlular'!A:C,3,FALSE)</f>
        <v>Mehmet Ali YAVUZ</v>
      </c>
      <c r="AA4000" t="str">
        <f>VLOOKUP(K4000,[1]!Tablo3[#Data],2,FALSE)</f>
        <v>Kadir TOPÇU</v>
      </c>
    </row>
    <row r="4001" spans="1:27" x14ac:dyDescent="0.25">
      <c r="A4001">
        <v>5368</v>
      </c>
      <c r="B4001" t="s">
        <v>27</v>
      </c>
      <c r="C4001" t="s">
        <v>402</v>
      </c>
      <c r="D4001" t="s">
        <v>403</v>
      </c>
      <c r="G4001" t="s">
        <v>384</v>
      </c>
      <c r="H4001" t="s">
        <v>10896</v>
      </c>
      <c r="I4001" s="4">
        <v>45443.875</v>
      </c>
      <c r="K4001" t="s">
        <v>1528</v>
      </c>
      <c r="L4001" s="5"/>
      <c r="M4001" s="5" t="s">
        <v>8423</v>
      </c>
      <c r="N4001" t="s">
        <v>82</v>
      </c>
      <c r="O4001" t="s">
        <v>10897</v>
      </c>
      <c r="R4001">
        <v>1</v>
      </c>
      <c r="T4001" s="5"/>
      <c r="W4001">
        <v>270</v>
      </c>
      <c r="X4001" t="s">
        <v>8412</v>
      </c>
      <c r="Y4001" t="str">
        <f>VLOOKUP(C4001,'[1]DBS_KPY Sorumlular'!A:C,2,FALSE)</f>
        <v>Tayfun VİÇE</v>
      </c>
      <c r="Z4001" t="str">
        <f>VLOOKUP(C4001,'[1]DBS_KPY Sorumlular'!A:C,3,FALSE)</f>
        <v>Mehmet Ali YAVUZ</v>
      </c>
      <c r="AA4001" t="str">
        <f>VLOOKUP(K4001,[1]!Tablo3[#Data],2,FALSE)</f>
        <v>Tayfun VİÇE</v>
      </c>
    </row>
    <row r="4002" spans="1:27" x14ac:dyDescent="0.25">
      <c r="A4002">
        <v>5369</v>
      </c>
      <c r="B4002" t="s">
        <v>27</v>
      </c>
      <c r="C4002" t="s">
        <v>402</v>
      </c>
      <c r="D4002" t="s">
        <v>403</v>
      </c>
      <c r="G4002" t="s">
        <v>384</v>
      </c>
      <c r="H4002" t="s">
        <v>10898</v>
      </c>
      <c r="I4002" s="4">
        <v>45443.875</v>
      </c>
      <c r="K4002" t="s">
        <v>743</v>
      </c>
      <c r="L4002" s="5"/>
      <c r="M4002" s="5" t="s">
        <v>8423</v>
      </c>
      <c r="N4002" t="s">
        <v>82</v>
      </c>
      <c r="O4002" t="s">
        <v>10899</v>
      </c>
      <c r="R4002">
        <v>1</v>
      </c>
      <c r="T4002" s="5"/>
      <c r="W4002">
        <v>270</v>
      </c>
      <c r="X4002" t="s">
        <v>8412</v>
      </c>
      <c r="Y4002" t="str">
        <f>VLOOKUP(C4002,'[1]DBS_KPY Sorumlular'!A:C,2,FALSE)</f>
        <v>Tayfun VİÇE</v>
      </c>
      <c r="Z4002" t="str">
        <f>VLOOKUP(C4002,'[1]DBS_KPY Sorumlular'!A:C,3,FALSE)</f>
        <v>Mehmet Ali YAVUZ</v>
      </c>
      <c r="AA4002" t="str">
        <f>VLOOKUP(K4002,[1]!Tablo3[#Data],2,FALSE)</f>
        <v>Kadir TOPÇU</v>
      </c>
    </row>
    <row r="4003" spans="1:27" x14ac:dyDescent="0.25">
      <c r="A4003">
        <v>5370</v>
      </c>
      <c r="B4003" t="s">
        <v>27</v>
      </c>
      <c r="C4003" t="s">
        <v>402</v>
      </c>
      <c r="D4003" t="s">
        <v>403</v>
      </c>
      <c r="G4003" t="s">
        <v>384</v>
      </c>
      <c r="H4003" t="s">
        <v>10900</v>
      </c>
      <c r="I4003" s="4">
        <v>45443.875</v>
      </c>
      <c r="K4003" t="s">
        <v>743</v>
      </c>
      <c r="L4003" s="5"/>
      <c r="M4003" s="5" t="s">
        <v>8423</v>
      </c>
      <c r="N4003" t="s">
        <v>82</v>
      </c>
      <c r="O4003" t="s">
        <v>10901</v>
      </c>
      <c r="R4003">
        <v>1</v>
      </c>
      <c r="T4003" s="5"/>
      <c r="W4003">
        <v>270</v>
      </c>
      <c r="X4003" t="s">
        <v>8412</v>
      </c>
      <c r="Y4003" t="str">
        <f>VLOOKUP(C4003,'[1]DBS_KPY Sorumlular'!A:C,2,FALSE)</f>
        <v>Tayfun VİÇE</v>
      </c>
      <c r="Z4003" t="str">
        <f>VLOOKUP(C4003,'[1]DBS_KPY Sorumlular'!A:C,3,FALSE)</f>
        <v>Mehmet Ali YAVUZ</v>
      </c>
      <c r="AA4003" t="str">
        <f>VLOOKUP(K4003,[1]!Tablo3[#Data],2,FALSE)</f>
        <v>Kadir TOPÇU</v>
      </c>
    </row>
    <row r="4004" spans="1:27" x14ac:dyDescent="0.25">
      <c r="A4004">
        <v>5371</v>
      </c>
      <c r="B4004" t="s">
        <v>27</v>
      </c>
      <c r="C4004" t="s">
        <v>402</v>
      </c>
      <c r="D4004" t="s">
        <v>403</v>
      </c>
      <c r="G4004" t="s">
        <v>384</v>
      </c>
      <c r="H4004" t="s">
        <v>10902</v>
      </c>
      <c r="I4004" s="4">
        <v>45443.875</v>
      </c>
      <c r="K4004" t="s">
        <v>743</v>
      </c>
      <c r="L4004" s="5"/>
      <c r="M4004" s="5" t="s">
        <v>8423</v>
      </c>
      <c r="N4004" t="s">
        <v>82</v>
      </c>
      <c r="O4004" t="s">
        <v>10903</v>
      </c>
      <c r="R4004">
        <v>1</v>
      </c>
      <c r="T4004" s="5"/>
      <c r="W4004">
        <v>270</v>
      </c>
      <c r="X4004" t="s">
        <v>8412</v>
      </c>
      <c r="Y4004" t="str">
        <f>VLOOKUP(C4004,'[1]DBS_KPY Sorumlular'!A:C,2,FALSE)</f>
        <v>Tayfun VİÇE</v>
      </c>
      <c r="Z4004" t="str">
        <f>VLOOKUP(C4004,'[1]DBS_KPY Sorumlular'!A:C,3,FALSE)</f>
        <v>Mehmet Ali YAVUZ</v>
      </c>
      <c r="AA4004" t="str">
        <f>VLOOKUP(K4004,[1]!Tablo3[#Data],2,FALSE)</f>
        <v>Kadir TOPÇU</v>
      </c>
    </row>
    <row r="4005" spans="1:27" x14ac:dyDescent="0.25">
      <c r="A4005">
        <v>5372</v>
      </c>
      <c r="B4005" t="s">
        <v>27</v>
      </c>
      <c r="C4005" t="s">
        <v>402</v>
      </c>
      <c r="D4005" t="s">
        <v>403</v>
      </c>
      <c r="G4005" t="s">
        <v>384</v>
      </c>
      <c r="H4005" t="s">
        <v>10904</v>
      </c>
      <c r="I4005" s="4">
        <v>45443.875</v>
      </c>
      <c r="K4005" t="s">
        <v>743</v>
      </c>
      <c r="L4005" s="5"/>
      <c r="M4005" s="5" t="s">
        <v>8423</v>
      </c>
      <c r="N4005" t="s">
        <v>82</v>
      </c>
      <c r="O4005" t="s">
        <v>10905</v>
      </c>
      <c r="R4005">
        <v>1</v>
      </c>
      <c r="T4005" s="5"/>
      <c r="W4005">
        <v>270</v>
      </c>
      <c r="X4005" t="s">
        <v>8412</v>
      </c>
      <c r="Y4005" t="str">
        <f>VLOOKUP(C4005,'[1]DBS_KPY Sorumlular'!A:C,2,FALSE)</f>
        <v>Tayfun VİÇE</v>
      </c>
      <c r="Z4005" t="str">
        <f>VLOOKUP(C4005,'[1]DBS_KPY Sorumlular'!A:C,3,FALSE)</f>
        <v>Mehmet Ali YAVUZ</v>
      </c>
      <c r="AA4005" t="str">
        <f>VLOOKUP(K4005,[1]!Tablo3[#Data],2,FALSE)</f>
        <v>Kadir TOPÇU</v>
      </c>
    </row>
    <row r="4006" spans="1:27" x14ac:dyDescent="0.25">
      <c r="A4006">
        <v>5373</v>
      </c>
      <c r="B4006" t="s">
        <v>27</v>
      </c>
      <c r="C4006" t="s">
        <v>402</v>
      </c>
      <c r="D4006" t="s">
        <v>403</v>
      </c>
      <c r="G4006" t="s">
        <v>384</v>
      </c>
      <c r="H4006" t="s">
        <v>10906</v>
      </c>
      <c r="I4006" s="4">
        <v>45443.875</v>
      </c>
      <c r="K4006" t="s">
        <v>743</v>
      </c>
      <c r="L4006" s="5"/>
      <c r="M4006" s="5" t="s">
        <v>8423</v>
      </c>
      <c r="N4006" t="s">
        <v>82</v>
      </c>
      <c r="O4006" t="s">
        <v>10907</v>
      </c>
      <c r="R4006">
        <v>1</v>
      </c>
      <c r="T4006" s="5"/>
      <c r="W4006">
        <v>270</v>
      </c>
      <c r="X4006" t="s">
        <v>8412</v>
      </c>
      <c r="Y4006" t="str">
        <f>VLOOKUP(C4006,'[1]DBS_KPY Sorumlular'!A:C,2,FALSE)</f>
        <v>Tayfun VİÇE</v>
      </c>
      <c r="Z4006" t="str">
        <f>VLOOKUP(C4006,'[1]DBS_KPY Sorumlular'!A:C,3,FALSE)</f>
        <v>Mehmet Ali YAVUZ</v>
      </c>
      <c r="AA4006" t="str">
        <f>VLOOKUP(K4006,[1]!Tablo3[#Data],2,FALSE)</f>
        <v>Kadir TOPÇU</v>
      </c>
    </row>
    <row r="4007" spans="1:27" x14ac:dyDescent="0.25">
      <c r="A4007">
        <v>5374</v>
      </c>
      <c r="B4007" t="s">
        <v>27</v>
      </c>
      <c r="C4007" t="s">
        <v>402</v>
      </c>
      <c r="D4007" t="s">
        <v>403</v>
      </c>
      <c r="G4007" t="s">
        <v>384</v>
      </c>
      <c r="H4007" t="s">
        <v>10908</v>
      </c>
      <c r="I4007" s="4">
        <v>45443.875</v>
      </c>
      <c r="K4007" t="s">
        <v>743</v>
      </c>
      <c r="L4007" s="5"/>
      <c r="M4007" s="5" t="s">
        <v>8423</v>
      </c>
      <c r="N4007" t="s">
        <v>82</v>
      </c>
      <c r="O4007" t="s">
        <v>10909</v>
      </c>
      <c r="R4007">
        <v>1</v>
      </c>
      <c r="T4007" s="5"/>
      <c r="W4007">
        <v>270</v>
      </c>
      <c r="X4007" t="s">
        <v>8412</v>
      </c>
      <c r="Y4007" t="str">
        <f>VLOOKUP(C4007,'[1]DBS_KPY Sorumlular'!A:C,2,FALSE)</f>
        <v>Tayfun VİÇE</v>
      </c>
      <c r="Z4007" t="str">
        <f>VLOOKUP(C4007,'[1]DBS_KPY Sorumlular'!A:C,3,FALSE)</f>
        <v>Mehmet Ali YAVUZ</v>
      </c>
      <c r="AA4007" t="str">
        <f>VLOOKUP(K4007,[1]!Tablo3[#Data],2,FALSE)</f>
        <v>Kadir TOPÇU</v>
      </c>
    </row>
    <row r="4008" spans="1:27" x14ac:dyDescent="0.25">
      <c r="A4008">
        <v>5375</v>
      </c>
      <c r="B4008" t="s">
        <v>27</v>
      </c>
      <c r="C4008" t="s">
        <v>402</v>
      </c>
      <c r="D4008" t="s">
        <v>403</v>
      </c>
      <c r="G4008" t="s">
        <v>384</v>
      </c>
      <c r="H4008" t="s">
        <v>10910</v>
      </c>
      <c r="I4008" s="4">
        <v>45443.875</v>
      </c>
      <c r="K4008" t="s">
        <v>1550</v>
      </c>
      <c r="L4008" s="5"/>
      <c r="M4008" s="5" t="s">
        <v>8423</v>
      </c>
      <c r="N4008" t="s">
        <v>82</v>
      </c>
      <c r="O4008" t="s">
        <v>10911</v>
      </c>
      <c r="R4008">
        <v>1</v>
      </c>
      <c r="T4008" s="5"/>
      <c r="W4008">
        <v>270</v>
      </c>
      <c r="X4008" t="s">
        <v>8412</v>
      </c>
      <c r="Y4008" t="str">
        <f>VLOOKUP(C4008,'[1]DBS_KPY Sorumlular'!A:C,2,FALSE)</f>
        <v>Tayfun VİÇE</v>
      </c>
      <c r="Z4008" t="str">
        <f>VLOOKUP(C4008,'[1]DBS_KPY Sorumlular'!A:C,3,FALSE)</f>
        <v>Mehmet Ali YAVUZ</v>
      </c>
      <c r="AA4008" t="str">
        <f>VLOOKUP(K4008,[1]!Tablo3[#Data],2,FALSE)</f>
        <v>Kadir TOPÇU</v>
      </c>
    </row>
    <row r="4009" spans="1:27" x14ac:dyDescent="0.25">
      <c r="A4009">
        <v>5376</v>
      </c>
      <c r="B4009" t="s">
        <v>27</v>
      </c>
      <c r="C4009" t="s">
        <v>402</v>
      </c>
      <c r="D4009" t="s">
        <v>403</v>
      </c>
      <c r="G4009" t="s">
        <v>384</v>
      </c>
      <c r="H4009" t="s">
        <v>10912</v>
      </c>
      <c r="I4009" s="4">
        <v>45443.875</v>
      </c>
      <c r="K4009" t="s">
        <v>1528</v>
      </c>
      <c r="L4009" s="5"/>
      <c r="M4009" s="5" t="s">
        <v>8423</v>
      </c>
      <c r="N4009" t="s">
        <v>82</v>
      </c>
      <c r="O4009" t="s">
        <v>10913</v>
      </c>
      <c r="R4009">
        <v>1</v>
      </c>
      <c r="T4009" s="5"/>
      <c r="W4009">
        <v>270</v>
      </c>
      <c r="X4009" t="s">
        <v>8412</v>
      </c>
      <c r="Y4009" t="str">
        <f>VLOOKUP(C4009,'[1]DBS_KPY Sorumlular'!A:C,2,FALSE)</f>
        <v>Tayfun VİÇE</v>
      </c>
      <c r="Z4009" t="str">
        <f>VLOOKUP(C4009,'[1]DBS_KPY Sorumlular'!A:C,3,FALSE)</f>
        <v>Mehmet Ali YAVUZ</v>
      </c>
      <c r="AA4009" t="str">
        <f>VLOOKUP(K4009,[1]!Tablo3[#Data],2,FALSE)</f>
        <v>Tayfun VİÇE</v>
      </c>
    </row>
    <row r="4010" spans="1:27" x14ac:dyDescent="0.25">
      <c r="A4010">
        <v>5377</v>
      </c>
      <c r="B4010" t="s">
        <v>27</v>
      </c>
      <c r="C4010" t="s">
        <v>402</v>
      </c>
      <c r="D4010" t="s">
        <v>403</v>
      </c>
      <c r="G4010" t="s">
        <v>384</v>
      </c>
      <c r="H4010" t="s">
        <v>10914</v>
      </c>
      <c r="I4010" s="4">
        <v>45443.875</v>
      </c>
      <c r="K4010" t="s">
        <v>743</v>
      </c>
      <c r="L4010" s="5"/>
      <c r="M4010" s="5" t="s">
        <v>8423</v>
      </c>
      <c r="N4010" t="s">
        <v>82</v>
      </c>
      <c r="O4010" t="s">
        <v>10915</v>
      </c>
      <c r="R4010">
        <v>1</v>
      </c>
      <c r="T4010" s="5"/>
      <c r="W4010">
        <v>270</v>
      </c>
      <c r="X4010" t="s">
        <v>8412</v>
      </c>
      <c r="Y4010" t="str">
        <f>VLOOKUP(C4010,'[1]DBS_KPY Sorumlular'!A:C,2,FALSE)</f>
        <v>Tayfun VİÇE</v>
      </c>
      <c r="Z4010" t="str">
        <f>VLOOKUP(C4010,'[1]DBS_KPY Sorumlular'!A:C,3,FALSE)</f>
        <v>Mehmet Ali YAVUZ</v>
      </c>
      <c r="AA4010" t="str">
        <f>VLOOKUP(K4010,[1]!Tablo3[#Data],2,FALSE)</f>
        <v>Kadir TOPÇU</v>
      </c>
    </row>
    <row r="4011" spans="1:27" x14ac:dyDescent="0.25">
      <c r="A4011">
        <v>5378</v>
      </c>
      <c r="B4011" t="s">
        <v>27</v>
      </c>
      <c r="C4011" t="s">
        <v>402</v>
      </c>
      <c r="D4011" t="s">
        <v>403</v>
      </c>
      <c r="G4011" t="s">
        <v>384</v>
      </c>
      <c r="H4011" t="s">
        <v>10916</v>
      </c>
      <c r="I4011" s="4">
        <v>45443.875</v>
      </c>
      <c r="K4011" t="s">
        <v>743</v>
      </c>
      <c r="L4011" s="5"/>
      <c r="M4011" s="5" t="s">
        <v>8423</v>
      </c>
      <c r="N4011" t="s">
        <v>82</v>
      </c>
      <c r="O4011" t="s">
        <v>10917</v>
      </c>
      <c r="R4011">
        <v>1</v>
      </c>
      <c r="T4011" s="5"/>
      <c r="W4011">
        <v>270</v>
      </c>
      <c r="X4011" t="s">
        <v>8412</v>
      </c>
      <c r="Y4011" t="str">
        <f>VLOOKUP(C4011,'[1]DBS_KPY Sorumlular'!A:C,2,FALSE)</f>
        <v>Tayfun VİÇE</v>
      </c>
      <c r="Z4011" t="str">
        <f>VLOOKUP(C4011,'[1]DBS_KPY Sorumlular'!A:C,3,FALSE)</f>
        <v>Mehmet Ali YAVUZ</v>
      </c>
      <c r="AA4011" t="str">
        <f>VLOOKUP(K4011,[1]!Tablo3[#Data],2,FALSE)</f>
        <v>Kadir TOPÇU</v>
      </c>
    </row>
    <row r="4012" spans="1:27" x14ac:dyDescent="0.25">
      <c r="A4012">
        <v>5379</v>
      </c>
      <c r="B4012" t="s">
        <v>27</v>
      </c>
      <c r="C4012" t="s">
        <v>402</v>
      </c>
      <c r="D4012" t="s">
        <v>403</v>
      </c>
      <c r="G4012" t="s">
        <v>384</v>
      </c>
      <c r="H4012" t="s">
        <v>10918</v>
      </c>
      <c r="I4012" s="4">
        <v>45443.875</v>
      </c>
      <c r="K4012" t="s">
        <v>743</v>
      </c>
      <c r="L4012" s="5"/>
      <c r="M4012" s="5" t="s">
        <v>8423</v>
      </c>
      <c r="N4012" t="s">
        <v>82</v>
      </c>
      <c r="O4012" t="s">
        <v>10919</v>
      </c>
      <c r="R4012">
        <v>1</v>
      </c>
      <c r="T4012" s="5"/>
      <c r="W4012">
        <v>270</v>
      </c>
      <c r="X4012" t="s">
        <v>8412</v>
      </c>
      <c r="Y4012" t="str">
        <f>VLOOKUP(C4012,'[1]DBS_KPY Sorumlular'!A:C,2,FALSE)</f>
        <v>Tayfun VİÇE</v>
      </c>
      <c r="Z4012" t="str">
        <f>VLOOKUP(C4012,'[1]DBS_KPY Sorumlular'!A:C,3,FALSE)</f>
        <v>Mehmet Ali YAVUZ</v>
      </c>
      <c r="AA4012" t="str">
        <f>VLOOKUP(K4012,[1]!Tablo3[#Data],2,FALSE)</f>
        <v>Kadir TOPÇU</v>
      </c>
    </row>
    <row r="4013" spans="1:27" x14ac:dyDescent="0.25">
      <c r="A4013">
        <v>5380</v>
      </c>
      <c r="B4013" t="s">
        <v>27</v>
      </c>
      <c r="C4013" t="s">
        <v>402</v>
      </c>
      <c r="D4013" t="s">
        <v>403</v>
      </c>
      <c r="G4013" t="s">
        <v>384</v>
      </c>
      <c r="H4013" t="s">
        <v>10920</v>
      </c>
      <c r="I4013" s="4">
        <v>45443.875</v>
      </c>
      <c r="K4013" t="s">
        <v>743</v>
      </c>
      <c r="L4013" s="5"/>
      <c r="M4013" s="5" t="s">
        <v>8423</v>
      </c>
      <c r="N4013" t="s">
        <v>82</v>
      </c>
      <c r="O4013" t="s">
        <v>10921</v>
      </c>
      <c r="R4013">
        <v>1</v>
      </c>
      <c r="T4013" s="5"/>
      <c r="W4013">
        <v>270</v>
      </c>
      <c r="X4013" t="s">
        <v>8412</v>
      </c>
      <c r="Y4013" t="str">
        <f>VLOOKUP(C4013,'[1]DBS_KPY Sorumlular'!A:C,2,FALSE)</f>
        <v>Tayfun VİÇE</v>
      </c>
      <c r="Z4013" t="str">
        <f>VLOOKUP(C4013,'[1]DBS_KPY Sorumlular'!A:C,3,FALSE)</f>
        <v>Mehmet Ali YAVUZ</v>
      </c>
      <c r="AA4013" t="str">
        <f>VLOOKUP(K4013,[1]!Tablo3[#Data],2,FALSE)</f>
        <v>Kadir TOPÇU</v>
      </c>
    </row>
    <row r="4014" spans="1:27" x14ac:dyDescent="0.25">
      <c r="A4014">
        <v>5381</v>
      </c>
      <c r="B4014" t="s">
        <v>27</v>
      </c>
      <c r="C4014" t="s">
        <v>402</v>
      </c>
      <c r="D4014" t="s">
        <v>403</v>
      </c>
      <c r="G4014" t="s">
        <v>384</v>
      </c>
      <c r="H4014" t="s">
        <v>10922</v>
      </c>
      <c r="I4014" s="4">
        <v>45443.875</v>
      </c>
      <c r="K4014" t="s">
        <v>926</v>
      </c>
      <c r="L4014" s="5"/>
      <c r="M4014" s="5" t="s">
        <v>8423</v>
      </c>
      <c r="N4014" t="s">
        <v>82</v>
      </c>
      <c r="O4014" t="s">
        <v>10923</v>
      </c>
      <c r="R4014">
        <v>1</v>
      </c>
      <c r="T4014" s="5"/>
      <c r="W4014">
        <v>270</v>
      </c>
      <c r="X4014" t="s">
        <v>8412</v>
      </c>
      <c r="Y4014" t="str">
        <f>VLOOKUP(C4014,'[1]DBS_KPY Sorumlular'!A:C,2,FALSE)</f>
        <v>Tayfun VİÇE</v>
      </c>
      <c r="Z4014" t="str">
        <f>VLOOKUP(C4014,'[1]DBS_KPY Sorumlular'!A:C,3,FALSE)</f>
        <v>Mehmet Ali YAVUZ</v>
      </c>
      <c r="AA4014" t="str">
        <f>VLOOKUP(K4014,[1]!Tablo3[#Data],2,FALSE)</f>
        <v>Kadir TOPÇU</v>
      </c>
    </row>
    <row r="4015" spans="1:27" x14ac:dyDescent="0.25">
      <c r="A4015">
        <v>5382</v>
      </c>
      <c r="B4015" t="s">
        <v>27</v>
      </c>
      <c r="C4015" t="s">
        <v>402</v>
      </c>
      <c r="D4015" t="s">
        <v>403</v>
      </c>
      <c r="G4015" t="s">
        <v>384</v>
      </c>
      <c r="H4015" t="s">
        <v>10924</v>
      </c>
      <c r="I4015" s="4">
        <v>45443.875</v>
      </c>
      <c r="K4015" t="s">
        <v>926</v>
      </c>
      <c r="L4015" s="5"/>
      <c r="M4015" s="5" t="s">
        <v>8423</v>
      </c>
      <c r="N4015" t="s">
        <v>82</v>
      </c>
      <c r="O4015" t="s">
        <v>10925</v>
      </c>
      <c r="R4015">
        <v>1</v>
      </c>
      <c r="T4015" s="5"/>
      <c r="W4015">
        <v>270</v>
      </c>
      <c r="X4015" t="s">
        <v>8412</v>
      </c>
      <c r="Y4015" t="str">
        <f>VLOOKUP(C4015,'[1]DBS_KPY Sorumlular'!A:C,2,FALSE)</f>
        <v>Tayfun VİÇE</v>
      </c>
      <c r="Z4015" t="str">
        <f>VLOOKUP(C4015,'[1]DBS_KPY Sorumlular'!A:C,3,FALSE)</f>
        <v>Mehmet Ali YAVUZ</v>
      </c>
      <c r="AA4015" t="str">
        <f>VLOOKUP(K4015,[1]!Tablo3[#Data],2,FALSE)</f>
        <v>Kadir TOPÇU</v>
      </c>
    </row>
    <row r="4016" spans="1:27" x14ac:dyDescent="0.25">
      <c r="A4016">
        <v>5383</v>
      </c>
      <c r="B4016" t="s">
        <v>27</v>
      </c>
      <c r="C4016" t="s">
        <v>402</v>
      </c>
      <c r="D4016" t="s">
        <v>403</v>
      </c>
      <c r="G4016" t="s">
        <v>384</v>
      </c>
      <c r="H4016" t="s">
        <v>10926</v>
      </c>
      <c r="I4016" s="4">
        <v>45443.875</v>
      </c>
      <c r="K4016" t="s">
        <v>926</v>
      </c>
      <c r="L4016" s="5"/>
      <c r="M4016" s="5" t="s">
        <v>8423</v>
      </c>
      <c r="N4016" t="s">
        <v>82</v>
      </c>
      <c r="O4016" t="s">
        <v>10927</v>
      </c>
      <c r="R4016">
        <v>1</v>
      </c>
      <c r="T4016" s="5"/>
      <c r="W4016">
        <v>270</v>
      </c>
      <c r="X4016" t="s">
        <v>8412</v>
      </c>
      <c r="Y4016" t="str">
        <f>VLOOKUP(C4016,'[1]DBS_KPY Sorumlular'!A:C,2,FALSE)</f>
        <v>Tayfun VİÇE</v>
      </c>
      <c r="Z4016" t="str">
        <f>VLOOKUP(C4016,'[1]DBS_KPY Sorumlular'!A:C,3,FALSE)</f>
        <v>Mehmet Ali YAVUZ</v>
      </c>
      <c r="AA4016" t="str">
        <f>VLOOKUP(K4016,[1]!Tablo3[#Data],2,FALSE)</f>
        <v>Kadir TOPÇU</v>
      </c>
    </row>
    <row r="4017" spans="1:27" x14ac:dyDescent="0.25">
      <c r="A4017">
        <v>5384</v>
      </c>
      <c r="B4017" t="s">
        <v>27</v>
      </c>
      <c r="C4017" t="s">
        <v>402</v>
      </c>
      <c r="D4017" t="s">
        <v>403</v>
      </c>
      <c r="G4017" t="s">
        <v>384</v>
      </c>
      <c r="H4017" t="s">
        <v>10928</v>
      </c>
      <c r="I4017" s="4">
        <v>45443.875</v>
      </c>
      <c r="K4017" t="s">
        <v>926</v>
      </c>
      <c r="L4017" s="5"/>
      <c r="M4017" s="5" t="s">
        <v>8423</v>
      </c>
      <c r="N4017" t="s">
        <v>82</v>
      </c>
      <c r="O4017" t="s">
        <v>10929</v>
      </c>
      <c r="R4017">
        <v>1</v>
      </c>
      <c r="T4017" s="5"/>
      <c r="W4017">
        <v>270</v>
      </c>
      <c r="X4017" t="s">
        <v>8412</v>
      </c>
      <c r="Y4017" t="str">
        <f>VLOOKUP(C4017,'[1]DBS_KPY Sorumlular'!A:C,2,FALSE)</f>
        <v>Tayfun VİÇE</v>
      </c>
      <c r="Z4017" t="str">
        <f>VLOOKUP(C4017,'[1]DBS_KPY Sorumlular'!A:C,3,FALSE)</f>
        <v>Mehmet Ali YAVUZ</v>
      </c>
      <c r="AA4017" t="str">
        <f>VLOOKUP(K4017,[1]!Tablo3[#Data],2,FALSE)</f>
        <v>Kadir TOPÇU</v>
      </c>
    </row>
    <row r="4018" spans="1:27" x14ac:dyDescent="0.25">
      <c r="A4018">
        <v>5385</v>
      </c>
      <c r="B4018" t="s">
        <v>27</v>
      </c>
      <c r="C4018" t="s">
        <v>402</v>
      </c>
      <c r="D4018" t="s">
        <v>403</v>
      </c>
      <c r="G4018" t="s">
        <v>384</v>
      </c>
      <c r="H4018" t="s">
        <v>10930</v>
      </c>
      <c r="I4018" s="4">
        <v>45443.875</v>
      </c>
      <c r="K4018" t="s">
        <v>926</v>
      </c>
      <c r="L4018" s="5"/>
      <c r="M4018" s="5" t="s">
        <v>8423</v>
      </c>
      <c r="N4018" t="s">
        <v>82</v>
      </c>
      <c r="O4018" t="s">
        <v>10931</v>
      </c>
      <c r="R4018">
        <v>1</v>
      </c>
      <c r="T4018" s="5"/>
      <c r="W4018">
        <v>270</v>
      </c>
      <c r="X4018" t="s">
        <v>8412</v>
      </c>
      <c r="Y4018" t="str">
        <f>VLOOKUP(C4018,'[1]DBS_KPY Sorumlular'!A:C,2,FALSE)</f>
        <v>Tayfun VİÇE</v>
      </c>
      <c r="Z4018" t="str">
        <f>VLOOKUP(C4018,'[1]DBS_KPY Sorumlular'!A:C,3,FALSE)</f>
        <v>Mehmet Ali YAVUZ</v>
      </c>
      <c r="AA4018" t="str">
        <f>VLOOKUP(K4018,[1]!Tablo3[#Data],2,FALSE)</f>
        <v>Kadir TOPÇU</v>
      </c>
    </row>
    <row r="4019" spans="1:27" x14ac:dyDescent="0.25">
      <c r="A4019">
        <v>5386</v>
      </c>
      <c r="B4019" t="s">
        <v>27</v>
      </c>
      <c r="C4019" t="s">
        <v>402</v>
      </c>
      <c r="D4019" t="s">
        <v>403</v>
      </c>
      <c r="G4019" t="s">
        <v>384</v>
      </c>
      <c r="H4019" t="s">
        <v>10932</v>
      </c>
      <c r="I4019" s="4">
        <v>45443.875</v>
      </c>
      <c r="K4019" t="s">
        <v>926</v>
      </c>
      <c r="L4019" s="5"/>
      <c r="M4019" s="5" t="s">
        <v>8423</v>
      </c>
      <c r="N4019" t="s">
        <v>82</v>
      </c>
      <c r="O4019" t="s">
        <v>10933</v>
      </c>
      <c r="R4019">
        <v>1</v>
      </c>
      <c r="T4019" s="5"/>
      <c r="W4019">
        <v>270</v>
      </c>
      <c r="X4019" t="s">
        <v>8412</v>
      </c>
      <c r="Y4019" t="str">
        <f>VLOOKUP(C4019,'[1]DBS_KPY Sorumlular'!A:C,2,FALSE)</f>
        <v>Tayfun VİÇE</v>
      </c>
      <c r="Z4019" t="str">
        <f>VLOOKUP(C4019,'[1]DBS_KPY Sorumlular'!A:C,3,FALSE)</f>
        <v>Mehmet Ali YAVUZ</v>
      </c>
      <c r="AA4019" t="str">
        <f>VLOOKUP(K4019,[1]!Tablo3[#Data],2,FALSE)</f>
        <v>Kadir TOPÇU</v>
      </c>
    </row>
    <row r="4020" spans="1:27" x14ac:dyDescent="0.25">
      <c r="A4020">
        <v>5387</v>
      </c>
      <c r="B4020" t="s">
        <v>27</v>
      </c>
      <c r="C4020" t="s">
        <v>402</v>
      </c>
      <c r="D4020" t="s">
        <v>403</v>
      </c>
      <c r="G4020" t="s">
        <v>384</v>
      </c>
      <c r="H4020" t="s">
        <v>10934</v>
      </c>
      <c r="I4020" s="4">
        <v>45443.875</v>
      </c>
      <c r="K4020" t="s">
        <v>926</v>
      </c>
      <c r="L4020" s="5"/>
      <c r="M4020" s="5" t="s">
        <v>8423</v>
      </c>
      <c r="N4020" t="s">
        <v>82</v>
      </c>
      <c r="O4020" t="s">
        <v>10935</v>
      </c>
      <c r="R4020">
        <v>1</v>
      </c>
      <c r="T4020" s="5"/>
      <c r="W4020">
        <v>270</v>
      </c>
      <c r="X4020" t="s">
        <v>8412</v>
      </c>
      <c r="Y4020" t="str">
        <f>VLOOKUP(C4020,'[1]DBS_KPY Sorumlular'!A:C,2,FALSE)</f>
        <v>Tayfun VİÇE</v>
      </c>
      <c r="Z4020" t="str">
        <f>VLOOKUP(C4020,'[1]DBS_KPY Sorumlular'!A:C,3,FALSE)</f>
        <v>Mehmet Ali YAVUZ</v>
      </c>
      <c r="AA4020" t="str">
        <f>VLOOKUP(K4020,[1]!Tablo3[#Data],2,FALSE)</f>
        <v>Kadir TOPÇU</v>
      </c>
    </row>
    <row r="4021" spans="1:27" x14ac:dyDescent="0.25">
      <c r="A4021">
        <v>5388</v>
      </c>
      <c r="B4021" t="s">
        <v>27</v>
      </c>
      <c r="C4021" t="s">
        <v>402</v>
      </c>
      <c r="D4021" t="s">
        <v>403</v>
      </c>
      <c r="G4021" t="s">
        <v>384</v>
      </c>
      <c r="H4021" t="s">
        <v>10936</v>
      </c>
      <c r="I4021" s="4">
        <v>45443.875</v>
      </c>
      <c r="K4021" t="s">
        <v>926</v>
      </c>
      <c r="L4021" s="5"/>
      <c r="M4021" s="5" t="s">
        <v>8423</v>
      </c>
      <c r="N4021" t="s">
        <v>82</v>
      </c>
      <c r="O4021" t="s">
        <v>10937</v>
      </c>
      <c r="R4021">
        <v>1</v>
      </c>
      <c r="T4021" s="5"/>
      <c r="W4021">
        <v>270</v>
      </c>
      <c r="X4021" t="s">
        <v>8412</v>
      </c>
      <c r="Y4021" t="str">
        <f>VLOOKUP(C4021,'[1]DBS_KPY Sorumlular'!A:C,2,FALSE)</f>
        <v>Tayfun VİÇE</v>
      </c>
      <c r="Z4021" t="str">
        <f>VLOOKUP(C4021,'[1]DBS_KPY Sorumlular'!A:C,3,FALSE)</f>
        <v>Mehmet Ali YAVUZ</v>
      </c>
      <c r="AA4021" t="str">
        <f>VLOOKUP(K4021,[1]!Tablo3[#Data],2,FALSE)</f>
        <v>Kadir TOPÇU</v>
      </c>
    </row>
    <row r="4022" spans="1:27" x14ac:dyDescent="0.25">
      <c r="A4022">
        <v>5389</v>
      </c>
      <c r="B4022" t="s">
        <v>27</v>
      </c>
      <c r="C4022" t="s">
        <v>402</v>
      </c>
      <c r="D4022" t="s">
        <v>403</v>
      </c>
      <c r="G4022" t="s">
        <v>384</v>
      </c>
      <c r="H4022" t="s">
        <v>10938</v>
      </c>
      <c r="I4022" s="4">
        <v>45443.875</v>
      </c>
      <c r="K4022" t="s">
        <v>926</v>
      </c>
      <c r="L4022" s="5"/>
      <c r="M4022" s="5" t="s">
        <v>8423</v>
      </c>
      <c r="N4022" t="s">
        <v>82</v>
      </c>
      <c r="O4022" t="s">
        <v>10939</v>
      </c>
      <c r="R4022">
        <v>1</v>
      </c>
      <c r="T4022" s="5"/>
      <c r="W4022">
        <v>270</v>
      </c>
      <c r="X4022" t="s">
        <v>8412</v>
      </c>
      <c r="Y4022" t="str">
        <f>VLOOKUP(C4022,'[1]DBS_KPY Sorumlular'!A:C,2,FALSE)</f>
        <v>Tayfun VİÇE</v>
      </c>
      <c r="Z4022" t="str">
        <f>VLOOKUP(C4022,'[1]DBS_KPY Sorumlular'!A:C,3,FALSE)</f>
        <v>Mehmet Ali YAVUZ</v>
      </c>
      <c r="AA4022" t="str">
        <f>VLOOKUP(K4022,[1]!Tablo3[#Data],2,FALSE)</f>
        <v>Kadir TOPÇU</v>
      </c>
    </row>
    <row r="4023" spans="1:27" x14ac:dyDescent="0.25">
      <c r="A4023">
        <v>5390</v>
      </c>
      <c r="B4023" t="s">
        <v>27</v>
      </c>
      <c r="C4023" t="s">
        <v>402</v>
      </c>
      <c r="D4023" t="s">
        <v>403</v>
      </c>
      <c r="G4023" t="s">
        <v>384</v>
      </c>
      <c r="H4023" t="s">
        <v>10940</v>
      </c>
      <c r="I4023" s="4">
        <v>45443.875</v>
      </c>
      <c r="K4023" t="s">
        <v>926</v>
      </c>
      <c r="L4023" s="5"/>
      <c r="M4023" s="5" t="s">
        <v>8423</v>
      </c>
      <c r="N4023" t="s">
        <v>82</v>
      </c>
      <c r="O4023" t="s">
        <v>10941</v>
      </c>
      <c r="R4023">
        <v>1</v>
      </c>
      <c r="T4023" s="5"/>
      <c r="W4023">
        <v>270</v>
      </c>
      <c r="X4023" t="s">
        <v>8412</v>
      </c>
      <c r="Y4023" t="str">
        <f>VLOOKUP(C4023,'[1]DBS_KPY Sorumlular'!A:C,2,FALSE)</f>
        <v>Tayfun VİÇE</v>
      </c>
      <c r="Z4023" t="str">
        <f>VLOOKUP(C4023,'[1]DBS_KPY Sorumlular'!A:C,3,FALSE)</f>
        <v>Mehmet Ali YAVUZ</v>
      </c>
      <c r="AA4023" t="str">
        <f>VLOOKUP(K4023,[1]!Tablo3[#Data],2,FALSE)</f>
        <v>Kadir TOPÇU</v>
      </c>
    </row>
    <row r="4024" spans="1:27" x14ac:dyDescent="0.25">
      <c r="A4024">
        <v>5391</v>
      </c>
      <c r="B4024" t="s">
        <v>27</v>
      </c>
      <c r="C4024" t="s">
        <v>402</v>
      </c>
      <c r="D4024" t="s">
        <v>403</v>
      </c>
      <c r="G4024" t="s">
        <v>384</v>
      </c>
      <c r="H4024" t="s">
        <v>10942</v>
      </c>
      <c r="I4024" s="4">
        <v>45443.875</v>
      </c>
      <c r="K4024" t="s">
        <v>926</v>
      </c>
      <c r="L4024" s="5"/>
      <c r="M4024" s="5" t="s">
        <v>8423</v>
      </c>
      <c r="N4024" t="s">
        <v>82</v>
      </c>
      <c r="O4024" t="s">
        <v>10943</v>
      </c>
      <c r="R4024">
        <v>1</v>
      </c>
      <c r="T4024" s="5"/>
      <c r="W4024">
        <v>270</v>
      </c>
      <c r="X4024" t="s">
        <v>8412</v>
      </c>
      <c r="Y4024" t="str">
        <f>VLOOKUP(C4024,'[1]DBS_KPY Sorumlular'!A:C,2,FALSE)</f>
        <v>Tayfun VİÇE</v>
      </c>
      <c r="Z4024" t="str">
        <f>VLOOKUP(C4024,'[1]DBS_KPY Sorumlular'!A:C,3,FALSE)</f>
        <v>Mehmet Ali YAVUZ</v>
      </c>
      <c r="AA4024" t="str">
        <f>VLOOKUP(K4024,[1]!Tablo3[#Data],2,FALSE)</f>
        <v>Kadir TOPÇU</v>
      </c>
    </row>
    <row r="4025" spans="1:27" x14ac:dyDescent="0.25">
      <c r="A4025">
        <v>5392</v>
      </c>
      <c r="B4025" t="s">
        <v>27</v>
      </c>
      <c r="C4025" t="s">
        <v>402</v>
      </c>
      <c r="D4025" t="s">
        <v>403</v>
      </c>
      <c r="G4025" t="s">
        <v>384</v>
      </c>
      <c r="H4025" t="s">
        <v>10944</v>
      </c>
      <c r="I4025" s="4">
        <v>45443.875</v>
      </c>
      <c r="K4025" t="s">
        <v>926</v>
      </c>
      <c r="L4025" s="5"/>
      <c r="M4025" s="5" t="s">
        <v>8423</v>
      </c>
      <c r="N4025" t="s">
        <v>82</v>
      </c>
      <c r="O4025" t="s">
        <v>10945</v>
      </c>
      <c r="R4025">
        <v>1</v>
      </c>
      <c r="T4025" s="5"/>
      <c r="W4025">
        <v>270</v>
      </c>
      <c r="X4025" t="s">
        <v>8412</v>
      </c>
      <c r="Y4025" t="str">
        <f>VLOOKUP(C4025,'[1]DBS_KPY Sorumlular'!A:C,2,FALSE)</f>
        <v>Tayfun VİÇE</v>
      </c>
      <c r="Z4025" t="str">
        <f>VLOOKUP(C4025,'[1]DBS_KPY Sorumlular'!A:C,3,FALSE)</f>
        <v>Mehmet Ali YAVUZ</v>
      </c>
      <c r="AA4025" t="str">
        <f>VLOOKUP(K4025,[1]!Tablo3[#Data],2,FALSE)</f>
        <v>Kadir TOPÇU</v>
      </c>
    </row>
    <row r="4026" spans="1:27" x14ac:dyDescent="0.25">
      <c r="A4026">
        <v>5393</v>
      </c>
      <c r="B4026" t="s">
        <v>27</v>
      </c>
      <c r="C4026" t="s">
        <v>402</v>
      </c>
      <c r="D4026" t="s">
        <v>403</v>
      </c>
      <c r="G4026" t="s">
        <v>384</v>
      </c>
      <c r="H4026" t="s">
        <v>10946</v>
      </c>
      <c r="I4026" s="4">
        <v>45443.875</v>
      </c>
      <c r="K4026" t="s">
        <v>926</v>
      </c>
      <c r="L4026" s="5"/>
      <c r="M4026" s="5" t="s">
        <v>8423</v>
      </c>
      <c r="N4026" t="s">
        <v>82</v>
      </c>
      <c r="O4026" t="s">
        <v>10947</v>
      </c>
      <c r="R4026">
        <v>1</v>
      </c>
      <c r="T4026" s="5"/>
      <c r="W4026">
        <v>270</v>
      </c>
      <c r="X4026" t="s">
        <v>8412</v>
      </c>
      <c r="Y4026" t="str">
        <f>VLOOKUP(C4026,'[1]DBS_KPY Sorumlular'!A:C,2,FALSE)</f>
        <v>Tayfun VİÇE</v>
      </c>
      <c r="Z4026" t="str">
        <f>VLOOKUP(C4026,'[1]DBS_KPY Sorumlular'!A:C,3,FALSE)</f>
        <v>Mehmet Ali YAVUZ</v>
      </c>
      <c r="AA4026" t="str">
        <f>VLOOKUP(K4026,[1]!Tablo3[#Data],2,FALSE)</f>
        <v>Kadir TOPÇU</v>
      </c>
    </row>
    <row r="4027" spans="1:27" x14ac:dyDescent="0.25">
      <c r="A4027">
        <v>5394</v>
      </c>
      <c r="B4027" t="s">
        <v>27</v>
      </c>
      <c r="C4027" t="s">
        <v>402</v>
      </c>
      <c r="D4027" t="s">
        <v>403</v>
      </c>
      <c r="G4027" t="s">
        <v>384</v>
      </c>
      <c r="H4027" t="s">
        <v>10948</v>
      </c>
      <c r="I4027" s="4">
        <v>45443.875</v>
      </c>
      <c r="K4027" t="s">
        <v>926</v>
      </c>
      <c r="L4027" s="5"/>
      <c r="M4027" s="5" t="s">
        <v>8423</v>
      </c>
      <c r="N4027" t="s">
        <v>82</v>
      </c>
      <c r="O4027" t="s">
        <v>10949</v>
      </c>
      <c r="R4027">
        <v>1</v>
      </c>
      <c r="T4027" s="5"/>
      <c r="W4027">
        <v>270</v>
      </c>
      <c r="X4027" t="s">
        <v>8412</v>
      </c>
      <c r="Y4027" t="str">
        <f>VLOOKUP(C4027,'[1]DBS_KPY Sorumlular'!A:C,2,FALSE)</f>
        <v>Tayfun VİÇE</v>
      </c>
      <c r="Z4027" t="str">
        <f>VLOOKUP(C4027,'[1]DBS_KPY Sorumlular'!A:C,3,FALSE)</f>
        <v>Mehmet Ali YAVUZ</v>
      </c>
      <c r="AA4027" t="str">
        <f>VLOOKUP(K4027,[1]!Tablo3[#Data],2,FALSE)</f>
        <v>Kadir TOPÇU</v>
      </c>
    </row>
    <row r="4028" spans="1:27" x14ac:dyDescent="0.25">
      <c r="A4028">
        <v>5395</v>
      </c>
      <c r="B4028" t="s">
        <v>27</v>
      </c>
      <c r="C4028" t="s">
        <v>402</v>
      </c>
      <c r="D4028" t="s">
        <v>403</v>
      </c>
      <c r="G4028" t="s">
        <v>384</v>
      </c>
      <c r="H4028" t="s">
        <v>10950</v>
      </c>
      <c r="I4028" s="4">
        <v>45443.875</v>
      </c>
      <c r="K4028" t="s">
        <v>926</v>
      </c>
      <c r="L4028" s="5"/>
      <c r="M4028" s="5" t="s">
        <v>8423</v>
      </c>
      <c r="N4028" t="s">
        <v>82</v>
      </c>
      <c r="O4028" t="s">
        <v>10951</v>
      </c>
      <c r="R4028">
        <v>1</v>
      </c>
      <c r="T4028" s="5"/>
      <c r="W4028">
        <v>270</v>
      </c>
      <c r="X4028" t="s">
        <v>8412</v>
      </c>
      <c r="Y4028" t="str">
        <f>VLOOKUP(C4028,'[1]DBS_KPY Sorumlular'!A:C,2,FALSE)</f>
        <v>Tayfun VİÇE</v>
      </c>
      <c r="Z4028" t="str">
        <f>VLOOKUP(C4028,'[1]DBS_KPY Sorumlular'!A:C,3,FALSE)</f>
        <v>Mehmet Ali YAVUZ</v>
      </c>
      <c r="AA4028" t="str">
        <f>VLOOKUP(K4028,[1]!Tablo3[#Data],2,FALSE)</f>
        <v>Kadir TOPÇU</v>
      </c>
    </row>
    <row r="4029" spans="1:27" x14ac:dyDescent="0.25">
      <c r="A4029">
        <v>5396</v>
      </c>
      <c r="B4029" t="s">
        <v>27</v>
      </c>
      <c r="C4029" t="s">
        <v>402</v>
      </c>
      <c r="D4029" t="s">
        <v>403</v>
      </c>
      <c r="G4029" t="s">
        <v>384</v>
      </c>
      <c r="H4029" t="s">
        <v>10952</v>
      </c>
      <c r="I4029" s="4">
        <v>45443.875</v>
      </c>
      <c r="K4029" t="s">
        <v>926</v>
      </c>
      <c r="L4029" s="5"/>
      <c r="M4029" s="5" t="s">
        <v>8423</v>
      </c>
      <c r="N4029" t="s">
        <v>82</v>
      </c>
      <c r="O4029" t="s">
        <v>10953</v>
      </c>
      <c r="R4029">
        <v>1</v>
      </c>
      <c r="T4029" s="5"/>
      <c r="W4029">
        <v>270</v>
      </c>
      <c r="X4029" t="s">
        <v>8412</v>
      </c>
      <c r="Y4029" t="str">
        <f>VLOOKUP(C4029,'[1]DBS_KPY Sorumlular'!A:C,2,FALSE)</f>
        <v>Tayfun VİÇE</v>
      </c>
      <c r="Z4029" t="str">
        <f>VLOOKUP(C4029,'[1]DBS_KPY Sorumlular'!A:C,3,FALSE)</f>
        <v>Mehmet Ali YAVUZ</v>
      </c>
      <c r="AA4029" t="str">
        <f>VLOOKUP(K4029,[1]!Tablo3[#Data],2,FALSE)</f>
        <v>Kadir TOPÇU</v>
      </c>
    </row>
    <row r="4030" spans="1:27" x14ac:dyDescent="0.25">
      <c r="A4030">
        <v>5398</v>
      </c>
      <c r="B4030" t="s">
        <v>27</v>
      </c>
      <c r="C4030" t="s">
        <v>402</v>
      </c>
      <c r="D4030" t="s">
        <v>403</v>
      </c>
      <c r="G4030" t="s">
        <v>384</v>
      </c>
      <c r="H4030" t="s">
        <v>10954</v>
      </c>
      <c r="I4030" s="4">
        <v>45443.875</v>
      </c>
      <c r="K4030" t="s">
        <v>926</v>
      </c>
      <c r="L4030" s="5"/>
      <c r="M4030" s="5" t="s">
        <v>8423</v>
      </c>
      <c r="N4030" t="s">
        <v>82</v>
      </c>
      <c r="O4030" t="s">
        <v>10955</v>
      </c>
      <c r="R4030">
        <v>1</v>
      </c>
      <c r="T4030" s="5"/>
      <c r="W4030">
        <v>270</v>
      </c>
      <c r="X4030" t="s">
        <v>8412</v>
      </c>
      <c r="Y4030" t="str">
        <f>VLOOKUP(C4030,'[1]DBS_KPY Sorumlular'!A:C,2,FALSE)</f>
        <v>Tayfun VİÇE</v>
      </c>
      <c r="Z4030" t="str">
        <f>VLOOKUP(C4030,'[1]DBS_KPY Sorumlular'!A:C,3,FALSE)</f>
        <v>Mehmet Ali YAVUZ</v>
      </c>
      <c r="AA4030" t="str">
        <f>VLOOKUP(K4030,[1]!Tablo3[#Data],2,FALSE)</f>
        <v>Kadir TOPÇU</v>
      </c>
    </row>
    <row r="4031" spans="1:27" x14ac:dyDescent="0.25">
      <c r="A4031">
        <v>5399</v>
      </c>
      <c r="B4031" t="s">
        <v>27</v>
      </c>
      <c r="C4031" t="s">
        <v>402</v>
      </c>
      <c r="D4031" t="s">
        <v>403</v>
      </c>
      <c r="G4031" t="s">
        <v>384</v>
      </c>
      <c r="H4031" t="s">
        <v>10956</v>
      </c>
      <c r="I4031" s="4">
        <v>45443.875</v>
      </c>
      <c r="K4031" t="s">
        <v>926</v>
      </c>
      <c r="L4031" s="5"/>
      <c r="M4031" s="5" t="s">
        <v>8423</v>
      </c>
      <c r="N4031" t="s">
        <v>82</v>
      </c>
      <c r="O4031" t="s">
        <v>10957</v>
      </c>
      <c r="R4031">
        <v>1</v>
      </c>
      <c r="T4031" s="5"/>
      <c r="W4031">
        <v>270</v>
      </c>
      <c r="X4031" t="s">
        <v>8412</v>
      </c>
      <c r="Y4031" t="str">
        <f>VLOOKUP(C4031,'[1]DBS_KPY Sorumlular'!A:C,2,FALSE)</f>
        <v>Tayfun VİÇE</v>
      </c>
      <c r="Z4031" t="str">
        <f>VLOOKUP(C4031,'[1]DBS_KPY Sorumlular'!A:C,3,FALSE)</f>
        <v>Mehmet Ali YAVUZ</v>
      </c>
      <c r="AA4031" t="str">
        <f>VLOOKUP(K4031,[1]!Tablo3[#Data],2,FALSE)</f>
        <v>Kadir TOPÇU</v>
      </c>
    </row>
    <row r="4032" spans="1:27" x14ac:dyDescent="0.25">
      <c r="A4032">
        <v>5401</v>
      </c>
      <c r="B4032" t="s">
        <v>27</v>
      </c>
      <c r="C4032" t="s">
        <v>402</v>
      </c>
      <c r="D4032" t="s">
        <v>403</v>
      </c>
      <c r="G4032" t="s">
        <v>384</v>
      </c>
      <c r="H4032" t="s">
        <v>10958</v>
      </c>
      <c r="I4032" s="4">
        <v>45443.875</v>
      </c>
      <c r="K4032" t="s">
        <v>926</v>
      </c>
      <c r="L4032" s="5"/>
      <c r="M4032" s="5" t="s">
        <v>8423</v>
      </c>
      <c r="N4032" t="s">
        <v>82</v>
      </c>
      <c r="O4032" t="s">
        <v>10959</v>
      </c>
      <c r="R4032">
        <v>1</v>
      </c>
      <c r="T4032" s="5"/>
      <c r="W4032">
        <v>270</v>
      </c>
      <c r="X4032" t="s">
        <v>8412</v>
      </c>
      <c r="Y4032" t="str">
        <f>VLOOKUP(C4032,'[1]DBS_KPY Sorumlular'!A:C,2,FALSE)</f>
        <v>Tayfun VİÇE</v>
      </c>
      <c r="Z4032" t="str">
        <f>VLOOKUP(C4032,'[1]DBS_KPY Sorumlular'!A:C,3,FALSE)</f>
        <v>Mehmet Ali YAVUZ</v>
      </c>
      <c r="AA4032" t="str">
        <f>VLOOKUP(K4032,[1]!Tablo3[#Data],2,FALSE)</f>
        <v>Kadir TOPÇU</v>
      </c>
    </row>
    <row r="4033" spans="1:27" x14ac:dyDescent="0.25">
      <c r="A4033">
        <v>5402</v>
      </c>
      <c r="B4033" t="s">
        <v>27</v>
      </c>
      <c r="C4033" t="s">
        <v>402</v>
      </c>
      <c r="D4033" t="s">
        <v>403</v>
      </c>
      <c r="G4033" t="s">
        <v>384</v>
      </c>
      <c r="H4033" t="s">
        <v>10960</v>
      </c>
      <c r="I4033" s="4">
        <v>45443.875</v>
      </c>
      <c r="K4033" t="s">
        <v>926</v>
      </c>
      <c r="L4033" s="5"/>
      <c r="M4033" s="5" t="s">
        <v>8423</v>
      </c>
      <c r="N4033" t="s">
        <v>82</v>
      </c>
      <c r="O4033" t="s">
        <v>10961</v>
      </c>
      <c r="R4033">
        <v>1</v>
      </c>
      <c r="T4033" s="5"/>
      <c r="W4033">
        <v>270</v>
      </c>
      <c r="X4033" t="s">
        <v>8412</v>
      </c>
      <c r="Y4033" t="str">
        <f>VLOOKUP(C4033,'[1]DBS_KPY Sorumlular'!A:C,2,FALSE)</f>
        <v>Tayfun VİÇE</v>
      </c>
      <c r="Z4033" t="str">
        <f>VLOOKUP(C4033,'[1]DBS_KPY Sorumlular'!A:C,3,FALSE)</f>
        <v>Mehmet Ali YAVUZ</v>
      </c>
      <c r="AA4033" t="str">
        <f>VLOOKUP(K4033,[1]!Tablo3[#Data],2,FALSE)</f>
        <v>Kadir TOPÇU</v>
      </c>
    </row>
    <row r="4034" spans="1:27" x14ac:dyDescent="0.25">
      <c r="A4034">
        <v>5403</v>
      </c>
      <c r="B4034" t="s">
        <v>27</v>
      </c>
      <c r="C4034" t="s">
        <v>402</v>
      </c>
      <c r="D4034" t="s">
        <v>403</v>
      </c>
      <c r="G4034" t="s">
        <v>384</v>
      </c>
      <c r="H4034" t="s">
        <v>10962</v>
      </c>
      <c r="I4034" s="4">
        <v>45443.875</v>
      </c>
      <c r="K4034" t="s">
        <v>926</v>
      </c>
      <c r="L4034" s="5"/>
      <c r="M4034" s="5" t="s">
        <v>8423</v>
      </c>
      <c r="N4034" t="s">
        <v>82</v>
      </c>
      <c r="O4034" t="s">
        <v>10963</v>
      </c>
      <c r="R4034">
        <v>1</v>
      </c>
      <c r="T4034" s="5"/>
      <c r="W4034">
        <v>270</v>
      </c>
      <c r="X4034" t="s">
        <v>8412</v>
      </c>
      <c r="Y4034" t="str">
        <f>VLOOKUP(C4034,'[1]DBS_KPY Sorumlular'!A:C,2,FALSE)</f>
        <v>Tayfun VİÇE</v>
      </c>
      <c r="Z4034" t="str">
        <f>VLOOKUP(C4034,'[1]DBS_KPY Sorumlular'!A:C,3,FALSE)</f>
        <v>Mehmet Ali YAVUZ</v>
      </c>
      <c r="AA4034" t="str">
        <f>VLOOKUP(K4034,[1]!Tablo3[#Data],2,FALSE)</f>
        <v>Kadir TOPÇU</v>
      </c>
    </row>
    <row r="4035" spans="1:27" x14ac:dyDescent="0.25">
      <c r="A4035">
        <v>5404</v>
      </c>
      <c r="B4035" t="s">
        <v>27</v>
      </c>
      <c r="C4035" t="s">
        <v>402</v>
      </c>
      <c r="D4035" t="s">
        <v>403</v>
      </c>
      <c r="G4035" t="s">
        <v>384</v>
      </c>
      <c r="H4035" t="s">
        <v>10964</v>
      </c>
      <c r="I4035" s="4">
        <v>45443.875</v>
      </c>
      <c r="K4035" t="s">
        <v>926</v>
      </c>
      <c r="L4035" s="5"/>
      <c r="M4035" s="5" t="s">
        <v>8423</v>
      </c>
      <c r="N4035" t="s">
        <v>82</v>
      </c>
      <c r="O4035" t="s">
        <v>10965</v>
      </c>
      <c r="R4035">
        <v>1</v>
      </c>
      <c r="T4035" s="5"/>
      <c r="W4035">
        <v>270</v>
      </c>
      <c r="X4035" t="s">
        <v>8412</v>
      </c>
      <c r="Y4035" t="str">
        <f>VLOOKUP(C4035,'[1]DBS_KPY Sorumlular'!A:C,2,FALSE)</f>
        <v>Tayfun VİÇE</v>
      </c>
      <c r="Z4035" t="str">
        <f>VLOOKUP(C4035,'[1]DBS_KPY Sorumlular'!A:C,3,FALSE)</f>
        <v>Mehmet Ali YAVUZ</v>
      </c>
      <c r="AA4035" t="str">
        <f>VLOOKUP(K4035,[1]!Tablo3[#Data],2,FALSE)</f>
        <v>Kadir TOPÇU</v>
      </c>
    </row>
    <row r="4036" spans="1:27" x14ac:dyDescent="0.25">
      <c r="A4036">
        <v>5405</v>
      </c>
      <c r="B4036" t="s">
        <v>27</v>
      </c>
      <c r="C4036" t="s">
        <v>402</v>
      </c>
      <c r="D4036" t="s">
        <v>403</v>
      </c>
      <c r="G4036" t="s">
        <v>384</v>
      </c>
      <c r="H4036" t="s">
        <v>10966</v>
      </c>
      <c r="I4036" s="4">
        <v>45443.875</v>
      </c>
      <c r="K4036" t="s">
        <v>926</v>
      </c>
      <c r="L4036" s="5"/>
      <c r="M4036" s="5" t="s">
        <v>8423</v>
      </c>
      <c r="N4036" t="s">
        <v>82</v>
      </c>
      <c r="O4036" t="s">
        <v>10967</v>
      </c>
      <c r="R4036">
        <v>1</v>
      </c>
      <c r="T4036" s="5"/>
      <c r="W4036">
        <v>270</v>
      </c>
      <c r="X4036" t="s">
        <v>8412</v>
      </c>
      <c r="Y4036" t="str">
        <f>VLOOKUP(C4036,'[1]DBS_KPY Sorumlular'!A:C,2,FALSE)</f>
        <v>Tayfun VİÇE</v>
      </c>
      <c r="Z4036" t="str">
        <f>VLOOKUP(C4036,'[1]DBS_KPY Sorumlular'!A:C,3,FALSE)</f>
        <v>Mehmet Ali YAVUZ</v>
      </c>
      <c r="AA4036" t="str">
        <f>VLOOKUP(K4036,[1]!Tablo3[#Data],2,FALSE)</f>
        <v>Kadir TOPÇU</v>
      </c>
    </row>
    <row r="4037" spans="1:27" x14ac:dyDescent="0.25">
      <c r="A4037">
        <v>5406</v>
      </c>
      <c r="B4037" t="s">
        <v>27</v>
      </c>
      <c r="C4037" t="s">
        <v>402</v>
      </c>
      <c r="D4037" t="s">
        <v>403</v>
      </c>
      <c r="G4037" t="s">
        <v>384</v>
      </c>
      <c r="H4037" t="s">
        <v>10968</v>
      </c>
      <c r="I4037" s="4">
        <v>45443.875</v>
      </c>
      <c r="K4037" t="s">
        <v>926</v>
      </c>
      <c r="L4037" s="5"/>
      <c r="M4037" s="5" t="s">
        <v>8423</v>
      </c>
      <c r="N4037" t="s">
        <v>82</v>
      </c>
      <c r="O4037" t="s">
        <v>10969</v>
      </c>
      <c r="R4037">
        <v>1</v>
      </c>
      <c r="T4037" s="5"/>
      <c r="W4037">
        <v>270</v>
      </c>
      <c r="X4037" t="s">
        <v>8412</v>
      </c>
      <c r="Y4037" t="str">
        <f>VLOOKUP(C4037,'[1]DBS_KPY Sorumlular'!A:C,2,FALSE)</f>
        <v>Tayfun VİÇE</v>
      </c>
      <c r="Z4037" t="str">
        <f>VLOOKUP(C4037,'[1]DBS_KPY Sorumlular'!A:C,3,FALSE)</f>
        <v>Mehmet Ali YAVUZ</v>
      </c>
      <c r="AA4037" t="str">
        <f>VLOOKUP(K4037,[1]!Tablo3[#Data],2,FALSE)</f>
        <v>Kadir TOPÇU</v>
      </c>
    </row>
    <row r="4038" spans="1:27" x14ac:dyDescent="0.25">
      <c r="A4038">
        <v>5407</v>
      </c>
      <c r="B4038" t="s">
        <v>27</v>
      </c>
      <c r="C4038" t="s">
        <v>402</v>
      </c>
      <c r="D4038" t="s">
        <v>403</v>
      </c>
      <c r="G4038" t="s">
        <v>384</v>
      </c>
      <c r="H4038" t="s">
        <v>10970</v>
      </c>
      <c r="I4038" s="4">
        <v>45443.875</v>
      </c>
      <c r="K4038" t="s">
        <v>926</v>
      </c>
      <c r="L4038" s="5"/>
      <c r="M4038" s="5" t="s">
        <v>8423</v>
      </c>
      <c r="N4038" t="s">
        <v>82</v>
      </c>
      <c r="O4038" t="s">
        <v>10971</v>
      </c>
      <c r="R4038">
        <v>1</v>
      </c>
      <c r="T4038" s="5"/>
      <c r="W4038">
        <v>270</v>
      </c>
      <c r="X4038" t="s">
        <v>8412</v>
      </c>
      <c r="Y4038" t="str">
        <f>VLOOKUP(C4038,'[1]DBS_KPY Sorumlular'!A:C,2,FALSE)</f>
        <v>Tayfun VİÇE</v>
      </c>
      <c r="Z4038" t="str">
        <f>VLOOKUP(C4038,'[1]DBS_KPY Sorumlular'!A:C,3,FALSE)</f>
        <v>Mehmet Ali YAVUZ</v>
      </c>
      <c r="AA4038" t="str">
        <f>VLOOKUP(K4038,[1]!Tablo3[#Data],2,FALSE)</f>
        <v>Kadir TOPÇU</v>
      </c>
    </row>
    <row r="4039" spans="1:27" x14ac:dyDescent="0.25">
      <c r="A4039">
        <v>5410</v>
      </c>
      <c r="B4039" t="s">
        <v>27</v>
      </c>
      <c r="C4039" t="s">
        <v>402</v>
      </c>
      <c r="D4039" t="s">
        <v>403</v>
      </c>
      <c r="G4039" t="s">
        <v>384</v>
      </c>
      <c r="H4039" t="s">
        <v>10972</v>
      </c>
      <c r="I4039" s="4">
        <v>45443.875</v>
      </c>
      <c r="K4039" t="s">
        <v>926</v>
      </c>
      <c r="L4039" s="5"/>
      <c r="M4039" s="5" t="s">
        <v>8423</v>
      </c>
      <c r="N4039" t="s">
        <v>82</v>
      </c>
      <c r="O4039" t="s">
        <v>10973</v>
      </c>
      <c r="R4039">
        <v>1</v>
      </c>
      <c r="T4039" s="5"/>
      <c r="W4039">
        <v>270</v>
      </c>
      <c r="X4039" t="s">
        <v>8412</v>
      </c>
      <c r="Y4039" t="str">
        <f>VLOOKUP(C4039,'[1]DBS_KPY Sorumlular'!A:C,2,FALSE)</f>
        <v>Tayfun VİÇE</v>
      </c>
      <c r="Z4039" t="str">
        <f>VLOOKUP(C4039,'[1]DBS_KPY Sorumlular'!A:C,3,FALSE)</f>
        <v>Mehmet Ali YAVUZ</v>
      </c>
      <c r="AA4039" t="str">
        <f>VLOOKUP(K4039,[1]!Tablo3[#Data],2,FALSE)</f>
        <v>Kadir TOPÇU</v>
      </c>
    </row>
    <row r="4040" spans="1:27" x14ac:dyDescent="0.25">
      <c r="A4040">
        <v>5411</v>
      </c>
      <c r="B4040" t="s">
        <v>27</v>
      </c>
      <c r="C4040" t="s">
        <v>402</v>
      </c>
      <c r="D4040" t="s">
        <v>403</v>
      </c>
      <c r="G4040" t="s">
        <v>384</v>
      </c>
      <c r="H4040" t="s">
        <v>10974</v>
      </c>
      <c r="I4040" s="4">
        <v>45443.875</v>
      </c>
      <c r="K4040" t="s">
        <v>926</v>
      </c>
      <c r="L4040" s="5"/>
      <c r="M4040" s="5" t="s">
        <v>8423</v>
      </c>
      <c r="N4040" t="s">
        <v>82</v>
      </c>
      <c r="O4040" t="s">
        <v>10975</v>
      </c>
      <c r="R4040">
        <v>1</v>
      </c>
      <c r="T4040" s="5"/>
      <c r="W4040">
        <v>270</v>
      </c>
      <c r="X4040" t="s">
        <v>8412</v>
      </c>
      <c r="Y4040" t="str">
        <f>VLOOKUP(C4040,'[1]DBS_KPY Sorumlular'!A:C,2,FALSE)</f>
        <v>Tayfun VİÇE</v>
      </c>
      <c r="Z4040" t="str">
        <f>VLOOKUP(C4040,'[1]DBS_KPY Sorumlular'!A:C,3,FALSE)</f>
        <v>Mehmet Ali YAVUZ</v>
      </c>
      <c r="AA4040" t="str">
        <f>VLOOKUP(K4040,[1]!Tablo3[#Data],2,FALSE)</f>
        <v>Kadir TOPÇU</v>
      </c>
    </row>
    <row r="4041" spans="1:27" x14ac:dyDescent="0.25">
      <c r="A4041">
        <v>5412</v>
      </c>
      <c r="B4041" t="s">
        <v>27</v>
      </c>
      <c r="C4041" t="s">
        <v>402</v>
      </c>
      <c r="D4041" t="s">
        <v>403</v>
      </c>
      <c r="G4041" t="s">
        <v>384</v>
      </c>
      <c r="H4041" t="s">
        <v>10976</v>
      </c>
      <c r="I4041" s="4">
        <v>45443.875</v>
      </c>
      <c r="K4041" t="s">
        <v>926</v>
      </c>
      <c r="L4041" s="5"/>
      <c r="M4041" s="5" t="s">
        <v>8423</v>
      </c>
      <c r="N4041" t="s">
        <v>82</v>
      </c>
      <c r="O4041" t="s">
        <v>10977</v>
      </c>
      <c r="R4041">
        <v>1</v>
      </c>
      <c r="T4041" s="5"/>
      <c r="W4041">
        <v>270</v>
      </c>
      <c r="X4041" t="s">
        <v>8412</v>
      </c>
      <c r="Y4041" t="str">
        <f>VLOOKUP(C4041,'[1]DBS_KPY Sorumlular'!A:C,2,FALSE)</f>
        <v>Tayfun VİÇE</v>
      </c>
      <c r="Z4041" t="str">
        <f>VLOOKUP(C4041,'[1]DBS_KPY Sorumlular'!A:C,3,FALSE)</f>
        <v>Mehmet Ali YAVUZ</v>
      </c>
      <c r="AA4041" t="str">
        <f>VLOOKUP(K4041,[1]!Tablo3[#Data],2,FALSE)</f>
        <v>Kadir TOPÇU</v>
      </c>
    </row>
    <row r="4042" spans="1:27" x14ac:dyDescent="0.25">
      <c r="A4042">
        <v>5414</v>
      </c>
      <c r="B4042" t="s">
        <v>27</v>
      </c>
      <c r="C4042" t="s">
        <v>402</v>
      </c>
      <c r="D4042" t="s">
        <v>403</v>
      </c>
      <c r="G4042" t="s">
        <v>384</v>
      </c>
      <c r="H4042" t="s">
        <v>10978</v>
      </c>
      <c r="I4042" s="4">
        <v>45443.875</v>
      </c>
      <c r="K4042" t="s">
        <v>926</v>
      </c>
      <c r="L4042" s="5"/>
      <c r="M4042" s="5" t="s">
        <v>8423</v>
      </c>
      <c r="N4042" t="s">
        <v>82</v>
      </c>
      <c r="O4042" t="s">
        <v>10979</v>
      </c>
      <c r="R4042">
        <v>1</v>
      </c>
      <c r="T4042" s="5"/>
      <c r="W4042">
        <v>270</v>
      </c>
      <c r="X4042" t="s">
        <v>8412</v>
      </c>
      <c r="Y4042" t="str">
        <f>VLOOKUP(C4042,'[1]DBS_KPY Sorumlular'!A:C,2,FALSE)</f>
        <v>Tayfun VİÇE</v>
      </c>
      <c r="Z4042" t="str">
        <f>VLOOKUP(C4042,'[1]DBS_KPY Sorumlular'!A:C,3,FALSE)</f>
        <v>Mehmet Ali YAVUZ</v>
      </c>
      <c r="AA4042" t="str">
        <f>VLOOKUP(K4042,[1]!Tablo3[#Data],2,FALSE)</f>
        <v>Kadir TOPÇU</v>
      </c>
    </row>
    <row r="4043" spans="1:27" x14ac:dyDescent="0.25">
      <c r="A4043">
        <v>5416</v>
      </c>
      <c r="B4043" t="s">
        <v>27</v>
      </c>
      <c r="C4043" t="s">
        <v>402</v>
      </c>
      <c r="D4043" t="s">
        <v>403</v>
      </c>
      <c r="G4043" t="s">
        <v>384</v>
      </c>
      <c r="H4043" t="s">
        <v>10980</v>
      </c>
      <c r="I4043" s="4">
        <v>45443.875</v>
      </c>
      <c r="K4043" t="s">
        <v>926</v>
      </c>
      <c r="L4043" s="5"/>
      <c r="M4043" s="5" t="s">
        <v>8423</v>
      </c>
      <c r="N4043" t="s">
        <v>82</v>
      </c>
      <c r="O4043" t="s">
        <v>10981</v>
      </c>
      <c r="R4043">
        <v>1</v>
      </c>
      <c r="T4043" s="5"/>
      <c r="W4043">
        <v>270</v>
      </c>
      <c r="X4043" t="s">
        <v>8412</v>
      </c>
      <c r="Y4043" t="str">
        <f>VLOOKUP(C4043,'[1]DBS_KPY Sorumlular'!A:C,2,FALSE)</f>
        <v>Tayfun VİÇE</v>
      </c>
      <c r="Z4043" t="str">
        <f>VLOOKUP(C4043,'[1]DBS_KPY Sorumlular'!A:C,3,FALSE)</f>
        <v>Mehmet Ali YAVUZ</v>
      </c>
      <c r="AA4043" t="str">
        <f>VLOOKUP(K4043,[1]!Tablo3[#Data],2,FALSE)</f>
        <v>Kadir TOPÇU</v>
      </c>
    </row>
    <row r="4044" spans="1:27" x14ac:dyDescent="0.25">
      <c r="A4044">
        <v>5417</v>
      </c>
      <c r="B4044" t="s">
        <v>27</v>
      </c>
      <c r="C4044" t="s">
        <v>402</v>
      </c>
      <c r="D4044" t="s">
        <v>403</v>
      </c>
      <c r="G4044" t="s">
        <v>384</v>
      </c>
      <c r="H4044" t="s">
        <v>10982</v>
      </c>
      <c r="I4044" s="4">
        <v>45443.875</v>
      </c>
      <c r="K4044" t="s">
        <v>926</v>
      </c>
      <c r="L4044" s="5"/>
      <c r="M4044" s="5" t="s">
        <v>8423</v>
      </c>
      <c r="N4044" t="s">
        <v>82</v>
      </c>
      <c r="O4044" t="s">
        <v>10983</v>
      </c>
      <c r="R4044">
        <v>1</v>
      </c>
      <c r="T4044" s="5"/>
      <c r="W4044">
        <v>270</v>
      </c>
      <c r="X4044" t="s">
        <v>8412</v>
      </c>
      <c r="Y4044" t="str">
        <f>VLOOKUP(C4044,'[1]DBS_KPY Sorumlular'!A:C,2,FALSE)</f>
        <v>Tayfun VİÇE</v>
      </c>
      <c r="Z4044" t="str">
        <f>VLOOKUP(C4044,'[1]DBS_KPY Sorumlular'!A:C,3,FALSE)</f>
        <v>Mehmet Ali YAVUZ</v>
      </c>
      <c r="AA4044" t="str">
        <f>VLOOKUP(K4044,[1]!Tablo3[#Data],2,FALSE)</f>
        <v>Kadir TOPÇU</v>
      </c>
    </row>
    <row r="4045" spans="1:27" x14ac:dyDescent="0.25">
      <c r="A4045">
        <v>5418</v>
      </c>
      <c r="B4045" t="s">
        <v>27</v>
      </c>
      <c r="C4045" t="s">
        <v>402</v>
      </c>
      <c r="D4045" t="s">
        <v>403</v>
      </c>
      <c r="G4045" t="s">
        <v>384</v>
      </c>
      <c r="H4045" t="s">
        <v>10984</v>
      </c>
      <c r="I4045" s="4">
        <v>45443.875</v>
      </c>
      <c r="K4045" t="s">
        <v>926</v>
      </c>
      <c r="L4045" s="5"/>
      <c r="M4045" s="5" t="s">
        <v>8423</v>
      </c>
      <c r="N4045" t="s">
        <v>82</v>
      </c>
      <c r="O4045" t="s">
        <v>10985</v>
      </c>
      <c r="R4045">
        <v>1</v>
      </c>
      <c r="T4045" s="5"/>
      <c r="W4045">
        <v>270</v>
      </c>
      <c r="X4045" t="s">
        <v>8412</v>
      </c>
      <c r="Y4045" t="str">
        <f>VLOOKUP(C4045,'[1]DBS_KPY Sorumlular'!A:C,2,FALSE)</f>
        <v>Tayfun VİÇE</v>
      </c>
      <c r="Z4045" t="str">
        <f>VLOOKUP(C4045,'[1]DBS_KPY Sorumlular'!A:C,3,FALSE)</f>
        <v>Mehmet Ali YAVUZ</v>
      </c>
      <c r="AA4045" t="str">
        <f>VLOOKUP(K4045,[1]!Tablo3[#Data],2,FALSE)</f>
        <v>Kadir TOPÇU</v>
      </c>
    </row>
    <row r="4046" spans="1:27" x14ac:dyDescent="0.25">
      <c r="A4046">
        <v>5420</v>
      </c>
      <c r="B4046" t="s">
        <v>27</v>
      </c>
      <c r="C4046" t="s">
        <v>402</v>
      </c>
      <c r="D4046" t="s">
        <v>403</v>
      </c>
      <c r="G4046" t="s">
        <v>384</v>
      </c>
      <c r="H4046" t="s">
        <v>10986</v>
      </c>
      <c r="I4046" s="4">
        <v>45443.875</v>
      </c>
      <c r="K4046" t="s">
        <v>926</v>
      </c>
      <c r="L4046" s="5"/>
      <c r="M4046" s="5" t="s">
        <v>8423</v>
      </c>
      <c r="N4046" t="s">
        <v>82</v>
      </c>
      <c r="O4046" t="s">
        <v>10987</v>
      </c>
      <c r="R4046">
        <v>1</v>
      </c>
      <c r="T4046" s="5"/>
      <c r="W4046">
        <v>270</v>
      </c>
      <c r="X4046" t="s">
        <v>8412</v>
      </c>
      <c r="Y4046" t="str">
        <f>VLOOKUP(C4046,'[1]DBS_KPY Sorumlular'!A:C,2,FALSE)</f>
        <v>Tayfun VİÇE</v>
      </c>
      <c r="Z4046" t="str">
        <f>VLOOKUP(C4046,'[1]DBS_KPY Sorumlular'!A:C,3,FALSE)</f>
        <v>Mehmet Ali YAVUZ</v>
      </c>
      <c r="AA4046" t="str">
        <f>VLOOKUP(K4046,[1]!Tablo3[#Data],2,FALSE)</f>
        <v>Kadir TOPÇU</v>
      </c>
    </row>
    <row r="4047" spans="1:27" x14ac:dyDescent="0.25">
      <c r="A4047">
        <v>5422</v>
      </c>
      <c r="B4047" t="s">
        <v>27</v>
      </c>
      <c r="C4047" t="s">
        <v>402</v>
      </c>
      <c r="D4047" t="s">
        <v>403</v>
      </c>
      <c r="G4047" t="s">
        <v>384</v>
      </c>
      <c r="H4047" t="s">
        <v>10988</v>
      </c>
      <c r="I4047" s="4">
        <v>45443.875</v>
      </c>
      <c r="K4047" t="s">
        <v>926</v>
      </c>
      <c r="L4047" s="5"/>
      <c r="M4047" s="5" t="s">
        <v>8423</v>
      </c>
      <c r="N4047" t="s">
        <v>82</v>
      </c>
      <c r="O4047" t="s">
        <v>10989</v>
      </c>
      <c r="R4047">
        <v>1</v>
      </c>
      <c r="T4047" s="5"/>
      <c r="W4047">
        <v>270</v>
      </c>
      <c r="X4047" t="s">
        <v>8412</v>
      </c>
      <c r="Y4047" t="str">
        <f>VLOOKUP(C4047,'[1]DBS_KPY Sorumlular'!A:C,2,FALSE)</f>
        <v>Tayfun VİÇE</v>
      </c>
      <c r="Z4047" t="str">
        <f>VLOOKUP(C4047,'[1]DBS_KPY Sorumlular'!A:C,3,FALSE)</f>
        <v>Mehmet Ali YAVUZ</v>
      </c>
      <c r="AA4047" t="str">
        <f>VLOOKUP(K4047,[1]!Tablo3[#Data],2,FALSE)</f>
        <v>Kadir TOPÇU</v>
      </c>
    </row>
    <row r="4048" spans="1:27" x14ac:dyDescent="0.25">
      <c r="A4048">
        <v>5423</v>
      </c>
      <c r="B4048" t="s">
        <v>27</v>
      </c>
      <c r="C4048" t="s">
        <v>402</v>
      </c>
      <c r="D4048" t="s">
        <v>403</v>
      </c>
      <c r="G4048" t="s">
        <v>384</v>
      </c>
      <c r="H4048" t="s">
        <v>10990</v>
      </c>
      <c r="I4048" s="4">
        <v>45443.875</v>
      </c>
      <c r="K4048" t="s">
        <v>926</v>
      </c>
      <c r="L4048" s="5"/>
      <c r="M4048" s="5" t="s">
        <v>8423</v>
      </c>
      <c r="N4048" t="s">
        <v>82</v>
      </c>
      <c r="O4048" t="s">
        <v>10991</v>
      </c>
      <c r="R4048">
        <v>1</v>
      </c>
      <c r="T4048" s="5"/>
      <c r="W4048">
        <v>270</v>
      </c>
      <c r="X4048" t="s">
        <v>8412</v>
      </c>
      <c r="Y4048" t="str">
        <f>VLOOKUP(C4048,'[1]DBS_KPY Sorumlular'!A:C,2,FALSE)</f>
        <v>Tayfun VİÇE</v>
      </c>
      <c r="Z4048" t="str">
        <f>VLOOKUP(C4048,'[1]DBS_KPY Sorumlular'!A:C,3,FALSE)</f>
        <v>Mehmet Ali YAVUZ</v>
      </c>
      <c r="AA4048" t="str">
        <f>VLOOKUP(K4048,[1]!Tablo3[#Data],2,FALSE)</f>
        <v>Kadir TOPÇU</v>
      </c>
    </row>
    <row r="4049" spans="1:27" x14ac:dyDescent="0.25">
      <c r="A4049">
        <v>5424</v>
      </c>
      <c r="B4049" t="s">
        <v>27</v>
      </c>
      <c r="C4049" t="s">
        <v>402</v>
      </c>
      <c r="D4049" t="s">
        <v>403</v>
      </c>
      <c r="G4049" t="s">
        <v>384</v>
      </c>
      <c r="H4049" t="s">
        <v>10992</v>
      </c>
      <c r="I4049" s="4">
        <v>45443.875</v>
      </c>
      <c r="K4049" t="s">
        <v>1334</v>
      </c>
      <c r="L4049" s="5"/>
      <c r="M4049" s="5" t="s">
        <v>8423</v>
      </c>
      <c r="N4049" t="s">
        <v>82</v>
      </c>
      <c r="O4049" t="s">
        <v>10993</v>
      </c>
      <c r="R4049">
        <v>1</v>
      </c>
      <c r="T4049" s="5"/>
      <c r="W4049">
        <v>270</v>
      </c>
      <c r="X4049" t="s">
        <v>8412</v>
      </c>
      <c r="Y4049" t="str">
        <f>VLOOKUP(C4049,'[1]DBS_KPY Sorumlular'!A:C,2,FALSE)</f>
        <v>Tayfun VİÇE</v>
      </c>
      <c r="Z4049" t="str">
        <f>VLOOKUP(C4049,'[1]DBS_KPY Sorumlular'!A:C,3,FALSE)</f>
        <v>Mehmet Ali YAVUZ</v>
      </c>
      <c r="AA4049" t="str">
        <f>VLOOKUP(K4049,[1]!Tablo3[#Data],2,FALSE)</f>
        <v>Erkan AKDOĞAN</v>
      </c>
    </row>
    <row r="4050" spans="1:27" x14ac:dyDescent="0.25">
      <c r="A4050">
        <v>5425</v>
      </c>
      <c r="B4050" t="s">
        <v>27</v>
      </c>
      <c r="C4050" t="s">
        <v>402</v>
      </c>
      <c r="D4050" t="s">
        <v>403</v>
      </c>
      <c r="G4050" t="s">
        <v>384</v>
      </c>
      <c r="H4050" t="s">
        <v>10994</v>
      </c>
      <c r="I4050" s="4">
        <v>45443.875</v>
      </c>
      <c r="K4050" t="s">
        <v>1334</v>
      </c>
      <c r="L4050" s="5"/>
      <c r="M4050" s="5" t="s">
        <v>8423</v>
      </c>
      <c r="N4050" t="s">
        <v>82</v>
      </c>
      <c r="O4050" t="s">
        <v>10995</v>
      </c>
      <c r="R4050">
        <v>1</v>
      </c>
      <c r="T4050" s="5"/>
      <c r="W4050">
        <v>270</v>
      </c>
      <c r="X4050" t="s">
        <v>8412</v>
      </c>
      <c r="Y4050" t="str">
        <f>VLOOKUP(C4050,'[1]DBS_KPY Sorumlular'!A:C,2,FALSE)</f>
        <v>Tayfun VİÇE</v>
      </c>
      <c r="Z4050" t="str">
        <f>VLOOKUP(C4050,'[1]DBS_KPY Sorumlular'!A:C,3,FALSE)</f>
        <v>Mehmet Ali YAVUZ</v>
      </c>
      <c r="AA4050" t="str">
        <f>VLOOKUP(K4050,[1]!Tablo3[#Data],2,FALSE)</f>
        <v>Erkan AKDOĞAN</v>
      </c>
    </row>
    <row r="4051" spans="1:27" x14ac:dyDescent="0.25">
      <c r="A4051">
        <v>5426</v>
      </c>
      <c r="B4051" t="s">
        <v>27</v>
      </c>
      <c r="C4051" t="s">
        <v>402</v>
      </c>
      <c r="D4051" t="s">
        <v>403</v>
      </c>
      <c r="G4051" t="s">
        <v>384</v>
      </c>
      <c r="H4051" t="s">
        <v>10996</v>
      </c>
      <c r="I4051" s="4">
        <v>45443.875</v>
      </c>
      <c r="K4051" t="s">
        <v>1334</v>
      </c>
      <c r="L4051" s="5"/>
      <c r="M4051" s="5" t="s">
        <v>8423</v>
      </c>
      <c r="N4051" t="s">
        <v>82</v>
      </c>
      <c r="O4051" t="s">
        <v>10997</v>
      </c>
      <c r="R4051">
        <v>1</v>
      </c>
      <c r="T4051" s="5"/>
      <c r="W4051">
        <v>270</v>
      </c>
      <c r="X4051" t="s">
        <v>8412</v>
      </c>
      <c r="Y4051" t="str">
        <f>VLOOKUP(C4051,'[1]DBS_KPY Sorumlular'!A:C,2,FALSE)</f>
        <v>Tayfun VİÇE</v>
      </c>
      <c r="Z4051" t="str">
        <f>VLOOKUP(C4051,'[1]DBS_KPY Sorumlular'!A:C,3,FALSE)</f>
        <v>Mehmet Ali YAVUZ</v>
      </c>
      <c r="AA4051" t="str">
        <f>VLOOKUP(K4051,[1]!Tablo3[#Data],2,FALSE)</f>
        <v>Erkan AKDOĞAN</v>
      </c>
    </row>
    <row r="4052" spans="1:27" x14ac:dyDescent="0.25">
      <c r="A4052">
        <v>5427</v>
      </c>
      <c r="B4052" t="s">
        <v>27</v>
      </c>
      <c r="C4052" t="s">
        <v>402</v>
      </c>
      <c r="D4052" t="s">
        <v>403</v>
      </c>
      <c r="G4052" t="s">
        <v>384</v>
      </c>
      <c r="H4052" t="s">
        <v>10998</v>
      </c>
      <c r="I4052" s="4">
        <v>45443.875</v>
      </c>
      <c r="K4052" t="s">
        <v>1334</v>
      </c>
      <c r="L4052" s="5"/>
      <c r="M4052" s="5" t="s">
        <v>8423</v>
      </c>
      <c r="N4052" t="s">
        <v>82</v>
      </c>
      <c r="O4052" t="s">
        <v>10999</v>
      </c>
      <c r="R4052">
        <v>1</v>
      </c>
      <c r="T4052" s="5"/>
      <c r="W4052">
        <v>270</v>
      </c>
      <c r="X4052" t="s">
        <v>8412</v>
      </c>
      <c r="Y4052" t="str">
        <f>VLOOKUP(C4052,'[1]DBS_KPY Sorumlular'!A:C,2,FALSE)</f>
        <v>Tayfun VİÇE</v>
      </c>
      <c r="Z4052" t="str">
        <f>VLOOKUP(C4052,'[1]DBS_KPY Sorumlular'!A:C,3,FALSE)</f>
        <v>Mehmet Ali YAVUZ</v>
      </c>
      <c r="AA4052" t="str">
        <f>VLOOKUP(K4052,[1]!Tablo3[#Data],2,FALSE)</f>
        <v>Erkan AKDOĞAN</v>
      </c>
    </row>
    <row r="4053" spans="1:27" x14ac:dyDescent="0.25">
      <c r="A4053">
        <v>5428</v>
      </c>
      <c r="B4053" t="s">
        <v>27</v>
      </c>
      <c r="C4053" t="s">
        <v>402</v>
      </c>
      <c r="D4053" t="s">
        <v>403</v>
      </c>
      <c r="G4053" t="s">
        <v>384</v>
      </c>
      <c r="H4053" t="s">
        <v>11000</v>
      </c>
      <c r="I4053" s="4">
        <v>45443.875</v>
      </c>
      <c r="K4053" t="s">
        <v>1334</v>
      </c>
      <c r="L4053" s="5"/>
      <c r="M4053" s="5" t="s">
        <v>8423</v>
      </c>
      <c r="N4053" t="s">
        <v>82</v>
      </c>
      <c r="O4053" t="s">
        <v>11001</v>
      </c>
      <c r="R4053">
        <v>1</v>
      </c>
      <c r="T4053" s="5"/>
      <c r="W4053">
        <v>270</v>
      </c>
      <c r="X4053" t="s">
        <v>8412</v>
      </c>
      <c r="Y4053" t="str">
        <f>VLOOKUP(C4053,'[1]DBS_KPY Sorumlular'!A:C,2,FALSE)</f>
        <v>Tayfun VİÇE</v>
      </c>
      <c r="Z4053" t="str">
        <f>VLOOKUP(C4053,'[1]DBS_KPY Sorumlular'!A:C,3,FALSE)</f>
        <v>Mehmet Ali YAVUZ</v>
      </c>
      <c r="AA4053" t="str">
        <f>VLOOKUP(K4053,[1]!Tablo3[#Data],2,FALSE)</f>
        <v>Erkan AKDOĞAN</v>
      </c>
    </row>
    <row r="4054" spans="1:27" x14ac:dyDescent="0.25">
      <c r="A4054">
        <v>5429</v>
      </c>
      <c r="B4054" t="s">
        <v>27</v>
      </c>
      <c r="C4054" t="s">
        <v>402</v>
      </c>
      <c r="D4054" t="s">
        <v>403</v>
      </c>
      <c r="G4054" t="s">
        <v>384</v>
      </c>
      <c r="H4054" t="s">
        <v>11002</v>
      </c>
      <c r="I4054" s="4">
        <v>45443.875</v>
      </c>
      <c r="K4054" t="s">
        <v>1334</v>
      </c>
      <c r="L4054" s="5"/>
      <c r="M4054" s="5" t="s">
        <v>8423</v>
      </c>
      <c r="N4054" t="s">
        <v>82</v>
      </c>
      <c r="O4054" t="s">
        <v>11003</v>
      </c>
      <c r="R4054">
        <v>1</v>
      </c>
      <c r="T4054" s="5"/>
      <c r="W4054">
        <v>270</v>
      </c>
      <c r="X4054" t="s">
        <v>8412</v>
      </c>
      <c r="Y4054" t="str">
        <f>VLOOKUP(C4054,'[1]DBS_KPY Sorumlular'!A:C,2,FALSE)</f>
        <v>Tayfun VİÇE</v>
      </c>
      <c r="Z4054" t="str">
        <f>VLOOKUP(C4054,'[1]DBS_KPY Sorumlular'!A:C,3,FALSE)</f>
        <v>Mehmet Ali YAVUZ</v>
      </c>
      <c r="AA4054" t="str">
        <f>VLOOKUP(K4054,[1]!Tablo3[#Data],2,FALSE)</f>
        <v>Erkan AKDOĞAN</v>
      </c>
    </row>
    <row r="4055" spans="1:27" x14ac:dyDescent="0.25">
      <c r="A4055">
        <v>5430</v>
      </c>
      <c r="B4055" t="s">
        <v>27</v>
      </c>
      <c r="C4055" t="s">
        <v>402</v>
      </c>
      <c r="D4055" t="s">
        <v>403</v>
      </c>
      <c r="G4055" t="s">
        <v>384</v>
      </c>
      <c r="H4055" t="s">
        <v>11004</v>
      </c>
      <c r="I4055" s="4">
        <v>45443.875</v>
      </c>
      <c r="K4055" t="s">
        <v>423</v>
      </c>
      <c r="L4055" s="5"/>
      <c r="M4055" s="5" t="s">
        <v>8423</v>
      </c>
      <c r="N4055" t="s">
        <v>82</v>
      </c>
      <c r="O4055" t="s">
        <v>11005</v>
      </c>
      <c r="R4055">
        <v>1</v>
      </c>
      <c r="T4055" s="5"/>
      <c r="W4055">
        <v>270</v>
      </c>
      <c r="X4055" t="s">
        <v>8412</v>
      </c>
      <c r="Y4055" t="str">
        <f>VLOOKUP(C4055,'[1]DBS_KPY Sorumlular'!A:C,2,FALSE)</f>
        <v>Tayfun VİÇE</v>
      </c>
      <c r="Z4055" t="str">
        <f>VLOOKUP(C4055,'[1]DBS_KPY Sorumlular'!A:C,3,FALSE)</f>
        <v>Mehmet Ali YAVUZ</v>
      </c>
      <c r="AA4055" t="str">
        <f>VLOOKUP(K4055,[1]!Tablo3[#Data],2,FALSE)</f>
        <v>Kadir TOPÇU</v>
      </c>
    </row>
    <row r="4056" spans="1:27" x14ac:dyDescent="0.25">
      <c r="A4056">
        <v>5431</v>
      </c>
      <c r="B4056" t="s">
        <v>27</v>
      </c>
      <c r="C4056" t="s">
        <v>402</v>
      </c>
      <c r="D4056" t="s">
        <v>403</v>
      </c>
      <c r="G4056" t="s">
        <v>384</v>
      </c>
      <c r="H4056" t="s">
        <v>11006</v>
      </c>
      <c r="I4056" s="4">
        <v>45443.875</v>
      </c>
      <c r="K4056" t="s">
        <v>364</v>
      </c>
      <c r="L4056" s="5"/>
      <c r="M4056" s="5" t="s">
        <v>8423</v>
      </c>
      <c r="N4056" t="s">
        <v>82</v>
      </c>
      <c r="O4056" t="s">
        <v>11007</v>
      </c>
      <c r="R4056">
        <v>1</v>
      </c>
      <c r="T4056" s="5"/>
      <c r="W4056">
        <v>270</v>
      </c>
      <c r="X4056" t="s">
        <v>8412</v>
      </c>
      <c r="Y4056" t="str">
        <f>VLOOKUP(C4056,'[1]DBS_KPY Sorumlular'!A:C,2,FALSE)</f>
        <v>Tayfun VİÇE</v>
      </c>
      <c r="Z4056" t="str">
        <f>VLOOKUP(C4056,'[1]DBS_KPY Sorumlular'!A:C,3,FALSE)</f>
        <v>Mehmet Ali YAVUZ</v>
      </c>
      <c r="AA4056" t="str">
        <f>VLOOKUP(K4056,[1]!Tablo3[#Data],2,FALSE)</f>
        <v>Kadir TOPÇU</v>
      </c>
    </row>
    <row r="4057" spans="1:27" x14ac:dyDescent="0.25">
      <c r="A4057">
        <v>5433</v>
      </c>
      <c r="B4057" t="s">
        <v>27</v>
      </c>
      <c r="C4057" t="s">
        <v>402</v>
      </c>
      <c r="D4057" t="s">
        <v>403</v>
      </c>
      <c r="G4057" t="s">
        <v>384</v>
      </c>
      <c r="H4057" t="s">
        <v>11008</v>
      </c>
      <c r="I4057" s="4">
        <v>45443.875</v>
      </c>
      <c r="K4057" t="s">
        <v>423</v>
      </c>
      <c r="L4057" s="5"/>
      <c r="M4057" s="5" t="s">
        <v>8423</v>
      </c>
      <c r="N4057" t="s">
        <v>82</v>
      </c>
      <c r="O4057" t="s">
        <v>11009</v>
      </c>
      <c r="R4057">
        <v>1</v>
      </c>
      <c r="T4057" s="5"/>
      <c r="W4057">
        <v>270</v>
      </c>
      <c r="X4057" t="s">
        <v>8412</v>
      </c>
      <c r="Y4057" t="str">
        <f>VLOOKUP(C4057,'[1]DBS_KPY Sorumlular'!A:C,2,FALSE)</f>
        <v>Tayfun VİÇE</v>
      </c>
      <c r="Z4057" t="str">
        <f>VLOOKUP(C4057,'[1]DBS_KPY Sorumlular'!A:C,3,FALSE)</f>
        <v>Mehmet Ali YAVUZ</v>
      </c>
      <c r="AA4057" t="str">
        <f>VLOOKUP(K4057,[1]!Tablo3[#Data],2,FALSE)</f>
        <v>Kadir TOPÇU</v>
      </c>
    </row>
    <row r="4058" spans="1:27" x14ac:dyDescent="0.25">
      <c r="A4058">
        <v>5434</v>
      </c>
      <c r="B4058" t="s">
        <v>27</v>
      </c>
      <c r="C4058" t="s">
        <v>402</v>
      </c>
      <c r="D4058" t="s">
        <v>403</v>
      </c>
      <c r="G4058" t="s">
        <v>384</v>
      </c>
      <c r="H4058" t="s">
        <v>11010</v>
      </c>
      <c r="I4058" s="4">
        <v>45443.875</v>
      </c>
      <c r="K4058" t="s">
        <v>423</v>
      </c>
      <c r="L4058" s="5"/>
      <c r="M4058" s="5" t="s">
        <v>8423</v>
      </c>
      <c r="N4058" t="s">
        <v>82</v>
      </c>
      <c r="O4058" t="s">
        <v>11011</v>
      </c>
      <c r="R4058">
        <v>1</v>
      </c>
      <c r="T4058" s="5"/>
      <c r="W4058">
        <v>270</v>
      </c>
      <c r="X4058" t="s">
        <v>8412</v>
      </c>
      <c r="Y4058" t="str">
        <f>VLOOKUP(C4058,'[1]DBS_KPY Sorumlular'!A:C,2,FALSE)</f>
        <v>Tayfun VİÇE</v>
      </c>
      <c r="Z4058" t="str">
        <f>VLOOKUP(C4058,'[1]DBS_KPY Sorumlular'!A:C,3,FALSE)</f>
        <v>Mehmet Ali YAVUZ</v>
      </c>
      <c r="AA4058" t="str">
        <f>VLOOKUP(K4058,[1]!Tablo3[#Data],2,FALSE)</f>
        <v>Kadir TOPÇU</v>
      </c>
    </row>
    <row r="4059" spans="1:27" x14ac:dyDescent="0.25">
      <c r="A4059">
        <v>5435</v>
      </c>
      <c r="B4059" t="s">
        <v>27</v>
      </c>
      <c r="C4059" t="s">
        <v>402</v>
      </c>
      <c r="D4059" t="s">
        <v>403</v>
      </c>
      <c r="G4059" t="s">
        <v>384</v>
      </c>
      <c r="H4059" t="s">
        <v>11012</v>
      </c>
      <c r="I4059" s="4">
        <v>45443.875</v>
      </c>
      <c r="K4059" t="s">
        <v>423</v>
      </c>
      <c r="L4059" s="5"/>
      <c r="M4059" s="5" t="s">
        <v>8423</v>
      </c>
      <c r="N4059" t="s">
        <v>82</v>
      </c>
      <c r="O4059" t="s">
        <v>11013</v>
      </c>
      <c r="R4059">
        <v>1</v>
      </c>
      <c r="T4059" s="5"/>
      <c r="W4059">
        <v>270</v>
      </c>
      <c r="X4059" t="s">
        <v>8412</v>
      </c>
      <c r="Y4059" t="str">
        <f>VLOOKUP(C4059,'[1]DBS_KPY Sorumlular'!A:C,2,FALSE)</f>
        <v>Tayfun VİÇE</v>
      </c>
      <c r="Z4059" t="str">
        <f>VLOOKUP(C4059,'[1]DBS_KPY Sorumlular'!A:C,3,FALSE)</f>
        <v>Mehmet Ali YAVUZ</v>
      </c>
      <c r="AA4059" t="str">
        <f>VLOOKUP(K4059,[1]!Tablo3[#Data],2,FALSE)</f>
        <v>Kadir TOPÇU</v>
      </c>
    </row>
    <row r="4060" spans="1:27" x14ac:dyDescent="0.25">
      <c r="A4060">
        <v>5436</v>
      </c>
      <c r="B4060" t="s">
        <v>27</v>
      </c>
      <c r="C4060" t="s">
        <v>402</v>
      </c>
      <c r="D4060" t="s">
        <v>403</v>
      </c>
      <c r="G4060" t="s">
        <v>384</v>
      </c>
      <c r="H4060" t="s">
        <v>11014</v>
      </c>
      <c r="I4060" s="4">
        <v>45443.875</v>
      </c>
      <c r="K4060" t="s">
        <v>423</v>
      </c>
      <c r="L4060" s="5"/>
      <c r="M4060" s="5" t="s">
        <v>8423</v>
      </c>
      <c r="N4060" t="s">
        <v>82</v>
      </c>
      <c r="O4060" t="s">
        <v>11015</v>
      </c>
      <c r="R4060">
        <v>1</v>
      </c>
      <c r="T4060" s="5"/>
      <c r="W4060">
        <v>270</v>
      </c>
      <c r="X4060" t="s">
        <v>8412</v>
      </c>
      <c r="Y4060" t="str">
        <f>VLOOKUP(C4060,'[1]DBS_KPY Sorumlular'!A:C,2,FALSE)</f>
        <v>Tayfun VİÇE</v>
      </c>
      <c r="Z4060" t="str">
        <f>VLOOKUP(C4060,'[1]DBS_KPY Sorumlular'!A:C,3,FALSE)</f>
        <v>Mehmet Ali YAVUZ</v>
      </c>
      <c r="AA4060" t="str">
        <f>VLOOKUP(K4060,[1]!Tablo3[#Data],2,FALSE)</f>
        <v>Kadir TOPÇU</v>
      </c>
    </row>
    <row r="4061" spans="1:27" x14ac:dyDescent="0.25">
      <c r="A4061">
        <v>5437</v>
      </c>
      <c r="B4061" t="s">
        <v>27</v>
      </c>
      <c r="C4061" t="s">
        <v>402</v>
      </c>
      <c r="D4061" t="s">
        <v>403</v>
      </c>
      <c r="G4061" t="s">
        <v>384</v>
      </c>
      <c r="H4061" t="s">
        <v>11016</v>
      </c>
      <c r="I4061" s="4">
        <v>45443.875</v>
      </c>
      <c r="K4061" t="s">
        <v>423</v>
      </c>
      <c r="L4061" s="5"/>
      <c r="M4061" s="5" t="s">
        <v>8423</v>
      </c>
      <c r="N4061" t="s">
        <v>82</v>
      </c>
      <c r="O4061" t="s">
        <v>11017</v>
      </c>
      <c r="R4061">
        <v>1</v>
      </c>
      <c r="T4061" s="5"/>
      <c r="W4061">
        <v>270</v>
      </c>
      <c r="X4061" t="s">
        <v>8412</v>
      </c>
      <c r="Y4061" t="str">
        <f>VLOOKUP(C4061,'[1]DBS_KPY Sorumlular'!A:C,2,FALSE)</f>
        <v>Tayfun VİÇE</v>
      </c>
      <c r="Z4061" t="str">
        <f>VLOOKUP(C4061,'[1]DBS_KPY Sorumlular'!A:C,3,FALSE)</f>
        <v>Mehmet Ali YAVUZ</v>
      </c>
      <c r="AA4061" t="str">
        <f>VLOOKUP(K4061,[1]!Tablo3[#Data],2,FALSE)</f>
        <v>Kadir TOPÇU</v>
      </c>
    </row>
    <row r="4062" spans="1:27" x14ac:dyDescent="0.25">
      <c r="A4062">
        <v>5438</v>
      </c>
      <c r="B4062" t="s">
        <v>27</v>
      </c>
      <c r="C4062" t="s">
        <v>402</v>
      </c>
      <c r="D4062" t="s">
        <v>403</v>
      </c>
      <c r="G4062" t="s">
        <v>384</v>
      </c>
      <c r="H4062" t="s">
        <v>11018</v>
      </c>
      <c r="I4062" s="4">
        <v>45443.875</v>
      </c>
      <c r="K4062" t="s">
        <v>364</v>
      </c>
      <c r="L4062" s="5"/>
      <c r="M4062" s="5" t="s">
        <v>8423</v>
      </c>
      <c r="N4062" t="s">
        <v>82</v>
      </c>
      <c r="O4062" t="s">
        <v>11019</v>
      </c>
      <c r="R4062">
        <v>1</v>
      </c>
      <c r="T4062" s="5"/>
      <c r="W4062">
        <v>270</v>
      </c>
      <c r="X4062" t="s">
        <v>8412</v>
      </c>
      <c r="Y4062" t="str">
        <f>VLOOKUP(C4062,'[1]DBS_KPY Sorumlular'!A:C,2,FALSE)</f>
        <v>Tayfun VİÇE</v>
      </c>
      <c r="Z4062" t="str">
        <f>VLOOKUP(C4062,'[1]DBS_KPY Sorumlular'!A:C,3,FALSE)</f>
        <v>Mehmet Ali YAVUZ</v>
      </c>
      <c r="AA4062" t="str">
        <f>VLOOKUP(K4062,[1]!Tablo3[#Data],2,FALSE)</f>
        <v>Kadir TOPÇU</v>
      </c>
    </row>
    <row r="4063" spans="1:27" x14ac:dyDescent="0.25">
      <c r="A4063">
        <v>5440</v>
      </c>
      <c r="B4063" t="s">
        <v>27</v>
      </c>
      <c r="C4063" t="s">
        <v>402</v>
      </c>
      <c r="D4063" t="s">
        <v>403</v>
      </c>
      <c r="G4063" t="s">
        <v>384</v>
      </c>
      <c r="H4063" t="s">
        <v>11020</v>
      </c>
      <c r="I4063" s="4">
        <v>45443.875</v>
      </c>
      <c r="K4063" t="s">
        <v>143</v>
      </c>
      <c r="L4063" s="5"/>
      <c r="M4063" s="5" t="s">
        <v>8423</v>
      </c>
      <c r="N4063" t="s">
        <v>82</v>
      </c>
      <c r="O4063" t="s">
        <v>11021</v>
      </c>
      <c r="R4063">
        <v>1</v>
      </c>
      <c r="T4063" s="5"/>
      <c r="W4063">
        <v>270</v>
      </c>
      <c r="X4063" t="s">
        <v>8412</v>
      </c>
      <c r="Y4063" t="str">
        <f>VLOOKUP(C4063,'[1]DBS_KPY Sorumlular'!A:C,2,FALSE)</f>
        <v>Tayfun VİÇE</v>
      </c>
      <c r="Z4063" t="str">
        <f>VLOOKUP(C4063,'[1]DBS_KPY Sorumlular'!A:C,3,FALSE)</f>
        <v>Mehmet Ali YAVUZ</v>
      </c>
      <c r="AA4063" t="str">
        <f>VLOOKUP(K4063,[1]!Tablo3[#Data],2,FALSE)</f>
        <v>Tayfun VİÇE</v>
      </c>
    </row>
    <row r="4064" spans="1:27" x14ac:dyDescent="0.25">
      <c r="A4064">
        <v>5441</v>
      </c>
      <c r="B4064" t="s">
        <v>27</v>
      </c>
      <c r="C4064" t="s">
        <v>402</v>
      </c>
      <c r="D4064" t="s">
        <v>403</v>
      </c>
      <c r="G4064" t="s">
        <v>384</v>
      </c>
      <c r="H4064" t="s">
        <v>11022</v>
      </c>
      <c r="I4064" s="4">
        <v>45443.875</v>
      </c>
      <c r="K4064" t="s">
        <v>1550</v>
      </c>
      <c r="L4064" s="5"/>
      <c r="M4064" s="5" t="s">
        <v>8423</v>
      </c>
      <c r="N4064" t="s">
        <v>82</v>
      </c>
      <c r="O4064" t="s">
        <v>11023</v>
      </c>
      <c r="R4064">
        <v>1</v>
      </c>
      <c r="T4064" s="5"/>
      <c r="W4064">
        <v>270</v>
      </c>
      <c r="X4064" t="s">
        <v>8412</v>
      </c>
      <c r="Y4064" t="str">
        <f>VLOOKUP(C4064,'[1]DBS_KPY Sorumlular'!A:C,2,FALSE)</f>
        <v>Tayfun VİÇE</v>
      </c>
      <c r="Z4064" t="str">
        <f>VLOOKUP(C4064,'[1]DBS_KPY Sorumlular'!A:C,3,FALSE)</f>
        <v>Mehmet Ali YAVUZ</v>
      </c>
      <c r="AA4064" t="str">
        <f>VLOOKUP(K4064,[1]!Tablo3[#Data],2,FALSE)</f>
        <v>Kadir TOPÇU</v>
      </c>
    </row>
    <row r="4065" spans="1:27" x14ac:dyDescent="0.25">
      <c r="A4065">
        <v>5442</v>
      </c>
      <c r="B4065" t="s">
        <v>27</v>
      </c>
      <c r="C4065" t="s">
        <v>402</v>
      </c>
      <c r="D4065" t="s">
        <v>403</v>
      </c>
      <c r="G4065" t="s">
        <v>384</v>
      </c>
      <c r="H4065" t="s">
        <v>11024</v>
      </c>
      <c r="I4065" s="4">
        <v>45443.875</v>
      </c>
      <c r="K4065" t="s">
        <v>1550</v>
      </c>
      <c r="L4065" s="5"/>
      <c r="M4065" s="5" t="s">
        <v>8423</v>
      </c>
      <c r="N4065" t="s">
        <v>82</v>
      </c>
      <c r="O4065" t="s">
        <v>11025</v>
      </c>
      <c r="R4065">
        <v>1</v>
      </c>
      <c r="T4065" s="5"/>
      <c r="W4065">
        <v>270</v>
      </c>
      <c r="X4065" t="s">
        <v>8412</v>
      </c>
      <c r="Y4065" t="str">
        <f>VLOOKUP(C4065,'[1]DBS_KPY Sorumlular'!A:C,2,FALSE)</f>
        <v>Tayfun VİÇE</v>
      </c>
      <c r="Z4065" t="str">
        <f>VLOOKUP(C4065,'[1]DBS_KPY Sorumlular'!A:C,3,FALSE)</f>
        <v>Mehmet Ali YAVUZ</v>
      </c>
      <c r="AA4065" t="str">
        <f>VLOOKUP(K4065,[1]!Tablo3[#Data],2,FALSE)</f>
        <v>Kadir TOPÇU</v>
      </c>
    </row>
    <row r="4066" spans="1:27" x14ac:dyDescent="0.25">
      <c r="A4066">
        <v>5443</v>
      </c>
      <c r="B4066" t="s">
        <v>27</v>
      </c>
      <c r="C4066" t="s">
        <v>402</v>
      </c>
      <c r="D4066" t="s">
        <v>403</v>
      </c>
      <c r="G4066" t="s">
        <v>384</v>
      </c>
      <c r="H4066" t="s">
        <v>11026</v>
      </c>
      <c r="I4066" s="4">
        <v>45443.875</v>
      </c>
      <c r="K4066" t="s">
        <v>1550</v>
      </c>
      <c r="L4066" s="5"/>
      <c r="M4066" s="5" t="s">
        <v>8423</v>
      </c>
      <c r="N4066" t="s">
        <v>82</v>
      </c>
      <c r="O4066" t="s">
        <v>11027</v>
      </c>
      <c r="R4066">
        <v>1</v>
      </c>
      <c r="T4066" s="5"/>
      <c r="W4066">
        <v>270</v>
      </c>
      <c r="X4066" t="s">
        <v>8412</v>
      </c>
      <c r="Y4066" t="str">
        <f>VLOOKUP(C4066,'[1]DBS_KPY Sorumlular'!A:C,2,FALSE)</f>
        <v>Tayfun VİÇE</v>
      </c>
      <c r="Z4066" t="str">
        <f>VLOOKUP(C4066,'[1]DBS_KPY Sorumlular'!A:C,3,FALSE)</f>
        <v>Mehmet Ali YAVUZ</v>
      </c>
      <c r="AA4066" t="str">
        <f>VLOOKUP(K4066,[1]!Tablo3[#Data],2,FALSE)</f>
        <v>Kadir TOPÇU</v>
      </c>
    </row>
    <row r="4067" spans="1:27" x14ac:dyDescent="0.25">
      <c r="A4067">
        <v>5444</v>
      </c>
      <c r="B4067" t="s">
        <v>27</v>
      </c>
      <c r="C4067" t="s">
        <v>402</v>
      </c>
      <c r="D4067" t="s">
        <v>403</v>
      </c>
      <c r="G4067" t="s">
        <v>384</v>
      </c>
      <c r="H4067" t="s">
        <v>11028</v>
      </c>
      <c r="I4067" s="4">
        <v>45443.875</v>
      </c>
      <c r="K4067" t="s">
        <v>1550</v>
      </c>
      <c r="L4067" s="5"/>
      <c r="M4067" s="5" t="s">
        <v>8423</v>
      </c>
      <c r="N4067" t="s">
        <v>82</v>
      </c>
      <c r="O4067" t="s">
        <v>11029</v>
      </c>
      <c r="R4067">
        <v>1</v>
      </c>
      <c r="T4067" s="5"/>
      <c r="W4067">
        <v>270</v>
      </c>
      <c r="X4067" t="s">
        <v>8412</v>
      </c>
      <c r="Y4067" t="str">
        <f>VLOOKUP(C4067,'[1]DBS_KPY Sorumlular'!A:C,2,FALSE)</f>
        <v>Tayfun VİÇE</v>
      </c>
      <c r="Z4067" t="str">
        <f>VLOOKUP(C4067,'[1]DBS_KPY Sorumlular'!A:C,3,FALSE)</f>
        <v>Mehmet Ali YAVUZ</v>
      </c>
      <c r="AA4067" t="str">
        <f>VLOOKUP(K4067,[1]!Tablo3[#Data],2,FALSE)</f>
        <v>Kadir TOPÇU</v>
      </c>
    </row>
    <row r="4068" spans="1:27" x14ac:dyDescent="0.25">
      <c r="A4068">
        <v>5445</v>
      </c>
      <c r="B4068" t="s">
        <v>27</v>
      </c>
      <c r="C4068" t="s">
        <v>402</v>
      </c>
      <c r="D4068" t="s">
        <v>403</v>
      </c>
      <c r="G4068" t="s">
        <v>384</v>
      </c>
      <c r="H4068" t="s">
        <v>11030</v>
      </c>
      <c r="I4068" s="4">
        <v>45443.875</v>
      </c>
      <c r="K4068" t="s">
        <v>1550</v>
      </c>
      <c r="L4068" s="5"/>
      <c r="M4068" s="5" t="s">
        <v>8423</v>
      </c>
      <c r="N4068" t="s">
        <v>82</v>
      </c>
      <c r="O4068" t="s">
        <v>11031</v>
      </c>
      <c r="R4068">
        <v>1</v>
      </c>
      <c r="T4068" s="5"/>
      <c r="W4068">
        <v>270</v>
      </c>
      <c r="X4068" t="s">
        <v>8412</v>
      </c>
      <c r="Y4068" t="str">
        <f>VLOOKUP(C4068,'[1]DBS_KPY Sorumlular'!A:C,2,FALSE)</f>
        <v>Tayfun VİÇE</v>
      </c>
      <c r="Z4068" t="str">
        <f>VLOOKUP(C4068,'[1]DBS_KPY Sorumlular'!A:C,3,FALSE)</f>
        <v>Mehmet Ali YAVUZ</v>
      </c>
      <c r="AA4068" t="str">
        <f>VLOOKUP(K4068,[1]!Tablo3[#Data],2,FALSE)</f>
        <v>Kadir TOPÇU</v>
      </c>
    </row>
    <row r="4069" spans="1:27" x14ac:dyDescent="0.25">
      <c r="A4069">
        <v>5447</v>
      </c>
      <c r="B4069" t="s">
        <v>27</v>
      </c>
      <c r="C4069" t="s">
        <v>402</v>
      </c>
      <c r="D4069" t="s">
        <v>403</v>
      </c>
      <c r="G4069" t="s">
        <v>384</v>
      </c>
      <c r="H4069" t="s">
        <v>11032</v>
      </c>
      <c r="I4069" s="4">
        <v>45443.875</v>
      </c>
      <c r="K4069" t="s">
        <v>1550</v>
      </c>
      <c r="L4069" s="5"/>
      <c r="M4069" s="5" t="s">
        <v>8423</v>
      </c>
      <c r="N4069" t="s">
        <v>82</v>
      </c>
      <c r="O4069" t="s">
        <v>11033</v>
      </c>
      <c r="R4069">
        <v>1</v>
      </c>
      <c r="T4069" s="5"/>
      <c r="W4069">
        <v>270</v>
      </c>
      <c r="X4069" t="s">
        <v>8412</v>
      </c>
      <c r="Y4069" t="str">
        <f>VLOOKUP(C4069,'[1]DBS_KPY Sorumlular'!A:C,2,FALSE)</f>
        <v>Tayfun VİÇE</v>
      </c>
      <c r="Z4069" t="str">
        <f>VLOOKUP(C4069,'[1]DBS_KPY Sorumlular'!A:C,3,FALSE)</f>
        <v>Mehmet Ali YAVUZ</v>
      </c>
      <c r="AA4069" t="str">
        <f>VLOOKUP(K4069,[1]!Tablo3[#Data],2,FALSE)</f>
        <v>Kadir TOPÇU</v>
      </c>
    </row>
    <row r="4070" spans="1:27" x14ac:dyDescent="0.25">
      <c r="A4070">
        <v>5448</v>
      </c>
      <c r="B4070" t="s">
        <v>27</v>
      </c>
      <c r="C4070" t="s">
        <v>402</v>
      </c>
      <c r="D4070" t="s">
        <v>403</v>
      </c>
      <c r="G4070" t="s">
        <v>384</v>
      </c>
      <c r="H4070" t="s">
        <v>11034</v>
      </c>
      <c r="I4070" s="4">
        <v>45443.875</v>
      </c>
      <c r="K4070" t="s">
        <v>1550</v>
      </c>
      <c r="L4070" s="5"/>
      <c r="M4070" s="5" t="s">
        <v>8423</v>
      </c>
      <c r="N4070" t="s">
        <v>82</v>
      </c>
      <c r="O4070" t="s">
        <v>11035</v>
      </c>
      <c r="R4070">
        <v>1</v>
      </c>
      <c r="T4070" s="5"/>
      <c r="W4070">
        <v>270</v>
      </c>
      <c r="X4070" t="s">
        <v>8412</v>
      </c>
      <c r="Y4070" t="str">
        <f>VLOOKUP(C4070,'[1]DBS_KPY Sorumlular'!A:C,2,FALSE)</f>
        <v>Tayfun VİÇE</v>
      </c>
      <c r="Z4070" t="str">
        <f>VLOOKUP(C4070,'[1]DBS_KPY Sorumlular'!A:C,3,FALSE)</f>
        <v>Mehmet Ali YAVUZ</v>
      </c>
      <c r="AA4070" t="str">
        <f>VLOOKUP(K4070,[1]!Tablo3[#Data],2,FALSE)</f>
        <v>Kadir TOPÇU</v>
      </c>
    </row>
    <row r="4071" spans="1:27" x14ac:dyDescent="0.25">
      <c r="A4071">
        <v>5449</v>
      </c>
      <c r="B4071" t="s">
        <v>27</v>
      </c>
      <c r="C4071" t="s">
        <v>402</v>
      </c>
      <c r="D4071" t="s">
        <v>403</v>
      </c>
      <c r="G4071" t="s">
        <v>384</v>
      </c>
      <c r="H4071" t="s">
        <v>11036</v>
      </c>
      <c r="I4071" s="4">
        <v>45443.875</v>
      </c>
      <c r="K4071" t="s">
        <v>1550</v>
      </c>
      <c r="L4071" s="5"/>
      <c r="M4071" s="5" t="s">
        <v>8423</v>
      </c>
      <c r="N4071" t="s">
        <v>82</v>
      </c>
      <c r="O4071" t="s">
        <v>11037</v>
      </c>
      <c r="R4071">
        <v>1</v>
      </c>
      <c r="T4071" s="5"/>
      <c r="W4071">
        <v>270</v>
      </c>
      <c r="X4071" t="s">
        <v>8412</v>
      </c>
      <c r="Y4071" t="str">
        <f>VLOOKUP(C4071,'[1]DBS_KPY Sorumlular'!A:C,2,FALSE)</f>
        <v>Tayfun VİÇE</v>
      </c>
      <c r="Z4071" t="str">
        <f>VLOOKUP(C4071,'[1]DBS_KPY Sorumlular'!A:C,3,FALSE)</f>
        <v>Mehmet Ali YAVUZ</v>
      </c>
      <c r="AA4071" t="str">
        <f>VLOOKUP(K4071,[1]!Tablo3[#Data],2,FALSE)</f>
        <v>Kadir TOPÇU</v>
      </c>
    </row>
    <row r="4072" spans="1:27" x14ac:dyDescent="0.25">
      <c r="A4072">
        <v>5450</v>
      </c>
      <c r="B4072" t="s">
        <v>27</v>
      </c>
      <c r="C4072" t="s">
        <v>402</v>
      </c>
      <c r="D4072" t="s">
        <v>403</v>
      </c>
      <c r="G4072" t="s">
        <v>384</v>
      </c>
      <c r="H4072" t="s">
        <v>11038</v>
      </c>
      <c r="I4072" s="4">
        <v>45443.875</v>
      </c>
      <c r="K4072" t="s">
        <v>1528</v>
      </c>
      <c r="L4072" s="5"/>
      <c r="M4072" s="5" t="s">
        <v>8423</v>
      </c>
      <c r="N4072" t="s">
        <v>82</v>
      </c>
      <c r="O4072" t="s">
        <v>11039</v>
      </c>
      <c r="R4072">
        <v>1</v>
      </c>
      <c r="T4072" s="5"/>
      <c r="W4072">
        <v>270</v>
      </c>
      <c r="X4072" t="s">
        <v>8412</v>
      </c>
      <c r="Y4072" t="str">
        <f>VLOOKUP(C4072,'[1]DBS_KPY Sorumlular'!A:C,2,FALSE)</f>
        <v>Tayfun VİÇE</v>
      </c>
      <c r="Z4072" t="str">
        <f>VLOOKUP(C4072,'[1]DBS_KPY Sorumlular'!A:C,3,FALSE)</f>
        <v>Mehmet Ali YAVUZ</v>
      </c>
      <c r="AA4072" t="str">
        <f>VLOOKUP(K4072,[1]!Tablo3[#Data],2,FALSE)</f>
        <v>Tayfun VİÇE</v>
      </c>
    </row>
    <row r="4073" spans="1:27" x14ac:dyDescent="0.25">
      <c r="A4073">
        <v>5451</v>
      </c>
      <c r="B4073" t="s">
        <v>27</v>
      </c>
      <c r="C4073" t="s">
        <v>402</v>
      </c>
      <c r="D4073" t="s">
        <v>403</v>
      </c>
      <c r="G4073" t="s">
        <v>384</v>
      </c>
      <c r="H4073" t="s">
        <v>11040</v>
      </c>
      <c r="I4073" s="4">
        <v>45443.875</v>
      </c>
      <c r="K4073" t="s">
        <v>743</v>
      </c>
      <c r="L4073" s="5"/>
      <c r="M4073" s="5" t="s">
        <v>8423</v>
      </c>
      <c r="N4073" t="s">
        <v>82</v>
      </c>
      <c r="O4073" t="s">
        <v>11041</v>
      </c>
      <c r="R4073">
        <v>1</v>
      </c>
      <c r="T4073" s="5"/>
      <c r="W4073">
        <v>270</v>
      </c>
      <c r="X4073" t="s">
        <v>8412</v>
      </c>
      <c r="Y4073" t="str">
        <f>VLOOKUP(C4073,'[1]DBS_KPY Sorumlular'!A:C,2,FALSE)</f>
        <v>Tayfun VİÇE</v>
      </c>
      <c r="Z4073" t="str">
        <f>VLOOKUP(C4073,'[1]DBS_KPY Sorumlular'!A:C,3,FALSE)</f>
        <v>Mehmet Ali YAVUZ</v>
      </c>
      <c r="AA4073" t="str">
        <f>VLOOKUP(K4073,[1]!Tablo3[#Data],2,FALSE)</f>
        <v>Kadir TOPÇU</v>
      </c>
    </row>
    <row r="4074" spans="1:27" x14ac:dyDescent="0.25">
      <c r="A4074">
        <v>5452</v>
      </c>
      <c r="B4074" t="s">
        <v>27</v>
      </c>
      <c r="C4074" t="s">
        <v>402</v>
      </c>
      <c r="D4074" t="s">
        <v>403</v>
      </c>
      <c r="G4074" t="s">
        <v>384</v>
      </c>
      <c r="H4074" t="s">
        <v>11042</v>
      </c>
      <c r="I4074" s="4">
        <v>45443.875</v>
      </c>
      <c r="K4074" t="s">
        <v>743</v>
      </c>
      <c r="L4074" s="5"/>
      <c r="M4074" s="5" t="s">
        <v>8423</v>
      </c>
      <c r="N4074" t="s">
        <v>82</v>
      </c>
      <c r="O4074" t="s">
        <v>11043</v>
      </c>
      <c r="R4074">
        <v>1</v>
      </c>
      <c r="T4074" s="5"/>
      <c r="W4074">
        <v>270</v>
      </c>
      <c r="X4074" t="s">
        <v>8412</v>
      </c>
      <c r="Y4074" t="str">
        <f>VLOOKUP(C4074,'[1]DBS_KPY Sorumlular'!A:C,2,FALSE)</f>
        <v>Tayfun VİÇE</v>
      </c>
      <c r="Z4074" t="str">
        <f>VLOOKUP(C4074,'[1]DBS_KPY Sorumlular'!A:C,3,FALSE)</f>
        <v>Mehmet Ali YAVUZ</v>
      </c>
      <c r="AA4074" t="str">
        <f>VLOOKUP(K4074,[1]!Tablo3[#Data],2,FALSE)</f>
        <v>Kadir TOPÇU</v>
      </c>
    </row>
    <row r="4075" spans="1:27" x14ac:dyDescent="0.25">
      <c r="A4075">
        <v>5453</v>
      </c>
      <c r="B4075" t="s">
        <v>27</v>
      </c>
      <c r="C4075" t="s">
        <v>402</v>
      </c>
      <c r="D4075" t="s">
        <v>403</v>
      </c>
      <c r="G4075" t="s">
        <v>384</v>
      </c>
      <c r="H4075" t="s">
        <v>11044</v>
      </c>
      <c r="I4075" s="4">
        <v>45443.875</v>
      </c>
      <c r="K4075" t="s">
        <v>33</v>
      </c>
      <c r="L4075" s="5"/>
      <c r="M4075" s="5" t="s">
        <v>8423</v>
      </c>
      <c r="N4075" t="s">
        <v>82</v>
      </c>
      <c r="O4075" t="s">
        <v>11045</v>
      </c>
      <c r="R4075">
        <v>1</v>
      </c>
      <c r="T4075" s="5"/>
      <c r="W4075">
        <v>270</v>
      </c>
      <c r="X4075" t="s">
        <v>8412</v>
      </c>
      <c r="Y4075" t="str">
        <f>VLOOKUP(C4075,'[1]DBS_KPY Sorumlular'!A:C,2,FALSE)</f>
        <v>Tayfun VİÇE</v>
      </c>
      <c r="Z4075" t="str">
        <f>VLOOKUP(C4075,'[1]DBS_KPY Sorumlular'!A:C,3,FALSE)</f>
        <v>Mehmet Ali YAVUZ</v>
      </c>
      <c r="AA4075" t="str">
        <f>VLOOKUP(K4075,[1]!Tablo3[#Data],2,FALSE)</f>
        <v>Tayfun VİÇE</v>
      </c>
    </row>
    <row r="4076" spans="1:27" x14ac:dyDescent="0.25">
      <c r="A4076">
        <v>5454</v>
      </c>
      <c r="B4076" t="s">
        <v>27</v>
      </c>
      <c r="C4076" t="s">
        <v>402</v>
      </c>
      <c r="D4076" t="s">
        <v>403</v>
      </c>
      <c r="G4076" t="s">
        <v>384</v>
      </c>
      <c r="H4076" t="s">
        <v>11046</v>
      </c>
      <c r="I4076" s="4">
        <v>45443.875</v>
      </c>
      <c r="K4076" t="s">
        <v>743</v>
      </c>
      <c r="L4076" s="5"/>
      <c r="M4076" s="5" t="s">
        <v>8423</v>
      </c>
      <c r="N4076" t="s">
        <v>82</v>
      </c>
      <c r="O4076" t="s">
        <v>11047</v>
      </c>
      <c r="R4076">
        <v>1</v>
      </c>
      <c r="T4076" s="5"/>
      <c r="W4076">
        <v>270</v>
      </c>
      <c r="X4076" t="s">
        <v>8412</v>
      </c>
      <c r="Y4076" t="str">
        <f>VLOOKUP(C4076,'[1]DBS_KPY Sorumlular'!A:C,2,FALSE)</f>
        <v>Tayfun VİÇE</v>
      </c>
      <c r="Z4076" t="str">
        <f>VLOOKUP(C4076,'[1]DBS_KPY Sorumlular'!A:C,3,FALSE)</f>
        <v>Mehmet Ali YAVUZ</v>
      </c>
      <c r="AA4076" t="str">
        <f>VLOOKUP(K4076,[1]!Tablo3[#Data],2,FALSE)</f>
        <v>Kadir TOPÇU</v>
      </c>
    </row>
    <row r="4077" spans="1:27" x14ac:dyDescent="0.25">
      <c r="A4077">
        <v>5455</v>
      </c>
      <c r="B4077" t="s">
        <v>27</v>
      </c>
      <c r="C4077" t="s">
        <v>402</v>
      </c>
      <c r="D4077" t="s">
        <v>403</v>
      </c>
      <c r="G4077" t="s">
        <v>384</v>
      </c>
      <c r="H4077" t="s">
        <v>11048</v>
      </c>
      <c r="I4077" s="4">
        <v>45443.875</v>
      </c>
      <c r="K4077" t="s">
        <v>743</v>
      </c>
      <c r="L4077" s="5"/>
      <c r="M4077" s="5" t="s">
        <v>8423</v>
      </c>
      <c r="N4077" t="s">
        <v>82</v>
      </c>
      <c r="O4077" t="s">
        <v>11049</v>
      </c>
      <c r="R4077">
        <v>1</v>
      </c>
      <c r="T4077" s="5"/>
      <c r="W4077">
        <v>270</v>
      </c>
      <c r="X4077" t="s">
        <v>8412</v>
      </c>
      <c r="Y4077" t="str">
        <f>VLOOKUP(C4077,'[1]DBS_KPY Sorumlular'!A:C,2,FALSE)</f>
        <v>Tayfun VİÇE</v>
      </c>
      <c r="Z4077" t="str">
        <f>VLOOKUP(C4077,'[1]DBS_KPY Sorumlular'!A:C,3,FALSE)</f>
        <v>Mehmet Ali YAVUZ</v>
      </c>
      <c r="AA4077" t="str">
        <f>VLOOKUP(K4077,[1]!Tablo3[#Data],2,FALSE)</f>
        <v>Kadir TOPÇU</v>
      </c>
    </row>
    <row r="4078" spans="1:27" x14ac:dyDescent="0.25">
      <c r="A4078">
        <v>5456</v>
      </c>
      <c r="B4078" t="s">
        <v>27</v>
      </c>
      <c r="C4078" t="s">
        <v>402</v>
      </c>
      <c r="D4078" t="s">
        <v>403</v>
      </c>
      <c r="G4078" t="s">
        <v>384</v>
      </c>
      <c r="H4078" t="s">
        <v>11050</v>
      </c>
      <c r="I4078" s="4">
        <v>45443.875</v>
      </c>
      <c r="K4078" t="s">
        <v>743</v>
      </c>
      <c r="L4078" s="5"/>
      <c r="M4078" s="5" t="s">
        <v>8423</v>
      </c>
      <c r="N4078" t="s">
        <v>82</v>
      </c>
      <c r="O4078" t="s">
        <v>11051</v>
      </c>
      <c r="R4078">
        <v>1</v>
      </c>
      <c r="T4078" s="5"/>
      <c r="W4078">
        <v>270</v>
      </c>
      <c r="X4078" t="s">
        <v>8412</v>
      </c>
      <c r="Y4078" t="str">
        <f>VLOOKUP(C4078,'[1]DBS_KPY Sorumlular'!A:C,2,FALSE)</f>
        <v>Tayfun VİÇE</v>
      </c>
      <c r="Z4078" t="str">
        <f>VLOOKUP(C4078,'[1]DBS_KPY Sorumlular'!A:C,3,FALSE)</f>
        <v>Mehmet Ali YAVUZ</v>
      </c>
      <c r="AA4078" t="str">
        <f>VLOOKUP(K4078,[1]!Tablo3[#Data],2,FALSE)</f>
        <v>Kadir TOPÇU</v>
      </c>
    </row>
    <row r="4079" spans="1:27" x14ac:dyDescent="0.25">
      <c r="A4079">
        <v>5457</v>
      </c>
      <c r="B4079" t="s">
        <v>27</v>
      </c>
      <c r="C4079" t="s">
        <v>402</v>
      </c>
      <c r="D4079" t="s">
        <v>403</v>
      </c>
      <c r="G4079" t="s">
        <v>384</v>
      </c>
      <c r="H4079" t="s">
        <v>11052</v>
      </c>
      <c r="I4079" s="4">
        <v>45443.875</v>
      </c>
      <c r="K4079" t="s">
        <v>743</v>
      </c>
      <c r="L4079" s="5"/>
      <c r="M4079" s="5" t="s">
        <v>8423</v>
      </c>
      <c r="N4079" t="s">
        <v>82</v>
      </c>
      <c r="O4079" t="s">
        <v>11053</v>
      </c>
      <c r="R4079">
        <v>1</v>
      </c>
      <c r="T4079" s="5"/>
      <c r="W4079">
        <v>270</v>
      </c>
      <c r="X4079" t="s">
        <v>8412</v>
      </c>
      <c r="Y4079" t="str">
        <f>VLOOKUP(C4079,'[1]DBS_KPY Sorumlular'!A:C,2,FALSE)</f>
        <v>Tayfun VİÇE</v>
      </c>
      <c r="Z4079" t="str">
        <f>VLOOKUP(C4079,'[1]DBS_KPY Sorumlular'!A:C,3,FALSE)</f>
        <v>Mehmet Ali YAVUZ</v>
      </c>
      <c r="AA4079" t="str">
        <f>VLOOKUP(K4079,[1]!Tablo3[#Data],2,FALSE)</f>
        <v>Kadir TOPÇU</v>
      </c>
    </row>
    <row r="4080" spans="1:27" x14ac:dyDescent="0.25">
      <c r="A4080">
        <v>5458</v>
      </c>
      <c r="B4080" t="s">
        <v>27</v>
      </c>
      <c r="C4080" t="s">
        <v>402</v>
      </c>
      <c r="D4080" t="s">
        <v>403</v>
      </c>
      <c r="G4080" t="s">
        <v>384</v>
      </c>
      <c r="H4080" t="s">
        <v>11054</v>
      </c>
      <c r="I4080" s="4">
        <v>45443.875</v>
      </c>
      <c r="K4080" t="s">
        <v>743</v>
      </c>
      <c r="L4080" s="5"/>
      <c r="M4080" s="5" t="s">
        <v>8423</v>
      </c>
      <c r="N4080" t="s">
        <v>82</v>
      </c>
      <c r="O4080" t="s">
        <v>11055</v>
      </c>
      <c r="R4080">
        <v>1</v>
      </c>
      <c r="T4080" s="5"/>
      <c r="W4080">
        <v>270</v>
      </c>
      <c r="X4080" t="s">
        <v>8412</v>
      </c>
      <c r="Y4080" t="str">
        <f>VLOOKUP(C4080,'[1]DBS_KPY Sorumlular'!A:C,2,FALSE)</f>
        <v>Tayfun VİÇE</v>
      </c>
      <c r="Z4080" t="str">
        <f>VLOOKUP(C4080,'[1]DBS_KPY Sorumlular'!A:C,3,FALSE)</f>
        <v>Mehmet Ali YAVUZ</v>
      </c>
      <c r="AA4080" t="str">
        <f>VLOOKUP(K4080,[1]!Tablo3[#Data],2,FALSE)</f>
        <v>Kadir TOPÇU</v>
      </c>
    </row>
    <row r="4081" spans="1:27" x14ac:dyDescent="0.25">
      <c r="A4081">
        <v>5459</v>
      </c>
      <c r="B4081" t="s">
        <v>27</v>
      </c>
      <c r="C4081" t="s">
        <v>402</v>
      </c>
      <c r="D4081" t="s">
        <v>403</v>
      </c>
      <c r="G4081" t="s">
        <v>384</v>
      </c>
      <c r="H4081" t="s">
        <v>11056</v>
      </c>
      <c r="I4081" s="4">
        <v>45443.875</v>
      </c>
      <c r="K4081" t="s">
        <v>678</v>
      </c>
      <c r="L4081" s="5"/>
      <c r="M4081" s="5" t="s">
        <v>8423</v>
      </c>
      <c r="N4081" t="s">
        <v>82</v>
      </c>
      <c r="O4081" t="s">
        <v>11057</v>
      </c>
      <c r="R4081">
        <v>1</v>
      </c>
      <c r="T4081" s="5"/>
      <c r="W4081">
        <v>270</v>
      </c>
      <c r="X4081" t="s">
        <v>8412</v>
      </c>
      <c r="Y4081" t="str">
        <f>VLOOKUP(C4081,'[1]DBS_KPY Sorumlular'!A:C,2,FALSE)</f>
        <v>Tayfun VİÇE</v>
      </c>
      <c r="Z4081" t="str">
        <f>VLOOKUP(C4081,'[1]DBS_KPY Sorumlular'!A:C,3,FALSE)</f>
        <v>Mehmet Ali YAVUZ</v>
      </c>
      <c r="AA4081" t="str">
        <f>VLOOKUP(K4081,[1]!Tablo3[#Data],2,FALSE)</f>
        <v>Kadir TOPÇU</v>
      </c>
    </row>
    <row r="4082" spans="1:27" x14ac:dyDescent="0.25">
      <c r="A4082">
        <v>5460</v>
      </c>
      <c r="B4082" t="s">
        <v>27</v>
      </c>
      <c r="C4082" t="s">
        <v>402</v>
      </c>
      <c r="D4082" t="s">
        <v>403</v>
      </c>
      <c r="G4082" t="s">
        <v>384</v>
      </c>
      <c r="H4082" t="s">
        <v>11058</v>
      </c>
      <c r="I4082" s="4">
        <v>45443.875</v>
      </c>
      <c r="K4082" t="s">
        <v>743</v>
      </c>
      <c r="L4082" s="5"/>
      <c r="M4082" s="5" t="s">
        <v>8423</v>
      </c>
      <c r="N4082" t="s">
        <v>82</v>
      </c>
      <c r="O4082" t="s">
        <v>11059</v>
      </c>
      <c r="R4082">
        <v>1</v>
      </c>
      <c r="T4082" s="5"/>
      <c r="W4082">
        <v>270</v>
      </c>
      <c r="X4082" t="s">
        <v>8412</v>
      </c>
      <c r="Y4082" t="str">
        <f>VLOOKUP(C4082,'[1]DBS_KPY Sorumlular'!A:C,2,FALSE)</f>
        <v>Tayfun VİÇE</v>
      </c>
      <c r="Z4082" t="str">
        <f>VLOOKUP(C4082,'[1]DBS_KPY Sorumlular'!A:C,3,FALSE)</f>
        <v>Mehmet Ali YAVUZ</v>
      </c>
      <c r="AA4082" t="str">
        <f>VLOOKUP(K4082,[1]!Tablo3[#Data],2,FALSE)</f>
        <v>Kadir TOPÇU</v>
      </c>
    </row>
    <row r="4083" spans="1:27" x14ac:dyDescent="0.25">
      <c r="A4083">
        <v>5461</v>
      </c>
      <c r="B4083" t="s">
        <v>27</v>
      </c>
      <c r="C4083" t="s">
        <v>402</v>
      </c>
      <c r="D4083" t="s">
        <v>403</v>
      </c>
      <c r="G4083" t="s">
        <v>384</v>
      </c>
      <c r="H4083" t="s">
        <v>11060</v>
      </c>
      <c r="I4083" s="4">
        <v>45443.875</v>
      </c>
      <c r="K4083" t="s">
        <v>743</v>
      </c>
      <c r="L4083" s="5"/>
      <c r="M4083" s="5" t="s">
        <v>8423</v>
      </c>
      <c r="N4083" t="s">
        <v>82</v>
      </c>
      <c r="O4083" t="s">
        <v>11061</v>
      </c>
      <c r="R4083">
        <v>1</v>
      </c>
      <c r="T4083" s="5"/>
      <c r="W4083">
        <v>270</v>
      </c>
      <c r="X4083" t="s">
        <v>8412</v>
      </c>
      <c r="Y4083" t="str">
        <f>VLOOKUP(C4083,'[1]DBS_KPY Sorumlular'!A:C,2,FALSE)</f>
        <v>Tayfun VİÇE</v>
      </c>
      <c r="Z4083" t="str">
        <f>VLOOKUP(C4083,'[1]DBS_KPY Sorumlular'!A:C,3,FALSE)</f>
        <v>Mehmet Ali YAVUZ</v>
      </c>
      <c r="AA4083" t="str">
        <f>VLOOKUP(K4083,[1]!Tablo3[#Data],2,FALSE)</f>
        <v>Kadir TOPÇU</v>
      </c>
    </row>
    <row r="4084" spans="1:27" x14ac:dyDescent="0.25">
      <c r="A4084">
        <v>5462</v>
      </c>
      <c r="B4084" t="s">
        <v>27</v>
      </c>
      <c r="C4084" t="s">
        <v>402</v>
      </c>
      <c r="D4084" t="s">
        <v>403</v>
      </c>
      <c r="G4084" t="s">
        <v>384</v>
      </c>
      <c r="H4084" t="s">
        <v>11062</v>
      </c>
      <c r="I4084" s="4">
        <v>45443.875</v>
      </c>
      <c r="K4084" t="s">
        <v>743</v>
      </c>
      <c r="L4084" s="5"/>
      <c r="M4084" s="5" t="s">
        <v>8423</v>
      </c>
      <c r="N4084" t="s">
        <v>82</v>
      </c>
      <c r="O4084" t="s">
        <v>11063</v>
      </c>
      <c r="R4084">
        <v>1</v>
      </c>
      <c r="T4084" s="5"/>
      <c r="W4084">
        <v>270</v>
      </c>
      <c r="X4084" t="s">
        <v>8412</v>
      </c>
      <c r="Y4084" t="str">
        <f>VLOOKUP(C4084,'[1]DBS_KPY Sorumlular'!A:C,2,FALSE)</f>
        <v>Tayfun VİÇE</v>
      </c>
      <c r="Z4084" t="str">
        <f>VLOOKUP(C4084,'[1]DBS_KPY Sorumlular'!A:C,3,FALSE)</f>
        <v>Mehmet Ali YAVUZ</v>
      </c>
      <c r="AA4084" t="str">
        <f>VLOOKUP(K4084,[1]!Tablo3[#Data],2,FALSE)</f>
        <v>Kadir TOPÇU</v>
      </c>
    </row>
    <row r="4085" spans="1:27" x14ac:dyDescent="0.25">
      <c r="A4085">
        <v>5463</v>
      </c>
      <c r="B4085" t="s">
        <v>27</v>
      </c>
      <c r="C4085" t="s">
        <v>402</v>
      </c>
      <c r="D4085" t="s">
        <v>403</v>
      </c>
      <c r="G4085" t="s">
        <v>384</v>
      </c>
      <c r="H4085" t="s">
        <v>11064</v>
      </c>
      <c r="I4085" s="4">
        <v>45443.875</v>
      </c>
      <c r="K4085" t="s">
        <v>743</v>
      </c>
      <c r="L4085" s="5"/>
      <c r="M4085" s="5" t="s">
        <v>8423</v>
      </c>
      <c r="N4085" t="s">
        <v>82</v>
      </c>
      <c r="O4085" t="s">
        <v>11065</v>
      </c>
      <c r="R4085">
        <v>1</v>
      </c>
      <c r="T4085" s="5"/>
      <c r="W4085">
        <v>270</v>
      </c>
      <c r="X4085" t="s">
        <v>8412</v>
      </c>
      <c r="Y4085" t="str">
        <f>VLOOKUP(C4085,'[1]DBS_KPY Sorumlular'!A:C,2,FALSE)</f>
        <v>Tayfun VİÇE</v>
      </c>
      <c r="Z4085" t="str">
        <f>VLOOKUP(C4085,'[1]DBS_KPY Sorumlular'!A:C,3,FALSE)</f>
        <v>Mehmet Ali YAVUZ</v>
      </c>
      <c r="AA4085" t="str">
        <f>VLOOKUP(K4085,[1]!Tablo3[#Data],2,FALSE)</f>
        <v>Kadir TOPÇU</v>
      </c>
    </row>
    <row r="4086" spans="1:27" x14ac:dyDescent="0.25">
      <c r="A4086">
        <v>5464</v>
      </c>
      <c r="B4086" t="s">
        <v>27</v>
      </c>
      <c r="C4086" t="s">
        <v>402</v>
      </c>
      <c r="D4086" t="s">
        <v>403</v>
      </c>
      <c r="G4086" t="s">
        <v>384</v>
      </c>
      <c r="H4086" t="s">
        <v>11066</v>
      </c>
      <c r="I4086" s="4">
        <v>45443.875</v>
      </c>
      <c r="K4086" t="s">
        <v>743</v>
      </c>
      <c r="L4086" s="5"/>
      <c r="M4086" s="5" t="s">
        <v>8423</v>
      </c>
      <c r="N4086" t="s">
        <v>82</v>
      </c>
      <c r="O4086" t="s">
        <v>11067</v>
      </c>
      <c r="R4086">
        <v>1</v>
      </c>
      <c r="T4086" s="5"/>
      <c r="W4086">
        <v>270</v>
      </c>
      <c r="X4086" t="s">
        <v>8412</v>
      </c>
      <c r="Y4086" t="str">
        <f>VLOOKUP(C4086,'[1]DBS_KPY Sorumlular'!A:C,2,FALSE)</f>
        <v>Tayfun VİÇE</v>
      </c>
      <c r="Z4086" t="str">
        <f>VLOOKUP(C4086,'[1]DBS_KPY Sorumlular'!A:C,3,FALSE)</f>
        <v>Mehmet Ali YAVUZ</v>
      </c>
      <c r="AA4086" t="str">
        <f>VLOOKUP(K4086,[1]!Tablo3[#Data],2,FALSE)</f>
        <v>Kadir TOPÇU</v>
      </c>
    </row>
    <row r="4087" spans="1:27" x14ac:dyDescent="0.25">
      <c r="A4087">
        <v>5465</v>
      </c>
      <c r="B4087" t="s">
        <v>27</v>
      </c>
      <c r="C4087" t="s">
        <v>402</v>
      </c>
      <c r="D4087" t="s">
        <v>403</v>
      </c>
      <c r="G4087" t="s">
        <v>384</v>
      </c>
      <c r="H4087" t="s">
        <v>11068</v>
      </c>
      <c r="I4087" s="4">
        <v>45443.875</v>
      </c>
      <c r="K4087" t="s">
        <v>1106</v>
      </c>
      <c r="L4087" s="5"/>
      <c r="M4087" s="5" t="s">
        <v>8423</v>
      </c>
      <c r="N4087" t="s">
        <v>82</v>
      </c>
      <c r="O4087" t="s">
        <v>11069</v>
      </c>
      <c r="R4087">
        <v>1</v>
      </c>
      <c r="T4087" s="5"/>
      <c r="W4087">
        <v>270</v>
      </c>
      <c r="X4087" t="s">
        <v>8412</v>
      </c>
      <c r="Y4087" t="str">
        <f>VLOOKUP(C4087,'[1]DBS_KPY Sorumlular'!A:C,2,FALSE)</f>
        <v>Tayfun VİÇE</v>
      </c>
      <c r="Z4087" t="str">
        <f>VLOOKUP(C4087,'[1]DBS_KPY Sorumlular'!A:C,3,FALSE)</f>
        <v>Mehmet Ali YAVUZ</v>
      </c>
      <c r="AA4087" t="str">
        <f>VLOOKUP(K4087,[1]!Tablo3[#Data],2,FALSE)</f>
        <v>Tayfun VİÇE</v>
      </c>
    </row>
    <row r="4088" spans="1:27" x14ac:dyDescent="0.25">
      <c r="A4088">
        <v>5466</v>
      </c>
      <c r="B4088" t="s">
        <v>27</v>
      </c>
      <c r="C4088" t="s">
        <v>402</v>
      </c>
      <c r="D4088" t="s">
        <v>403</v>
      </c>
      <c r="G4088" t="s">
        <v>384</v>
      </c>
      <c r="H4088" t="s">
        <v>11070</v>
      </c>
      <c r="I4088" s="4">
        <v>45443.875</v>
      </c>
      <c r="K4088" t="s">
        <v>1106</v>
      </c>
      <c r="L4088" s="5"/>
      <c r="M4088" s="5" t="s">
        <v>8423</v>
      </c>
      <c r="N4088" t="s">
        <v>82</v>
      </c>
      <c r="O4088" t="s">
        <v>11071</v>
      </c>
      <c r="R4088">
        <v>1</v>
      </c>
      <c r="T4088" s="5"/>
      <c r="W4088">
        <v>270</v>
      </c>
      <c r="X4088" t="s">
        <v>8412</v>
      </c>
      <c r="Y4088" t="str">
        <f>VLOOKUP(C4088,'[1]DBS_KPY Sorumlular'!A:C,2,FALSE)</f>
        <v>Tayfun VİÇE</v>
      </c>
      <c r="Z4088" t="str">
        <f>VLOOKUP(C4088,'[1]DBS_KPY Sorumlular'!A:C,3,FALSE)</f>
        <v>Mehmet Ali YAVUZ</v>
      </c>
      <c r="AA4088" t="str">
        <f>VLOOKUP(K4088,[1]!Tablo3[#Data],2,FALSE)</f>
        <v>Tayfun VİÇE</v>
      </c>
    </row>
    <row r="4089" spans="1:27" x14ac:dyDescent="0.25">
      <c r="A4089">
        <v>5467</v>
      </c>
      <c r="B4089" t="s">
        <v>27</v>
      </c>
      <c r="C4089" t="s">
        <v>402</v>
      </c>
      <c r="D4089" t="s">
        <v>403</v>
      </c>
      <c r="G4089" t="s">
        <v>384</v>
      </c>
      <c r="H4089" t="s">
        <v>11072</v>
      </c>
      <c r="I4089" s="4">
        <v>45443.875</v>
      </c>
      <c r="K4089" t="s">
        <v>743</v>
      </c>
      <c r="L4089" s="5"/>
      <c r="M4089" s="5" t="s">
        <v>8423</v>
      </c>
      <c r="N4089" t="s">
        <v>82</v>
      </c>
      <c r="O4089" t="s">
        <v>11073</v>
      </c>
      <c r="R4089">
        <v>1</v>
      </c>
      <c r="T4089" s="5"/>
      <c r="W4089">
        <v>270</v>
      </c>
      <c r="X4089" t="s">
        <v>8412</v>
      </c>
      <c r="Y4089" t="str">
        <f>VLOOKUP(C4089,'[1]DBS_KPY Sorumlular'!A:C,2,FALSE)</f>
        <v>Tayfun VİÇE</v>
      </c>
      <c r="Z4089" t="str">
        <f>VLOOKUP(C4089,'[1]DBS_KPY Sorumlular'!A:C,3,FALSE)</f>
        <v>Mehmet Ali YAVUZ</v>
      </c>
      <c r="AA4089" t="str">
        <f>VLOOKUP(K4089,[1]!Tablo3[#Data],2,FALSE)</f>
        <v>Kadir TOPÇU</v>
      </c>
    </row>
    <row r="4090" spans="1:27" x14ac:dyDescent="0.25">
      <c r="A4090">
        <v>5468</v>
      </c>
      <c r="B4090" t="s">
        <v>27</v>
      </c>
      <c r="C4090" t="s">
        <v>402</v>
      </c>
      <c r="D4090" t="s">
        <v>403</v>
      </c>
      <c r="G4090" t="s">
        <v>384</v>
      </c>
      <c r="H4090" t="s">
        <v>11074</v>
      </c>
      <c r="I4090" s="4">
        <v>45443.875</v>
      </c>
      <c r="K4090" t="s">
        <v>1528</v>
      </c>
      <c r="L4090" s="5"/>
      <c r="M4090" s="5" t="s">
        <v>8423</v>
      </c>
      <c r="N4090" t="s">
        <v>82</v>
      </c>
      <c r="O4090" t="s">
        <v>11075</v>
      </c>
      <c r="R4090">
        <v>1</v>
      </c>
      <c r="T4090" s="5"/>
      <c r="W4090">
        <v>270</v>
      </c>
      <c r="X4090" t="s">
        <v>8412</v>
      </c>
      <c r="Y4090" t="str">
        <f>VLOOKUP(C4090,'[1]DBS_KPY Sorumlular'!A:C,2,FALSE)</f>
        <v>Tayfun VİÇE</v>
      </c>
      <c r="Z4090" t="str">
        <f>VLOOKUP(C4090,'[1]DBS_KPY Sorumlular'!A:C,3,FALSE)</f>
        <v>Mehmet Ali YAVUZ</v>
      </c>
      <c r="AA4090" t="str">
        <f>VLOOKUP(K4090,[1]!Tablo3[#Data],2,FALSE)</f>
        <v>Tayfun VİÇE</v>
      </c>
    </row>
    <row r="4091" spans="1:27" x14ac:dyDescent="0.25">
      <c r="A4091">
        <v>5469</v>
      </c>
      <c r="B4091" t="s">
        <v>27</v>
      </c>
      <c r="C4091" t="s">
        <v>402</v>
      </c>
      <c r="D4091" t="s">
        <v>403</v>
      </c>
      <c r="G4091" t="s">
        <v>384</v>
      </c>
      <c r="H4091" t="s">
        <v>11076</v>
      </c>
      <c r="I4091" s="4">
        <v>45443.875</v>
      </c>
      <c r="K4091" t="s">
        <v>743</v>
      </c>
      <c r="L4091" s="5"/>
      <c r="M4091" s="5" t="s">
        <v>8423</v>
      </c>
      <c r="N4091" t="s">
        <v>82</v>
      </c>
      <c r="O4091" t="s">
        <v>11077</v>
      </c>
      <c r="R4091">
        <v>1</v>
      </c>
      <c r="T4091" s="5"/>
      <c r="W4091">
        <v>270</v>
      </c>
      <c r="X4091" t="s">
        <v>8412</v>
      </c>
      <c r="Y4091" t="str">
        <f>VLOOKUP(C4091,'[1]DBS_KPY Sorumlular'!A:C,2,FALSE)</f>
        <v>Tayfun VİÇE</v>
      </c>
      <c r="Z4091" t="str">
        <f>VLOOKUP(C4091,'[1]DBS_KPY Sorumlular'!A:C,3,FALSE)</f>
        <v>Mehmet Ali YAVUZ</v>
      </c>
      <c r="AA4091" t="str">
        <f>VLOOKUP(K4091,[1]!Tablo3[#Data],2,FALSE)</f>
        <v>Kadir TOPÇU</v>
      </c>
    </row>
    <row r="4092" spans="1:27" x14ac:dyDescent="0.25">
      <c r="A4092">
        <v>5470</v>
      </c>
      <c r="B4092" t="s">
        <v>27</v>
      </c>
      <c r="C4092" t="s">
        <v>402</v>
      </c>
      <c r="D4092" t="s">
        <v>403</v>
      </c>
      <c r="G4092" t="s">
        <v>384</v>
      </c>
      <c r="H4092" t="s">
        <v>11078</v>
      </c>
      <c r="I4092" s="4">
        <v>45443.875</v>
      </c>
      <c r="K4092" t="s">
        <v>743</v>
      </c>
      <c r="L4092" s="5"/>
      <c r="M4092" s="5" t="s">
        <v>8423</v>
      </c>
      <c r="N4092" t="s">
        <v>82</v>
      </c>
      <c r="O4092" t="s">
        <v>11079</v>
      </c>
      <c r="R4092">
        <v>1</v>
      </c>
      <c r="T4092" s="5"/>
      <c r="W4092">
        <v>270</v>
      </c>
      <c r="X4092" t="s">
        <v>8412</v>
      </c>
      <c r="Y4092" t="str">
        <f>VLOOKUP(C4092,'[1]DBS_KPY Sorumlular'!A:C,2,FALSE)</f>
        <v>Tayfun VİÇE</v>
      </c>
      <c r="Z4092" t="str">
        <f>VLOOKUP(C4092,'[1]DBS_KPY Sorumlular'!A:C,3,FALSE)</f>
        <v>Mehmet Ali YAVUZ</v>
      </c>
      <c r="AA4092" t="str">
        <f>VLOOKUP(K4092,[1]!Tablo3[#Data],2,FALSE)</f>
        <v>Kadir TOPÇU</v>
      </c>
    </row>
    <row r="4093" spans="1:27" x14ac:dyDescent="0.25">
      <c r="A4093">
        <v>5471</v>
      </c>
      <c r="B4093" t="s">
        <v>27</v>
      </c>
      <c r="C4093" t="s">
        <v>402</v>
      </c>
      <c r="D4093" t="s">
        <v>403</v>
      </c>
      <c r="G4093" t="s">
        <v>384</v>
      </c>
      <c r="H4093" t="s">
        <v>11080</v>
      </c>
      <c r="I4093" s="4">
        <v>45443.875</v>
      </c>
      <c r="K4093" t="s">
        <v>743</v>
      </c>
      <c r="L4093" s="5"/>
      <c r="M4093" s="5" t="s">
        <v>8423</v>
      </c>
      <c r="N4093" t="s">
        <v>82</v>
      </c>
      <c r="O4093" t="s">
        <v>11081</v>
      </c>
      <c r="R4093">
        <v>1</v>
      </c>
      <c r="T4093" s="5"/>
      <c r="W4093">
        <v>270</v>
      </c>
      <c r="X4093" t="s">
        <v>8412</v>
      </c>
      <c r="Y4093" t="str">
        <f>VLOOKUP(C4093,'[1]DBS_KPY Sorumlular'!A:C,2,FALSE)</f>
        <v>Tayfun VİÇE</v>
      </c>
      <c r="Z4093" t="str">
        <f>VLOOKUP(C4093,'[1]DBS_KPY Sorumlular'!A:C,3,FALSE)</f>
        <v>Mehmet Ali YAVUZ</v>
      </c>
      <c r="AA4093" t="str">
        <f>VLOOKUP(K4093,[1]!Tablo3[#Data],2,FALSE)</f>
        <v>Kadir TOPÇU</v>
      </c>
    </row>
    <row r="4094" spans="1:27" x14ac:dyDescent="0.25">
      <c r="A4094">
        <v>5472</v>
      </c>
      <c r="B4094" t="s">
        <v>27</v>
      </c>
      <c r="C4094" t="s">
        <v>402</v>
      </c>
      <c r="D4094" t="s">
        <v>403</v>
      </c>
      <c r="G4094" t="s">
        <v>384</v>
      </c>
      <c r="H4094" t="s">
        <v>11082</v>
      </c>
      <c r="I4094" s="4">
        <v>45443.875</v>
      </c>
      <c r="K4094" t="s">
        <v>914</v>
      </c>
      <c r="L4094" s="5"/>
      <c r="M4094" s="5" t="s">
        <v>8423</v>
      </c>
      <c r="N4094" t="s">
        <v>82</v>
      </c>
      <c r="O4094" t="s">
        <v>11083</v>
      </c>
      <c r="R4094">
        <v>1</v>
      </c>
      <c r="T4094" s="5"/>
      <c r="W4094">
        <v>270</v>
      </c>
      <c r="X4094" t="s">
        <v>8412</v>
      </c>
      <c r="Y4094" t="str">
        <f>VLOOKUP(C4094,'[1]DBS_KPY Sorumlular'!A:C,2,FALSE)</f>
        <v>Tayfun VİÇE</v>
      </c>
      <c r="Z4094" t="str">
        <f>VLOOKUP(C4094,'[1]DBS_KPY Sorumlular'!A:C,3,FALSE)</f>
        <v>Mehmet Ali YAVUZ</v>
      </c>
      <c r="AA4094" t="str">
        <f>VLOOKUP(K4094,[1]!Tablo3[#Data],2,FALSE)</f>
        <v>Tayfun VİÇE</v>
      </c>
    </row>
    <row r="4095" spans="1:27" x14ac:dyDescent="0.25">
      <c r="A4095">
        <v>5474</v>
      </c>
      <c r="B4095" t="s">
        <v>27</v>
      </c>
      <c r="C4095" t="s">
        <v>402</v>
      </c>
      <c r="D4095" t="s">
        <v>403</v>
      </c>
      <c r="G4095" t="s">
        <v>384</v>
      </c>
      <c r="H4095" t="s">
        <v>11084</v>
      </c>
      <c r="I4095" s="4">
        <v>44712.875</v>
      </c>
      <c r="K4095" t="s">
        <v>1550</v>
      </c>
      <c r="L4095" s="5"/>
      <c r="M4095" s="5"/>
      <c r="N4095" t="s">
        <v>82</v>
      </c>
      <c r="O4095" t="s">
        <v>11085</v>
      </c>
      <c r="R4095">
        <v>1</v>
      </c>
      <c r="T4095" s="5"/>
      <c r="W4095">
        <v>196</v>
      </c>
      <c r="X4095" t="s">
        <v>7066</v>
      </c>
      <c r="Y4095" t="str">
        <f>VLOOKUP(C4095,'[1]DBS_KPY Sorumlular'!A:C,2,FALSE)</f>
        <v>Tayfun VİÇE</v>
      </c>
      <c r="Z4095" t="str">
        <f>VLOOKUP(C4095,'[1]DBS_KPY Sorumlular'!A:C,3,FALSE)</f>
        <v>Mehmet Ali YAVUZ</v>
      </c>
      <c r="AA4095" t="str">
        <f>VLOOKUP(K4095,[1]!Tablo3[#Data],2,FALSE)</f>
        <v>Kadir TOPÇU</v>
      </c>
    </row>
    <row r="4096" spans="1:27" x14ac:dyDescent="0.25">
      <c r="A4096">
        <v>5475</v>
      </c>
      <c r="B4096" t="s">
        <v>27</v>
      </c>
      <c r="C4096" t="s">
        <v>402</v>
      </c>
      <c r="D4096" t="s">
        <v>403</v>
      </c>
      <c r="G4096" t="s">
        <v>384</v>
      </c>
      <c r="H4096" t="s">
        <v>11086</v>
      </c>
      <c r="I4096" s="4">
        <v>44712.875</v>
      </c>
      <c r="K4096" t="s">
        <v>1550</v>
      </c>
      <c r="L4096" s="5"/>
      <c r="M4096" s="5"/>
      <c r="N4096" t="s">
        <v>82</v>
      </c>
      <c r="O4096" t="s">
        <v>11087</v>
      </c>
      <c r="R4096">
        <v>1</v>
      </c>
      <c r="T4096" s="5"/>
      <c r="W4096">
        <v>32</v>
      </c>
      <c r="X4096" t="s">
        <v>4412</v>
      </c>
      <c r="Y4096" t="str">
        <f>VLOOKUP(C4096,'[1]DBS_KPY Sorumlular'!A:C,2,FALSE)</f>
        <v>Tayfun VİÇE</v>
      </c>
      <c r="Z4096" t="str">
        <f>VLOOKUP(C4096,'[1]DBS_KPY Sorumlular'!A:C,3,FALSE)</f>
        <v>Mehmet Ali YAVUZ</v>
      </c>
      <c r="AA4096" t="str">
        <f>VLOOKUP(K4096,[1]!Tablo3[#Data],2,FALSE)</f>
        <v>Kadir TOPÇU</v>
      </c>
    </row>
    <row r="4097" spans="1:27" x14ac:dyDescent="0.25">
      <c r="A4097">
        <v>5476</v>
      </c>
      <c r="B4097" t="s">
        <v>27</v>
      </c>
      <c r="C4097" t="s">
        <v>402</v>
      </c>
      <c r="D4097" t="s">
        <v>403</v>
      </c>
      <c r="G4097" t="s">
        <v>384</v>
      </c>
      <c r="H4097" t="s">
        <v>11088</v>
      </c>
      <c r="I4097" s="4">
        <v>45077.875</v>
      </c>
      <c r="K4097" t="s">
        <v>678</v>
      </c>
      <c r="L4097" s="5"/>
      <c r="M4097" s="5"/>
      <c r="N4097" t="s">
        <v>82</v>
      </c>
      <c r="O4097" t="s">
        <v>11089</v>
      </c>
      <c r="R4097">
        <v>1</v>
      </c>
      <c r="T4097" s="5"/>
      <c r="W4097">
        <v>131</v>
      </c>
      <c r="X4097" t="s">
        <v>61</v>
      </c>
      <c r="Y4097" t="str">
        <f>VLOOKUP(C4097,'[1]DBS_KPY Sorumlular'!A:C,2,FALSE)</f>
        <v>Tayfun VİÇE</v>
      </c>
      <c r="Z4097" t="str">
        <f>VLOOKUP(C4097,'[1]DBS_KPY Sorumlular'!A:C,3,FALSE)</f>
        <v>Mehmet Ali YAVUZ</v>
      </c>
      <c r="AA4097" t="str">
        <f>VLOOKUP(K4097,[1]!Tablo3[#Data],2,FALSE)</f>
        <v>Kadir TOPÇU</v>
      </c>
    </row>
    <row r="4098" spans="1:27" x14ac:dyDescent="0.25">
      <c r="A4098">
        <v>5477</v>
      </c>
      <c r="B4098" t="s">
        <v>27</v>
      </c>
      <c r="C4098" t="s">
        <v>402</v>
      </c>
      <c r="D4098" t="s">
        <v>403</v>
      </c>
      <c r="G4098" t="s">
        <v>384</v>
      </c>
      <c r="H4098" t="s">
        <v>11090</v>
      </c>
      <c r="I4098" s="4">
        <v>45077.875</v>
      </c>
      <c r="K4098" t="s">
        <v>1550</v>
      </c>
      <c r="L4098" s="5"/>
      <c r="M4098" s="5"/>
      <c r="N4098" t="s">
        <v>82</v>
      </c>
      <c r="O4098" t="s">
        <v>11091</v>
      </c>
      <c r="R4098">
        <v>1</v>
      </c>
      <c r="T4098" s="5"/>
      <c r="W4098">
        <v>131</v>
      </c>
      <c r="X4098" t="s">
        <v>61</v>
      </c>
      <c r="Y4098" t="str">
        <f>VLOOKUP(C4098,'[1]DBS_KPY Sorumlular'!A:C,2,FALSE)</f>
        <v>Tayfun VİÇE</v>
      </c>
      <c r="Z4098" t="str">
        <f>VLOOKUP(C4098,'[1]DBS_KPY Sorumlular'!A:C,3,FALSE)</f>
        <v>Mehmet Ali YAVUZ</v>
      </c>
      <c r="AA4098" t="str">
        <f>VLOOKUP(K4098,[1]!Tablo3[#Data],2,FALSE)</f>
        <v>Kadir TOPÇU</v>
      </c>
    </row>
    <row r="4099" spans="1:27" x14ac:dyDescent="0.25">
      <c r="A4099">
        <v>5478</v>
      </c>
      <c r="B4099" t="s">
        <v>27</v>
      </c>
      <c r="C4099" t="s">
        <v>402</v>
      </c>
      <c r="D4099" t="s">
        <v>403</v>
      </c>
      <c r="G4099" t="s">
        <v>384</v>
      </c>
      <c r="H4099" t="s">
        <v>11092</v>
      </c>
      <c r="I4099" s="4">
        <v>45443.875</v>
      </c>
      <c r="K4099" t="s">
        <v>1528</v>
      </c>
      <c r="L4099" s="5"/>
      <c r="M4099" s="5" t="s">
        <v>8423</v>
      </c>
      <c r="N4099" t="s">
        <v>82</v>
      </c>
      <c r="O4099" t="s">
        <v>11093</v>
      </c>
      <c r="R4099">
        <v>1</v>
      </c>
      <c r="T4099" s="5"/>
      <c r="W4099">
        <v>270</v>
      </c>
      <c r="X4099" t="s">
        <v>8412</v>
      </c>
      <c r="Y4099" t="str">
        <f>VLOOKUP(C4099,'[1]DBS_KPY Sorumlular'!A:C,2,FALSE)</f>
        <v>Tayfun VİÇE</v>
      </c>
      <c r="Z4099" t="str">
        <f>VLOOKUP(C4099,'[1]DBS_KPY Sorumlular'!A:C,3,FALSE)</f>
        <v>Mehmet Ali YAVUZ</v>
      </c>
      <c r="AA4099" t="str">
        <f>VLOOKUP(K4099,[1]!Tablo3[#Data],2,FALSE)</f>
        <v>Tayfun VİÇE</v>
      </c>
    </row>
    <row r="4100" spans="1:27" x14ac:dyDescent="0.25">
      <c r="A4100">
        <v>5479</v>
      </c>
      <c r="B4100" t="s">
        <v>27</v>
      </c>
      <c r="C4100" t="s">
        <v>402</v>
      </c>
      <c r="D4100" t="s">
        <v>403</v>
      </c>
      <c r="G4100" t="s">
        <v>384</v>
      </c>
      <c r="H4100" t="s">
        <v>11094</v>
      </c>
      <c r="I4100" s="4">
        <v>45443.875</v>
      </c>
      <c r="K4100" t="s">
        <v>1550</v>
      </c>
      <c r="L4100" s="5"/>
      <c r="M4100" s="5" t="s">
        <v>8423</v>
      </c>
      <c r="N4100" t="s">
        <v>82</v>
      </c>
      <c r="O4100" t="s">
        <v>11095</v>
      </c>
      <c r="R4100">
        <v>1</v>
      </c>
      <c r="T4100" s="5"/>
      <c r="W4100">
        <v>270</v>
      </c>
      <c r="X4100" t="s">
        <v>8412</v>
      </c>
      <c r="Y4100" t="str">
        <f>VLOOKUP(C4100,'[1]DBS_KPY Sorumlular'!A:C,2,FALSE)</f>
        <v>Tayfun VİÇE</v>
      </c>
      <c r="Z4100" t="str">
        <f>VLOOKUP(C4100,'[1]DBS_KPY Sorumlular'!A:C,3,FALSE)</f>
        <v>Mehmet Ali YAVUZ</v>
      </c>
      <c r="AA4100" t="str">
        <f>VLOOKUP(K4100,[1]!Tablo3[#Data],2,FALSE)</f>
        <v>Kadir TOPÇU</v>
      </c>
    </row>
    <row r="4101" spans="1:27" x14ac:dyDescent="0.25">
      <c r="A4101">
        <v>5480</v>
      </c>
      <c r="B4101" t="s">
        <v>27</v>
      </c>
      <c r="C4101" t="s">
        <v>402</v>
      </c>
      <c r="D4101" t="s">
        <v>403</v>
      </c>
      <c r="G4101" t="s">
        <v>384</v>
      </c>
      <c r="H4101" t="s">
        <v>11096</v>
      </c>
      <c r="I4101" s="4">
        <v>45443.875</v>
      </c>
      <c r="K4101" t="s">
        <v>1528</v>
      </c>
      <c r="L4101" s="5"/>
      <c r="M4101" s="5" t="s">
        <v>8423</v>
      </c>
      <c r="N4101" t="s">
        <v>82</v>
      </c>
      <c r="O4101" t="s">
        <v>11097</v>
      </c>
      <c r="R4101">
        <v>1</v>
      </c>
      <c r="T4101" s="5"/>
      <c r="W4101">
        <v>270</v>
      </c>
      <c r="X4101" t="s">
        <v>8412</v>
      </c>
      <c r="Y4101" t="str">
        <f>VLOOKUP(C4101,'[1]DBS_KPY Sorumlular'!A:C,2,FALSE)</f>
        <v>Tayfun VİÇE</v>
      </c>
      <c r="Z4101" t="str">
        <f>VLOOKUP(C4101,'[1]DBS_KPY Sorumlular'!A:C,3,FALSE)</f>
        <v>Mehmet Ali YAVUZ</v>
      </c>
      <c r="AA4101" t="str">
        <f>VLOOKUP(K4101,[1]!Tablo3[#Data],2,FALSE)</f>
        <v>Tayfun VİÇE</v>
      </c>
    </row>
    <row r="4102" spans="1:27" x14ac:dyDescent="0.25">
      <c r="A4102">
        <v>5481</v>
      </c>
      <c r="B4102" t="s">
        <v>27</v>
      </c>
      <c r="C4102" t="s">
        <v>402</v>
      </c>
      <c r="D4102" t="s">
        <v>403</v>
      </c>
      <c r="G4102" t="s">
        <v>384</v>
      </c>
      <c r="H4102" t="s">
        <v>11098</v>
      </c>
      <c r="I4102" s="4">
        <v>45443.875</v>
      </c>
      <c r="K4102" t="s">
        <v>1528</v>
      </c>
      <c r="L4102" s="5"/>
      <c r="M4102" s="5" t="s">
        <v>8423</v>
      </c>
      <c r="N4102" t="s">
        <v>82</v>
      </c>
      <c r="O4102" t="s">
        <v>11099</v>
      </c>
      <c r="R4102">
        <v>1</v>
      </c>
      <c r="T4102" s="5"/>
      <c r="W4102">
        <v>270</v>
      </c>
      <c r="X4102" t="s">
        <v>8412</v>
      </c>
      <c r="Y4102" t="str">
        <f>VLOOKUP(C4102,'[1]DBS_KPY Sorumlular'!A:C,2,FALSE)</f>
        <v>Tayfun VİÇE</v>
      </c>
      <c r="Z4102" t="str">
        <f>VLOOKUP(C4102,'[1]DBS_KPY Sorumlular'!A:C,3,FALSE)</f>
        <v>Mehmet Ali YAVUZ</v>
      </c>
      <c r="AA4102" t="str">
        <f>VLOOKUP(K4102,[1]!Tablo3[#Data],2,FALSE)</f>
        <v>Tayfun VİÇE</v>
      </c>
    </row>
    <row r="4103" spans="1:27" x14ac:dyDescent="0.25">
      <c r="A4103">
        <v>5482</v>
      </c>
      <c r="B4103" t="s">
        <v>27</v>
      </c>
      <c r="C4103" t="s">
        <v>402</v>
      </c>
      <c r="D4103" t="s">
        <v>403</v>
      </c>
      <c r="G4103" t="s">
        <v>384</v>
      </c>
      <c r="H4103" t="s">
        <v>11100</v>
      </c>
      <c r="I4103" s="4">
        <v>45443.875</v>
      </c>
      <c r="K4103" t="s">
        <v>1528</v>
      </c>
      <c r="L4103" s="5"/>
      <c r="M4103" s="5" t="s">
        <v>8423</v>
      </c>
      <c r="N4103" t="s">
        <v>82</v>
      </c>
      <c r="O4103" t="s">
        <v>11101</v>
      </c>
      <c r="R4103">
        <v>1</v>
      </c>
      <c r="T4103" s="5"/>
      <c r="W4103">
        <v>270</v>
      </c>
      <c r="X4103" t="s">
        <v>8412</v>
      </c>
      <c r="Y4103" t="str">
        <f>VLOOKUP(C4103,'[1]DBS_KPY Sorumlular'!A:C,2,FALSE)</f>
        <v>Tayfun VİÇE</v>
      </c>
      <c r="Z4103" t="str">
        <f>VLOOKUP(C4103,'[1]DBS_KPY Sorumlular'!A:C,3,FALSE)</f>
        <v>Mehmet Ali YAVUZ</v>
      </c>
      <c r="AA4103" t="str">
        <f>VLOOKUP(K4103,[1]!Tablo3[#Data],2,FALSE)</f>
        <v>Tayfun VİÇE</v>
      </c>
    </row>
    <row r="4104" spans="1:27" x14ac:dyDescent="0.25">
      <c r="A4104">
        <v>5483</v>
      </c>
      <c r="B4104" t="s">
        <v>27</v>
      </c>
      <c r="C4104" t="s">
        <v>402</v>
      </c>
      <c r="D4104" t="s">
        <v>403</v>
      </c>
      <c r="G4104" t="s">
        <v>384</v>
      </c>
      <c r="H4104" t="s">
        <v>11102</v>
      </c>
      <c r="I4104" s="4">
        <v>45443.875</v>
      </c>
      <c r="K4104" t="s">
        <v>1528</v>
      </c>
      <c r="L4104" s="5"/>
      <c r="M4104" s="5" t="s">
        <v>8423</v>
      </c>
      <c r="N4104" t="s">
        <v>82</v>
      </c>
      <c r="O4104" t="s">
        <v>11103</v>
      </c>
      <c r="R4104">
        <v>1</v>
      </c>
      <c r="T4104" s="5"/>
      <c r="W4104">
        <v>270</v>
      </c>
      <c r="X4104" t="s">
        <v>8412</v>
      </c>
      <c r="Y4104" t="str">
        <f>VLOOKUP(C4104,'[1]DBS_KPY Sorumlular'!A:C,2,FALSE)</f>
        <v>Tayfun VİÇE</v>
      </c>
      <c r="Z4104" t="str">
        <f>VLOOKUP(C4104,'[1]DBS_KPY Sorumlular'!A:C,3,FALSE)</f>
        <v>Mehmet Ali YAVUZ</v>
      </c>
      <c r="AA4104" t="str">
        <f>VLOOKUP(K4104,[1]!Tablo3[#Data],2,FALSE)</f>
        <v>Tayfun VİÇE</v>
      </c>
    </row>
    <row r="4105" spans="1:27" x14ac:dyDescent="0.25">
      <c r="A4105">
        <v>5484</v>
      </c>
      <c r="B4105" t="s">
        <v>27</v>
      </c>
      <c r="C4105" t="s">
        <v>402</v>
      </c>
      <c r="D4105" t="s">
        <v>403</v>
      </c>
      <c r="G4105" t="s">
        <v>384</v>
      </c>
      <c r="H4105" t="s">
        <v>11104</v>
      </c>
      <c r="I4105" s="4">
        <v>45443.875</v>
      </c>
      <c r="K4105" t="s">
        <v>1528</v>
      </c>
      <c r="L4105" s="5"/>
      <c r="M4105" s="5" t="s">
        <v>8423</v>
      </c>
      <c r="N4105" t="s">
        <v>82</v>
      </c>
      <c r="O4105" t="s">
        <v>11103</v>
      </c>
      <c r="R4105">
        <v>1</v>
      </c>
      <c r="T4105" s="5"/>
      <c r="W4105">
        <v>270</v>
      </c>
      <c r="X4105" t="s">
        <v>8412</v>
      </c>
      <c r="Y4105" t="str">
        <f>VLOOKUP(C4105,'[1]DBS_KPY Sorumlular'!A:C,2,FALSE)</f>
        <v>Tayfun VİÇE</v>
      </c>
      <c r="Z4105" t="str">
        <f>VLOOKUP(C4105,'[1]DBS_KPY Sorumlular'!A:C,3,FALSE)</f>
        <v>Mehmet Ali YAVUZ</v>
      </c>
      <c r="AA4105" t="str">
        <f>VLOOKUP(K4105,[1]!Tablo3[#Data],2,FALSE)</f>
        <v>Tayfun VİÇE</v>
      </c>
    </row>
    <row r="4106" spans="1:27" x14ac:dyDescent="0.25">
      <c r="A4106">
        <v>5485</v>
      </c>
      <c r="B4106" t="s">
        <v>27</v>
      </c>
      <c r="C4106" t="s">
        <v>402</v>
      </c>
      <c r="D4106" t="s">
        <v>403</v>
      </c>
      <c r="G4106" t="s">
        <v>384</v>
      </c>
      <c r="H4106" t="s">
        <v>11105</v>
      </c>
      <c r="I4106" s="4">
        <v>45443.875</v>
      </c>
      <c r="K4106" t="s">
        <v>1528</v>
      </c>
      <c r="L4106" s="5"/>
      <c r="M4106" s="5" t="s">
        <v>8423</v>
      </c>
      <c r="N4106" t="s">
        <v>82</v>
      </c>
      <c r="O4106" t="s">
        <v>11106</v>
      </c>
      <c r="R4106">
        <v>1</v>
      </c>
      <c r="T4106" s="5"/>
      <c r="W4106">
        <v>270</v>
      </c>
      <c r="X4106" t="s">
        <v>8412</v>
      </c>
      <c r="Y4106" t="str">
        <f>VLOOKUP(C4106,'[1]DBS_KPY Sorumlular'!A:C,2,FALSE)</f>
        <v>Tayfun VİÇE</v>
      </c>
      <c r="Z4106" t="str">
        <f>VLOOKUP(C4106,'[1]DBS_KPY Sorumlular'!A:C,3,FALSE)</f>
        <v>Mehmet Ali YAVUZ</v>
      </c>
      <c r="AA4106" t="str">
        <f>VLOOKUP(K4106,[1]!Tablo3[#Data],2,FALSE)</f>
        <v>Tayfun VİÇE</v>
      </c>
    </row>
    <row r="4107" spans="1:27" x14ac:dyDescent="0.25">
      <c r="A4107">
        <v>5486</v>
      </c>
      <c r="B4107" t="s">
        <v>27</v>
      </c>
      <c r="C4107" t="s">
        <v>402</v>
      </c>
      <c r="D4107" t="s">
        <v>403</v>
      </c>
      <c r="G4107" t="s">
        <v>384</v>
      </c>
      <c r="H4107" t="s">
        <v>11107</v>
      </c>
      <c r="I4107" s="4">
        <v>45443.875</v>
      </c>
      <c r="K4107" t="s">
        <v>1528</v>
      </c>
      <c r="L4107" s="5"/>
      <c r="M4107" s="5" t="s">
        <v>8423</v>
      </c>
      <c r="N4107" t="s">
        <v>82</v>
      </c>
      <c r="O4107" t="s">
        <v>11108</v>
      </c>
      <c r="R4107">
        <v>1</v>
      </c>
      <c r="T4107" s="5"/>
      <c r="W4107">
        <v>270</v>
      </c>
      <c r="X4107" t="s">
        <v>8412</v>
      </c>
      <c r="Y4107" t="str">
        <f>VLOOKUP(C4107,'[1]DBS_KPY Sorumlular'!A:C,2,FALSE)</f>
        <v>Tayfun VİÇE</v>
      </c>
      <c r="Z4107" t="str">
        <f>VLOOKUP(C4107,'[1]DBS_KPY Sorumlular'!A:C,3,FALSE)</f>
        <v>Mehmet Ali YAVUZ</v>
      </c>
      <c r="AA4107" t="str">
        <f>VLOOKUP(K4107,[1]!Tablo3[#Data],2,FALSE)</f>
        <v>Tayfun VİÇE</v>
      </c>
    </row>
    <row r="4108" spans="1:27" x14ac:dyDescent="0.25">
      <c r="A4108">
        <v>5487</v>
      </c>
      <c r="B4108" t="s">
        <v>27</v>
      </c>
      <c r="C4108" t="s">
        <v>402</v>
      </c>
      <c r="D4108" t="s">
        <v>403</v>
      </c>
      <c r="G4108" t="s">
        <v>384</v>
      </c>
      <c r="H4108" t="s">
        <v>11109</v>
      </c>
      <c r="I4108" s="4">
        <v>45443.875</v>
      </c>
      <c r="K4108" t="s">
        <v>1528</v>
      </c>
      <c r="L4108" s="5" t="s">
        <v>11110</v>
      </c>
      <c r="M4108" s="5" t="s">
        <v>8423</v>
      </c>
      <c r="N4108" t="s">
        <v>82</v>
      </c>
      <c r="O4108" t="s">
        <v>11111</v>
      </c>
      <c r="R4108">
        <v>1</v>
      </c>
      <c r="T4108" s="5"/>
      <c r="W4108">
        <v>270</v>
      </c>
      <c r="X4108" t="s">
        <v>8412</v>
      </c>
      <c r="Y4108" t="str">
        <f>VLOOKUP(C4108,'[1]DBS_KPY Sorumlular'!A:C,2,FALSE)</f>
        <v>Tayfun VİÇE</v>
      </c>
      <c r="Z4108" t="str">
        <f>VLOOKUP(C4108,'[1]DBS_KPY Sorumlular'!A:C,3,FALSE)</f>
        <v>Mehmet Ali YAVUZ</v>
      </c>
      <c r="AA4108" t="str">
        <f>VLOOKUP(K4108,[1]!Tablo3[#Data],2,FALSE)</f>
        <v>Tayfun VİÇE</v>
      </c>
    </row>
    <row r="4109" spans="1:27" x14ac:dyDescent="0.25">
      <c r="A4109">
        <v>5488</v>
      </c>
      <c r="B4109" t="s">
        <v>27</v>
      </c>
      <c r="C4109" t="s">
        <v>402</v>
      </c>
      <c r="D4109" t="s">
        <v>403</v>
      </c>
      <c r="G4109" t="s">
        <v>384</v>
      </c>
      <c r="H4109" t="s">
        <v>11112</v>
      </c>
      <c r="I4109" s="4">
        <v>45443.875</v>
      </c>
      <c r="K4109" t="s">
        <v>1528</v>
      </c>
      <c r="L4109" s="5"/>
      <c r="M4109" s="5" t="s">
        <v>8423</v>
      </c>
      <c r="N4109" t="s">
        <v>82</v>
      </c>
      <c r="O4109" t="s">
        <v>11113</v>
      </c>
      <c r="R4109">
        <v>1</v>
      </c>
      <c r="T4109" s="5"/>
      <c r="W4109">
        <v>270</v>
      </c>
      <c r="X4109" t="s">
        <v>8412</v>
      </c>
      <c r="Y4109" t="str">
        <f>VLOOKUP(C4109,'[1]DBS_KPY Sorumlular'!A:C,2,FALSE)</f>
        <v>Tayfun VİÇE</v>
      </c>
      <c r="Z4109" t="str">
        <f>VLOOKUP(C4109,'[1]DBS_KPY Sorumlular'!A:C,3,FALSE)</f>
        <v>Mehmet Ali YAVUZ</v>
      </c>
      <c r="AA4109" t="str">
        <f>VLOOKUP(K4109,[1]!Tablo3[#Data],2,FALSE)</f>
        <v>Tayfun VİÇE</v>
      </c>
    </row>
    <row r="4110" spans="1:27" x14ac:dyDescent="0.25">
      <c r="A4110">
        <v>5489</v>
      </c>
      <c r="B4110" t="s">
        <v>27</v>
      </c>
      <c r="C4110" t="s">
        <v>402</v>
      </c>
      <c r="D4110" t="s">
        <v>403</v>
      </c>
      <c r="G4110" t="s">
        <v>384</v>
      </c>
      <c r="H4110" t="s">
        <v>11114</v>
      </c>
      <c r="I4110" s="4">
        <v>45443.875</v>
      </c>
      <c r="K4110" t="s">
        <v>1528</v>
      </c>
      <c r="L4110" s="5" t="s">
        <v>8401</v>
      </c>
      <c r="M4110" s="5" t="s">
        <v>8423</v>
      </c>
      <c r="N4110" t="s">
        <v>82</v>
      </c>
      <c r="O4110" t="s">
        <v>11115</v>
      </c>
      <c r="R4110">
        <v>1</v>
      </c>
      <c r="T4110" s="5"/>
      <c r="W4110">
        <v>270</v>
      </c>
      <c r="X4110" t="s">
        <v>8412</v>
      </c>
      <c r="Y4110" t="str">
        <f>VLOOKUP(C4110,'[1]DBS_KPY Sorumlular'!A:C,2,FALSE)</f>
        <v>Tayfun VİÇE</v>
      </c>
      <c r="Z4110" t="str">
        <f>VLOOKUP(C4110,'[1]DBS_KPY Sorumlular'!A:C,3,FALSE)</f>
        <v>Mehmet Ali YAVUZ</v>
      </c>
      <c r="AA4110" t="str">
        <f>VLOOKUP(K4110,[1]!Tablo3[#Data],2,FALSE)</f>
        <v>Tayfun VİÇE</v>
      </c>
    </row>
    <row r="4111" spans="1:27" x14ac:dyDescent="0.25">
      <c r="A4111">
        <v>5490</v>
      </c>
      <c r="B4111" t="s">
        <v>27</v>
      </c>
      <c r="C4111" t="s">
        <v>402</v>
      </c>
      <c r="D4111" t="s">
        <v>403</v>
      </c>
      <c r="G4111" t="s">
        <v>384</v>
      </c>
      <c r="H4111" t="s">
        <v>11116</v>
      </c>
      <c r="I4111" s="4">
        <v>45443.875</v>
      </c>
      <c r="K4111" t="s">
        <v>1528</v>
      </c>
      <c r="L4111" s="5" t="s">
        <v>8401</v>
      </c>
      <c r="M4111" s="5" t="s">
        <v>8423</v>
      </c>
      <c r="N4111" t="s">
        <v>82</v>
      </c>
      <c r="O4111" t="s">
        <v>11117</v>
      </c>
      <c r="R4111">
        <v>1</v>
      </c>
      <c r="T4111" s="5"/>
      <c r="W4111">
        <v>270</v>
      </c>
      <c r="X4111" t="s">
        <v>8412</v>
      </c>
      <c r="Y4111" t="str">
        <f>VLOOKUP(C4111,'[1]DBS_KPY Sorumlular'!A:C,2,FALSE)</f>
        <v>Tayfun VİÇE</v>
      </c>
      <c r="Z4111" t="str">
        <f>VLOOKUP(C4111,'[1]DBS_KPY Sorumlular'!A:C,3,FALSE)</f>
        <v>Mehmet Ali YAVUZ</v>
      </c>
      <c r="AA4111" t="str">
        <f>VLOOKUP(K4111,[1]!Tablo3[#Data],2,FALSE)</f>
        <v>Tayfun VİÇE</v>
      </c>
    </row>
    <row r="4112" spans="1:27" x14ac:dyDescent="0.25">
      <c r="A4112">
        <v>5491</v>
      </c>
      <c r="B4112" t="s">
        <v>27</v>
      </c>
      <c r="C4112" t="s">
        <v>402</v>
      </c>
      <c r="D4112" t="s">
        <v>403</v>
      </c>
      <c r="G4112" t="s">
        <v>384</v>
      </c>
      <c r="H4112" t="s">
        <v>11118</v>
      </c>
      <c r="I4112" s="4">
        <v>45443.875</v>
      </c>
      <c r="K4112" t="s">
        <v>1528</v>
      </c>
      <c r="L4112" s="5" t="s">
        <v>8401</v>
      </c>
      <c r="M4112" s="5" t="s">
        <v>8423</v>
      </c>
      <c r="N4112" t="s">
        <v>82</v>
      </c>
      <c r="O4112" t="s">
        <v>11119</v>
      </c>
      <c r="R4112">
        <v>1</v>
      </c>
      <c r="T4112" s="5"/>
      <c r="W4112">
        <v>270</v>
      </c>
      <c r="X4112" t="s">
        <v>8412</v>
      </c>
      <c r="Y4112" t="str">
        <f>VLOOKUP(C4112,'[1]DBS_KPY Sorumlular'!A:C,2,FALSE)</f>
        <v>Tayfun VİÇE</v>
      </c>
      <c r="Z4112" t="str">
        <f>VLOOKUP(C4112,'[1]DBS_KPY Sorumlular'!A:C,3,FALSE)</f>
        <v>Mehmet Ali YAVUZ</v>
      </c>
      <c r="AA4112" t="str">
        <f>VLOOKUP(K4112,[1]!Tablo3[#Data],2,FALSE)</f>
        <v>Tayfun VİÇE</v>
      </c>
    </row>
    <row r="4113" spans="1:27" x14ac:dyDescent="0.25">
      <c r="A4113">
        <v>5492</v>
      </c>
      <c r="B4113" t="s">
        <v>27</v>
      </c>
      <c r="C4113" t="s">
        <v>402</v>
      </c>
      <c r="D4113" t="s">
        <v>403</v>
      </c>
      <c r="G4113" t="s">
        <v>384</v>
      </c>
      <c r="H4113" t="s">
        <v>11120</v>
      </c>
      <c r="I4113" s="4">
        <v>45443.875</v>
      </c>
      <c r="K4113" t="s">
        <v>1528</v>
      </c>
      <c r="L4113" s="5" t="s">
        <v>8401</v>
      </c>
      <c r="M4113" s="5" t="s">
        <v>8423</v>
      </c>
      <c r="N4113" t="s">
        <v>82</v>
      </c>
      <c r="O4113" t="s">
        <v>11121</v>
      </c>
      <c r="R4113">
        <v>1</v>
      </c>
      <c r="T4113" s="5"/>
      <c r="W4113">
        <v>270</v>
      </c>
      <c r="X4113" t="s">
        <v>8412</v>
      </c>
      <c r="Y4113" t="str">
        <f>VLOOKUP(C4113,'[1]DBS_KPY Sorumlular'!A:C,2,FALSE)</f>
        <v>Tayfun VİÇE</v>
      </c>
      <c r="Z4113" t="str">
        <f>VLOOKUP(C4113,'[1]DBS_KPY Sorumlular'!A:C,3,FALSE)</f>
        <v>Mehmet Ali YAVUZ</v>
      </c>
      <c r="AA4113" t="str">
        <f>VLOOKUP(K4113,[1]!Tablo3[#Data],2,FALSE)</f>
        <v>Tayfun VİÇE</v>
      </c>
    </row>
    <row r="4114" spans="1:27" x14ac:dyDescent="0.25">
      <c r="A4114">
        <v>5493</v>
      </c>
      <c r="B4114" t="s">
        <v>27</v>
      </c>
      <c r="C4114" t="s">
        <v>402</v>
      </c>
      <c r="D4114" t="s">
        <v>403</v>
      </c>
      <c r="G4114" t="s">
        <v>384</v>
      </c>
      <c r="H4114" t="s">
        <v>11122</v>
      </c>
      <c r="I4114" s="4">
        <v>45443.875</v>
      </c>
      <c r="K4114" t="s">
        <v>1528</v>
      </c>
      <c r="L4114" s="5" t="s">
        <v>8401</v>
      </c>
      <c r="M4114" s="5" t="s">
        <v>8423</v>
      </c>
      <c r="N4114" t="s">
        <v>82</v>
      </c>
      <c r="O4114" t="s">
        <v>11123</v>
      </c>
      <c r="R4114">
        <v>1</v>
      </c>
      <c r="T4114" s="5"/>
      <c r="W4114">
        <v>270</v>
      </c>
      <c r="X4114" t="s">
        <v>8412</v>
      </c>
      <c r="Y4114" t="str">
        <f>VLOOKUP(C4114,'[1]DBS_KPY Sorumlular'!A:C,2,FALSE)</f>
        <v>Tayfun VİÇE</v>
      </c>
      <c r="Z4114" t="str">
        <f>VLOOKUP(C4114,'[1]DBS_KPY Sorumlular'!A:C,3,FALSE)</f>
        <v>Mehmet Ali YAVUZ</v>
      </c>
      <c r="AA4114" t="str">
        <f>VLOOKUP(K4114,[1]!Tablo3[#Data],2,FALSE)</f>
        <v>Tayfun VİÇE</v>
      </c>
    </row>
    <row r="4115" spans="1:27" x14ac:dyDescent="0.25">
      <c r="A4115">
        <v>5494</v>
      </c>
      <c r="B4115" t="s">
        <v>27</v>
      </c>
      <c r="C4115" t="s">
        <v>402</v>
      </c>
      <c r="D4115" t="s">
        <v>403</v>
      </c>
      <c r="G4115" t="s">
        <v>384</v>
      </c>
      <c r="H4115" t="s">
        <v>11124</v>
      </c>
      <c r="I4115" s="4">
        <v>45443.875</v>
      </c>
      <c r="K4115" t="s">
        <v>1528</v>
      </c>
      <c r="L4115" s="5" t="s">
        <v>8401</v>
      </c>
      <c r="M4115" s="5" t="s">
        <v>8423</v>
      </c>
      <c r="N4115" t="s">
        <v>82</v>
      </c>
      <c r="O4115" t="s">
        <v>11125</v>
      </c>
      <c r="R4115">
        <v>1</v>
      </c>
      <c r="T4115" s="5"/>
      <c r="W4115">
        <v>270</v>
      </c>
      <c r="X4115" t="s">
        <v>8412</v>
      </c>
      <c r="Y4115" t="str">
        <f>VLOOKUP(C4115,'[1]DBS_KPY Sorumlular'!A:C,2,FALSE)</f>
        <v>Tayfun VİÇE</v>
      </c>
      <c r="Z4115" t="str">
        <f>VLOOKUP(C4115,'[1]DBS_KPY Sorumlular'!A:C,3,FALSE)</f>
        <v>Mehmet Ali YAVUZ</v>
      </c>
      <c r="AA4115" t="str">
        <f>VLOOKUP(K4115,[1]!Tablo3[#Data],2,FALSE)</f>
        <v>Tayfun VİÇE</v>
      </c>
    </row>
    <row r="4116" spans="1:27" x14ac:dyDescent="0.25">
      <c r="A4116">
        <v>5495</v>
      </c>
      <c r="B4116" t="s">
        <v>27</v>
      </c>
      <c r="C4116" t="s">
        <v>402</v>
      </c>
      <c r="D4116" t="s">
        <v>403</v>
      </c>
      <c r="G4116" t="s">
        <v>384</v>
      </c>
      <c r="H4116" t="s">
        <v>11126</v>
      </c>
      <c r="I4116" s="4">
        <v>45443.875</v>
      </c>
      <c r="K4116" t="s">
        <v>1528</v>
      </c>
      <c r="L4116" s="5" t="s">
        <v>8401</v>
      </c>
      <c r="M4116" s="5" t="s">
        <v>8423</v>
      </c>
      <c r="N4116" t="s">
        <v>82</v>
      </c>
      <c r="O4116" t="s">
        <v>11127</v>
      </c>
      <c r="R4116">
        <v>1</v>
      </c>
      <c r="T4116" s="5"/>
      <c r="W4116">
        <v>270</v>
      </c>
      <c r="X4116" t="s">
        <v>8412</v>
      </c>
      <c r="Y4116" t="str">
        <f>VLOOKUP(C4116,'[1]DBS_KPY Sorumlular'!A:C,2,FALSE)</f>
        <v>Tayfun VİÇE</v>
      </c>
      <c r="Z4116" t="str">
        <f>VLOOKUP(C4116,'[1]DBS_KPY Sorumlular'!A:C,3,FALSE)</f>
        <v>Mehmet Ali YAVUZ</v>
      </c>
      <c r="AA4116" t="str">
        <f>VLOOKUP(K4116,[1]!Tablo3[#Data],2,FALSE)</f>
        <v>Tayfun VİÇE</v>
      </c>
    </row>
    <row r="4117" spans="1:27" x14ac:dyDescent="0.25">
      <c r="A4117">
        <v>5496</v>
      </c>
      <c r="B4117" t="s">
        <v>27</v>
      </c>
      <c r="C4117" t="s">
        <v>402</v>
      </c>
      <c r="D4117" t="s">
        <v>403</v>
      </c>
      <c r="G4117" t="s">
        <v>384</v>
      </c>
      <c r="H4117" t="s">
        <v>11128</v>
      </c>
      <c r="I4117" s="4">
        <v>45443.875</v>
      </c>
      <c r="K4117" t="s">
        <v>1528</v>
      </c>
      <c r="L4117" s="5" t="s">
        <v>8401</v>
      </c>
      <c r="M4117" s="5" t="s">
        <v>8423</v>
      </c>
      <c r="N4117" t="s">
        <v>82</v>
      </c>
      <c r="O4117" t="s">
        <v>11129</v>
      </c>
      <c r="R4117">
        <v>1</v>
      </c>
      <c r="T4117" s="5"/>
      <c r="W4117">
        <v>270</v>
      </c>
      <c r="X4117" t="s">
        <v>8412</v>
      </c>
      <c r="Y4117" t="str">
        <f>VLOOKUP(C4117,'[1]DBS_KPY Sorumlular'!A:C,2,FALSE)</f>
        <v>Tayfun VİÇE</v>
      </c>
      <c r="Z4117" t="str">
        <f>VLOOKUP(C4117,'[1]DBS_KPY Sorumlular'!A:C,3,FALSE)</f>
        <v>Mehmet Ali YAVUZ</v>
      </c>
      <c r="AA4117" t="str">
        <f>VLOOKUP(K4117,[1]!Tablo3[#Data],2,FALSE)</f>
        <v>Tayfun VİÇE</v>
      </c>
    </row>
    <row r="4118" spans="1:27" x14ac:dyDescent="0.25">
      <c r="A4118">
        <v>5497</v>
      </c>
      <c r="B4118" t="s">
        <v>27</v>
      </c>
      <c r="C4118" t="s">
        <v>402</v>
      </c>
      <c r="D4118" t="s">
        <v>403</v>
      </c>
      <c r="G4118" t="s">
        <v>384</v>
      </c>
      <c r="H4118" t="s">
        <v>11130</v>
      </c>
      <c r="I4118" s="4">
        <v>45443.875</v>
      </c>
      <c r="K4118" t="s">
        <v>1528</v>
      </c>
      <c r="L4118" s="5" t="s">
        <v>8401</v>
      </c>
      <c r="M4118" s="5" t="s">
        <v>8423</v>
      </c>
      <c r="N4118" t="s">
        <v>82</v>
      </c>
      <c r="O4118" t="s">
        <v>11131</v>
      </c>
      <c r="R4118">
        <v>1</v>
      </c>
      <c r="T4118" s="5"/>
      <c r="W4118">
        <v>270</v>
      </c>
      <c r="X4118" t="s">
        <v>8412</v>
      </c>
      <c r="Y4118" t="str">
        <f>VLOOKUP(C4118,'[1]DBS_KPY Sorumlular'!A:C,2,FALSE)</f>
        <v>Tayfun VİÇE</v>
      </c>
      <c r="Z4118" t="str">
        <f>VLOOKUP(C4118,'[1]DBS_KPY Sorumlular'!A:C,3,FALSE)</f>
        <v>Mehmet Ali YAVUZ</v>
      </c>
      <c r="AA4118" t="str">
        <f>VLOOKUP(K4118,[1]!Tablo3[#Data],2,FALSE)</f>
        <v>Tayfun VİÇE</v>
      </c>
    </row>
    <row r="4119" spans="1:27" x14ac:dyDescent="0.25">
      <c r="A4119">
        <v>5498</v>
      </c>
      <c r="B4119" t="s">
        <v>27</v>
      </c>
      <c r="C4119" t="s">
        <v>402</v>
      </c>
      <c r="D4119" t="s">
        <v>403</v>
      </c>
      <c r="G4119" t="s">
        <v>384</v>
      </c>
      <c r="H4119" t="s">
        <v>11132</v>
      </c>
      <c r="I4119" s="4">
        <v>45443.875</v>
      </c>
      <c r="K4119" t="s">
        <v>1528</v>
      </c>
      <c r="L4119" s="5" t="s">
        <v>8401</v>
      </c>
      <c r="M4119" s="5" t="s">
        <v>8423</v>
      </c>
      <c r="N4119" t="s">
        <v>82</v>
      </c>
      <c r="O4119" t="s">
        <v>11133</v>
      </c>
      <c r="R4119">
        <v>1</v>
      </c>
      <c r="T4119" s="5"/>
      <c r="W4119">
        <v>270</v>
      </c>
      <c r="X4119" t="s">
        <v>8412</v>
      </c>
      <c r="Y4119" t="str">
        <f>VLOOKUP(C4119,'[1]DBS_KPY Sorumlular'!A:C,2,FALSE)</f>
        <v>Tayfun VİÇE</v>
      </c>
      <c r="Z4119" t="str">
        <f>VLOOKUP(C4119,'[1]DBS_KPY Sorumlular'!A:C,3,FALSE)</f>
        <v>Mehmet Ali YAVUZ</v>
      </c>
      <c r="AA4119" t="str">
        <f>VLOOKUP(K4119,[1]!Tablo3[#Data],2,FALSE)</f>
        <v>Tayfun VİÇE</v>
      </c>
    </row>
    <row r="4120" spans="1:27" x14ac:dyDescent="0.25">
      <c r="A4120">
        <v>5499</v>
      </c>
      <c r="B4120" t="s">
        <v>27</v>
      </c>
      <c r="C4120" t="s">
        <v>402</v>
      </c>
      <c r="D4120" t="s">
        <v>403</v>
      </c>
      <c r="G4120" t="s">
        <v>384</v>
      </c>
      <c r="H4120" t="s">
        <v>11134</v>
      </c>
      <c r="I4120" s="4">
        <v>45443.875</v>
      </c>
      <c r="K4120" t="s">
        <v>1528</v>
      </c>
      <c r="L4120" s="5" t="s">
        <v>8401</v>
      </c>
      <c r="M4120" s="5" t="s">
        <v>8423</v>
      </c>
      <c r="N4120" t="s">
        <v>82</v>
      </c>
      <c r="O4120" t="s">
        <v>11135</v>
      </c>
      <c r="R4120">
        <v>1</v>
      </c>
      <c r="T4120" s="5"/>
      <c r="W4120">
        <v>270</v>
      </c>
      <c r="X4120" t="s">
        <v>8412</v>
      </c>
      <c r="Y4120" t="str">
        <f>VLOOKUP(C4120,'[1]DBS_KPY Sorumlular'!A:C,2,FALSE)</f>
        <v>Tayfun VİÇE</v>
      </c>
      <c r="Z4120" t="str">
        <f>VLOOKUP(C4120,'[1]DBS_KPY Sorumlular'!A:C,3,FALSE)</f>
        <v>Mehmet Ali YAVUZ</v>
      </c>
      <c r="AA4120" t="str">
        <f>VLOOKUP(K4120,[1]!Tablo3[#Data],2,FALSE)</f>
        <v>Tayfun VİÇE</v>
      </c>
    </row>
    <row r="4121" spans="1:27" x14ac:dyDescent="0.25">
      <c r="A4121">
        <v>5500</v>
      </c>
      <c r="B4121" t="s">
        <v>27</v>
      </c>
      <c r="C4121" t="s">
        <v>402</v>
      </c>
      <c r="D4121" t="s">
        <v>403</v>
      </c>
      <c r="G4121" t="s">
        <v>384</v>
      </c>
      <c r="H4121" t="s">
        <v>11136</v>
      </c>
      <c r="I4121" s="4">
        <v>45443.875</v>
      </c>
      <c r="K4121" t="s">
        <v>1528</v>
      </c>
      <c r="L4121" s="5" t="s">
        <v>8401</v>
      </c>
      <c r="M4121" s="5" t="s">
        <v>8423</v>
      </c>
      <c r="N4121" t="s">
        <v>82</v>
      </c>
      <c r="O4121" t="s">
        <v>11137</v>
      </c>
      <c r="R4121">
        <v>1</v>
      </c>
      <c r="T4121" s="5"/>
      <c r="W4121">
        <v>270</v>
      </c>
      <c r="X4121" t="s">
        <v>8412</v>
      </c>
      <c r="Y4121" t="str">
        <f>VLOOKUP(C4121,'[1]DBS_KPY Sorumlular'!A:C,2,FALSE)</f>
        <v>Tayfun VİÇE</v>
      </c>
      <c r="Z4121" t="str">
        <f>VLOOKUP(C4121,'[1]DBS_KPY Sorumlular'!A:C,3,FALSE)</f>
        <v>Mehmet Ali YAVUZ</v>
      </c>
      <c r="AA4121" t="str">
        <f>VLOOKUP(K4121,[1]!Tablo3[#Data],2,FALSE)</f>
        <v>Tayfun VİÇE</v>
      </c>
    </row>
    <row r="4122" spans="1:27" x14ac:dyDescent="0.25">
      <c r="A4122">
        <v>5501</v>
      </c>
      <c r="B4122" t="s">
        <v>27</v>
      </c>
      <c r="C4122" t="s">
        <v>402</v>
      </c>
      <c r="D4122" t="s">
        <v>403</v>
      </c>
      <c r="G4122" t="s">
        <v>384</v>
      </c>
      <c r="H4122" t="s">
        <v>11138</v>
      </c>
      <c r="I4122" s="4">
        <v>45443.875</v>
      </c>
      <c r="K4122" t="s">
        <v>1528</v>
      </c>
      <c r="L4122" s="5" t="s">
        <v>8401</v>
      </c>
      <c r="M4122" s="5" t="s">
        <v>8423</v>
      </c>
      <c r="N4122" t="s">
        <v>82</v>
      </c>
      <c r="O4122" t="s">
        <v>11139</v>
      </c>
      <c r="R4122">
        <v>1</v>
      </c>
      <c r="T4122" s="5"/>
      <c r="W4122">
        <v>270</v>
      </c>
      <c r="X4122" t="s">
        <v>8412</v>
      </c>
      <c r="Y4122" t="str">
        <f>VLOOKUP(C4122,'[1]DBS_KPY Sorumlular'!A:C,2,FALSE)</f>
        <v>Tayfun VİÇE</v>
      </c>
      <c r="Z4122" t="str">
        <f>VLOOKUP(C4122,'[1]DBS_KPY Sorumlular'!A:C,3,FALSE)</f>
        <v>Mehmet Ali YAVUZ</v>
      </c>
      <c r="AA4122" t="str">
        <f>VLOOKUP(K4122,[1]!Tablo3[#Data],2,FALSE)</f>
        <v>Tayfun VİÇE</v>
      </c>
    </row>
    <row r="4123" spans="1:27" x14ac:dyDescent="0.25">
      <c r="A4123">
        <v>5502</v>
      </c>
      <c r="B4123" t="s">
        <v>27</v>
      </c>
      <c r="C4123" t="s">
        <v>402</v>
      </c>
      <c r="D4123" t="s">
        <v>403</v>
      </c>
      <c r="G4123" t="s">
        <v>384</v>
      </c>
      <c r="H4123" t="s">
        <v>11140</v>
      </c>
      <c r="I4123" s="4">
        <v>45443.875</v>
      </c>
      <c r="K4123" t="s">
        <v>1528</v>
      </c>
      <c r="L4123" s="5" t="s">
        <v>8401</v>
      </c>
      <c r="M4123" s="5" t="s">
        <v>8423</v>
      </c>
      <c r="N4123" t="s">
        <v>82</v>
      </c>
      <c r="O4123" t="s">
        <v>11141</v>
      </c>
      <c r="R4123">
        <v>1</v>
      </c>
      <c r="T4123" s="5"/>
      <c r="W4123">
        <v>270</v>
      </c>
      <c r="X4123" t="s">
        <v>8412</v>
      </c>
      <c r="Y4123" t="str">
        <f>VLOOKUP(C4123,'[1]DBS_KPY Sorumlular'!A:C,2,FALSE)</f>
        <v>Tayfun VİÇE</v>
      </c>
      <c r="Z4123" t="str">
        <f>VLOOKUP(C4123,'[1]DBS_KPY Sorumlular'!A:C,3,FALSE)</f>
        <v>Mehmet Ali YAVUZ</v>
      </c>
      <c r="AA4123" t="str">
        <f>VLOOKUP(K4123,[1]!Tablo3[#Data],2,FALSE)</f>
        <v>Tayfun VİÇE</v>
      </c>
    </row>
    <row r="4124" spans="1:27" x14ac:dyDescent="0.25">
      <c r="A4124">
        <v>5503</v>
      </c>
      <c r="B4124" t="s">
        <v>27</v>
      </c>
      <c r="C4124" t="s">
        <v>402</v>
      </c>
      <c r="D4124" t="s">
        <v>403</v>
      </c>
      <c r="G4124" t="s">
        <v>384</v>
      </c>
      <c r="H4124" t="s">
        <v>11142</v>
      </c>
      <c r="I4124" s="4">
        <v>45443.875</v>
      </c>
      <c r="K4124" t="s">
        <v>1528</v>
      </c>
      <c r="L4124" s="5" t="s">
        <v>8401</v>
      </c>
      <c r="M4124" s="5" t="s">
        <v>8423</v>
      </c>
      <c r="N4124" t="s">
        <v>82</v>
      </c>
      <c r="O4124" t="s">
        <v>11143</v>
      </c>
      <c r="R4124">
        <v>1</v>
      </c>
      <c r="T4124" s="5"/>
      <c r="W4124">
        <v>270</v>
      </c>
      <c r="X4124" t="s">
        <v>8412</v>
      </c>
      <c r="Y4124" t="str">
        <f>VLOOKUP(C4124,'[1]DBS_KPY Sorumlular'!A:C,2,FALSE)</f>
        <v>Tayfun VİÇE</v>
      </c>
      <c r="Z4124" t="str">
        <f>VLOOKUP(C4124,'[1]DBS_KPY Sorumlular'!A:C,3,FALSE)</f>
        <v>Mehmet Ali YAVUZ</v>
      </c>
      <c r="AA4124" t="str">
        <f>VLOOKUP(K4124,[1]!Tablo3[#Data],2,FALSE)</f>
        <v>Tayfun VİÇE</v>
      </c>
    </row>
    <row r="4125" spans="1:27" x14ac:dyDescent="0.25">
      <c r="A4125">
        <v>5504</v>
      </c>
      <c r="B4125" t="s">
        <v>27</v>
      </c>
      <c r="C4125" t="s">
        <v>402</v>
      </c>
      <c r="D4125" t="s">
        <v>403</v>
      </c>
      <c r="G4125" t="s">
        <v>384</v>
      </c>
      <c r="H4125" t="s">
        <v>11144</v>
      </c>
      <c r="I4125" s="4">
        <v>45443.875</v>
      </c>
      <c r="K4125" t="s">
        <v>1528</v>
      </c>
      <c r="L4125" s="5" t="s">
        <v>8401</v>
      </c>
      <c r="M4125" s="5" t="s">
        <v>8423</v>
      </c>
      <c r="N4125" t="s">
        <v>82</v>
      </c>
      <c r="O4125" t="s">
        <v>11145</v>
      </c>
      <c r="R4125">
        <v>1</v>
      </c>
      <c r="T4125" s="5"/>
      <c r="W4125">
        <v>270</v>
      </c>
      <c r="X4125" t="s">
        <v>8412</v>
      </c>
      <c r="Y4125" t="str">
        <f>VLOOKUP(C4125,'[1]DBS_KPY Sorumlular'!A:C,2,FALSE)</f>
        <v>Tayfun VİÇE</v>
      </c>
      <c r="Z4125" t="str">
        <f>VLOOKUP(C4125,'[1]DBS_KPY Sorumlular'!A:C,3,FALSE)</f>
        <v>Mehmet Ali YAVUZ</v>
      </c>
      <c r="AA4125" t="str">
        <f>VLOOKUP(K4125,[1]!Tablo3[#Data],2,FALSE)</f>
        <v>Tayfun VİÇE</v>
      </c>
    </row>
    <row r="4126" spans="1:27" x14ac:dyDescent="0.25">
      <c r="A4126">
        <v>5505</v>
      </c>
      <c r="B4126" t="s">
        <v>27</v>
      </c>
      <c r="C4126" t="s">
        <v>402</v>
      </c>
      <c r="D4126" t="s">
        <v>403</v>
      </c>
      <c r="G4126" t="s">
        <v>384</v>
      </c>
      <c r="H4126" t="s">
        <v>11146</v>
      </c>
      <c r="I4126" s="4">
        <v>45443.875</v>
      </c>
      <c r="K4126" t="s">
        <v>1528</v>
      </c>
      <c r="L4126" s="5" t="s">
        <v>8401</v>
      </c>
      <c r="M4126" s="5" t="s">
        <v>8423</v>
      </c>
      <c r="N4126" t="s">
        <v>82</v>
      </c>
      <c r="O4126" t="s">
        <v>11147</v>
      </c>
      <c r="R4126">
        <v>1</v>
      </c>
      <c r="T4126" s="5"/>
      <c r="W4126">
        <v>270</v>
      </c>
      <c r="X4126" t="s">
        <v>8412</v>
      </c>
      <c r="Y4126" t="str">
        <f>VLOOKUP(C4126,'[1]DBS_KPY Sorumlular'!A:C,2,FALSE)</f>
        <v>Tayfun VİÇE</v>
      </c>
      <c r="Z4126" t="str">
        <f>VLOOKUP(C4126,'[1]DBS_KPY Sorumlular'!A:C,3,FALSE)</f>
        <v>Mehmet Ali YAVUZ</v>
      </c>
      <c r="AA4126" t="str">
        <f>VLOOKUP(K4126,[1]!Tablo3[#Data],2,FALSE)</f>
        <v>Tayfun VİÇE</v>
      </c>
    </row>
    <row r="4127" spans="1:27" x14ac:dyDescent="0.25">
      <c r="A4127">
        <v>5506</v>
      </c>
      <c r="B4127" t="s">
        <v>27</v>
      </c>
      <c r="C4127" t="s">
        <v>402</v>
      </c>
      <c r="D4127" t="s">
        <v>403</v>
      </c>
      <c r="G4127" t="s">
        <v>384</v>
      </c>
      <c r="H4127" t="s">
        <v>11148</v>
      </c>
      <c r="I4127" s="4">
        <v>45443.875</v>
      </c>
      <c r="K4127" t="s">
        <v>1528</v>
      </c>
      <c r="L4127" s="5" t="s">
        <v>8401</v>
      </c>
      <c r="M4127" s="5" t="s">
        <v>8423</v>
      </c>
      <c r="N4127" t="s">
        <v>82</v>
      </c>
      <c r="O4127" t="s">
        <v>11149</v>
      </c>
      <c r="R4127">
        <v>1</v>
      </c>
      <c r="T4127" s="5"/>
      <c r="W4127">
        <v>270</v>
      </c>
      <c r="X4127" t="s">
        <v>8412</v>
      </c>
      <c r="Y4127" t="str">
        <f>VLOOKUP(C4127,'[1]DBS_KPY Sorumlular'!A:C,2,FALSE)</f>
        <v>Tayfun VİÇE</v>
      </c>
      <c r="Z4127" t="str">
        <f>VLOOKUP(C4127,'[1]DBS_KPY Sorumlular'!A:C,3,FALSE)</f>
        <v>Mehmet Ali YAVUZ</v>
      </c>
      <c r="AA4127" t="str">
        <f>VLOOKUP(K4127,[1]!Tablo3[#Data],2,FALSE)</f>
        <v>Tayfun VİÇE</v>
      </c>
    </row>
    <row r="4128" spans="1:27" x14ac:dyDescent="0.25">
      <c r="A4128">
        <v>5507</v>
      </c>
      <c r="B4128" t="s">
        <v>27</v>
      </c>
      <c r="C4128" t="s">
        <v>402</v>
      </c>
      <c r="D4128" t="s">
        <v>403</v>
      </c>
      <c r="G4128" t="s">
        <v>384</v>
      </c>
      <c r="H4128" t="s">
        <v>11150</v>
      </c>
      <c r="I4128" s="4">
        <v>45443.875</v>
      </c>
      <c r="K4128" t="s">
        <v>1528</v>
      </c>
      <c r="L4128" s="5" t="s">
        <v>8401</v>
      </c>
      <c r="M4128" s="5" t="s">
        <v>8423</v>
      </c>
      <c r="N4128" t="s">
        <v>82</v>
      </c>
      <c r="O4128" t="s">
        <v>11151</v>
      </c>
      <c r="R4128">
        <v>1</v>
      </c>
      <c r="T4128" s="5"/>
      <c r="W4128">
        <v>270</v>
      </c>
      <c r="X4128" t="s">
        <v>8412</v>
      </c>
      <c r="Y4128" t="str">
        <f>VLOOKUP(C4128,'[1]DBS_KPY Sorumlular'!A:C,2,FALSE)</f>
        <v>Tayfun VİÇE</v>
      </c>
      <c r="Z4128" t="str">
        <f>VLOOKUP(C4128,'[1]DBS_KPY Sorumlular'!A:C,3,FALSE)</f>
        <v>Mehmet Ali YAVUZ</v>
      </c>
      <c r="AA4128" t="str">
        <f>VLOOKUP(K4128,[1]!Tablo3[#Data],2,FALSE)</f>
        <v>Tayfun VİÇE</v>
      </c>
    </row>
    <row r="4129" spans="1:27" x14ac:dyDescent="0.25">
      <c r="A4129">
        <v>5508</v>
      </c>
      <c r="B4129" t="s">
        <v>27</v>
      </c>
      <c r="C4129" t="s">
        <v>402</v>
      </c>
      <c r="D4129" t="s">
        <v>403</v>
      </c>
      <c r="G4129" t="s">
        <v>384</v>
      </c>
      <c r="H4129" t="s">
        <v>11152</v>
      </c>
      <c r="I4129" s="4">
        <v>45443.875</v>
      </c>
      <c r="K4129" t="s">
        <v>1528</v>
      </c>
      <c r="L4129" s="5" t="s">
        <v>8401</v>
      </c>
      <c r="M4129" s="5" t="s">
        <v>8423</v>
      </c>
      <c r="N4129" t="s">
        <v>82</v>
      </c>
      <c r="O4129" t="s">
        <v>11153</v>
      </c>
      <c r="R4129">
        <v>1</v>
      </c>
      <c r="T4129" s="5"/>
      <c r="W4129">
        <v>270</v>
      </c>
      <c r="X4129" t="s">
        <v>8412</v>
      </c>
      <c r="Y4129" t="str">
        <f>VLOOKUP(C4129,'[1]DBS_KPY Sorumlular'!A:C,2,FALSE)</f>
        <v>Tayfun VİÇE</v>
      </c>
      <c r="Z4129" t="str">
        <f>VLOOKUP(C4129,'[1]DBS_KPY Sorumlular'!A:C,3,FALSE)</f>
        <v>Mehmet Ali YAVUZ</v>
      </c>
      <c r="AA4129" t="str">
        <f>VLOOKUP(K4129,[1]!Tablo3[#Data],2,FALSE)</f>
        <v>Tayfun VİÇE</v>
      </c>
    </row>
    <row r="4130" spans="1:27" x14ac:dyDescent="0.25">
      <c r="A4130">
        <v>5509</v>
      </c>
      <c r="B4130" t="s">
        <v>27</v>
      </c>
      <c r="C4130" t="s">
        <v>402</v>
      </c>
      <c r="D4130" t="s">
        <v>403</v>
      </c>
      <c r="G4130" t="s">
        <v>384</v>
      </c>
      <c r="H4130" t="s">
        <v>11154</v>
      </c>
      <c r="I4130" s="4">
        <v>45443.875</v>
      </c>
      <c r="K4130" t="s">
        <v>1528</v>
      </c>
      <c r="L4130" s="5" t="s">
        <v>8401</v>
      </c>
      <c r="M4130" s="5" t="s">
        <v>8423</v>
      </c>
      <c r="N4130" t="s">
        <v>82</v>
      </c>
      <c r="O4130" t="s">
        <v>11155</v>
      </c>
      <c r="R4130">
        <v>1</v>
      </c>
      <c r="T4130" s="5"/>
      <c r="W4130">
        <v>270</v>
      </c>
      <c r="X4130" t="s">
        <v>8412</v>
      </c>
      <c r="Y4130" t="str">
        <f>VLOOKUP(C4130,'[1]DBS_KPY Sorumlular'!A:C,2,FALSE)</f>
        <v>Tayfun VİÇE</v>
      </c>
      <c r="Z4130" t="str">
        <f>VLOOKUP(C4130,'[1]DBS_KPY Sorumlular'!A:C,3,FALSE)</f>
        <v>Mehmet Ali YAVUZ</v>
      </c>
      <c r="AA4130" t="str">
        <f>VLOOKUP(K4130,[1]!Tablo3[#Data],2,FALSE)</f>
        <v>Tayfun VİÇE</v>
      </c>
    </row>
    <row r="4131" spans="1:27" x14ac:dyDescent="0.25">
      <c r="A4131">
        <v>5510</v>
      </c>
      <c r="B4131" t="s">
        <v>27</v>
      </c>
      <c r="C4131" t="s">
        <v>402</v>
      </c>
      <c r="D4131" t="s">
        <v>403</v>
      </c>
      <c r="G4131" t="s">
        <v>384</v>
      </c>
      <c r="H4131" t="s">
        <v>11156</v>
      </c>
      <c r="I4131" s="4">
        <v>45443.875</v>
      </c>
      <c r="K4131" t="s">
        <v>1528</v>
      </c>
      <c r="L4131" s="5" t="s">
        <v>8401</v>
      </c>
      <c r="M4131" s="5" t="s">
        <v>8423</v>
      </c>
      <c r="N4131" t="s">
        <v>82</v>
      </c>
      <c r="O4131" t="s">
        <v>11157</v>
      </c>
      <c r="R4131">
        <v>1</v>
      </c>
      <c r="T4131" s="5"/>
      <c r="W4131">
        <v>270</v>
      </c>
      <c r="X4131" t="s">
        <v>8412</v>
      </c>
      <c r="Y4131" t="str">
        <f>VLOOKUP(C4131,'[1]DBS_KPY Sorumlular'!A:C,2,FALSE)</f>
        <v>Tayfun VİÇE</v>
      </c>
      <c r="Z4131" t="str">
        <f>VLOOKUP(C4131,'[1]DBS_KPY Sorumlular'!A:C,3,FALSE)</f>
        <v>Mehmet Ali YAVUZ</v>
      </c>
      <c r="AA4131" t="str">
        <f>VLOOKUP(K4131,[1]!Tablo3[#Data],2,FALSE)</f>
        <v>Tayfun VİÇE</v>
      </c>
    </row>
    <row r="4132" spans="1:27" x14ac:dyDescent="0.25">
      <c r="A4132">
        <v>5511</v>
      </c>
      <c r="B4132" t="s">
        <v>27</v>
      </c>
      <c r="C4132" t="s">
        <v>402</v>
      </c>
      <c r="D4132" t="s">
        <v>403</v>
      </c>
      <c r="G4132" t="s">
        <v>384</v>
      </c>
      <c r="H4132" t="s">
        <v>11158</v>
      </c>
      <c r="I4132" s="4">
        <v>45443.875</v>
      </c>
      <c r="K4132" t="s">
        <v>1528</v>
      </c>
      <c r="L4132" s="5" t="s">
        <v>8401</v>
      </c>
      <c r="M4132" s="5" t="s">
        <v>8423</v>
      </c>
      <c r="N4132" t="s">
        <v>82</v>
      </c>
      <c r="O4132" t="s">
        <v>11159</v>
      </c>
      <c r="R4132">
        <v>1</v>
      </c>
      <c r="T4132" s="5"/>
      <c r="W4132">
        <v>270</v>
      </c>
      <c r="X4132" t="s">
        <v>8412</v>
      </c>
      <c r="Y4132" t="str">
        <f>VLOOKUP(C4132,'[1]DBS_KPY Sorumlular'!A:C,2,FALSE)</f>
        <v>Tayfun VİÇE</v>
      </c>
      <c r="Z4132" t="str">
        <f>VLOOKUP(C4132,'[1]DBS_KPY Sorumlular'!A:C,3,FALSE)</f>
        <v>Mehmet Ali YAVUZ</v>
      </c>
      <c r="AA4132" t="str">
        <f>VLOOKUP(K4132,[1]!Tablo3[#Data],2,FALSE)</f>
        <v>Tayfun VİÇE</v>
      </c>
    </row>
    <row r="4133" spans="1:27" x14ac:dyDescent="0.25">
      <c r="A4133">
        <v>5512</v>
      </c>
      <c r="B4133" t="s">
        <v>27</v>
      </c>
      <c r="C4133" t="s">
        <v>402</v>
      </c>
      <c r="D4133" t="s">
        <v>403</v>
      </c>
      <c r="G4133" t="s">
        <v>384</v>
      </c>
      <c r="H4133" t="s">
        <v>11160</v>
      </c>
      <c r="I4133" s="4">
        <v>45443.875</v>
      </c>
      <c r="K4133" t="s">
        <v>1528</v>
      </c>
      <c r="L4133" s="5" t="s">
        <v>8401</v>
      </c>
      <c r="M4133" s="5" t="s">
        <v>8423</v>
      </c>
      <c r="N4133" t="s">
        <v>82</v>
      </c>
      <c r="O4133" t="s">
        <v>11161</v>
      </c>
      <c r="R4133">
        <v>1</v>
      </c>
      <c r="T4133" s="5"/>
      <c r="W4133">
        <v>270</v>
      </c>
      <c r="X4133" t="s">
        <v>8412</v>
      </c>
      <c r="Y4133" t="str">
        <f>VLOOKUP(C4133,'[1]DBS_KPY Sorumlular'!A:C,2,FALSE)</f>
        <v>Tayfun VİÇE</v>
      </c>
      <c r="Z4133" t="str">
        <f>VLOOKUP(C4133,'[1]DBS_KPY Sorumlular'!A:C,3,FALSE)</f>
        <v>Mehmet Ali YAVUZ</v>
      </c>
      <c r="AA4133" t="str">
        <f>VLOOKUP(K4133,[1]!Tablo3[#Data],2,FALSE)</f>
        <v>Tayfun VİÇE</v>
      </c>
    </row>
    <row r="4134" spans="1:27" x14ac:dyDescent="0.25">
      <c r="A4134">
        <v>5513</v>
      </c>
      <c r="B4134" t="s">
        <v>27</v>
      </c>
      <c r="C4134" t="s">
        <v>402</v>
      </c>
      <c r="D4134" t="s">
        <v>403</v>
      </c>
      <c r="G4134" t="s">
        <v>384</v>
      </c>
      <c r="H4134" t="s">
        <v>11162</v>
      </c>
      <c r="I4134" s="4">
        <v>45443.875</v>
      </c>
      <c r="K4134" t="s">
        <v>1528</v>
      </c>
      <c r="L4134" s="5" t="s">
        <v>8401</v>
      </c>
      <c r="M4134" s="5" t="s">
        <v>8423</v>
      </c>
      <c r="N4134" t="s">
        <v>82</v>
      </c>
      <c r="O4134" t="s">
        <v>11163</v>
      </c>
      <c r="R4134">
        <v>1</v>
      </c>
      <c r="T4134" s="5"/>
      <c r="W4134">
        <v>270</v>
      </c>
      <c r="X4134" t="s">
        <v>8412</v>
      </c>
      <c r="Y4134" t="str">
        <f>VLOOKUP(C4134,'[1]DBS_KPY Sorumlular'!A:C,2,FALSE)</f>
        <v>Tayfun VİÇE</v>
      </c>
      <c r="Z4134" t="str">
        <f>VLOOKUP(C4134,'[1]DBS_KPY Sorumlular'!A:C,3,FALSE)</f>
        <v>Mehmet Ali YAVUZ</v>
      </c>
      <c r="AA4134" t="str">
        <f>VLOOKUP(K4134,[1]!Tablo3[#Data],2,FALSE)</f>
        <v>Tayfun VİÇE</v>
      </c>
    </row>
    <row r="4135" spans="1:27" x14ac:dyDescent="0.25">
      <c r="A4135">
        <v>5514</v>
      </c>
      <c r="B4135" t="s">
        <v>27</v>
      </c>
      <c r="C4135" t="s">
        <v>402</v>
      </c>
      <c r="D4135" t="s">
        <v>403</v>
      </c>
      <c r="G4135" t="s">
        <v>384</v>
      </c>
      <c r="H4135" t="s">
        <v>11164</v>
      </c>
      <c r="I4135" s="4">
        <v>45443.875</v>
      </c>
      <c r="K4135" t="s">
        <v>1528</v>
      </c>
      <c r="L4135" s="5" t="s">
        <v>8401</v>
      </c>
      <c r="M4135" s="5" t="s">
        <v>8423</v>
      </c>
      <c r="N4135" t="s">
        <v>82</v>
      </c>
      <c r="O4135" t="s">
        <v>11165</v>
      </c>
      <c r="R4135">
        <v>1</v>
      </c>
      <c r="T4135" s="5"/>
      <c r="W4135">
        <v>270</v>
      </c>
      <c r="X4135" t="s">
        <v>8412</v>
      </c>
      <c r="Y4135" t="str">
        <f>VLOOKUP(C4135,'[1]DBS_KPY Sorumlular'!A:C,2,FALSE)</f>
        <v>Tayfun VİÇE</v>
      </c>
      <c r="Z4135" t="str">
        <f>VLOOKUP(C4135,'[1]DBS_KPY Sorumlular'!A:C,3,FALSE)</f>
        <v>Mehmet Ali YAVUZ</v>
      </c>
      <c r="AA4135" t="str">
        <f>VLOOKUP(K4135,[1]!Tablo3[#Data],2,FALSE)</f>
        <v>Tayfun VİÇE</v>
      </c>
    </row>
    <row r="4136" spans="1:27" x14ac:dyDescent="0.25">
      <c r="A4136">
        <v>5515</v>
      </c>
      <c r="B4136" t="s">
        <v>27</v>
      </c>
      <c r="C4136" t="s">
        <v>402</v>
      </c>
      <c r="D4136" t="s">
        <v>403</v>
      </c>
      <c r="G4136" t="s">
        <v>384</v>
      </c>
      <c r="H4136" t="s">
        <v>11166</v>
      </c>
      <c r="I4136" s="4">
        <v>45443.875</v>
      </c>
      <c r="K4136" t="s">
        <v>1528</v>
      </c>
      <c r="L4136" s="5" t="s">
        <v>8401</v>
      </c>
      <c r="M4136" s="5" t="s">
        <v>8423</v>
      </c>
      <c r="N4136" t="s">
        <v>82</v>
      </c>
      <c r="O4136" t="s">
        <v>11167</v>
      </c>
      <c r="R4136">
        <v>1</v>
      </c>
      <c r="T4136" s="5"/>
      <c r="W4136">
        <v>270</v>
      </c>
      <c r="X4136" t="s">
        <v>8412</v>
      </c>
      <c r="Y4136" t="str">
        <f>VLOOKUP(C4136,'[1]DBS_KPY Sorumlular'!A:C,2,FALSE)</f>
        <v>Tayfun VİÇE</v>
      </c>
      <c r="Z4136" t="str">
        <f>VLOOKUP(C4136,'[1]DBS_KPY Sorumlular'!A:C,3,FALSE)</f>
        <v>Mehmet Ali YAVUZ</v>
      </c>
      <c r="AA4136" t="str">
        <f>VLOOKUP(K4136,[1]!Tablo3[#Data],2,FALSE)</f>
        <v>Tayfun VİÇE</v>
      </c>
    </row>
    <row r="4137" spans="1:27" x14ac:dyDescent="0.25">
      <c r="A4137">
        <v>5516</v>
      </c>
      <c r="B4137" t="s">
        <v>27</v>
      </c>
      <c r="C4137" t="s">
        <v>402</v>
      </c>
      <c r="D4137" t="s">
        <v>403</v>
      </c>
      <c r="G4137" t="s">
        <v>384</v>
      </c>
      <c r="H4137" t="s">
        <v>11168</v>
      </c>
      <c r="I4137" s="4">
        <v>45443.875</v>
      </c>
      <c r="K4137" t="s">
        <v>1528</v>
      </c>
      <c r="L4137" s="5" t="s">
        <v>8401</v>
      </c>
      <c r="M4137" s="5" t="s">
        <v>8423</v>
      </c>
      <c r="N4137" t="s">
        <v>82</v>
      </c>
      <c r="O4137" t="s">
        <v>11169</v>
      </c>
      <c r="R4137">
        <v>1</v>
      </c>
      <c r="T4137" s="5"/>
      <c r="W4137">
        <v>270</v>
      </c>
      <c r="X4137" t="s">
        <v>8412</v>
      </c>
      <c r="Y4137" t="str">
        <f>VLOOKUP(C4137,'[1]DBS_KPY Sorumlular'!A:C,2,FALSE)</f>
        <v>Tayfun VİÇE</v>
      </c>
      <c r="Z4137" t="str">
        <f>VLOOKUP(C4137,'[1]DBS_KPY Sorumlular'!A:C,3,FALSE)</f>
        <v>Mehmet Ali YAVUZ</v>
      </c>
      <c r="AA4137" t="str">
        <f>VLOOKUP(K4137,[1]!Tablo3[#Data],2,FALSE)</f>
        <v>Tayfun VİÇE</v>
      </c>
    </row>
    <row r="4138" spans="1:27" x14ac:dyDescent="0.25">
      <c r="A4138">
        <v>5517</v>
      </c>
      <c r="B4138" t="s">
        <v>27</v>
      </c>
      <c r="C4138" t="s">
        <v>402</v>
      </c>
      <c r="D4138" t="s">
        <v>403</v>
      </c>
      <c r="G4138" t="s">
        <v>384</v>
      </c>
      <c r="H4138" t="s">
        <v>11170</v>
      </c>
      <c r="I4138" s="4">
        <v>45443.875</v>
      </c>
      <c r="K4138" t="s">
        <v>1528</v>
      </c>
      <c r="L4138" s="5" t="s">
        <v>8401</v>
      </c>
      <c r="M4138" s="5" t="s">
        <v>8423</v>
      </c>
      <c r="N4138" t="s">
        <v>82</v>
      </c>
      <c r="O4138" t="s">
        <v>11171</v>
      </c>
      <c r="R4138">
        <v>1</v>
      </c>
      <c r="T4138" s="5"/>
      <c r="W4138">
        <v>270</v>
      </c>
      <c r="X4138" t="s">
        <v>8412</v>
      </c>
      <c r="Y4138" t="str">
        <f>VLOOKUP(C4138,'[1]DBS_KPY Sorumlular'!A:C,2,FALSE)</f>
        <v>Tayfun VİÇE</v>
      </c>
      <c r="Z4138" t="str">
        <f>VLOOKUP(C4138,'[1]DBS_KPY Sorumlular'!A:C,3,FALSE)</f>
        <v>Mehmet Ali YAVUZ</v>
      </c>
      <c r="AA4138" t="str">
        <f>VLOOKUP(K4138,[1]!Tablo3[#Data],2,FALSE)</f>
        <v>Tayfun VİÇE</v>
      </c>
    </row>
    <row r="4139" spans="1:27" x14ac:dyDescent="0.25">
      <c r="A4139">
        <v>5518</v>
      </c>
      <c r="B4139" t="s">
        <v>27</v>
      </c>
      <c r="C4139" t="s">
        <v>402</v>
      </c>
      <c r="D4139" t="s">
        <v>403</v>
      </c>
      <c r="G4139" t="s">
        <v>384</v>
      </c>
      <c r="H4139" t="s">
        <v>11172</v>
      </c>
      <c r="I4139" s="4">
        <v>45443.875</v>
      </c>
      <c r="K4139" t="s">
        <v>1528</v>
      </c>
      <c r="L4139" s="5" t="s">
        <v>8401</v>
      </c>
      <c r="M4139" s="5" t="s">
        <v>8423</v>
      </c>
      <c r="N4139" t="s">
        <v>82</v>
      </c>
      <c r="O4139" t="s">
        <v>11173</v>
      </c>
      <c r="R4139">
        <v>1</v>
      </c>
      <c r="T4139" s="5"/>
      <c r="W4139">
        <v>270</v>
      </c>
      <c r="X4139" t="s">
        <v>8412</v>
      </c>
      <c r="Y4139" t="str">
        <f>VLOOKUP(C4139,'[1]DBS_KPY Sorumlular'!A:C,2,FALSE)</f>
        <v>Tayfun VİÇE</v>
      </c>
      <c r="Z4139" t="str">
        <f>VLOOKUP(C4139,'[1]DBS_KPY Sorumlular'!A:C,3,FALSE)</f>
        <v>Mehmet Ali YAVUZ</v>
      </c>
      <c r="AA4139" t="str">
        <f>VLOOKUP(K4139,[1]!Tablo3[#Data],2,FALSE)</f>
        <v>Tayfun VİÇE</v>
      </c>
    </row>
    <row r="4140" spans="1:27" x14ac:dyDescent="0.25">
      <c r="A4140">
        <v>5519</v>
      </c>
      <c r="B4140" t="s">
        <v>27</v>
      </c>
      <c r="C4140" t="s">
        <v>402</v>
      </c>
      <c r="D4140" t="s">
        <v>403</v>
      </c>
      <c r="G4140" t="s">
        <v>384</v>
      </c>
      <c r="H4140" t="s">
        <v>11174</v>
      </c>
      <c r="I4140" s="4">
        <v>45443.875</v>
      </c>
      <c r="K4140" t="s">
        <v>1528</v>
      </c>
      <c r="L4140" s="5" t="s">
        <v>8401</v>
      </c>
      <c r="M4140" s="5" t="s">
        <v>8423</v>
      </c>
      <c r="N4140" t="s">
        <v>82</v>
      </c>
      <c r="O4140" t="s">
        <v>11175</v>
      </c>
      <c r="R4140">
        <v>1</v>
      </c>
      <c r="T4140" s="5"/>
      <c r="W4140">
        <v>270</v>
      </c>
      <c r="X4140" t="s">
        <v>8412</v>
      </c>
      <c r="Y4140" t="str">
        <f>VLOOKUP(C4140,'[1]DBS_KPY Sorumlular'!A:C,2,FALSE)</f>
        <v>Tayfun VİÇE</v>
      </c>
      <c r="Z4140" t="str">
        <f>VLOOKUP(C4140,'[1]DBS_KPY Sorumlular'!A:C,3,FALSE)</f>
        <v>Mehmet Ali YAVUZ</v>
      </c>
      <c r="AA4140" t="str">
        <f>VLOOKUP(K4140,[1]!Tablo3[#Data],2,FALSE)</f>
        <v>Tayfun VİÇE</v>
      </c>
    </row>
    <row r="4141" spans="1:27" x14ac:dyDescent="0.25">
      <c r="A4141">
        <v>5520</v>
      </c>
      <c r="B4141" t="s">
        <v>27</v>
      </c>
      <c r="C4141" t="s">
        <v>402</v>
      </c>
      <c r="D4141" t="s">
        <v>403</v>
      </c>
      <c r="G4141" t="s">
        <v>384</v>
      </c>
      <c r="H4141" t="s">
        <v>11176</v>
      </c>
      <c r="I4141" s="4">
        <v>45443.875</v>
      </c>
      <c r="K4141" t="s">
        <v>1528</v>
      </c>
      <c r="L4141" s="5" t="s">
        <v>8401</v>
      </c>
      <c r="M4141" s="5" t="s">
        <v>8423</v>
      </c>
      <c r="N4141" t="s">
        <v>82</v>
      </c>
      <c r="O4141" t="s">
        <v>11177</v>
      </c>
      <c r="R4141">
        <v>1</v>
      </c>
      <c r="T4141" s="5"/>
      <c r="W4141">
        <v>270</v>
      </c>
      <c r="X4141" t="s">
        <v>8412</v>
      </c>
      <c r="Y4141" t="str">
        <f>VLOOKUP(C4141,'[1]DBS_KPY Sorumlular'!A:C,2,FALSE)</f>
        <v>Tayfun VİÇE</v>
      </c>
      <c r="Z4141" t="str">
        <f>VLOOKUP(C4141,'[1]DBS_KPY Sorumlular'!A:C,3,FALSE)</f>
        <v>Mehmet Ali YAVUZ</v>
      </c>
      <c r="AA4141" t="str">
        <f>VLOOKUP(K4141,[1]!Tablo3[#Data],2,FALSE)</f>
        <v>Tayfun VİÇE</v>
      </c>
    </row>
    <row r="4142" spans="1:27" x14ac:dyDescent="0.25">
      <c r="A4142">
        <v>5522</v>
      </c>
      <c r="B4142" t="s">
        <v>27</v>
      </c>
      <c r="C4142" t="s">
        <v>402</v>
      </c>
      <c r="D4142" t="s">
        <v>403</v>
      </c>
      <c r="G4142" t="s">
        <v>384</v>
      </c>
      <c r="H4142" t="s">
        <v>11178</v>
      </c>
      <c r="I4142" s="4">
        <v>45443.875</v>
      </c>
      <c r="K4142" t="s">
        <v>1528</v>
      </c>
      <c r="L4142" s="5" t="s">
        <v>8401</v>
      </c>
      <c r="M4142" s="5" t="s">
        <v>8423</v>
      </c>
      <c r="N4142" t="s">
        <v>82</v>
      </c>
      <c r="O4142" t="s">
        <v>11179</v>
      </c>
      <c r="R4142">
        <v>1</v>
      </c>
      <c r="T4142" s="5"/>
      <c r="W4142">
        <v>270</v>
      </c>
      <c r="X4142" t="s">
        <v>8412</v>
      </c>
      <c r="Y4142" t="str">
        <f>VLOOKUP(C4142,'[1]DBS_KPY Sorumlular'!A:C,2,FALSE)</f>
        <v>Tayfun VİÇE</v>
      </c>
      <c r="Z4142" t="str">
        <f>VLOOKUP(C4142,'[1]DBS_KPY Sorumlular'!A:C,3,FALSE)</f>
        <v>Mehmet Ali YAVUZ</v>
      </c>
      <c r="AA4142" t="str">
        <f>VLOOKUP(K4142,[1]!Tablo3[#Data],2,FALSE)</f>
        <v>Tayfun VİÇE</v>
      </c>
    </row>
    <row r="4143" spans="1:27" x14ac:dyDescent="0.25">
      <c r="A4143">
        <v>5523</v>
      </c>
      <c r="B4143" t="s">
        <v>27</v>
      </c>
      <c r="C4143" t="s">
        <v>402</v>
      </c>
      <c r="D4143" t="s">
        <v>403</v>
      </c>
      <c r="G4143" t="s">
        <v>384</v>
      </c>
      <c r="H4143" t="s">
        <v>11180</v>
      </c>
      <c r="I4143" s="4">
        <v>45443.875</v>
      </c>
      <c r="K4143" t="s">
        <v>1528</v>
      </c>
      <c r="L4143" s="5" t="s">
        <v>8401</v>
      </c>
      <c r="M4143" s="5" t="s">
        <v>8423</v>
      </c>
      <c r="N4143" t="s">
        <v>82</v>
      </c>
      <c r="O4143" t="s">
        <v>11181</v>
      </c>
      <c r="R4143">
        <v>1</v>
      </c>
      <c r="T4143" s="5"/>
      <c r="W4143">
        <v>270</v>
      </c>
      <c r="X4143" t="s">
        <v>8412</v>
      </c>
      <c r="Y4143" t="str">
        <f>VLOOKUP(C4143,'[1]DBS_KPY Sorumlular'!A:C,2,FALSE)</f>
        <v>Tayfun VİÇE</v>
      </c>
      <c r="Z4143" t="str">
        <f>VLOOKUP(C4143,'[1]DBS_KPY Sorumlular'!A:C,3,FALSE)</f>
        <v>Mehmet Ali YAVUZ</v>
      </c>
      <c r="AA4143" t="str">
        <f>VLOOKUP(K4143,[1]!Tablo3[#Data],2,FALSE)</f>
        <v>Tayfun VİÇE</v>
      </c>
    </row>
    <row r="4144" spans="1:27" x14ac:dyDescent="0.25">
      <c r="A4144">
        <v>5524</v>
      </c>
      <c r="B4144" t="s">
        <v>27</v>
      </c>
      <c r="C4144" t="s">
        <v>402</v>
      </c>
      <c r="D4144" t="s">
        <v>403</v>
      </c>
      <c r="G4144" t="s">
        <v>384</v>
      </c>
      <c r="H4144" t="s">
        <v>11182</v>
      </c>
      <c r="I4144" s="4">
        <v>45443.875</v>
      </c>
      <c r="K4144" t="s">
        <v>1528</v>
      </c>
      <c r="L4144" s="5" t="s">
        <v>8401</v>
      </c>
      <c r="M4144" s="5" t="s">
        <v>8423</v>
      </c>
      <c r="N4144" t="s">
        <v>82</v>
      </c>
      <c r="O4144" t="s">
        <v>11181</v>
      </c>
      <c r="R4144">
        <v>1</v>
      </c>
      <c r="T4144" s="5"/>
      <c r="W4144">
        <v>270</v>
      </c>
      <c r="X4144" t="s">
        <v>8412</v>
      </c>
      <c r="Y4144" t="str">
        <f>VLOOKUP(C4144,'[1]DBS_KPY Sorumlular'!A:C,2,FALSE)</f>
        <v>Tayfun VİÇE</v>
      </c>
      <c r="Z4144" t="str">
        <f>VLOOKUP(C4144,'[1]DBS_KPY Sorumlular'!A:C,3,FALSE)</f>
        <v>Mehmet Ali YAVUZ</v>
      </c>
      <c r="AA4144" t="str">
        <f>VLOOKUP(K4144,[1]!Tablo3[#Data],2,FALSE)</f>
        <v>Tayfun VİÇE</v>
      </c>
    </row>
    <row r="4145" spans="1:27" x14ac:dyDescent="0.25">
      <c r="A4145">
        <v>5525</v>
      </c>
      <c r="B4145" t="s">
        <v>27</v>
      </c>
      <c r="C4145" t="s">
        <v>402</v>
      </c>
      <c r="D4145" t="s">
        <v>403</v>
      </c>
      <c r="G4145" t="s">
        <v>384</v>
      </c>
      <c r="H4145" t="s">
        <v>11183</v>
      </c>
      <c r="I4145" s="4">
        <v>45443.875</v>
      </c>
      <c r="K4145" t="s">
        <v>1528</v>
      </c>
      <c r="L4145" s="5" t="s">
        <v>8401</v>
      </c>
      <c r="M4145" s="5" t="s">
        <v>8423</v>
      </c>
      <c r="N4145" t="s">
        <v>82</v>
      </c>
      <c r="O4145" t="s">
        <v>11184</v>
      </c>
      <c r="R4145">
        <v>1</v>
      </c>
      <c r="T4145" s="5"/>
      <c r="W4145">
        <v>270</v>
      </c>
      <c r="X4145" t="s">
        <v>8412</v>
      </c>
      <c r="Y4145" t="str">
        <f>VLOOKUP(C4145,'[1]DBS_KPY Sorumlular'!A:C,2,FALSE)</f>
        <v>Tayfun VİÇE</v>
      </c>
      <c r="Z4145" t="str">
        <f>VLOOKUP(C4145,'[1]DBS_KPY Sorumlular'!A:C,3,FALSE)</f>
        <v>Mehmet Ali YAVUZ</v>
      </c>
      <c r="AA4145" t="str">
        <f>VLOOKUP(K4145,[1]!Tablo3[#Data],2,FALSE)</f>
        <v>Tayfun VİÇE</v>
      </c>
    </row>
    <row r="4146" spans="1:27" x14ac:dyDescent="0.25">
      <c r="A4146">
        <v>5526</v>
      </c>
      <c r="B4146" t="s">
        <v>27</v>
      </c>
      <c r="C4146" t="s">
        <v>402</v>
      </c>
      <c r="D4146" t="s">
        <v>403</v>
      </c>
      <c r="G4146" t="s">
        <v>384</v>
      </c>
      <c r="H4146" t="s">
        <v>11185</v>
      </c>
      <c r="I4146" s="4">
        <v>45443.875</v>
      </c>
      <c r="K4146" t="s">
        <v>1528</v>
      </c>
      <c r="L4146" s="5" t="s">
        <v>8401</v>
      </c>
      <c r="M4146" s="5" t="s">
        <v>8423</v>
      </c>
      <c r="N4146" t="s">
        <v>82</v>
      </c>
      <c r="O4146" t="s">
        <v>11186</v>
      </c>
      <c r="R4146">
        <v>1</v>
      </c>
      <c r="T4146" s="5"/>
      <c r="W4146">
        <v>270</v>
      </c>
      <c r="X4146" t="s">
        <v>8412</v>
      </c>
      <c r="Y4146" t="str">
        <f>VLOOKUP(C4146,'[1]DBS_KPY Sorumlular'!A:C,2,FALSE)</f>
        <v>Tayfun VİÇE</v>
      </c>
      <c r="Z4146" t="str">
        <f>VLOOKUP(C4146,'[1]DBS_KPY Sorumlular'!A:C,3,FALSE)</f>
        <v>Mehmet Ali YAVUZ</v>
      </c>
      <c r="AA4146" t="str">
        <f>VLOOKUP(K4146,[1]!Tablo3[#Data],2,FALSE)</f>
        <v>Tayfun VİÇE</v>
      </c>
    </row>
    <row r="4147" spans="1:27" x14ac:dyDescent="0.25">
      <c r="A4147">
        <v>5528</v>
      </c>
      <c r="B4147" t="s">
        <v>27</v>
      </c>
      <c r="C4147" t="s">
        <v>402</v>
      </c>
      <c r="D4147" t="s">
        <v>403</v>
      </c>
      <c r="G4147" t="s">
        <v>384</v>
      </c>
      <c r="H4147" t="s">
        <v>11187</v>
      </c>
      <c r="I4147" s="4">
        <v>45443.875</v>
      </c>
      <c r="K4147" t="s">
        <v>1528</v>
      </c>
      <c r="L4147" s="5" t="s">
        <v>8401</v>
      </c>
      <c r="M4147" s="5" t="s">
        <v>8423</v>
      </c>
      <c r="N4147" t="s">
        <v>82</v>
      </c>
      <c r="O4147" t="s">
        <v>11188</v>
      </c>
      <c r="R4147">
        <v>1</v>
      </c>
      <c r="T4147" s="5"/>
      <c r="W4147">
        <v>270</v>
      </c>
      <c r="X4147" t="s">
        <v>8412</v>
      </c>
      <c r="Y4147" t="str">
        <f>VLOOKUP(C4147,'[1]DBS_KPY Sorumlular'!A:C,2,FALSE)</f>
        <v>Tayfun VİÇE</v>
      </c>
      <c r="Z4147" t="str">
        <f>VLOOKUP(C4147,'[1]DBS_KPY Sorumlular'!A:C,3,FALSE)</f>
        <v>Mehmet Ali YAVUZ</v>
      </c>
      <c r="AA4147" t="str">
        <f>VLOOKUP(K4147,[1]!Tablo3[#Data],2,FALSE)</f>
        <v>Tayfun VİÇE</v>
      </c>
    </row>
    <row r="4148" spans="1:27" x14ac:dyDescent="0.25">
      <c r="A4148">
        <v>5530</v>
      </c>
      <c r="B4148" t="s">
        <v>27</v>
      </c>
      <c r="C4148" t="s">
        <v>402</v>
      </c>
      <c r="D4148" t="s">
        <v>403</v>
      </c>
      <c r="G4148" t="s">
        <v>384</v>
      </c>
      <c r="H4148" t="s">
        <v>11189</v>
      </c>
      <c r="I4148" s="4">
        <v>45443.875</v>
      </c>
      <c r="K4148" t="s">
        <v>1528</v>
      </c>
      <c r="L4148" s="5" t="s">
        <v>8401</v>
      </c>
      <c r="M4148" s="5" t="s">
        <v>8423</v>
      </c>
      <c r="N4148" t="s">
        <v>82</v>
      </c>
      <c r="O4148" t="s">
        <v>11190</v>
      </c>
      <c r="R4148">
        <v>1</v>
      </c>
      <c r="T4148" s="5"/>
      <c r="W4148">
        <v>270</v>
      </c>
      <c r="X4148" t="s">
        <v>8412</v>
      </c>
      <c r="Y4148" t="str">
        <f>VLOOKUP(C4148,'[1]DBS_KPY Sorumlular'!A:C,2,FALSE)</f>
        <v>Tayfun VİÇE</v>
      </c>
      <c r="Z4148" t="str">
        <f>VLOOKUP(C4148,'[1]DBS_KPY Sorumlular'!A:C,3,FALSE)</f>
        <v>Mehmet Ali YAVUZ</v>
      </c>
      <c r="AA4148" t="str">
        <f>VLOOKUP(K4148,[1]!Tablo3[#Data],2,FALSE)</f>
        <v>Tayfun VİÇE</v>
      </c>
    </row>
    <row r="4149" spans="1:27" x14ac:dyDescent="0.25">
      <c r="A4149">
        <v>5531</v>
      </c>
      <c r="B4149" t="s">
        <v>27</v>
      </c>
      <c r="C4149" t="s">
        <v>402</v>
      </c>
      <c r="D4149" t="s">
        <v>403</v>
      </c>
      <c r="G4149" t="s">
        <v>384</v>
      </c>
      <c r="H4149" t="s">
        <v>11191</v>
      </c>
      <c r="I4149" s="4">
        <v>45443.875</v>
      </c>
      <c r="K4149" t="s">
        <v>1528</v>
      </c>
      <c r="L4149" s="5" t="s">
        <v>8401</v>
      </c>
      <c r="M4149" s="5" t="s">
        <v>8423</v>
      </c>
      <c r="N4149" t="s">
        <v>82</v>
      </c>
      <c r="O4149" t="s">
        <v>11192</v>
      </c>
      <c r="R4149">
        <v>1</v>
      </c>
      <c r="T4149" s="5"/>
      <c r="W4149">
        <v>270</v>
      </c>
      <c r="X4149" t="s">
        <v>8412</v>
      </c>
      <c r="Y4149" t="str">
        <f>VLOOKUP(C4149,'[1]DBS_KPY Sorumlular'!A:C,2,FALSE)</f>
        <v>Tayfun VİÇE</v>
      </c>
      <c r="Z4149" t="str">
        <f>VLOOKUP(C4149,'[1]DBS_KPY Sorumlular'!A:C,3,FALSE)</f>
        <v>Mehmet Ali YAVUZ</v>
      </c>
      <c r="AA4149" t="str">
        <f>VLOOKUP(K4149,[1]!Tablo3[#Data],2,FALSE)</f>
        <v>Tayfun VİÇE</v>
      </c>
    </row>
    <row r="4150" spans="1:27" x14ac:dyDescent="0.25">
      <c r="A4150">
        <v>5532</v>
      </c>
      <c r="B4150" t="s">
        <v>27</v>
      </c>
      <c r="C4150" t="s">
        <v>402</v>
      </c>
      <c r="D4150" t="s">
        <v>403</v>
      </c>
      <c r="G4150" t="s">
        <v>384</v>
      </c>
      <c r="H4150" t="s">
        <v>11193</v>
      </c>
      <c r="I4150" s="4">
        <v>45443.875</v>
      </c>
      <c r="K4150" t="s">
        <v>1528</v>
      </c>
      <c r="L4150" s="5" t="s">
        <v>8401</v>
      </c>
      <c r="M4150" s="5" t="s">
        <v>8423</v>
      </c>
      <c r="N4150" t="s">
        <v>82</v>
      </c>
      <c r="O4150" t="s">
        <v>11194</v>
      </c>
      <c r="R4150">
        <v>1</v>
      </c>
      <c r="T4150" s="5"/>
      <c r="W4150">
        <v>270</v>
      </c>
      <c r="X4150" t="s">
        <v>8412</v>
      </c>
      <c r="Y4150" t="str">
        <f>VLOOKUP(C4150,'[1]DBS_KPY Sorumlular'!A:C,2,FALSE)</f>
        <v>Tayfun VİÇE</v>
      </c>
      <c r="Z4150" t="str">
        <f>VLOOKUP(C4150,'[1]DBS_KPY Sorumlular'!A:C,3,FALSE)</f>
        <v>Mehmet Ali YAVUZ</v>
      </c>
      <c r="AA4150" t="str">
        <f>VLOOKUP(K4150,[1]!Tablo3[#Data],2,FALSE)</f>
        <v>Tayfun VİÇE</v>
      </c>
    </row>
    <row r="4151" spans="1:27" x14ac:dyDescent="0.25">
      <c r="A4151">
        <v>5534</v>
      </c>
      <c r="B4151" t="s">
        <v>27</v>
      </c>
      <c r="C4151" t="s">
        <v>402</v>
      </c>
      <c r="D4151" t="s">
        <v>403</v>
      </c>
      <c r="G4151" t="s">
        <v>384</v>
      </c>
      <c r="H4151" t="s">
        <v>11195</v>
      </c>
      <c r="I4151" s="4">
        <v>45443.875</v>
      </c>
      <c r="K4151" t="s">
        <v>1528</v>
      </c>
      <c r="L4151" s="5" t="s">
        <v>8401</v>
      </c>
      <c r="M4151" s="5" t="s">
        <v>8423</v>
      </c>
      <c r="N4151" t="s">
        <v>82</v>
      </c>
      <c r="O4151" t="s">
        <v>11196</v>
      </c>
      <c r="R4151">
        <v>1</v>
      </c>
      <c r="T4151" s="5"/>
      <c r="W4151">
        <v>270</v>
      </c>
      <c r="X4151" t="s">
        <v>8412</v>
      </c>
      <c r="Y4151" t="str">
        <f>VLOOKUP(C4151,'[1]DBS_KPY Sorumlular'!A:C,2,FALSE)</f>
        <v>Tayfun VİÇE</v>
      </c>
      <c r="Z4151" t="str">
        <f>VLOOKUP(C4151,'[1]DBS_KPY Sorumlular'!A:C,3,FALSE)</f>
        <v>Mehmet Ali YAVUZ</v>
      </c>
      <c r="AA4151" t="str">
        <f>VLOOKUP(K4151,[1]!Tablo3[#Data],2,FALSE)</f>
        <v>Tayfun VİÇE</v>
      </c>
    </row>
    <row r="4152" spans="1:27" x14ac:dyDescent="0.25">
      <c r="A4152">
        <v>5535</v>
      </c>
      <c r="B4152" t="s">
        <v>27</v>
      </c>
      <c r="C4152" t="s">
        <v>402</v>
      </c>
      <c r="D4152" t="s">
        <v>403</v>
      </c>
      <c r="G4152" t="s">
        <v>384</v>
      </c>
      <c r="H4152" t="s">
        <v>11197</v>
      </c>
      <c r="I4152" s="4">
        <v>45443.875</v>
      </c>
      <c r="K4152" t="s">
        <v>1528</v>
      </c>
      <c r="L4152" s="5" t="s">
        <v>8401</v>
      </c>
      <c r="M4152" s="5" t="s">
        <v>8423</v>
      </c>
      <c r="N4152" t="s">
        <v>82</v>
      </c>
      <c r="O4152" t="s">
        <v>11198</v>
      </c>
      <c r="R4152">
        <v>1</v>
      </c>
      <c r="T4152" s="5"/>
      <c r="W4152">
        <v>270</v>
      </c>
      <c r="X4152" t="s">
        <v>8412</v>
      </c>
      <c r="Y4152" t="str">
        <f>VLOOKUP(C4152,'[1]DBS_KPY Sorumlular'!A:C,2,FALSE)</f>
        <v>Tayfun VİÇE</v>
      </c>
      <c r="Z4152" t="str">
        <f>VLOOKUP(C4152,'[1]DBS_KPY Sorumlular'!A:C,3,FALSE)</f>
        <v>Mehmet Ali YAVUZ</v>
      </c>
      <c r="AA4152" t="str">
        <f>VLOOKUP(K4152,[1]!Tablo3[#Data],2,FALSE)</f>
        <v>Tayfun VİÇE</v>
      </c>
    </row>
    <row r="4153" spans="1:27" x14ac:dyDescent="0.25">
      <c r="A4153">
        <v>5536</v>
      </c>
      <c r="B4153" t="s">
        <v>27</v>
      </c>
      <c r="C4153" t="s">
        <v>402</v>
      </c>
      <c r="D4153" t="s">
        <v>403</v>
      </c>
      <c r="G4153" t="s">
        <v>384</v>
      </c>
      <c r="H4153" t="s">
        <v>11199</v>
      </c>
      <c r="I4153" s="4">
        <v>45443.875</v>
      </c>
      <c r="K4153" t="s">
        <v>1528</v>
      </c>
      <c r="L4153" s="5" t="s">
        <v>8401</v>
      </c>
      <c r="M4153" s="5" t="s">
        <v>8423</v>
      </c>
      <c r="N4153" t="s">
        <v>82</v>
      </c>
      <c r="O4153" t="s">
        <v>11200</v>
      </c>
      <c r="R4153">
        <v>1</v>
      </c>
      <c r="T4153" s="5"/>
      <c r="W4153">
        <v>270</v>
      </c>
      <c r="X4153" t="s">
        <v>8412</v>
      </c>
      <c r="Y4153" t="str">
        <f>VLOOKUP(C4153,'[1]DBS_KPY Sorumlular'!A:C,2,FALSE)</f>
        <v>Tayfun VİÇE</v>
      </c>
      <c r="Z4153" t="str">
        <f>VLOOKUP(C4153,'[1]DBS_KPY Sorumlular'!A:C,3,FALSE)</f>
        <v>Mehmet Ali YAVUZ</v>
      </c>
      <c r="AA4153" t="str">
        <f>VLOOKUP(K4153,[1]!Tablo3[#Data],2,FALSE)</f>
        <v>Tayfun VİÇE</v>
      </c>
    </row>
    <row r="4154" spans="1:27" x14ac:dyDescent="0.25">
      <c r="A4154">
        <v>5538</v>
      </c>
      <c r="B4154" t="s">
        <v>27</v>
      </c>
      <c r="C4154" t="s">
        <v>402</v>
      </c>
      <c r="D4154" t="s">
        <v>403</v>
      </c>
      <c r="G4154" t="s">
        <v>384</v>
      </c>
      <c r="H4154" t="s">
        <v>11201</v>
      </c>
      <c r="I4154" s="4">
        <v>45443.875</v>
      </c>
      <c r="K4154" t="s">
        <v>1528</v>
      </c>
      <c r="L4154" s="5" t="s">
        <v>8401</v>
      </c>
      <c r="M4154" s="5" t="s">
        <v>8423</v>
      </c>
      <c r="N4154" t="s">
        <v>82</v>
      </c>
      <c r="O4154" t="s">
        <v>11202</v>
      </c>
      <c r="R4154">
        <v>1</v>
      </c>
      <c r="T4154" s="5"/>
      <c r="W4154">
        <v>270</v>
      </c>
      <c r="X4154" t="s">
        <v>8412</v>
      </c>
      <c r="Y4154" t="str">
        <f>VLOOKUP(C4154,'[1]DBS_KPY Sorumlular'!A:C,2,FALSE)</f>
        <v>Tayfun VİÇE</v>
      </c>
      <c r="Z4154" t="str">
        <f>VLOOKUP(C4154,'[1]DBS_KPY Sorumlular'!A:C,3,FALSE)</f>
        <v>Mehmet Ali YAVUZ</v>
      </c>
      <c r="AA4154" t="str">
        <f>VLOOKUP(K4154,[1]!Tablo3[#Data],2,FALSE)</f>
        <v>Tayfun VİÇE</v>
      </c>
    </row>
    <row r="4155" spans="1:27" x14ac:dyDescent="0.25">
      <c r="A4155">
        <v>5539</v>
      </c>
      <c r="B4155" t="s">
        <v>27</v>
      </c>
      <c r="C4155" t="s">
        <v>402</v>
      </c>
      <c r="D4155" t="s">
        <v>403</v>
      </c>
      <c r="G4155" t="s">
        <v>384</v>
      </c>
      <c r="H4155" t="s">
        <v>11203</v>
      </c>
      <c r="I4155" s="4">
        <v>45443.875</v>
      </c>
      <c r="K4155" t="s">
        <v>1528</v>
      </c>
      <c r="L4155" s="5" t="s">
        <v>8401</v>
      </c>
      <c r="M4155" s="5" t="s">
        <v>8423</v>
      </c>
      <c r="N4155" t="s">
        <v>82</v>
      </c>
      <c r="O4155" t="s">
        <v>11204</v>
      </c>
      <c r="R4155">
        <v>1</v>
      </c>
      <c r="T4155" s="5"/>
      <c r="W4155">
        <v>270</v>
      </c>
      <c r="X4155" t="s">
        <v>8412</v>
      </c>
      <c r="Y4155" t="str">
        <f>VLOOKUP(C4155,'[1]DBS_KPY Sorumlular'!A:C,2,FALSE)</f>
        <v>Tayfun VİÇE</v>
      </c>
      <c r="Z4155" t="str">
        <f>VLOOKUP(C4155,'[1]DBS_KPY Sorumlular'!A:C,3,FALSE)</f>
        <v>Mehmet Ali YAVUZ</v>
      </c>
      <c r="AA4155" t="str">
        <f>VLOOKUP(K4155,[1]!Tablo3[#Data],2,FALSE)</f>
        <v>Tayfun VİÇE</v>
      </c>
    </row>
    <row r="4156" spans="1:27" x14ac:dyDescent="0.25">
      <c r="A4156">
        <v>5540</v>
      </c>
      <c r="B4156" t="s">
        <v>27</v>
      </c>
      <c r="C4156" t="s">
        <v>402</v>
      </c>
      <c r="D4156" t="s">
        <v>403</v>
      </c>
      <c r="G4156" t="s">
        <v>384</v>
      </c>
      <c r="H4156" t="s">
        <v>11205</v>
      </c>
      <c r="I4156" s="4">
        <v>45443.875</v>
      </c>
      <c r="K4156" t="s">
        <v>1528</v>
      </c>
      <c r="L4156" s="5" t="s">
        <v>8401</v>
      </c>
      <c r="M4156" s="5" t="s">
        <v>8423</v>
      </c>
      <c r="N4156" t="s">
        <v>82</v>
      </c>
      <c r="O4156" t="s">
        <v>11206</v>
      </c>
      <c r="R4156">
        <v>1</v>
      </c>
      <c r="T4156" s="5"/>
      <c r="W4156">
        <v>270</v>
      </c>
      <c r="X4156" t="s">
        <v>8412</v>
      </c>
      <c r="Y4156" t="str">
        <f>VLOOKUP(C4156,'[1]DBS_KPY Sorumlular'!A:C,2,FALSE)</f>
        <v>Tayfun VİÇE</v>
      </c>
      <c r="Z4156" t="str">
        <f>VLOOKUP(C4156,'[1]DBS_KPY Sorumlular'!A:C,3,FALSE)</f>
        <v>Mehmet Ali YAVUZ</v>
      </c>
      <c r="AA4156" t="str">
        <f>VLOOKUP(K4156,[1]!Tablo3[#Data],2,FALSE)</f>
        <v>Tayfun VİÇE</v>
      </c>
    </row>
    <row r="4157" spans="1:27" x14ac:dyDescent="0.25">
      <c r="A4157">
        <v>5541</v>
      </c>
      <c r="B4157" t="s">
        <v>27</v>
      </c>
      <c r="C4157" t="s">
        <v>402</v>
      </c>
      <c r="D4157" t="s">
        <v>403</v>
      </c>
      <c r="G4157" t="s">
        <v>384</v>
      </c>
      <c r="H4157" t="s">
        <v>11207</v>
      </c>
      <c r="I4157" s="4">
        <v>45443.875</v>
      </c>
      <c r="K4157" t="s">
        <v>1528</v>
      </c>
      <c r="L4157" s="5" t="s">
        <v>8401</v>
      </c>
      <c r="M4157" s="5" t="s">
        <v>8423</v>
      </c>
      <c r="N4157" t="s">
        <v>82</v>
      </c>
      <c r="O4157" t="s">
        <v>11208</v>
      </c>
      <c r="R4157">
        <v>1</v>
      </c>
      <c r="T4157" s="5"/>
      <c r="W4157">
        <v>270</v>
      </c>
      <c r="X4157" t="s">
        <v>8412</v>
      </c>
      <c r="Y4157" t="str">
        <f>VLOOKUP(C4157,'[1]DBS_KPY Sorumlular'!A:C,2,FALSE)</f>
        <v>Tayfun VİÇE</v>
      </c>
      <c r="Z4157" t="str">
        <f>VLOOKUP(C4157,'[1]DBS_KPY Sorumlular'!A:C,3,FALSE)</f>
        <v>Mehmet Ali YAVUZ</v>
      </c>
      <c r="AA4157" t="str">
        <f>VLOOKUP(K4157,[1]!Tablo3[#Data],2,FALSE)</f>
        <v>Tayfun VİÇE</v>
      </c>
    </row>
    <row r="4158" spans="1:27" x14ac:dyDescent="0.25">
      <c r="A4158">
        <v>5542</v>
      </c>
      <c r="B4158" t="s">
        <v>27</v>
      </c>
      <c r="C4158" t="s">
        <v>402</v>
      </c>
      <c r="D4158" t="s">
        <v>403</v>
      </c>
      <c r="G4158" t="s">
        <v>384</v>
      </c>
      <c r="H4158" t="s">
        <v>11209</v>
      </c>
      <c r="I4158" s="4">
        <v>45443.875</v>
      </c>
      <c r="K4158" t="s">
        <v>1528</v>
      </c>
      <c r="L4158" s="5" t="s">
        <v>8401</v>
      </c>
      <c r="M4158" s="5" t="s">
        <v>8423</v>
      </c>
      <c r="N4158" t="s">
        <v>82</v>
      </c>
      <c r="O4158" t="s">
        <v>11210</v>
      </c>
      <c r="R4158">
        <v>1</v>
      </c>
      <c r="T4158" s="5"/>
      <c r="W4158">
        <v>270</v>
      </c>
      <c r="X4158" t="s">
        <v>8412</v>
      </c>
      <c r="Y4158" t="str">
        <f>VLOOKUP(C4158,'[1]DBS_KPY Sorumlular'!A:C,2,FALSE)</f>
        <v>Tayfun VİÇE</v>
      </c>
      <c r="Z4158" t="str">
        <f>VLOOKUP(C4158,'[1]DBS_KPY Sorumlular'!A:C,3,FALSE)</f>
        <v>Mehmet Ali YAVUZ</v>
      </c>
      <c r="AA4158" t="str">
        <f>VLOOKUP(K4158,[1]!Tablo3[#Data],2,FALSE)</f>
        <v>Tayfun VİÇE</v>
      </c>
    </row>
    <row r="4159" spans="1:27" x14ac:dyDescent="0.25">
      <c r="A4159">
        <v>5543</v>
      </c>
      <c r="B4159" t="s">
        <v>27</v>
      </c>
      <c r="C4159" t="s">
        <v>402</v>
      </c>
      <c r="D4159" t="s">
        <v>403</v>
      </c>
      <c r="G4159" t="s">
        <v>384</v>
      </c>
      <c r="H4159" t="s">
        <v>11211</v>
      </c>
      <c r="I4159" s="4">
        <v>45443.875</v>
      </c>
      <c r="K4159" t="s">
        <v>1528</v>
      </c>
      <c r="L4159" s="5" t="s">
        <v>8401</v>
      </c>
      <c r="M4159" s="5" t="s">
        <v>8423</v>
      </c>
      <c r="N4159" t="s">
        <v>82</v>
      </c>
      <c r="O4159" t="s">
        <v>11212</v>
      </c>
      <c r="R4159">
        <v>1</v>
      </c>
      <c r="T4159" s="5"/>
      <c r="W4159">
        <v>270</v>
      </c>
      <c r="X4159" t="s">
        <v>8412</v>
      </c>
      <c r="Y4159" t="str">
        <f>VLOOKUP(C4159,'[1]DBS_KPY Sorumlular'!A:C,2,FALSE)</f>
        <v>Tayfun VİÇE</v>
      </c>
      <c r="Z4159" t="str">
        <f>VLOOKUP(C4159,'[1]DBS_KPY Sorumlular'!A:C,3,FALSE)</f>
        <v>Mehmet Ali YAVUZ</v>
      </c>
      <c r="AA4159" t="str">
        <f>VLOOKUP(K4159,[1]!Tablo3[#Data],2,FALSE)</f>
        <v>Tayfun VİÇE</v>
      </c>
    </row>
    <row r="4160" spans="1:27" x14ac:dyDescent="0.25">
      <c r="A4160">
        <v>5544</v>
      </c>
      <c r="B4160" t="s">
        <v>27</v>
      </c>
      <c r="C4160" t="s">
        <v>402</v>
      </c>
      <c r="D4160" t="s">
        <v>403</v>
      </c>
      <c r="G4160" t="s">
        <v>384</v>
      </c>
      <c r="H4160" t="s">
        <v>11213</v>
      </c>
      <c r="I4160" s="4">
        <v>45443.875</v>
      </c>
      <c r="K4160" t="s">
        <v>1528</v>
      </c>
      <c r="L4160" s="5" t="s">
        <v>8401</v>
      </c>
      <c r="M4160" s="5" t="s">
        <v>8423</v>
      </c>
      <c r="N4160" t="s">
        <v>82</v>
      </c>
      <c r="O4160" t="s">
        <v>11214</v>
      </c>
      <c r="R4160">
        <v>1</v>
      </c>
      <c r="T4160" s="5"/>
      <c r="W4160">
        <v>270</v>
      </c>
      <c r="X4160" t="s">
        <v>8412</v>
      </c>
      <c r="Y4160" t="str">
        <f>VLOOKUP(C4160,'[1]DBS_KPY Sorumlular'!A:C,2,FALSE)</f>
        <v>Tayfun VİÇE</v>
      </c>
      <c r="Z4160" t="str">
        <f>VLOOKUP(C4160,'[1]DBS_KPY Sorumlular'!A:C,3,FALSE)</f>
        <v>Mehmet Ali YAVUZ</v>
      </c>
      <c r="AA4160" t="str">
        <f>VLOOKUP(K4160,[1]!Tablo3[#Data],2,FALSE)</f>
        <v>Tayfun VİÇE</v>
      </c>
    </row>
    <row r="4161" spans="1:27" x14ac:dyDescent="0.25">
      <c r="A4161">
        <v>5545</v>
      </c>
      <c r="B4161" t="s">
        <v>27</v>
      </c>
      <c r="C4161" t="s">
        <v>402</v>
      </c>
      <c r="D4161" t="s">
        <v>403</v>
      </c>
      <c r="G4161" t="s">
        <v>384</v>
      </c>
      <c r="H4161" t="s">
        <v>11215</v>
      </c>
      <c r="I4161" s="4">
        <v>45443.875</v>
      </c>
      <c r="K4161" t="s">
        <v>1528</v>
      </c>
      <c r="L4161" s="5" t="s">
        <v>8401</v>
      </c>
      <c r="M4161" s="5" t="s">
        <v>8423</v>
      </c>
      <c r="N4161" t="s">
        <v>82</v>
      </c>
      <c r="O4161" t="s">
        <v>11216</v>
      </c>
      <c r="R4161">
        <v>1</v>
      </c>
      <c r="T4161" s="5"/>
      <c r="W4161">
        <v>270</v>
      </c>
      <c r="X4161" t="s">
        <v>8412</v>
      </c>
      <c r="Y4161" t="str">
        <f>VLOOKUP(C4161,'[1]DBS_KPY Sorumlular'!A:C,2,FALSE)</f>
        <v>Tayfun VİÇE</v>
      </c>
      <c r="Z4161" t="str">
        <f>VLOOKUP(C4161,'[1]DBS_KPY Sorumlular'!A:C,3,FALSE)</f>
        <v>Mehmet Ali YAVUZ</v>
      </c>
      <c r="AA4161" t="str">
        <f>VLOOKUP(K4161,[1]!Tablo3[#Data],2,FALSE)</f>
        <v>Tayfun VİÇE</v>
      </c>
    </row>
    <row r="4162" spans="1:27" x14ac:dyDescent="0.25">
      <c r="A4162">
        <v>5546</v>
      </c>
      <c r="B4162" t="s">
        <v>27</v>
      </c>
      <c r="C4162" t="s">
        <v>402</v>
      </c>
      <c r="D4162" t="s">
        <v>403</v>
      </c>
      <c r="G4162" t="s">
        <v>384</v>
      </c>
      <c r="H4162" t="s">
        <v>11217</v>
      </c>
      <c r="I4162" s="4">
        <v>45443.875</v>
      </c>
      <c r="K4162" t="s">
        <v>1528</v>
      </c>
      <c r="L4162" s="5" t="s">
        <v>8401</v>
      </c>
      <c r="M4162" s="5" t="s">
        <v>8423</v>
      </c>
      <c r="N4162" t="s">
        <v>82</v>
      </c>
      <c r="O4162" t="s">
        <v>11218</v>
      </c>
      <c r="R4162">
        <v>1</v>
      </c>
      <c r="T4162" s="5"/>
      <c r="W4162">
        <v>270</v>
      </c>
      <c r="X4162" t="s">
        <v>8412</v>
      </c>
      <c r="Y4162" t="str">
        <f>VLOOKUP(C4162,'[1]DBS_KPY Sorumlular'!A:C,2,FALSE)</f>
        <v>Tayfun VİÇE</v>
      </c>
      <c r="Z4162" t="str">
        <f>VLOOKUP(C4162,'[1]DBS_KPY Sorumlular'!A:C,3,FALSE)</f>
        <v>Mehmet Ali YAVUZ</v>
      </c>
      <c r="AA4162" t="str">
        <f>VLOOKUP(K4162,[1]!Tablo3[#Data],2,FALSE)</f>
        <v>Tayfun VİÇE</v>
      </c>
    </row>
    <row r="4163" spans="1:27" x14ac:dyDescent="0.25">
      <c r="A4163">
        <v>5547</v>
      </c>
      <c r="B4163" t="s">
        <v>27</v>
      </c>
      <c r="C4163" t="s">
        <v>402</v>
      </c>
      <c r="D4163" t="s">
        <v>403</v>
      </c>
      <c r="G4163" t="s">
        <v>384</v>
      </c>
      <c r="H4163" t="s">
        <v>11219</v>
      </c>
      <c r="I4163" s="4">
        <v>45443.875</v>
      </c>
      <c r="K4163" t="s">
        <v>1528</v>
      </c>
      <c r="L4163" s="5" t="s">
        <v>8401</v>
      </c>
      <c r="M4163" s="5" t="s">
        <v>8423</v>
      </c>
      <c r="N4163" t="s">
        <v>82</v>
      </c>
      <c r="O4163" t="s">
        <v>11220</v>
      </c>
      <c r="R4163">
        <v>1</v>
      </c>
      <c r="T4163" s="5"/>
      <c r="W4163">
        <v>270</v>
      </c>
      <c r="X4163" t="s">
        <v>8412</v>
      </c>
      <c r="Y4163" t="str">
        <f>VLOOKUP(C4163,'[1]DBS_KPY Sorumlular'!A:C,2,FALSE)</f>
        <v>Tayfun VİÇE</v>
      </c>
      <c r="Z4163" t="str">
        <f>VLOOKUP(C4163,'[1]DBS_KPY Sorumlular'!A:C,3,FALSE)</f>
        <v>Mehmet Ali YAVUZ</v>
      </c>
      <c r="AA4163" t="str">
        <f>VLOOKUP(K4163,[1]!Tablo3[#Data],2,FALSE)</f>
        <v>Tayfun VİÇE</v>
      </c>
    </row>
    <row r="4164" spans="1:27" x14ac:dyDescent="0.25">
      <c r="A4164">
        <v>5548</v>
      </c>
      <c r="B4164" t="s">
        <v>27</v>
      </c>
      <c r="C4164" t="s">
        <v>402</v>
      </c>
      <c r="D4164" t="s">
        <v>403</v>
      </c>
      <c r="G4164" t="s">
        <v>384</v>
      </c>
      <c r="H4164" t="s">
        <v>11221</v>
      </c>
      <c r="I4164" s="4">
        <v>45443.875</v>
      </c>
      <c r="K4164" t="s">
        <v>1528</v>
      </c>
      <c r="L4164" s="5" t="s">
        <v>8401</v>
      </c>
      <c r="M4164" s="5" t="s">
        <v>8423</v>
      </c>
      <c r="N4164" t="s">
        <v>82</v>
      </c>
      <c r="O4164" t="s">
        <v>11222</v>
      </c>
      <c r="R4164">
        <v>1</v>
      </c>
      <c r="T4164" s="5"/>
      <c r="W4164">
        <v>270</v>
      </c>
      <c r="X4164" t="s">
        <v>8412</v>
      </c>
      <c r="Y4164" t="str">
        <f>VLOOKUP(C4164,'[1]DBS_KPY Sorumlular'!A:C,2,FALSE)</f>
        <v>Tayfun VİÇE</v>
      </c>
      <c r="Z4164" t="str">
        <f>VLOOKUP(C4164,'[1]DBS_KPY Sorumlular'!A:C,3,FALSE)</f>
        <v>Mehmet Ali YAVUZ</v>
      </c>
      <c r="AA4164" t="str">
        <f>VLOOKUP(K4164,[1]!Tablo3[#Data],2,FALSE)</f>
        <v>Tayfun VİÇE</v>
      </c>
    </row>
    <row r="4165" spans="1:27" x14ac:dyDescent="0.25">
      <c r="A4165">
        <v>5549</v>
      </c>
      <c r="B4165" t="s">
        <v>27</v>
      </c>
      <c r="C4165" t="s">
        <v>402</v>
      </c>
      <c r="D4165" t="s">
        <v>403</v>
      </c>
      <c r="G4165" t="s">
        <v>384</v>
      </c>
      <c r="H4165" t="s">
        <v>11223</v>
      </c>
      <c r="I4165" s="4">
        <v>45443.875</v>
      </c>
      <c r="K4165" t="s">
        <v>1528</v>
      </c>
      <c r="L4165" s="5" t="s">
        <v>8401</v>
      </c>
      <c r="M4165" s="5" t="s">
        <v>8423</v>
      </c>
      <c r="N4165" t="s">
        <v>82</v>
      </c>
      <c r="O4165" t="s">
        <v>11224</v>
      </c>
      <c r="R4165">
        <v>1</v>
      </c>
      <c r="T4165" s="5"/>
      <c r="W4165">
        <v>270</v>
      </c>
      <c r="X4165" t="s">
        <v>8412</v>
      </c>
      <c r="Y4165" t="str">
        <f>VLOOKUP(C4165,'[1]DBS_KPY Sorumlular'!A:C,2,FALSE)</f>
        <v>Tayfun VİÇE</v>
      </c>
      <c r="Z4165" t="str">
        <f>VLOOKUP(C4165,'[1]DBS_KPY Sorumlular'!A:C,3,FALSE)</f>
        <v>Mehmet Ali YAVUZ</v>
      </c>
      <c r="AA4165" t="str">
        <f>VLOOKUP(K4165,[1]!Tablo3[#Data],2,FALSE)</f>
        <v>Tayfun VİÇE</v>
      </c>
    </row>
    <row r="4166" spans="1:27" x14ac:dyDescent="0.25">
      <c r="A4166">
        <v>5550</v>
      </c>
      <c r="B4166" t="s">
        <v>27</v>
      </c>
      <c r="C4166" t="s">
        <v>402</v>
      </c>
      <c r="D4166" t="s">
        <v>403</v>
      </c>
      <c r="G4166" t="s">
        <v>384</v>
      </c>
      <c r="H4166" t="s">
        <v>11225</v>
      </c>
      <c r="I4166" s="4">
        <v>45443.875</v>
      </c>
      <c r="K4166" t="s">
        <v>1528</v>
      </c>
      <c r="L4166" s="5" t="s">
        <v>8401</v>
      </c>
      <c r="M4166" s="5" t="s">
        <v>8423</v>
      </c>
      <c r="N4166" t="s">
        <v>82</v>
      </c>
      <c r="O4166" t="s">
        <v>11226</v>
      </c>
      <c r="R4166">
        <v>1</v>
      </c>
      <c r="T4166" s="5"/>
      <c r="W4166">
        <v>270</v>
      </c>
      <c r="X4166" t="s">
        <v>8412</v>
      </c>
      <c r="Y4166" t="str">
        <f>VLOOKUP(C4166,'[1]DBS_KPY Sorumlular'!A:C,2,FALSE)</f>
        <v>Tayfun VİÇE</v>
      </c>
      <c r="Z4166" t="str">
        <f>VLOOKUP(C4166,'[1]DBS_KPY Sorumlular'!A:C,3,FALSE)</f>
        <v>Mehmet Ali YAVUZ</v>
      </c>
      <c r="AA4166" t="str">
        <f>VLOOKUP(K4166,[1]!Tablo3[#Data],2,FALSE)</f>
        <v>Tayfun VİÇE</v>
      </c>
    </row>
    <row r="4167" spans="1:27" x14ac:dyDescent="0.25">
      <c r="A4167">
        <v>5551</v>
      </c>
      <c r="B4167" t="s">
        <v>27</v>
      </c>
      <c r="C4167" t="s">
        <v>402</v>
      </c>
      <c r="D4167" t="s">
        <v>403</v>
      </c>
      <c r="G4167" t="s">
        <v>384</v>
      </c>
      <c r="H4167" t="s">
        <v>11227</v>
      </c>
      <c r="I4167" s="4">
        <v>45443.875</v>
      </c>
      <c r="K4167" t="s">
        <v>1528</v>
      </c>
      <c r="L4167" s="5" t="s">
        <v>8401</v>
      </c>
      <c r="M4167" s="5" t="s">
        <v>8423</v>
      </c>
      <c r="N4167" t="s">
        <v>82</v>
      </c>
      <c r="O4167" t="s">
        <v>11228</v>
      </c>
      <c r="R4167">
        <v>1</v>
      </c>
      <c r="T4167" s="5"/>
      <c r="W4167">
        <v>270</v>
      </c>
      <c r="X4167" t="s">
        <v>8412</v>
      </c>
      <c r="Y4167" t="str">
        <f>VLOOKUP(C4167,'[1]DBS_KPY Sorumlular'!A:C,2,FALSE)</f>
        <v>Tayfun VİÇE</v>
      </c>
      <c r="Z4167" t="str">
        <f>VLOOKUP(C4167,'[1]DBS_KPY Sorumlular'!A:C,3,FALSE)</f>
        <v>Mehmet Ali YAVUZ</v>
      </c>
      <c r="AA4167" t="str">
        <f>VLOOKUP(K4167,[1]!Tablo3[#Data],2,FALSE)</f>
        <v>Tayfun VİÇE</v>
      </c>
    </row>
    <row r="4168" spans="1:27" x14ac:dyDescent="0.25">
      <c r="A4168">
        <v>5552</v>
      </c>
      <c r="B4168" t="s">
        <v>27</v>
      </c>
      <c r="C4168" t="s">
        <v>402</v>
      </c>
      <c r="D4168" t="s">
        <v>403</v>
      </c>
      <c r="G4168" t="s">
        <v>384</v>
      </c>
      <c r="H4168" t="s">
        <v>11229</v>
      </c>
      <c r="I4168" s="4">
        <v>45443.875</v>
      </c>
      <c r="K4168" t="s">
        <v>1528</v>
      </c>
      <c r="L4168" s="5" t="s">
        <v>8401</v>
      </c>
      <c r="M4168" s="5" t="s">
        <v>8423</v>
      </c>
      <c r="N4168" t="s">
        <v>82</v>
      </c>
      <c r="O4168" t="s">
        <v>11230</v>
      </c>
      <c r="R4168">
        <v>1</v>
      </c>
      <c r="T4168" s="5"/>
      <c r="W4168">
        <v>270</v>
      </c>
      <c r="X4168" t="s">
        <v>8412</v>
      </c>
      <c r="Y4168" t="str">
        <f>VLOOKUP(C4168,'[1]DBS_KPY Sorumlular'!A:C,2,FALSE)</f>
        <v>Tayfun VİÇE</v>
      </c>
      <c r="Z4168" t="str">
        <f>VLOOKUP(C4168,'[1]DBS_KPY Sorumlular'!A:C,3,FALSE)</f>
        <v>Mehmet Ali YAVUZ</v>
      </c>
      <c r="AA4168" t="str">
        <f>VLOOKUP(K4168,[1]!Tablo3[#Data],2,FALSE)</f>
        <v>Tayfun VİÇE</v>
      </c>
    </row>
    <row r="4169" spans="1:27" x14ac:dyDescent="0.25">
      <c r="A4169">
        <v>5553</v>
      </c>
      <c r="B4169" t="s">
        <v>27</v>
      </c>
      <c r="C4169" t="s">
        <v>402</v>
      </c>
      <c r="D4169" t="s">
        <v>403</v>
      </c>
      <c r="G4169" t="s">
        <v>384</v>
      </c>
      <c r="H4169" t="s">
        <v>11231</v>
      </c>
      <c r="I4169" s="4">
        <v>45443.875</v>
      </c>
      <c r="K4169" t="s">
        <v>1528</v>
      </c>
      <c r="L4169" s="5" t="s">
        <v>8401</v>
      </c>
      <c r="M4169" s="5" t="s">
        <v>8423</v>
      </c>
      <c r="N4169" t="s">
        <v>82</v>
      </c>
      <c r="O4169" t="s">
        <v>11232</v>
      </c>
      <c r="R4169">
        <v>1</v>
      </c>
      <c r="T4169" s="5"/>
      <c r="W4169">
        <v>270</v>
      </c>
      <c r="X4169" t="s">
        <v>8412</v>
      </c>
      <c r="Y4169" t="str">
        <f>VLOOKUP(C4169,'[1]DBS_KPY Sorumlular'!A:C,2,FALSE)</f>
        <v>Tayfun VİÇE</v>
      </c>
      <c r="Z4169" t="str">
        <f>VLOOKUP(C4169,'[1]DBS_KPY Sorumlular'!A:C,3,FALSE)</f>
        <v>Mehmet Ali YAVUZ</v>
      </c>
      <c r="AA4169" t="str">
        <f>VLOOKUP(K4169,[1]!Tablo3[#Data],2,FALSE)</f>
        <v>Tayfun VİÇE</v>
      </c>
    </row>
    <row r="4170" spans="1:27" x14ac:dyDescent="0.25">
      <c r="A4170">
        <v>5554</v>
      </c>
      <c r="B4170" t="s">
        <v>27</v>
      </c>
      <c r="C4170" t="s">
        <v>402</v>
      </c>
      <c r="D4170" t="s">
        <v>403</v>
      </c>
      <c r="G4170" t="s">
        <v>384</v>
      </c>
      <c r="H4170" t="s">
        <v>11233</v>
      </c>
      <c r="I4170" s="4">
        <v>45443.875</v>
      </c>
      <c r="K4170" t="s">
        <v>1528</v>
      </c>
      <c r="L4170" s="5" t="s">
        <v>8401</v>
      </c>
      <c r="M4170" s="5" t="s">
        <v>8423</v>
      </c>
      <c r="N4170" t="s">
        <v>82</v>
      </c>
      <c r="O4170" t="s">
        <v>11234</v>
      </c>
      <c r="R4170">
        <v>1</v>
      </c>
      <c r="T4170" s="5"/>
      <c r="W4170">
        <v>270</v>
      </c>
      <c r="X4170" t="s">
        <v>8412</v>
      </c>
      <c r="Y4170" t="str">
        <f>VLOOKUP(C4170,'[1]DBS_KPY Sorumlular'!A:C,2,FALSE)</f>
        <v>Tayfun VİÇE</v>
      </c>
      <c r="Z4170" t="str">
        <f>VLOOKUP(C4170,'[1]DBS_KPY Sorumlular'!A:C,3,FALSE)</f>
        <v>Mehmet Ali YAVUZ</v>
      </c>
      <c r="AA4170" t="str">
        <f>VLOOKUP(K4170,[1]!Tablo3[#Data],2,FALSE)</f>
        <v>Tayfun VİÇE</v>
      </c>
    </row>
    <row r="4171" spans="1:27" x14ac:dyDescent="0.25">
      <c r="A4171">
        <v>5555</v>
      </c>
      <c r="B4171" t="s">
        <v>27</v>
      </c>
      <c r="C4171" t="s">
        <v>402</v>
      </c>
      <c r="D4171" t="s">
        <v>403</v>
      </c>
      <c r="G4171" t="s">
        <v>384</v>
      </c>
      <c r="H4171" t="s">
        <v>11235</v>
      </c>
      <c r="I4171" s="4">
        <v>45443.875</v>
      </c>
      <c r="K4171" t="s">
        <v>1528</v>
      </c>
      <c r="L4171" s="5" t="s">
        <v>8401</v>
      </c>
      <c r="M4171" s="5" t="s">
        <v>8423</v>
      </c>
      <c r="N4171" t="s">
        <v>82</v>
      </c>
      <c r="O4171" t="s">
        <v>11236</v>
      </c>
      <c r="R4171">
        <v>1</v>
      </c>
      <c r="T4171" s="5"/>
      <c r="W4171">
        <v>270</v>
      </c>
      <c r="X4171" t="s">
        <v>8412</v>
      </c>
      <c r="Y4171" t="str">
        <f>VLOOKUP(C4171,'[1]DBS_KPY Sorumlular'!A:C,2,FALSE)</f>
        <v>Tayfun VİÇE</v>
      </c>
      <c r="Z4171" t="str">
        <f>VLOOKUP(C4171,'[1]DBS_KPY Sorumlular'!A:C,3,FALSE)</f>
        <v>Mehmet Ali YAVUZ</v>
      </c>
      <c r="AA4171" t="str">
        <f>VLOOKUP(K4171,[1]!Tablo3[#Data],2,FALSE)</f>
        <v>Tayfun VİÇE</v>
      </c>
    </row>
    <row r="4172" spans="1:27" x14ac:dyDescent="0.25">
      <c r="A4172">
        <v>5556</v>
      </c>
      <c r="B4172" t="s">
        <v>27</v>
      </c>
      <c r="C4172" t="s">
        <v>402</v>
      </c>
      <c r="D4172" t="s">
        <v>403</v>
      </c>
      <c r="G4172" t="s">
        <v>384</v>
      </c>
      <c r="H4172" t="s">
        <v>11237</v>
      </c>
      <c r="I4172" s="4">
        <v>45443.875</v>
      </c>
      <c r="K4172" t="s">
        <v>1528</v>
      </c>
      <c r="L4172" s="5" t="s">
        <v>8401</v>
      </c>
      <c r="M4172" s="5" t="s">
        <v>8423</v>
      </c>
      <c r="N4172" t="s">
        <v>82</v>
      </c>
      <c r="O4172" t="s">
        <v>11238</v>
      </c>
      <c r="R4172">
        <v>1</v>
      </c>
      <c r="T4172" s="5"/>
      <c r="W4172">
        <v>270</v>
      </c>
      <c r="X4172" t="s">
        <v>8412</v>
      </c>
      <c r="Y4172" t="str">
        <f>VLOOKUP(C4172,'[1]DBS_KPY Sorumlular'!A:C,2,FALSE)</f>
        <v>Tayfun VİÇE</v>
      </c>
      <c r="Z4172" t="str">
        <f>VLOOKUP(C4172,'[1]DBS_KPY Sorumlular'!A:C,3,FALSE)</f>
        <v>Mehmet Ali YAVUZ</v>
      </c>
      <c r="AA4172" t="str">
        <f>VLOOKUP(K4172,[1]!Tablo3[#Data],2,FALSE)</f>
        <v>Tayfun VİÇE</v>
      </c>
    </row>
    <row r="4173" spans="1:27" x14ac:dyDescent="0.25">
      <c r="A4173">
        <v>5557</v>
      </c>
      <c r="B4173" t="s">
        <v>27</v>
      </c>
      <c r="C4173" t="s">
        <v>402</v>
      </c>
      <c r="D4173" t="s">
        <v>403</v>
      </c>
      <c r="G4173" t="s">
        <v>384</v>
      </c>
      <c r="H4173" t="s">
        <v>11239</v>
      </c>
      <c r="I4173" s="4">
        <v>45443.875</v>
      </c>
      <c r="K4173" t="s">
        <v>1528</v>
      </c>
      <c r="L4173" s="5" t="s">
        <v>8401</v>
      </c>
      <c r="M4173" s="5" t="s">
        <v>8423</v>
      </c>
      <c r="N4173" t="s">
        <v>82</v>
      </c>
      <c r="O4173" t="s">
        <v>11240</v>
      </c>
      <c r="R4173">
        <v>1</v>
      </c>
      <c r="T4173" s="5"/>
      <c r="W4173">
        <v>270</v>
      </c>
      <c r="X4173" t="s">
        <v>8412</v>
      </c>
      <c r="Y4173" t="str">
        <f>VLOOKUP(C4173,'[1]DBS_KPY Sorumlular'!A:C,2,FALSE)</f>
        <v>Tayfun VİÇE</v>
      </c>
      <c r="Z4173" t="str">
        <f>VLOOKUP(C4173,'[1]DBS_KPY Sorumlular'!A:C,3,FALSE)</f>
        <v>Mehmet Ali YAVUZ</v>
      </c>
      <c r="AA4173" t="str">
        <f>VLOOKUP(K4173,[1]!Tablo3[#Data],2,FALSE)</f>
        <v>Tayfun VİÇE</v>
      </c>
    </row>
    <row r="4174" spans="1:27" x14ac:dyDescent="0.25">
      <c r="A4174">
        <v>5558</v>
      </c>
      <c r="B4174" t="s">
        <v>27</v>
      </c>
      <c r="C4174" t="s">
        <v>402</v>
      </c>
      <c r="D4174" t="s">
        <v>403</v>
      </c>
      <c r="G4174" t="s">
        <v>384</v>
      </c>
      <c r="H4174" t="s">
        <v>11241</v>
      </c>
      <c r="I4174" s="4">
        <v>45443.875</v>
      </c>
      <c r="K4174" t="s">
        <v>1528</v>
      </c>
      <c r="L4174" s="5" t="s">
        <v>8401</v>
      </c>
      <c r="M4174" s="5" t="s">
        <v>8423</v>
      </c>
      <c r="N4174" t="s">
        <v>82</v>
      </c>
      <c r="O4174" t="s">
        <v>11242</v>
      </c>
      <c r="R4174">
        <v>1</v>
      </c>
      <c r="T4174" s="5"/>
      <c r="W4174">
        <v>270</v>
      </c>
      <c r="X4174" t="s">
        <v>8412</v>
      </c>
      <c r="Y4174" t="str">
        <f>VLOOKUP(C4174,'[1]DBS_KPY Sorumlular'!A:C,2,FALSE)</f>
        <v>Tayfun VİÇE</v>
      </c>
      <c r="Z4174" t="str">
        <f>VLOOKUP(C4174,'[1]DBS_KPY Sorumlular'!A:C,3,FALSE)</f>
        <v>Mehmet Ali YAVUZ</v>
      </c>
      <c r="AA4174" t="str">
        <f>VLOOKUP(K4174,[1]!Tablo3[#Data],2,FALSE)</f>
        <v>Tayfun VİÇE</v>
      </c>
    </row>
    <row r="4175" spans="1:27" x14ac:dyDescent="0.25">
      <c r="A4175">
        <v>5559</v>
      </c>
      <c r="B4175" t="s">
        <v>27</v>
      </c>
      <c r="C4175" t="s">
        <v>402</v>
      </c>
      <c r="D4175" t="s">
        <v>403</v>
      </c>
      <c r="G4175" t="s">
        <v>384</v>
      </c>
      <c r="H4175" t="s">
        <v>11243</v>
      </c>
      <c r="I4175" s="4">
        <v>45443.875</v>
      </c>
      <c r="K4175" t="s">
        <v>1528</v>
      </c>
      <c r="L4175" s="5" t="s">
        <v>8401</v>
      </c>
      <c r="M4175" s="5" t="s">
        <v>8423</v>
      </c>
      <c r="N4175" t="s">
        <v>82</v>
      </c>
      <c r="O4175" t="s">
        <v>11244</v>
      </c>
      <c r="R4175">
        <v>1</v>
      </c>
      <c r="T4175" s="5"/>
      <c r="W4175">
        <v>270</v>
      </c>
      <c r="X4175" t="s">
        <v>8412</v>
      </c>
      <c r="Y4175" t="str">
        <f>VLOOKUP(C4175,'[1]DBS_KPY Sorumlular'!A:C,2,FALSE)</f>
        <v>Tayfun VİÇE</v>
      </c>
      <c r="Z4175" t="str">
        <f>VLOOKUP(C4175,'[1]DBS_KPY Sorumlular'!A:C,3,FALSE)</f>
        <v>Mehmet Ali YAVUZ</v>
      </c>
      <c r="AA4175" t="str">
        <f>VLOOKUP(K4175,[1]!Tablo3[#Data],2,FALSE)</f>
        <v>Tayfun VİÇE</v>
      </c>
    </row>
    <row r="4176" spans="1:27" x14ac:dyDescent="0.25">
      <c r="A4176">
        <v>5560</v>
      </c>
      <c r="B4176" t="s">
        <v>27</v>
      </c>
      <c r="C4176" t="s">
        <v>402</v>
      </c>
      <c r="D4176" t="s">
        <v>403</v>
      </c>
      <c r="G4176" t="s">
        <v>384</v>
      </c>
      <c r="H4176" t="s">
        <v>11245</v>
      </c>
      <c r="I4176" s="4">
        <v>45443.875</v>
      </c>
      <c r="K4176" t="s">
        <v>1528</v>
      </c>
      <c r="L4176" s="5" t="s">
        <v>8401</v>
      </c>
      <c r="M4176" s="5" t="s">
        <v>8423</v>
      </c>
      <c r="N4176" t="s">
        <v>82</v>
      </c>
      <c r="O4176" t="s">
        <v>11246</v>
      </c>
      <c r="R4176">
        <v>1</v>
      </c>
      <c r="T4176" s="5"/>
      <c r="W4176">
        <v>270</v>
      </c>
      <c r="X4176" t="s">
        <v>8412</v>
      </c>
      <c r="Y4176" t="str">
        <f>VLOOKUP(C4176,'[1]DBS_KPY Sorumlular'!A:C,2,FALSE)</f>
        <v>Tayfun VİÇE</v>
      </c>
      <c r="Z4176" t="str">
        <f>VLOOKUP(C4176,'[1]DBS_KPY Sorumlular'!A:C,3,FALSE)</f>
        <v>Mehmet Ali YAVUZ</v>
      </c>
      <c r="AA4176" t="str">
        <f>VLOOKUP(K4176,[1]!Tablo3[#Data],2,FALSE)</f>
        <v>Tayfun VİÇE</v>
      </c>
    </row>
    <row r="4177" spans="1:27" x14ac:dyDescent="0.25">
      <c r="A4177">
        <v>5561</v>
      </c>
      <c r="B4177" t="s">
        <v>27</v>
      </c>
      <c r="C4177" t="s">
        <v>402</v>
      </c>
      <c r="D4177" t="s">
        <v>403</v>
      </c>
      <c r="G4177" t="s">
        <v>384</v>
      </c>
      <c r="H4177" t="s">
        <v>11247</v>
      </c>
      <c r="I4177" s="4">
        <v>45443.875</v>
      </c>
      <c r="K4177" t="s">
        <v>1528</v>
      </c>
      <c r="L4177" s="5" t="s">
        <v>8401</v>
      </c>
      <c r="M4177" s="5" t="s">
        <v>8423</v>
      </c>
      <c r="N4177" t="s">
        <v>82</v>
      </c>
      <c r="O4177" t="s">
        <v>11248</v>
      </c>
      <c r="R4177">
        <v>1</v>
      </c>
      <c r="T4177" s="5"/>
      <c r="W4177">
        <v>270</v>
      </c>
      <c r="X4177" t="s">
        <v>8412</v>
      </c>
      <c r="Y4177" t="str">
        <f>VLOOKUP(C4177,'[1]DBS_KPY Sorumlular'!A:C,2,FALSE)</f>
        <v>Tayfun VİÇE</v>
      </c>
      <c r="Z4177" t="str">
        <f>VLOOKUP(C4177,'[1]DBS_KPY Sorumlular'!A:C,3,FALSE)</f>
        <v>Mehmet Ali YAVUZ</v>
      </c>
      <c r="AA4177" t="str">
        <f>VLOOKUP(K4177,[1]!Tablo3[#Data],2,FALSE)</f>
        <v>Tayfun VİÇE</v>
      </c>
    </row>
    <row r="4178" spans="1:27" x14ac:dyDescent="0.25">
      <c r="A4178">
        <v>5562</v>
      </c>
      <c r="B4178" t="s">
        <v>27</v>
      </c>
      <c r="C4178" t="s">
        <v>402</v>
      </c>
      <c r="D4178" t="s">
        <v>403</v>
      </c>
      <c r="G4178" t="s">
        <v>384</v>
      </c>
      <c r="H4178" t="s">
        <v>11249</v>
      </c>
      <c r="I4178" s="4">
        <v>45443.875</v>
      </c>
      <c r="K4178" t="s">
        <v>1528</v>
      </c>
      <c r="L4178" s="5" t="s">
        <v>8401</v>
      </c>
      <c r="M4178" s="5" t="s">
        <v>8423</v>
      </c>
      <c r="N4178" t="s">
        <v>82</v>
      </c>
      <c r="O4178" t="s">
        <v>11250</v>
      </c>
      <c r="R4178">
        <v>1</v>
      </c>
      <c r="T4178" s="5"/>
      <c r="W4178">
        <v>270</v>
      </c>
      <c r="X4178" t="s">
        <v>8412</v>
      </c>
      <c r="Y4178" t="str">
        <f>VLOOKUP(C4178,'[1]DBS_KPY Sorumlular'!A:C,2,FALSE)</f>
        <v>Tayfun VİÇE</v>
      </c>
      <c r="Z4178" t="str">
        <f>VLOOKUP(C4178,'[1]DBS_KPY Sorumlular'!A:C,3,FALSE)</f>
        <v>Mehmet Ali YAVUZ</v>
      </c>
      <c r="AA4178" t="str">
        <f>VLOOKUP(K4178,[1]!Tablo3[#Data],2,FALSE)</f>
        <v>Tayfun VİÇE</v>
      </c>
    </row>
    <row r="4179" spans="1:27" x14ac:dyDescent="0.25">
      <c r="A4179">
        <v>5563</v>
      </c>
      <c r="B4179" t="s">
        <v>27</v>
      </c>
      <c r="C4179" t="s">
        <v>402</v>
      </c>
      <c r="D4179" t="s">
        <v>403</v>
      </c>
      <c r="G4179" t="s">
        <v>384</v>
      </c>
      <c r="H4179" t="s">
        <v>11251</v>
      </c>
      <c r="I4179" s="4">
        <v>45443.875</v>
      </c>
      <c r="K4179" t="s">
        <v>1528</v>
      </c>
      <c r="L4179" s="5" t="s">
        <v>8401</v>
      </c>
      <c r="M4179" s="5" t="s">
        <v>8423</v>
      </c>
      <c r="N4179" t="s">
        <v>82</v>
      </c>
      <c r="O4179" t="s">
        <v>11252</v>
      </c>
      <c r="R4179">
        <v>1</v>
      </c>
      <c r="T4179" s="5"/>
      <c r="W4179">
        <v>270</v>
      </c>
      <c r="X4179" t="s">
        <v>8412</v>
      </c>
      <c r="Y4179" t="str">
        <f>VLOOKUP(C4179,'[1]DBS_KPY Sorumlular'!A:C,2,FALSE)</f>
        <v>Tayfun VİÇE</v>
      </c>
      <c r="Z4179" t="str">
        <f>VLOOKUP(C4179,'[1]DBS_KPY Sorumlular'!A:C,3,FALSE)</f>
        <v>Mehmet Ali YAVUZ</v>
      </c>
      <c r="AA4179" t="str">
        <f>VLOOKUP(K4179,[1]!Tablo3[#Data],2,FALSE)</f>
        <v>Tayfun VİÇE</v>
      </c>
    </row>
    <row r="4180" spans="1:27" x14ac:dyDescent="0.25">
      <c r="A4180">
        <v>5564</v>
      </c>
      <c r="B4180" t="s">
        <v>27</v>
      </c>
      <c r="C4180" t="s">
        <v>402</v>
      </c>
      <c r="D4180" t="s">
        <v>403</v>
      </c>
      <c r="G4180" t="s">
        <v>384</v>
      </c>
      <c r="H4180" t="s">
        <v>11253</v>
      </c>
      <c r="I4180" s="4">
        <v>45443.875</v>
      </c>
      <c r="K4180" t="s">
        <v>1528</v>
      </c>
      <c r="L4180" s="5" t="s">
        <v>8401</v>
      </c>
      <c r="M4180" s="5" t="s">
        <v>8423</v>
      </c>
      <c r="N4180" t="s">
        <v>82</v>
      </c>
      <c r="O4180" t="s">
        <v>11254</v>
      </c>
      <c r="R4180">
        <v>1</v>
      </c>
      <c r="T4180" s="5"/>
      <c r="W4180">
        <v>270</v>
      </c>
      <c r="X4180" t="s">
        <v>8412</v>
      </c>
      <c r="Y4180" t="str">
        <f>VLOOKUP(C4180,'[1]DBS_KPY Sorumlular'!A:C,2,FALSE)</f>
        <v>Tayfun VİÇE</v>
      </c>
      <c r="Z4180" t="str">
        <f>VLOOKUP(C4180,'[1]DBS_KPY Sorumlular'!A:C,3,FALSE)</f>
        <v>Mehmet Ali YAVUZ</v>
      </c>
      <c r="AA4180" t="str">
        <f>VLOOKUP(K4180,[1]!Tablo3[#Data],2,FALSE)</f>
        <v>Tayfun VİÇE</v>
      </c>
    </row>
    <row r="4181" spans="1:27" x14ac:dyDescent="0.25">
      <c r="A4181">
        <v>5565</v>
      </c>
      <c r="B4181" t="s">
        <v>27</v>
      </c>
      <c r="C4181" t="s">
        <v>402</v>
      </c>
      <c r="D4181" t="s">
        <v>403</v>
      </c>
      <c r="G4181" t="s">
        <v>384</v>
      </c>
      <c r="H4181" t="s">
        <v>11255</v>
      </c>
      <c r="I4181" s="4">
        <v>45443.875</v>
      </c>
      <c r="K4181" t="s">
        <v>1528</v>
      </c>
      <c r="L4181" s="5" t="s">
        <v>8401</v>
      </c>
      <c r="M4181" s="5" t="s">
        <v>8423</v>
      </c>
      <c r="N4181" t="s">
        <v>82</v>
      </c>
      <c r="O4181" t="s">
        <v>11256</v>
      </c>
      <c r="R4181">
        <v>1</v>
      </c>
      <c r="T4181" s="5"/>
      <c r="W4181">
        <v>270</v>
      </c>
      <c r="X4181" t="s">
        <v>8412</v>
      </c>
      <c r="Y4181" t="str">
        <f>VLOOKUP(C4181,'[1]DBS_KPY Sorumlular'!A:C,2,FALSE)</f>
        <v>Tayfun VİÇE</v>
      </c>
      <c r="Z4181" t="str">
        <f>VLOOKUP(C4181,'[1]DBS_KPY Sorumlular'!A:C,3,FALSE)</f>
        <v>Mehmet Ali YAVUZ</v>
      </c>
      <c r="AA4181" t="str">
        <f>VLOOKUP(K4181,[1]!Tablo3[#Data],2,FALSE)</f>
        <v>Tayfun VİÇE</v>
      </c>
    </row>
    <row r="4182" spans="1:27" x14ac:dyDescent="0.25">
      <c r="A4182">
        <v>5566</v>
      </c>
      <c r="B4182" t="s">
        <v>27</v>
      </c>
      <c r="C4182" t="s">
        <v>402</v>
      </c>
      <c r="D4182" t="s">
        <v>403</v>
      </c>
      <c r="G4182" t="s">
        <v>384</v>
      </c>
      <c r="H4182" t="s">
        <v>11257</v>
      </c>
      <c r="I4182" s="4">
        <v>45443.875</v>
      </c>
      <c r="K4182" t="s">
        <v>1528</v>
      </c>
      <c r="L4182" s="5" t="s">
        <v>8401</v>
      </c>
      <c r="M4182" s="5" t="s">
        <v>8423</v>
      </c>
      <c r="N4182" t="s">
        <v>82</v>
      </c>
      <c r="O4182" t="s">
        <v>11258</v>
      </c>
      <c r="R4182">
        <v>1</v>
      </c>
      <c r="T4182" s="5"/>
      <c r="W4182">
        <v>270</v>
      </c>
      <c r="X4182" t="s">
        <v>8412</v>
      </c>
      <c r="Y4182" t="str">
        <f>VLOOKUP(C4182,'[1]DBS_KPY Sorumlular'!A:C,2,FALSE)</f>
        <v>Tayfun VİÇE</v>
      </c>
      <c r="Z4182" t="str">
        <f>VLOOKUP(C4182,'[1]DBS_KPY Sorumlular'!A:C,3,FALSE)</f>
        <v>Mehmet Ali YAVUZ</v>
      </c>
      <c r="AA4182" t="str">
        <f>VLOOKUP(K4182,[1]!Tablo3[#Data],2,FALSE)</f>
        <v>Tayfun VİÇE</v>
      </c>
    </row>
    <row r="4183" spans="1:27" x14ac:dyDescent="0.25">
      <c r="A4183">
        <v>5567</v>
      </c>
      <c r="B4183" t="s">
        <v>27</v>
      </c>
      <c r="C4183" t="s">
        <v>402</v>
      </c>
      <c r="D4183" t="s">
        <v>403</v>
      </c>
      <c r="G4183" t="s">
        <v>384</v>
      </c>
      <c r="H4183" t="s">
        <v>11259</v>
      </c>
      <c r="I4183" s="4">
        <v>45443.875</v>
      </c>
      <c r="K4183" t="s">
        <v>1528</v>
      </c>
      <c r="L4183" s="5" t="s">
        <v>8401</v>
      </c>
      <c r="M4183" s="5" t="s">
        <v>8423</v>
      </c>
      <c r="N4183" t="s">
        <v>82</v>
      </c>
      <c r="O4183" t="s">
        <v>11260</v>
      </c>
      <c r="R4183">
        <v>1</v>
      </c>
      <c r="T4183" s="5"/>
      <c r="W4183">
        <v>270</v>
      </c>
      <c r="X4183" t="s">
        <v>8412</v>
      </c>
      <c r="Y4183" t="str">
        <f>VLOOKUP(C4183,'[1]DBS_KPY Sorumlular'!A:C,2,FALSE)</f>
        <v>Tayfun VİÇE</v>
      </c>
      <c r="Z4183" t="str">
        <f>VLOOKUP(C4183,'[1]DBS_KPY Sorumlular'!A:C,3,FALSE)</f>
        <v>Mehmet Ali YAVUZ</v>
      </c>
      <c r="AA4183" t="str">
        <f>VLOOKUP(K4183,[1]!Tablo3[#Data],2,FALSE)</f>
        <v>Tayfun VİÇE</v>
      </c>
    </row>
    <row r="4184" spans="1:27" x14ac:dyDescent="0.25">
      <c r="A4184">
        <v>5568</v>
      </c>
      <c r="B4184" t="s">
        <v>27</v>
      </c>
      <c r="C4184" t="s">
        <v>402</v>
      </c>
      <c r="D4184" t="s">
        <v>403</v>
      </c>
      <c r="G4184" t="s">
        <v>384</v>
      </c>
      <c r="H4184" t="s">
        <v>11261</v>
      </c>
      <c r="I4184" s="4">
        <v>45443.875</v>
      </c>
      <c r="K4184" t="s">
        <v>1528</v>
      </c>
      <c r="L4184" s="5" t="s">
        <v>8401</v>
      </c>
      <c r="M4184" s="5" t="s">
        <v>8423</v>
      </c>
      <c r="N4184" t="s">
        <v>82</v>
      </c>
      <c r="O4184" t="s">
        <v>11262</v>
      </c>
      <c r="R4184">
        <v>1</v>
      </c>
      <c r="T4184" s="5"/>
      <c r="W4184">
        <v>270</v>
      </c>
      <c r="X4184" t="s">
        <v>8412</v>
      </c>
      <c r="Y4184" t="str">
        <f>VLOOKUP(C4184,'[1]DBS_KPY Sorumlular'!A:C,2,FALSE)</f>
        <v>Tayfun VİÇE</v>
      </c>
      <c r="Z4184" t="str">
        <f>VLOOKUP(C4184,'[1]DBS_KPY Sorumlular'!A:C,3,FALSE)</f>
        <v>Mehmet Ali YAVUZ</v>
      </c>
      <c r="AA4184" t="str">
        <f>VLOOKUP(K4184,[1]!Tablo3[#Data],2,FALSE)</f>
        <v>Tayfun VİÇE</v>
      </c>
    </row>
    <row r="4185" spans="1:27" x14ac:dyDescent="0.25">
      <c r="A4185">
        <v>5569</v>
      </c>
      <c r="B4185" t="s">
        <v>27</v>
      </c>
      <c r="C4185" t="s">
        <v>402</v>
      </c>
      <c r="D4185" t="s">
        <v>403</v>
      </c>
      <c r="G4185" t="s">
        <v>384</v>
      </c>
      <c r="H4185" t="s">
        <v>11263</v>
      </c>
      <c r="I4185" s="4">
        <v>45443.875</v>
      </c>
      <c r="K4185" t="s">
        <v>1528</v>
      </c>
      <c r="L4185" s="5" t="s">
        <v>8401</v>
      </c>
      <c r="M4185" s="5" t="s">
        <v>8423</v>
      </c>
      <c r="N4185" t="s">
        <v>82</v>
      </c>
      <c r="O4185" t="s">
        <v>11264</v>
      </c>
      <c r="R4185">
        <v>1</v>
      </c>
      <c r="T4185" s="5"/>
      <c r="W4185">
        <v>270</v>
      </c>
      <c r="X4185" t="s">
        <v>8412</v>
      </c>
      <c r="Y4185" t="str">
        <f>VLOOKUP(C4185,'[1]DBS_KPY Sorumlular'!A:C,2,FALSE)</f>
        <v>Tayfun VİÇE</v>
      </c>
      <c r="Z4185" t="str">
        <f>VLOOKUP(C4185,'[1]DBS_KPY Sorumlular'!A:C,3,FALSE)</f>
        <v>Mehmet Ali YAVUZ</v>
      </c>
      <c r="AA4185" t="str">
        <f>VLOOKUP(K4185,[1]!Tablo3[#Data],2,FALSE)</f>
        <v>Tayfun VİÇE</v>
      </c>
    </row>
    <row r="4186" spans="1:27" x14ac:dyDescent="0.25">
      <c r="A4186">
        <v>5570</v>
      </c>
      <c r="B4186" t="s">
        <v>27</v>
      </c>
      <c r="C4186" t="s">
        <v>402</v>
      </c>
      <c r="D4186" t="s">
        <v>403</v>
      </c>
      <c r="G4186" t="s">
        <v>384</v>
      </c>
      <c r="H4186" t="s">
        <v>11265</v>
      </c>
      <c r="I4186" s="4">
        <v>45443.875</v>
      </c>
      <c r="K4186" t="s">
        <v>1528</v>
      </c>
      <c r="L4186" s="5" t="s">
        <v>8401</v>
      </c>
      <c r="M4186" s="5" t="s">
        <v>8423</v>
      </c>
      <c r="N4186" t="s">
        <v>82</v>
      </c>
      <c r="O4186" t="s">
        <v>11266</v>
      </c>
      <c r="R4186">
        <v>1</v>
      </c>
      <c r="T4186" s="5"/>
      <c r="W4186">
        <v>270</v>
      </c>
      <c r="X4186" t="s">
        <v>8412</v>
      </c>
      <c r="Y4186" t="str">
        <f>VLOOKUP(C4186,'[1]DBS_KPY Sorumlular'!A:C,2,FALSE)</f>
        <v>Tayfun VİÇE</v>
      </c>
      <c r="Z4186" t="str">
        <f>VLOOKUP(C4186,'[1]DBS_KPY Sorumlular'!A:C,3,FALSE)</f>
        <v>Mehmet Ali YAVUZ</v>
      </c>
      <c r="AA4186" t="str">
        <f>VLOOKUP(K4186,[1]!Tablo3[#Data],2,FALSE)</f>
        <v>Tayfun VİÇE</v>
      </c>
    </row>
    <row r="4187" spans="1:27" x14ac:dyDescent="0.25">
      <c r="A4187">
        <v>5571</v>
      </c>
      <c r="B4187" t="s">
        <v>27</v>
      </c>
      <c r="C4187" t="s">
        <v>402</v>
      </c>
      <c r="D4187" t="s">
        <v>403</v>
      </c>
      <c r="G4187" t="s">
        <v>384</v>
      </c>
      <c r="H4187" t="s">
        <v>11267</v>
      </c>
      <c r="I4187" s="4">
        <v>45443.875</v>
      </c>
      <c r="K4187" t="s">
        <v>1528</v>
      </c>
      <c r="L4187" s="5" t="s">
        <v>8401</v>
      </c>
      <c r="M4187" s="5" t="s">
        <v>8423</v>
      </c>
      <c r="N4187" t="s">
        <v>82</v>
      </c>
      <c r="O4187" t="s">
        <v>11268</v>
      </c>
      <c r="R4187">
        <v>1</v>
      </c>
      <c r="T4187" s="5"/>
      <c r="W4187">
        <v>270</v>
      </c>
      <c r="X4187" t="s">
        <v>8412</v>
      </c>
      <c r="Y4187" t="str">
        <f>VLOOKUP(C4187,'[1]DBS_KPY Sorumlular'!A:C,2,FALSE)</f>
        <v>Tayfun VİÇE</v>
      </c>
      <c r="Z4187" t="str">
        <f>VLOOKUP(C4187,'[1]DBS_KPY Sorumlular'!A:C,3,FALSE)</f>
        <v>Mehmet Ali YAVUZ</v>
      </c>
      <c r="AA4187" t="str">
        <f>VLOOKUP(K4187,[1]!Tablo3[#Data],2,FALSE)</f>
        <v>Tayfun VİÇE</v>
      </c>
    </row>
    <row r="4188" spans="1:27" x14ac:dyDescent="0.25">
      <c r="A4188">
        <v>5572</v>
      </c>
      <c r="B4188" t="s">
        <v>27</v>
      </c>
      <c r="C4188" t="s">
        <v>402</v>
      </c>
      <c r="D4188" t="s">
        <v>403</v>
      </c>
      <c r="G4188" t="s">
        <v>384</v>
      </c>
      <c r="H4188" t="s">
        <v>11269</v>
      </c>
      <c r="I4188" s="4">
        <v>45443.875</v>
      </c>
      <c r="K4188" t="s">
        <v>1528</v>
      </c>
      <c r="L4188" s="5" t="s">
        <v>8401</v>
      </c>
      <c r="M4188" s="5" t="s">
        <v>8423</v>
      </c>
      <c r="N4188" t="s">
        <v>82</v>
      </c>
      <c r="O4188" t="s">
        <v>11270</v>
      </c>
      <c r="R4188">
        <v>1</v>
      </c>
      <c r="T4188" s="5"/>
      <c r="W4188">
        <v>270</v>
      </c>
      <c r="X4188" t="s">
        <v>8412</v>
      </c>
      <c r="Y4188" t="str">
        <f>VLOOKUP(C4188,'[1]DBS_KPY Sorumlular'!A:C,2,FALSE)</f>
        <v>Tayfun VİÇE</v>
      </c>
      <c r="Z4188" t="str">
        <f>VLOOKUP(C4188,'[1]DBS_KPY Sorumlular'!A:C,3,FALSE)</f>
        <v>Mehmet Ali YAVUZ</v>
      </c>
      <c r="AA4188" t="str">
        <f>VLOOKUP(K4188,[1]!Tablo3[#Data],2,FALSE)</f>
        <v>Tayfun VİÇE</v>
      </c>
    </row>
    <row r="4189" spans="1:27" x14ac:dyDescent="0.25">
      <c r="A4189">
        <v>5573</v>
      </c>
      <c r="B4189" t="s">
        <v>27</v>
      </c>
      <c r="C4189" t="s">
        <v>402</v>
      </c>
      <c r="D4189" t="s">
        <v>403</v>
      </c>
      <c r="G4189" t="s">
        <v>384</v>
      </c>
      <c r="H4189" t="s">
        <v>11271</v>
      </c>
      <c r="I4189" s="4">
        <v>45443.875</v>
      </c>
      <c r="K4189" t="s">
        <v>1528</v>
      </c>
      <c r="L4189" s="5" t="s">
        <v>8401</v>
      </c>
      <c r="M4189" s="5" t="s">
        <v>8423</v>
      </c>
      <c r="N4189" t="s">
        <v>82</v>
      </c>
      <c r="O4189" t="s">
        <v>11272</v>
      </c>
      <c r="R4189">
        <v>1</v>
      </c>
      <c r="T4189" s="5"/>
      <c r="W4189">
        <v>270</v>
      </c>
      <c r="X4189" t="s">
        <v>8412</v>
      </c>
      <c r="Y4189" t="str">
        <f>VLOOKUP(C4189,'[1]DBS_KPY Sorumlular'!A:C,2,FALSE)</f>
        <v>Tayfun VİÇE</v>
      </c>
      <c r="Z4189" t="str">
        <f>VLOOKUP(C4189,'[1]DBS_KPY Sorumlular'!A:C,3,FALSE)</f>
        <v>Mehmet Ali YAVUZ</v>
      </c>
      <c r="AA4189" t="str">
        <f>VLOOKUP(K4189,[1]!Tablo3[#Data],2,FALSE)</f>
        <v>Tayfun VİÇE</v>
      </c>
    </row>
    <row r="4190" spans="1:27" x14ac:dyDescent="0.25">
      <c r="A4190">
        <v>5574</v>
      </c>
      <c r="B4190" t="s">
        <v>27</v>
      </c>
      <c r="C4190" t="s">
        <v>402</v>
      </c>
      <c r="D4190" t="s">
        <v>403</v>
      </c>
      <c r="G4190" t="s">
        <v>384</v>
      </c>
      <c r="H4190" t="s">
        <v>11273</v>
      </c>
      <c r="I4190" s="4">
        <v>45443.875</v>
      </c>
      <c r="K4190" t="s">
        <v>1528</v>
      </c>
      <c r="L4190" s="5" t="s">
        <v>8401</v>
      </c>
      <c r="M4190" s="5" t="s">
        <v>8423</v>
      </c>
      <c r="N4190" t="s">
        <v>82</v>
      </c>
      <c r="O4190" t="s">
        <v>11274</v>
      </c>
      <c r="R4190">
        <v>1</v>
      </c>
      <c r="T4190" s="5"/>
      <c r="W4190">
        <v>270</v>
      </c>
      <c r="X4190" t="s">
        <v>8412</v>
      </c>
      <c r="Y4190" t="str">
        <f>VLOOKUP(C4190,'[1]DBS_KPY Sorumlular'!A:C,2,FALSE)</f>
        <v>Tayfun VİÇE</v>
      </c>
      <c r="Z4190" t="str">
        <f>VLOOKUP(C4190,'[1]DBS_KPY Sorumlular'!A:C,3,FALSE)</f>
        <v>Mehmet Ali YAVUZ</v>
      </c>
      <c r="AA4190" t="str">
        <f>VLOOKUP(K4190,[1]!Tablo3[#Data],2,FALSE)</f>
        <v>Tayfun VİÇE</v>
      </c>
    </row>
    <row r="4191" spans="1:27" x14ac:dyDescent="0.25">
      <c r="A4191">
        <v>5575</v>
      </c>
      <c r="B4191" t="s">
        <v>27</v>
      </c>
      <c r="C4191" t="s">
        <v>402</v>
      </c>
      <c r="D4191" t="s">
        <v>403</v>
      </c>
      <c r="G4191" t="s">
        <v>384</v>
      </c>
      <c r="H4191" t="s">
        <v>11275</v>
      </c>
      <c r="I4191" s="4">
        <v>45443.875</v>
      </c>
      <c r="K4191" t="s">
        <v>1528</v>
      </c>
      <c r="L4191" s="5" t="s">
        <v>8401</v>
      </c>
      <c r="M4191" s="5" t="s">
        <v>8423</v>
      </c>
      <c r="N4191" t="s">
        <v>82</v>
      </c>
      <c r="O4191" t="s">
        <v>11276</v>
      </c>
      <c r="R4191">
        <v>1</v>
      </c>
      <c r="T4191" s="5"/>
      <c r="W4191">
        <v>270</v>
      </c>
      <c r="X4191" t="s">
        <v>8412</v>
      </c>
      <c r="Y4191" t="str">
        <f>VLOOKUP(C4191,'[1]DBS_KPY Sorumlular'!A:C,2,FALSE)</f>
        <v>Tayfun VİÇE</v>
      </c>
      <c r="Z4191" t="str">
        <f>VLOOKUP(C4191,'[1]DBS_KPY Sorumlular'!A:C,3,FALSE)</f>
        <v>Mehmet Ali YAVUZ</v>
      </c>
      <c r="AA4191" t="str">
        <f>VLOOKUP(K4191,[1]!Tablo3[#Data],2,FALSE)</f>
        <v>Tayfun VİÇE</v>
      </c>
    </row>
    <row r="4192" spans="1:27" x14ac:dyDescent="0.25">
      <c r="A4192">
        <v>5576</v>
      </c>
      <c r="B4192" t="s">
        <v>27</v>
      </c>
      <c r="C4192" t="s">
        <v>402</v>
      </c>
      <c r="D4192" t="s">
        <v>403</v>
      </c>
      <c r="G4192" t="s">
        <v>384</v>
      </c>
      <c r="H4192" t="s">
        <v>11277</v>
      </c>
      <c r="I4192" s="4">
        <v>45443.875</v>
      </c>
      <c r="K4192" t="s">
        <v>1528</v>
      </c>
      <c r="L4192" s="5" t="s">
        <v>8401</v>
      </c>
      <c r="M4192" s="5" t="s">
        <v>8423</v>
      </c>
      <c r="N4192" t="s">
        <v>82</v>
      </c>
      <c r="O4192" t="s">
        <v>11278</v>
      </c>
      <c r="R4192">
        <v>1</v>
      </c>
      <c r="T4192" s="5"/>
      <c r="W4192">
        <v>270</v>
      </c>
      <c r="X4192" t="s">
        <v>8412</v>
      </c>
      <c r="Y4192" t="str">
        <f>VLOOKUP(C4192,'[1]DBS_KPY Sorumlular'!A:C,2,FALSE)</f>
        <v>Tayfun VİÇE</v>
      </c>
      <c r="Z4192" t="str">
        <f>VLOOKUP(C4192,'[1]DBS_KPY Sorumlular'!A:C,3,FALSE)</f>
        <v>Mehmet Ali YAVUZ</v>
      </c>
      <c r="AA4192" t="str">
        <f>VLOOKUP(K4192,[1]!Tablo3[#Data],2,FALSE)</f>
        <v>Tayfun VİÇE</v>
      </c>
    </row>
    <row r="4193" spans="1:27" x14ac:dyDescent="0.25">
      <c r="A4193">
        <v>5577</v>
      </c>
      <c r="B4193" t="s">
        <v>27</v>
      </c>
      <c r="C4193" t="s">
        <v>402</v>
      </c>
      <c r="D4193" t="s">
        <v>403</v>
      </c>
      <c r="G4193" t="s">
        <v>384</v>
      </c>
      <c r="H4193" t="s">
        <v>11279</v>
      </c>
      <c r="I4193" s="4">
        <v>45443.875</v>
      </c>
      <c r="K4193" t="s">
        <v>1528</v>
      </c>
      <c r="L4193" s="5" t="s">
        <v>8401</v>
      </c>
      <c r="M4193" s="5" t="s">
        <v>8423</v>
      </c>
      <c r="N4193" t="s">
        <v>82</v>
      </c>
      <c r="O4193" t="s">
        <v>11280</v>
      </c>
      <c r="R4193">
        <v>1</v>
      </c>
      <c r="T4193" s="5"/>
      <c r="W4193">
        <v>270</v>
      </c>
      <c r="X4193" t="s">
        <v>8412</v>
      </c>
      <c r="Y4193" t="str">
        <f>VLOOKUP(C4193,'[1]DBS_KPY Sorumlular'!A:C,2,FALSE)</f>
        <v>Tayfun VİÇE</v>
      </c>
      <c r="Z4193" t="str">
        <f>VLOOKUP(C4193,'[1]DBS_KPY Sorumlular'!A:C,3,FALSE)</f>
        <v>Mehmet Ali YAVUZ</v>
      </c>
      <c r="AA4193" t="str">
        <f>VLOOKUP(K4193,[1]!Tablo3[#Data],2,FALSE)</f>
        <v>Tayfun VİÇE</v>
      </c>
    </row>
    <row r="4194" spans="1:27" x14ac:dyDescent="0.25">
      <c r="A4194">
        <v>5578</v>
      </c>
      <c r="B4194" t="s">
        <v>27</v>
      </c>
      <c r="C4194" t="s">
        <v>402</v>
      </c>
      <c r="D4194" t="s">
        <v>403</v>
      </c>
      <c r="G4194" t="s">
        <v>384</v>
      </c>
      <c r="H4194" t="s">
        <v>11281</v>
      </c>
      <c r="I4194" s="4">
        <v>45443.875</v>
      </c>
      <c r="K4194" t="s">
        <v>1528</v>
      </c>
      <c r="L4194" s="5" t="s">
        <v>8401</v>
      </c>
      <c r="M4194" s="5" t="s">
        <v>8423</v>
      </c>
      <c r="N4194" t="s">
        <v>82</v>
      </c>
      <c r="O4194" t="s">
        <v>11282</v>
      </c>
      <c r="R4194">
        <v>1</v>
      </c>
      <c r="T4194" s="5"/>
      <c r="W4194">
        <v>270</v>
      </c>
      <c r="X4194" t="s">
        <v>8412</v>
      </c>
      <c r="Y4194" t="str">
        <f>VLOOKUP(C4194,'[1]DBS_KPY Sorumlular'!A:C,2,FALSE)</f>
        <v>Tayfun VİÇE</v>
      </c>
      <c r="Z4194" t="str">
        <f>VLOOKUP(C4194,'[1]DBS_KPY Sorumlular'!A:C,3,FALSE)</f>
        <v>Mehmet Ali YAVUZ</v>
      </c>
      <c r="AA4194" t="str">
        <f>VLOOKUP(K4194,[1]!Tablo3[#Data],2,FALSE)</f>
        <v>Tayfun VİÇE</v>
      </c>
    </row>
    <row r="4195" spans="1:27" x14ac:dyDescent="0.25">
      <c r="A4195">
        <v>5579</v>
      </c>
      <c r="B4195" t="s">
        <v>27</v>
      </c>
      <c r="C4195" t="s">
        <v>402</v>
      </c>
      <c r="D4195" t="s">
        <v>403</v>
      </c>
      <c r="G4195" t="s">
        <v>384</v>
      </c>
      <c r="H4195" t="s">
        <v>11283</v>
      </c>
      <c r="I4195" s="4">
        <v>45443.875</v>
      </c>
      <c r="K4195" t="s">
        <v>1528</v>
      </c>
      <c r="L4195" s="5" t="s">
        <v>8401</v>
      </c>
      <c r="M4195" s="5" t="s">
        <v>8423</v>
      </c>
      <c r="N4195" t="s">
        <v>82</v>
      </c>
      <c r="O4195" t="s">
        <v>11284</v>
      </c>
      <c r="R4195">
        <v>1</v>
      </c>
      <c r="T4195" s="5"/>
      <c r="W4195">
        <v>270</v>
      </c>
      <c r="X4195" t="s">
        <v>8412</v>
      </c>
      <c r="Y4195" t="str">
        <f>VLOOKUP(C4195,'[1]DBS_KPY Sorumlular'!A:C,2,FALSE)</f>
        <v>Tayfun VİÇE</v>
      </c>
      <c r="Z4195" t="str">
        <f>VLOOKUP(C4195,'[1]DBS_KPY Sorumlular'!A:C,3,FALSE)</f>
        <v>Mehmet Ali YAVUZ</v>
      </c>
      <c r="AA4195" t="str">
        <f>VLOOKUP(K4195,[1]!Tablo3[#Data],2,FALSE)</f>
        <v>Tayfun VİÇE</v>
      </c>
    </row>
    <row r="4196" spans="1:27" x14ac:dyDescent="0.25">
      <c r="A4196">
        <v>5580</v>
      </c>
      <c r="B4196" t="s">
        <v>27</v>
      </c>
      <c r="C4196" t="s">
        <v>402</v>
      </c>
      <c r="D4196" t="s">
        <v>403</v>
      </c>
      <c r="G4196" t="s">
        <v>384</v>
      </c>
      <c r="H4196" t="s">
        <v>11285</v>
      </c>
      <c r="I4196" s="4">
        <v>45443.875</v>
      </c>
      <c r="K4196" t="s">
        <v>1528</v>
      </c>
      <c r="L4196" s="5" t="s">
        <v>8401</v>
      </c>
      <c r="M4196" s="5" t="s">
        <v>8423</v>
      </c>
      <c r="N4196" t="s">
        <v>82</v>
      </c>
      <c r="O4196" t="s">
        <v>11286</v>
      </c>
      <c r="R4196">
        <v>1</v>
      </c>
      <c r="T4196" s="5"/>
      <c r="W4196">
        <v>270</v>
      </c>
      <c r="X4196" t="s">
        <v>8412</v>
      </c>
      <c r="Y4196" t="str">
        <f>VLOOKUP(C4196,'[1]DBS_KPY Sorumlular'!A:C,2,FALSE)</f>
        <v>Tayfun VİÇE</v>
      </c>
      <c r="Z4196" t="str">
        <f>VLOOKUP(C4196,'[1]DBS_KPY Sorumlular'!A:C,3,FALSE)</f>
        <v>Mehmet Ali YAVUZ</v>
      </c>
      <c r="AA4196" t="str">
        <f>VLOOKUP(K4196,[1]!Tablo3[#Data],2,FALSE)</f>
        <v>Tayfun VİÇE</v>
      </c>
    </row>
    <row r="4197" spans="1:27" x14ac:dyDescent="0.25">
      <c r="A4197">
        <v>5581</v>
      </c>
      <c r="B4197" t="s">
        <v>27</v>
      </c>
      <c r="C4197" t="s">
        <v>402</v>
      </c>
      <c r="D4197" t="s">
        <v>403</v>
      </c>
      <c r="G4197" t="s">
        <v>384</v>
      </c>
      <c r="H4197" t="s">
        <v>11287</v>
      </c>
      <c r="I4197" s="4">
        <v>45443.875</v>
      </c>
      <c r="K4197" t="s">
        <v>1528</v>
      </c>
      <c r="L4197" s="5" t="s">
        <v>8401</v>
      </c>
      <c r="M4197" s="5" t="s">
        <v>8423</v>
      </c>
      <c r="N4197" t="s">
        <v>82</v>
      </c>
      <c r="O4197" t="s">
        <v>11288</v>
      </c>
      <c r="R4197">
        <v>1</v>
      </c>
      <c r="T4197" s="5"/>
      <c r="W4197">
        <v>270</v>
      </c>
      <c r="X4197" t="s">
        <v>8412</v>
      </c>
      <c r="Y4197" t="str">
        <f>VLOOKUP(C4197,'[1]DBS_KPY Sorumlular'!A:C,2,FALSE)</f>
        <v>Tayfun VİÇE</v>
      </c>
      <c r="Z4197" t="str">
        <f>VLOOKUP(C4197,'[1]DBS_KPY Sorumlular'!A:C,3,FALSE)</f>
        <v>Mehmet Ali YAVUZ</v>
      </c>
      <c r="AA4197" t="str">
        <f>VLOOKUP(K4197,[1]!Tablo3[#Data],2,FALSE)</f>
        <v>Tayfun VİÇE</v>
      </c>
    </row>
    <row r="4198" spans="1:27" x14ac:dyDescent="0.25">
      <c r="A4198">
        <v>5582</v>
      </c>
      <c r="B4198" t="s">
        <v>27</v>
      </c>
      <c r="C4198" t="s">
        <v>402</v>
      </c>
      <c r="D4198" t="s">
        <v>403</v>
      </c>
      <c r="G4198" t="s">
        <v>384</v>
      </c>
      <c r="H4198" t="s">
        <v>11289</v>
      </c>
      <c r="I4198" s="4">
        <v>45443.875</v>
      </c>
      <c r="K4198" t="s">
        <v>1528</v>
      </c>
      <c r="L4198" s="5" t="s">
        <v>8401</v>
      </c>
      <c r="M4198" s="5" t="s">
        <v>8423</v>
      </c>
      <c r="N4198" t="s">
        <v>82</v>
      </c>
      <c r="O4198" t="s">
        <v>11290</v>
      </c>
      <c r="R4198">
        <v>1</v>
      </c>
      <c r="T4198" s="5"/>
      <c r="W4198">
        <v>270</v>
      </c>
      <c r="X4198" t="s">
        <v>8412</v>
      </c>
      <c r="Y4198" t="str">
        <f>VLOOKUP(C4198,'[1]DBS_KPY Sorumlular'!A:C,2,FALSE)</f>
        <v>Tayfun VİÇE</v>
      </c>
      <c r="Z4198" t="str">
        <f>VLOOKUP(C4198,'[1]DBS_KPY Sorumlular'!A:C,3,FALSE)</f>
        <v>Mehmet Ali YAVUZ</v>
      </c>
      <c r="AA4198" t="str">
        <f>VLOOKUP(K4198,[1]!Tablo3[#Data],2,FALSE)</f>
        <v>Tayfun VİÇE</v>
      </c>
    </row>
    <row r="4199" spans="1:27" x14ac:dyDescent="0.25">
      <c r="A4199">
        <v>5583</v>
      </c>
      <c r="B4199" t="s">
        <v>27</v>
      </c>
      <c r="C4199" t="s">
        <v>402</v>
      </c>
      <c r="D4199" t="s">
        <v>403</v>
      </c>
      <c r="G4199" t="s">
        <v>384</v>
      </c>
      <c r="H4199" t="s">
        <v>11291</v>
      </c>
      <c r="I4199" s="4">
        <v>45443.875</v>
      </c>
      <c r="K4199" t="s">
        <v>1528</v>
      </c>
      <c r="L4199" s="5" t="s">
        <v>8401</v>
      </c>
      <c r="M4199" s="5" t="s">
        <v>8423</v>
      </c>
      <c r="N4199" t="s">
        <v>82</v>
      </c>
      <c r="O4199" t="s">
        <v>11292</v>
      </c>
      <c r="R4199">
        <v>1</v>
      </c>
      <c r="T4199" s="5"/>
      <c r="W4199">
        <v>270</v>
      </c>
      <c r="X4199" t="s">
        <v>8412</v>
      </c>
      <c r="Y4199" t="str">
        <f>VLOOKUP(C4199,'[1]DBS_KPY Sorumlular'!A:C,2,FALSE)</f>
        <v>Tayfun VİÇE</v>
      </c>
      <c r="Z4199" t="str">
        <f>VLOOKUP(C4199,'[1]DBS_KPY Sorumlular'!A:C,3,FALSE)</f>
        <v>Mehmet Ali YAVUZ</v>
      </c>
      <c r="AA4199" t="str">
        <f>VLOOKUP(K4199,[1]!Tablo3[#Data],2,FALSE)</f>
        <v>Tayfun VİÇE</v>
      </c>
    </row>
    <row r="4200" spans="1:27" x14ac:dyDescent="0.25">
      <c r="A4200">
        <v>5584</v>
      </c>
      <c r="B4200" t="s">
        <v>27</v>
      </c>
      <c r="C4200" t="s">
        <v>402</v>
      </c>
      <c r="D4200" t="s">
        <v>403</v>
      </c>
      <c r="G4200" t="s">
        <v>384</v>
      </c>
      <c r="H4200" t="s">
        <v>11293</v>
      </c>
      <c r="I4200" s="4">
        <v>45443.875</v>
      </c>
      <c r="K4200" t="s">
        <v>1528</v>
      </c>
      <c r="L4200" s="5" t="s">
        <v>8401</v>
      </c>
      <c r="M4200" s="5" t="s">
        <v>8423</v>
      </c>
      <c r="N4200" t="s">
        <v>82</v>
      </c>
      <c r="O4200" t="s">
        <v>11294</v>
      </c>
      <c r="R4200">
        <v>1</v>
      </c>
      <c r="T4200" s="5"/>
      <c r="W4200">
        <v>270</v>
      </c>
      <c r="X4200" t="s">
        <v>8412</v>
      </c>
      <c r="Y4200" t="str">
        <f>VLOOKUP(C4200,'[1]DBS_KPY Sorumlular'!A:C,2,FALSE)</f>
        <v>Tayfun VİÇE</v>
      </c>
      <c r="Z4200" t="str">
        <f>VLOOKUP(C4200,'[1]DBS_KPY Sorumlular'!A:C,3,FALSE)</f>
        <v>Mehmet Ali YAVUZ</v>
      </c>
      <c r="AA4200" t="str">
        <f>VLOOKUP(K4200,[1]!Tablo3[#Data],2,FALSE)</f>
        <v>Tayfun VİÇE</v>
      </c>
    </row>
    <row r="4201" spans="1:27" x14ac:dyDescent="0.25">
      <c r="A4201">
        <v>5585</v>
      </c>
      <c r="B4201" t="s">
        <v>27</v>
      </c>
      <c r="C4201" t="s">
        <v>402</v>
      </c>
      <c r="D4201" t="s">
        <v>403</v>
      </c>
      <c r="G4201" t="s">
        <v>384</v>
      </c>
      <c r="H4201" t="s">
        <v>11295</v>
      </c>
      <c r="I4201" s="4">
        <v>45443.875</v>
      </c>
      <c r="K4201" t="s">
        <v>1528</v>
      </c>
      <c r="L4201" s="5" t="s">
        <v>8401</v>
      </c>
      <c r="M4201" s="5" t="s">
        <v>8423</v>
      </c>
      <c r="N4201" t="s">
        <v>82</v>
      </c>
      <c r="O4201" t="s">
        <v>11296</v>
      </c>
      <c r="R4201">
        <v>1</v>
      </c>
      <c r="T4201" s="5"/>
      <c r="W4201">
        <v>270</v>
      </c>
      <c r="X4201" t="s">
        <v>8412</v>
      </c>
      <c r="Y4201" t="str">
        <f>VLOOKUP(C4201,'[1]DBS_KPY Sorumlular'!A:C,2,FALSE)</f>
        <v>Tayfun VİÇE</v>
      </c>
      <c r="Z4201" t="str">
        <f>VLOOKUP(C4201,'[1]DBS_KPY Sorumlular'!A:C,3,FALSE)</f>
        <v>Mehmet Ali YAVUZ</v>
      </c>
      <c r="AA4201" t="str">
        <f>VLOOKUP(K4201,[1]!Tablo3[#Data],2,FALSE)</f>
        <v>Tayfun VİÇE</v>
      </c>
    </row>
    <row r="4202" spans="1:27" x14ac:dyDescent="0.25">
      <c r="A4202">
        <v>5586</v>
      </c>
      <c r="B4202" t="s">
        <v>27</v>
      </c>
      <c r="C4202" t="s">
        <v>402</v>
      </c>
      <c r="D4202" t="s">
        <v>403</v>
      </c>
      <c r="G4202" t="s">
        <v>384</v>
      </c>
      <c r="H4202" t="s">
        <v>11297</v>
      </c>
      <c r="I4202" s="4">
        <v>45443.875</v>
      </c>
      <c r="K4202" t="s">
        <v>1528</v>
      </c>
      <c r="L4202" s="5" t="s">
        <v>8401</v>
      </c>
      <c r="M4202" s="5" t="s">
        <v>8423</v>
      </c>
      <c r="N4202" t="s">
        <v>82</v>
      </c>
      <c r="O4202" t="s">
        <v>11298</v>
      </c>
      <c r="R4202">
        <v>1</v>
      </c>
      <c r="T4202" s="5"/>
      <c r="W4202">
        <v>270</v>
      </c>
      <c r="X4202" t="s">
        <v>8412</v>
      </c>
      <c r="Y4202" t="str">
        <f>VLOOKUP(C4202,'[1]DBS_KPY Sorumlular'!A:C,2,FALSE)</f>
        <v>Tayfun VİÇE</v>
      </c>
      <c r="Z4202" t="str">
        <f>VLOOKUP(C4202,'[1]DBS_KPY Sorumlular'!A:C,3,FALSE)</f>
        <v>Mehmet Ali YAVUZ</v>
      </c>
      <c r="AA4202" t="str">
        <f>VLOOKUP(K4202,[1]!Tablo3[#Data],2,FALSE)</f>
        <v>Tayfun VİÇE</v>
      </c>
    </row>
    <row r="4203" spans="1:27" x14ac:dyDescent="0.25">
      <c r="A4203">
        <v>5587</v>
      </c>
      <c r="B4203" t="s">
        <v>27</v>
      </c>
      <c r="C4203" t="s">
        <v>402</v>
      </c>
      <c r="D4203" t="s">
        <v>403</v>
      </c>
      <c r="G4203" t="s">
        <v>384</v>
      </c>
      <c r="H4203" t="s">
        <v>11299</v>
      </c>
      <c r="I4203" s="4">
        <v>45443.875</v>
      </c>
      <c r="K4203" t="s">
        <v>1528</v>
      </c>
      <c r="L4203" s="5" t="s">
        <v>8401</v>
      </c>
      <c r="M4203" s="5" t="s">
        <v>8423</v>
      </c>
      <c r="N4203" t="s">
        <v>82</v>
      </c>
      <c r="O4203" t="s">
        <v>11300</v>
      </c>
      <c r="R4203">
        <v>1</v>
      </c>
      <c r="T4203" s="5"/>
      <c r="W4203">
        <v>270</v>
      </c>
      <c r="X4203" t="s">
        <v>8412</v>
      </c>
      <c r="Y4203" t="str">
        <f>VLOOKUP(C4203,'[1]DBS_KPY Sorumlular'!A:C,2,FALSE)</f>
        <v>Tayfun VİÇE</v>
      </c>
      <c r="Z4203" t="str">
        <f>VLOOKUP(C4203,'[1]DBS_KPY Sorumlular'!A:C,3,FALSE)</f>
        <v>Mehmet Ali YAVUZ</v>
      </c>
      <c r="AA4203" t="str">
        <f>VLOOKUP(K4203,[1]!Tablo3[#Data],2,FALSE)</f>
        <v>Tayfun VİÇE</v>
      </c>
    </row>
    <row r="4204" spans="1:27" x14ac:dyDescent="0.25">
      <c r="A4204">
        <v>5588</v>
      </c>
      <c r="B4204" t="s">
        <v>27</v>
      </c>
      <c r="C4204" t="s">
        <v>402</v>
      </c>
      <c r="D4204" t="s">
        <v>403</v>
      </c>
      <c r="G4204" t="s">
        <v>384</v>
      </c>
      <c r="H4204" t="s">
        <v>11301</v>
      </c>
      <c r="I4204" s="4">
        <v>45443.875</v>
      </c>
      <c r="K4204" t="s">
        <v>1528</v>
      </c>
      <c r="L4204" s="5" t="s">
        <v>8401</v>
      </c>
      <c r="M4204" s="5" t="s">
        <v>8423</v>
      </c>
      <c r="N4204" t="s">
        <v>82</v>
      </c>
      <c r="O4204" t="s">
        <v>11302</v>
      </c>
      <c r="R4204">
        <v>1</v>
      </c>
      <c r="T4204" s="5"/>
      <c r="W4204">
        <v>270</v>
      </c>
      <c r="X4204" t="s">
        <v>8412</v>
      </c>
      <c r="Y4204" t="str">
        <f>VLOOKUP(C4204,'[1]DBS_KPY Sorumlular'!A:C,2,FALSE)</f>
        <v>Tayfun VİÇE</v>
      </c>
      <c r="Z4204" t="str">
        <f>VLOOKUP(C4204,'[1]DBS_KPY Sorumlular'!A:C,3,FALSE)</f>
        <v>Mehmet Ali YAVUZ</v>
      </c>
      <c r="AA4204" t="str">
        <f>VLOOKUP(K4204,[1]!Tablo3[#Data],2,FALSE)</f>
        <v>Tayfun VİÇE</v>
      </c>
    </row>
    <row r="4205" spans="1:27" x14ac:dyDescent="0.25">
      <c r="A4205">
        <v>5589</v>
      </c>
      <c r="B4205" t="s">
        <v>27</v>
      </c>
      <c r="C4205" t="s">
        <v>402</v>
      </c>
      <c r="D4205" t="s">
        <v>403</v>
      </c>
      <c r="G4205" t="s">
        <v>384</v>
      </c>
      <c r="H4205" t="s">
        <v>11303</v>
      </c>
      <c r="I4205" s="4">
        <v>45443.875</v>
      </c>
      <c r="K4205" t="s">
        <v>1528</v>
      </c>
      <c r="L4205" s="5" t="s">
        <v>8401</v>
      </c>
      <c r="M4205" s="5" t="s">
        <v>8423</v>
      </c>
      <c r="N4205" t="s">
        <v>82</v>
      </c>
      <c r="O4205" t="s">
        <v>11304</v>
      </c>
      <c r="R4205">
        <v>1</v>
      </c>
      <c r="T4205" s="5"/>
      <c r="W4205">
        <v>270</v>
      </c>
      <c r="X4205" t="s">
        <v>8412</v>
      </c>
      <c r="Y4205" t="str">
        <f>VLOOKUP(C4205,'[1]DBS_KPY Sorumlular'!A:C,2,FALSE)</f>
        <v>Tayfun VİÇE</v>
      </c>
      <c r="Z4205" t="str">
        <f>VLOOKUP(C4205,'[1]DBS_KPY Sorumlular'!A:C,3,FALSE)</f>
        <v>Mehmet Ali YAVUZ</v>
      </c>
      <c r="AA4205" t="str">
        <f>VLOOKUP(K4205,[1]!Tablo3[#Data],2,FALSE)</f>
        <v>Tayfun VİÇE</v>
      </c>
    </row>
    <row r="4206" spans="1:27" x14ac:dyDescent="0.25">
      <c r="A4206">
        <v>5590</v>
      </c>
      <c r="B4206" t="s">
        <v>27</v>
      </c>
      <c r="C4206" t="s">
        <v>402</v>
      </c>
      <c r="D4206" t="s">
        <v>403</v>
      </c>
      <c r="G4206" t="s">
        <v>384</v>
      </c>
      <c r="H4206" t="s">
        <v>11305</v>
      </c>
      <c r="I4206" s="4">
        <v>45443.875</v>
      </c>
      <c r="K4206" t="s">
        <v>1528</v>
      </c>
      <c r="L4206" s="5" t="s">
        <v>8401</v>
      </c>
      <c r="M4206" s="5" t="s">
        <v>8423</v>
      </c>
      <c r="N4206" t="s">
        <v>82</v>
      </c>
      <c r="O4206" t="s">
        <v>11306</v>
      </c>
      <c r="R4206">
        <v>1</v>
      </c>
      <c r="T4206" s="5"/>
      <c r="W4206">
        <v>270</v>
      </c>
      <c r="X4206" t="s">
        <v>8412</v>
      </c>
      <c r="Y4206" t="str">
        <f>VLOOKUP(C4206,'[1]DBS_KPY Sorumlular'!A:C,2,FALSE)</f>
        <v>Tayfun VİÇE</v>
      </c>
      <c r="Z4206" t="str">
        <f>VLOOKUP(C4206,'[1]DBS_KPY Sorumlular'!A:C,3,FALSE)</f>
        <v>Mehmet Ali YAVUZ</v>
      </c>
      <c r="AA4206" t="str">
        <f>VLOOKUP(K4206,[1]!Tablo3[#Data],2,FALSE)</f>
        <v>Tayfun VİÇE</v>
      </c>
    </row>
    <row r="4207" spans="1:27" x14ac:dyDescent="0.25">
      <c r="A4207">
        <v>5591</v>
      </c>
      <c r="B4207" t="s">
        <v>27</v>
      </c>
      <c r="C4207" t="s">
        <v>402</v>
      </c>
      <c r="D4207" t="s">
        <v>403</v>
      </c>
      <c r="G4207" t="s">
        <v>384</v>
      </c>
      <c r="H4207" t="s">
        <v>11307</v>
      </c>
      <c r="I4207" s="4">
        <v>45443.875</v>
      </c>
      <c r="K4207" t="s">
        <v>1528</v>
      </c>
      <c r="L4207" s="5" t="s">
        <v>8401</v>
      </c>
      <c r="M4207" s="5" t="s">
        <v>8423</v>
      </c>
      <c r="N4207" t="s">
        <v>82</v>
      </c>
      <c r="O4207" t="s">
        <v>11308</v>
      </c>
      <c r="R4207">
        <v>1</v>
      </c>
      <c r="T4207" s="5"/>
      <c r="W4207">
        <v>270</v>
      </c>
      <c r="X4207" t="s">
        <v>8412</v>
      </c>
      <c r="Y4207" t="str">
        <f>VLOOKUP(C4207,'[1]DBS_KPY Sorumlular'!A:C,2,FALSE)</f>
        <v>Tayfun VİÇE</v>
      </c>
      <c r="Z4207" t="str">
        <f>VLOOKUP(C4207,'[1]DBS_KPY Sorumlular'!A:C,3,FALSE)</f>
        <v>Mehmet Ali YAVUZ</v>
      </c>
      <c r="AA4207" t="str">
        <f>VLOOKUP(K4207,[1]!Tablo3[#Data],2,FALSE)</f>
        <v>Tayfun VİÇE</v>
      </c>
    </row>
    <row r="4208" spans="1:27" x14ac:dyDescent="0.25">
      <c r="A4208">
        <v>5594</v>
      </c>
      <c r="B4208" t="s">
        <v>27</v>
      </c>
      <c r="C4208" t="s">
        <v>402</v>
      </c>
      <c r="D4208" t="s">
        <v>403</v>
      </c>
      <c r="G4208" t="s">
        <v>384</v>
      </c>
      <c r="H4208" t="s">
        <v>11309</v>
      </c>
      <c r="I4208" s="4">
        <v>45443.875</v>
      </c>
      <c r="K4208" t="s">
        <v>1528</v>
      </c>
      <c r="L4208" s="5" t="s">
        <v>8401</v>
      </c>
      <c r="M4208" s="5" t="s">
        <v>8423</v>
      </c>
      <c r="N4208" t="s">
        <v>82</v>
      </c>
      <c r="O4208" t="s">
        <v>11310</v>
      </c>
      <c r="R4208">
        <v>1</v>
      </c>
      <c r="T4208" s="5"/>
      <c r="W4208">
        <v>270</v>
      </c>
      <c r="X4208" t="s">
        <v>8412</v>
      </c>
      <c r="Y4208" t="str">
        <f>VLOOKUP(C4208,'[1]DBS_KPY Sorumlular'!A:C,2,FALSE)</f>
        <v>Tayfun VİÇE</v>
      </c>
      <c r="Z4208" t="str">
        <f>VLOOKUP(C4208,'[1]DBS_KPY Sorumlular'!A:C,3,FALSE)</f>
        <v>Mehmet Ali YAVUZ</v>
      </c>
      <c r="AA4208" t="str">
        <f>VLOOKUP(K4208,[1]!Tablo3[#Data],2,FALSE)</f>
        <v>Tayfun VİÇE</v>
      </c>
    </row>
    <row r="4209" spans="1:27" x14ac:dyDescent="0.25">
      <c r="A4209">
        <v>5595</v>
      </c>
      <c r="B4209" t="s">
        <v>27</v>
      </c>
      <c r="C4209" t="s">
        <v>402</v>
      </c>
      <c r="D4209" t="s">
        <v>403</v>
      </c>
      <c r="G4209" t="s">
        <v>384</v>
      </c>
      <c r="H4209" t="s">
        <v>11311</v>
      </c>
      <c r="I4209" s="4">
        <v>45443.875</v>
      </c>
      <c r="K4209" t="s">
        <v>1528</v>
      </c>
      <c r="L4209" s="5" t="s">
        <v>8401</v>
      </c>
      <c r="M4209" s="5" t="s">
        <v>8423</v>
      </c>
      <c r="N4209" t="s">
        <v>82</v>
      </c>
      <c r="O4209" t="s">
        <v>11312</v>
      </c>
      <c r="R4209">
        <v>1</v>
      </c>
      <c r="T4209" s="5"/>
      <c r="W4209">
        <v>270</v>
      </c>
      <c r="X4209" t="s">
        <v>8412</v>
      </c>
      <c r="Y4209" t="str">
        <f>VLOOKUP(C4209,'[1]DBS_KPY Sorumlular'!A:C,2,FALSE)</f>
        <v>Tayfun VİÇE</v>
      </c>
      <c r="Z4209" t="str">
        <f>VLOOKUP(C4209,'[1]DBS_KPY Sorumlular'!A:C,3,FALSE)</f>
        <v>Mehmet Ali YAVUZ</v>
      </c>
      <c r="AA4209" t="str">
        <f>VLOOKUP(K4209,[1]!Tablo3[#Data],2,FALSE)</f>
        <v>Tayfun VİÇE</v>
      </c>
    </row>
    <row r="4210" spans="1:27" x14ac:dyDescent="0.25">
      <c r="A4210">
        <v>5596</v>
      </c>
      <c r="B4210" t="s">
        <v>27</v>
      </c>
      <c r="C4210" t="s">
        <v>402</v>
      </c>
      <c r="D4210" t="s">
        <v>403</v>
      </c>
      <c r="G4210" t="s">
        <v>384</v>
      </c>
      <c r="H4210" t="s">
        <v>11313</v>
      </c>
      <c r="I4210" s="4">
        <v>45443.875</v>
      </c>
      <c r="K4210" t="s">
        <v>1528</v>
      </c>
      <c r="L4210" s="5" t="s">
        <v>8401</v>
      </c>
      <c r="M4210" s="5" t="s">
        <v>8423</v>
      </c>
      <c r="N4210" t="s">
        <v>82</v>
      </c>
      <c r="O4210" t="s">
        <v>11314</v>
      </c>
      <c r="R4210">
        <v>1</v>
      </c>
      <c r="T4210" s="5"/>
      <c r="W4210">
        <v>270</v>
      </c>
      <c r="X4210" t="s">
        <v>8412</v>
      </c>
      <c r="Y4210" t="str">
        <f>VLOOKUP(C4210,'[1]DBS_KPY Sorumlular'!A:C,2,FALSE)</f>
        <v>Tayfun VİÇE</v>
      </c>
      <c r="Z4210" t="str">
        <f>VLOOKUP(C4210,'[1]DBS_KPY Sorumlular'!A:C,3,FALSE)</f>
        <v>Mehmet Ali YAVUZ</v>
      </c>
      <c r="AA4210" t="str">
        <f>VLOOKUP(K4210,[1]!Tablo3[#Data],2,FALSE)</f>
        <v>Tayfun VİÇE</v>
      </c>
    </row>
    <row r="4211" spans="1:27" x14ac:dyDescent="0.25">
      <c r="A4211">
        <v>5597</v>
      </c>
      <c r="B4211" t="s">
        <v>1419</v>
      </c>
      <c r="C4211" t="s">
        <v>1674</v>
      </c>
      <c r="D4211" t="s">
        <v>1675</v>
      </c>
      <c r="F4211" t="s">
        <v>439</v>
      </c>
      <c r="G4211" t="s">
        <v>291</v>
      </c>
      <c r="H4211" t="s">
        <v>11315</v>
      </c>
      <c r="I4211" s="4"/>
      <c r="J4211" t="s">
        <v>11316</v>
      </c>
      <c r="K4211" t="s">
        <v>33</v>
      </c>
      <c r="L4211" s="5"/>
      <c r="M4211" s="5"/>
      <c r="N4211" t="s">
        <v>35</v>
      </c>
      <c r="O4211" t="s">
        <v>11317</v>
      </c>
      <c r="T4211" s="5" t="s">
        <v>48</v>
      </c>
      <c r="U4211" t="s">
        <v>11318</v>
      </c>
      <c r="V4211" t="s">
        <v>11315</v>
      </c>
      <c r="W4211">
        <v>148</v>
      </c>
      <c r="X4211" t="s">
        <v>368</v>
      </c>
      <c r="Y4211" t="str">
        <f>VLOOKUP(C4211,'[1]DBS_KPY Sorumlular'!A:C,2,FALSE)</f>
        <v>Kadir TOPÇU</v>
      </c>
      <c r="Z4211" t="str">
        <f>VLOOKUP(C4211,'[1]DBS_KPY Sorumlular'!A:C,3,FALSE)</f>
        <v>Erkan AKDOĞAN</v>
      </c>
      <c r="AA4211" t="str">
        <f>VLOOKUP(K4211,[1]!Tablo3[#Data],2,FALSE)</f>
        <v>Tayfun VİÇE</v>
      </c>
    </row>
    <row r="4212" spans="1:27" x14ac:dyDescent="0.25">
      <c r="A4212">
        <v>5598</v>
      </c>
      <c r="B4212" t="s">
        <v>1419</v>
      </c>
      <c r="C4212" t="s">
        <v>1674</v>
      </c>
      <c r="D4212" t="s">
        <v>1675</v>
      </c>
      <c r="F4212" t="s">
        <v>66</v>
      </c>
      <c r="G4212" t="s">
        <v>67</v>
      </c>
      <c r="H4212" t="s">
        <v>11319</v>
      </c>
      <c r="I4212" s="4"/>
      <c r="J4212" t="s">
        <v>11320</v>
      </c>
      <c r="K4212" t="s">
        <v>423</v>
      </c>
      <c r="L4212" s="5"/>
      <c r="M4212" s="5" t="s">
        <v>11321</v>
      </c>
      <c r="N4212" t="s">
        <v>35</v>
      </c>
      <c r="O4212" t="s">
        <v>11322</v>
      </c>
      <c r="T4212" s="5" t="s">
        <v>48</v>
      </c>
      <c r="U4212" t="s">
        <v>11323</v>
      </c>
      <c r="V4212" t="s">
        <v>11319</v>
      </c>
      <c r="W4212">
        <v>195</v>
      </c>
      <c r="X4212" t="s">
        <v>433</v>
      </c>
      <c r="Y4212" t="str">
        <f>VLOOKUP(C4212,'[1]DBS_KPY Sorumlular'!A:C,2,FALSE)</f>
        <v>Kadir TOPÇU</v>
      </c>
      <c r="Z4212" t="str">
        <f>VLOOKUP(C4212,'[1]DBS_KPY Sorumlular'!A:C,3,FALSE)</f>
        <v>Erkan AKDOĞAN</v>
      </c>
      <c r="AA4212" t="str">
        <f>VLOOKUP(K4212,[1]!Tablo3[#Data],2,FALSE)</f>
        <v>Kadir TOPÇU</v>
      </c>
    </row>
    <row r="4213" spans="1:27" x14ac:dyDescent="0.25">
      <c r="A4213">
        <v>5599</v>
      </c>
      <c r="B4213" t="s">
        <v>1419</v>
      </c>
      <c r="C4213" t="s">
        <v>1674</v>
      </c>
      <c r="D4213" t="s">
        <v>1675</v>
      </c>
      <c r="F4213" t="s">
        <v>439</v>
      </c>
      <c r="G4213" t="s">
        <v>291</v>
      </c>
      <c r="H4213" t="s">
        <v>11324</v>
      </c>
      <c r="I4213" s="4"/>
      <c r="J4213" t="s">
        <v>11325</v>
      </c>
      <c r="K4213" t="s">
        <v>364</v>
      </c>
      <c r="L4213" s="5"/>
      <c r="M4213" s="5"/>
      <c r="N4213" t="s">
        <v>35</v>
      </c>
      <c r="O4213" t="s">
        <v>11326</v>
      </c>
      <c r="T4213" s="5" t="s">
        <v>48</v>
      </c>
      <c r="U4213" t="s">
        <v>11327</v>
      </c>
      <c r="V4213" t="s">
        <v>11324</v>
      </c>
      <c r="W4213">
        <v>76</v>
      </c>
      <c r="X4213" t="s">
        <v>443</v>
      </c>
      <c r="Y4213" t="str">
        <f>VLOOKUP(C4213,'[1]DBS_KPY Sorumlular'!A:C,2,FALSE)</f>
        <v>Kadir TOPÇU</v>
      </c>
      <c r="Z4213" t="str">
        <f>VLOOKUP(C4213,'[1]DBS_KPY Sorumlular'!A:C,3,FALSE)</f>
        <v>Erkan AKDOĞAN</v>
      </c>
      <c r="AA4213" t="str">
        <f>VLOOKUP(K4213,[1]!Tablo3[#Data],2,FALSE)</f>
        <v>Kadir TOPÇU</v>
      </c>
    </row>
    <row r="4214" spans="1:27" x14ac:dyDescent="0.25">
      <c r="A4214">
        <v>5600</v>
      </c>
      <c r="B4214" t="s">
        <v>1419</v>
      </c>
      <c r="C4214" t="s">
        <v>1674</v>
      </c>
      <c r="D4214" t="s">
        <v>1675</v>
      </c>
      <c r="F4214" t="s">
        <v>439</v>
      </c>
      <c r="G4214" t="s">
        <v>291</v>
      </c>
      <c r="H4214" t="s">
        <v>11328</v>
      </c>
      <c r="I4214" s="4"/>
      <c r="J4214" t="s">
        <v>11329</v>
      </c>
      <c r="K4214" t="s">
        <v>435</v>
      </c>
      <c r="L4214" s="5"/>
      <c r="M4214" s="5"/>
      <c r="N4214" t="s">
        <v>35</v>
      </c>
      <c r="O4214" t="s">
        <v>11330</v>
      </c>
      <c r="T4214" s="5" t="s">
        <v>48</v>
      </c>
      <c r="U4214" t="s">
        <v>11331</v>
      </c>
      <c r="V4214" t="s">
        <v>11328</v>
      </c>
      <c r="W4214">
        <v>148</v>
      </c>
      <c r="X4214" t="s">
        <v>368</v>
      </c>
      <c r="Y4214" t="str">
        <f>VLOOKUP(C4214,'[1]DBS_KPY Sorumlular'!A:C,2,FALSE)</f>
        <v>Kadir TOPÇU</v>
      </c>
      <c r="Z4214" t="str">
        <f>VLOOKUP(C4214,'[1]DBS_KPY Sorumlular'!A:C,3,FALSE)</f>
        <v>Erkan AKDOĞAN</v>
      </c>
      <c r="AA4214" t="str">
        <f>VLOOKUP(K4214,[1]!Tablo3[#Data],2,FALSE)</f>
        <v>Tayfun VİÇE</v>
      </c>
    </row>
    <row r="4215" spans="1:27" x14ac:dyDescent="0.25">
      <c r="A4215">
        <v>5601</v>
      </c>
      <c r="B4215" t="s">
        <v>1419</v>
      </c>
      <c r="C4215" t="s">
        <v>1674</v>
      </c>
      <c r="D4215" t="s">
        <v>1675</v>
      </c>
      <c r="F4215" t="s">
        <v>439</v>
      </c>
      <c r="G4215" t="s">
        <v>291</v>
      </c>
      <c r="H4215" t="s">
        <v>11332</v>
      </c>
      <c r="I4215" s="4"/>
      <c r="J4215" t="s">
        <v>11333</v>
      </c>
      <c r="K4215" t="s">
        <v>226</v>
      </c>
      <c r="L4215" s="5"/>
      <c r="M4215" s="5"/>
      <c r="N4215" t="s">
        <v>35</v>
      </c>
      <c r="O4215" t="s">
        <v>11334</v>
      </c>
      <c r="T4215" s="5" t="s">
        <v>48</v>
      </c>
      <c r="U4215" t="s">
        <v>11335</v>
      </c>
      <c r="V4215" t="s">
        <v>11332</v>
      </c>
      <c r="W4215">
        <v>148</v>
      </c>
      <c r="X4215" t="s">
        <v>368</v>
      </c>
      <c r="Y4215" t="str">
        <f>VLOOKUP(C4215,'[1]DBS_KPY Sorumlular'!A:C,2,FALSE)</f>
        <v>Kadir TOPÇU</v>
      </c>
      <c r="Z4215" t="str">
        <f>VLOOKUP(C4215,'[1]DBS_KPY Sorumlular'!A:C,3,FALSE)</f>
        <v>Erkan AKDOĞAN</v>
      </c>
      <c r="AA4215" t="str">
        <f>VLOOKUP(K4215,[1]!Tablo3[#Data],2,FALSE)</f>
        <v>Kadir TOPÇU</v>
      </c>
    </row>
    <row r="4216" spans="1:27" x14ac:dyDescent="0.25">
      <c r="A4216">
        <v>5602</v>
      </c>
      <c r="B4216" t="s">
        <v>1419</v>
      </c>
      <c r="C4216" t="s">
        <v>1674</v>
      </c>
      <c r="D4216" t="s">
        <v>1675</v>
      </c>
      <c r="F4216" t="s">
        <v>184</v>
      </c>
      <c r="G4216" t="s">
        <v>43</v>
      </c>
      <c r="H4216" t="s">
        <v>11336</v>
      </c>
      <c r="I4216" s="4"/>
      <c r="J4216" t="s">
        <v>11337</v>
      </c>
      <c r="K4216" t="s">
        <v>678</v>
      </c>
      <c r="L4216" s="5"/>
      <c r="M4216" s="5"/>
      <c r="N4216" t="s">
        <v>35</v>
      </c>
      <c r="O4216" t="s">
        <v>11338</v>
      </c>
      <c r="T4216" s="5" t="s">
        <v>48</v>
      </c>
      <c r="U4216" t="s">
        <v>11339</v>
      </c>
      <c r="V4216" t="s">
        <v>11340</v>
      </c>
      <c r="W4216">
        <v>86</v>
      </c>
      <c r="X4216" t="s">
        <v>189</v>
      </c>
      <c r="Y4216" t="str">
        <f>VLOOKUP(C4216,'[1]DBS_KPY Sorumlular'!A:C,2,FALSE)</f>
        <v>Kadir TOPÇU</v>
      </c>
      <c r="Z4216" t="str">
        <f>VLOOKUP(C4216,'[1]DBS_KPY Sorumlular'!A:C,3,FALSE)</f>
        <v>Erkan AKDOĞAN</v>
      </c>
      <c r="AA4216" t="str">
        <f>VLOOKUP(K4216,[1]!Tablo3[#Data],2,FALSE)</f>
        <v>Kadir TOPÇU</v>
      </c>
    </row>
    <row r="4217" spans="1:27" x14ac:dyDescent="0.25">
      <c r="A4217">
        <v>5603</v>
      </c>
      <c r="B4217" t="s">
        <v>1419</v>
      </c>
      <c r="C4217" t="s">
        <v>1674</v>
      </c>
      <c r="D4217" t="s">
        <v>1675</v>
      </c>
      <c r="F4217" t="s">
        <v>439</v>
      </c>
      <c r="G4217" t="s">
        <v>291</v>
      </c>
      <c r="H4217" t="s">
        <v>11341</v>
      </c>
      <c r="I4217" s="4"/>
      <c r="J4217" t="s">
        <v>11342</v>
      </c>
      <c r="K4217" t="s">
        <v>743</v>
      </c>
      <c r="L4217" s="5"/>
      <c r="M4217" s="5"/>
      <c r="N4217" t="s">
        <v>35</v>
      </c>
      <c r="O4217" t="s">
        <v>11343</v>
      </c>
      <c r="T4217" s="5" t="s">
        <v>48</v>
      </c>
      <c r="U4217" t="s">
        <v>11344</v>
      </c>
      <c r="V4217" t="s">
        <v>11341</v>
      </c>
      <c r="W4217">
        <v>148</v>
      </c>
      <c r="X4217" t="s">
        <v>368</v>
      </c>
      <c r="Y4217" t="str">
        <f>VLOOKUP(C4217,'[1]DBS_KPY Sorumlular'!A:C,2,FALSE)</f>
        <v>Kadir TOPÇU</v>
      </c>
      <c r="Z4217" t="str">
        <f>VLOOKUP(C4217,'[1]DBS_KPY Sorumlular'!A:C,3,FALSE)</f>
        <v>Erkan AKDOĞAN</v>
      </c>
      <c r="AA4217" t="str">
        <f>VLOOKUP(K4217,[1]!Tablo3[#Data],2,FALSE)</f>
        <v>Kadir TOPÇU</v>
      </c>
    </row>
    <row r="4218" spans="1:27" x14ac:dyDescent="0.25">
      <c r="A4218">
        <v>5604</v>
      </c>
      <c r="B4218" t="s">
        <v>1419</v>
      </c>
      <c r="C4218" t="s">
        <v>1674</v>
      </c>
      <c r="D4218" t="s">
        <v>1675</v>
      </c>
      <c r="F4218" t="s">
        <v>439</v>
      </c>
      <c r="G4218" t="s">
        <v>291</v>
      </c>
      <c r="H4218" t="s">
        <v>11345</v>
      </c>
      <c r="I4218" s="4"/>
      <c r="J4218" t="s">
        <v>11346</v>
      </c>
      <c r="K4218" t="s">
        <v>743</v>
      </c>
      <c r="L4218" s="5"/>
      <c r="M4218" s="5"/>
      <c r="N4218" t="s">
        <v>35</v>
      </c>
      <c r="O4218" t="s">
        <v>11347</v>
      </c>
      <c r="T4218" s="5" t="s">
        <v>48</v>
      </c>
      <c r="U4218" t="s">
        <v>11348</v>
      </c>
      <c r="V4218" t="s">
        <v>11345</v>
      </c>
      <c r="W4218">
        <v>148</v>
      </c>
      <c r="X4218" t="s">
        <v>368</v>
      </c>
      <c r="Y4218" t="str">
        <f>VLOOKUP(C4218,'[1]DBS_KPY Sorumlular'!A:C,2,FALSE)</f>
        <v>Kadir TOPÇU</v>
      </c>
      <c r="Z4218" t="str">
        <f>VLOOKUP(C4218,'[1]DBS_KPY Sorumlular'!A:C,3,FALSE)</f>
        <v>Erkan AKDOĞAN</v>
      </c>
      <c r="AA4218" t="str">
        <f>VLOOKUP(K4218,[1]!Tablo3[#Data],2,FALSE)</f>
        <v>Kadir TOPÇU</v>
      </c>
    </row>
    <row r="4219" spans="1:27" x14ac:dyDescent="0.25">
      <c r="A4219">
        <v>5605</v>
      </c>
      <c r="B4219" t="s">
        <v>1419</v>
      </c>
      <c r="C4219" t="s">
        <v>1674</v>
      </c>
      <c r="D4219" t="s">
        <v>1675</v>
      </c>
      <c r="F4219" t="s">
        <v>52</v>
      </c>
      <c r="G4219" t="s">
        <v>67</v>
      </c>
      <c r="H4219" t="s">
        <v>11349</v>
      </c>
      <c r="I4219" s="4"/>
      <c r="J4219" t="s">
        <v>11350</v>
      </c>
      <c r="K4219" t="s">
        <v>1029</v>
      </c>
      <c r="L4219" s="5"/>
      <c r="M4219" s="5"/>
      <c r="N4219" t="s">
        <v>35</v>
      </c>
      <c r="O4219" t="s">
        <v>11351</v>
      </c>
      <c r="T4219" s="5" t="s">
        <v>48</v>
      </c>
      <c r="U4219" t="s">
        <v>11352</v>
      </c>
      <c r="V4219" t="s">
        <v>11349</v>
      </c>
      <c r="W4219">
        <v>65</v>
      </c>
      <c r="X4219" t="s">
        <v>374</v>
      </c>
      <c r="Y4219" t="str">
        <f>VLOOKUP(C4219,'[1]DBS_KPY Sorumlular'!A:C,2,FALSE)</f>
        <v>Kadir TOPÇU</v>
      </c>
      <c r="Z4219" t="str">
        <f>VLOOKUP(C4219,'[1]DBS_KPY Sorumlular'!A:C,3,FALSE)</f>
        <v>Erkan AKDOĞAN</v>
      </c>
      <c r="AA4219" t="str">
        <f>VLOOKUP(K4219,[1]!Tablo3[#Data],2,FALSE)</f>
        <v>Tayfun VİÇE</v>
      </c>
    </row>
    <row r="4220" spans="1:27" x14ac:dyDescent="0.25">
      <c r="A4220">
        <v>5606</v>
      </c>
      <c r="B4220" t="s">
        <v>1419</v>
      </c>
      <c r="C4220" t="s">
        <v>1674</v>
      </c>
      <c r="D4220" t="s">
        <v>1675</v>
      </c>
      <c r="F4220" t="s">
        <v>52</v>
      </c>
      <c r="G4220" t="s">
        <v>67</v>
      </c>
      <c r="H4220" t="s">
        <v>11353</v>
      </c>
      <c r="I4220" s="4"/>
      <c r="J4220" t="s">
        <v>11354</v>
      </c>
      <c r="K4220" t="s">
        <v>1106</v>
      </c>
      <c r="L4220" s="5"/>
      <c r="M4220" s="5"/>
      <c r="N4220" t="s">
        <v>35</v>
      </c>
      <c r="O4220" t="s">
        <v>11355</v>
      </c>
      <c r="T4220" s="5" t="s">
        <v>48</v>
      </c>
      <c r="U4220" t="s">
        <v>11356</v>
      </c>
      <c r="V4220" t="s">
        <v>11353</v>
      </c>
      <c r="W4220">
        <v>103</v>
      </c>
      <c r="X4220" t="s">
        <v>353</v>
      </c>
      <c r="Y4220" t="str">
        <f>VLOOKUP(C4220,'[1]DBS_KPY Sorumlular'!A:C,2,FALSE)</f>
        <v>Kadir TOPÇU</v>
      </c>
      <c r="Z4220" t="str">
        <f>VLOOKUP(C4220,'[1]DBS_KPY Sorumlular'!A:C,3,FALSE)</f>
        <v>Erkan AKDOĞAN</v>
      </c>
      <c r="AA4220" t="str">
        <f>VLOOKUP(K4220,[1]!Tablo3[#Data],2,FALSE)</f>
        <v>Tayfun VİÇE</v>
      </c>
    </row>
    <row r="4221" spans="1:27" x14ac:dyDescent="0.25">
      <c r="A4221">
        <v>5607</v>
      </c>
      <c r="B4221" t="s">
        <v>1419</v>
      </c>
      <c r="C4221" t="s">
        <v>1674</v>
      </c>
      <c r="D4221" t="s">
        <v>1675</v>
      </c>
      <c r="F4221" t="s">
        <v>439</v>
      </c>
      <c r="G4221" t="s">
        <v>291</v>
      </c>
      <c r="H4221" t="s">
        <v>11357</v>
      </c>
      <c r="I4221" s="4"/>
      <c r="J4221" t="s">
        <v>11358</v>
      </c>
      <c r="K4221" t="s">
        <v>926</v>
      </c>
      <c r="L4221" s="5"/>
      <c r="M4221" s="5"/>
      <c r="N4221" t="s">
        <v>35</v>
      </c>
      <c r="O4221" t="s">
        <v>11359</v>
      </c>
      <c r="T4221" s="5" t="s">
        <v>48</v>
      </c>
      <c r="U4221" t="s">
        <v>11360</v>
      </c>
      <c r="V4221" t="s">
        <v>11357</v>
      </c>
      <c r="W4221">
        <v>148</v>
      </c>
      <c r="X4221" t="s">
        <v>368</v>
      </c>
      <c r="Y4221" t="str">
        <f>VLOOKUP(C4221,'[1]DBS_KPY Sorumlular'!A:C,2,FALSE)</f>
        <v>Kadir TOPÇU</v>
      </c>
      <c r="Z4221" t="str">
        <f>VLOOKUP(C4221,'[1]DBS_KPY Sorumlular'!A:C,3,FALSE)</f>
        <v>Erkan AKDOĞAN</v>
      </c>
      <c r="AA4221" t="str">
        <f>VLOOKUP(K4221,[1]!Tablo3[#Data],2,FALSE)</f>
        <v>Kadir TOPÇU</v>
      </c>
    </row>
    <row r="4222" spans="1:27" x14ac:dyDescent="0.25">
      <c r="A4222">
        <v>5608</v>
      </c>
      <c r="B4222" t="s">
        <v>1419</v>
      </c>
      <c r="C4222" t="s">
        <v>843</v>
      </c>
      <c r="D4222" t="s">
        <v>844</v>
      </c>
      <c r="F4222" t="s">
        <v>290</v>
      </c>
      <c r="G4222" t="s">
        <v>291</v>
      </c>
      <c r="H4222" t="s">
        <v>11361</v>
      </c>
      <c r="I4222" s="4">
        <v>45972.875</v>
      </c>
      <c r="J4222" t="s">
        <v>2712</v>
      </c>
      <c r="K4222" t="s">
        <v>152</v>
      </c>
      <c r="L4222" s="5" t="s">
        <v>11362</v>
      </c>
      <c r="M4222" s="5"/>
      <c r="N4222" t="s">
        <v>35</v>
      </c>
      <c r="O4222" t="s">
        <v>11363</v>
      </c>
      <c r="T4222" s="5" t="s">
        <v>38</v>
      </c>
      <c r="W4222">
        <v>94</v>
      </c>
      <c r="X4222" t="s">
        <v>1707</v>
      </c>
      <c r="Y4222" t="str">
        <f>VLOOKUP(C4222,'[1]DBS_KPY Sorumlular'!A:C,2,FALSE)</f>
        <v>Sinan ERDAŞ</v>
      </c>
      <c r="Z4222" t="str">
        <f>VLOOKUP(C4222,'[1]DBS_KPY Sorumlular'!A:C,3,FALSE)</f>
        <v>Ayşegül AKGÜL</v>
      </c>
      <c r="AA4222" t="str">
        <f>VLOOKUP(K4222,[1]!Tablo3[#Data],2,FALSE)</f>
        <v>Erkan AKDOĞAN</v>
      </c>
    </row>
    <row r="4223" spans="1:27" x14ac:dyDescent="0.25">
      <c r="A4223">
        <v>5609</v>
      </c>
      <c r="B4223" t="s">
        <v>1419</v>
      </c>
      <c r="C4223" t="s">
        <v>843</v>
      </c>
      <c r="D4223" t="s">
        <v>844</v>
      </c>
      <c r="F4223" t="s">
        <v>290</v>
      </c>
      <c r="G4223" t="s">
        <v>291</v>
      </c>
      <c r="H4223" t="s">
        <v>11364</v>
      </c>
      <c r="I4223" s="4">
        <v>45837.875</v>
      </c>
      <c r="J4223" t="s">
        <v>2712</v>
      </c>
      <c r="K4223" t="s">
        <v>181</v>
      </c>
      <c r="L4223" s="5" t="s">
        <v>11365</v>
      </c>
      <c r="M4223" s="5"/>
      <c r="N4223" t="s">
        <v>35</v>
      </c>
      <c r="O4223" t="s">
        <v>11366</v>
      </c>
      <c r="T4223" s="5" t="s">
        <v>38</v>
      </c>
      <c r="W4223">
        <v>94</v>
      </c>
      <c r="X4223" t="s">
        <v>1707</v>
      </c>
      <c r="Y4223" t="str">
        <f>VLOOKUP(C4223,'[1]DBS_KPY Sorumlular'!A:C,2,FALSE)</f>
        <v>Sinan ERDAŞ</v>
      </c>
      <c r="Z4223" t="str">
        <f>VLOOKUP(C4223,'[1]DBS_KPY Sorumlular'!A:C,3,FALSE)</f>
        <v>Ayşegül AKGÜL</v>
      </c>
      <c r="AA4223" t="str">
        <f>VLOOKUP(K4223,[1]!Tablo3[#Data],2,FALSE)</f>
        <v>Erkan AKDOĞAN</v>
      </c>
    </row>
    <row r="4224" spans="1:27" x14ac:dyDescent="0.25">
      <c r="A4224">
        <v>5610</v>
      </c>
      <c r="B4224" t="s">
        <v>1419</v>
      </c>
      <c r="C4224" t="s">
        <v>843</v>
      </c>
      <c r="D4224" t="s">
        <v>844</v>
      </c>
      <c r="F4224" t="s">
        <v>290</v>
      </c>
      <c r="G4224" t="s">
        <v>291</v>
      </c>
      <c r="H4224" t="s">
        <v>11367</v>
      </c>
      <c r="I4224" s="4">
        <v>45837.875</v>
      </c>
      <c r="J4224" t="s">
        <v>2712</v>
      </c>
      <c r="K4224" t="s">
        <v>232</v>
      </c>
      <c r="L4224" s="5" t="s">
        <v>11368</v>
      </c>
      <c r="M4224" s="5"/>
      <c r="N4224" t="s">
        <v>35</v>
      </c>
      <c r="O4224" t="s">
        <v>11369</v>
      </c>
      <c r="T4224" s="5" t="s">
        <v>38</v>
      </c>
      <c r="W4224">
        <v>94</v>
      </c>
      <c r="X4224" t="s">
        <v>1707</v>
      </c>
      <c r="Y4224" t="str">
        <f>VLOOKUP(C4224,'[1]DBS_KPY Sorumlular'!A:C,2,FALSE)</f>
        <v>Sinan ERDAŞ</v>
      </c>
      <c r="Z4224" t="str">
        <f>VLOOKUP(C4224,'[1]DBS_KPY Sorumlular'!A:C,3,FALSE)</f>
        <v>Ayşegül AKGÜL</v>
      </c>
      <c r="AA4224" t="str">
        <f>VLOOKUP(K4224,[1]!Tablo3[#Data],2,FALSE)</f>
        <v>Erkan AKDOĞAN</v>
      </c>
    </row>
    <row r="4225" spans="1:27" x14ac:dyDescent="0.25">
      <c r="A4225">
        <v>5611</v>
      </c>
      <c r="B4225" t="s">
        <v>1419</v>
      </c>
      <c r="C4225" t="s">
        <v>843</v>
      </c>
      <c r="D4225" t="s">
        <v>844</v>
      </c>
      <c r="F4225" t="s">
        <v>290</v>
      </c>
      <c r="G4225" t="s">
        <v>291</v>
      </c>
      <c r="H4225" t="s">
        <v>11370</v>
      </c>
      <c r="I4225" s="4">
        <v>45837.875</v>
      </c>
      <c r="J4225" t="s">
        <v>2712</v>
      </c>
      <c r="K4225" t="s">
        <v>232</v>
      </c>
      <c r="L4225" s="5" t="s">
        <v>11368</v>
      </c>
      <c r="M4225" s="5"/>
      <c r="N4225" t="s">
        <v>35</v>
      </c>
      <c r="O4225" t="s">
        <v>11371</v>
      </c>
      <c r="T4225" s="5" t="s">
        <v>38</v>
      </c>
      <c r="W4225">
        <v>94</v>
      </c>
      <c r="X4225" t="s">
        <v>1707</v>
      </c>
      <c r="Y4225" t="str">
        <f>VLOOKUP(C4225,'[1]DBS_KPY Sorumlular'!A:C,2,FALSE)</f>
        <v>Sinan ERDAŞ</v>
      </c>
      <c r="Z4225" t="str">
        <f>VLOOKUP(C4225,'[1]DBS_KPY Sorumlular'!A:C,3,FALSE)</f>
        <v>Ayşegül AKGÜL</v>
      </c>
      <c r="AA4225" t="str">
        <f>VLOOKUP(K4225,[1]!Tablo3[#Data],2,FALSE)</f>
        <v>Erkan AKDOĞAN</v>
      </c>
    </row>
    <row r="4226" spans="1:27" x14ac:dyDescent="0.25">
      <c r="A4226">
        <v>5612</v>
      </c>
      <c r="B4226" t="s">
        <v>1419</v>
      </c>
      <c r="C4226" t="s">
        <v>843</v>
      </c>
      <c r="D4226" t="s">
        <v>844</v>
      </c>
      <c r="F4226" t="s">
        <v>290</v>
      </c>
      <c r="G4226" t="s">
        <v>291</v>
      </c>
      <c r="H4226" t="s">
        <v>11372</v>
      </c>
      <c r="I4226" s="4">
        <v>45848.875</v>
      </c>
      <c r="J4226" t="s">
        <v>2712</v>
      </c>
      <c r="K4226" t="s">
        <v>325</v>
      </c>
      <c r="L4226" s="5" t="s">
        <v>11373</v>
      </c>
      <c r="M4226" s="5"/>
      <c r="N4226" t="s">
        <v>35</v>
      </c>
      <c r="O4226" t="s">
        <v>11374</v>
      </c>
      <c r="T4226" s="5" t="s">
        <v>38</v>
      </c>
      <c r="W4226">
        <v>94</v>
      </c>
      <c r="X4226" t="s">
        <v>1707</v>
      </c>
      <c r="Y4226" t="str">
        <f>VLOOKUP(C4226,'[1]DBS_KPY Sorumlular'!A:C,2,FALSE)</f>
        <v>Sinan ERDAŞ</v>
      </c>
      <c r="Z4226" t="str">
        <f>VLOOKUP(C4226,'[1]DBS_KPY Sorumlular'!A:C,3,FALSE)</f>
        <v>Ayşegül AKGÜL</v>
      </c>
      <c r="AA4226" t="str">
        <f>VLOOKUP(K4226,[1]!Tablo3[#Data],2,FALSE)</f>
        <v>Kadir TOPÇU</v>
      </c>
    </row>
    <row r="4227" spans="1:27" x14ac:dyDescent="0.25">
      <c r="A4227">
        <v>5613</v>
      </c>
      <c r="B4227" t="s">
        <v>1419</v>
      </c>
      <c r="C4227" t="s">
        <v>843</v>
      </c>
      <c r="D4227" t="s">
        <v>844</v>
      </c>
      <c r="F4227" t="s">
        <v>290</v>
      </c>
      <c r="G4227" t="s">
        <v>291</v>
      </c>
      <c r="H4227" t="s">
        <v>11375</v>
      </c>
      <c r="I4227" s="4">
        <v>46356.875</v>
      </c>
      <c r="J4227" t="s">
        <v>2712</v>
      </c>
      <c r="K4227" t="s">
        <v>325</v>
      </c>
      <c r="L4227" s="5" t="s">
        <v>11376</v>
      </c>
      <c r="M4227" s="5"/>
      <c r="N4227" t="s">
        <v>35</v>
      </c>
      <c r="O4227" t="s">
        <v>11374</v>
      </c>
      <c r="T4227" s="5" t="s">
        <v>38</v>
      </c>
      <c r="W4227">
        <v>94</v>
      </c>
      <c r="X4227" t="s">
        <v>1707</v>
      </c>
      <c r="Y4227" t="str">
        <f>VLOOKUP(C4227,'[1]DBS_KPY Sorumlular'!A:C,2,FALSE)</f>
        <v>Sinan ERDAŞ</v>
      </c>
      <c r="Z4227" t="str">
        <f>VLOOKUP(C4227,'[1]DBS_KPY Sorumlular'!A:C,3,FALSE)</f>
        <v>Ayşegül AKGÜL</v>
      </c>
      <c r="AA4227" t="str">
        <f>VLOOKUP(K4227,[1]!Tablo3[#Data],2,FALSE)</f>
        <v>Kadir TOPÇU</v>
      </c>
    </row>
    <row r="4228" spans="1:27" x14ac:dyDescent="0.25">
      <c r="A4228">
        <v>5614</v>
      </c>
      <c r="B4228" t="s">
        <v>1419</v>
      </c>
      <c r="C4228" t="s">
        <v>843</v>
      </c>
      <c r="D4228" t="s">
        <v>844</v>
      </c>
      <c r="F4228" t="s">
        <v>290</v>
      </c>
      <c r="G4228" t="s">
        <v>291</v>
      </c>
      <c r="H4228" t="s">
        <v>11377</v>
      </c>
      <c r="I4228" s="4">
        <v>45894.875</v>
      </c>
      <c r="J4228" t="s">
        <v>2712</v>
      </c>
      <c r="K4228" t="s">
        <v>534</v>
      </c>
      <c r="L4228" s="5" t="s">
        <v>11378</v>
      </c>
      <c r="M4228" s="5"/>
      <c r="N4228" t="s">
        <v>35</v>
      </c>
      <c r="O4228" t="s">
        <v>11379</v>
      </c>
      <c r="T4228" s="5" t="s">
        <v>38</v>
      </c>
      <c r="W4228">
        <v>94</v>
      </c>
      <c r="X4228" t="s">
        <v>1707</v>
      </c>
      <c r="Y4228" t="str">
        <f>VLOOKUP(C4228,'[1]DBS_KPY Sorumlular'!A:C,2,FALSE)</f>
        <v>Sinan ERDAŞ</v>
      </c>
      <c r="Z4228" t="str">
        <f>VLOOKUP(C4228,'[1]DBS_KPY Sorumlular'!A:C,3,FALSE)</f>
        <v>Ayşegül AKGÜL</v>
      </c>
      <c r="AA4228" t="str">
        <f>VLOOKUP(K4228,[1]!Tablo3[#Data],2,FALSE)</f>
        <v>Erkan AKDOĞAN</v>
      </c>
    </row>
    <row r="4229" spans="1:27" x14ac:dyDescent="0.25">
      <c r="A4229">
        <v>5615</v>
      </c>
      <c r="B4229" t="s">
        <v>1419</v>
      </c>
      <c r="C4229" t="s">
        <v>843</v>
      </c>
      <c r="D4229" t="s">
        <v>844</v>
      </c>
      <c r="F4229" t="s">
        <v>290</v>
      </c>
      <c r="G4229" t="s">
        <v>291</v>
      </c>
      <c r="H4229" t="s">
        <v>11380</v>
      </c>
      <c r="I4229" s="4">
        <v>45994.875</v>
      </c>
      <c r="J4229" t="s">
        <v>2712</v>
      </c>
      <c r="K4229" t="s">
        <v>534</v>
      </c>
      <c r="L4229" s="5" t="s">
        <v>11381</v>
      </c>
      <c r="M4229" s="5"/>
      <c r="N4229" t="s">
        <v>35</v>
      </c>
      <c r="O4229" t="s">
        <v>11379</v>
      </c>
      <c r="T4229" s="5" t="s">
        <v>38</v>
      </c>
      <c r="W4229">
        <v>94</v>
      </c>
      <c r="X4229" t="s">
        <v>1707</v>
      </c>
      <c r="Y4229" t="str">
        <f>VLOOKUP(C4229,'[1]DBS_KPY Sorumlular'!A:C,2,FALSE)</f>
        <v>Sinan ERDAŞ</v>
      </c>
      <c r="Z4229" t="str">
        <f>VLOOKUP(C4229,'[1]DBS_KPY Sorumlular'!A:C,3,FALSE)</f>
        <v>Ayşegül AKGÜL</v>
      </c>
      <c r="AA4229" t="str">
        <f>VLOOKUP(K4229,[1]!Tablo3[#Data],2,FALSE)</f>
        <v>Erkan AKDOĞAN</v>
      </c>
    </row>
    <row r="4230" spans="1:27" x14ac:dyDescent="0.25">
      <c r="A4230">
        <v>5616</v>
      </c>
      <c r="B4230" t="s">
        <v>1419</v>
      </c>
      <c r="C4230" t="s">
        <v>843</v>
      </c>
      <c r="D4230" t="s">
        <v>844</v>
      </c>
      <c r="F4230" t="s">
        <v>290</v>
      </c>
      <c r="G4230" t="s">
        <v>291</v>
      </c>
      <c r="H4230" t="s">
        <v>11382</v>
      </c>
      <c r="I4230" s="4">
        <v>45972.875</v>
      </c>
      <c r="J4230" t="s">
        <v>2712</v>
      </c>
      <c r="K4230" t="s">
        <v>678</v>
      </c>
      <c r="L4230" s="5" t="s">
        <v>11383</v>
      </c>
      <c r="M4230" s="5"/>
      <c r="N4230" t="s">
        <v>35</v>
      </c>
      <c r="O4230" t="s">
        <v>11384</v>
      </c>
      <c r="T4230" s="5" t="s">
        <v>38</v>
      </c>
      <c r="W4230">
        <v>23</v>
      </c>
      <c r="X4230" t="s">
        <v>295</v>
      </c>
      <c r="Y4230" t="str">
        <f>VLOOKUP(C4230,'[1]DBS_KPY Sorumlular'!A:C,2,FALSE)</f>
        <v>Sinan ERDAŞ</v>
      </c>
      <c r="Z4230" t="str">
        <f>VLOOKUP(C4230,'[1]DBS_KPY Sorumlular'!A:C,3,FALSE)</f>
        <v>Ayşegül AKGÜL</v>
      </c>
      <c r="AA4230" t="str">
        <f>VLOOKUP(K4230,[1]!Tablo3[#Data],2,FALSE)</f>
        <v>Kadir TOPÇU</v>
      </c>
    </row>
    <row r="4231" spans="1:27" x14ac:dyDescent="0.25">
      <c r="A4231">
        <v>5617</v>
      </c>
      <c r="B4231" t="s">
        <v>1419</v>
      </c>
      <c r="C4231" t="s">
        <v>843</v>
      </c>
      <c r="D4231" t="s">
        <v>844</v>
      </c>
      <c r="F4231" t="s">
        <v>290</v>
      </c>
      <c r="G4231" t="s">
        <v>291</v>
      </c>
      <c r="H4231" t="s">
        <v>11385</v>
      </c>
      <c r="I4231" s="4">
        <v>46183.875</v>
      </c>
      <c r="J4231" t="s">
        <v>2712</v>
      </c>
      <c r="K4231" t="s">
        <v>678</v>
      </c>
      <c r="L4231" s="5" t="s">
        <v>11386</v>
      </c>
      <c r="M4231" s="5"/>
      <c r="N4231" t="s">
        <v>35</v>
      </c>
      <c r="O4231" t="s">
        <v>11387</v>
      </c>
      <c r="T4231" s="5" t="s">
        <v>38</v>
      </c>
      <c r="W4231">
        <v>23</v>
      </c>
      <c r="X4231" t="s">
        <v>295</v>
      </c>
      <c r="Y4231" t="str">
        <f>VLOOKUP(C4231,'[1]DBS_KPY Sorumlular'!A:C,2,FALSE)</f>
        <v>Sinan ERDAŞ</v>
      </c>
      <c r="Z4231" t="str">
        <f>VLOOKUP(C4231,'[1]DBS_KPY Sorumlular'!A:C,3,FALSE)</f>
        <v>Ayşegül AKGÜL</v>
      </c>
      <c r="AA4231" t="str">
        <f>VLOOKUP(K4231,[1]!Tablo3[#Data],2,FALSE)</f>
        <v>Kadir TOPÇU</v>
      </c>
    </row>
    <row r="4232" spans="1:27" x14ac:dyDescent="0.25">
      <c r="A4232">
        <v>5618</v>
      </c>
      <c r="B4232" t="s">
        <v>1419</v>
      </c>
      <c r="C4232" t="s">
        <v>843</v>
      </c>
      <c r="D4232" t="s">
        <v>844</v>
      </c>
      <c r="F4232" t="s">
        <v>290</v>
      </c>
      <c r="G4232" t="s">
        <v>291</v>
      </c>
      <c r="H4232" t="s">
        <v>11388</v>
      </c>
      <c r="I4232" s="4">
        <v>46356.875</v>
      </c>
      <c r="J4232" t="s">
        <v>2712</v>
      </c>
      <c r="K4232" t="s">
        <v>678</v>
      </c>
      <c r="L4232" s="5" t="s">
        <v>11389</v>
      </c>
      <c r="M4232" s="5"/>
      <c r="N4232" t="s">
        <v>35</v>
      </c>
      <c r="O4232" t="s">
        <v>11390</v>
      </c>
      <c r="T4232" s="5" t="s">
        <v>38</v>
      </c>
      <c r="W4232">
        <v>23</v>
      </c>
      <c r="X4232" t="s">
        <v>295</v>
      </c>
      <c r="Y4232" t="str">
        <f>VLOOKUP(C4232,'[1]DBS_KPY Sorumlular'!A:C,2,FALSE)</f>
        <v>Sinan ERDAŞ</v>
      </c>
      <c r="Z4232" t="str">
        <f>VLOOKUP(C4232,'[1]DBS_KPY Sorumlular'!A:C,3,FALSE)</f>
        <v>Ayşegül AKGÜL</v>
      </c>
      <c r="AA4232" t="str">
        <f>VLOOKUP(K4232,[1]!Tablo3[#Data],2,FALSE)</f>
        <v>Kadir TOPÇU</v>
      </c>
    </row>
    <row r="4233" spans="1:27" x14ac:dyDescent="0.25">
      <c r="A4233">
        <v>5619</v>
      </c>
      <c r="B4233" t="s">
        <v>1419</v>
      </c>
      <c r="C4233" t="s">
        <v>843</v>
      </c>
      <c r="D4233" t="s">
        <v>844</v>
      </c>
      <c r="F4233" t="s">
        <v>290</v>
      </c>
      <c r="G4233" t="s">
        <v>291</v>
      </c>
      <c r="H4233" t="s">
        <v>11391</v>
      </c>
      <c r="I4233" s="4">
        <v>46356.875</v>
      </c>
      <c r="J4233" t="s">
        <v>2712</v>
      </c>
      <c r="K4233" t="s">
        <v>1002</v>
      </c>
      <c r="L4233" s="5" t="s">
        <v>11392</v>
      </c>
      <c r="M4233" s="5"/>
      <c r="N4233" t="s">
        <v>35</v>
      </c>
      <c r="O4233" t="s">
        <v>11393</v>
      </c>
      <c r="T4233" s="5" t="s">
        <v>38</v>
      </c>
      <c r="W4233">
        <v>94</v>
      </c>
      <c r="X4233" t="s">
        <v>1707</v>
      </c>
      <c r="Y4233" t="str">
        <f>VLOOKUP(C4233,'[1]DBS_KPY Sorumlular'!A:C,2,FALSE)</f>
        <v>Sinan ERDAŞ</v>
      </c>
      <c r="Z4233" t="str">
        <f>VLOOKUP(C4233,'[1]DBS_KPY Sorumlular'!A:C,3,FALSE)</f>
        <v>Ayşegül AKGÜL</v>
      </c>
      <c r="AA4233" t="str">
        <f>VLOOKUP(K4233,[1]!Tablo3[#Data],2,FALSE)</f>
        <v>Kadir TOPÇU</v>
      </c>
    </row>
    <row r="4234" spans="1:27" x14ac:dyDescent="0.25">
      <c r="A4234">
        <v>5620</v>
      </c>
      <c r="B4234" t="s">
        <v>1419</v>
      </c>
      <c r="C4234" t="s">
        <v>843</v>
      </c>
      <c r="D4234" t="s">
        <v>844</v>
      </c>
      <c r="F4234" t="s">
        <v>290</v>
      </c>
      <c r="G4234" t="s">
        <v>291</v>
      </c>
      <c r="H4234" t="s">
        <v>11394</v>
      </c>
      <c r="I4234" s="4">
        <v>45868.875</v>
      </c>
      <c r="J4234" t="s">
        <v>2712</v>
      </c>
      <c r="K4234" t="s">
        <v>1029</v>
      </c>
      <c r="L4234" s="5" t="s">
        <v>11395</v>
      </c>
      <c r="M4234" s="5"/>
      <c r="N4234" t="s">
        <v>35</v>
      </c>
      <c r="O4234" t="s">
        <v>11396</v>
      </c>
      <c r="T4234" s="5" t="s">
        <v>38</v>
      </c>
      <c r="W4234">
        <v>23</v>
      </c>
      <c r="X4234" t="s">
        <v>295</v>
      </c>
      <c r="Y4234" t="str">
        <f>VLOOKUP(C4234,'[1]DBS_KPY Sorumlular'!A:C,2,FALSE)</f>
        <v>Sinan ERDAŞ</v>
      </c>
      <c r="Z4234" t="str">
        <f>VLOOKUP(C4234,'[1]DBS_KPY Sorumlular'!A:C,3,FALSE)</f>
        <v>Ayşegül AKGÜL</v>
      </c>
      <c r="AA4234" t="str">
        <f>VLOOKUP(K4234,[1]!Tablo3[#Data],2,FALSE)</f>
        <v>Tayfun VİÇE</v>
      </c>
    </row>
    <row r="4235" spans="1:27" x14ac:dyDescent="0.25">
      <c r="A4235">
        <v>5621</v>
      </c>
      <c r="B4235" t="s">
        <v>1419</v>
      </c>
      <c r="C4235" t="s">
        <v>843</v>
      </c>
      <c r="D4235" t="s">
        <v>844</v>
      </c>
      <c r="F4235" t="s">
        <v>290</v>
      </c>
      <c r="G4235" t="s">
        <v>291</v>
      </c>
      <c r="H4235" t="s">
        <v>11397</v>
      </c>
      <c r="I4235" s="4">
        <v>46173.875</v>
      </c>
      <c r="J4235" t="s">
        <v>2712</v>
      </c>
      <c r="K4235" t="s">
        <v>1029</v>
      </c>
      <c r="L4235" s="5" t="s">
        <v>11398</v>
      </c>
      <c r="M4235" s="5"/>
      <c r="N4235" t="s">
        <v>35</v>
      </c>
      <c r="O4235" t="s">
        <v>11399</v>
      </c>
      <c r="T4235" s="5" t="s">
        <v>38</v>
      </c>
      <c r="W4235">
        <v>94</v>
      </c>
      <c r="X4235" t="s">
        <v>1707</v>
      </c>
      <c r="Y4235" t="str">
        <f>VLOOKUP(C4235,'[1]DBS_KPY Sorumlular'!A:C,2,FALSE)</f>
        <v>Sinan ERDAŞ</v>
      </c>
      <c r="Z4235" t="str">
        <f>VLOOKUP(C4235,'[1]DBS_KPY Sorumlular'!A:C,3,FALSE)</f>
        <v>Ayşegül AKGÜL</v>
      </c>
      <c r="AA4235" t="str">
        <f>VLOOKUP(K4235,[1]!Tablo3[#Data],2,FALSE)</f>
        <v>Tayfun VİÇE</v>
      </c>
    </row>
    <row r="4236" spans="1:27" x14ac:dyDescent="0.25">
      <c r="A4236">
        <v>5622</v>
      </c>
      <c r="B4236" t="s">
        <v>1419</v>
      </c>
      <c r="C4236" t="s">
        <v>843</v>
      </c>
      <c r="D4236" t="s">
        <v>844</v>
      </c>
      <c r="F4236" t="s">
        <v>290</v>
      </c>
      <c r="G4236" t="s">
        <v>291</v>
      </c>
      <c r="H4236" t="s">
        <v>11400</v>
      </c>
      <c r="I4236" s="4">
        <v>45900.875</v>
      </c>
      <c r="J4236" t="s">
        <v>2712</v>
      </c>
      <c r="K4236" t="s">
        <v>280</v>
      </c>
      <c r="L4236" s="5" t="s">
        <v>11401</v>
      </c>
      <c r="M4236" s="5"/>
      <c r="N4236" t="s">
        <v>35</v>
      </c>
      <c r="O4236" t="s">
        <v>11402</v>
      </c>
      <c r="T4236" s="5" t="s">
        <v>38</v>
      </c>
      <c r="W4236">
        <v>94</v>
      </c>
      <c r="X4236" t="s">
        <v>1707</v>
      </c>
      <c r="Y4236" t="str">
        <f>VLOOKUP(C4236,'[1]DBS_KPY Sorumlular'!A:C,2,FALSE)</f>
        <v>Sinan ERDAŞ</v>
      </c>
      <c r="Z4236" t="str">
        <f>VLOOKUP(C4236,'[1]DBS_KPY Sorumlular'!A:C,3,FALSE)</f>
        <v>Ayşegül AKGÜL</v>
      </c>
      <c r="AA4236" t="str">
        <f>VLOOKUP(K4236,[1]!Tablo3[#Data],2,FALSE)</f>
        <v>Erkan AKDOĞAN</v>
      </c>
    </row>
    <row r="4237" spans="1:27" x14ac:dyDescent="0.25">
      <c r="A4237">
        <v>5623</v>
      </c>
      <c r="B4237" t="s">
        <v>1419</v>
      </c>
      <c r="C4237" t="s">
        <v>843</v>
      </c>
      <c r="D4237" t="s">
        <v>844</v>
      </c>
      <c r="F4237" t="s">
        <v>290</v>
      </c>
      <c r="G4237" t="s">
        <v>291</v>
      </c>
      <c r="H4237" t="s">
        <v>11403</v>
      </c>
      <c r="I4237" s="4">
        <v>46356.875</v>
      </c>
      <c r="J4237" t="s">
        <v>2712</v>
      </c>
      <c r="K4237" t="s">
        <v>926</v>
      </c>
      <c r="L4237" s="5" t="s">
        <v>11404</v>
      </c>
      <c r="M4237" s="5"/>
      <c r="N4237" t="s">
        <v>35</v>
      </c>
      <c r="O4237" t="s">
        <v>11405</v>
      </c>
      <c r="T4237" s="5" t="s">
        <v>38</v>
      </c>
      <c r="W4237">
        <v>94</v>
      </c>
      <c r="X4237" t="s">
        <v>1707</v>
      </c>
      <c r="Y4237" t="str">
        <f>VLOOKUP(C4237,'[1]DBS_KPY Sorumlular'!A:C,2,FALSE)</f>
        <v>Sinan ERDAŞ</v>
      </c>
      <c r="Z4237" t="str">
        <f>VLOOKUP(C4237,'[1]DBS_KPY Sorumlular'!A:C,3,FALSE)</f>
        <v>Ayşegül AKGÜL</v>
      </c>
      <c r="AA4237" t="str">
        <f>VLOOKUP(K4237,[1]!Tablo3[#Data],2,FALSE)</f>
        <v>Kadir TOPÇU</v>
      </c>
    </row>
    <row r="4238" spans="1:27" x14ac:dyDescent="0.25">
      <c r="A4238">
        <v>5624</v>
      </c>
      <c r="B4238" t="s">
        <v>1419</v>
      </c>
      <c r="C4238" t="s">
        <v>843</v>
      </c>
      <c r="D4238" t="s">
        <v>844</v>
      </c>
      <c r="F4238" t="s">
        <v>290</v>
      </c>
      <c r="G4238" t="s">
        <v>291</v>
      </c>
      <c r="H4238" t="s">
        <v>11406</v>
      </c>
      <c r="I4238" s="4">
        <v>45837.875</v>
      </c>
      <c r="J4238" t="s">
        <v>2712</v>
      </c>
      <c r="K4238" t="s">
        <v>1471</v>
      </c>
      <c r="L4238" s="5" t="s">
        <v>11407</v>
      </c>
      <c r="M4238" s="5"/>
      <c r="N4238" t="s">
        <v>35</v>
      </c>
      <c r="O4238" t="s">
        <v>11408</v>
      </c>
      <c r="T4238" s="5" t="s">
        <v>38</v>
      </c>
      <c r="W4238">
        <v>94</v>
      </c>
      <c r="X4238" t="s">
        <v>1707</v>
      </c>
      <c r="Y4238" t="str">
        <f>VLOOKUP(C4238,'[1]DBS_KPY Sorumlular'!A:C,2,FALSE)</f>
        <v>Sinan ERDAŞ</v>
      </c>
      <c r="Z4238" t="str">
        <f>VLOOKUP(C4238,'[1]DBS_KPY Sorumlular'!A:C,3,FALSE)</f>
        <v>Ayşegül AKGÜL</v>
      </c>
      <c r="AA4238" t="str">
        <f>VLOOKUP(K4238,[1]!Tablo3[#Data],2,FALSE)</f>
        <v>Tayfun VİÇE</v>
      </c>
    </row>
    <row r="4239" spans="1:27" x14ac:dyDescent="0.25">
      <c r="A4239">
        <v>5625</v>
      </c>
      <c r="B4239" t="s">
        <v>1419</v>
      </c>
      <c r="C4239" t="s">
        <v>843</v>
      </c>
      <c r="D4239" t="s">
        <v>844</v>
      </c>
      <c r="F4239" t="s">
        <v>290</v>
      </c>
      <c r="G4239" t="s">
        <v>291</v>
      </c>
      <c r="H4239" t="s">
        <v>11409</v>
      </c>
      <c r="I4239" s="4">
        <v>45972.875</v>
      </c>
      <c r="J4239" t="s">
        <v>2712</v>
      </c>
      <c r="K4239" t="s">
        <v>1528</v>
      </c>
      <c r="L4239" s="5" t="s">
        <v>11410</v>
      </c>
      <c r="M4239" s="5"/>
      <c r="N4239" t="s">
        <v>35</v>
      </c>
      <c r="O4239" t="s">
        <v>11411</v>
      </c>
      <c r="T4239" s="5" t="s">
        <v>38</v>
      </c>
      <c r="W4239">
        <v>94</v>
      </c>
      <c r="X4239" t="s">
        <v>1707</v>
      </c>
      <c r="Y4239" t="str">
        <f>VLOOKUP(C4239,'[1]DBS_KPY Sorumlular'!A:C,2,FALSE)</f>
        <v>Sinan ERDAŞ</v>
      </c>
      <c r="Z4239" t="str">
        <f>VLOOKUP(C4239,'[1]DBS_KPY Sorumlular'!A:C,3,FALSE)</f>
        <v>Ayşegül AKGÜL</v>
      </c>
      <c r="AA4239" t="str">
        <f>VLOOKUP(K4239,[1]!Tablo3[#Data],2,FALSE)</f>
        <v>Tayfun VİÇE</v>
      </c>
    </row>
    <row r="4240" spans="1:27" x14ac:dyDescent="0.25">
      <c r="A4240">
        <v>5626</v>
      </c>
      <c r="B4240" t="s">
        <v>1419</v>
      </c>
      <c r="C4240" t="s">
        <v>843</v>
      </c>
      <c r="D4240" t="s">
        <v>844</v>
      </c>
      <c r="F4240" t="s">
        <v>290</v>
      </c>
      <c r="G4240" t="s">
        <v>291</v>
      </c>
      <c r="H4240" t="s">
        <v>11412</v>
      </c>
      <c r="I4240" s="4">
        <v>45837.875</v>
      </c>
      <c r="J4240" t="s">
        <v>2712</v>
      </c>
      <c r="K4240" t="s">
        <v>1550</v>
      </c>
      <c r="L4240" s="5" t="s">
        <v>11407</v>
      </c>
      <c r="M4240" s="5"/>
      <c r="N4240" t="s">
        <v>35</v>
      </c>
      <c r="O4240" t="s">
        <v>11413</v>
      </c>
      <c r="T4240" s="5" t="s">
        <v>38</v>
      </c>
      <c r="W4240">
        <v>94</v>
      </c>
      <c r="X4240" t="s">
        <v>1707</v>
      </c>
      <c r="Y4240" t="str">
        <f>VLOOKUP(C4240,'[1]DBS_KPY Sorumlular'!A:C,2,FALSE)</f>
        <v>Sinan ERDAŞ</v>
      </c>
      <c r="Z4240" t="str">
        <f>VLOOKUP(C4240,'[1]DBS_KPY Sorumlular'!A:C,3,FALSE)</f>
        <v>Ayşegül AKGÜL</v>
      </c>
      <c r="AA4240" t="str">
        <f>VLOOKUP(K4240,[1]!Tablo3[#Data],2,FALSE)</f>
        <v>Kadir TOPÇU</v>
      </c>
    </row>
    <row r="4241" spans="1:27" x14ac:dyDescent="0.25">
      <c r="A4241">
        <v>5627</v>
      </c>
      <c r="B4241" t="s">
        <v>1419</v>
      </c>
      <c r="C4241" t="s">
        <v>843</v>
      </c>
      <c r="D4241" t="s">
        <v>1601</v>
      </c>
      <c r="F4241" t="s">
        <v>290</v>
      </c>
      <c r="G4241" t="s">
        <v>291</v>
      </c>
      <c r="H4241" t="s">
        <v>11414</v>
      </c>
      <c r="I4241" s="4">
        <v>46112.875</v>
      </c>
      <c r="J4241" t="s">
        <v>11415</v>
      </c>
      <c r="K4241" t="s">
        <v>325</v>
      </c>
      <c r="L4241" s="5" t="s">
        <v>11416</v>
      </c>
      <c r="M4241" s="5" t="s">
        <v>11417</v>
      </c>
      <c r="N4241" t="s">
        <v>35</v>
      </c>
      <c r="O4241" t="s">
        <v>11418</v>
      </c>
      <c r="T4241" s="5" t="s">
        <v>38</v>
      </c>
      <c r="W4241">
        <v>94</v>
      </c>
      <c r="X4241" t="s">
        <v>1707</v>
      </c>
      <c r="Y4241" t="str">
        <f>VLOOKUP(C4241,'[1]DBS_KPY Sorumlular'!A:C,2,FALSE)</f>
        <v>Sinan ERDAŞ</v>
      </c>
      <c r="Z4241" t="str">
        <f>VLOOKUP(C4241,'[1]DBS_KPY Sorumlular'!A:C,3,FALSE)</f>
        <v>Ayşegül AKGÜL</v>
      </c>
      <c r="AA4241" t="str">
        <f>VLOOKUP(K4241,[1]!Tablo3[#Data],2,FALSE)</f>
        <v>Kadir TOPÇU</v>
      </c>
    </row>
    <row r="4242" spans="1:27" x14ac:dyDescent="0.25">
      <c r="A4242">
        <v>5628</v>
      </c>
      <c r="B4242" t="s">
        <v>27</v>
      </c>
      <c r="C4242" t="s">
        <v>843</v>
      </c>
      <c r="D4242" t="s">
        <v>1601</v>
      </c>
      <c r="F4242" t="s">
        <v>290</v>
      </c>
      <c r="G4242" t="s">
        <v>291</v>
      </c>
      <c r="H4242" t="s">
        <v>11419</v>
      </c>
      <c r="I4242" s="4">
        <v>45991.875</v>
      </c>
      <c r="J4242" t="s">
        <v>11420</v>
      </c>
      <c r="K4242" t="s">
        <v>898</v>
      </c>
      <c r="L4242" s="5"/>
      <c r="M4242" s="5"/>
      <c r="N4242" t="s">
        <v>46</v>
      </c>
      <c r="O4242" t="s">
        <v>900</v>
      </c>
      <c r="R4242">
        <v>0.01</v>
      </c>
      <c r="T4242" s="5" t="s">
        <v>38</v>
      </c>
      <c r="W4242">
        <v>23</v>
      </c>
      <c r="X4242" t="s">
        <v>295</v>
      </c>
      <c r="Y4242" t="str">
        <f>VLOOKUP(C4242,'[1]DBS_KPY Sorumlular'!A:C,2,FALSE)</f>
        <v>Sinan ERDAŞ</v>
      </c>
      <c r="Z4242" t="str">
        <f>VLOOKUP(C4242,'[1]DBS_KPY Sorumlular'!A:C,3,FALSE)</f>
        <v>Ayşegül AKGÜL</v>
      </c>
      <c r="AA4242" t="str">
        <f>VLOOKUP(K4242,[1]!Tablo3[#Data],2,FALSE)</f>
        <v>Erkan AKDOĞAN</v>
      </c>
    </row>
    <row r="4243" spans="1:27" x14ac:dyDescent="0.25">
      <c r="A4243">
        <v>5630</v>
      </c>
      <c r="B4243" t="s">
        <v>1419</v>
      </c>
      <c r="C4243" t="s">
        <v>843</v>
      </c>
      <c r="D4243" t="s">
        <v>11421</v>
      </c>
      <c r="F4243" t="s">
        <v>1602</v>
      </c>
      <c r="G4243" t="s">
        <v>291</v>
      </c>
      <c r="H4243" t="s">
        <v>11422</v>
      </c>
      <c r="I4243" s="4"/>
      <c r="J4243" t="s">
        <v>11423</v>
      </c>
      <c r="K4243" t="s">
        <v>898</v>
      </c>
      <c r="L4243" s="5"/>
      <c r="M4243" s="5" t="s">
        <v>11424</v>
      </c>
      <c r="N4243" t="s">
        <v>35</v>
      </c>
      <c r="O4243" t="s">
        <v>900</v>
      </c>
      <c r="T4243" s="5" t="s">
        <v>38</v>
      </c>
      <c r="W4243">
        <v>94</v>
      </c>
      <c r="X4243" t="s">
        <v>1707</v>
      </c>
      <c r="Y4243" t="str">
        <f>VLOOKUP(C4243,'[1]DBS_KPY Sorumlular'!A:C,2,FALSE)</f>
        <v>Sinan ERDAŞ</v>
      </c>
      <c r="Z4243" t="str">
        <f>VLOOKUP(C4243,'[1]DBS_KPY Sorumlular'!A:C,3,FALSE)</f>
        <v>Ayşegül AKGÜL</v>
      </c>
      <c r="AA4243" t="str">
        <f>VLOOKUP(K4243,[1]!Tablo3[#Data],2,FALSE)</f>
        <v>Erkan AKDOĞAN</v>
      </c>
    </row>
    <row r="4244" spans="1:27" x14ac:dyDescent="0.25">
      <c r="A4244">
        <v>5634</v>
      </c>
      <c r="B4244" t="s">
        <v>27</v>
      </c>
      <c r="C4244" t="s">
        <v>73</v>
      </c>
      <c r="D4244" t="s">
        <v>73</v>
      </c>
      <c r="F4244" t="s">
        <v>42</v>
      </c>
      <c r="G4244" t="s">
        <v>30</v>
      </c>
      <c r="H4244" t="s">
        <v>11425</v>
      </c>
      <c r="I4244" s="4">
        <v>45864.875</v>
      </c>
      <c r="K4244" t="s">
        <v>1334</v>
      </c>
      <c r="L4244" s="5" t="s">
        <v>11426</v>
      </c>
      <c r="M4244" s="5"/>
      <c r="N4244" t="s">
        <v>46</v>
      </c>
      <c r="O4244" t="s">
        <v>11427</v>
      </c>
      <c r="R4244">
        <v>0.91</v>
      </c>
      <c r="T4244" s="5" t="s">
        <v>38</v>
      </c>
      <c r="Y4244" t="str">
        <f>VLOOKUP(C4244,'[1]DBS_KPY Sorumlular'!A:C,2,FALSE)</f>
        <v>Ayşegül AKGÜL</v>
      </c>
      <c r="Z4244" t="str">
        <f>VLOOKUP(C4244,'[1]DBS_KPY Sorumlular'!A:C,3,FALSE)</f>
        <v>Sinan ERDAŞ</v>
      </c>
      <c r="AA4244" t="str">
        <f>VLOOKUP(K4244,[1]!Tablo3[#Data],2,FALSE)</f>
        <v>Erkan AKDOĞAN</v>
      </c>
    </row>
    <row r="4245" spans="1:27" x14ac:dyDescent="0.25">
      <c r="A4245">
        <v>5635</v>
      </c>
      <c r="B4245" t="s">
        <v>27</v>
      </c>
      <c r="C4245" t="s">
        <v>73</v>
      </c>
      <c r="D4245" t="s">
        <v>73</v>
      </c>
      <c r="F4245" t="s">
        <v>74</v>
      </c>
      <c r="G4245" t="s">
        <v>30</v>
      </c>
      <c r="H4245" t="s">
        <v>11428</v>
      </c>
      <c r="I4245" s="4">
        <v>45929.875</v>
      </c>
      <c r="K4245" t="s">
        <v>143</v>
      </c>
      <c r="L4245" s="5" t="s">
        <v>11429</v>
      </c>
      <c r="M4245" s="5"/>
      <c r="N4245" t="s">
        <v>46</v>
      </c>
      <c r="O4245" t="s">
        <v>7542</v>
      </c>
      <c r="R4245">
        <v>0.75</v>
      </c>
      <c r="T4245" s="5" t="s">
        <v>38</v>
      </c>
      <c r="Y4245" t="str">
        <f>VLOOKUP(C4245,'[1]DBS_KPY Sorumlular'!A:C,2,FALSE)</f>
        <v>Ayşegül AKGÜL</v>
      </c>
      <c r="Z4245" t="str">
        <f>VLOOKUP(C4245,'[1]DBS_KPY Sorumlular'!A:C,3,FALSE)</f>
        <v>Sinan ERDAŞ</v>
      </c>
      <c r="AA4245" t="str">
        <f>VLOOKUP(K4245,[1]!Tablo3[#Data],2,FALSE)</f>
        <v>Tayfun VİÇE</v>
      </c>
    </row>
    <row r="4246" spans="1:27" x14ac:dyDescent="0.25">
      <c r="A4246">
        <v>5640</v>
      </c>
      <c r="B4246" t="s">
        <v>27</v>
      </c>
      <c r="C4246" t="s">
        <v>6091</v>
      </c>
      <c r="D4246" t="s">
        <v>6092</v>
      </c>
      <c r="F4246" t="s">
        <v>3587</v>
      </c>
      <c r="G4246" t="s">
        <v>43</v>
      </c>
      <c r="H4246" t="s">
        <v>11430</v>
      </c>
      <c r="I4246" s="4">
        <v>45543.875</v>
      </c>
      <c r="K4246" t="s">
        <v>181</v>
      </c>
      <c r="L4246" s="5"/>
      <c r="M4246" s="5"/>
      <c r="N4246" t="s">
        <v>82</v>
      </c>
      <c r="O4246" t="s">
        <v>11431</v>
      </c>
      <c r="R4246">
        <v>1</v>
      </c>
      <c r="T4246" s="5" t="s">
        <v>38</v>
      </c>
      <c r="W4246">
        <v>108</v>
      </c>
      <c r="X4246" t="s">
        <v>107</v>
      </c>
      <c r="Y4246" t="str">
        <f>VLOOKUP(C4246,'[1]DBS_KPY Sorumlular'!A:C,2,FALSE)</f>
        <v>Mehmet Ali YAVUZ</v>
      </c>
      <c r="Z4246" t="str">
        <f>VLOOKUP(C4246,'[1]DBS_KPY Sorumlular'!A:C,3,FALSE)</f>
        <v>Tayfun VİÇE</v>
      </c>
      <c r="AA4246" t="str">
        <f>VLOOKUP(K4246,[1]!Tablo3[#Data],2,FALSE)</f>
        <v>Erkan AKDOĞAN</v>
      </c>
    </row>
    <row r="4247" spans="1:27" x14ac:dyDescent="0.25">
      <c r="A4247">
        <v>5641</v>
      </c>
      <c r="B4247" t="s">
        <v>27</v>
      </c>
      <c r="C4247" t="s">
        <v>6091</v>
      </c>
      <c r="D4247" t="s">
        <v>6092</v>
      </c>
      <c r="F4247" t="s">
        <v>3587</v>
      </c>
      <c r="G4247" t="s">
        <v>43</v>
      </c>
      <c r="H4247" t="s">
        <v>11432</v>
      </c>
      <c r="I4247" s="4">
        <v>45648.875</v>
      </c>
      <c r="K4247" t="s">
        <v>181</v>
      </c>
      <c r="L4247" s="5"/>
      <c r="M4247" s="5"/>
      <c r="N4247" t="s">
        <v>82</v>
      </c>
      <c r="O4247" t="s">
        <v>11433</v>
      </c>
      <c r="R4247">
        <v>1</v>
      </c>
      <c r="T4247" s="5" t="s">
        <v>38</v>
      </c>
      <c r="W4247">
        <v>108</v>
      </c>
      <c r="X4247" t="s">
        <v>107</v>
      </c>
      <c r="Y4247" t="str">
        <f>VLOOKUP(C4247,'[1]DBS_KPY Sorumlular'!A:C,2,FALSE)</f>
        <v>Mehmet Ali YAVUZ</v>
      </c>
      <c r="Z4247" t="str">
        <f>VLOOKUP(C4247,'[1]DBS_KPY Sorumlular'!A:C,3,FALSE)</f>
        <v>Tayfun VİÇE</v>
      </c>
      <c r="AA4247" t="str">
        <f>VLOOKUP(K4247,[1]!Tablo3[#Data],2,FALSE)</f>
        <v>Erkan AKDOĞAN</v>
      </c>
    </row>
    <row r="4248" spans="1:27" x14ac:dyDescent="0.25">
      <c r="A4248">
        <v>5642</v>
      </c>
      <c r="B4248" t="s">
        <v>27</v>
      </c>
      <c r="C4248" t="s">
        <v>6091</v>
      </c>
      <c r="D4248" t="s">
        <v>6092</v>
      </c>
      <c r="F4248" t="s">
        <v>3587</v>
      </c>
      <c r="G4248" t="s">
        <v>43</v>
      </c>
      <c r="H4248" t="s">
        <v>11434</v>
      </c>
      <c r="I4248" s="4">
        <v>45372.875</v>
      </c>
      <c r="K4248" t="s">
        <v>181</v>
      </c>
      <c r="L4248" s="5"/>
      <c r="M4248" s="5"/>
      <c r="N4248" t="s">
        <v>82</v>
      </c>
      <c r="O4248" t="s">
        <v>11435</v>
      </c>
      <c r="R4248">
        <v>1</v>
      </c>
      <c r="T4248" s="5" t="s">
        <v>38</v>
      </c>
      <c r="W4248">
        <v>108</v>
      </c>
      <c r="X4248" t="s">
        <v>107</v>
      </c>
      <c r="Y4248" t="str">
        <f>VLOOKUP(C4248,'[1]DBS_KPY Sorumlular'!A:C,2,FALSE)</f>
        <v>Mehmet Ali YAVUZ</v>
      </c>
      <c r="Z4248" t="str">
        <f>VLOOKUP(C4248,'[1]DBS_KPY Sorumlular'!A:C,3,FALSE)</f>
        <v>Tayfun VİÇE</v>
      </c>
      <c r="AA4248" t="str">
        <f>VLOOKUP(K4248,[1]!Tablo3[#Data],2,FALSE)</f>
        <v>Erkan AKDOĞAN</v>
      </c>
    </row>
    <row r="4249" spans="1:27" x14ac:dyDescent="0.25">
      <c r="A4249">
        <v>5643</v>
      </c>
      <c r="B4249" t="s">
        <v>27</v>
      </c>
      <c r="C4249" t="s">
        <v>6091</v>
      </c>
      <c r="D4249" t="s">
        <v>6092</v>
      </c>
      <c r="F4249" t="s">
        <v>3587</v>
      </c>
      <c r="G4249" t="s">
        <v>43</v>
      </c>
      <c r="H4249" t="s">
        <v>11436</v>
      </c>
      <c r="I4249" s="4">
        <v>45070.875</v>
      </c>
      <c r="K4249" t="s">
        <v>181</v>
      </c>
      <c r="L4249" s="5"/>
      <c r="M4249" s="5"/>
      <c r="N4249" t="s">
        <v>82</v>
      </c>
      <c r="O4249" t="s">
        <v>11437</v>
      </c>
      <c r="R4249">
        <v>1</v>
      </c>
      <c r="T4249" s="5" t="s">
        <v>38</v>
      </c>
      <c r="W4249">
        <v>108</v>
      </c>
      <c r="X4249" t="s">
        <v>107</v>
      </c>
      <c r="Y4249" t="str">
        <f>VLOOKUP(C4249,'[1]DBS_KPY Sorumlular'!A:C,2,FALSE)</f>
        <v>Mehmet Ali YAVUZ</v>
      </c>
      <c r="Z4249" t="str">
        <f>VLOOKUP(C4249,'[1]DBS_KPY Sorumlular'!A:C,3,FALSE)</f>
        <v>Tayfun VİÇE</v>
      </c>
      <c r="AA4249" t="str">
        <f>VLOOKUP(K4249,[1]!Tablo3[#Data],2,FALSE)</f>
        <v>Erkan AKDOĞAN</v>
      </c>
    </row>
    <row r="4250" spans="1:27" x14ac:dyDescent="0.25">
      <c r="A4250">
        <v>5646</v>
      </c>
      <c r="B4250" t="s">
        <v>27</v>
      </c>
      <c r="C4250" t="s">
        <v>6091</v>
      </c>
      <c r="D4250" t="s">
        <v>6092</v>
      </c>
      <c r="F4250" t="s">
        <v>3587</v>
      </c>
      <c r="G4250" t="s">
        <v>43</v>
      </c>
      <c r="H4250" t="s">
        <v>11438</v>
      </c>
      <c r="I4250" s="4">
        <v>45543.875</v>
      </c>
      <c r="K4250" t="s">
        <v>217</v>
      </c>
      <c r="L4250" s="5"/>
      <c r="M4250" s="5"/>
      <c r="N4250" t="s">
        <v>82</v>
      </c>
      <c r="O4250" t="s">
        <v>11439</v>
      </c>
      <c r="R4250">
        <v>1</v>
      </c>
      <c r="T4250" s="5" t="s">
        <v>38</v>
      </c>
      <c r="W4250">
        <v>108</v>
      </c>
      <c r="X4250" t="s">
        <v>107</v>
      </c>
      <c r="Y4250" t="str">
        <f>VLOOKUP(C4250,'[1]DBS_KPY Sorumlular'!A:C,2,FALSE)</f>
        <v>Mehmet Ali YAVUZ</v>
      </c>
      <c r="Z4250" t="str">
        <f>VLOOKUP(C4250,'[1]DBS_KPY Sorumlular'!A:C,3,FALSE)</f>
        <v>Tayfun VİÇE</v>
      </c>
      <c r="AA4250" t="str">
        <f>VLOOKUP(K4250,[1]!Tablo3[#Data],2,FALSE)</f>
        <v>Erkan AKDOĞAN</v>
      </c>
    </row>
    <row r="4251" spans="1:27" x14ac:dyDescent="0.25">
      <c r="A4251">
        <v>5648</v>
      </c>
      <c r="B4251" t="s">
        <v>27</v>
      </c>
      <c r="C4251" t="s">
        <v>6091</v>
      </c>
      <c r="D4251" t="s">
        <v>6092</v>
      </c>
      <c r="F4251" t="s">
        <v>3587</v>
      </c>
      <c r="G4251" t="s">
        <v>43</v>
      </c>
      <c r="H4251" t="s">
        <v>11440</v>
      </c>
      <c r="I4251" s="4">
        <v>44171.875</v>
      </c>
      <c r="K4251" t="s">
        <v>309</v>
      </c>
      <c r="L4251" s="5"/>
      <c r="M4251" s="5"/>
      <c r="N4251" t="s">
        <v>82</v>
      </c>
      <c r="O4251" t="s">
        <v>11441</v>
      </c>
      <c r="R4251">
        <v>1</v>
      </c>
      <c r="T4251" s="5" t="s">
        <v>38</v>
      </c>
      <c r="W4251">
        <v>108</v>
      </c>
      <c r="X4251" t="s">
        <v>107</v>
      </c>
      <c r="Y4251" t="str">
        <f>VLOOKUP(C4251,'[1]DBS_KPY Sorumlular'!A:C,2,FALSE)</f>
        <v>Mehmet Ali YAVUZ</v>
      </c>
      <c r="Z4251" t="str">
        <f>VLOOKUP(C4251,'[1]DBS_KPY Sorumlular'!A:C,3,FALSE)</f>
        <v>Tayfun VİÇE</v>
      </c>
      <c r="AA4251" t="str">
        <f>VLOOKUP(K4251,[1]!Tablo3[#Data],2,FALSE)</f>
        <v>Erkan AKDOĞAN</v>
      </c>
    </row>
    <row r="4252" spans="1:27" x14ac:dyDescent="0.25">
      <c r="A4252">
        <v>5650</v>
      </c>
      <c r="B4252" t="s">
        <v>27</v>
      </c>
      <c r="C4252" t="s">
        <v>6091</v>
      </c>
      <c r="D4252" t="s">
        <v>6092</v>
      </c>
      <c r="F4252" t="s">
        <v>3587</v>
      </c>
      <c r="G4252" t="s">
        <v>43</v>
      </c>
      <c r="H4252" t="s">
        <v>11442</v>
      </c>
      <c r="I4252" s="4">
        <v>45186.875</v>
      </c>
      <c r="K4252" t="s">
        <v>459</v>
      </c>
      <c r="L4252" s="5"/>
      <c r="M4252" s="5"/>
      <c r="N4252" t="s">
        <v>82</v>
      </c>
      <c r="O4252" t="s">
        <v>11443</v>
      </c>
      <c r="R4252">
        <v>1</v>
      </c>
      <c r="T4252" s="5" t="s">
        <v>38</v>
      </c>
      <c r="W4252">
        <v>108</v>
      </c>
      <c r="X4252" t="s">
        <v>107</v>
      </c>
      <c r="Y4252" t="str">
        <f>VLOOKUP(C4252,'[1]DBS_KPY Sorumlular'!A:C,2,FALSE)</f>
        <v>Mehmet Ali YAVUZ</v>
      </c>
      <c r="Z4252" t="str">
        <f>VLOOKUP(C4252,'[1]DBS_KPY Sorumlular'!A:C,3,FALSE)</f>
        <v>Tayfun VİÇE</v>
      </c>
      <c r="AA4252" t="str">
        <f>VLOOKUP(K4252,[1]!Tablo3[#Data],2,FALSE)</f>
        <v>Erkan AKDOĞAN</v>
      </c>
    </row>
    <row r="4253" spans="1:27" x14ac:dyDescent="0.25">
      <c r="A4253">
        <v>5651</v>
      </c>
      <c r="B4253" t="s">
        <v>27</v>
      </c>
      <c r="C4253" t="s">
        <v>6091</v>
      </c>
      <c r="D4253" t="s">
        <v>6092</v>
      </c>
      <c r="F4253" t="s">
        <v>3587</v>
      </c>
      <c r="G4253" t="s">
        <v>43</v>
      </c>
      <c r="H4253" t="s">
        <v>11444</v>
      </c>
      <c r="I4253" s="4">
        <v>45543.875</v>
      </c>
      <c r="K4253" t="s">
        <v>226</v>
      </c>
      <c r="L4253" s="5"/>
      <c r="M4253" s="5"/>
      <c r="N4253" t="s">
        <v>82</v>
      </c>
      <c r="O4253" t="s">
        <v>11445</v>
      </c>
      <c r="R4253">
        <v>1</v>
      </c>
      <c r="T4253" s="5" t="s">
        <v>38</v>
      </c>
      <c r="W4253">
        <v>108</v>
      </c>
      <c r="X4253" t="s">
        <v>107</v>
      </c>
      <c r="Y4253" t="str">
        <f>VLOOKUP(C4253,'[1]DBS_KPY Sorumlular'!A:C,2,FALSE)</f>
        <v>Mehmet Ali YAVUZ</v>
      </c>
      <c r="Z4253" t="str">
        <f>VLOOKUP(C4253,'[1]DBS_KPY Sorumlular'!A:C,3,FALSE)</f>
        <v>Tayfun VİÇE</v>
      </c>
      <c r="AA4253" t="str">
        <f>VLOOKUP(K4253,[1]!Tablo3[#Data],2,FALSE)</f>
        <v>Kadir TOPÇU</v>
      </c>
    </row>
    <row r="4254" spans="1:27" x14ac:dyDescent="0.25">
      <c r="A4254">
        <v>5652</v>
      </c>
      <c r="B4254" t="s">
        <v>27</v>
      </c>
      <c r="C4254" t="s">
        <v>6091</v>
      </c>
      <c r="D4254" t="s">
        <v>6092</v>
      </c>
      <c r="F4254" t="s">
        <v>3587</v>
      </c>
      <c r="G4254" t="s">
        <v>43</v>
      </c>
      <c r="H4254" t="s">
        <v>11446</v>
      </c>
      <c r="I4254" s="4">
        <v>45648.875</v>
      </c>
      <c r="K4254" t="s">
        <v>611</v>
      </c>
      <c r="L4254" s="5"/>
      <c r="M4254" s="5"/>
      <c r="N4254" t="s">
        <v>82</v>
      </c>
      <c r="O4254" t="s">
        <v>11447</v>
      </c>
      <c r="R4254">
        <v>1</v>
      </c>
      <c r="T4254" s="5" t="s">
        <v>38</v>
      </c>
      <c r="W4254">
        <v>108</v>
      </c>
      <c r="X4254" t="s">
        <v>107</v>
      </c>
      <c r="Y4254" t="str">
        <f>VLOOKUP(C4254,'[1]DBS_KPY Sorumlular'!A:C,2,FALSE)</f>
        <v>Mehmet Ali YAVUZ</v>
      </c>
      <c r="Z4254" t="str">
        <f>VLOOKUP(C4254,'[1]DBS_KPY Sorumlular'!A:C,3,FALSE)</f>
        <v>Tayfun VİÇE</v>
      </c>
      <c r="AA4254" t="str">
        <f>VLOOKUP(K4254,[1]!Tablo3[#Data],2,FALSE)</f>
        <v>Kadir TOPÇU</v>
      </c>
    </row>
    <row r="4255" spans="1:27" x14ac:dyDescent="0.25">
      <c r="A4255">
        <v>5653</v>
      </c>
      <c r="B4255" t="s">
        <v>27</v>
      </c>
      <c r="C4255" t="s">
        <v>6091</v>
      </c>
      <c r="D4255" t="s">
        <v>6092</v>
      </c>
      <c r="F4255" t="s">
        <v>3587</v>
      </c>
      <c r="G4255" t="s">
        <v>43</v>
      </c>
      <c r="H4255" t="s">
        <v>11448</v>
      </c>
      <c r="I4255" s="4">
        <v>44094.875</v>
      </c>
      <c r="K4255" t="s">
        <v>636</v>
      </c>
      <c r="L4255" s="5"/>
      <c r="M4255" s="5"/>
      <c r="N4255" t="s">
        <v>82</v>
      </c>
      <c r="O4255" t="s">
        <v>11449</v>
      </c>
      <c r="R4255">
        <v>1</v>
      </c>
      <c r="T4255" s="5" t="s">
        <v>38</v>
      </c>
      <c r="W4255">
        <v>108</v>
      </c>
      <c r="X4255" t="s">
        <v>107</v>
      </c>
      <c r="Y4255" t="str">
        <f>VLOOKUP(C4255,'[1]DBS_KPY Sorumlular'!A:C,2,FALSE)</f>
        <v>Mehmet Ali YAVUZ</v>
      </c>
      <c r="Z4255" t="str">
        <f>VLOOKUP(C4255,'[1]DBS_KPY Sorumlular'!A:C,3,FALSE)</f>
        <v>Tayfun VİÇE</v>
      </c>
      <c r="AA4255" t="str">
        <f>VLOOKUP(K4255,[1]!Tablo3[#Data],2,FALSE)</f>
        <v>Erkan AKDOĞAN</v>
      </c>
    </row>
    <row r="4256" spans="1:27" x14ac:dyDescent="0.25">
      <c r="A4256">
        <v>5656</v>
      </c>
      <c r="B4256" t="s">
        <v>27</v>
      </c>
      <c r="C4256" t="s">
        <v>6091</v>
      </c>
      <c r="D4256" t="s">
        <v>6092</v>
      </c>
      <c r="F4256" t="s">
        <v>3587</v>
      </c>
      <c r="G4256" t="s">
        <v>43</v>
      </c>
      <c r="H4256" t="s">
        <v>11450</v>
      </c>
      <c r="I4256" s="4">
        <v>45543.875</v>
      </c>
      <c r="K4256" t="s">
        <v>835</v>
      </c>
      <c r="L4256" s="5"/>
      <c r="M4256" s="5"/>
      <c r="N4256" t="s">
        <v>82</v>
      </c>
      <c r="O4256" t="s">
        <v>11451</v>
      </c>
      <c r="R4256">
        <v>1</v>
      </c>
      <c r="T4256" s="5" t="s">
        <v>38</v>
      </c>
      <c r="W4256">
        <v>108</v>
      </c>
      <c r="X4256" t="s">
        <v>107</v>
      </c>
      <c r="Y4256" t="str">
        <f>VLOOKUP(C4256,'[1]DBS_KPY Sorumlular'!A:C,2,FALSE)</f>
        <v>Mehmet Ali YAVUZ</v>
      </c>
      <c r="Z4256" t="str">
        <f>VLOOKUP(C4256,'[1]DBS_KPY Sorumlular'!A:C,3,FALSE)</f>
        <v>Tayfun VİÇE</v>
      </c>
      <c r="AA4256" t="str">
        <f>VLOOKUP(K4256,[1]!Tablo3[#Data],2,FALSE)</f>
        <v>Kadir TOPÇU</v>
      </c>
    </row>
    <row r="4257" spans="1:27" x14ac:dyDescent="0.25">
      <c r="A4257">
        <v>5657</v>
      </c>
      <c r="B4257" t="s">
        <v>1419</v>
      </c>
      <c r="C4257" t="s">
        <v>73</v>
      </c>
      <c r="D4257" t="s">
        <v>73</v>
      </c>
      <c r="F4257" t="s">
        <v>42</v>
      </c>
      <c r="G4257" t="s">
        <v>291</v>
      </c>
      <c r="H4257" t="s">
        <v>11452</v>
      </c>
      <c r="I4257" s="4">
        <v>45898.875</v>
      </c>
      <c r="J4257" t="s">
        <v>11453</v>
      </c>
      <c r="K4257" t="s">
        <v>898</v>
      </c>
      <c r="L4257" s="5" t="s">
        <v>11454</v>
      </c>
      <c r="M4257" s="5" t="s">
        <v>11455</v>
      </c>
      <c r="N4257" t="s">
        <v>35</v>
      </c>
      <c r="O4257" t="s">
        <v>5622</v>
      </c>
      <c r="T4257" s="5" t="s">
        <v>38</v>
      </c>
      <c r="Y4257" t="str">
        <f>VLOOKUP(C4257,'[1]DBS_KPY Sorumlular'!A:C,2,FALSE)</f>
        <v>Ayşegül AKGÜL</v>
      </c>
      <c r="Z4257" t="str">
        <f>VLOOKUP(C4257,'[1]DBS_KPY Sorumlular'!A:C,3,FALSE)</f>
        <v>Sinan ERDAŞ</v>
      </c>
      <c r="AA4257" t="str">
        <f>VLOOKUP(K4257,[1]!Tablo3[#Data],2,FALSE)</f>
        <v>Erkan AKDOĞAN</v>
      </c>
    </row>
    <row r="4258" spans="1:27" x14ac:dyDescent="0.25">
      <c r="A4258">
        <v>5658</v>
      </c>
      <c r="B4258" t="s">
        <v>1419</v>
      </c>
      <c r="C4258" t="s">
        <v>73</v>
      </c>
      <c r="D4258" t="s">
        <v>73</v>
      </c>
      <c r="F4258" t="s">
        <v>383</v>
      </c>
      <c r="G4258" t="s">
        <v>384</v>
      </c>
      <c r="H4258" t="s">
        <v>11456</v>
      </c>
      <c r="I4258" s="4"/>
      <c r="J4258" t="s">
        <v>11457</v>
      </c>
      <c r="K4258" t="s">
        <v>217</v>
      </c>
      <c r="L4258" s="5"/>
      <c r="M4258" s="5"/>
      <c r="N4258" t="s">
        <v>35</v>
      </c>
      <c r="O4258" t="s">
        <v>11458</v>
      </c>
      <c r="T4258" s="5" t="s">
        <v>38</v>
      </c>
      <c r="Y4258" t="str">
        <f>VLOOKUP(C4258,'[1]DBS_KPY Sorumlular'!A:C,2,FALSE)</f>
        <v>Ayşegül AKGÜL</v>
      </c>
      <c r="Z4258" t="str">
        <f>VLOOKUP(C4258,'[1]DBS_KPY Sorumlular'!A:C,3,FALSE)</f>
        <v>Sinan ERDAŞ</v>
      </c>
      <c r="AA4258" t="str">
        <f>VLOOKUP(K4258,[1]!Tablo3[#Data],2,FALSE)</f>
        <v>Erkan AKDOĞAN</v>
      </c>
    </row>
    <row r="4259" spans="1:27" x14ac:dyDescent="0.25">
      <c r="A4259">
        <v>5659</v>
      </c>
      <c r="B4259" t="s">
        <v>27</v>
      </c>
      <c r="C4259" t="s">
        <v>6091</v>
      </c>
      <c r="D4259" t="s">
        <v>6092</v>
      </c>
      <c r="F4259" t="s">
        <v>3587</v>
      </c>
      <c r="G4259" t="s">
        <v>43</v>
      </c>
      <c r="H4259" t="s">
        <v>11459</v>
      </c>
      <c r="I4259" s="4">
        <v>45648.875</v>
      </c>
      <c r="K4259" t="s">
        <v>835</v>
      </c>
      <c r="L4259" s="5"/>
      <c r="M4259" s="5"/>
      <c r="N4259" t="s">
        <v>82</v>
      </c>
      <c r="O4259" t="s">
        <v>11460</v>
      </c>
      <c r="R4259">
        <v>1</v>
      </c>
      <c r="T4259" s="5" t="s">
        <v>38</v>
      </c>
      <c r="W4259">
        <v>108</v>
      </c>
      <c r="X4259" t="s">
        <v>107</v>
      </c>
      <c r="Y4259" t="str">
        <f>VLOOKUP(C4259,'[1]DBS_KPY Sorumlular'!A:C,2,FALSE)</f>
        <v>Mehmet Ali YAVUZ</v>
      </c>
      <c r="Z4259" t="str">
        <f>VLOOKUP(C4259,'[1]DBS_KPY Sorumlular'!A:C,3,FALSE)</f>
        <v>Tayfun VİÇE</v>
      </c>
      <c r="AA4259" t="str">
        <f>VLOOKUP(K4259,[1]!Tablo3[#Data],2,FALSE)</f>
        <v>Kadir TOPÇU</v>
      </c>
    </row>
    <row r="4260" spans="1:27" x14ac:dyDescent="0.25">
      <c r="A4260">
        <v>5660</v>
      </c>
      <c r="B4260" t="s">
        <v>27</v>
      </c>
      <c r="C4260" t="s">
        <v>6091</v>
      </c>
      <c r="D4260" t="s">
        <v>6092</v>
      </c>
      <c r="F4260" t="s">
        <v>3587</v>
      </c>
      <c r="G4260" t="s">
        <v>43</v>
      </c>
      <c r="H4260" t="s">
        <v>11461</v>
      </c>
      <c r="I4260" s="4">
        <v>45543.875</v>
      </c>
      <c r="K4260" t="s">
        <v>835</v>
      </c>
      <c r="L4260" s="5"/>
      <c r="M4260" s="5"/>
      <c r="N4260" t="s">
        <v>82</v>
      </c>
      <c r="O4260" t="s">
        <v>11462</v>
      </c>
      <c r="R4260">
        <v>1</v>
      </c>
      <c r="T4260" s="5" t="s">
        <v>38</v>
      </c>
      <c r="W4260">
        <v>108</v>
      </c>
      <c r="X4260" t="s">
        <v>107</v>
      </c>
      <c r="Y4260" t="str">
        <f>VLOOKUP(C4260,'[1]DBS_KPY Sorumlular'!A:C,2,FALSE)</f>
        <v>Mehmet Ali YAVUZ</v>
      </c>
      <c r="Z4260" t="str">
        <f>VLOOKUP(C4260,'[1]DBS_KPY Sorumlular'!A:C,3,FALSE)</f>
        <v>Tayfun VİÇE</v>
      </c>
      <c r="AA4260" t="str">
        <f>VLOOKUP(K4260,[1]!Tablo3[#Data],2,FALSE)</f>
        <v>Kadir TOPÇU</v>
      </c>
    </row>
    <row r="4261" spans="1:27" x14ac:dyDescent="0.25">
      <c r="A4261">
        <v>5661</v>
      </c>
      <c r="B4261" t="s">
        <v>27</v>
      </c>
      <c r="C4261" t="s">
        <v>6091</v>
      </c>
      <c r="D4261" t="s">
        <v>6092</v>
      </c>
      <c r="F4261" t="s">
        <v>3587</v>
      </c>
      <c r="G4261" t="s">
        <v>43</v>
      </c>
      <c r="H4261" t="s">
        <v>11463</v>
      </c>
      <c r="I4261" s="4">
        <v>45025.875</v>
      </c>
      <c r="K4261" t="s">
        <v>835</v>
      </c>
      <c r="L4261" s="5"/>
      <c r="M4261" s="5"/>
      <c r="N4261" t="s">
        <v>82</v>
      </c>
      <c r="O4261" t="s">
        <v>11464</v>
      </c>
      <c r="R4261">
        <v>1</v>
      </c>
      <c r="T4261" s="5" t="s">
        <v>38</v>
      </c>
      <c r="W4261">
        <v>108</v>
      </c>
      <c r="X4261" t="s">
        <v>107</v>
      </c>
      <c r="Y4261" t="str">
        <f>VLOOKUP(C4261,'[1]DBS_KPY Sorumlular'!A:C,2,FALSE)</f>
        <v>Mehmet Ali YAVUZ</v>
      </c>
      <c r="Z4261" t="str">
        <f>VLOOKUP(C4261,'[1]DBS_KPY Sorumlular'!A:C,3,FALSE)</f>
        <v>Tayfun VİÇE</v>
      </c>
      <c r="AA4261" t="str">
        <f>VLOOKUP(K4261,[1]!Tablo3[#Data],2,FALSE)</f>
        <v>Kadir TOPÇU</v>
      </c>
    </row>
    <row r="4262" spans="1:27" x14ac:dyDescent="0.25">
      <c r="A4262">
        <v>5662</v>
      </c>
      <c r="B4262" t="s">
        <v>27</v>
      </c>
      <c r="C4262" t="s">
        <v>6091</v>
      </c>
      <c r="D4262" t="s">
        <v>6092</v>
      </c>
      <c r="F4262" t="s">
        <v>3587</v>
      </c>
      <c r="G4262" t="s">
        <v>43</v>
      </c>
      <c r="H4262" t="s">
        <v>11465</v>
      </c>
      <c r="I4262" s="4">
        <v>44332.875</v>
      </c>
      <c r="K4262" t="s">
        <v>853</v>
      </c>
      <c r="L4262" s="5"/>
      <c r="M4262" s="5"/>
      <c r="N4262" t="s">
        <v>82</v>
      </c>
      <c r="O4262" t="s">
        <v>11466</v>
      </c>
      <c r="R4262">
        <v>1</v>
      </c>
      <c r="T4262" s="5" t="s">
        <v>38</v>
      </c>
      <c r="W4262">
        <v>108</v>
      </c>
      <c r="X4262" t="s">
        <v>107</v>
      </c>
      <c r="Y4262" t="str">
        <f>VLOOKUP(C4262,'[1]DBS_KPY Sorumlular'!A:C,2,FALSE)</f>
        <v>Mehmet Ali YAVUZ</v>
      </c>
      <c r="Z4262" t="str">
        <f>VLOOKUP(C4262,'[1]DBS_KPY Sorumlular'!A:C,3,FALSE)</f>
        <v>Tayfun VİÇE</v>
      </c>
      <c r="AA4262" t="str">
        <f>VLOOKUP(K4262,[1]!Tablo3[#Data],2,FALSE)</f>
        <v>Erkan AKDOĞAN</v>
      </c>
    </row>
    <row r="4263" spans="1:27" x14ac:dyDescent="0.25">
      <c r="A4263">
        <v>5663</v>
      </c>
      <c r="B4263" t="s">
        <v>27</v>
      </c>
      <c r="C4263" t="s">
        <v>6091</v>
      </c>
      <c r="D4263" t="s">
        <v>6092</v>
      </c>
      <c r="F4263" t="s">
        <v>3587</v>
      </c>
      <c r="G4263" t="s">
        <v>43</v>
      </c>
      <c r="H4263" t="s">
        <v>11467</v>
      </c>
      <c r="I4263" s="4">
        <v>45543.875</v>
      </c>
      <c r="K4263" t="s">
        <v>914</v>
      </c>
      <c r="L4263" s="5"/>
      <c r="M4263" s="5"/>
      <c r="N4263" t="s">
        <v>82</v>
      </c>
      <c r="O4263" t="s">
        <v>11468</v>
      </c>
      <c r="R4263">
        <v>1</v>
      </c>
      <c r="T4263" s="5" t="s">
        <v>38</v>
      </c>
      <c r="W4263">
        <v>108</v>
      </c>
      <c r="X4263" t="s">
        <v>107</v>
      </c>
      <c r="Y4263" t="str">
        <f>VLOOKUP(C4263,'[1]DBS_KPY Sorumlular'!A:C,2,FALSE)</f>
        <v>Mehmet Ali YAVUZ</v>
      </c>
      <c r="Z4263" t="str">
        <f>VLOOKUP(C4263,'[1]DBS_KPY Sorumlular'!A:C,3,FALSE)</f>
        <v>Tayfun VİÇE</v>
      </c>
      <c r="AA4263" t="str">
        <f>VLOOKUP(K4263,[1]!Tablo3[#Data],2,FALSE)</f>
        <v>Tayfun VİÇE</v>
      </c>
    </row>
    <row r="4264" spans="1:27" x14ac:dyDescent="0.25">
      <c r="A4264">
        <v>5664</v>
      </c>
      <c r="B4264" t="s">
        <v>27</v>
      </c>
      <c r="C4264" t="s">
        <v>6091</v>
      </c>
      <c r="D4264" t="s">
        <v>6092</v>
      </c>
      <c r="F4264" t="s">
        <v>3587</v>
      </c>
      <c r="G4264" t="s">
        <v>43</v>
      </c>
      <c r="H4264" t="s">
        <v>11469</v>
      </c>
      <c r="I4264" s="4">
        <v>45578.875</v>
      </c>
      <c r="K4264" t="s">
        <v>914</v>
      </c>
      <c r="L4264" s="5"/>
      <c r="M4264" s="5"/>
      <c r="N4264" t="s">
        <v>82</v>
      </c>
      <c r="O4264" t="s">
        <v>11470</v>
      </c>
      <c r="R4264">
        <v>1</v>
      </c>
      <c r="T4264" s="5" t="s">
        <v>38</v>
      </c>
      <c r="W4264">
        <v>108</v>
      </c>
      <c r="X4264" t="s">
        <v>107</v>
      </c>
      <c r="Y4264" t="str">
        <f>VLOOKUP(C4264,'[1]DBS_KPY Sorumlular'!A:C,2,FALSE)</f>
        <v>Mehmet Ali YAVUZ</v>
      </c>
      <c r="Z4264" t="str">
        <f>VLOOKUP(C4264,'[1]DBS_KPY Sorumlular'!A:C,3,FALSE)</f>
        <v>Tayfun VİÇE</v>
      </c>
      <c r="AA4264" t="str">
        <f>VLOOKUP(K4264,[1]!Tablo3[#Data],2,FALSE)</f>
        <v>Tayfun VİÇE</v>
      </c>
    </row>
    <row r="4265" spans="1:27" x14ac:dyDescent="0.25">
      <c r="A4265">
        <v>5665</v>
      </c>
      <c r="B4265" t="s">
        <v>27</v>
      </c>
      <c r="C4265" t="s">
        <v>6091</v>
      </c>
      <c r="D4265" t="s">
        <v>6092</v>
      </c>
      <c r="F4265" t="s">
        <v>3587</v>
      </c>
      <c r="G4265" t="s">
        <v>43</v>
      </c>
      <c r="H4265" t="s">
        <v>11471</v>
      </c>
      <c r="I4265" s="4">
        <v>44094.875</v>
      </c>
      <c r="K4265" t="s">
        <v>1029</v>
      </c>
      <c r="L4265" s="5"/>
      <c r="M4265" s="5"/>
      <c r="N4265" t="s">
        <v>82</v>
      </c>
      <c r="O4265" t="s">
        <v>11472</v>
      </c>
      <c r="R4265">
        <v>1</v>
      </c>
      <c r="T4265" s="5" t="s">
        <v>38</v>
      </c>
      <c r="W4265">
        <v>108</v>
      </c>
      <c r="X4265" t="s">
        <v>107</v>
      </c>
      <c r="Y4265" t="str">
        <f>VLOOKUP(C4265,'[1]DBS_KPY Sorumlular'!A:C,2,FALSE)</f>
        <v>Mehmet Ali YAVUZ</v>
      </c>
      <c r="Z4265" t="str">
        <f>VLOOKUP(C4265,'[1]DBS_KPY Sorumlular'!A:C,3,FALSE)</f>
        <v>Tayfun VİÇE</v>
      </c>
      <c r="AA4265" t="str">
        <f>VLOOKUP(K4265,[1]!Tablo3[#Data],2,FALSE)</f>
        <v>Tayfun VİÇE</v>
      </c>
    </row>
    <row r="4266" spans="1:27" x14ac:dyDescent="0.25">
      <c r="A4266">
        <v>5666</v>
      </c>
      <c r="B4266" t="s">
        <v>27</v>
      </c>
      <c r="C4266" t="s">
        <v>6091</v>
      </c>
      <c r="D4266" t="s">
        <v>6092</v>
      </c>
      <c r="F4266" t="s">
        <v>3587</v>
      </c>
      <c r="G4266" t="s">
        <v>43</v>
      </c>
      <c r="H4266" t="s">
        <v>11473</v>
      </c>
      <c r="I4266" s="4">
        <v>44451.875</v>
      </c>
      <c r="K4266" t="s">
        <v>1029</v>
      </c>
      <c r="L4266" s="5"/>
      <c r="M4266" s="5"/>
      <c r="N4266" t="s">
        <v>82</v>
      </c>
      <c r="O4266" t="s">
        <v>11474</v>
      </c>
      <c r="R4266">
        <v>1</v>
      </c>
      <c r="T4266" s="5" t="s">
        <v>38</v>
      </c>
      <c r="W4266">
        <v>108</v>
      </c>
      <c r="X4266" t="s">
        <v>107</v>
      </c>
      <c r="Y4266" t="str">
        <f>VLOOKUP(C4266,'[1]DBS_KPY Sorumlular'!A:C,2,FALSE)</f>
        <v>Mehmet Ali YAVUZ</v>
      </c>
      <c r="Z4266" t="str">
        <f>VLOOKUP(C4266,'[1]DBS_KPY Sorumlular'!A:C,3,FALSE)</f>
        <v>Tayfun VİÇE</v>
      </c>
      <c r="AA4266" t="str">
        <f>VLOOKUP(K4266,[1]!Tablo3[#Data],2,FALSE)</f>
        <v>Tayfun VİÇE</v>
      </c>
    </row>
    <row r="4267" spans="1:27" x14ac:dyDescent="0.25">
      <c r="A4267">
        <v>5667</v>
      </c>
      <c r="B4267" t="s">
        <v>27</v>
      </c>
      <c r="C4267" t="s">
        <v>6091</v>
      </c>
      <c r="D4267" t="s">
        <v>6092</v>
      </c>
      <c r="F4267" t="s">
        <v>3587</v>
      </c>
      <c r="G4267" t="s">
        <v>43</v>
      </c>
      <c r="H4267" t="s">
        <v>11475</v>
      </c>
      <c r="I4267" s="4">
        <v>44451.875</v>
      </c>
      <c r="K4267" t="s">
        <v>1029</v>
      </c>
      <c r="L4267" s="5"/>
      <c r="M4267" s="5"/>
      <c r="N4267" t="s">
        <v>82</v>
      </c>
      <c r="O4267" t="s">
        <v>11476</v>
      </c>
      <c r="R4267">
        <v>1</v>
      </c>
      <c r="T4267" s="5" t="s">
        <v>38</v>
      </c>
      <c r="W4267">
        <v>108</v>
      </c>
      <c r="X4267" t="s">
        <v>107</v>
      </c>
      <c r="Y4267" t="str">
        <f>VLOOKUP(C4267,'[1]DBS_KPY Sorumlular'!A:C,2,FALSE)</f>
        <v>Mehmet Ali YAVUZ</v>
      </c>
      <c r="Z4267" t="str">
        <f>VLOOKUP(C4267,'[1]DBS_KPY Sorumlular'!A:C,3,FALSE)</f>
        <v>Tayfun VİÇE</v>
      </c>
      <c r="AA4267" t="str">
        <f>VLOOKUP(K4267,[1]!Tablo3[#Data],2,FALSE)</f>
        <v>Tayfun VİÇE</v>
      </c>
    </row>
    <row r="4268" spans="1:27" x14ac:dyDescent="0.25">
      <c r="A4268">
        <v>5668</v>
      </c>
      <c r="B4268" t="s">
        <v>27</v>
      </c>
      <c r="C4268" t="s">
        <v>6091</v>
      </c>
      <c r="D4268" t="s">
        <v>6092</v>
      </c>
      <c r="F4268" t="s">
        <v>3587</v>
      </c>
      <c r="G4268" t="s">
        <v>43</v>
      </c>
      <c r="H4268" t="s">
        <v>11477</v>
      </c>
      <c r="I4268" s="4"/>
      <c r="K4268" t="s">
        <v>1157</v>
      </c>
      <c r="L4268" s="5"/>
      <c r="M4268" s="5"/>
      <c r="N4268" t="s">
        <v>82</v>
      </c>
      <c r="O4268" t="s">
        <v>11478</v>
      </c>
      <c r="R4268">
        <v>1</v>
      </c>
      <c r="T4268" s="5" t="s">
        <v>38</v>
      </c>
      <c r="W4268">
        <v>108</v>
      </c>
      <c r="X4268" t="s">
        <v>107</v>
      </c>
      <c r="Y4268" t="str">
        <f>VLOOKUP(C4268,'[1]DBS_KPY Sorumlular'!A:C,2,FALSE)</f>
        <v>Mehmet Ali YAVUZ</v>
      </c>
      <c r="Z4268" t="str">
        <f>VLOOKUP(C4268,'[1]DBS_KPY Sorumlular'!A:C,3,FALSE)</f>
        <v>Tayfun VİÇE</v>
      </c>
      <c r="AA4268" t="str">
        <f>VLOOKUP(K4268,[1]!Tablo3[#Data],2,FALSE)</f>
        <v>Tayfun VİÇE</v>
      </c>
    </row>
    <row r="4269" spans="1:27" x14ac:dyDescent="0.25">
      <c r="A4269">
        <v>5669</v>
      </c>
      <c r="B4269" t="s">
        <v>27</v>
      </c>
      <c r="C4269" t="s">
        <v>6091</v>
      </c>
      <c r="D4269" t="s">
        <v>6092</v>
      </c>
      <c r="F4269" t="s">
        <v>3587</v>
      </c>
      <c r="G4269" t="s">
        <v>43</v>
      </c>
      <c r="H4269" t="s">
        <v>11479</v>
      </c>
      <c r="I4269" s="4">
        <v>44451.875</v>
      </c>
      <c r="K4269" t="s">
        <v>1157</v>
      </c>
      <c r="L4269" s="5"/>
      <c r="M4269" s="5"/>
      <c r="N4269" t="s">
        <v>82</v>
      </c>
      <c r="O4269" t="s">
        <v>11480</v>
      </c>
      <c r="R4269">
        <v>1</v>
      </c>
      <c r="T4269" s="5" t="s">
        <v>38</v>
      </c>
      <c r="W4269">
        <v>108</v>
      </c>
      <c r="X4269" t="s">
        <v>107</v>
      </c>
      <c r="Y4269" t="str">
        <f>VLOOKUP(C4269,'[1]DBS_KPY Sorumlular'!A:C,2,FALSE)</f>
        <v>Mehmet Ali YAVUZ</v>
      </c>
      <c r="Z4269" t="str">
        <f>VLOOKUP(C4269,'[1]DBS_KPY Sorumlular'!A:C,3,FALSE)</f>
        <v>Tayfun VİÇE</v>
      </c>
      <c r="AA4269" t="str">
        <f>VLOOKUP(K4269,[1]!Tablo3[#Data],2,FALSE)</f>
        <v>Tayfun VİÇE</v>
      </c>
    </row>
    <row r="4270" spans="1:27" x14ac:dyDescent="0.25">
      <c r="A4270">
        <v>5670</v>
      </c>
      <c r="B4270" t="s">
        <v>27</v>
      </c>
      <c r="C4270" t="s">
        <v>6091</v>
      </c>
      <c r="D4270" t="s">
        <v>6092</v>
      </c>
      <c r="F4270" t="s">
        <v>3587</v>
      </c>
      <c r="G4270" t="s">
        <v>43</v>
      </c>
      <c r="H4270" t="s">
        <v>11481</v>
      </c>
      <c r="I4270" s="4"/>
      <c r="K4270" t="s">
        <v>1157</v>
      </c>
      <c r="L4270" s="5"/>
      <c r="M4270" s="5"/>
      <c r="N4270" t="s">
        <v>82</v>
      </c>
      <c r="O4270" t="s">
        <v>11482</v>
      </c>
      <c r="R4270">
        <v>1</v>
      </c>
      <c r="T4270" s="5" t="s">
        <v>38</v>
      </c>
      <c r="W4270">
        <v>108</v>
      </c>
      <c r="X4270" t="s">
        <v>107</v>
      </c>
      <c r="Y4270" t="str">
        <f>VLOOKUP(C4270,'[1]DBS_KPY Sorumlular'!A:C,2,FALSE)</f>
        <v>Mehmet Ali YAVUZ</v>
      </c>
      <c r="Z4270" t="str">
        <f>VLOOKUP(C4270,'[1]DBS_KPY Sorumlular'!A:C,3,FALSE)</f>
        <v>Tayfun VİÇE</v>
      </c>
      <c r="AA4270" t="str">
        <f>VLOOKUP(K4270,[1]!Tablo3[#Data],2,FALSE)</f>
        <v>Tayfun VİÇE</v>
      </c>
    </row>
    <row r="4271" spans="1:27" x14ac:dyDescent="0.25">
      <c r="A4271">
        <v>5671</v>
      </c>
      <c r="B4271" t="s">
        <v>27</v>
      </c>
      <c r="C4271" t="s">
        <v>6091</v>
      </c>
      <c r="D4271" t="s">
        <v>6092</v>
      </c>
      <c r="F4271" t="s">
        <v>3587</v>
      </c>
      <c r="G4271" t="s">
        <v>43</v>
      </c>
      <c r="H4271" t="s">
        <v>11483</v>
      </c>
      <c r="I4271" s="4">
        <v>45543.875</v>
      </c>
      <c r="K4271" t="s">
        <v>1157</v>
      </c>
      <c r="L4271" s="5"/>
      <c r="M4271" s="5"/>
      <c r="N4271" t="s">
        <v>82</v>
      </c>
      <c r="O4271" t="s">
        <v>11484</v>
      </c>
      <c r="R4271">
        <v>1</v>
      </c>
      <c r="T4271" s="5" t="s">
        <v>38</v>
      </c>
      <c r="W4271">
        <v>108</v>
      </c>
      <c r="X4271" t="s">
        <v>107</v>
      </c>
      <c r="Y4271" t="str">
        <f>VLOOKUP(C4271,'[1]DBS_KPY Sorumlular'!A:C,2,FALSE)</f>
        <v>Mehmet Ali YAVUZ</v>
      </c>
      <c r="Z4271" t="str">
        <f>VLOOKUP(C4271,'[1]DBS_KPY Sorumlular'!A:C,3,FALSE)</f>
        <v>Tayfun VİÇE</v>
      </c>
      <c r="AA4271" t="str">
        <f>VLOOKUP(K4271,[1]!Tablo3[#Data],2,FALSE)</f>
        <v>Tayfun VİÇE</v>
      </c>
    </row>
    <row r="4272" spans="1:27" x14ac:dyDescent="0.25">
      <c r="A4272">
        <v>5672</v>
      </c>
      <c r="B4272" t="s">
        <v>27</v>
      </c>
      <c r="C4272" t="s">
        <v>6091</v>
      </c>
      <c r="D4272" t="s">
        <v>6092</v>
      </c>
      <c r="F4272" t="s">
        <v>3587</v>
      </c>
      <c r="G4272" t="s">
        <v>43</v>
      </c>
      <c r="H4272" t="s">
        <v>11485</v>
      </c>
      <c r="I4272" s="4">
        <v>44502.875</v>
      </c>
      <c r="K4272" t="s">
        <v>1157</v>
      </c>
      <c r="L4272" s="5"/>
      <c r="M4272" s="5"/>
      <c r="N4272" t="s">
        <v>82</v>
      </c>
      <c r="O4272" t="s">
        <v>11486</v>
      </c>
      <c r="R4272">
        <v>1</v>
      </c>
      <c r="T4272" s="5" t="s">
        <v>38</v>
      </c>
      <c r="W4272">
        <v>108</v>
      </c>
      <c r="X4272" t="s">
        <v>107</v>
      </c>
      <c r="Y4272" t="str">
        <f>VLOOKUP(C4272,'[1]DBS_KPY Sorumlular'!A:C,2,FALSE)</f>
        <v>Mehmet Ali YAVUZ</v>
      </c>
      <c r="Z4272" t="str">
        <f>VLOOKUP(C4272,'[1]DBS_KPY Sorumlular'!A:C,3,FALSE)</f>
        <v>Tayfun VİÇE</v>
      </c>
      <c r="AA4272" t="str">
        <f>VLOOKUP(K4272,[1]!Tablo3[#Data],2,FALSE)</f>
        <v>Tayfun VİÇE</v>
      </c>
    </row>
    <row r="4273" spans="1:27" x14ac:dyDescent="0.25">
      <c r="A4273">
        <v>5673</v>
      </c>
      <c r="B4273" t="s">
        <v>27</v>
      </c>
      <c r="C4273" t="s">
        <v>6091</v>
      </c>
      <c r="D4273" t="s">
        <v>6092</v>
      </c>
      <c r="F4273" t="s">
        <v>3587</v>
      </c>
      <c r="G4273" t="s">
        <v>43</v>
      </c>
      <c r="H4273" t="s">
        <v>11487</v>
      </c>
      <c r="I4273" s="4">
        <v>44899.875</v>
      </c>
      <c r="K4273" t="s">
        <v>1157</v>
      </c>
      <c r="L4273" s="5"/>
      <c r="M4273" s="5"/>
      <c r="N4273" t="s">
        <v>82</v>
      </c>
      <c r="O4273" t="s">
        <v>11488</v>
      </c>
      <c r="R4273">
        <v>1</v>
      </c>
      <c r="T4273" s="5" t="s">
        <v>38</v>
      </c>
      <c r="W4273">
        <v>108</v>
      </c>
      <c r="X4273" t="s">
        <v>107</v>
      </c>
      <c r="Y4273" t="str">
        <f>VLOOKUP(C4273,'[1]DBS_KPY Sorumlular'!A:C,2,FALSE)</f>
        <v>Mehmet Ali YAVUZ</v>
      </c>
      <c r="Z4273" t="str">
        <f>VLOOKUP(C4273,'[1]DBS_KPY Sorumlular'!A:C,3,FALSE)</f>
        <v>Tayfun VİÇE</v>
      </c>
      <c r="AA4273" t="str">
        <f>VLOOKUP(K4273,[1]!Tablo3[#Data],2,FALSE)</f>
        <v>Tayfun VİÇE</v>
      </c>
    </row>
    <row r="4274" spans="1:27" x14ac:dyDescent="0.25">
      <c r="A4274">
        <v>5674</v>
      </c>
      <c r="B4274" t="s">
        <v>27</v>
      </c>
      <c r="C4274" t="s">
        <v>6091</v>
      </c>
      <c r="D4274" t="s">
        <v>6092</v>
      </c>
      <c r="F4274" t="s">
        <v>3587</v>
      </c>
      <c r="G4274" t="s">
        <v>43</v>
      </c>
      <c r="H4274" t="s">
        <v>11489</v>
      </c>
      <c r="I4274" s="4"/>
      <c r="K4274" t="s">
        <v>1106</v>
      </c>
      <c r="L4274" s="5"/>
      <c r="M4274" s="5"/>
      <c r="N4274" t="s">
        <v>82</v>
      </c>
      <c r="O4274" t="s">
        <v>11490</v>
      </c>
      <c r="R4274">
        <v>1</v>
      </c>
      <c r="T4274" s="5" t="s">
        <v>38</v>
      </c>
      <c r="W4274">
        <v>108</v>
      </c>
      <c r="X4274" t="s">
        <v>107</v>
      </c>
      <c r="Y4274" t="str">
        <f>VLOOKUP(C4274,'[1]DBS_KPY Sorumlular'!A:C,2,FALSE)</f>
        <v>Mehmet Ali YAVUZ</v>
      </c>
      <c r="Z4274" t="str">
        <f>VLOOKUP(C4274,'[1]DBS_KPY Sorumlular'!A:C,3,FALSE)</f>
        <v>Tayfun VİÇE</v>
      </c>
      <c r="AA4274" t="str">
        <f>VLOOKUP(K4274,[1]!Tablo3[#Data],2,FALSE)</f>
        <v>Tayfun VİÇE</v>
      </c>
    </row>
    <row r="4275" spans="1:27" x14ac:dyDescent="0.25">
      <c r="A4275">
        <v>5675</v>
      </c>
      <c r="B4275" t="s">
        <v>27</v>
      </c>
      <c r="C4275" t="s">
        <v>6091</v>
      </c>
      <c r="D4275" t="s">
        <v>6092</v>
      </c>
      <c r="F4275" t="s">
        <v>3587</v>
      </c>
      <c r="G4275" t="s">
        <v>43</v>
      </c>
      <c r="H4275" t="s">
        <v>11491</v>
      </c>
      <c r="I4275" s="4">
        <v>45648.875</v>
      </c>
      <c r="K4275" t="s">
        <v>1106</v>
      </c>
      <c r="L4275" s="5"/>
      <c r="M4275" s="5"/>
      <c r="N4275" t="s">
        <v>82</v>
      </c>
      <c r="O4275" t="s">
        <v>11492</v>
      </c>
      <c r="R4275">
        <v>1</v>
      </c>
      <c r="T4275" s="5" t="s">
        <v>38</v>
      </c>
      <c r="W4275">
        <v>108</v>
      </c>
      <c r="X4275" t="s">
        <v>107</v>
      </c>
      <c r="Y4275" t="str">
        <f>VLOOKUP(C4275,'[1]DBS_KPY Sorumlular'!A:C,2,FALSE)</f>
        <v>Mehmet Ali YAVUZ</v>
      </c>
      <c r="Z4275" t="str">
        <f>VLOOKUP(C4275,'[1]DBS_KPY Sorumlular'!A:C,3,FALSE)</f>
        <v>Tayfun VİÇE</v>
      </c>
      <c r="AA4275" t="str">
        <f>VLOOKUP(K4275,[1]!Tablo3[#Data],2,FALSE)</f>
        <v>Tayfun VİÇE</v>
      </c>
    </row>
    <row r="4276" spans="1:27" x14ac:dyDescent="0.25">
      <c r="A4276">
        <v>5676</v>
      </c>
      <c r="B4276" t="s">
        <v>27</v>
      </c>
      <c r="C4276" t="s">
        <v>6091</v>
      </c>
      <c r="D4276" t="s">
        <v>6092</v>
      </c>
      <c r="F4276" t="s">
        <v>3587</v>
      </c>
      <c r="G4276" t="s">
        <v>43</v>
      </c>
      <c r="H4276" t="s">
        <v>11493</v>
      </c>
      <c r="I4276" s="4">
        <v>45543.875</v>
      </c>
      <c r="K4276" t="s">
        <v>1106</v>
      </c>
      <c r="L4276" s="5"/>
      <c r="M4276" s="5"/>
      <c r="N4276" t="s">
        <v>82</v>
      </c>
      <c r="O4276" t="s">
        <v>11494</v>
      </c>
      <c r="R4276">
        <v>1</v>
      </c>
      <c r="T4276" s="5" t="s">
        <v>38</v>
      </c>
      <c r="W4276">
        <v>108</v>
      </c>
      <c r="X4276" t="s">
        <v>107</v>
      </c>
      <c r="Y4276" t="str">
        <f>VLOOKUP(C4276,'[1]DBS_KPY Sorumlular'!A:C,2,FALSE)</f>
        <v>Mehmet Ali YAVUZ</v>
      </c>
      <c r="Z4276" t="str">
        <f>VLOOKUP(C4276,'[1]DBS_KPY Sorumlular'!A:C,3,FALSE)</f>
        <v>Tayfun VİÇE</v>
      </c>
      <c r="AA4276" t="str">
        <f>VLOOKUP(K4276,[1]!Tablo3[#Data],2,FALSE)</f>
        <v>Tayfun VİÇE</v>
      </c>
    </row>
    <row r="4277" spans="1:27" x14ac:dyDescent="0.25">
      <c r="A4277">
        <v>5677</v>
      </c>
      <c r="B4277" t="s">
        <v>27</v>
      </c>
      <c r="C4277" t="s">
        <v>6091</v>
      </c>
      <c r="D4277" t="s">
        <v>6092</v>
      </c>
      <c r="F4277" t="s">
        <v>3587</v>
      </c>
      <c r="G4277" t="s">
        <v>43</v>
      </c>
      <c r="H4277" t="s">
        <v>11495</v>
      </c>
      <c r="I4277" s="4">
        <v>44094.875</v>
      </c>
      <c r="K4277" t="s">
        <v>1106</v>
      </c>
      <c r="L4277" s="5"/>
      <c r="M4277" s="5"/>
      <c r="N4277" t="s">
        <v>82</v>
      </c>
      <c r="O4277" t="s">
        <v>11496</v>
      </c>
      <c r="R4277">
        <v>1</v>
      </c>
      <c r="T4277" s="5" t="s">
        <v>38</v>
      </c>
      <c r="W4277">
        <v>108</v>
      </c>
      <c r="X4277" t="s">
        <v>107</v>
      </c>
      <c r="Y4277" t="str">
        <f>VLOOKUP(C4277,'[1]DBS_KPY Sorumlular'!A:C,2,FALSE)</f>
        <v>Mehmet Ali YAVUZ</v>
      </c>
      <c r="Z4277" t="str">
        <f>VLOOKUP(C4277,'[1]DBS_KPY Sorumlular'!A:C,3,FALSE)</f>
        <v>Tayfun VİÇE</v>
      </c>
      <c r="AA4277" t="str">
        <f>VLOOKUP(K4277,[1]!Tablo3[#Data],2,FALSE)</f>
        <v>Tayfun VİÇE</v>
      </c>
    </row>
    <row r="4278" spans="1:27" x14ac:dyDescent="0.25">
      <c r="A4278">
        <v>5678</v>
      </c>
      <c r="B4278" t="s">
        <v>27</v>
      </c>
      <c r="C4278" t="s">
        <v>6091</v>
      </c>
      <c r="D4278" t="s">
        <v>6092</v>
      </c>
      <c r="F4278" t="s">
        <v>3587</v>
      </c>
      <c r="G4278" t="s">
        <v>43</v>
      </c>
      <c r="H4278" t="s">
        <v>11497</v>
      </c>
      <c r="I4278" s="4">
        <v>45543.875</v>
      </c>
      <c r="K4278" t="s">
        <v>1106</v>
      </c>
      <c r="L4278" s="5"/>
      <c r="M4278" s="5"/>
      <c r="N4278" t="s">
        <v>82</v>
      </c>
      <c r="O4278" t="s">
        <v>11498</v>
      </c>
      <c r="R4278">
        <v>1</v>
      </c>
      <c r="T4278" s="5" t="s">
        <v>38</v>
      </c>
      <c r="W4278">
        <v>108</v>
      </c>
      <c r="X4278" t="s">
        <v>107</v>
      </c>
      <c r="Y4278" t="str">
        <f>VLOOKUP(C4278,'[1]DBS_KPY Sorumlular'!A:C,2,FALSE)</f>
        <v>Mehmet Ali YAVUZ</v>
      </c>
      <c r="Z4278" t="str">
        <f>VLOOKUP(C4278,'[1]DBS_KPY Sorumlular'!A:C,3,FALSE)</f>
        <v>Tayfun VİÇE</v>
      </c>
      <c r="AA4278" t="str">
        <f>VLOOKUP(K4278,[1]!Tablo3[#Data],2,FALSE)</f>
        <v>Tayfun VİÇE</v>
      </c>
    </row>
    <row r="4279" spans="1:27" x14ac:dyDescent="0.25">
      <c r="A4279">
        <v>5679</v>
      </c>
      <c r="B4279" t="s">
        <v>27</v>
      </c>
      <c r="C4279" t="s">
        <v>6091</v>
      </c>
      <c r="D4279" t="s">
        <v>6092</v>
      </c>
      <c r="F4279" t="s">
        <v>3587</v>
      </c>
      <c r="G4279" t="s">
        <v>43</v>
      </c>
      <c r="H4279" t="s">
        <v>11499</v>
      </c>
      <c r="I4279" s="4">
        <v>44451.875</v>
      </c>
      <c r="K4279" t="s">
        <v>1221</v>
      </c>
      <c r="L4279" s="5"/>
      <c r="M4279" s="5"/>
      <c r="N4279" t="s">
        <v>82</v>
      </c>
      <c r="O4279" t="s">
        <v>11500</v>
      </c>
      <c r="R4279">
        <v>1</v>
      </c>
      <c r="T4279" s="5" t="s">
        <v>38</v>
      </c>
      <c r="W4279">
        <v>108</v>
      </c>
      <c r="X4279" t="s">
        <v>107</v>
      </c>
      <c r="Y4279" t="str">
        <f>VLOOKUP(C4279,'[1]DBS_KPY Sorumlular'!A:C,2,FALSE)</f>
        <v>Mehmet Ali YAVUZ</v>
      </c>
      <c r="Z4279" t="str">
        <f>VLOOKUP(C4279,'[1]DBS_KPY Sorumlular'!A:C,3,FALSE)</f>
        <v>Tayfun VİÇE</v>
      </c>
      <c r="AA4279" t="str">
        <f>VLOOKUP(K4279,[1]!Tablo3[#Data],2,FALSE)</f>
        <v>Tayfun VİÇE</v>
      </c>
    </row>
    <row r="4280" spans="1:27" x14ac:dyDescent="0.25">
      <c r="A4280">
        <v>5680</v>
      </c>
      <c r="B4280" t="s">
        <v>27</v>
      </c>
      <c r="C4280" t="s">
        <v>6091</v>
      </c>
      <c r="D4280" t="s">
        <v>6092</v>
      </c>
      <c r="F4280" t="s">
        <v>3587</v>
      </c>
      <c r="G4280" t="s">
        <v>43</v>
      </c>
      <c r="H4280" t="s">
        <v>11501</v>
      </c>
      <c r="I4280" s="4">
        <v>45431.875</v>
      </c>
      <c r="K4280" t="s">
        <v>1221</v>
      </c>
      <c r="L4280" s="5"/>
      <c r="M4280" s="5"/>
      <c r="N4280" t="s">
        <v>82</v>
      </c>
      <c r="O4280" t="s">
        <v>11502</v>
      </c>
      <c r="R4280">
        <v>1</v>
      </c>
      <c r="T4280" s="5" t="s">
        <v>38</v>
      </c>
      <c r="W4280">
        <v>108</v>
      </c>
      <c r="X4280" t="s">
        <v>107</v>
      </c>
      <c r="Y4280" t="str">
        <f>VLOOKUP(C4280,'[1]DBS_KPY Sorumlular'!A:C,2,FALSE)</f>
        <v>Mehmet Ali YAVUZ</v>
      </c>
      <c r="Z4280" t="str">
        <f>VLOOKUP(C4280,'[1]DBS_KPY Sorumlular'!A:C,3,FALSE)</f>
        <v>Tayfun VİÇE</v>
      </c>
      <c r="AA4280" t="str">
        <f>VLOOKUP(K4280,[1]!Tablo3[#Data],2,FALSE)</f>
        <v>Tayfun VİÇE</v>
      </c>
    </row>
    <row r="4281" spans="1:27" x14ac:dyDescent="0.25">
      <c r="A4281">
        <v>5681</v>
      </c>
      <c r="B4281" t="s">
        <v>27</v>
      </c>
      <c r="C4281" t="s">
        <v>6091</v>
      </c>
      <c r="D4281" t="s">
        <v>6092</v>
      </c>
      <c r="F4281" t="s">
        <v>3587</v>
      </c>
      <c r="G4281" t="s">
        <v>43</v>
      </c>
      <c r="H4281" t="s">
        <v>11503</v>
      </c>
      <c r="I4281" s="4">
        <v>44451.875</v>
      </c>
      <c r="K4281" t="s">
        <v>1221</v>
      </c>
      <c r="L4281" s="5"/>
      <c r="M4281" s="5"/>
      <c r="N4281" t="s">
        <v>82</v>
      </c>
      <c r="O4281" t="s">
        <v>11504</v>
      </c>
      <c r="R4281">
        <v>1</v>
      </c>
      <c r="T4281" s="5" t="s">
        <v>38</v>
      </c>
      <c r="W4281">
        <v>108</v>
      </c>
      <c r="X4281" t="s">
        <v>107</v>
      </c>
      <c r="Y4281" t="str">
        <f>VLOOKUP(C4281,'[1]DBS_KPY Sorumlular'!A:C,2,FALSE)</f>
        <v>Mehmet Ali YAVUZ</v>
      </c>
      <c r="Z4281" t="str">
        <f>VLOOKUP(C4281,'[1]DBS_KPY Sorumlular'!A:C,3,FALSE)</f>
        <v>Tayfun VİÇE</v>
      </c>
      <c r="AA4281" t="str">
        <f>VLOOKUP(K4281,[1]!Tablo3[#Data],2,FALSE)</f>
        <v>Tayfun VİÇE</v>
      </c>
    </row>
    <row r="4282" spans="1:27" x14ac:dyDescent="0.25">
      <c r="A4282">
        <v>5682</v>
      </c>
      <c r="B4282" t="s">
        <v>27</v>
      </c>
      <c r="C4282" t="s">
        <v>6091</v>
      </c>
      <c r="D4282" t="s">
        <v>6092</v>
      </c>
      <c r="F4282" t="s">
        <v>3587</v>
      </c>
      <c r="G4282" t="s">
        <v>43</v>
      </c>
      <c r="H4282" t="s">
        <v>11505</v>
      </c>
      <c r="I4282" s="4">
        <v>45648.875</v>
      </c>
      <c r="K4282" t="s">
        <v>1221</v>
      </c>
      <c r="L4282" s="5"/>
      <c r="M4282" s="5"/>
      <c r="N4282" t="s">
        <v>82</v>
      </c>
      <c r="O4282" t="s">
        <v>11506</v>
      </c>
      <c r="R4282">
        <v>1</v>
      </c>
      <c r="T4282" s="5" t="s">
        <v>38</v>
      </c>
      <c r="W4282">
        <v>108</v>
      </c>
      <c r="X4282" t="s">
        <v>107</v>
      </c>
      <c r="Y4282" t="str">
        <f>VLOOKUP(C4282,'[1]DBS_KPY Sorumlular'!A:C,2,FALSE)</f>
        <v>Mehmet Ali YAVUZ</v>
      </c>
      <c r="Z4282" t="str">
        <f>VLOOKUP(C4282,'[1]DBS_KPY Sorumlular'!A:C,3,FALSE)</f>
        <v>Tayfun VİÇE</v>
      </c>
      <c r="AA4282" t="str">
        <f>VLOOKUP(K4282,[1]!Tablo3[#Data],2,FALSE)</f>
        <v>Tayfun VİÇE</v>
      </c>
    </row>
    <row r="4283" spans="1:27" x14ac:dyDescent="0.25">
      <c r="A4283">
        <v>5683</v>
      </c>
      <c r="B4283" t="s">
        <v>27</v>
      </c>
      <c r="C4283" t="s">
        <v>6091</v>
      </c>
      <c r="D4283" t="s">
        <v>6092</v>
      </c>
      <c r="F4283" t="s">
        <v>3587</v>
      </c>
      <c r="G4283" t="s">
        <v>43</v>
      </c>
      <c r="H4283" t="s">
        <v>11507</v>
      </c>
      <c r="I4283" s="4"/>
      <c r="K4283" t="s">
        <v>926</v>
      </c>
      <c r="L4283" s="5"/>
      <c r="M4283" s="5"/>
      <c r="N4283" t="s">
        <v>82</v>
      </c>
      <c r="O4283" t="s">
        <v>11508</v>
      </c>
      <c r="R4283">
        <v>1</v>
      </c>
      <c r="T4283" s="5" t="s">
        <v>38</v>
      </c>
      <c r="W4283">
        <v>108</v>
      </c>
      <c r="X4283" t="s">
        <v>107</v>
      </c>
      <c r="Y4283" t="str">
        <f>VLOOKUP(C4283,'[1]DBS_KPY Sorumlular'!A:C,2,FALSE)</f>
        <v>Mehmet Ali YAVUZ</v>
      </c>
      <c r="Z4283" t="str">
        <f>VLOOKUP(C4283,'[1]DBS_KPY Sorumlular'!A:C,3,FALSE)</f>
        <v>Tayfun VİÇE</v>
      </c>
      <c r="AA4283" t="str">
        <f>VLOOKUP(K4283,[1]!Tablo3[#Data],2,FALSE)</f>
        <v>Kadir TOPÇU</v>
      </c>
    </row>
    <row r="4284" spans="1:27" x14ac:dyDescent="0.25">
      <c r="A4284">
        <v>5684</v>
      </c>
      <c r="B4284" t="s">
        <v>27</v>
      </c>
      <c r="C4284" t="s">
        <v>6091</v>
      </c>
      <c r="D4284" t="s">
        <v>6092</v>
      </c>
      <c r="F4284" t="s">
        <v>3587</v>
      </c>
      <c r="G4284" t="s">
        <v>43</v>
      </c>
      <c r="H4284" t="s">
        <v>11509</v>
      </c>
      <c r="I4284" s="4">
        <v>45398.875</v>
      </c>
      <c r="K4284" t="s">
        <v>926</v>
      </c>
      <c r="L4284" s="5"/>
      <c r="M4284" s="5"/>
      <c r="N4284" t="s">
        <v>82</v>
      </c>
      <c r="O4284" t="s">
        <v>11510</v>
      </c>
      <c r="R4284">
        <v>1</v>
      </c>
      <c r="T4284" s="5" t="s">
        <v>38</v>
      </c>
      <c r="W4284">
        <v>108</v>
      </c>
      <c r="X4284" t="s">
        <v>107</v>
      </c>
      <c r="Y4284" t="str">
        <f>VLOOKUP(C4284,'[1]DBS_KPY Sorumlular'!A:C,2,FALSE)</f>
        <v>Mehmet Ali YAVUZ</v>
      </c>
      <c r="Z4284" t="str">
        <f>VLOOKUP(C4284,'[1]DBS_KPY Sorumlular'!A:C,3,FALSE)</f>
        <v>Tayfun VİÇE</v>
      </c>
      <c r="AA4284" t="str">
        <f>VLOOKUP(K4284,[1]!Tablo3[#Data],2,FALSE)</f>
        <v>Kadir TOPÇU</v>
      </c>
    </row>
    <row r="4285" spans="1:27" x14ac:dyDescent="0.25">
      <c r="A4285">
        <v>5685</v>
      </c>
      <c r="B4285" t="s">
        <v>27</v>
      </c>
      <c r="C4285" t="s">
        <v>6091</v>
      </c>
      <c r="D4285" t="s">
        <v>6092</v>
      </c>
      <c r="F4285" t="s">
        <v>3587</v>
      </c>
      <c r="G4285" t="s">
        <v>43</v>
      </c>
      <c r="H4285" t="s">
        <v>11511</v>
      </c>
      <c r="I4285" s="4">
        <v>45543.875</v>
      </c>
      <c r="K4285" t="s">
        <v>1334</v>
      </c>
      <c r="L4285" s="5"/>
      <c r="M4285" s="5"/>
      <c r="N4285" t="s">
        <v>82</v>
      </c>
      <c r="O4285" t="s">
        <v>11512</v>
      </c>
      <c r="R4285">
        <v>1</v>
      </c>
      <c r="T4285" s="5" t="s">
        <v>38</v>
      </c>
      <c r="W4285">
        <v>108</v>
      </c>
      <c r="X4285" t="s">
        <v>107</v>
      </c>
      <c r="Y4285" t="str">
        <f>VLOOKUP(C4285,'[1]DBS_KPY Sorumlular'!A:C,2,FALSE)</f>
        <v>Mehmet Ali YAVUZ</v>
      </c>
      <c r="Z4285" t="str">
        <f>VLOOKUP(C4285,'[1]DBS_KPY Sorumlular'!A:C,3,FALSE)</f>
        <v>Tayfun VİÇE</v>
      </c>
      <c r="AA4285" t="str">
        <f>VLOOKUP(K4285,[1]!Tablo3[#Data],2,FALSE)</f>
        <v>Erkan AKDOĞAN</v>
      </c>
    </row>
    <row r="4286" spans="1:27" x14ac:dyDescent="0.25">
      <c r="A4286">
        <v>5686</v>
      </c>
      <c r="B4286" t="s">
        <v>27</v>
      </c>
      <c r="C4286" t="s">
        <v>6091</v>
      </c>
      <c r="D4286" t="s">
        <v>6092</v>
      </c>
      <c r="F4286" t="s">
        <v>3587</v>
      </c>
      <c r="G4286" t="s">
        <v>43</v>
      </c>
      <c r="H4286" t="s">
        <v>11513</v>
      </c>
      <c r="I4286" s="4">
        <v>44094.875</v>
      </c>
      <c r="K4286" t="s">
        <v>1348</v>
      </c>
      <c r="L4286" s="5"/>
      <c r="M4286" s="5"/>
      <c r="N4286" t="s">
        <v>82</v>
      </c>
      <c r="O4286" t="s">
        <v>11514</v>
      </c>
      <c r="R4286">
        <v>1</v>
      </c>
      <c r="T4286" s="5" t="s">
        <v>38</v>
      </c>
      <c r="W4286">
        <v>108</v>
      </c>
      <c r="X4286" t="s">
        <v>107</v>
      </c>
      <c r="Y4286" t="str">
        <f>VLOOKUP(C4286,'[1]DBS_KPY Sorumlular'!A:C,2,FALSE)</f>
        <v>Mehmet Ali YAVUZ</v>
      </c>
      <c r="Z4286" t="str">
        <f>VLOOKUP(C4286,'[1]DBS_KPY Sorumlular'!A:C,3,FALSE)</f>
        <v>Tayfun VİÇE</v>
      </c>
      <c r="AA4286" t="str">
        <f>VLOOKUP(K4286,[1]!Tablo3[#Data],2,FALSE)</f>
        <v>Tayfun VİÇE</v>
      </c>
    </row>
    <row r="4287" spans="1:27" x14ac:dyDescent="0.25">
      <c r="A4287">
        <v>5687</v>
      </c>
      <c r="B4287" t="s">
        <v>27</v>
      </c>
      <c r="C4287" t="s">
        <v>6091</v>
      </c>
      <c r="D4287" t="s">
        <v>6092</v>
      </c>
      <c r="F4287" t="s">
        <v>3587</v>
      </c>
      <c r="G4287" t="s">
        <v>43</v>
      </c>
      <c r="H4287" t="s">
        <v>11515</v>
      </c>
      <c r="I4287" s="4">
        <v>45543.875</v>
      </c>
      <c r="K4287" t="s">
        <v>1360</v>
      </c>
      <c r="L4287" s="5"/>
      <c r="M4287" s="5"/>
      <c r="N4287" t="s">
        <v>82</v>
      </c>
      <c r="O4287" t="s">
        <v>11516</v>
      </c>
      <c r="R4287">
        <v>1</v>
      </c>
      <c r="T4287" s="5" t="s">
        <v>38</v>
      </c>
      <c r="W4287">
        <v>108</v>
      </c>
      <c r="X4287" t="s">
        <v>107</v>
      </c>
      <c r="Y4287" t="str">
        <f>VLOOKUP(C4287,'[1]DBS_KPY Sorumlular'!A:C,2,FALSE)</f>
        <v>Mehmet Ali YAVUZ</v>
      </c>
      <c r="Z4287" t="str">
        <f>VLOOKUP(C4287,'[1]DBS_KPY Sorumlular'!A:C,3,FALSE)</f>
        <v>Tayfun VİÇE</v>
      </c>
      <c r="AA4287" t="str">
        <f>VLOOKUP(K4287,[1]!Tablo3[#Data],2,FALSE)</f>
        <v>Kadir TOPÇU</v>
      </c>
    </row>
    <row r="4288" spans="1:27" x14ac:dyDescent="0.25">
      <c r="A4288">
        <v>5688</v>
      </c>
      <c r="B4288" t="s">
        <v>27</v>
      </c>
      <c r="C4288" t="s">
        <v>6091</v>
      </c>
      <c r="D4288" t="s">
        <v>6092</v>
      </c>
      <c r="F4288" t="s">
        <v>3587</v>
      </c>
      <c r="G4288" t="s">
        <v>43</v>
      </c>
      <c r="H4288" t="s">
        <v>11517</v>
      </c>
      <c r="I4288" s="4">
        <v>45543.875</v>
      </c>
      <c r="K4288" t="s">
        <v>1360</v>
      </c>
      <c r="L4288" s="5"/>
      <c r="M4288" s="5"/>
      <c r="N4288" t="s">
        <v>82</v>
      </c>
      <c r="O4288" t="s">
        <v>11518</v>
      </c>
      <c r="R4288">
        <v>1</v>
      </c>
      <c r="T4288" s="5" t="s">
        <v>38</v>
      </c>
      <c r="W4288">
        <v>108</v>
      </c>
      <c r="X4288" t="s">
        <v>107</v>
      </c>
      <c r="Y4288" t="str">
        <f>VLOOKUP(C4288,'[1]DBS_KPY Sorumlular'!A:C,2,FALSE)</f>
        <v>Mehmet Ali YAVUZ</v>
      </c>
      <c r="Z4288" t="str">
        <f>VLOOKUP(C4288,'[1]DBS_KPY Sorumlular'!A:C,3,FALSE)</f>
        <v>Tayfun VİÇE</v>
      </c>
      <c r="AA4288" t="str">
        <f>VLOOKUP(K4288,[1]!Tablo3[#Data],2,FALSE)</f>
        <v>Kadir TOPÇU</v>
      </c>
    </row>
    <row r="4289" spans="1:27" x14ac:dyDescent="0.25">
      <c r="A4289">
        <v>5689</v>
      </c>
      <c r="B4289" t="s">
        <v>27</v>
      </c>
      <c r="C4289" t="s">
        <v>6091</v>
      </c>
      <c r="D4289" t="s">
        <v>6092</v>
      </c>
      <c r="F4289" t="s">
        <v>3587</v>
      </c>
      <c r="G4289" t="s">
        <v>43</v>
      </c>
      <c r="H4289" t="s">
        <v>11519</v>
      </c>
      <c r="I4289" s="4">
        <v>45186.875</v>
      </c>
      <c r="K4289" t="s">
        <v>1471</v>
      </c>
      <c r="L4289" s="5"/>
      <c r="M4289" s="5"/>
      <c r="N4289" t="s">
        <v>82</v>
      </c>
      <c r="O4289" t="s">
        <v>6189</v>
      </c>
      <c r="R4289">
        <v>1</v>
      </c>
      <c r="T4289" s="5" t="s">
        <v>38</v>
      </c>
      <c r="W4289">
        <v>108</v>
      </c>
      <c r="X4289" t="s">
        <v>107</v>
      </c>
      <c r="Y4289" t="str">
        <f>VLOOKUP(C4289,'[1]DBS_KPY Sorumlular'!A:C,2,FALSE)</f>
        <v>Mehmet Ali YAVUZ</v>
      </c>
      <c r="Z4289" t="str">
        <f>VLOOKUP(C4289,'[1]DBS_KPY Sorumlular'!A:C,3,FALSE)</f>
        <v>Tayfun VİÇE</v>
      </c>
      <c r="AA4289" t="str">
        <f>VLOOKUP(K4289,[1]!Tablo3[#Data],2,FALSE)</f>
        <v>Tayfun VİÇE</v>
      </c>
    </row>
    <row r="4290" spans="1:27" x14ac:dyDescent="0.25">
      <c r="A4290">
        <v>5690</v>
      </c>
      <c r="B4290" t="s">
        <v>27</v>
      </c>
      <c r="C4290" t="s">
        <v>6091</v>
      </c>
      <c r="D4290" t="s">
        <v>6092</v>
      </c>
      <c r="F4290" t="s">
        <v>3587</v>
      </c>
      <c r="G4290" t="s">
        <v>43</v>
      </c>
      <c r="H4290" t="s">
        <v>11520</v>
      </c>
      <c r="I4290" s="4">
        <v>44667.875</v>
      </c>
      <c r="K4290" t="s">
        <v>1471</v>
      </c>
      <c r="L4290" s="5"/>
      <c r="M4290" s="5"/>
      <c r="N4290" t="s">
        <v>82</v>
      </c>
      <c r="O4290" t="s">
        <v>11521</v>
      </c>
      <c r="R4290">
        <v>1</v>
      </c>
      <c r="T4290" s="5" t="s">
        <v>38</v>
      </c>
      <c r="W4290">
        <v>108</v>
      </c>
      <c r="X4290" t="s">
        <v>107</v>
      </c>
      <c r="Y4290" t="str">
        <f>VLOOKUP(C4290,'[1]DBS_KPY Sorumlular'!A:C,2,FALSE)</f>
        <v>Mehmet Ali YAVUZ</v>
      </c>
      <c r="Z4290" t="str">
        <f>VLOOKUP(C4290,'[1]DBS_KPY Sorumlular'!A:C,3,FALSE)</f>
        <v>Tayfun VİÇE</v>
      </c>
      <c r="AA4290" t="str">
        <f>VLOOKUP(K4290,[1]!Tablo3[#Data],2,FALSE)</f>
        <v>Tayfun VİÇE</v>
      </c>
    </row>
    <row r="4291" spans="1:27" x14ac:dyDescent="0.25">
      <c r="A4291">
        <v>5691</v>
      </c>
      <c r="B4291" t="s">
        <v>27</v>
      </c>
      <c r="C4291" t="s">
        <v>6091</v>
      </c>
      <c r="D4291" t="s">
        <v>6092</v>
      </c>
      <c r="F4291" t="s">
        <v>3587</v>
      </c>
      <c r="G4291" t="s">
        <v>43</v>
      </c>
      <c r="H4291" t="s">
        <v>11522</v>
      </c>
      <c r="I4291" s="4">
        <v>45543.875</v>
      </c>
      <c r="K4291" t="s">
        <v>143</v>
      </c>
      <c r="L4291" s="5"/>
      <c r="M4291" s="5"/>
      <c r="N4291" t="s">
        <v>82</v>
      </c>
      <c r="O4291" t="s">
        <v>11523</v>
      </c>
      <c r="R4291">
        <v>1</v>
      </c>
      <c r="T4291" s="5" t="s">
        <v>38</v>
      </c>
      <c r="W4291">
        <v>108</v>
      </c>
      <c r="X4291" t="s">
        <v>107</v>
      </c>
      <c r="Y4291" t="str">
        <f>VLOOKUP(C4291,'[1]DBS_KPY Sorumlular'!A:C,2,FALSE)</f>
        <v>Mehmet Ali YAVUZ</v>
      </c>
      <c r="Z4291" t="str">
        <f>VLOOKUP(C4291,'[1]DBS_KPY Sorumlular'!A:C,3,FALSE)</f>
        <v>Tayfun VİÇE</v>
      </c>
      <c r="AA4291" t="str">
        <f>VLOOKUP(K4291,[1]!Tablo3[#Data],2,FALSE)</f>
        <v>Tayfun VİÇE</v>
      </c>
    </row>
    <row r="4292" spans="1:27" x14ac:dyDescent="0.25">
      <c r="A4292">
        <v>5692</v>
      </c>
      <c r="B4292" t="s">
        <v>27</v>
      </c>
      <c r="C4292" t="s">
        <v>6091</v>
      </c>
      <c r="D4292" t="s">
        <v>6092</v>
      </c>
      <c r="F4292" t="s">
        <v>3587</v>
      </c>
      <c r="G4292" t="s">
        <v>43</v>
      </c>
      <c r="H4292" t="s">
        <v>11524</v>
      </c>
      <c r="I4292" s="4">
        <v>44857.875</v>
      </c>
      <c r="K4292" t="s">
        <v>143</v>
      </c>
      <c r="L4292" s="5"/>
      <c r="M4292" s="5"/>
      <c r="N4292" t="s">
        <v>82</v>
      </c>
      <c r="O4292" t="s">
        <v>11525</v>
      </c>
      <c r="R4292">
        <v>1</v>
      </c>
      <c r="T4292" s="5" t="s">
        <v>38</v>
      </c>
      <c r="W4292">
        <v>108</v>
      </c>
      <c r="X4292" t="s">
        <v>107</v>
      </c>
      <c r="Y4292" t="str">
        <f>VLOOKUP(C4292,'[1]DBS_KPY Sorumlular'!A:C,2,FALSE)</f>
        <v>Mehmet Ali YAVUZ</v>
      </c>
      <c r="Z4292" t="str">
        <f>VLOOKUP(C4292,'[1]DBS_KPY Sorumlular'!A:C,3,FALSE)</f>
        <v>Tayfun VİÇE</v>
      </c>
      <c r="AA4292" t="str">
        <f>VLOOKUP(K4292,[1]!Tablo3[#Data],2,FALSE)</f>
        <v>Tayfun VİÇE</v>
      </c>
    </row>
    <row r="4293" spans="1:27" x14ac:dyDescent="0.25">
      <c r="A4293">
        <v>5693</v>
      </c>
      <c r="B4293" t="s">
        <v>27</v>
      </c>
      <c r="C4293" t="s">
        <v>6091</v>
      </c>
      <c r="D4293" t="s">
        <v>6092</v>
      </c>
      <c r="F4293" t="s">
        <v>3587</v>
      </c>
      <c r="G4293" t="s">
        <v>43</v>
      </c>
      <c r="H4293" t="s">
        <v>11526</v>
      </c>
      <c r="I4293" s="4">
        <v>45398.875</v>
      </c>
      <c r="K4293" t="s">
        <v>1528</v>
      </c>
      <c r="L4293" s="5"/>
      <c r="M4293" s="5"/>
      <c r="N4293" t="s">
        <v>82</v>
      </c>
      <c r="O4293" t="s">
        <v>11527</v>
      </c>
      <c r="R4293">
        <v>1</v>
      </c>
      <c r="T4293" s="5" t="s">
        <v>38</v>
      </c>
      <c r="W4293">
        <v>108</v>
      </c>
      <c r="X4293" t="s">
        <v>107</v>
      </c>
      <c r="Y4293" t="str">
        <f>VLOOKUP(C4293,'[1]DBS_KPY Sorumlular'!A:C,2,FALSE)</f>
        <v>Mehmet Ali YAVUZ</v>
      </c>
      <c r="Z4293" t="str">
        <f>VLOOKUP(C4293,'[1]DBS_KPY Sorumlular'!A:C,3,FALSE)</f>
        <v>Tayfun VİÇE</v>
      </c>
      <c r="AA4293" t="str">
        <f>VLOOKUP(K4293,[1]!Tablo3[#Data],2,FALSE)</f>
        <v>Tayfun VİÇE</v>
      </c>
    </row>
    <row r="4294" spans="1:27" x14ac:dyDescent="0.25">
      <c r="A4294">
        <v>5694</v>
      </c>
      <c r="B4294" t="s">
        <v>27</v>
      </c>
      <c r="C4294" t="s">
        <v>40</v>
      </c>
      <c r="D4294" t="s">
        <v>41</v>
      </c>
      <c r="F4294" t="s">
        <v>52</v>
      </c>
      <c r="G4294" t="s">
        <v>43</v>
      </c>
      <c r="H4294" t="s">
        <v>11528</v>
      </c>
      <c r="I4294" s="4">
        <v>45645.875</v>
      </c>
      <c r="K4294" t="s">
        <v>435</v>
      </c>
      <c r="L4294" s="5"/>
      <c r="M4294" s="5"/>
      <c r="N4294" t="s">
        <v>82</v>
      </c>
      <c r="O4294" t="s">
        <v>11529</v>
      </c>
      <c r="R4294">
        <v>1</v>
      </c>
      <c r="T4294" s="5" t="s">
        <v>58</v>
      </c>
      <c r="U4294" t="s">
        <v>437</v>
      </c>
      <c r="V4294" t="s">
        <v>438</v>
      </c>
      <c r="W4294">
        <v>131</v>
      </c>
      <c r="X4294" t="s">
        <v>61</v>
      </c>
      <c r="Y4294" t="str">
        <f>VLOOKUP(C4294,'[1]DBS_KPY Sorumlular'!A:C,2,FALSE)</f>
        <v>Mustafa AYDIN</v>
      </c>
      <c r="Z4294" t="str">
        <f>VLOOKUP(C4294,'[1]DBS_KPY Sorumlular'!A:C,3,FALSE)</f>
        <v>Esra DOLAN</v>
      </c>
      <c r="AA4294" t="str">
        <f>VLOOKUP(K4294,[1]!Tablo3[#Data],2,FALSE)</f>
        <v>Tayfun VİÇE</v>
      </c>
    </row>
    <row r="4295" spans="1:27" x14ac:dyDescent="0.25">
      <c r="A4295">
        <v>5695</v>
      </c>
      <c r="B4295" t="s">
        <v>27</v>
      </c>
      <c r="C4295" t="s">
        <v>40</v>
      </c>
      <c r="D4295" t="s">
        <v>41</v>
      </c>
      <c r="F4295" t="s">
        <v>52</v>
      </c>
      <c r="G4295" t="s">
        <v>43</v>
      </c>
      <c r="H4295" t="s">
        <v>11530</v>
      </c>
      <c r="I4295" s="4">
        <v>45625.875</v>
      </c>
      <c r="K4295" t="s">
        <v>435</v>
      </c>
      <c r="L4295" s="5"/>
      <c r="M4295" s="5"/>
      <c r="N4295" t="s">
        <v>82</v>
      </c>
      <c r="O4295" t="s">
        <v>11531</v>
      </c>
      <c r="R4295">
        <v>1</v>
      </c>
      <c r="T4295" s="5" t="s">
        <v>58</v>
      </c>
      <c r="U4295" t="s">
        <v>437</v>
      </c>
      <c r="V4295" t="s">
        <v>438</v>
      </c>
      <c r="W4295">
        <v>131</v>
      </c>
      <c r="X4295" t="s">
        <v>61</v>
      </c>
      <c r="Y4295" t="str">
        <f>VLOOKUP(C4295,'[1]DBS_KPY Sorumlular'!A:C,2,FALSE)</f>
        <v>Mustafa AYDIN</v>
      </c>
      <c r="Z4295" t="str">
        <f>VLOOKUP(C4295,'[1]DBS_KPY Sorumlular'!A:C,3,FALSE)</f>
        <v>Esra DOLAN</v>
      </c>
      <c r="AA4295" t="str">
        <f>VLOOKUP(K4295,[1]!Tablo3[#Data],2,FALSE)</f>
        <v>Tayfun VİÇE</v>
      </c>
    </row>
    <row r="4296" spans="1:27" x14ac:dyDescent="0.25">
      <c r="A4296">
        <v>5696</v>
      </c>
      <c r="B4296" t="s">
        <v>27</v>
      </c>
      <c r="C4296" t="s">
        <v>40</v>
      </c>
      <c r="D4296" t="s">
        <v>41</v>
      </c>
      <c r="F4296" t="s">
        <v>52</v>
      </c>
      <c r="G4296" t="s">
        <v>43</v>
      </c>
      <c r="H4296" t="s">
        <v>11532</v>
      </c>
      <c r="I4296" s="4">
        <v>45627.875</v>
      </c>
      <c r="K4296" t="s">
        <v>435</v>
      </c>
      <c r="L4296" s="5"/>
      <c r="M4296" s="5"/>
      <c r="N4296" t="s">
        <v>82</v>
      </c>
      <c r="O4296" t="s">
        <v>11533</v>
      </c>
      <c r="R4296">
        <v>1</v>
      </c>
      <c r="T4296" s="5" t="s">
        <v>58</v>
      </c>
      <c r="U4296" t="s">
        <v>437</v>
      </c>
      <c r="V4296" t="s">
        <v>438</v>
      </c>
      <c r="W4296">
        <v>131</v>
      </c>
      <c r="X4296" t="s">
        <v>61</v>
      </c>
      <c r="Y4296" t="str">
        <f>VLOOKUP(C4296,'[1]DBS_KPY Sorumlular'!A:C,2,FALSE)</f>
        <v>Mustafa AYDIN</v>
      </c>
      <c r="Z4296" t="str">
        <f>VLOOKUP(C4296,'[1]DBS_KPY Sorumlular'!A:C,3,FALSE)</f>
        <v>Esra DOLAN</v>
      </c>
      <c r="AA4296" t="str">
        <f>VLOOKUP(K4296,[1]!Tablo3[#Data],2,FALSE)</f>
        <v>Tayfun VİÇE</v>
      </c>
    </row>
    <row r="4297" spans="1:27" x14ac:dyDescent="0.25">
      <c r="A4297">
        <v>5697</v>
      </c>
      <c r="B4297" t="s">
        <v>27</v>
      </c>
      <c r="C4297" t="s">
        <v>288</v>
      </c>
      <c r="D4297" t="s">
        <v>6357</v>
      </c>
      <c r="F4297" t="s">
        <v>290</v>
      </c>
      <c r="G4297" t="s">
        <v>43</v>
      </c>
      <c r="H4297" t="s">
        <v>11534</v>
      </c>
      <c r="I4297" s="4">
        <v>45297.875</v>
      </c>
      <c r="J4297" t="s">
        <v>11535</v>
      </c>
      <c r="K4297" t="s">
        <v>1334</v>
      </c>
      <c r="L4297" s="5"/>
      <c r="M4297" s="5"/>
      <c r="N4297" t="s">
        <v>82</v>
      </c>
      <c r="O4297" t="s">
        <v>11536</v>
      </c>
      <c r="R4297">
        <v>1</v>
      </c>
      <c r="S4297" t="s">
        <v>57</v>
      </c>
      <c r="T4297" s="5" t="s">
        <v>38</v>
      </c>
      <c r="W4297">
        <v>267</v>
      </c>
      <c r="X4297" t="s">
        <v>6211</v>
      </c>
      <c r="Y4297" t="str">
        <f>VLOOKUP(C4297,'[1]DBS_KPY Sorumlular'!A:C,2,FALSE)</f>
        <v>Sinan ERDAŞ</v>
      </c>
      <c r="Z4297" t="str">
        <f>VLOOKUP(C4297,'[1]DBS_KPY Sorumlular'!A:C,3,FALSE)</f>
        <v>Ayşegül AKGÜL</v>
      </c>
      <c r="AA4297" t="str">
        <f>VLOOKUP(K4297,[1]!Tablo3[#Data],2,FALSE)</f>
        <v>Erkan AKDOĞAN</v>
      </c>
    </row>
    <row r="4298" spans="1:27" x14ac:dyDescent="0.25">
      <c r="A4298">
        <v>5698</v>
      </c>
      <c r="B4298" t="s">
        <v>27</v>
      </c>
      <c r="C4298" t="s">
        <v>1723</v>
      </c>
      <c r="D4298" t="s">
        <v>2823</v>
      </c>
      <c r="G4298" t="s">
        <v>43</v>
      </c>
      <c r="H4298" t="s">
        <v>11537</v>
      </c>
      <c r="I4298" s="4">
        <v>45301.875</v>
      </c>
      <c r="J4298" t="s">
        <v>11538</v>
      </c>
      <c r="K4298" t="s">
        <v>325</v>
      </c>
      <c r="L4298" s="5" t="s">
        <v>11538</v>
      </c>
      <c r="M4298" s="5"/>
      <c r="N4298" t="s">
        <v>82</v>
      </c>
      <c r="O4298" t="s">
        <v>11539</v>
      </c>
      <c r="R4298">
        <v>1</v>
      </c>
      <c r="S4298" t="s">
        <v>57</v>
      </c>
      <c r="T4298" s="5" t="s">
        <v>38</v>
      </c>
      <c r="W4298">
        <v>114</v>
      </c>
      <c r="X4298" t="s">
        <v>136</v>
      </c>
      <c r="Y4298" t="str">
        <f>VLOOKUP(C4298,'[1]DBS_KPY Sorumlular'!A:C,2,FALSE)</f>
        <v>Erkan AKDOĞAN</v>
      </c>
      <c r="Z4298" t="str">
        <f>VLOOKUP(C4298,'[1]DBS_KPY Sorumlular'!A:C,3,FALSE)</f>
        <v>Kadir TOPÇU</v>
      </c>
      <c r="AA4298" t="str">
        <f>VLOOKUP(K4298,[1]!Tablo3[#Data],2,FALSE)</f>
        <v>Kadir TOPÇU</v>
      </c>
    </row>
    <row r="4299" spans="1:27" x14ac:dyDescent="0.25">
      <c r="A4299">
        <v>5699</v>
      </c>
      <c r="B4299" t="s">
        <v>27</v>
      </c>
      <c r="C4299" t="s">
        <v>73</v>
      </c>
      <c r="D4299" t="s">
        <v>73</v>
      </c>
      <c r="F4299" t="s">
        <v>108</v>
      </c>
      <c r="G4299" t="s">
        <v>30</v>
      </c>
      <c r="H4299" t="s">
        <v>11540</v>
      </c>
      <c r="I4299" s="4">
        <v>45305.875</v>
      </c>
      <c r="J4299" t="s">
        <v>11541</v>
      </c>
      <c r="K4299" t="s">
        <v>1528</v>
      </c>
      <c r="L4299" s="5"/>
      <c r="M4299" s="5"/>
      <c r="N4299" t="s">
        <v>82</v>
      </c>
      <c r="O4299" t="s">
        <v>11542</v>
      </c>
      <c r="R4299">
        <v>1</v>
      </c>
      <c r="S4299" t="s">
        <v>37</v>
      </c>
      <c r="T4299" s="5" t="s">
        <v>38</v>
      </c>
      <c r="W4299">
        <v>33</v>
      </c>
      <c r="X4299" t="s">
        <v>276</v>
      </c>
      <c r="Y4299" t="str">
        <f>VLOOKUP(C4299,'[1]DBS_KPY Sorumlular'!A:C,2,FALSE)</f>
        <v>Ayşegül AKGÜL</v>
      </c>
      <c r="Z4299" t="str">
        <f>VLOOKUP(C4299,'[1]DBS_KPY Sorumlular'!A:C,3,FALSE)</f>
        <v>Sinan ERDAŞ</v>
      </c>
      <c r="AA4299" t="str">
        <f>VLOOKUP(K4299,[1]!Tablo3[#Data],2,FALSE)</f>
        <v>Tayfun VİÇE</v>
      </c>
    </row>
    <row r="4300" spans="1:27" x14ac:dyDescent="0.25">
      <c r="A4300">
        <v>5700</v>
      </c>
      <c r="B4300" t="s">
        <v>27</v>
      </c>
      <c r="C4300" t="s">
        <v>288</v>
      </c>
      <c r="D4300" t="s">
        <v>6418</v>
      </c>
      <c r="F4300" t="s">
        <v>42</v>
      </c>
      <c r="G4300" t="s">
        <v>43</v>
      </c>
      <c r="H4300" t="s">
        <v>11543</v>
      </c>
      <c r="I4300" s="4">
        <v>45308.875</v>
      </c>
      <c r="K4300" t="s">
        <v>636</v>
      </c>
      <c r="L4300" s="5"/>
      <c r="M4300" s="5"/>
      <c r="N4300" t="s">
        <v>82</v>
      </c>
      <c r="O4300" t="s">
        <v>11544</v>
      </c>
      <c r="R4300">
        <v>1</v>
      </c>
      <c r="S4300" t="s">
        <v>57</v>
      </c>
      <c r="T4300" s="5" t="s">
        <v>38</v>
      </c>
      <c r="W4300">
        <v>68</v>
      </c>
      <c r="X4300" t="s">
        <v>51</v>
      </c>
      <c r="Y4300" t="str">
        <f>VLOOKUP(C4300,'[1]DBS_KPY Sorumlular'!A:C,2,FALSE)</f>
        <v>Sinan ERDAŞ</v>
      </c>
      <c r="Z4300" t="str">
        <f>VLOOKUP(C4300,'[1]DBS_KPY Sorumlular'!A:C,3,FALSE)</f>
        <v>Ayşegül AKGÜL</v>
      </c>
      <c r="AA4300" t="str">
        <f>VLOOKUP(K4300,[1]!Tablo3[#Data],2,FALSE)</f>
        <v>Erkan AKDOĞAN</v>
      </c>
    </row>
    <row r="4301" spans="1:27" x14ac:dyDescent="0.25">
      <c r="A4301">
        <v>5701</v>
      </c>
      <c r="B4301" t="s">
        <v>27</v>
      </c>
      <c r="C4301" t="s">
        <v>6091</v>
      </c>
      <c r="D4301" t="s">
        <v>6092</v>
      </c>
      <c r="F4301" t="s">
        <v>42</v>
      </c>
      <c r="G4301" t="s">
        <v>43</v>
      </c>
      <c r="H4301" t="s">
        <v>11545</v>
      </c>
      <c r="I4301" s="4">
        <v>45309.875</v>
      </c>
      <c r="J4301" t="s">
        <v>11546</v>
      </c>
      <c r="K4301" t="s">
        <v>1528</v>
      </c>
      <c r="L4301" s="5"/>
      <c r="M4301" s="5"/>
      <c r="N4301" t="s">
        <v>82</v>
      </c>
      <c r="O4301" t="s">
        <v>11547</v>
      </c>
      <c r="R4301">
        <v>1</v>
      </c>
      <c r="S4301" t="s">
        <v>37</v>
      </c>
      <c r="T4301" s="5" t="s">
        <v>38</v>
      </c>
      <c r="W4301">
        <v>81</v>
      </c>
      <c r="X4301" t="s">
        <v>6658</v>
      </c>
      <c r="Y4301" t="str">
        <f>VLOOKUP(C4301,'[1]DBS_KPY Sorumlular'!A:C,2,FALSE)</f>
        <v>Mehmet Ali YAVUZ</v>
      </c>
      <c r="Z4301" t="str">
        <f>VLOOKUP(C4301,'[1]DBS_KPY Sorumlular'!A:C,3,FALSE)</f>
        <v>Tayfun VİÇE</v>
      </c>
      <c r="AA4301" t="str">
        <f>VLOOKUP(K4301,[1]!Tablo3[#Data],2,FALSE)</f>
        <v>Tayfun VİÇE</v>
      </c>
    </row>
    <row r="4302" spans="1:27" x14ac:dyDescent="0.25">
      <c r="A4302">
        <v>5702</v>
      </c>
      <c r="B4302" t="s">
        <v>27</v>
      </c>
      <c r="C4302" t="s">
        <v>40</v>
      </c>
      <c r="D4302" t="s">
        <v>41</v>
      </c>
      <c r="G4302" t="s">
        <v>43</v>
      </c>
      <c r="H4302" t="s">
        <v>11548</v>
      </c>
      <c r="I4302" s="4">
        <v>45322.875</v>
      </c>
      <c r="K4302" t="s">
        <v>217</v>
      </c>
      <c r="L4302" s="5"/>
      <c r="M4302" s="5"/>
      <c r="N4302" t="s">
        <v>82</v>
      </c>
      <c r="O4302" t="s">
        <v>11549</v>
      </c>
      <c r="R4302">
        <v>1</v>
      </c>
      <c r="S4302" t="s">
        <v>57</v>
      </c>
      <c r="T4302" s="5" t="s">
        <v>100</v>
      </c>
      <c r="W4302">
        <v>80</v>
      </c>
      <c r="X4302" t="s">
        <v>647</v>
      </c>
      <c r="Y4302" t="str">
        <f>VLOOKUP(C4302,'[1]DBS_KPY Sorumlular'!A:C,2,FALSE)</f>
        <v>Mustafa AYDIN</v>
      </c>
      <c r="Z4302" t="str">
        <f>VLOOKUP(C4302,'[1]DBS_KPY Sorumlular'!A:C,3,FALSE)</f>
        <v>Esra DOLAN</v>
      </c>
      <c r="AA4302" t="str">
        <f>VLOOKUP(K4302,[1]!Tablo3[#Data],2,FALSE)</f>
        <v>Erkan AKDOĞAN</v>
      </c>
    </row>
    <row r="4303" spans="1:27" x14ac:dyDescent="0.25">
      <c r="A4303">
        <v>5703</v>
      </c>
      <c r="B4303" t="s">
        <v>27</v>
      </c>
      <c r="C4303" t="s">
        <v>73</v>
      </c>
      <c r="D4303" t="s">
        <v>73</v>
      </c>
      <c r="F4303" t="s">
        <v>108</v>
      </c>
      <c r="G4303" t="s">
        <v>456</v>
      </c>
      <c r="H4303" t="s">
        <v>11550</v>
      </c>
      <c r="I4303" s="4">
        <v>45330.875</v>
      </c>
      <c r="J4303" t="s">
        <v>11551</v>
      </c>
      <c r="K4303" t="s">
        <v>586</v>
      </c>
      <c r="L4303" s="5"/>
      <c r="M4303" s="5"/>
      <c r="N4303" t="s">
        <v>82</v>
      </c>
      <c r="O4303" t="s">
        <v>11552</v>
      </c>
      <c r="R4303">
        <v>1</v>
      </c>
      <c r="S4303" t="s">
        <v>37</v>
      </c>
      <c r="T4303" s="5" t="s">
        <v>38</v>
      </c>
      <c r="Y4303" t="str">
        <f>VLOOKUP(C4303,'[1]DBS_KPY Sorumlular'!A:C,2,FALSE)</f>
        <v>Ayşegül AKGÜL</v>
      </c>
      <c r="Z4303" t="str">
        <f>VLOOKUP(C4303,'[1]DBS_KPY Sorumlular'!A:C,3,FALSE)</f>
        <v>Sinan ERDAŞ</v>
      </c>
      <c r="AA4303" t="str">
        <f>VLOOKUP(K4303,[1]!Tablo3[#Data],2,FALSE)</f>
        <v>Tayfun VİÇE</v>
      </c>
    </row>
    <row r="4304" spans="1:27" x14ac:dyDescent="0.25">
      <c r="A4304">
        <v>5704</v>
      </c>
      <c r="B4304" t="s">
        <v>27</v>
      </c>
      <c r="C4304" t="s">
        <v>40</v>
      </c>
      <c r="D4304" t="s">
        <v>41</v>
      </c>
      <c r="G4304" t="s">
        <v>43</v>
      </c>
      <c r="H4304" t="s">
        <v>11553</v>
      </c>
      <c r="I4304" s="4">
        <v>45331.875</v>
      </c>
      <c r="J4304" t="s">
        <v>11554</v>
      </c>
      <c r="K4304" t="s">
        <v>280</v>
      </c>
      <c r="L4304" s="5"/>
      <c r="M4304" s="5"/>
      <c r="N4304" t="s">
        <v>82</v>
      </c>
      <c r="O4304" t="s">
        <v>11555</v>
      </c>
      <c r="R4304">
        <v>1</v>
      </c>
      <c r="S4304" t="s">
        <v>57</v>
      </c>
      <c r="T4304" s="5" t="s">
        <v>100</v>
      </c>
      <c r="W4304">
        <v>172</v>
      </c>
      <c r="X4304" t="s">
        <v>240</v>
      </c>
      <c r="Y4304" t="str">
        <f>VLOOKUP(C4304,'[1]DBS_KPY Sorumlular'!A:C,2,FALSE)</f>
        <v>Mustafa AYDIN</v>
      </c>
      <c r="Z4304" t="str">
        <f>VLOOKUP(C4304,'[1]DBS_KPY Sorumlular'!A:C,3,FALSE)</f>
        <v>Esra DOLAN</v>
      </c>
      <c r="AA4304" t="str">
        <f>VLOOKUP(K4304,[1]!Tablo3[#Data],2,FALSE)</f>
        <v>Erkan AKDOĞAN</v>
      </c>
    </row>
    <row r="4305" spans="1:27" x14ac:dyDescent="0.25">
      <c r="A4305">
        <v>5705</v>
      </c>
      <c r="B4305" t="s">
        <v>27</v>
      </c>
      <c r="C4305" t="s">
        <v>40</v>
      </c>
      <c r="D4305" t="s">
        <v>41</v>
      </c>
      <c r="G4305" t="s">
        <v>96</v>
      </c>
      <c r="H4305" t="s">
        <v>11556</v>
      </c>
      <c r="I4305" s="4">
        <v>45333.875</v>
      </c>
      <c r="K4305" t="s">
        <v>423</v>
      </c>
      <c r="L4305" s="5"/>
      <c r="M4305" s="5"/>
      <c r="N4305" t="s">
        <v>82</v>
      </c>
      <c r="O4305" t="s">
        <v>11557</v>
      </c>
      <c r="R4305">
        <v>1</v>
      </c>
      <c r="S4305" t="s">
        <v>230</v>
      </c>
      <c r="T4305" s="5" t="s">
        <v>100</v>
      </c>
      <c r="W4305">
        <v>91</v>
      </c>
      <c r="X4305" t="s">
        <v>101</v>
      </c>
      <c r="Y4305" t="str">
        <f>VLOOKUP(C4305,'[1]DBS_KPY Sorumlular'!A:C,2,FALSE)</f>
        <v>Mustafa AYDIN</v>
      </c>
      <c r="Z4305" t="str">
        <f>VLOOKUP(C4305,'[1]DBS_KPY Sorumlular'!A:C,3,FALSE)</f>
        <v>Esra DOLAN</v>
      </c>
      <c r="AA4305" t="str">
        <f>VLOOKUP(K4305,[1]!Tablo3[#Data],2,FALSE)</f>
        <v>Kadir TOPÇU</v>
      </c>
    </row>
    <row r="4306" spans="1:27" x14ac:dyDescent="0.25">
      <c r="A4306">
        <v>5706</v>
      </c>
      <c r="B4306" t="s">
        <v>27</v>
      </c>
      <c r="C4306" t="s">
        <v>40</v>
      </c>
      <c r="D4306" t="s">
        <v>41</v>
      </c>
      <c r="G4306" t="s">
        <v>43</v>
      </c>
      <c r="H4306" t="s">
        <v>11558</v>
      </c>
      <c r="I4306" s="4">
        <v>45340.875</v>
      </c>
      <c r="K4306" t="s">
        <v>33</v>
      </c>
      <c r="L4306" s="5"/>
      <c r="M4306" s="5"/>
      <c r="N4306" t="s">
        <v>82</v>
      </c>
      <c r="O4306" t="s">
        <v>11559</v>
      </c>
      <c r="R4306">
        <v>1</v>
      </c>
      <c r="S4306" t="s">
        <v>37</v>
      </c>
      <c r="T4306" s="5" t="s">
        <v>100</v>
      </c>
      <c r="W4306">
        <v>6</v>
      </c>
      <c r="X4306" t="s">
        <v>3668</v>
      </c>
      <c r="Y4306" t="str">
        <f>VLOOKUP(C4306,'[1]DBS_KPY Sorumlular'!A:C,2,FALSE)</f>
        <v>Mustafa AYDIN</v>
      </c>
      <c r="Z4306" t="str">
        <f>VLOOKUP(C4306,'[1]DBS_KPY Sorumlular'!A:C,3,FALSE)</f>
        <v>Esra DOLAN</v>
      </c>
      <c r="AA4306" t="str">
        <f>VLOOKUP(K4306,[1]!Tablo3[#Data],2,FALSE)</f>
        <v>Tayfun VİÇE</v>
      </c>
    </row>
    <row r="4307" spans="1:27" x14ac:dyDescent="0.25">
      <c r="A4307">
        <v>5707</v>
      </c>
      <c r="B4307" t="s">
        <v>27</v>
      </c>
      <c r="C4307" t="s">
        <v>40</v>
      </c>
      <c r="D4307" t="s">
        <v>41</v>
      </c>
      <c r="G4307" t="s">
        <v>43</v>
      </c>
      <c r="H4307" t="s">
        <v>11560</v>
      </c>
      <c r="I4307" s="4">
        <v>45369.875</v>
      </c>
      <c r="J4307" t="s">
        <v>11561</v>
      </c>
      <c r="K4307" t="s">
        <v>743</v>
      </c>
      <c r="L4307" s="5"/>
      <c r="M4307" s="5"/>
      <c r="N4307" t="s">
        <v>82</v>
      </c>
      <c r="O4307" t="s">
        <v>11562</v>
      </c>
      <c r="R4307">
        <v>1</v>
      </c>
      <c r="S4307" t="s">
        <v>57</v>
      </c>
      <c r="T4307" s="5" t="s">
        <v>100</v>
      </c>
      <c r="W4307">
        <v>86</v>
      </c>
      <c r="X4307" t="s">
        <v>189</v>
      </c>
      <c r="Y4307" t="str">
        <f>VLOOKUP(C4307,'[1]DBS_KPY Sorumlular'!A:C,2,FALSE)</f>
        <v>Mustafa AYDIN</v>
      </c>
      <c r="Z4307" t="str">
        <f>VLOOKUP(C4307,'[1]DBS_KPY Sorumlular'!A:C,3,FALSE)</f>
        <v>Esra DOLAN</v>
      </c>
      <c r="AA4307" t="str">
        <f>VLOOKUP(K4307,[1]!Tablo3[#Data],2,FALSE)</f>
        <v>Kadir TOPÇU</v>
      </c>
    </row>
    <row r="4308" spans="1:27" x14ac:dyDescent="0.25">
      <c r="A4308">
        <v>5708</v>
      </c>
      <c r="B4308" t="s">
        <v>27</v>
      </c>
      <c r="C4308" t="s">
        <v>652</v>
      </c>
      <c r="D4308" t="s">
        <v>653</v>
      </c>
      <c r="G4308" t="s">
        <v>456</v>
      </c>
      <c r="H4308" t="s">
        <v>11563</v>
      </c>
      <c r="I4308" s="4">
        <v>45368.875</v>
      </c>
      <c r="J4308" t="s">
        <v>11564</v>
      </c>
      <c r="K4308" t="s">
        <v>534</v>
      </c>
      <c r="L4308" s="5"/>
      <c r="M4308" s="5"/>
      <c r="N4308" t="s">
        <v>82</v>
      </c>
      <c r="O4308" t="s">
        <v>11565</v>
      </c>
      <c r="R4308">
        <v>1</v>
      </c>
      <c r="S4308" t="s">
        <v>57</v>
      </c>
      <c r="T4308" s="5" t="s">
        <v>38</v>
      </c>
      <c r="W4308">
        <v>144</v>
      </c>
      <c r="X4308" t="s">
        <v>463</v>
      </c>
      <c r="Y4308" t="str">
        <f>VLOOKUP(C4308,'[1]DBS_KPY Sorumlular'!A:C,2,FALSE)</f>
        <v>Seyithan İŞİK</v>
      </c>
      <c r="Z4308" t="str">
        <f>VLOOKUP(C4308,'[1]DBS_KPY Sorumlular'!A:C,3,FALSE)</f>
        <v>Korhan KÖROĞLU</v>
      </c>
      <c r="AA4308" t="str">
        <f>VLOOKUP(K4308,[1]!Tablo3[#Data],2,FALSE)</f>
        <v>Erkan AKDOĞAN</v>
      </c>
    </row>
    <row r="4309" spans="1:27" x14ac:dyDescent="0.25">
      <c r="A4309">
        <v>5709</v>
      </c>
      <c r="B4309" t="s">
        <v>1419</v>
      </c>
      <c r="C4309" t="s">
        <v>1674</v>
      </c>
      <c r="D4309" t="s">
        <v>1675</v>
      </c>
      <c r="F4309" t="s">
        <v>52</v>
      </c>
      <c r="G4309" t="s">
        <v>67</v>
      </c>
      <c r="H4309" t="s">
        <v>11566</v>
      </c>
      <c r="I4309" s="4"/>
      <c r="J4309" t="s">
        <v>11567</v>
      </c>
      <c r="K4309" t="s">
        <v>364</v>
      </c>
      <c r="L4309" s="5"/>
      <c r="M4309" s="5"/>
      <c r="N4309" t="s">
        <v>35</v>
      </c>
      <c r="O4309" t="s">
        <v>11568</v>
      </c>
      <c r="T4309" s="5" t="s">
        <v>48</v>
      </c>
      <c r="U4309" t="s">
        <v>11569</v>
      </c>
      <c r="V4309" t="s">
        <v>11566</v>
      </c>
      <c r="W4309">
        <v>65</v>
      </c>
      <c r="X4309" t="s">
        <v>374</v>
      </c>
      <c r="Y4309" t="str">
        <f>VLOOKUP(C4309,'[1]DBS_KPY Sorumlular'!A:C,2,FALSE)</f>
        <v>Kadir TOPÇU</v>
      </c>
      <c r="Z4309" t="str">
        <f>VLOOKUP(C4309,'[1]DBS_KPY Sorumlular'!A:C,3,FALSE)</f>
        <v>Erkan AKDOĞAN</v>
      </c>
      <c r="AA4309" t="str">
        <f>VLOOKUP(K4309,[1]!Tablo3[#Data],2,FALSE)</f>
        <v>Kadir TOPÇU</v>
      </c>
    </row>
    <row r="4310" spans="1:27" x14ac:dyDescent="0.25">
      <c r="A4310">
        <v>5710</v>
      </c>
      <c r="B4310" t="s">
        <v>1419</v>
      </c>
      <c r="C4310" t="s">
        <v>1674</v>
      </c>
      <c r="D4310" t="s">
        <v>1675</v>
      </c>
      <c r="F4310" t="s">
        <v>439</v>
      </c>
      <c r="G4310" t="s">
        <v>291</v>
      </c>
      <c r="H4310" t="s">
        <v>11570</v>
      </c>
      <c r="I4310" s="4"/>
      <c r="J4310" t="s">
        <v>11571</v>
      </c>
      <c r="K4310" t="s">
        <v>743</v>
      </c>
      <c r="L4310" s="5"/>
      <c r="M4310" s="5"/>
      <c r="N4310" t="s">
        <v>35</v>
      </c>
      <c r="O4310" t="s">
        <v>11572</v>
      </c>
      <c r="T4310" s="5" t="s">
        <v>48</v>
      </c>
      <c r="U4310" t="s">
        <v>11573</v>
      </c>
      <c r="V4310" t="s">
        <v>11570</v>
      </c>
      <c r="W4310">
        <v>148</v>
      </c>
      <c r="X4310" t="s">
        <v>368</v>
      </c>
      <c r="Y4310" t="str">
        <f>VLOOKUP(C4310,'[1]DBS_KPY Sorumlular'!A:C,2,FALSE)</f>
        <v>Kadir TOPÇU</v>
      </c>
      <c r="Z4310" t="str">
        <f>VLOOKUP(C4310,'[1]DBS_KPY Sorumlular'!A:C,3,FALSE)</f>
        <v>Erkan AKDOĞAN</v>
      </c>
      <c r="AA4310" t="str">
        <f>VLOOKUP(K4310,[1]!Tablo3[#Data],2,FALSE)</f>
        <v>Kadir TOPÇU</v>
      </c>
    </row>
    <row r="4311" spans="1:27" x14ac:dyDescent="0.25">
      <c r="A4311">
        <v>5711</v>
      </c>
      <c r="B4311" t="s">
        <v>1419</v>
      </c>
      <c r="C4311" t="s">
        <v>1674</v>
      </c>
      <c r="D4311" t="s">
        <v>1675</v>
      </c>
      <c r="F4311" t="s">
        <v>66</v>
      </c>
      <c r="G4311" t="s">
        <v>67</v>
      </c>
      <c r="H4311" t="s">
        <v>11574</v>
      </c>
      <c r="I4311" s="4"/>
      <c r="J4311" t="s">
        <v>11575</v>
      </c>
      <c r="K4311" t="s">
        <v>914</v>
      </c>
      <c r="L4311" s="5"/>
      <c r="M4311" s="5"/>
      <c r="N4311" t="s">
        <v>35</v>
      </c>
      <c r="O4311" t="s">
        <v>11576</v>
      </c>
      <c r="T4311" s="5" t="s">
        <v>48</v>
      </c>
      <c r="U4311" t="s">
        <v>11577</v>
      </c>
      <c r="V4311" t="s">
        <v>11574</v>
      </c>
      <c r="W4311">
        <v>208</v>
      </c>
      <c r="X4311" t="s">
        <v>594</v>
      </c>
      <c r="Y4311" t="str">
        <f>VLOOKUP(C4311,'[1]DBS_KPY Sorumlular'!A:C,2,FALSE)</f>
        <v>Kadir TOPÇU</v>
      </c>
      <c r="Z4311" t="str">
        <f>VLOOKUP(C4311,'[1]DBS_KPY Sorumlular'!A:C,3,FALSE)</f>
        <v>Erkan AKDOĞAN</v>
      </c>
      <c r="AA4311" t="str">
        <f>VLOOKUP(K4311,[1]!Tablo3[#Data],2,FALSE)</f>
        <v>Tayfun VİÇE</v>
      </c>
    </row>
    <row r="4312" spans="1:27" x14ac:dyDescent="0.25">
      <c r="A4312">
        <v>5712</v>
      </c>
      <c r="B4312" t="s">
        <v>1419</v>
      </c>
      <c r="C4312" t="s">
        <v>1674</v>
      </c>
      <c r="D4312" t="s">
        <v>1675</v>
      </c>
      <c r="F4312" t="s">
        <v>52</v>
      </c>
      <c r="G4312" t="s">
        <v>67</v>
      </c>
      <c r="H4312" t="s">
        <v>11578</v>
      </c>
      <c r="I4312" s="4"/>
      <c r="J4312" t="s">
        <v>11579</v>
      </c>
      <c r="K4312" t="s">
        <v>1106</v>
      </c>
      <c r="L4312" s="5"/>
      <c r="M4312" s="5"/>
      <c r="N4312" t="s">
        <v>35</v>
      </c>
      <c r="O4312" t="s">
        <v>11580</v>
      </c>
      <c r="T4312" s="5" t="s">
        <v>48</v>
      </c>
      <c r="U4312" t="s">
        <v>11581</v>
      </c>
      <c r="V4312" t="s">
        <v>11578</v>
      </c>
      <c r="W4312">
        <v>103</v>
      </c>
      <c r="X4312" t="s">
        <v>353</v>
      </c>
      <c r="Y4312" t="str">
        <f>VLOOKUP(C4312,'[1]DBS_KPY Sorumlular'!A:C,2,FALSE)</f>
        <v>Kadir TOPÇU</v>
      </c>
      <c r="Z4312" t="str">
        <f>VLOOKUP(C4312,'[1]DBS_KPY Sorumlular'!A:C,3,FALSE)</f>
        <v>Erkan AKDOĞAN</v>
      </c>
      <c r="AA4312" t="str">
        <f>VLOOKUP(K4312,[1]!Tablo3[#Data],2,FALSE)</f>
        <v>Tayfun VİÇE</v>
      </c>
    </row>
    <row r="4313" spans="1:27" x14ac:dyDescent="0.25">
      <c r="A4313">
        <v>5713</v>
      </c>
      <c r="B4313" t="s">
        <v>1419</v>
      </c>
      <c r="C4313" t="s">
        <v>1674</v>
      </c>
      <c r="D4313" t="s">
        <v>1675</v>
      </c>
      <c r="F4313" t="s">
        <v>95</v>
      </c>
      <c r="G4313" t="s">
        <v>291</v>
      </c>
      <c r="H4313" t="s">
        <v>11582</v>
      </c>
      <c r="I4313" s="4"/>
      <c r="J4313" t="s">
        <v>11583</v>
      </c>
      <c r="K4313" t="s">
        <v>1471</v>
      </c>
      <c r="L4313" s="5" t="s">
        <v>11584</v>
      </c>
      <c r="M4313" s="5"/>
      <c r="N4313" t="s">
        <v>768</v>
      </c>
      <c r="O4313" t="s">
        <v>11585</v>
      </c>
      <c r="T4313" s="5" t="s">
        <v>48</v>
      </c>
      <c r="U4313" t="s">
        <v>11586</v>
      </c>
      <c r="V4313" t="s">
        <v>11582</v>
      </c>
      <c r="W4313">
        <v>150</v>
      </c>
      <c r="X4313" t="s">
        <v>485</v>
      </c>
      <c r="Y4313" t="str">
        <f>VLOOKUP(C4313,'[1]DBS_KPY Sorumlular'!A:C,2,FALSE)</f>
        <v>Kadir TOPÇU</v>
      </c>
      <c r="Z4313" t="str">
        <f>VLOOKUP(C4313,'[1]DBS_KPY Sorumlular'!A:C,3,FALSE)</f>
        <v>Erkan AKDOĞAN</v>
      </c>
      <c r="AA4313" t="str">
        <f>VLOOKUP(K4313,[1]!Tablo3[#Data],2,FALSE)</f>
        <v>Tayfun VİÇE</v>
      </c>
    </row>
    <row r="4314" spans="1:27" x14ac:dyDescent="0.25">
      <c r="A4314">
        <v>5714</v>
      </c>
      <c r="B4314" t="s">
        <v>1419</v>
      </c>
      <c r="C4314" t="s">
        <v>1674</v>
      </c>
      <c r="D4314" t="s">
        <v>1675</v>
      </c>
      <c r="F4314" t="s">
        <v>52</v>
      </c>
      <c r="G4314" t="s">
        <v>67</v>
      </c>
      <c r="H4314" t="s">
        <v>11587</v>
      </c>
      <c r="I4314" s="4"/>
      <c r="J4314" t="s">
        <v>11588</v>
      </c>
      <c r="K4314" t="s">
        <v>1528</v>
      </c>
      <c r="L4314" s="5"/>
      <c r="M4314" s="5"/>
      <c r="N4314" t="s">
        <v>35</v>
      </c>
      <c r="O4314" t="s">
        <v>11589</v>
      </c>
      <c r="T4314" s="5" t="s">
        <v>48</v>
      </c>
      <c r="U4314" t="s">
        <v>11590</v>
      </c>
      <c r="V4314" t="s">
        <v>11587</v>
      </c>
      <c r="W4314">
        <v>65</v>
      </c>
      <c r="X4314" t="s">
        <v>374</v>
      </c>
      <c r="Y4314" t="str">
        <f>VLOOKUP(C4314,'[1]DBS_KPY Sorumlular'!A:C,2,FALSE)</f>
        <v>Kadir TOPÇU</v>
      </c>
      <c r="Z4314" t="str">
        <f>VLOOKUP(C4314,'[1]DBS_KPY Sorumlular'!A:C,3,FALSE)</f>
        <v>Erkan AKDOĞAN</v>
      </c>
      <c r="AA4314" t="str">
        <f>VLOOKUP(K4314,[1]!Tablo3[#Data],2,FALSE)</f>
        <v>Tayfun VİÇE</v>
      </c>
    </row>
    <row r="4315" spans="1:27" x14ac:dyDescent="0.25">
      <c r="A4315">
        <v>5715</v>
      </c>
      <c r="B4315" t="s">
        <v>1419</v>
      </c>
      <c r="C4315" t="s">
        <v>1674</v>
      </c>
      <c r="D4315" t="s">
        <v>1675</v>
      </c>
      <c r="F4315" t="s">
        <v>4314</v>
      </c>
      <c r="G4315" t="s">
        <v>30</v>
      </c>
      <c r="H4315" t="s">
        <v>11591</v>
      </c>
      <c r="I4315" s="4"/>
      <c r="J4315" t="s">
        <v>11592</v>
      </c>
      <c r="K4315" t="s">
        <v>586</v>
      </c>
      <c r="L4315" s="5"/>
      <c r="M4315" s="5"/>
      <c r="N4315" t="s">
        <v>35</v>
      </c>
      <c r="O4315" t="s">
        <v>11593</v>
      </c>
      <c r="T4315" s="5" t="s">
        <v>48</v>
      </c>
      <c r="U4315" t="s">
        <v>11594</v>
      </c>
      <c r="V4315" t="s">
        <v>11591</v>
      </c>
      <c r="W4315">
        <v>131</v>
      </c>
      <c r="X4315" t="s">
        <v>61</v>
      </c>
      <c r="Y4315" t="str">
        <f>VLOOKUP(C4315,'[1]DBS_KPY Sorumlular'!A:C,2,FALSE)</f>
        <v>Kadir TOPÇU</v>
      </c>
      <c r="Z4315" t="str">
        <f>VLOOKUP(C4315,'[1]DBS_KPY Sorumlular'!A:C,3,FALSE)</f>
        <v>Erkan AKDOĞAN</v>
      </c>
      <c r="AA4315" t="str">
        <f>VLOOKUP(K4315,[1]!Tablo3[#Data],2,FALSE)</f>
        <v>Tayfun VİÇE</v>
      </c>
    </row>
    <row r="4316" spans="1:27" x14ac:dyDescent="0.25">
      <c r="A4316">
        <v>5716</v>
      </c>
      <c r="B4316" t="s">
        <v>1419</v>
      </c>
      <c r="C4316" t="s">
        <v>1674</v>
      </c>
      <c r="D4316" t="s">
        <v>1675</v>
      </c>
      <c r="F4316" t="s">
        <v>4314</v>
      </c>
      <c r="G4316" t="s">
        <v>30</v>
      </c>
      <c r="H4316" t="s">
        <v>11595</v>
      </c>
      <c r="I4316" s="4"/>
      <c r="J4316" t="s">
        <v>11596</v>
      </c>
      <c r="K4316" t="s">
        <v>1334</v>
      </c>
      <c r="L4316" s="5"/>
      <c r="M4316" s="5"/>
      <c r="N4316" t="s">
        <v>35</v>
      </c>
      <c r="O4316" t="s">
        <v>11597</v>
      </c>
      <c r="T4316" s="5" t="s">
        <v>48</v>
      </c>
      <c r="U4316" t="s">
        <v>11598</v>
      </c>
      <c r="V4316" t="s">
        <v>11595</v>
      </c>
      <c r="W4316">
        <v>131</v>
      </c>
      <c r="X4316" t="s">
        <v>61</v>
      </c>
      <c r="Y4316" t="str">
        <f>VLOOKUP(C4316,'[1]DBS_KPY Sorumlular'!A:C,2,FALSE)</f>
        <v>Kadir TOPÇU</v>
      </c>
      <c r="Z4316" t="str">
        <f>VLOOKUP(C4316,'[1]DBS_KPY Sorumlular'!A:C,3,FALSE)</f>
        <v>Erkan AKDOĞAN</v>
      </c>
      <c r="AA4316" t="str">
        <f>VLOOKUP(K4316,[1]!Tablo3[#Data],2,FALSE)</f>
        <v>Erkan AKDOĞAN</v>
      </c>
    </row>
    <row r="4317" spans="1:27" x14ac:dyDescent="0.25">
      <c r="A4317">
        <v>5717</v>
      </c>
      <c r="B4317" t="s">
        <v>27</v>
      </c>
      <c r="C4317" t="s">
        <v>40</v>
      </c>
      <c r="D4317" t="s">
        <v>41</v>
      </c>
      <c r="F4317" t="s">
        <v>42</v>
      </c>
      <c r="G4317" t="s">
        <v>43</v>
      </c>
      <c r="H4317" t="s">
        <v>11599</v>
      </c>
      <c r="I4317" s="4">
        <v>45837.875</v>
      </c>
      <c r="K4317" t="s">
        <v>54</v>
      </c>
      <c r="L4317" s="5"/>
      <c r="M4317" s="5"/>
      <c r="N4317" t="s">
        <v>46</v>
      </c>
      <c r="O4317" t="s">
        <v>6641</v>
      </c>
      <c r="R4317">
        <v>0.75</v>
      </c>
      <c r="T4317" s="5" t="s">
        <v>58</v>
      </c>
      <c r="U4317" t="s">
        <v>254</v>
      </c>
      <c r="V4317" t="s">
        <v>255</v>
      </c>
      <c r="W4317">
        <v>68</v>
      </c>
      <c r="X4317" t="s">
        <v>51</v>
      </c>
      <c r="Y4317" t="str">
        <f>VLOOKUP(C4317,'[1]DBS_KPY Sorumlular'!A:C,2,FALSE)</f>
        <v>Mustafa AYDIN</v>
      </c>
      <c r="Z4317" t="str">
        <f>VLOOKUP(C4317,'[1]DBS_KPY Sorumlular'!A:C,3,FALSE)</f>
        <v>Esra DOLAN</v>
      </c>
      <c r="AA4317" t="str">
        <f>VLOOKUP(K4317,[1]!Tablo3[#Data],2,FALSE)</f>
        <v>Erkan AKDOĞAN</v>
      </c>
    </row>
    <row r="4318" spans="1:27" x14ac:dyDescent="0.25">
      <c r="A4318">
        <v>5718</v>
      </c>
      <c r="B4318" t="s">
        <v>27</v>
      </c>
      <c r="C4318" t="s">
        <v>40</v>
      </c>
      <c r="D4318" t="s">
        <v>41</v>
      </c>
      <c r="G4318" t="s">
        <v>43</v>
      </c>
      <c r="H4318" t="s">
        <v>11600</v>
      </c>
      <c r="I4318" s="4">
        <v>45807.875</v>
      </c>
      <c r="K4318" t="s">
        <v>309</v>
      </c>
      <c r="L4318" s="5"/>
      <c r="M4318" s="5"/>
      <c r="N4318" t="s">
        <v>82</v>
      </c>
      <c r="O4318" t="s">
        <v>11601</v>
      </c>
      <c r="R4318">
        <v>1</v>
      </c>
      <c r="T4318" s="5" t="s">
        <v>58</v>
      </c>
      <c r="U4318" t="s">
        <v>192</v>
      </c>
      <c r="V4318" t="s">
        <v>193</v>
      </c>
      <c r="W4318">
        <v>72</v>
      </c>
      <c r="X4318" t="s">
        <v>341</v>
      </c>
      <c r="Y4318" t="str">
        <f>VLOOKUP(C4318,'[1]DBS_KPY Sorumlular'!A:C,2,FALSE)</f>
        <v>Mustafa AYDIN</v>
      </c>
      <c r="Z4318" t="str">
        <f>VLOOKUP(C4318,'[1]DBS_KPY Sorumlular'!A:C,3,FALSE)</f>
        <v>Esra DOLAN</v>
      </c>
      <c r="AA4318" t="str">
        <f>VLOOKUP(K4318,[1]!Tablo3[#Data],2,FALSE)</f>
        <v>Erkan AKDOĞAN</v>
      </c>
    </row>
    <row r="4319" spans="1:27" x14ac:dyDescent="0.25">
      <c r="A4319">
        <v>5719</v>
      </c>
      <c r="B4319" t="s">
        <v>27</v>
      </c>
      <c r="C4319" t="s">
        <v>40</v>
      </c>
      <c r="D4319" t="s">
        <v>41</v>
      </c>
      <c r="G4319" t="s">
        <v>43</v>
      </c>
      <c r="H4319" t="s">
        <v>11602</v>
      </c>
      <c r="I4319" s="4">
        <v>45625.875</v>
      </c>
      <c r="K4319" t="s">
        <v>325</v>
      </c>
      <c r="L4319" s="5"/>
      <c r="M4319" s="5"/>
      <c r="N4319" t="s">
        <v>82</v>
      </c>
      <c r="O4319" t="s">
        <v>11603</v>
      </c>
      <c r="R4319">
        <v>1</v>
      </c>
      <c r="T4319" s="5" t="s">
        <v>58</v>
      </c>
      <c r="U4319" t="s">
        <v>192</v>
      </c>
      <c r="V4319" t="s">
        <v>193</v>
      </c>
      <c r="W4319">
        <v>74</v>
      </c>
      <c r="X4319" t="s">
        <v>234</v>
      </c>
      <c r="Y4319" t="str">
        <f>VLOOKUP(C4319,'[1]DBS_KPY Sorumlular'!A:C,2,FALSE)</f>
        <v>Mustafa AYDIN</v>
      </c>
      <c r="Z4319" t="str">
        <f>VLOOKUP(C4319,'[1]DBS_KPY Sorumlular'!A:C,3,FALSE)</f>
        <v>Esra DOLAN</v>
      </c>
      <c r="AA4319" t="str">
        <f>VLOOKUP(K4319,[1]!Tablo3[#Data],2,FALSE)</f>
        <v>Kadir TOPÇU</v>
      </c>
    </row>
    <row r="4320" spans="1:27" x14ac:dyDescent="0.25">
      <c r="A4320">
        <v>5720</v>
      </c>
      <c r="B4320" t="s">
        <v>27</v>
      </c>
      <c r="C4320" t="s">
        <v>40</v>
      </c>
      <c r="D4320" t="s">
        <v>41</v>
      </c>
      <c r="G4320" t="s">
        <v>43</v>
      </c>
      <c r="H4320" t="s">
        <v>11604</v>
      </c>
      <c r="I4320" s="4">
        <v>45837.875</v>
      </c>
      <c r="K4320" t="s">
        <v>364</v>
      </c>
      <c r="L4320" s="5"/>
      <c r="M4320" s="5"/>
      <c r="N4320" t="s">
        <v>46</v>
      </c>
      <c r="O4320" t="s">
        <v>11605</v>
      </c>
      <c r="R4320">
        <v>0.99</v>
      </c>
      <c r="T4320" s="5" t="s">
        <v>58</v>
      </c>
      <c r="U4320" t="s">
        <v>192</v>
      </c>
      <c r="V4320" t="s">
        <v>193</v>
      </c>
      <c r="W4320">
        <v>68</v>
      </c>
      <c r="X4320" t="s">
        <v>51</v>
      </c>
      <c r="Y4320" t="str">
        <f>VLOOKUP(C4320,'[1]DBS_KPY Sorumlular'!A:C,2,FALSE)</f>
        <v>Mustafa AYDIN</v>
      </c>
      <c r="Z4320" t="str">
        <f>VLOOKUP(C4320,'[1]DBS_KPY Sorumlular'!A:C,3,FALSE)</f>
        <v>Esra DOLAN</v>
      </c>
      <c r="AA4320" t="str">
        <f>VLOOKUP(K4320,[1]!Tablo3[#Data],2,FALSE)</f>
        <v>Kadir TOPÇU</v>
      </c>
    </row>
    <row r="4321" spans="1:27" x14ac:dyDescent="0.25">
      <c r="A4321">
        <v>5721</v>
      </c>
      <c r="B4321" t="s">
        <v>27</v>
      </c>
      <c r="C4321" t="s">
        <v>40</v>
      </c>
      <c r="D4321" t="s">
        <v>41</v>
      </c>
      <c r="G4321" t="s">
        <v>43</v>
      </c>
      <c r="H4321" t="s">
        <v>11606</v>
      </c>
      <c r="I4321" s="4">
        <v>45837.875</v>
      </c>
      <c r="K4321" t="s">
        <v>568</v>
      </c>
      <c r="L4321" s="5"/>
      <c r="M4321" s="5"/>
      <c r="N4321" t="s">
        <v>46</v>
      </c>
      <c r="O4321" t="s">
        <v>11607</v>
      </c>
      <c r="R4321">
        <v>0.85</v>
      </c>
      <c r="T4321" s="5" t="s">
        <v>58</v>
      </c>
      <c r="U4321" t="s">
        <v>254</v>
      </c>
      <c r="V4321" t="s">
        <v>255</v>
      </c>
      <c r="W4321">
        <v>74</v>
      </c>
      <c r="X4321" t="s">
        <v>234</v>
      </c>
      <c r="Y4321" t="str">
        <f>VLOOKUP(C4321,'[1]DBS_KPY Sorumlular'!A:C,2,FALSE)</f>
        <v>Mustafa AYDIN</v>
      </c>
      <c r="Z4321" t="str">
        <f>VLOOKUP(C4321,'[1]DBS_KPY Sorumlular'!A:C,3,FALSE)</f>
        <v>Esra DOLAN</v>
      </c>
      <c r="AA4321" t="str">
        <f>VLOOKUP(K4321,[1]!Tablo3[#Data],2,FALSE)</f>
        <v>Erkan AKDOĞAN</v>
      </c>
    </row>
    <row r="4322" spans="1:27" x14ac:dyDescent="0.25">
      <c r="A4322">
        <v>5722</v>
      </c>
      <c r="B4322" t="s">
        <v>27</v>
      </c>
      <c r="C4322" t="s">
        <v>40</v>
      </c>
      <c r="D4322" t="s">
        <v>41</v>
      </c>
      <c r="G4322" t="s">
        <v>30</v>
      </c>
      <c r="H4322" t="s">
        <v>11608</v>
      </c>
      <c r="I4322" s="4">
        <v>45807.875</v>
      </c>
      <c r="K4322" t="s">
        <v>898</v>
      </c>
      <c r="L4322" s="5"/>
      <c r="M4322" s="5"/>
      <c r="N4322" t="s">
        <v>82</v>
      </c>
      <c r="O4322" t="s">
        <v>11609</v>
      </c>
      <c r="R4322">
        <v>1</v>
      </c>
      <c r="T4322" s="5" t="s">
        <v>58</v>
      </c>
      <c r="U4322" t="s">
        <v>752</v>
      </c>
      <c r="V4322" t="s">
        <v>753</v>
      </c>
      <c r="W4322">
        <v>86</v>
      </c>
      <c r="X4322" t="s">
        <v>189</v>
      </c>
      <c r="Y4322" t="str">
        <f>VLOOKUP(C4322,'[1]DBS_KPY Sorumlular'!A:C,2,FALSE)</f>
        <v>Mustafa AYDIN</v>
      </c>
      <c r="Z4322" t="str">
        <f>VLOOKUP(C4322,'[1]DBS_KPY Sorumlular'!A:C,3,FALSE)</f>
        <v>Esra DOLAN</v>
      </c>
      <c r="AA4322" t="str">
        <f>VLOOKUP(K4322,[1]!Tablo3[#Data],2,FALSE)</f>
        <v>Erkan AKDOĞAN</v>
      </c>
    </row>
    <row r="4323" spans="1:27" x14ac:dyDescent="0.25">
      <c r="A4323">
        <v>5723</v>
      </c>
      <c r="B4323" t="s">
        <v>27</v>
      </c>
      <c r="C4323" t="s">
        <v>40</v>
      </c>
      <c r="D4323" t="s">
        <v>41</v>
      </c>
      <c r="G4323" t="s">
        <v>43</v>
      </c>
      <c r="H4323" t="s">
        <v>11610</v>
      </c>
      <c r="I4323" s="4">
        <v>45788.875</v>
      </c>
      <c r="K4323" t="s">
        <v>1029</v>
      </c>
      <c r="L4323" s="5"/>
      <c r="M4323" s="5"/>
      <c r="N4323" t="s">
        <v>82</v>
      </c>
      <c r="O4323" t="s">
        <v>11611</v>
      </c>
      <c r="R4323">
        <v>1</v>
      </c>
      <c r="T4323" s="5" t="s">
        <v>58</v>
      </c>
      <c r="U4323" t="s">
        <v>134</v>
      </c>
      <c r="V4323" t="s">
        <v>135</v>
      </c>
      <c r="W4323">
        <v>74</v>
      </c>
      <c r="X4323" t="s">
        <v>234</v>
      </c>
      <c r="Y4323" t="str">
        <f>VLOOKUP(C4323,'[1]DBS_KPY Sorumlular'!A:C,2,FALSE)</f>
        <v>Mustafa AYDIN</v>
      </c>
      <c r="Z4323" t="str">
        <f>VLOOKUP(C4323,'[1]DBS_KPY Sorumlular'!A:C,3,FALSE)</f>
        <v>Esra DOLAN</v>
      </c>
      <c r="AA4323" t="str">
        <f>VLOOKUP(K4323,[1]!Tablo3[#Data],2,FALSE)</f>
        <v>Tayfun VİÇE</v>
      </c>
    </row>
    <row r="4324" spans="1:27" x14ac:dyDescent="0.25">
      <c r="A4324">
        <v>5724</v>
      </c>
      <c r="B4324" t="s">
        <v>27</v>
      </c>
      <c r="C4324" t="s">
        <v>40</v>
      </c>
      <c r="D4324" t="s">
        <v>41</v>
      </c>
      <c r="G4324" t="s">
        <v>43</v>
      </c>
      <c r="H4324" t="s">
        <v>11612</v>
      </c>
      <c r="I4324" s="4">
        <v>45837.875</v>
      </c>
      <c r="K4324" t="s">
        <v>280</v>
      </c>
      <c r="L4324" s="5"/>
      <c r="M4324" s="5"/>
      <c r="N4324" t="s">
        <v>46</v>
      </c>
      <c r="O4324" t="s">
        <v>11613</v>
      </c>
      <c r="R4324">
        <v>0.97</v>
      </c>
      <c r="T4324" s="5" t="s">
        <v>58</v>
      </c>
      <c r="U4324" t="s">
        <v>752</v>
      </c>
      <c r="V4324" t="s">
        <v>753</v>
      </c>
      <c r="W4324">
        <v>34</v>
      </c>
      <c r="X4324" t="s">
        <v>4218</v>
      </c>
      <c r="Y4324" t="str">
        <f>VLOOKUP(C4324,'[1]DBS_KPY Sorumlular'!A:C,2,FALSE)</f>
        <v>Mustafa AYDIN</v>
      </c>
      <c r="Z4324" t="str">
        <f>VLOOKUP(C4324,'[1]DBS_KPY Sorumlular'!A:C,3,FALSE)</f>
        <v>Esra DOLAN</v>
      </c>
      <c r="AA4324" t="str">
        <f>VLOOKUP(K4324,[1]!Tablo3[#Data],2,FALSE)</f>
        <v>Erkan AKDOĞAN</v>
      </c>
    </row>
    <row r="4325" spans="1:27" x14ac:dyDescent="0.25">
      <c r="A4325">
        <v>5725</v>
      </c>
      <c r="B4325" t="s">
        <v>27</v>
      </c>
      <c r="C4325" t="s">
        <v>40</v>
      </c>
      <c r="D4325" t="s">
        <v>41</v>
      </c>
      <c r="G4325" t="s">
        <v>43</v>
      </c>
      <c r="H4325" t="s">
        <v>11614</v>
      </c>
      <c r="I4325" s="4">
        <v>45837.875</v>
      </c>
      <c r="K4325" t="s">
        <v>1221</v>
      </c>
      <c r="L4325" s="5"/>
      <c r="M4325" s="5"/>
      <c r="N4325" t="s">
        <v>82</v>
      </c>
      <c r="O4325" t="s">
        <v>11615</v>
      </c>
      <c r="R4325">
        <v>1</v>
      </c>
      <c r="T4325" s="5" t="s">
        <v>58</v>
      </c>
      <c r="U4325" t="s">
        <v>134</v>
      </c>
      <c r="V4325" t="s">
        <v>135</v>
      </c>
      <c r="W4325">
        <v>71</v>
      </c>
      <c r="X4325" t="s">
        <v>1299</v>
      </c>
      <c r="Y4325" t="str">
        <f>VLOOKUP(C4325,'[1]DBS_KPY Sorumlular'!A:C,2,FALSE)</f>
        <v>Mustafa AYDIN</v>
      </c>
      <c r="Z4325" t="str">
        <f>VLOOKUP(C4325,'[1]DBS_KPY Sorumlular'!A:C,3,FALSE)</f>
        <v>Esra DOLAN</v>
      </c>
      <c r="AA4325" t="str">
        <f>VLOOKUP(K4325,[1]!Tablo3[#Data],2,FALSE)</f>
        <v>Tayfun VİÇE</v>
      </c>
    </row>
    <row r="4326" spans="1:27" x14ac:dyDescent="0.25">
      <c r="A4326">
        <v>5726</v>
      </c>
      <c r="B4326" t="s">
        <v>27</v>
      </c>
      <c r="C4326" t="s">
        <v>40</v>
      </c>
      <c r="D4326" t="s">
        <v>65</v>
      </c>
      <c r="G4326" t="s">
        <v>67</v>
      </c>
      <c r="H4326" t="s">
        <v>11616</v>
      </c>
      <c r="I4326" s="4">
        <v>45561.875</v>
      </c>
      <c r="K4326" t="s">
        <v>309</v>
      </c>
      <c r="L4326" s="5"/>
      <c r="M4326" s="5"/>
      <c r="N4326" t="s">
        <v>82</v>
      </c>
      <c r="O4326" t="s">
        <v>11617</v>
      </c>
      <c r="R4326">
        <v>1</v>
      </c>
      <c r="T4326" s="5" t="s">
        <v>100</v>
      </c>
      <c r="W4326">
        <v>103</v>
      </c>
      <c r="X4326" t="s">
        <v>353</v>
      </c>
      <c r="Y4326" t="str">
        <f>VLOOKUP(C4326,'[1]DBS_KPY Sorumlular'!A:C,2,FALSE)</f>
        <v>Mustafa AYDIN</v>
      </c>
      <c r="Z4326" t="str">
        <f>VLOOKUP(C4326,'[1]DBS_KPY Sorumlular'!A:C,3,FALSE)</f>
        <v>Esra DOLAN</v>
      </c>
      <c r="AA4326" t="str">
        <f>VLOOKUP(K4326,[1]!Tablo3[#Data],2,FALSE)</f>
        <v>Erkan AKDOĞAN</v>
      </c>
    </row>
    <row r="4327" spans="1:27" x14ac:dyDescent="0.25">
      <c r="A4327">
        <v>5727</v>
      </c>
      <c r="B4327" t="s">
        <v>27</v>
      </c>
      <c r="C4327" t="s">
        <v>40</v>
      </c>
      <c r="D4327" t="s">
        <v>65</v>
      </c>
      <c r="G4327" t="s">
        <v>67</v>
      </c>
      <c r="H4327" t="s">
        <v>11618</v>
      </c>
      <c r="I4327" s="4">
        <v>45481.875</v>
      </c>
      <c r="K4327" t="s">
        <v>325</v>
      </c>
      <c r="L4327" s="5"/>
      <c r="M4327" s="5"/>
      <c r="N4327" t="s">
        <v>82</v>
      </c>
      <c r="O4327" t="s">
        <v>11619</v>
      </c>
      <c r="R4327">
        <v>1</v>
      </c>
      <c r="T4327" s="5" t="s">
        <v>100</v>
      </c>
      <c r="W4327">
        <v>103</v>
      </c>
      <c r="X4327" t="s">
        <v>353</v>
      </c>
      <c r="Y4327" t="str">
        <f>VLOOKUP(C4327,'[1]DBS_KPY Sorumlular'!A:C,2,FALSE)</f>
        <v>Mustafa AYDIN</v>
      </c>
      <c r="Z4327" t="str">
        <f>VLOOKUP(C4327,'[1]DBS_KPY Sorumlular'!A:C,3,FALSE)</f>
        <v>Esra DOLAN</v>
      </c>
      <c r="AA4327" t="str">
        <f>VLOOKUP(K4327,[1]!Tablo3[#Data],2,FALSE)</f>
        <v>Kadir TOPÇU</v>
      </c>
    </row>
    <row r="4328" spans="1:27" x14ac:dyDescent="0.25">
      <c r="A4328">
        <v>5728</v>
      </c>
      <c r="B4328" t="s">
        <v>27</v>
      </c>
      <c r="C4328" t="s">
        <v>40</v>
      </c>
      <c r="D4328" t="s">
        <v>65</v>
      </c>
      <c r="G4328" t="s">
        <v>67</v>
      </c>
      <c r="H4328" t="s">
        <v>11620</v>
      </c>
      <c r="I4328" s="4">
        <v>45523.875</v>
      </c>
      <c r="K4328" t="s">
        <v>325</v>
      </c>
      <c r="L4328" s="5"/>
      <c r="M4328" s="5"/>
      <c r="N4328" t="s">
        <v>82</v>
      </c>
      <c r="O4328" t="s">
        <v>11621</v>
      </c>
      <c r="R4328">
        <v>1</v>
      </c>
      <c r="T4328" s="5" t="s">
        <v>100</v>
      </c>
      <c r="W4328">
        <v>103</v>
      </c>
      <c r="X4328" t="s">
        <v>353</v>
      </c>
      <c r="Y4328" t="str">
        <f>VLOOKUP(C4328,'[1]DBS_KPY Sorumlular'!A:C,2,FALSE)</f>
        <v>Mustafa AYDIN</v>
      </c>
      <c r="Z4328" t="str">
        <f>VLOOKUP(C4328,'[1]DBS_KPY Sorumlular'!A:C,3,FALSE)</f>
        <v>Esra DOLAN</v>
      </c>
      <c r="AA4328" t="str">
        <f>VLOOKUP(K4328,[1]!Tablo3[#Data],2,FALSE)</f>
        <v>Kadir TOPÇU</v>
      </c>
    </row>
    <row r="4329" spans="1:27" x14ac:dyDescent="0.25">
      <c r="A4329">
        <v>5729</v>
      </c>
      <c r="B4329" t="s">
        <v>27</v>
      </c>
      <c r="C4329" t="s">
        <v>40</v>
      </c>
      <c r="D4329" t="s">
        <v>65</v>
      </c>
      <c r="G4329" t="s">
        <v>67</v>
      </c>
      <c r="H4329" t="s">
        <v>11622</v>
      </c>
      <c r="I4329" s="4">
        <v>45616.875</v>
      </c>
      <c r="K4329" t="s">
        <v>364</v>
      </c>
      <c r="L4329" s="5"/>
      <c r="M4329" s="5"/>
      <c r="N4329" t="s">
        <v>82</v>
      </c>
      <c r="O4329" t="s">
        <v>11623</v>
      </c>
      <c r="R4329">
        <v>1</v>
      </c>
      <c r="T4329" s="5" t="s">
        <v>100</v>
      </c>
      <c r="W4329">
        <v>103</v>
      </c>
      <c r="X4329" t="s">
        <v>353</v>
      </c>
      <c r="Y4329" t="str">
        <f>VLOOKUP(C4329,'[1]DBS_KPY Sorumlular'!A:C,2,FALSE)</f>
        <v>Mustafa AYDIN</v>
      </c>
      <c r="Z4329" t="str">
        <f>VLOOKUP(C4329,'[1]DBS_KPY Sorumlular'!A:C,3,FALSE)</f>
        <v>Esra DOLAN</v>
      </c>
      <c r="AA4329" t="str">
        <f>VLOOKUP(K4329,[1]!Tablo3[#Data],2,FALSE)</f>
        <v>Kadir TOPÇU</v>
      </c>
    </row>
    <row r="4330" spans="1:27" x14ac:dyDescent="0.25">
      <c r="A4330">
        <v>5730</v>
      </c>
      <c r="B4330" t="s">
        <v>27</v>
      </c>
      <c r="C4330" t="s">
        <v>40</v>
      </c>
      <c r="D4330" t="s">
        <v>65</v>
      </c>
      <c r="G4330" t="s">
        <v>30</v>
      </c>
      <c r="H4330" t="s">
        <v>11624</v>
      </c>
      <c r="I4330" s="4">
        <v>45320.875</v>
      </c>
      <c r="K4330" t="s">
        <v>853</v>
      </c>
      <c r="L4330" s="5"/>
      <c r="M4330" s="5"/>
      <c r="N4330" t="s">
        <v>82</v>
      </c>
      <c r="O4330" t="s">
        <v>11625</v>
      </c>
      <c r="R4330">
        <v>1</v>
      </c>
      <c r="T4330" s="5" t="s">
        <v>48</v>
      </c>
      <c r="U4330" t="s">
        <v>11626</v>
      </c>
      <c r="V4330" t="s">
        <v>11627</v>
      </c>
      <c r="W4330">
        <v>207</v>
      </c>
      <c r="X4330" t="s">
        <v>472</v>
      </c>
      <c r="Y4330" t="str">
        <f>VLOOKUP(C4330,'[1]DBS_KPY Sorumlular'!A:C,2,FALSE)</f>
        <v>Mustafa AYDIN</v>
      </c>
      <c r="Z4330" t="str">
        <f>VLOOKUP(C4330,'[1]DBS_KPY Sorumlular'!A:C,3,FALSE)</f>
        <v>Esra DOLAN</v>
      </c>
      <c r="AA4330" t="str">
        <f>VLOOKUP(K4330,[1]!Tablo3[#Data],2,FALSE)</f>
        <v>Erkan AKDOĞAN</v>
      </c>
    </row>
    <row r="4331" spans="1:27" x14ac:dyDescent="0.25">
      <c r="A4331">
        <v>5731</v>
      </c>
      <c r="B4331" t="s">
        <v>27</v>
      </c>
      <c r="C4331" t="s">
        <v>40</v>
      </c>
      <c r="D4331" t="s">
        <v>65</v>
      </c>
      <c r="G4331" t="s">
        <v>30</v>
      </c>
      <c r="H4331" t="s">
        <v>11628</v>
      </c>
      <c r="I4331" s="4">
        <v>45534.875</v>
      </c>
      <c r="K4331" t="s">
        <v>1106</v>
      </c>
      <c r="L4331" s="5"/>
      <c r="M4331" s="5"/>
      <c r="N4331" t="s">
        <v>82</v>
      </c>
      <c r="O4331" t="s">
        <v>11629</v>
      </c>
      <c r="R4331">
        <v>1</v>
      </c>
      <c r="T4331" s="5" t="s">
        <v>48</v>
      </c>
      <c r="U4331" t="s">
        <v>11630</v>
      </c>
      <c r="V4331" t="s">
        <v>11631</v>
      </c>
      <c r="W4331">
        <v>207</v>
      </c>
      <c r="X4331" t="s">
        <v>472</v>
      </c>
      <c r="Y4331" t="str">
        <f>VLOOKUP(C4331,'[1]DBS_KPY Sorumlular'!A:C,2,FALSE)</f>
        <v>Mustafa AYDIN</v>
      </c>
      <c r="Z4331" t="str">
        <f>VLOOKUP(C4331,'[1]DBS_KPY Sorumlular'!A:C,3,FALSE)</f>
        <v>Esra DOLAN</v>
      </c>
      <c r="AA4331" t="str">
        <f>VLOOKUP(K4331,[1]!Tablo3[#Data],2,FALSE)</f>
        <v>Tayfun VİÇE</v>
      </c>
    </row>
    <row r="4332" spans="1:27" x14ac:dyDescent="0.25">
      <c r="A4332">
        <v>5732</v>
      </c>
      <c r="B4332" t="s">
        <v>27</v>
      </c>
      <c r="C4332" t="s">
        <v>40</v>
      </c>
      <c r="D4332" t="s">
        <v>65</v>
      </c>
      <c r="G4332" t="s">
        <v>67</v>
      </c>
      <c r="H4332" t="s">
        <v>11632</v>
      </c>
      <c r="I4332" s="4">
        <v>45550.875</v>
      </c>
      <c r="K4332" t="s">
        <v>1360</v>
      </c>
      <c r="L4332" s="5"/>
      <c r="M4332" s="5"/>
      <c r="N4332" t="s">
        <v>82</v>
      </c>
      <c r="O4332" t="s">
        <v>1369</v>
      </c>
      <c r="R4332">
        <v>1</v>
      </c>
      <c r="T4332" s="5" t="s">
        <v>100</v>
      </c>
      <c r="W4332">
        <v>206</v>
      </c>
      <c r="X4332" t="s">
        <v>311</v>
      </c>
      <c r="Y4332" t="str">
        <f>VLOOKUP(C4332,'[1]DBS_KPY Sorumlular'!A:C,2,FALSE)</f>
        <v>Mustafa AYDIN</v>
      </c>
      <c r="Z4332" t="str">
        <f>VLOOKUP(C4332,'[1]DBS_KPY Sorumlular'!A:C,3,FALSE)</f>
        <v>Esra DOLAN</v>
      </c>
      <c r="AA4332" t="str">
        <f>VLOOKUP(K4332,[1]!Tablo3[#Data],2,FALSE)</f>
        <v>Kadir TOPÇU</v>
      </c>
    </row>
    <row r="4333" spans="1:27" x14ac:dyDescent="0.25">
      <c r="A4333">
        <v>5733</v>
      </c>
      <c r="B4333" t="s">
        <v>27</v>
      </c>
      <c r="C4333" t="s">
        <v>40</v>
      </c>
      <c r="D4333" t="s">
        <v>65</v>
      </c>
      <c r="G4333" t="s">
        <v>67</v>
      </c>
      <c r="H4333" t="s">
        <v>11633</v>
      </c>
      <c r="I4333" s="4">
        <v>45550.875</v>
      </c>
      <c r="K4333" t="s">
        <v>143</v>
      </c>
      <c r="L4333" s="5"/>
      <c r="M4333" s="5"/>
      <c r="N4333" t="s">
        <v>82</v>
      </c>
      <c r="O4333" t="s">
        <v>11634</v>
      </c>
      <c r="R4333">
        <v>1</v>
      </c>
      <c r="T4333" s="5" t="s">
        <v>100</v>
      </c>
      <c r="W4333">
        <v>103</v>
      </c>
      <c r="X4333" t="s">
        <v>353</v>
      </c>
      <c r="Y4333" t="str">
        <f>VLOOKUP(C4333,'[1]DBS_KPY Sorumlular'!A:C,2,FALSE)</f>
        <v>Mustafa AYDIN</v>
      </c>
      <c r="Z4333" t="str">
        <f>VLOOKUP(C4333,'[1]DBS_KPY Sorumlular'!A:C,3,FALSE)</f>
        <v>Esra DOLAN</v>
      </c>
      <c r="AA4333" t="str">
        <f>VLOOKUP(K4333,[1]!Tablo3[#Data],2,FALSE)</f>
        <v>Tayfun VİÇE</v>
      </c>
    </row>
    <row r="4334" spans="1:27" x14ac:dyDescent="0.25">
      <c r="A4334">
        <v>5734</v>
      </c>
      <c r="B4334" t="s">
        <v>27</v>
      </c>
      <c r="C4334" t="s">
        <v>40</v>
      </c>
      <c r="D4334" t="s">
        <v>65</v>
      </c>
      <c r="G4334" t="s">
        <v>43</v>
      </c>
      <c r="H4334" t="s">
        <v>11635</v>
      </c>
      <c r="I4334" s="4">
        <v>45345.875</v>
      </c>
      <c r="K4334" t="s">
        <v>1471</v>
      </c>
      <c r="L4334" s="5"/>
      <c r="M4334" s="5"/>
      <c r="N4334" t="s">
        <v>82</v>
      </c>
      <c r="O4334" t="s">
        <v>11636</v>
      </c>
      <c r="R4334">
        <v>1</v>
      </c>
      <c r="T4334" s="5" t="s">
        <v>48</v>
      </c>
      <c r="U4334" t="s">
        <v>11637</v>
      </c>
      <c r="V4334" t="s">
        <v>11638</v>
      </c>
      <c r="W4334">
        <v>207</v>
      </c>
      <c r="X4334" t="s">
        <v>472</v>
      </c>
      <c r="Y4334" t="str">
        <f>VLOOKUP(C4334,'[1]DBS_KPY Sorumlular'!A:C,2,FALSE)</f>
        <v>Mustafa AYDIN</v>
      </c>
      <c r="Z4334" t="str">
        <f>VLOOKUP(C4334,'[1]DBS_KPY Sorumlular'!A:C,3,FALSE)</f>
        <v>Esra DOLAN</v>
      </c>
      <c r="AA4334" t="str">
        <f>VLOOKUP(K4334,[1]!Tablo3[#Data],2,FALSE)</f>
        <v>Tayfun VİÇE</v>
      </c>
    </row>
    <row r="4335" spans="1:27" x14ac:dyDescent="0.25">
      <c r="A4335">
        <v>5735</v>
      </c>
      <c r="B4335" t="s">
        <v>27</v>
      </c>
      <c r="C4335" t="s">
        <v>40</v>
      </c>
      <c r="D4335" t="s">
        <v>65</v>
      </c>
      <c r="G4335" t="s">
        <v>67</v>
      </c>
      <c r="H4335" t="s">
        <v>11639</v>
      </c>
      <c r="I4335" s="4">
        <v>45771.875</v>
      </c>
      <c r="K4335" t="s">
        <v>1106</v>
      </c>
      <c r="L4335" s="5"/>
      <c r="M4335" s="5"/>
      <c r="N4335" t="s">
        <v>82</v>
      </c>
      <c r="O4335" t="s">
        <v>11640</v>
      </c>
      <c r="R4335">
        <v>1</v>
      </c>
      <c r="T4335" s="5" t="s">
        <v>48</v>
      </c>
      <c r="U4335" t="s">
        <v>11641</v>
      </c>
      <c r="V4335" t="s">
        <v>11642</v>
      </c>
      <c r="W4335">
        <v>203</v>
      </c>
      <c r="X4335" t="s">
        <v>72</v>
      </c>
      <c r="Y4335" t="str">
        <f>VLOOKUP(C4335,'[1]DBS_KPY Sorumlular'!A:C,2,FALSE)</f>
        <v>Mustafa AYDIN</v>
      </c>
      <c r="Z4335" t="str">
        <f>VLOOKUP(C4335,'[1]DBS_KPY Sorumlular'!A:C,3,FALSE)</f>
        <v>Esra DOLAN</v>
      </c>
      <c r="AA4335" t="str">
        <f>VLOOKUP(K4335,[1]!Tablo3[#Data],2,FALSE)</f>
        <v>Tayfun VİÇE</v>
      </c>
    </row>
    <row r="4336" spans="1:27" x14ac:dyDescent="0.25">
      <c r="A4336">
        <v>5736</v>
      </c>
      <c r="B4336" t="s">
        <v>27</v>
      </c>
      <c r="C4336" t="s">
        <v>40</v>
      </c>
      <c r="D4336" t="s">
        <v>41</v>
      </c>
      <c r="G4336" t="s">
        <v>96</v>
      </c>
      <c r="H4336" t="s">
        <v>11643</v>
      </c>
      <c r="I4336" s="4">
        <v>45407.875</v>
      </c>
      <c r="K4336" t="s">
        <v>232</v>
      </c>
      <c r="L4336" s="5"/>
      <c r="M4336" s="5"/>
      <c r="N4336" t="s">
        <v>82</v>
      </c>
      <c r="O4336" t="s">
        <v>11644</v>
      </c>
      <c r="R4336">
        <v>1</v>
      </c>
      <c r="T4336" s="5" t="s">
        <v>58</v>
      </c>
      <c r="U4336" t="s">
        <v>650</v>
      </c>
      <c r="V4336" t="s">
        <v>651</v>
      </c>
      <c r="W4336">
        <v>91</v>
      </c>
      <c r="X4336" t="s">
        <v>101</v>
      </c>
      <c r="Y4336" t="str">
        <f>VLOOKUP(C4336,'[1]DBS_KPY Sorumlular'!A:C,2,FALSE)</f>
        <v>Mustafa AYDIN</v>
      </c>
      <c r="Z4336" t="str">
        <f>VLOOKUP(C4336,'[1]DBS_KPY Sorumlular'!A:C,3,FALSE)</f>
        <v>Esra DOLAN</v>
      </c>
      <c r="AA4336" t="str">
        <f>VLOOKUP(K4336,[1]!Tablo3[#Data],2,FALSE)</f>
        <v>Erkan AKDOĞAN</v>
      </c>
    </row>
    <row r="4337" spans="1:27" x14ac:dyDescent="0.25">
      <c r="A4337">
        <v>5737</v>
      </c>
      <c r="B4337" t="s">
        <v>27</v>
      </c>
      <c r="C4337" t="s">
        <v>40</v>
      </c>
      <c r="D4337" t="s">
        <v>65</v>
      </c>
      <c r="G4337" t="s">
        <v>30</v>
      </c>
      <c r="H4337" t="s">
        <v>11645</v>
      </c>
      <c r="I4337" s="4">
        <v>45405.875</v>
      </c>
      <c r="K4337" t="s">
        <v>217</v>
      </c>
      <c r="L4337" s="5"/>
      <c r="M4337" s="5"/>
      <c r="N4337" t="s">
        <v>82</v>
      </c>
      <c r="O4337" t="s">
        <v>11646</v>
      </c>
      <c r="R4337">
        <v>1</v>
      </c>
      <c r="T4337" s="5" t="s">
        <v>100</v>
      </c>
      <c r="W4337">
        <v>104</v>
      </c>
      <c r="X4337" t="s">
        <v>703</v>
      </c>
      <c r="Y4337" t="str">
        <f>VLOOKUP(C4337,'[1]DBS_KPY Sorumlular'!A:C,2,FALSE)</f>
        <v>Mustafa AYDIN</v>
      </c>
      <c r="Z4337" t="str">
        <f>VLOOKUP(C4337,'[1]DBS_KPY Sorumlular'!A:C,3,FALSE)</f>
        <v>Esra DOLAN</v>
      </c>
      <c r="AA4337" t="str">
        <f>VLOOKUP(K4337,[1]!Tablo3[#Data],2,FALSE)</f>
        <v>Erkan AKDOĞAN</v>
      </c>
    </row>
    <row r="4338" spans="1:27" x14ac:dyDescent="0.25">
      <c r="A4338">
        <v>5738</v>
      </c>
      <c r="B4338" t="s">
        <v>27</v>
      </c>
      <c r="C4338" t="s">
        <v>40</v>
      </c>
      <c r="D4338" t="s">
        <v>65</v>
      </c>
      <c r="G4338" t="s">
        <v>67</v>
      </c>
      <c r="H4338" t="s">
        <v>11647</v>
      </c>
      <c r="I4338" s="4">
        <v>45656.875</v>
      </c>
      <c r="K4338" t="s">
        <v>1471</v>
      </c>
      <c r="L4338" s="5"/>
      <c r="M4338" s="5"/>
      <c r="N4338" t="s">
        <v>82</v>
      </c>
      <c r="O4338" t="s">
        <v>11648</v>
      </c>
      <c r="R4338">
        <v>1</v>
      </c>
      <c r="T4338" s="5" t="s">
        <v>48</v>
      </c>
      <c r="U4338" t="s">
        <v>11649</v>
      </c>
      <c r="V4338" t="s">
        <v>11650</v>
      </c>
      <c r="W4338">
        <v>208</v>
      </c>
      <c r="X4338" t="s">
        <v>594</v>
      </c>
      <c r="Y4338" t="str">
        <f>VLOOKUP(C4338,'[1]DBS_KPY Sorumlular'!A:C,2,FALSE)</f>
        <v>Mustafa AYDIN</v>
      </c>
      <c r="Z4338" t="str">
        <f>VLOOKUP(C4338,'[1]DBS_KPY Sorumlular'!A:C,3,FALSE)</f>
        <v>Esra DOLAN</v>
      </c>
      <c r="AA4338" t="str">
        <f>VLOOKUP(K4338,[1]!Tablo3[#Data],2,FALSE)</f>
        <v>Tayfun VİÇE</v>
      </c>
    </row>
    <row r="4339" spans="1:27" x14ac:dyDescent="0.25">
      <c r="A4339">
        <v>5739</v>
      </c>
      <c r="B4339" t="s">
        <v>27</v>
      </c>
      <c r="C4339" t="s">
        <v>40</v>
      </c>
      <c r="D4339" t="s">
        <v>65</v>
      </c>
      <c r="G4339" t="s">
        <v>30</v>
      </c>
      <c r="H4339" t="s">
        <v>11651</v>
      </c>
      <c r="I4339" s="4">
        <v>45837.875</v>
      </c>
      <c r="K4339" t="s">
        <v>217</v>
      </c>
      <c r="L4339" s="5"/>
      <c r="M4339" s="5"/>
      <c r="N4339" t="s">
        <v>46</v>
      </c>
      <c r="O4339" t="s">
        <v>11652</v>
      </c>
      <c r="R4339">
        <v>0.98</v>
      </c>
      <c r="T4339" s="5" t="s">
        <v>100</v>
      </c>
      <c r="W4339">
        <v>103</v>
      </c>
      <c r="X4339" t="s">
        <v>353</v>
      </c>
      <c r="Y4339" t="str">
        <f>VLOOKUP(C4339,'[1]DBS_KPY Sorumlular'!A:C,2,FALSE)</f>
        <v>Mustafa AYDIN</v>
      </c>
      <c r="Z4339" t="str">
        <f>VLOOKUP(C4339,'[1]DBS_KPY Sorumlular'!A:C,3,FALSE)</f>
        <v>Esra DOLAN</v>
      </c>
      <c r="AA4339" t="str">
        <f>VLOOKUP(K4339,[1]!Tablo3[#Data],2,FALSE)</f>
        <v>Erkan AKDOĞAN</v>
      </c>
    </row>
    <row r="4340" spans="1:27" x14ac:dyDescent="0.25">
      <c r="A4340">
        <v>5740</v>
      </c>
      <c r="B4340" t="s">
        <v>27</v>
      </c>
      <c r="C4340" t="s">
        <v>40</v>
      </c>
      <c r="D4340" t="s">
        <v>65</v>
      </c>
      <c r="G4340" t="s">
        <v>67</v>
      </c>
      <c r="H4340" t="s">
        <v>11653</v>
      </c>
      <c r="I4340" s="4">
        <v>45549.875</v>
      </c>
      <c r="K4340" t="s">
        <v>459</v>
      </c>
      <c r="L4340" s="5"/>
      <c r="M4340" s="5"/>
      <c r="N4340" t="s">
        <v>82</v>
      </c>
      <c r="O4340" t="s">
        <v>11654</v>
      </c>
      <c r="R4340">
        <v>1</v>
      </c>
      <c r="T4340" s="5"/>
      <c r="W4340">
        <v>203</v>
      </c>
      <c r="X4340" t="s">
        <v>72</v>
      </c>
      <c r="Y4340" t="str">
        <f>VLOOKUP(C4340,'[1]DBS_KPY Sorumlular'!A:C,2,FALSE)</f>
        <v>Mustafa AYDIN</v>
      </c>
      <c r="Z4340" t="str">
        <f>VLOOKUP(C4340,'[1]DBS_KPY Sorumlular'!A:C,3,FALSE)</f>
        <v>Esra DOLAN</v>
      </c>
      <c r="AA4340" t="str">
        <f>VLOOKUP(K4340,[1]!Tablo3[#Data],2,FALSE)</f>
        <v>Erkan AKDOĞAN</v>
      </c>
    </row>
    <row r="4341" spans="1:27" x14ac:dyDescent="0.25">
      <c r="A4341">
        <v>5741</v>
      </c>
      <c r="B4341" t="s">
        <v>27</v>
      </c>
      <c r="C4341" t="s">
        <v>40</v>
      </c>
      <c r="D4341" t="s">
        <v>65</v>
      </c>
      <c r="G4341" t="s">
        <v>67</v>
      </c>
      <c r="H4341" t="s">
        <v>11655</v>
      </c>
      <c r="I4341" s="4">
        <v>45549.875</v>
      </c>
      <c r="K4341" t="s">
        <v>534</v>
      </c>
      <c r="L4341" s="5"/>
      <c r="M4341" s="5"/>
      <c r="N4341" t="s">
        <v>82</v>
      </c>
      <c r="O4341" t="s">
        <v>11656</v>
      </c>
      <c r="R4341">
        <v>1</v>
      </c>
      <c r="T4341" s="5"/>
      <c r="W4341">
        <v>203</v>
      </c>
      <c r="X4341" t="s">
        <v>72</v>
      </c>
      <c r="Y4341" t="str">
        <f>VLOOKUP(C4341,'[1]DBS_KPY Sorumlular'!A:C,2,FALSE)</f>
        <v>Mustafa AYDIN</v>
      </c>
      <c r="Z4341" t="str">
        <f>VLOOKUP(C4341,'[1]DBS_KPY Sorumlular'!A:C,3,FALSE)</f>
        <v>Esra DOLAN</v>
      </c>
      <c r="AA4341" t="str">
        <f>VLOOKUP(K4341,[1]!Tablo3[#Data],2,FALSE)</f>
        <v>Erkan AKDOĞAN</v>
      </c>
    </row>
    <row r="4342" spans="1:27" x14ac:dyDescent="0.25">
      <c r="A4342">
        <v>5742</v>
      </c>
      <c r="B4342" t="s">
        <v>27</v>
      </c>
      <c r="C4342" t="s">
        <v>40</v>
      </c>
      <c r="D4342" t="s">
        <v>65</v>
      </c>
      <c r="G4342" t="s">
        <v>67</v>
      </c>
      <c r="H4342" t="s">
        <v>11657</v>
      </c>
      <c r="I4342" s="4">
        <v>45929.875</v>
      </c>
      <c r="K4342" t="s">
        <v>1029</v>
      </c>
      <c r="L4342" s="5"/>
      <c r="M4342" s="5"/>
      <c r="N4342" t="s">
        <v>46</v>
      </c>
      <c r="O4342" t="s">
        <v>11658</v>
      </c>
      <c r="R4342">
        <v>0.82</v>
      </c>
      <c r="T4342" s="5" t="s">
        <v>48</v>
      </c>
      <c r="U4342" t="s">
        <v>11659</v>
      </c>
      <c r="V4342" t="s">
        <v>11660</v>
      </c>
      <c r="W4342">
        <v>203</v>
      </c>
      <c r="X4342" t="s">
        <v>72</v>
      </c>
      <c r="Y4342" t="str">
        <f>VLOOKUP(C4342,'[1]DBS_KPY Sorumlular'!A:C,2,FALSE)</f>
        <v>Mustafa AYDIN</v>
      </c>
      <c r="Z4342" t="str">
        <f>VLOOKUP(C4342,'[1]DBS_KPY Sorumlular'!A:C,3,FALSE)</f>
        <v>Esra DOLAN</v>
      </c>
      <c r="AA4342" t="str">
        <f>VLOOKUP(K4342,[1]!Tablo3[#Data],2,FALSE)</f>
        <v>Tayfun VİÇE</v>
      </c>
    </row>
    <row r="4343" spans="1:27" x14ac:dyDescent="0.25">
      <c r="A4343">
        <v>5743</v>
      </c>
      <c r="B4343" t="s">
        <v>27</v>
      </c>
      <c r="C4343" t="s">
        <v>40</v>
      </c>
      <c r="D4343" t="s">
        <v>41</v>
      </c>
      <c r="G4343" t="s">
        <v>96</v>
      </c>
      <c r="H4343" t="s">
        <v>11661</v>
      </c>
      <c r="I4343" s="4">
        <v>45071.875</v>
      </c>
      <c r="K4343" t="s">
        <v>853</v>
      </c>
      <c r="L4343" s="5"/>
      <c r="M4343" s="5"/>
      <c r="N4343" t="s">
        <v>82</v>
      </c>
      <c r="O4343" t="s">
        <v>11662</v>
      </c>
      <c r="R4343">
        <v>1</v>
      </c>
      <c r="T4343" s="5" t="s">
        <v>58</v>
      </c>
      <c r="U4343" t="s">
        <v>650</v>
      </c>
      <c r="V4343" t="s">
        <v>651</v>
      </c>
      <c r="W4343">
        <v>91</v>
      </c>
      <c r="X4343" t="s">
        <v>101</v>
      </c>
      <c r="Y4343" t="str">
        <f>VLOOKUP(C4343,'[1]DBS_KPY Sorumlular'!A:C,2,FALSE)</f>
        <v>Mustafa AYDIN</v>
      </c>
      <c r="Z4343" t="str">
        <f>VLOOKUP(C4343,'[1]DBS_KPY Sorumlular'!A:C,3,FALSE)</f>
        <v>Esra DOLAN</v>
      </c>
      <c r="AA4343" t="str">
        <f>VLOOKUP(K4343,[1]!Tablo3[#Data],2,FALSE)</f>
        <v>Erkan AKDOĞAN</v>
      </c>
    </row>
    <row r="4344" spans="1:27" x14ac:dyDescent="0.25">
      <c r="A4344">
        <v>5744</v>
      </c>
      <c r="B4344" t="s">
        <v>27</v>
      </c>
      <c r="C4344" t="s">
        <v>40</v>
      </c>
      <c r="D4344" t="s">
        <v>41</v>
      </c>
      <c r="G4344" t="s">
        <v>96</v>
      </c>
      <c r="H4344" t="s">
        <v>11663</v>
      </c>
      <c r="I4344" s="4">
        <v>45483.875</v>
      </c>
      <c r="K4344" t="s">
        <v>1157</v>
      </c>
      <c r="L4344" s="5"/>
      <c r="M4344" s="5"/>
      <c r="N4344" t="s">
        <v>82</v>
      </c>
      <c r="O4344" t="s">
        <v>11664</v>
      </c>
      <c r="R4344">
        <v>1</v>
      </c>
      <c r="T4344" s="5"/>
      <c r="W4344">
        <v>91</v>
      </c>
      <c r="X4344" t="s">
        <v>101</v>
      </c>
      <c r="Y4344" t="str">
        <f>VLOOKUP(C4344,'[1]DBS_KPY Sorumlular'!A:C,2,FALSE)</f>
        <v>Mustafa AYDIN</v>
      </c>
      <c r="Z4344" t="str">
        <f>VLOOKUP(C4344,'[1]DBS_KPY Sorumlular'!A:C,3,FALSE)</f>
        <v>Esra DOLAN</v>
      </c>
      <c r="AA4344" t="str">
        <f>VLOOKUP(K4344,[1]!Tablo3[#Data],2,FALSE)</f>
        <v>Tayfun VİÇE</v>
      </c>
    </row>
    <row r="4345" spans="1:27" x14ac:dyDescent="0.25">
      <c r="A4345">
        <v>5745</v>
      </c>
      <c r="B4345" t="s">
        <v>27</v>
      </c>
      <c r="C4345" t="s">
        <v>40</v>
      </c>
      <c r="D4345" t="s">
        <v>41</v>
      </c>
      <c r="G4345" t="s">
        <v>96</v>
      </c>
      <c r="H4345" t="s">
        <v>11665</v>
      </c>
      <c r="I4345" s="4">
        <v>45837.875</v>
      </c>
      <c r="K4345" t="s">
        <v>98</v>
      </c>
      <c r="L4345" s="5"/>
      <c r="M4345" s="5"/>
      <c r="N4345" t="s">
        <v>46</v>
      </c>
      <c r="O4345" t="s">
        <v>11666</v>
      </c>
      <c r="R4345">
        <v>0.85</v>
      </c>
      <c r="T4345" s="5" t="s">
        <v>58</v>
      </c>
      <c r="U4345" t="s">
        <v>1509</v>
      </c>
      <c r="V4345" t="s">
        <v>1510</v>
      </c>
      <c r="W4345">
        <v>91</v>
      </c>
      <c r="X4345" t="s">
        <v>101</v>
      </c>
      <c r="Y4345" t="str">
        <f>VLOOKUP(C4345,'[1]DBS_KPY Sorumlular'!A:C,2,FALSE)</f>
        <v>Mustafa AYDIN</v>
      </c>
      <c r="Z4345" t="str">
        <f>VLOOKUP(C4345,'[1]DBS_KPY Sorumlular'!A:C,3,FALSE)</f>
        <v>Esra DOLAN</v>
      </c>
      <c r="AA4345" t="str">
        <f>VLOOKUP(K4345,[1]!Tablo3[#Data],2,FALSE)</f>
        <v>Tayfun VİÇE</v>
      </c>
    </row>
    <row r="4346" spans="1:27" x14ac:dyDescent="0.25">
      <c r="A4346">
        <v>5746</v>
      </c>
      <c r="B4346" t="s">
        <v>27</v>
      </c>
      <c r="C4346" t="s">
        <v>40</v>
      </c>
      <c r="D4346" t="s">
        <v>41</v>
      </c>
      <c r="G4346" t="s">
        <v>96</v>
      </c>
      <c r="H4346" t="s">
        <v>11667</v>
      </c>
      <c r="I4346" s="4">
        <v>45714.875</v>
      </c>
      <c r="K4346" t="s">
        <v>743</v>
      </c>
      <c r="L4346" s="5"/>
      <c r="M4346" s="5"/>
      <c r="N4346" t="s">
        <v>82</v>
      </c>
      <c r="O4346" t="s">
        <v>11668</v>
      </c>
      <c r="R4346">
        <v>1</v>
      </c>
      <c r="T4346" s="5" t="s">
        <v>58</v>
      </c>
      <c r="U4346" t="s">
        <v>758</v>
      </c>
      <c r="V4346" t="s">
        <v>759</v>
      </c>
      <c r="W4346">
        <v>28</v>
      </c>
      <c r="X4346" t="s">
        <v>667</v>
      </c>
      <c r="Y4346" t="str">
        <f>VLOOKUP(C4346,'[1]DBS_KPY Sorumlular'!A:C,2,FALSE)</f>
        <v>Mustafa AYDIN</v>
      </c>
      <c r="Z4346" t="str">
        <f>VLOOKUP(C4346,'[1]DBS_KPY Sorumlular'!A:C,3,FALSE)</f>
        <v>Esra DOLAN</v>
      </c>
      <c r="AA4346" t="str">
        <f>VLOOKUP(K4346,[1]!Tablo3[#Data],2,FALSE)</f>
        <v>Kadir TOPÇU</v>
      </c>
    </row>
    <row r="4347" spans="1:27" x14ac:dyDescent="0.25">
      <c r="A4347">
        <v>5747</v>
      </c>
      <c r="B4347" t="s">
        <v>27</v>
      </c>
      <c r="C4347" t="s">
        <v>40</v>
      </c>
      <c r="D4347" t="s">
        <v>41</v>
      </c>
      <c r="G4347" t="s">
        <v>43</v>
      </c>
      <c r="H4347" t="s">
        <v>11669</v>
      </c>
      <c r="I4347" s="4">
        <v>45427.875</v>
      </c>
      <c r="K4347" t="s">
        <v>143</v>
      </c>
      <c r="L4347" s="5"/>
      <c r="M4347" s="5"/>
      <c r="N4347" t="s">
        <v>82</v>
      </c>
      <c r="O4347" t="s">
        <v>11670</v>
      </c>
      <c r="R4347">
        <v>1</v>
      </c>
      <c r="T4347" s="5" t="s">
        <v>58</v>
      </c>
      <c r="U4347" t="s">
        <v>134</v>
      </c>
      <c r="V4347" t="s">
        <v>135</v>
      </c>
      <c r="W4347">
        <v>116</v>
      </c>
      <c r="X4347" t="s">
        <v>3651</v>
      </c>
      <c r="Y4347" t="str">
        <f>VLOOKUP(C4347,'[1]DBS_KPY Sorumlular'!A:C,2,FALSE)</f>
        <v>Mustafa AYDIN</v>
      </c>
      <c r="Z4347" t="str">
        <f>VLOOKUP(C4347,'[1]DBS_KPY Sorumlular'!A:C,3,FALSE)</f>
        <v>Esra DOLAN</v>
      </c>
      <c r="AA4347" t="str">
        <f>VLOOKUP(K4347,[1]!Tablo3[#Data],2,FALSE)</f>
        <v>Tayfun VİÇE</v>
      </c>
    </row>
    <row r="4348" spans="1:27" x14ac:dyDescent="0.25">
      <c r="A4348">
        <v>5748</v>
      </c>
      <c r="B4348" t="s">
        <v>27</v>
      </c>
      <c r="C4348" t="s">
        <v>40</v>
      </c>
      <c r="D4348" t="s">
        <v>41</v>
      </c>
      <c r="G4348" t="s">
        <v>43</v>
      </c>
      <c r="H4348" t="s">
        <v>11671</v>
      </c>
      <c r="I4348" s="4">
        <v>46044.875</v>
      </c>
      <c r="K4348" t="s">
        <v>743</v>
      </c>
      <c r="L4348" s="5"/>
      <c r="M4348" s="5"/>
      <c r="N4348" t="s">
        <v>46</v>
      </c>
      <c r="O4348" t="s">
        <v>11672</v>
      </c>
      <c r="R4348">
        <v>0.81</v>
      </c>
      <c r="T4348" s="5" t="s">
        <v>48</v>
      </c>
      <c r="U4348" t="s">
        <v>11673</v>
      </c>
      <c r="V4348" t="s">
        <v>11674</v>
      </c>
      <c r="W4348">
        <v>87</v>
      </c>
      <c r="X4348" t="s">
        <v>119</v>
      </c>
      <c r="Y4348" t="str">
        <f>VLOOKUP(C4348,'[1]DBS_KPY Sorumlular'!A:C,2,FALSE)</f>
        <v>Mustafa AYDIN</v>
      </c>
      <c r="Z4348" t="str">
        <f>VLOOKUP(C4348,'[1]DBS_KPY Sorumlular'!A:C,3,FALSE)</f>
        <v>Esra DOLAN</v>
      </c>
      <c r="AA4348" t="str">
        <f>VLOOKUP(K4348,[1]!Tablo3[#Data],2,FALSE)</f>
        <v>Kadir TOPÇU</v>
      </c>
    </row>
    <row r="4349" spans="1:27" x14ac:dyDescent="0.25">
      <c r="A4349">
        <v>5749</v>
      </c>
      <c r="B4349" t="s">
        <v>27</v>
      </c>
      <c r="C4349" t="s">
        <v>40</v>
      </c>
      <c r="D4349" t="s">
        <v>41</v>
      </c>
      <c r="G4349" t="s">
        <v>43</v>
      </c>
      <c r="H4349" t="s">
        <v>11675</v>
      </c>
      <c r="I4349" s="4">
        <v>45807.875</v>
      </c>
      <c r="K4349" t="s">
        <v>325</v>
      </c>
      <c r="L4349" s="5"/>
      <c r="M4349" s="5"/>
      <c r="N4349" t="s">
        <v>82</v>
      </c>
      <c r="O4349" t="s">
        <v>11676</v>
      </c>
      <c r="R4349">
        <v>1</v>
      </c>
      <c r="T4349" s="5" t="s">
        <v>58</v>
      </c>
      <c r="U4349" t="s">
        <v>192</v>
      </c>
      <c r="V4349" t="s">
        <v>193</v>
      </c>
      <c r="W4349">
        <v>30</v>
      </c>
      <c r="X4349" t="s">
        <v>327</v>
      </c>
      <c r="Y4349" t="str">
        <f>VLOOKUP(C4349,'[1]DBS_KPY Sorumlular'!A:C,2,FALSE)</f>
        <v>Mustafa AYDIN</v>
      </c>
      <c r="Z4349" t="str">
        <f>VLOOKUP(C4349,'[1]DBS_KPY Sorumlular'!A:C,3,FALSE)</f>
        <v>Esra DOLAN</v>
      </c>
      <c r="AA4349" t="str">
        <f>VLOOKUP(K4349,[1]!Tablo3[#Data],2,FALSE)</f>
        <v>Kadir TOPÇU</v>
      </c>
    </row>
    <row r="4350" spans="1:27" x14ac:dyDescent="0.25">
      <c r="A4350">
        <v>5750</v>
      </c>
      <c r="B4350" t="s">
        <v>27</v>
      </c>
      <c r="C4350" t="s">
        <v>40</v>
      </c>
      <c r="D4350" t="s">
        <v>41</v>
      </c>
      <c r="G4350" t="s">
        <v>43</v>
      </c>
      <c r="H4350" t="s">
        <v>11677</v>
      </c>
      <c r="I4350" s="4">
        <v>45309.875</v>
      </c>
      <c r="K4350" t="s">
        <v>743</v>
      </c>
      <c r="L4350" s="5"/>
      <c r="M4350" s="5" t="s">
        <v>11678</v>
      </c>
      <c r="N4350" t="s">
        <v>82</v>
      </c>
      <c r="O4350" t="s">
        <v>11679</v>
      </c>
      <c r="R4350">
        <v>1</v>
      </c>
      <c r="T4350" s="5" t="s">
        <v>48</v>
      </c>
      <c r="U4350" t="s">
        <v>11680</v>
      </c>
      <c r="V4350" t="s">
        <v>11681</v>
      </c>
      <c r="W4350">
        <v>40</v>
      </c>
      <c r="X4350" t="s">
        <v>1117</v>
      </c>
      <c r="Y4350" t="str">
        <f>VLOOKUP(C4350,'[1]DBS_KPY Sorumlular'!A:C,2,FALSE)</f>
        <v>Mustafa AYDIN</v>
      </c>
      <c r="Z4350" t="str">
        <f>VLOOKUP(C4350,'[1]DBS_KPY Sorumlular'!A:C,3,FALSE)</f>
        <v>Esra DOLAN</v>
      </c>
      <c r="AA4350" t="str">
        <f>VLOOKUP(K4350,[1]!Tablo3[#Data],2,FALSE)</f>
        <v>Kadir TOPÇU</v>
      </c>
    </row>
    <row r="4351" spans="1:27" x14ac:dyDescent="0.25">
      <c r="A4351">
        <v>5751</v>
      </c>
      <c r="B4351" t="s">
        <v>27</v>
      </c>
      <c r="C4351" t="s">
        <v>40</v>
      </c>
      <c r="D4351" t="s">
        <v>41</v>
      </c>
      <c r="G4351" t="s">
        <v>43</v>
      </c>
      <c r="H4351" t="s">
        <v>11682</v>
      </c>
      <c r="I4351" s="4">
        <v>45641.875</v>
      </c>
      <c r="K4351" t="s">
        <v>152</v>
      </c>
      <c r="L4351" s="5"/>
      <c r="M4351" s="5"/>
      <c r="N4351" t="s">
        <v>82</v>
      </c>
      <c r="O4351" t="s">
        <v>11683</v>
      </c>
      <c r="R4351">
        <v>1</v>
      </c>
      <c r="T4351" s="5" t="s">
        <v>58</v>
      </c>
      <c r="U4351" t="s">
        <v>752</v>
      </c>
      <c r="V4351" t="s">
        <v>753</v>
      </c>
      <c r="W4351">
        <v>172</v>
      </c>
      <c r="X4351" t="s">
        <v>240</v>
      </c>
      <c r="Y4351" t="str">
        <f>VLOOKUP(C4351,'[1]DBS_KPY Sorumlular'!A:C,2,FALSE)</f>
        <v>Mustafa AYDIN</v>
      </c>
      <c r="Z4351" t="str">
        <f>VLOOKUP(C4351,'[1]DBS_KPY Sorumlular'!A:C,3,FALSE)</f>
        <v>Esra DOLAN</v>
      </c>
      <c r="AA4351" t="str">
        <f>VLOOKUP(K4351,[1]!Tablo3[#Data],2,FALSE)</f>
        <v>Erkan AKDOĞAN</v>
      </c>
    </row>
    <row r="4352" spans="1:27" x14ac:dyDescent="0.25">
      <c r="A4352">
        <v>5752</v>
      </c>
      <c r="B4352" t="s">
        <v>27</v>
      </c>
      <c r="C4352" t="s">
        <v>137</v>
      </c>
      <c r="D4352" t="s">
        <v>4030</v>
      </c>
      <c r="E4352" t="s">
        <v>4030</v>
      </c>
      <c r="F4352" t="s">
        <v>2543</v>
      </c>
      <c r="G4352" t="s">
        <v>140</v>
      </c>
      <c r="H4352" t="s">
        <v>11684</v>
      </c>
      <c r="I4352" s="4">
        <v>44131.875</v>
      </c>
      <c r="J4352" t="s">
        <v>3925</v>
      </c>
      <c r="K4352" t="s">
        <v>423</v>
      </c>
      <c r="L4352" s="5"/>
      <c r="M4352" s="5"/>
      <c r="N4352" t="s">
        <v>82</v>
      </c>
      <c r="O4352" t="s">
        <v>11685</v>
      </c>
      <c r="R4352">
        <v>1</v>
      </c>
      <c r="T4352" s="5"/>
      <c r="W4352">
        <v>126</v>
      </c>
      <c r="X4352" t="s">
        <v>147</v>
      </c>
      <c r="Y4352" t="str">
        <f>VLOOKUP(C4352,'[1]DBS_KPY Sorumlular'!A:C,2,FALSE)</f>
        <v>Erkan AKDOĞAN</v>
      </c>
      <c r="Z4352" t="str">
        <f>VLOOKUP(C4352,'[1]DBS_KPY Sorumlular'!A:C,3,FALSE)</f>
        <v>Kadir TOPÇU</v>
      </c>
      <c r="AA4352" t="str">
        <f>VLOOKUP(K4352,[1]!Tablo3[#Data],2,FALSE)</f>
        <v>Kadir TOPÇU</v>
      </c>
    </row>
    <row r="4353" spans="1:27" x14ac:dyDescent="0.25">
      <c r="A4353">
        <v>5753</v>
      </c>
      <c r="B4353" t="s">
        <v>27</v>
      </c>
      <c r="C4353" t="s">
        <v>137</v>
      </c>
      <c r="D4353" t="s">
        <v>4030</v>
      </c>
      <c r="E4353" t="s">
        <v>4030</v>
      </c>
      <c r="F4353" t="s">
        <v>2543</v>
      </c>
      <c r="G4353" t="s">
        <v>140</v>
      </c>
      <c r="H4353" t="s">
        <v>11686</v>
      </c>
      <c r="I4353" s="4">
        <v>46506.875</v>
      </c>
      <c r="J4353" t="s">
        <v>11687</v>
      </c>
      <c r="K4353" t="s">
        <v>364</v>
      </c>
      <c r="L4353" s="5"/>
      <c r="M4353" s="5" t="s">
        <v>11688</v>
      </c>
      <c r="N4353" t="s">
        <v>46</v>
      </c>
      <c r="O4353" t="s">
        <v>11689</v>
      </c>
      <c r="R4353">
        <v>0.57999999999999996</v>
      </c>
      <c r="T4353" s="5"/>
      <c r="W4353">
        <v>126</v>
      </c>
      <c r="X4353" t="s">
        <v>147</v>
      </c>
      <c r="Y4353" t="str">
        <f>VLOOKUP(C4353,'[1]DBS_KPY Sorumlular'!A:C,2,FALSE)</f>
        <v>Erkan AKDOĞAN</v>
      </c>
      <c r="Z4353" t="str">
        <f>VLOOKUP(C4353,'[1]DBS_KPY Sorumlular'!A:C,3,FALSE)</f>
        <v>Kadir TOPÇU</v>
      </c>
      <c r="AA4353" t="str">
        <f>VLOOKUP(K4353,[1]!Tablo3[#Data],2,FALSE)</f>
        <v>Kadir TOPÇU</v>
      </c>
    </row>
    <row r="4354" spans="1:27" x14ac:dyDescent="0.25">
      <c r="A4354">
        <v>5754</v>
      </c>
      <c r="B4354" t="s">
        <v>27</v>
      </c>
      <c r="C4354" t="s">
        <v>137</v>
      </c>
      <c r="D4354" t="s">
        <v>4030</v>
      </c>
      <c r="E4354" t="s">
        <v>4030</v>
      </c>
      <c r="F4354" t="s">
        <v>2543</v>
      </c>
      <c r="G4354" t="s">
        <v>140</v>
      </c>
      <c r="H4354" t="s">
        <v>11690</v>
      </c>
      <c r="I4354" s="4">
        <v>46567.875</v>
      </c>
      <c r="J4354" t="s">
        <v>11691</v>
      </c>
      <c r="K4354" t="s">
        <v>678</v>
      </c>
      <c r="L4354" s="5" t="s">
        <v>11692</v>
      </c>
      <c r="M4354" s="5" t="s">
        <v>11692</v>
      </c>
      <c r="N4354" t="s">
        <v>46</v>
      </c>
      <c r="O4354" t="s">
        <v>11693</v>
      </c>
      <c r="R4354">
        <v>7.0000000000000007E-2</v>
      </c>
      <c r="T4354" s="5"/>
      <c r="W4354">
        <v>192</v>
      </c>
      <c r="X4354" t="s">
        <v>1770</v>
      </c>
      <c r="Y4354" t="str">
        <f>VLOOKUP(C4354,'[1]DBS_KPY Sorumlular'!A:C,2,FALSE)</f>
        <v>Erkan AKDOĞAN</v>
      </c>
      <c r="Z4354" t="str">
        <f>VLOOKUP(C4354,'[1]DBS_KPY Sorumlular'!A:C,3,FALSE)</f>
        <v>Kadir TOPÇU</v>
      </c>
      <c r="AA4354" t="str">
        <f>VLOOKUP(K4354,[1]!Tablo3[#Data],2,FALSE)</f>
        <v>Kadir TOPÇU</v>
      </c>
    </row>
    <row r="4355" spans="1:27" x14ac:dyDescent="0.25">
      <c r="A4355">
        <v>5755</v>
      </c>
      <c r="B4355" t="s">
        <v>27</v>
      </c>
      <c r="C4355" t="s">
        <v>137</v>
      </c>
      <c r="D4355" t="s">
        <v>138</v>
      </c>
      <c r="E4355" t="s">
        <v>4030</v>
      </c>
      <c r="F4355" t="s">
        <v>2543</v>
      </c>
      <c r="G4355" t="s">
        <v>140</v>
      </c>
      <c r="H4355" t="s">
        <v>11694</v>
      </c>
      <c r="I4355" s="4">
        <v>47117.875</v>
      </c>
      <c r="J4355" t="s">
        <v>11695</v>
      </c>
      <c r="K4355" t="s">
        <v>914</v>
      </c>
      <c r="L4355" s="5" t="s">
        <v>11696</v>
      </c>
      <c r="M4355" s="5" t="s">
        <v>11696</v>
      </c>
      <c r="N4355" t="s">
        <v>46</v>
      </c>
      <c r="O4355" t="s">
        <v>11697</v>
      </c>
      <c r="R4355">
        <v>0.08</v>
      </c>
      <c r="T4355" s="5"/>
      <c r="W4355">
        <v>126</v>
      </c>
      <c r="X4355" t="s">
        <v>147</v>
      </c>
      <c r="Y4355" t="str">
        <f>VLOOKUP(C4355,'[1]DBS_KPY Sorumlular'!A:C,2,FALSE)</f>
        <v>Erkan AKDOĞAN</v>
      </c>
      <c r="Z4355" t="str">
        <f>VLOOKUP(C4355,'[1]DBS_KPY Sorumlular'!A:C,3,FALSE)</f>
        <v>Kadir TOPÇU</v>
      </c>
      <c r="AA4355" t="str">
        <f>VLOOKUP(K4355,[1]!Tablo3[#Data],2,FALSE)</f>
        <v>Tayfun VİÇE</v>
      </c>
    </row>
    <row r="4356" spans="1:27" x14ac:dyDescent="0.25">
      <c r="A4356">
        <v>5756</v>
      </c>
      <c r="B4356" t="s">
        <v>1419</v>
      </c>
      <c r="C4356" t="s">
        <v>137</v>
      </c>
      <c r="D4356" t="s">
        <v>138</v>
      </c>
      <c r="E4356" t="s">
        <v>138</v>
      </c>
      <c r="F4356" t="s">
        <v>139</v>
      </c>
      <c r="G4356" t="s">
        <v>140</v>
      </c>
      <c r="H4356" t="s">
        <v>11698</v>
      </c>
      <c r="I4356" s="4"/>
      <c r="J4356" t="s">
        <v>3925</v>
      </c>
      <c r="K4356" t="s">
        <v>1528</v>
      </c>
      <c r="L4356" s="5"/>
      <c r="M4356" s="5"/>
      <c r="N4356" t="s">
        <v>35</v>
      </c>
      <c r="O4356" t="s">
        <v>11699</v>
      </c>
      <c r="T4356" s="5"/>
      <c r="W4356">
        <v>192</v>
      </c>
      <c r="X4356" t="s">
        <v>1770</v>
      </c>
      <c r="Y4356" t="str">
        <f>VLOOKUP(C4356,'[1]DBS_KPY Sorumlular'!A:C,2,FALSE)</f>
        <v>Erkan AKDOĞAN</v>
      </c>
      <c r="Z4356" t="str">
        <f>VLOOKUP(C4356,'[1]DBS_KPY Sorumlular'!A:C,3,FALSE)</f>
        <v>Kadir TOPÇU</v>
      </c>
      <c r="AA4356" t="str">
        <f>VLOOKUP(K4356,[1]!Tablo3[#Data],2,FALSE)</f>
        <v>Tayfun VİÇE</v>
      </c>
    </row>
    <row r="4357" spans="1:27" x14ac:dyDescent="0.25">
      <c r="A4357">
        <v>5757</v>
      </c>
      <c r="B4357" t="s">
        <v>1419</v>
      </c>
      <c r="C4357" t="s">
        <v>137</v>
      </c>
      <c r="D4357" t="s">
        <v>4030</v>
      </c>
      <c r="E4357" t="s">
        <v>4030</v>
      </c>
      <c r="F4357" t="s">
        <v>139</v>
      </c>
      <c r="G4357" t="s">
        <v>140</v>
      </c>
      <c r="H4357" t="s">
        <v>11700</v>
      </c>
      <c r="I4357" s="4"/>
      <c r="J4357" t="s">
        <v>3925</v>
      </c>
      <c r="K4357" t="s">
        <v>926</v>
      </c>
      <c r="L4357" s="5"/>
      <c r="M4357" s="5"/>
      <c r="N4357" t="s">
        <v>35</v>
      </c>
      <c r="O4357" t="s">
        <v>11701</v>
      </c>
      <c r="T4357" s="5"/>
      <c r="W4357">
        <v>126</v>
      </c>
      <c r="X4357" t="s">
        <v>147</v>
      </c>
      <c r="Y4357" t="str">
        <f>VLOOKUP(C4357,'[1]DBS_KPY Sorumlular'!A:C,2,FALSE)</f>
        <v>Erkan AKDOĞAN</v>
      </c>
      <c r="Z4357" t="str">
        <f>VLOOKUP(C4357,'[1]DBS_KPY Sorumlular'!A:C,3,FALSE)</f>
        <v>Kadir TOPÇU</v>
      </c>
      <c r="AA4357" t="str">
        <f>VLOOKUP(K4357,[1]!Tablo3[#Data],2,FALSE)</f>
        <v>Kadir TOPÇU</v>
      </c>
    </row>
    <row r="4358" spans="1:27" x14ac:dyDescent="0.25">
      <c r="A4358">
        <v>5758</v>
      </c>
      <c r="B4358" t="s">
        <v>1419</v>
      </c>
      <c r="C4358" t="s">
        <v>137</v>
      </c>
      <c r="D4358" t="s">
        <v>4030</v>
      </c>
      <c r="E4358" t="s">
        <v>4030</v>
      </c>
      <c r="F4358" t="s">
        <v>139</v>
      </c>
      <c r="G4358" t="s">
        <v>140</v>
      </c>
      <c r="H4358" t="s">
        <v>11702</v>
      </c>
      <c r="I4358" s="4"/>
      <c r="J4358" t="s">
        <v>3925</v>
      </c>
      <c r="K4358" t="s">
        <v>926</v>
      </c>
      <c r="L4358" s="5"/>
      <c r="M4358" s="5"/>
      <c r="N4358" t="s">
        <v>35</v>
      </c>
      <c r="O4358" t="s">
        <v>11703</v>
      </c>
      <c r="T4358" s="5"/>
      <c r="W4358">
        <v>126</v>
      </c>
      <c r="X4358" t="s">
        <v>147</v>
      </c>
      <c r="Y4358" t="str">
        <f>VLOOKUP(C4358,'[1]DBS_KPY Sorumlular'!A:C,2,FALSE)</f>
        <v>Erkan AKDOĞAN</v>
      </c>
      <c r="Z4358" t="str">
        <f>VLOOKUP(C4358,'[1]DBS_KPY Sorumlular'!A:C,3,FALSE)</f>
        <v>Kadir TOPÇU</v>
      </c>
      <c r="AA4358" t="str">
        <f>VLOOKUP(K4358,[1]!Tablo3[#Data],2,FALSE)</f>
        <v>Kadir TOPÇU</v>
      </c>
    </row>
    <row r="4359" spans="1:27" x14ac:dyDescent="0.25">
      <c r="A4359">
        <v>5759</v>
      </c>
      <c r="B4359" t="s">
        <v>1419</v>
      </c>
      <c r="C4359" t="s">
        <v>137</v>
      </c>
      <c r="D4359" t="s">
        <v>138</v>
      </c>
      <c r="E4359" t="s">
        <v>138</v>
      </c>
      <c r="F4359" t="s">
        <v>139</v>
      </c>
      <c r="G4359" t="s">
        <v>140</v>
      </c>
      <c r="H4359" t="s">
        <v>11704</v>
      </c>
      <c r="I4359" s="4"/>
      <c r="J4359" t="s">
        <v>3925</v>
      </c>
      <c r="K4359" t="s">
        <v>143</v>
      </c>
      <c r="L4359" s="5"/>
      <c r="M4359" s="5"/>
      <c r="N4359" t="s">
        <v>35</v>
      </c>
      <c r="O4359" t="s">
        <v>11705</v>
      </c>
      <c r="T4359" s="5"/>
      <c r="W4359">
        <v>126</v>
      </c>
      <c r="X4359" t="s">
        <v>147</v>
      </c>
      <c r="Y4359" t="str">
        <f>VLOOKUP(C4359,'[1]DBS_KPY Sorumlular'!A:C,2,FALSE)</f>
        <v>Erkan AKDOĞAN</v>
      </c>
      <c r="Z4359" t="str">
        <f>VLOOKUP(C4359,'[1]DBS_KPY Sorumlular'!A:C,3,FALSE)</f>
        <v>Kadir TOPÇU</v>
      </c>
      <c r="AA4359" t="str">
        <f>VLOOKUP(K4359,[1]!Tablo3[#Data],2,FALSE)</f>
        <v>Tayfun VİÇE</v>
      </c>
    </row>
    <row r="4360" spans="1:27" x14ac:dyDescent="0.25">
      <c r="A4360">
        <v>5760</v>
      </c>
      <c r="B4360" t="s">
        <v>1419</v>
      </c>
      <c r="C4360" t="s">
        <v>137</v>
      </c>
      <c r="D4360" t="s">
        <v>138</v>
      </c>
      <c r="E4360" t="s">
        <v>138</v>
      </c>
      <c r="F4360" t="s">
        <v>139</v>
      </c>
      <c r="G4360" t="s">
        <v>140</v>
      </c>
      <c r="H4360" t="s">
        <v>11706</v>
      </c>
      <c r="I4360" s="4"/>
      <c r="J4360" t="s">
        <v>3925</v>
      </c>
      <c r="K4360" t="s">
        <v>1528</v>
      </c>
      <c r="L4360" s="5"/>
      <c r="M4360" s="5"/>
      <c r="N4360" t="s">
        <v>35</v>
      </c>
      <c r="O4360" t="s">
        <v>11707</v>
      </c>
      <c r="T4360" s="5"/>
      <c r="W4360">
        <v>126</v>
      </c>
      <c r="X4360" t="s">
        <v>147</v>
      </c>
      <c r="Y4360" t="str">
        <f>VLOOKUP(C4360,'[1]DBS_KPY Sorumlular'!A:C,2,FALSE)</f>
        <v>Erkan AKDOĞAN</v>
      </c>
      <c r="Z4360" t="str">
        <f>VLOOKUP(C4360,'[1]DBS_KPY Sorumlular'!A:C,3,FALSE)</f>
        <v>Kadir TOPÇU</v>
      </c>
      <c r="AA4360" t="str">
        <f>VLOOKUP(K4360,[1]!Tablo3[#Data],2,FALSE)</f>
        <v>Tayfun VİÇE</v>
      </c>
    </row>
    <row r="4361" spans="1:27" x14ac:dyDescent="0.25">
      <c r="A4361">
        <v>5761</v>
      </c>
      <c r="B4361" t="s">
        <v>1419</v>
      </c>
      <c r="C4361" t="s">
        <v>137</v>
      </c>
      <c r="D4361" t="s">
        <v>4030</v>
      </c>
      <c r="E4361" t="s">
        <v>4030</v>
      </c>
      <c r="F4361" t="s">
        <v>139</v>
      </c>
      <c r="G4361" t="s">
        <v>140</v>
      </c>
      <c r="H4361" t="s">
        <v>11708</v>
      </c>
      <c r="I4361" s="4"/>
      <c r="J4361" t="s">
        <v>3925</v>
      </c>
      <c r="K4361" t="s">
        <v>743</v>
      </c>
      <c r="L4361" s="5"/>
      <c r="M4361" s="5"/>
      <c r="N4361" t="s">
        <v>35</v>
      </c>
      <c r="O4361" t="s">
        <v>11709</v>
      </c>
      <c r="T4361" s="5"/>
      <c r="W4361">
        <v>126</v>
      </c>
      <c r="X4361" t="s">
        <v>147</v>
      </c>
      <c r="Y4361" t="str">
        <f>VLOOKUP(C4361,'[1]DBS_KPY Sorumlular'!A:C,2,FALSE)</f>
        <v>Erkan AKDOĞAN</v>
      </c>
      <c r="Z4361" t="str">
        <f>VLOOKUP(C4361,'[1]DBS_KPY Sorumlular'!A:C,3,FALSE)</f>
        <v>Kadir TOPÇU</v>
      </c>
      <c r="AA4361" t="str">
        <f>VLOOKUP(K4361,[1]!Tablo3[#Data],2,FALSE)</f>
        <v>Kadir TOPÇU</v>
      </c>
    </row>
    <row r="4362" spans="1:27" x14ac:dyDescent="0.25">
      <c r="A4362">
        <v>5762</v>
      </c>
      <c r="B4362" t="s">
        <v>1419</v>
      </c>
      <c r="C4362" t="s">
        <v>137</v>
      </c>
      <c r="D4362" t="s">
        <v>4030</v>
      </c>
      <c r="E4362" t="s">
        <v>4030</v>
      </c>
      <c r="F4362" t="s">
        <v>139</v>
      </c>
      <c r="G4362" t="s">
        <v>140</v>
      </c>
      <c r="H4362" t="s">
        <v>11710</v>
      </c>
      <c r="I4362" s="4"/>
      <c r="J4362" t="s">
        <v>3925</v>
      </c>
      <c r="K4362" t="s">
        <v>743</v>
      </c>
      <c r="L4362" s="5"/>
      <c r="M4362" s="5"/>
      <c r="N4362" t="s">
        <v>35</v>
      </c>
      <c r="O4362" t="s">
        <v>11711</v>
      </c>
      <c r="T4362" s="5"/>
      <c r="W4362">
        <v>192</v>
      </c>
      <c r="X4362" t="s">
        <v>1770</v>
      </c>
      <c r="Y4362" t="str">
        <f>VLOOKUP(C4362,'[1]DBS_KPY Sorumlular'!A:C,2,FALSE)</f>
        <v>Erkan AKDOĞAN</v>
      </c>
      <c r="Z4362" t="str">
        <f>VLOOKUP(C4362,'[1]DBS_KPY Sorumlular'!A:C,3,FALSE)</f>
        <v>Kadir TOPÇU</v>
      </c>
      <c r="AA4362" t="str">
        <f>VLOOKUP(K4362,[1]!Tablo3[#Data],2,FALSE)</f>
        <v>Kadir TOPÇU</v>
      </c>
    </row>
    <row r="4363" spans="1:27" x14ac:dyDescent="0.25">
      <c r="A4363">
        <v>5763</v>
      </c>
      <c r="B4363" t="s">
        <v>1419</v>
      </c>
      <c r="C4363" t="s">
        <v>137</v>
      </c>
      <c r="D4363" t="s">
        <v>4030</v>
      </c>
      <c r="E4363" t="s">
        <v>4030</v>
      </c>
      <c r="F4363" t="s">
        <v>139</v>
      </c>
      <c r="G4363" t="s">
        <v>140</v>
      </c>
      <c r="H4363" t="s">
        <v>11712</v>
      </c>
      <c r="I4363" s="4"/>
      <c r="J4363" t="s">
        <v>3925</v>
      </c>
      <c r="K4363" t="s">
        <v>611</v>
      </c>
      <c r="L4363" s="5"/>
      <c r="M4363" s="5"/>
      <c r="N4363" t="s">
        <v>35</v>
      </c>
      <c r="O4363" t="s">
        <v>11713</v>
      </c>
      <c r="T4363" s="5"/>
      <c r="W4363">
        <v>126</v>
      </c>
      <c r="X4363" t="s">
        <v>147</v>
      </c>
      <c r="Y4363" t="str">
        <f>VLOOKUP(C4363,'[1]DBS_KPY Sorumlular'!A:C,2,FALSE)</f>
        <v>Erkan AKDOĞAN</v>
      </c>
      <c r="Z4363" t="str">
        <f>VLOOKUP(C4363,'[1]DBS_KPY Sorumlular'!A:C,3,FALSE)</f>
        <v>Kadir TOPÇU</v>
      </c>
      <c r="AA4363" t="str">
        <f>VLOOKUP(K4363,[1]!Tablo3[#Data],2,FALSE)</f>
        <v>Kadir TOPÇU</v>
      </c>
    </row>
    <row r="4364" spans="1:27" x14ac:dyDescent="0.25">
      <c r="A4364">
        <v>5764</v>
      </c>
      <c r="B4364" t="s">
        <v>1419</v>
      </c>
      <c r="C4364" t="s">
        <v>137</v>
      </c>
      <c r="D4364" t="s">
        <v>4030</v>
      </c>
      <c r="E4364" t="s">
        <v>4030</v>
      </c>
      <c r="F4364" t="s">
        <v>139</v>
      </c>
      <c r="G4364" t="s">
        <v>140</v>
      </c>
      <c r="H4364" t="s">
        <v>11714</v>
      </c>
      <c r="I4364" s="4"/>
      <c r="J4364" t="s">
        <v>3925</v>
      </c>
      <c r="K4364" t="s">
        <v>534</v>
      </c>
      <c r="L4364" s="5"/>
      <c r="M4364" s="5"/>
      <c r="N4364" t="s">
        <v>35</v>
      </c>
      <c r="O4364" t="s">
        <v>11715</v>
      </c>
      <c r="T4364" s="5"/>
      <c r="W4364">
        <v>192</v>
      </c>
      <c r="X4364" t="s">
        <v>1770</v>
      </c>
      <c r="Y4364" t="str">
        <f>VLOOKUP(C4364,'[1]DBS_KPY Sorumlular'!A:C,2,FALSE)</f>
        <v>Erkan AKDOĞAN</v>
      </c>
      <c r="Z4364" t="str">
        <f>VLOOKUP(C4364,'[1]DBS_KPY Sorumlular'!A:C,3,FALSE)</f>
        <v>Kadir TOPÇU</v>
      </c>
      <c r="AA4364" t="str">
        <f>VLOOKUP(K4364,[1]!Tablo3[#Data],2,FALSE)</f>
        <v>Erkan AKDOĞAN</v>
      </c>
    </row>
    <row r="4365" spans="1:27" x14ac:dyDescent="0.25">
      <c r="A4365">
        <v>5765</v>
      </c>
      <c r="B4365" t="s">
        <v>1419</v>
      </c>
      <c r="C4365" t="s">
        <v>137</v>
      </c>
      <c r="D4365" t="s">
        <v>4030</v>
      </c>
      <c r="E4365" t="s">
        <v>4030</v>
      </c>
      <c r="F4365" t="s">
        <v>139</v>
      </c>
      <c r="G4365" t="s">
        <v>140</v>
      </c>
      <c r="H4365" t="s">
        <v>11716</v>
      </c>
      <c r="I4365" s="4"/>
      <c r="J4365" t="s">
        <v>3925</v>
      </c>
      <c r="K4365" t="s">
        <v>926</v>
      </c>
      <c r="L4365" s="5"/>
      <c r="M4365" s="5"/>
      <c r="N4365" t="s">
        <v>35</v>
      </c>
      <c r="O4365" t="s">
        <v>11717</v>
      </c>
      <c r="T4365" s="5"/>
      <c r="W4365">
        <v>47</v>
      </c>
      <c r="X4365" t="s">
        <v>8075</v>
      </c>
      <c r="Y4365" t="str">
        <f>VLOOKUP(C4365,'[1]DBS_KPY Sorumlular'!A:C,2,FALSE)</f>
        <v>Erkan AKDOĞAN</v>
      </c>
      <c r="Z4365" t="str">
        <f>VLOOKUP(C4365,'[1]DBS_KPY Sorumlular'!A:C,3,FALSE)</f>
        <v>Kadir TOPÇU</v>
      </c>
      <c r="AA4365" t="str">
        <f>VLOOKUP(K4365,[1]!Tablo3[#Data],2,FALSE)</f>
        <v>Kadir TOPÇU</v>
      </c>
    </row>
    <row r="4366" spans="1:27" x14ac:dyDescent="0.25">
      <c r="A4366">
        <v>5766</v>
      </c>
      <c r="B4366" t="s">
        <v>1419</v>
      </c>
      <c r="C4366" t="s">
        <v>137</v>
      </c>
      <c r="D4366" t="s">
        <v>138</v>
      </c>
      <c r="E4366" t="s">
        <v>138</v>
      </c>
      <c r="F4366" t="s">
        <v>139</v>
      </c>
      <c r="G4366" t="s">
        <v>140</v>
      </c>
      <c r="H4366" t="s">
        <v>11718</v>
      </c>
      <c r="I4366" s="4"/>
      <c r="J4366" t="s">
        <v>3925</v>
      </c>
      <c r="K4366" t="s">
        <v>1029</v>
      </c>
      <c r="L4366" s="5"/>
      <c r="M4366" s="5"/>
      <c r="N4366" t="s">
        <v>35</v>
      </c>
      <c r="O4366" t="s">
        <v>11719</v>
      </c>
      <c r="T4366" s="5"/>
      <c r="W4366">
        <v>126</v>
      </c>
      <c r="X4366" t="s">
        <v>147</v>
      </c>
      <c r="Y4366" t="str">
        <f>VLOOKUP(C4366,'[1]DBS_KPY Sorumlular'!A:C,2,FALSE)</f>
        <v>Erkan AKDOĞAN</v>
      </c>
      <c r="Z4366" t="str">
        <f>VLOOKUP(C4366,'[1]DBS_KPY Sorumlular'!A:C,3,FALSE)</f>
        <v>Kadir TOPÇU</v>
      </c>
      <c r="AA4366" t="str">
        <f>VLOOKUP(K4366,[1]!Tablo3[#Data],2,FALSE)</f>
        <v>Tayfun VİÇE</v>
      </c>
    </row>
    <row r="4367" spans="1:27" x14ac:dyDescent="0.25">
      <c r="A4367">
        <v>5767</v>
      </c>
      <c r="B4367" t="s">
        <v>1419</v>
      </c>
      <c r="C4367" t="s">
        <v>137</v>
      </c>
      <c r="D4367" t="s">
        <v>4030</v>
      </c>
      <c r="E4367" t="s">
        <v>4030</v>
      </c>
      <c r="F4367" t="s">
        <v>139</v>
      </c>
      <c r="G4367" t="s">
        <v>140</v>
      </c>
      <c r="H4367" t="s">
        <v>11720</v>
      </c>
      <c r="I4367" s="4"/>
      <c r="J4367" t="s">
        <v>3925</v>
      </c>
      <c r="K4367" t="s">
        <v>226</v>
      </c>
      <c r="L4367" s="5"/>
      <c r="M4367" s="5"/>
      <c r="N4367" t="s">
        <v>35</v>
      </c>
      <c r="O4367" t="s">
        <v>11721</v>
      </c>
      <c r="T4367" s="5"/>
      <c r="W4367">
        <v>126</v>
      </c>
      <c r="X4367" t="s">
        <v>147</v>
      </c>
      <c r="Y4367" t="str">
        <f>VLOOKUP(C4367,'[1]DBS_KPY Sorumlular'!A:C,2,FALSE)</f>
        <v>Erkan AKDOĞAN</v>
      </c>
      <c r="Z4367" t="str">
        <f>VLOOKUP(C4367,'[1]DBS_KPY Sorumlular'!A:C,3,FALSE)</f>
        <v>Kadir TOPÇU</v>
      </c>
      <c r="AA4367" t="str">
        <f>VLOOKUP(K4367,[1]!Tablo3[#Data],2,FALSE)</f>
        <v>Kadir TOPÇU</v>
      </c>
    </row>
    <row r="4368" spans="1:27" x14ac:dyDescent="0.25">
      <c r="A4368">
        <v>5768</v>
      </c>
      <c r="B4368" t="s">
        <v>1419</v>
      </c>
      <c r="C4368" t="s">
        <v>137</v>
      </c>
      <c r="D4368" t="s">
        <v>138</v>
      </c>
      <c r="E4368" t="s">
        <v>138</v>
      </c>
      <c r="F4368" t="s">
        <v>139</v>
      </c>
      <c r="G4368" t="s">
        <v>140</v>
      </c>
      <c r="H4368" t="s">
        <v>11722</v>
      </c>
      <c r="I4368" s="4"/>
      <c r="J4368" t="s">
        <v>3925</v>
      </c>
      <c r="K4368" t="s">
        <v>1471</v>
      </c>
      <c r="L4368" s="5"/>
      <c r="M4368" s="5"/>
      <c r="N4368" t="s">
        <v>35</v>
      </c>
      <c r="O4368" t="s">
        <v>11723</v>
      </c>
      <c r="T4368" s="5"/>
      <c r="W4368">
        <v>192</v>
      </c>
      <c r="X4368" t="s">
        <v>1770</v>
      </c>
      <c r="Y4368" t="str">
        <f>VLOOKUP(C4368,'[1]DBS_KPY Sorumlular'!A:C,2,FALSE)</f>
        <v>Erkan AKDOĞAN</v>
      </c>
      <c r="Z4368" t="str">
        <f>VLOOKUP(C4368,'[1]DBS_KPY Sorumlular'!A:C,3,FALSE)</f>
        <v>Kadir TOPÇU</v>
      </c>
      <c r="AA4368" t="str">
        <f>VLOOKUP(K4368,[1]!Tablo3[#Data],2,FALSE)</f>
        <v>Tayfun VİÇE</v>
      </c>
    </row>
    <row r="4369" spans="1:27" x14ac:dyDescent="0.25">
      <c r="A4369">
        <v>5769</v>
      </c>
      <c r="B4369" t="s">
        <v>1419</v>
      </c>
      <c r="C4369" t="s">
        <v>137</v>
      </c>
      <c r="D4369" t="s">
        <v>4030</v>
      </c>
      <c r="E4369" t="s">
        <v>4030</v>
      </c>
      <c r="F4369" t="s">
        <v>139</v>
      </c>
      <c r="G4369" t="s">
        <v>140</v>
      </c>
      <c r="H4369" t="s">
        <v>11724</v>
      </c>
      <c r="I4369" s="4"/>
      <c r="J4369" t="s">
        <v>3925</v>
      </c>
      <c r="K4369" t="s">
        <v>152</v>
      </c>
      <c r="L4369" s="5"/>
      <c r="M4369" s="5"/>
      <c r="N4369" t="s">
        <v>35</v>
      </c>
      <c r="O4369" t="s">
        <v>11725</v>
      </c>
      <c r="T4369" s="5"/>
      <c r="W4369">
        <v>126</v>
      </c>
      <c r="X4369" t="s">
        <v>147</v>
      </c>
      <c r="Y4369" t="str">
        <f>VLOOKUP(C4369,'[1]DBS_KPY Sorumlular'!A:C,2,FALSE)</f>
        <v>Erkan AKDOĞAN</v>
      </c>
      <c r="Z4369" t="str">
        <f>VLOOKUP(C4369,'[1]DBS_KPY Sorumlular'!A:C,3,FALSE)</f>
        <v>Kadir TOPÇU</v>
      </c>
      <c r="AA4369" t="str">
        <f>VLOOKUP(K4369,[1]!Tablo3[#Data],2,FALSE)</f>
        <v>Erkan AKDOĞAN</v>
      </c>
    </row>
    <row r="4370" spans="1:27" x14ac:dyDescent="0.25">
      <c r="A4370">
        <v>5770</v>
      </c>
      <c r="B4370" t="s">
        <v>1419</v>
      </c>
      <c r="C4370" t="s">
        <v>137</v>
      </c>
      <c r="D4370" t="s">
        <v>138</v>
      </c>
      <c r="E4370" t="s">
        <v>138</v>
      </c>
      <c r="F4370" t="s">
        <v>139</v>
      </c>
      <c r="G4370" t="s">
        <v>140</v>
      </c>
      <c r="H4370" t="s">
        <v>11726</v>
      </c>
      <c r="I4370" s="4"/>
      <c r="J4370" t="s">
        <v>3925</v>
      </c>
      <c r="K4370" t="s">
        <v>1157</v>
      </c>
      <c r="L4370" s="5"/>
      <c r="M4370" s="5"/>
      <c r="N4370" t="s">
        <v>35</v>
      </c>
      <c r="O4370" t="s">
        <v>11727</v>
      </c>
      <c r="T4370" s="5"/>
      <c r="W4370">
        <v>126</v>
      </c>
      <c r="X4370" t="s">
        <v>147</v>
      </c>
      <c r="Y4370" t="str">
        <f>VLOOKUP(C4370,'[1]DBS_KPY Sorumlular'!A:C,2,FALSE)</f>
        <v>Erkan AKDOĞAN</v>
      </c>
      <c r="Z4370" t="str">
        <f>VLOOKUP(C4370,'[1]DBS_KPY Sorumlular'!A:C,3,FALSE)</f>
        <v>Kadir TOPÇU</v>
      </c>
      <c r="AA4370" t="str">
        <f>VLOOKUP(K4370,[1]!Tablo3[#Data],2,FALSE)</f>
        <v>Tayfun VİÇE</v>
      </c>
    </row>
    <row r="4371" spans="1:27" x14ac:dyDescent="0.25">
      <c r="A4371">
        <v>5771</v>
      </c>
      <c r="B4371" t="s">
        <v>27</v>
      </c>
      <c r="C4371" t="s">
        <v>288</v>
      </c>
      <c r="D4371" t="s">
        <v>289</v>
      </c>
      <c r="F4371" t="s">
        <v>290</v>
      </c>
      <c r="G4371" t="s">
        <v>291</v>
      </c>
      <c r="H4371" t="s">
        <v>11728</v>
      </c>
      <c r="I4371" s="4">
        <v>45657.875</v>
      </c>
      <c r="J4371" t="s">
        <v>11729</v>
      </c>
      <c r="K4371" t="s">
        <v>835</v>
      </c>
      <c r="L4371" s="5" t="s">
        <v>6388</v>
      </c>
      <c r="M4371" s="5"/>
      <c r="N4371" t="s">
        <v>82</v>
      </c>
      <c r="O4371" t="s">
        <v>11730</v>
      </c>
      <c r="R4371">
        <v>1</v>
      </c>
      <c r="T4371" s="5" t="s">
        <v>38</v>
      </c>
      <c r="W4371">
        <v>23</v>
      </c>
      <c r="X4371" t="s">
        <v>295</v>
      </c>
      <c r="Y4371" t="str">
        <f>VLOOKUP(C4371,'[1]DBS_KPY Sorumlular'!A:C,2,FALSE)</f>
        <v>Sinan ERDAŞ</v>
      </c>
      <c r="Z4371" t="str">
        <f>VLOOKUP(C4371,'[1]DBS_KPY Sorumlular'!A:C,3,FALSE)</f>
        <v>Ayşegül AKGÜL</v>
      </c>
      <c r="AA4371" t="str">
        <f>VLOOKUP(K4371,[1]!Tablo3[#Data],2,FALSE)</f>
        <v>Kadir TOPÇU</v>
      </c>
    </row>
    <row r="4372" spans="1:27" x14ac:dyDescent="0.25">
      <c r="A4372">
        <v>5772</v>
      </c>
      <c r="B4372" t="s">
        <v>27</v>
      </c>
      <c r="C4372" t="s">
        <v>288</v>
      </c>
      <c r="D4372" t="s">
        <v>289</v>
      </c>
      <c r="F4372" t="s">
        <v>290</v>
      </c>
      <c r="G4372" t="s">
        <v>291</v>
      </c>
      <c r="H4372" t="s">
        <v>11731</v>
      </c>
      <c r="I4372" s="4">
        <v>46017.875</v>
      </c>
      <c r="J4372" t="s">
        <v>11732</v>
      </c>
      <c r="K4372" t="s">
        <v>835</v>
      </c>
      <c r="L4372" s="5"/>
      <c r="M4372" s="5"/>
      <c r="N4372" t="s">
        <v>46</v>
      </c>
      <c r="O4372" t="s">
        <v>11730</v>
      </c>
      <c r="R4372">
        <v>0.78</v>
      </c>
      <c r="T4372" s="5" t="s">
        <v>38</v>
      </c>
      <c r="W4372">
        <v>23</v>
      </c>
      <c r="X4372" t="s">
        <v>295</v>
      </c>
      <c r="Y4372" t="str">
        <f>VLOOKUP(C4372,'[1]DBS_KPY Sorumlular'!A:C,2,FALSE)</f>
        <v>Sinan ERDAŞ</v>
      </c>
      <c r="Z4372" t="str">
        <f>VLOOKUP(C4372,'[1]DBS_KPY Sorumlular'!A:C,3,FALSE)</f>
        <v>Ayşegül AKGÜL</v>
      </c>
      <c r="AA4372" t="str">
        <f>VLOOKUP(K4372,[1]!Tablo3[#Data],2,FALSE)</f>
        <v>Kadir TOPÇU</v>
      </c>
    </row>
    <row r="4373" spans="1:27" x14ac:dyDescent="0.25">
      <c r="A4373">
        <v>5773</v>
      </c>
      <c r="B4373" t="s">
        <v>27</v>
      </c>
      <c r="C4373" t="s">
        <v>288</v>
      </c>
      <c r="D4373" t="s">
        <v>289</v>
      </c>
      <c r="F4373" t="s">
        <v>290</v>
      </c>
      <c r="G4373" t="s">
        <v>291</v>
      </c>
      <c r="H4373" t="s">
        <v>11733</v>
      </c>
      <c r="I4373" s="4">
        <v>46539.875</v>
      </c>
      <c r="J4373" t="s">
        <v>11734</v>
      </c>
      <c r="K4373" t="s">
        <v>678</v>
      </c>
      <c r="L4373" s="5"/>
      <c r="M4373" s="5"/>
      <c r="N4373" t="s">
        <v>46</v>
      </c>
      <c r="O4373" t="s">
        <v>11735</v>
      </c>
      <c r="R4373">
        <v>0.27</v>
      </c>
      <c r="T4373" s="5" t="s">
        <v>38</v>
      </c>
      <c r="W4373">
        <v>23</v>
      </c>
      <c r="X4373" t="s">
        <v>295</v>
      </c>
      <c r="Y4373" t="str">
        <f>VLOOKUP(C4373,'[1]DBS_KPY Sorumlular'!A:C,2,FALSE)</f>
        <v>Sinan ERDAŞ</v>
      </c>
      <c r="Z4373" t="str">
        <f>VLOOKUP(C4373,'[1]DBS_KPY Sorumlular'!A:C,3,FALSE)</f>
        <v>Ayşegül AKGÜL</v>
      </c>
      <c r="AA4373" t="str">
        <f>VLOOKUP(K4373,[1]!Tablo3[#Data],2,FALSE)</f>
        <v>Kadir TOPÇU</v>
      </c>
    </row>
    <row r="4374" spans="1:27" x14ac:dyDescent="0.25">
      <c r="A4374">
        <v>5774</v>
      </c>
      <c r="B4374" t="s">
        <v>27</v>
      </c>
      <c r="C4374" t="s">
        <v>288</v>
      </c>
      <c r="D4374" t="s">
        <v>289</v>
      </c>
      <c r="F4374" t="s">
        <v>290</v>
      </c>
      <c r="G4374" t="s">
        <v>291</v>
      </c>
      <c r="H4374" t="s">
        <v>11736</v>
      </c>
      <c r="I4374" s="4">
        <v>46017.875</v>
      </c>
      <c r="K4374" t="s">
        <v>1106</v>
      </c>
      <c r="L4374" s="5" t="s">
        <v>11737</v>
      </c>
      <c r="M4374" s="5"/>
      <c r="N4374" t="s">
        <v>46</v>
      </c>
      <c r="O4374" t="s">
        <v>11735</v>
      </c>
      <c r="R4374">
        <v>0.8</v>
      </c>
      <c r="T4374" s="5" t="s">
        <v>38</v>
      </c>
      <c r="W4374">
        <v>108</v>
      </c>
      <c r="X4374" t="s">
        <v>107</v>
      </c>
      <c r="Y4374" t="str">
        <f>VLOOKUP(C4374,'[1]DBS_KPY Sorumlular'!A:C,2,FALSE)</f>
        <v>Sinan ERDAŞ</v>
      </c>
      <c r="Z4374" t="str">
        <f>VLOOKUP(C4374,'[1]DBS_KPY Sorumlular'!A:C,3,FALSE)</f>
        <v>Ayşegül AKGÜL</v>
      </c>
      <c r="AA4374" t="str">
        <f>VLOOKUP(K4374,[1]!Tablo3[#Data],2,FALSE)</f>
        <v>Tayfun VİÇE</v>
      </c>
    </row>
    <row r="4375" spans="1:27" x14ac:dyDescent="0.25">
      <c r="A4375">
        <v>5775</v>
      </c>
      <c r="B4375" t="s">
        <v>27</v>
      </c>
      <c r="C4375" t="s">
        <v>288</v>
      </c>
      <c r="D4375" t="s">
        <v>289</v>
      </c>
      <c r="F4375" t="s">
        <v>290</v>
      </c>
      <c r="G4375" t="s">
        <v>291</v>
      </c>
      <c r="H4375" t="s">
        <v>11738</v>
      </c>
      <c r="I4375" s="4">
        <v>46425.875</v>
      </c>
      <c r="J4375" t="s">
        <v>11739</v>
      </c>
      <c r="K4375" t="s">
        <v>678</v>
      </c>
      <c r="L4375" s="5"/>
      <c r="M4375" s="5"/>
      <c r="N4375" t="s">
        <v>46</v>
      </c>
      <c r="O4375" t="s">
        <v>11740</v>
      </c>
      <c r="R4375">
        <v>0.37</v>
      </c>
      <c r="T4375" s="5" t="s">
        <v>38</v>
      </c>
      <c r="W4375">
        <v>23</v>
      </c>
      <c r="X4375" t="s">
        <v>295</v>
      </c>
      <c r="Y4375" t="str">
        <f>VLOOKUP(C4375,'[1]DBS_KPY Sorumlular'!A:C,2,FALSE)</f>
        <v>Sinan ERDAŞ</v>
      </c>
      <c r="Z4375" t="str">
        <f>VLOOKUP(C4375,'[1]DBS_KPY Sorumlular'!A:C,3,FALSE)</f>
        <v>Ayşegül AKGÜL</v>
      </c>
      <c r="AA4375" t="str">
        <f>VLOOKUP(K4375,[1]!Tablo3[#Data],2,FALSE)</f>
        <v>Kadir TOPÇU</v>
      </c>
    </row>
    <row r="4376" spans="1:27" x14ac:dyDescent="0.25">
      <c r="A4376">
        <v>5776</v>
      </c>
      <c r="B4376" t="s">
        <v>27</v>
      </c>
      <c r="C4376" t="s">
        <v>288</v>
      </c>
      <c r="D4376" t="s">
        <v>289</v>
      </c>
      <c r="F4376" t="s">
        <v>290</v>
      </c>
      <c r="G4376" t="s">
        <v>291</v>
      </c>
      <c r="H4376" t="s">
        <v>11741</v>
      </c>
      <c r="I4376" s="4">
        <v>46177.875</v>
      </c>
      <c r="J4376" t="s">
        <v>11742</v>
      </c>
      <c r="K4376" t="s">
        <v>1360</v>
      </c>
      <c r="L4376" s="5"/>
      <c r="M4376" s="5"/>
      <c r="N4376" t="s">
        <v>46</v>
      </c>
      <c r="O4376" t="s">
        <v>11743</v>
      </c>
      <c r="R4376">
        <v>0.48</v>
      </c>
      <c r="T4376" s="5" t="s">
        <v>38</v>
      </c>
      <c r="W4376">
        <v>23</v>
      </c>
      <c r="X4376" t="s">
        <v>295</v>
      </c>
      <c r="Y4376" t="str">
        <f>VLOOKUP(C4376,'[1]DBS_KPY Sorumlular'!A:C,2,FALSE)</f>
        <v>Sinan ERDAŞ</v>
      </c>
      <c r="Z4376" t="str">
        <f>VLOOKUP(C4376,'[1]DBS_KPY Sorumlular'!A:C,3,FALSE)</f>
        <v>Ayşegül AKGÜL</v>
      </c>
      <c r="AA4376" t="str">
        <f>VLOOKUP(K4376,[1]!Tablo3[#Data],2,FALSE)</f>
        <v>Kadir TOPÇU</v>
      </c>
    </row>
    <row r="4377" spans="1:27" x14ac:dyDescent="0.25">
      <c r="A4377">
        <v>5777</v>
      </c>
      <c r="B4377" t="s">
        <v>27</v>
      </c>
      <c r="C4377" t="s">
        <v>288</v>
      </c>
      <c r="D4377" t="s">
        <v>289</v>
      </c>
      <c r="F4377" t="s">
        <v>290</v>
      </c>
      <c r="G4377" t="s">
        <v>291</v>
      </c>
      <c r="H4377" t="s">
        <v>11744</v>
      </c>
      <c r="I4377" s="4">
        <v>45958.875</v>
      </c>
      <c r="J4377" t="s">
        <v>11745</v>
      </c>
      <c r="K4377" t="s">
        <v>914</v>
      </c>
      <c r="L4377" s="5"/>
      <c r="M4377" s="5"/>
      <c r="N4377" t="s">
        <v>46</v>
      </c>
      <c r="O4377" t="s">
        <v>11746</v>
      </c>
      <c r="R4377">
        <v>0.24</v>
      </c>
      <c r="T4377" s="5" t="s">
        <v>38</v>
      </c>
      <c r="W4377">
        <v>23</v>
      </c>
      <c r="X4377" t="s">
        <v>295</v>
      </c>
      <c r="Y4377" t="str">
        <f>VLOOKUP(C4377,'[1]DBS_KPY Sorumlular'!A:C,2,FALSE)</f>
        <v>Sinan ERDAŞ</v>
      </c>
      <c r="Z4377" t="str">
        <f>VLOOKUP(C4377,'[1]DBS_KPY Sorumlular'!A:C,3,FALSE)</f>
        <v>Ayşegül AKGÜL</v>
      </c>
      <c r="AA4377" t="str">
        <f>VLOOKUP(K4377,[1]!Tablo3[#Data],2,FALSE)</f>
        <v>Tayfun VİÇE</v>
      </c>
    </row>
    <row r="4378" spans="1:27" x14ac:dyDescent="0.25">
      <c r="A4378">
        <v>5778</v>
      </c>
      <c r="B4378" t="s">
        <v>27</v>
      </c>
      <c r="C4378" t="s">
        <v>288</v>
      </c>
      <c r="D4378" t="s">
        <v>289</v>
      </c>
      <c r="F4378" t="s">
        <v>290</v>
      </c>
      <c r="G4378" t="s">
        <v>291</v>
      </c>
      <c r="H4378" t="s">
        <v>11747</v>
      </c>
      <c r="I4378" s="4">
        <v>45982.875</v>
      </c>
      <c r="J4378" t="s">
        <v>11748</v>
      </c>
      <c r="K4378" t="s">
        <v>743</v>
      </c>
      <c r="L4378" s="5"/>
      <c r="M4378" s="5"/>
      <c r="N4378" t="s">
        <v>46</v>
      </c>
      <c r="O4378" t="s">
        <v>11749</v>
      </c>
      <c r="R4378">
        <v>0.36</v>
      </c>
      <c r="T4378" s="5" t="s">
        <v>38</v>
      </c>
      <c r="W4378">
        <v>23</v>
      </c>
      <c r="X4378" t="s">
        <v>295</v>
      </c>
      <c r="Y4378" t="str">
        <f>VLOOKUP(C4378,'[1]DBS_KPY Sorumlular'!A:C,2,FALSE)</f>
        <v>Sinan ERDAŞ</v>
      </c>
      <c r="Z4378" t="str">
        <f>VLOOKUP(C4378,'[1]DBS_KPY Sorumlular'!A:C,3,FALSE)</f>
        <v>Ayşegül AKGÜL</v>
      </c>
      <c r="AA4378" t="str">
        <f>VLOOKUP(K4378,[1]!Tablo3[#Data],2,FALSE)</f>
        <v>Kadir TOPÇU</v>
      </c>
    </row>
    <row r="4379" spans="1:27" x14ac:dyDescent="0.25">
      <c r="A4379">
        <v>5779</v>
      </c>
      <c r="B4379" t="s">
        <v>27</v>
      </c>
      <c r="C4379" t="s">
        <v>288</v>
      </c>
      <c r="D4379" t="s">
        <v>289</v>
      </c>
      <c r="F4379" t="s">
        <v>290</v>
      </c>
      <c r="G4379" t="s">
        <v>291</v>
      </c>
      <c r="H4379" t="s">
        <v>11750</v>
      </c>
      <c r="I4379" s="4">
        <v>46100.875</v>
      </c>
      <c r="J4379" t="s">
        <v>11751</v>
      </c>
      <c r="K4379" t="s">
        <v>280</v>
      </c>
      <c r="L4379" s="5"/>
      <c r="M4379" s="5"/>
      <c r="N4379" t="s">
        <v>46</v>
      </c>
      <c r="O4379" t="s">
        <v>11752</v>
      </c>
      <c r="R4379">
        <v>0.13</v>
      </c>
      <c r="T4379" s="5" t="s">
        <v>38</v>
      </c>
      <c r="W4379">
        <v>23</v>
      </c>
      <c r="X4379" t="s">
        <v>295</v>
      </c>
      <c r="Y4379" t="str">
        <f>VLOOKUP(C4379,'[1]DBS_KPY Sorumlular'!A:C,2,FALSE)</f>
        <v>Sinan ERDAŞ</v>
      </c>
      <c r="Z4379" t="str">
        <f>VLOOKUP(C4379,'[1]DBS_KPY Sorumlular'!A:C,3,FALSE)</f>
        <v>Ayşegül AKGÜL</v>
      </c>
      <c r="AA4379" t="str">
        <f>VLOOKUP(K4379,[1]!Tablo3[#Data],2,FALSE)</f>
        <v>Erkan AKDOĞAN</v>
      </c>
    </row>
    <row r="4380" spans="1:27" x14ac:dyDescent="0.25">
      <c r="A4380">
        <v>5780</v>
      </c>
      <c r="B4380" t="s">
        <v>27</v>
      </c>
      <c r="C4380" t="s">
        <v>288</v>
      </c>
      <c r="D4380" t="s">
        <v>289</v>
      </c>
      <c r="F4380" t="s">
        <v>290</v>
      </c>
      <c r="G4380" t="s">
        <v>291</v>
      </c>
      <c r="H4380" t="s">
        <v>11753</v>
      </c>
      <c r="I4380" s="4">
        <v>46235.875</v>
      </c>
      <c r="J4380" t="s">
        <v>11754</v>
      </c>
      <c r="K4380" t="s">
        <v>914</v>
      </c>
      <c r="L4380" s="5"/>
      <c r="M4380" s="5"/>
      <c r="N4380" t="s">
        <v>46</v>
      </c>
      <c r="O4380" t="s">
        <v>11755</v>
      </c>
      <c r="R4380">
        <v>0.03</v>
      </c>
      <c r="T4380" s="5" t="s">
        <v>38</v>
      </c>
      <c r="W4380">
        <v>23</v>
      </c>
      <c r="X4380" t="s">
        <v>295</v>
      </c>
      <c r="Y4380" t="str">
        <f>VLOOKUP(C4380,'[1]DBS_KPY Sorumlular'!A:C,2,FALSE)</f>
        <v>Sinan ERDAŞ</v>
      </c>
      <c r="Z4380" t="str">
        <f>VLOOKUP(C4380,'[1]DBS_KPY Sorumlular'!A:C,3,FALSE)</f>
        <v>Ayşegül AKGÜL</v>
      </c>
      <c r="AA4380" t="str">
        <f>VLOOKUP(K4380,[1]!Tablo3[#Data],2,FALSE)</f>
        <v>Tayfun VİÇE</v>
      </c>
    </row>
    <row r="4381" spans="1:27" x14ac:dyDescent="0.25">
      <c r="A4381">
        <v>5781</v>
      </c>
      <c r="B4381" t="s">
        <v>27</v>
      </c>
      <c r="C4381" t="s">
        <v>288</v>
      </c>
      <c r="D4381" t="s">
        <v>289</v>
      </c>
      <c r="F4381" t="s">
        <v>290</v>
      </c>
      <c r="G4381" t="s">
        <v>291</v>
      </c>
      <c r="H4381" t="s">
        <v>11756</v>
      </c>
      <c r="I4381" s="4">
        <v>46017.875</v>
      </c>
      <c r="J4381" t="s">
        <v>11757</v>
      </c>
      <c r="K4381" t="s">
        <v>1106</v>
      </c>
      <c r="L4381" s="5"/>
      <c r="M4381" s="5"/>
      <c r="N4381" t="s">
        <v>46</v>
      </c>
      <c r="O4381" t="s">
        <v>11758</v>
      </c>
      <c r="R4381">
        <v>0.82</v>
      </c>
      <c r="T4381" s="5" t="s">
        <v>38</v>
      </c>
      <c r="W4381">
        <v>23</v>
      </c>
      <c r="X4381" t="s">
        <v>295</v>
      </c>
      <c r="Y4381" t="str">
        <f>VLOOKUP(C4381,'[1]DBS_KPY Sorumlular'!A:C,2,FALSE)</f>
        <v>Sinan ERDAŞ</v>
      </c>
      <c r="Z4381" t="str">
        <f>VLOOKUP(C4381,'[1]DBS_KPY Sorumlular'!A:C,3,FALSE)</f>
        <v>Ayşegül AKGÜL</v>
      </c>
      <c r="AA4381" t="str">
        <f>VLOOKUP(K4381,[1]!Tablo3[#Data],2,FALSE)</f>
        <v>Tayfun VİÇE</v>
      </c>
    </row>
    <row r="4382" spans="1:27" x14ac:dyDescent="0.25">
      <c r="A4382">
        <v>5782</v>
      </c>
      <c r="B4382" t="s">
        <v>27</v>
      </c>
      <c r="C4382" t="s">
        <v>288</v>
      </c>
      <c r="D4382" t="s">
        <v>289</v>
      </c>
      <c r="F4382" t="s">
        <v>290</v>
      </c>
      <c r="G4382" t="s">
        <v>291</v>
      </c>
      <c r="H4382" t="s">
        <v>11759</v>
      </c>
      <c r="I4382" s="4">
        <v>46017.875</v>
      </c>
      <c r="K4382" t="s">
        <v>1106</v>
      </c>
      <c r="L4382" s="5" t="s">
        <v>11760</v>
      </c>
      <c r="M4382" s="5"/>
      <c r="N4382" t="s">
        <v>46</v>
      </c>
      <c r="O4382" t="s">
        <v>11758</v>
      </c>
      <c r="R4382">
        <v>0.82</v>
      </c>
      <c r="T4382" s="5" t="s">
        <v>38</v>
      </c>
      <c r="W4382">
        <v>108</v>
      </c>
      <c r="X4382" t="s">
        <v>107</v>
      </c>
      <c r="Y4382" t="str">
        <f>VLOOKUP(C4382,'[1]DBS_KPY Sorumlular'!A:C,2,FALSE)</f>
        <v>Sinan ERDAŞ</v>
      </c>
      <c r="Z4382" t="str">
        <f>VLOOKUP(C4382,'[1]DBS_KPY Sorumlular'!A:C,3,FALSE)</f>
        <v>Ayşegül AKGÜL</v>
      </c>
      <c r="AA4382" t="str">
        <f>VLOOKUP(K4382,[1]!Tablo3[#Data],2,FALSE)</f>
        <v>Tayfun VİÇE</v>
      </c>
    </row>
    <row r="4383" spans="1:27" x14ac:dyDescent="0.25">
      <c r="A4383">
        <v>5783</v>
      </c>
      <c r="B4383" t="s">
        <v>27</v>
      </c>
      <c r="C4383" t="s">
        <v>288</v>
      </c>
      <c r="D4383" t="s">
        <v>289</v>
      </c>
      <c r="F4383" t="s">
        <v>290</v>
      </c>
      <c r="G4383" t="s">
        <v>291</v>
      </c>
      <c r="H4383" t="s">
        <v>11761</v>
      </c>
      <c r="I4383" s="4">
        <v>45648.875</v>
      </c>
      <c r="J4383" t="s">
        <v>11762</v>
      </c>
      <c r="K4383" t="s">
        <v>860</v>
      </c>
      <c r="L4383" s="5" t="s">
        <v>11763</v>
      </c>
      <c r="M4383" s="5"/>
      <c r="N4383" t="s">
        <v>82</v>
      </c>
      <c r="O4383" t="s">
        <v>11764</v>
      </c>
      <c r="R4383">
        <v>1</v>
      </c>
      <c r="T4383" s="5" t="s">
        <v>38</v>
      </c>
      <c r="W4383">
        <v>23</v>
      </c>
      <c r="X4383" t="s">
        <v>295</v>
      </c>
      <c r="Y4383" t="str">
        <f>VLOOKUP(C4383,'[1]DBS_KPY Sorumlular'!A:C,2,FALSE)</f>
        <v>Sinan ERDAŞ</v>
      </c>
      <c r="Z4383" t="str">
        <f>VLOOKUP(C4383,'[1]DBS_KPY Sorumlular'!A:C,3,FALSE)</f>
        <v>Ayşegül AKGÜL</v>
      </c>
      <c r="AA4383" t="str">
        <f>VLOOKUP(K4383,[1]!Tablo3[#Data],2,FALSE)</f>
        <v>Erkan AKDOĞAN</v>
      </c>
    </row>
    <row r="4384" spans="1:27" x14ac:dyDescent="0.25">
      <c r="A4384">
        <v>5784</v>
      </c>
      <c r="B4384" t="s">
        <v>27</v>
      </c>
      <c r="C4384" t="s">
        <v>288</v>
      </c>
      <c r="D4384" t="s">
        <v>289</v>
      </c>
      <c r="F4384" t="s">
        <v>290</v>
      </c>
      <c r="G4384" t="s">
        <v>291</v>
      </c>
      <c r="H4384" t="s">
        <v>9193</v>
      </c>
      <c r="I4384" s="4">
        <v>45267.875</v>
      </c>
      <c r="J4384" t="s">
        <v>11765</v>
      </c>
      <c r="K4384" t="s">
        <v>743</v>
      </c>
      <c r="L4384" s="5" t="s">
        <v>11766</v>
      </c>
      <c r="M4384" s="5"/>
      <c r="N4384" t="s">
        <v>82</v>
      </c>
      <c r="O4384" t="s">
        <v>11767</v>
      </c>
      <c r="R4384">
        <v>1</v>
      </c>
      <c r="T4384" s="5" t="s">
        <v>38</v>
      </c>
      <c r="W4384">
        <v>23</v>
      </c>
      <c r="X4384" t="s">
        <v>295</v>
      </c>
      <c r="Y4384" t="str">
        <f>VLOOKUP(C4384,'[1]DBS_KPY Sorumlular'!A:C,2,FALSE)</f>
        <v>Sinan ERDAŞ</v>
      </c>
      <c r="Z4384" t="str">
        <f>VLOOKUP(C4384,'[1]DBS_KPY Sorumlular'!A:C,3,FALSE)</f>
        <v>Ayşegül AKGÜL</v>
      </c>
      <c r="AA4384" t="str">
        <f>VLOOKUP(K4384,[1]!Tablo3[#Data],2,FALSE)</f>
        <v>Kadir TOPÇU</v>
      </c>
    </row>
    <row r="4385" spans="1:27" x14ac:dyDescent="0.25">
      <c r="A4385">
        <v>5785</v>
      </c>
      <c r="B4385" t="s">
        <v>27</v>
      </c>
      <c r="C4385" t="s">
        <v>288</v>
      </c>
      <c r="D4385" t="s">
        <v>289</v>
      </c>
      <c r="F4385" t="s">
        <v>290</v>
      </c>
      <c r="G4385" t="s">
        <v>291</v>
      </c>
      <c r="H4385" t="s">
        <v>11768</v>
      </c>
      <c r="I4385" s="4">
        <v>45255.875</v>
      </c>
      <c r="J4385" t="s">
        <v>11769</v>
      </c>
      <c r="K4385" t="s">
        <v>926</v>
      </c>
      <c r="L4385" s="5" t="s">
        <v>11766</v>
      </c>
      <c r="M4385" s="5"/>
      <c r="N4385" t="s">
        <v>82</v>
      </c>
      <c r="O4385" t="s">
        <v>11770</v>
      </c>
      <c r="R4385">
        <v>1</v>
      </c>
      <c r="T4385" s="5" t="s">
        <v>38</v>
      </c>
      <c r="W4385">
        <v>23</v>
      </c>
      <c r="X4385" t="s">
        <v>295</v>
      </c>
      <c r="Y4385" t="str">
        <f>VLOOKUP(C4385,'[1]DBS_KPY Sorumlular'!A:C,2,FALSE)</f>
        <v>Sinan ERDAŞ</v>
      </c>
      <c r="Z4385" t="str">
        <f>VLOOKUP(C4385,'[1]DBS_KPY Sorumlular'!A:C,3,FALSE)</f>
        <v>Ayşegül AKGÜL</v>
      </c>
      <c r="AA4385" t="str">
        <f>VLOOKUP(K4385,[1]!Tablo3[#Data],2,FALSE)</f>
        <v>Kadir TOPÇU</v>
      </c>
    </row>
    <row r="4386" spans="1:27" x14ac:dyDescent="0.25">
      <c r="A4386">
        <v>5786</v>
      </c>
      <c r="B4386" t="s">
        <v>27</v>
      </c>
      <c r="C4386" t="s">
        <v>288</v>
      </c>
      <c r="D4386" t="s">
        <v>2644</v>
      </c>
      <c r="F4386" t="s">
        <v>1263</v>
      </c>
      <c r="G4386" t="s">
        <v>291</v>
      </c>
      <c r="H4386" t="s">
        <v>11771</v>
      </c>
      <c r="I4386" s="4">
        <v>45900.875</v>
      </c>
      <c r="J4386" t="s">
        <v>11772</v>
      </c>
      <c r="K4386" t="s">
        <v>678</v>
      </c>
      <c r="L4386" s="5"/>
      <c r="M4386" s="5"/>
      <c r="N4386" t="s">
        <v>46</v>
      </c>
      <c r="O4386" t="s">
        <v>11773</v>
      </c>
      <c r="R4386">
        <v>0.01</v>
      </c>
      <c r="T4386" s="5" t="s">
        <v>38</v>
      </c>
      <c r="W4386">
        <v>227</v>
      </c>
      <c r="X4386" t="s">
        <v>4380</v>
      </c>
      <c r="Y4386" t="str">
        <f>VLOOKUP(C4386,'[1]DBS_KPY Sorumlular'!A:C,2,FALSE)</f>
        <v>Sinan ERDAŞ</v>
      </c>
      <c r="Z4386" t="str">
        <f>VLOOKUP(C4386,'[1]DBS_KPY Sorumlular'!A:C,3,FALSE)</f>
        <v>Ayşegül AKGÜL</v>
      </c>
      <c r="AA4386" t="str">
        <f>VLOOKUP(K4386,[1]!Tablo3[#Data],2,FALSE)</f>
        <v>Kadir TOPÇU</v>
      </c>
    </row>
    <row r="4387" spans="1:27" x14ac:dyDescent="0.25">
      <c r="A4387">
        <v>5787</v>
      </c>
      <c r="B4387" t="s">
        <v>27</v>
      </c>
      <c r="C4387" t="s">
        <v>288</v>
      </c>
      <c r="D4387" t="s">
        <v>2644</v>
      </c>
      <c r="F4387" t="s">
        <v>1263</v>
      </c>
      <c r="G4387" t="s">
        <v>291</v>
      </c>
      <c r="H4387" t="s">
        <v>11774</v>
      </c>
      <c r="I4387" s="4">
        <v>46021.875</v>
      </c>
      <c r="J4387" t="s">
        <v>11775</v>
      </c>
      <c r="K4387" t="s">
        <v>678</v>
      </c>
      <c r="L4387" s="5"/>
      <c r="M4387" s="5"/>
      <c r="N4387" t="s">
        <v>46</v>
      </c>
      <c r="O4387" t="s">
        <v>11776</v>
      </c>
      <c r="R4387">
        <v>0.01</v>
      </c>
      <c r="T4387" s="5" t="s">
        <v>38</v>
      </c>
      <c r="W4387">
        <v>267</v>
      </c>
      <c r="X4387" t="s">
        <v>6211</v>
      </c>
      <c r="Y4387" t="str">
        <f>VLOOKUP(C4387,'[1]DBS_KPY Sorumlular'!A:C,2,FALSE)</f>
        <v>Sinan ERDAŞ</v>
      </c>
      <c r="Z4387" t="str">
        <f>VLOOKUP(C4387,'[1]DBS_KPY Sorumlular'!A:C,3,FALSE)</f>
        <v>Ayşegül AKGÜL</v>
      </c>
      <c r="AA4387" t="str">
        <f>VLOOKUP(K4387,[1]!Tablo3[#Data],2,FALSE)</f>
        <v>Kadir TOPÇU</v>
      </c>
    </row>
    <row r="4388" spans="1:27" x14ac:dyDescent="0.25">
      <c r="A4388">
        <v>5788</v>
      </c>
      <c r="B4388" t="s">
        <v>27</v>
      </c>
      <c r="C4388" t="s">
        <v>288</v>
      </c>
      <c r="D4388" t="s">
        <v>289</v>
      </c>
      <c r="F4388" t="s">
        <v>290</v>
      </c>
      <c r="G4388" t="s">
        <v>291</v>
      </c>
      <c r="H4388" t="s">
        <v>11777</v>
      </c>
      <c r="I4388" s="4">
        <v>45627.875</v>
      </c>
      <c r="J4388" t="s">
        <v>11778</v>
      </c>
      <c r="K4388" t="s">
        <v>860</v>
      </c>
      <c r="L4388" s="5" t="s">
        <v>6478</v>
      </c>
      <c r="M4388" s="5"/>
      <c r="N4388" t="s">
        <v>82</v>
      </c>
      <c r="O4388" t="s">
        <v>6476</v>
      </c>
      <c r="R4388">
        <v>1</v>
      </c>
      <c r="T4388" s="5" t="s">
        <v>38</v>
      </c>
      <c r="W4388">
        <v>23</v>
      </c>
      <c r="X4388" t="s">
        <v>295</v>
      </c>
      <c r="Y4388" t="str">
        <f>VLOOKUP(C4388,'[1]DBS_KPY Sorumlular'!A:C,2,FALSE)</f>
        <v>Sinan ERDAŞ</v>
      </c>
      <c r="Z4388" t="str">
        <f>VLOOKUP(C4388,'[1]DBS_KPY Sorumlular'!A:C,3,FALSE)</f>
        <v>Ayşegül AKGÜL</v>
      </c>
      <c r="AA4388" t="str">
        <f>VLOOKUP(K4388,[1]!Tablo3[#Data],2,FALSE)</f>
        <v>Erkan AKDOĞAN</v>
      </c>
    </row>
    <row r="4389" spans="1:27" x14ac:dyDescent="0.25">
      <c r="A4389">
        <v>5789</v>
      </c>
      <c r="B4389" t="s">
        <v>27</v>
      </c>
      <c r="C4389" t="s">
        <v>288</v>
      </c>
      <c r="D4389" t="s">
        <v>6377</v>
      </c>
      <c r="F4389" t="s">
        <v>290</v>
      </c>
      <c r="G4389" t="s">
        <v>291</v>
      </c>
      <c r="H4389" t="s">
        <v>11779</v>
      </c>
      <c r="I4389" s="4">
        <v>45986.875</v>
      </c>
      <c r="J4389" t="s">
        <v>11780</v>
      </c>
      <c r="K4389" t="s">
        <v>1002</v>
      </c>
      <c r="L4389" s="5"/>
      <c r="M4389" s="5"/>
      <c r="N4389" t="s">
        <v>46</v>
      </c>
      <c r="O4389" t="s">
        <v>11781</v>
      </c>
      <c r="R4389">
        <v>0.01</v>
      </c>
      <c r="T4389" s="5" t="s">
        <v>38</v>
      </c>
      <c r="W4389">
        <v>91</v>
      </c>
      <c r="X4389" t="s">
        <v>101</v>
      </c>
      <c r="Y4389" t="str">
        <f>VLOOKUP(C4389,'[1]DBS_KPY Sorumlular'!A:C,2,FALSE)</f>
        <v>Sinan ERDAŞ</v>
      </c>
      <c r="Z4389" t="str">
        <f>VLOOKUP(C4389,'[1]DBS_KPY Sorumlular'!A:C,3,FALSE)</f>
        <v>Ayşegül AKGÜL</v>
      </c>
      <c r="AA4389" t="str">
        <f>VLOOKUP(K4389,[1]!Tablo3[#Data],2,FALSE)</f>
        <v>Kadir TOPÇU</v>
      </c>
    </row>
    <row r="4390" spans="1:27" x14ac:dyDescent="0.25">
      <c r="A4390">
        <v>5790</v>
      </c>
      <c r="B4390" t="s">
        <v>27</v>
      </c>
      <c r="C4390" t="s">
        <v>288</v>
      </c>
      <c r="D4390" t="s">
        <v>6377</v>
      </c>
      <c r="F4390" t="s">
        <v>290</v>
      </c>
      <c r="G4390" t="s">
        <v>291</v>
      </c>
      <c r="H4390" t="s">
        <v>11782</v>
      </c>
      <c r="I4390" s="4">
        <v>45974.875</v>
      </c>
      <c r="J4390" t="s">
        <v>11783</v>
      </c>
      <c r="K4390" t="s">
        <v>678</v>
      </c>
      <c r="L4390" s="5"/>
      <c r="M4390" s="5"/>
      <c r="N4390" t="s">
        <v>46</v>
      </c>
      <c r="O4390" t="s">
        <v>11784</v>
      </c>
      <c r="R4390">
        <v>0.01</v>
      </c>
      <c r="T4390" s="5" t="s">
        <v>38</v>
      </c>
      <c r="W4390">
        <v>23</v>
      </c>
      <c r="X4390" t="s">
        <v>295</v>
      </c>
      <c r="Y4390" t="str">
        <f>VLOOKUP(C4390,'[1]DBS_KPY Sorumlular'!A:C,2,FALSE)</f>
        <v>Sinan ERDAŞ</v>
      </c>
      <c r="Z4390" t="str">
        <f>VLOOKUP(C4390,'[1]DBS_KPY Sorumlular'!A:C,3,FALSE)</f>
        <v>Ayşegül AKGÜL</v>
      </c>
      <c r="AA4390" t="str">
        <f>VLOOKUP(K4390,[1]!Tablo3[#Data],2,FALSE)</f>
        <v>Kadir TOPÇU</v>
      </c>
    </row>
    <row r="4391" spans="1:27" x14ac:dyDescent="0.25">
      <c r="A4391">
        <v>5791</v>
      </c>
      <c r="B4391" t="s">
        <v>27</v>
      </c>
      <c r="C4391" t="s">
        <v>288</v>
      </c>
      <c r="D4391" t="s">
        <v>6377</v>
      </c>
      <c r="F4391" t="s">
        <v>290</v>
      </c>
      <c r="G4391" t="s">
        <v>291</v>
      </c>
      <c r="H4391" t="s">
        <v>11785</v>
      </c>
      <c r="I4391" s="4">
        <v>45986.875</v>
      </c>
      <c r="J4391" t="s">
        <v>11786</v>
      </c>
      <c r="K4391" t="s">
        <v>325</v>
      </c>
      <c r="L4391" s="5"/>
      <c r="M4391" s="5"/>
      <c r="N4391" t="s">
        <v>46</v>
      </c>
      <c r="O4391" t="s">
        <v>11787</v>
      </c>
      <c r="R4391">
        <v>0.01</v>
      </c>
      <c r="T4391" s="5" t="s">
        <v>38</v>
      </c>
      <c r="W4391">
        <v>23</v>
      </c>
      <c r="X4391" t="s">
        <v>295</v>
      </c>
      <c r="Y4391" t="str">
        <f>VLOOKUP(C4391,'[1]DBS_KPY Sorumlular'!A:C,2,FALSE)</f>
        <v>Sinan ERDAŞ</v>
      </c>
      <c r="Z4391" t="str">
        <f>VLOOKUP(C4391,'[1]DBS_KPY Sorumlular'!A:C,3,FALSE)</f>
        <v>Ayşegül AKGÜL</v>
      </c>
      <c r="AA4391" t="str">
        <f>VLOOKUP(K4391,[1]!Tablo3[#Data],2,FALSE)</f>
        <v>Kadir TOPÇU</v>
      </c>
    </row>
    <row r="4392" spans="1:27" x14ac:dyDescent="0.25">
      <c r="A4392">
        <v>5792</v>
      </c>
      <c r="B4392" t="s">
        <v>27</v>
      </c>
      <c r="C4392" t="s">
        <v>288</v>
      </c>
      <c r="D4392" t="s">
        <v>6377</v>
      </c>
      <c r="F4392" t="s">
        <v>290</v>
      </c>
      <c r="G4392" t="s">
        <v>291</v>
      </c>
      <c r="H4392" t="s">
        <v>11788</v>
      </c>
      <c r="I4392" s="4">
        <v>45986.875</v>
      </c>
      <c r="J4392" t="s">
        <v>11789</v>
      </c>
      <c r="K4392" t="s">
        <v>435</v>
      </c>
      <c r="L4392" s="5"/>
      <c r="M4392" s="5"/>
      <c r="N4392" t="s">
        <v>46</v>
      </c>
      <c r="O4392" t="s">
        <v>11790</v>
      </c>
      <c r="R4392">
        <v>0.01</v>
      </c>
      <c r="T4392" s="5" t="s">
        <v>38</v>
      </c>
      <c r="W4392">
        <v>23</v>
      </c>
      <c r="X4392" t="s">
        <v>295</v>
      </c>
      <c r="Y4392" t="str">
        <f>VLOOKUP(C4392,'[1]DBS_KPY Sorumlular'!A:C,2,FALSE)</f>
        <v>Sinan ERDAŞ</v>
      </c>
      <c r="Z4392" t="str">
        <f>VLOOKUP(C4392,'[1]DBS_KPY Sorumlular'!A:C,3,FALSE)</f>
        <v>Ayşegül AKGÜL</v>
      </c>
      <c r="AA4392" t="str">
        <f>VLOOKUP(K4392,[1]!Tablo3[#Data],2,FALSE)</f>
        <v>Tayfun VİÇE</v>
      </c>
    </row>
    <row r="4393" spans="1:27" x14ac:dyDescent="0.25">
      <c r="A4393">
        <v>5793</v>
      </c>
      <c r="B4393" t="s">
        <v>27</v>
      </c>
      <c r="C4393" t="s">
        <v>288</v>
      </c>
      <c r="D4393" t="s">
        <v>6377</v>
      </c>
      <c r="F4393" t="s">
        <v>290</v>
      </c>
      <c r="G4393" t="s">
        <v>291</v>
      </c>
      <c r="H4393" t="s">
        <v>11791</v>
      </c>
      <c r="I4393" s="4">
        <v>45994.875</v>
      </c>
      <c r="J4393" t="s">
        <v>11792</v>
      </c>
      <c r="K4393" t="s">
        <v>534</v>
      </c>
      <c r="L4393" s="5"/>
      <c r="M4393" s="5"/>
      <c r="N4393" t="s">
        <v>46</v>
      </c>
      <c r="O4393" t="s">
        <v>11793</v>
      </c>
      <c r="R4393">
        <v>0.01</v>
      </c>
      <c r="T4393" s="5" t="s">
        <v>38</v>
      </c>
      <c r="W4393">
        <v>23</v>
      </c>
      <c r="X4393" t="s">
        <v>295</v>
      </c>
      <c r="Y4393" t="str">
        <f>VLOOKUP(C4393,'[1]DBS_KPY Sorumlular'!A:C,2,FALSE)</f>
        <v>Sinan ERDAŞ</v>
      </c>
      <c r="Z4393" t="str">
        <f>VLOOKUP(C4393,'[1]DBS_KPY Sorumlular'!A:C,3,FALSE)</f>
        <v>Ayşegül AKGÜL</v>
      </c>
      <c r="AA4393" t="str">
        <f>VLOOKUP(K4393,[1]!Tablo3[#Data],2,FALSE)</f>
        <v>Erkan AKDOĞAN</v>
      </c>
    </row>
    <row r="4394" spans="1:27" x14ac:dyDescent="0.25">
      <c r="A4394">
        <v>5794</v>
      </c>
      <c r="B4394" t="s">
        <v>27</v>
      </c>
      <c r="C4394" t="s">
        <v>288</v>
      </c>
      <c r="D4394" t="s">
        <v>6377</v>
      </c>
      <c r="F4394" t="s">
        <v>290</v>
      </c>
      <c r="G4394" t="s">
        <v>291</v>
      </c>
      <c r="H4394" t="s">
        <v>11794</v>
      </c>
      <c r="I4394" s="4">
        <v>45776.875</v>
      </c>
      <c r="J4394" t="s">
        <v>11795</v>
      </c>
      <c r="K4394" t="s">
        <v>678</v>
      </c>
      <c r="L4394" s="5"/>
      <c r="M4394" s="5"/>
      <c r="N4394" t="s">
        <v>82</v>
      </c>
      <c r="O4394" t="s">
        <v>11796</v>
      </c>
      <c r="R4394">
        <v>1</v>
      </c>
      <c r="T4394" s="5" t="s">
        <v>38</v>
      </c>
      <c r="W4394">
        <v>23</v>
      </c>
      <c r="X4394" t="s">
        <v>295</v>
      </c>
      <c r="Y4394" t="str">
        <f>VLOOKUP(C4394,'[1]DBS_KPY Sorumlular'!A:C,2,FALSE)</f>
        <v>Sinan ERDAŞ</v>
      </c>
      <c r="Z4394" t="str">
        <f>VLOOKUP(C4394,'[1]DBS_KPY Sorumlular'!A:C,3,FALSE)</f>
        <v>Ayşegül AKGÜL</v>
      </c>
      <c r="AA4394" t="str">
        <f>VLOOKUP(K4394,[1]!Tablo3[#Data],2,FALSE)</f>
        <v>Kadir TOPÇU</v>
      </c>
    </row>
    <row r="4395" spans="1:27" x14ac:dyDescent="0.25">
      <c r="A4395">
        <v>5795</v>
      </c>
      <c r="B4395" t="s">
        <v>27</v>
      </c>
      <c r="C4395" t="s">
        <v>288</v>
      </c>
      <c r="D4395" t="s">
        <v>6377</v>
      </c>
      <c r="F4395" t="s">
        <v>290</v>
      </c>
      <c r="G4395" t="s">
        <v>291</v>
      </c>
      <c r="H4395" t="s">
        <v>11797</v>
      </c>
      <c r="I4395" s="4">
        <v>45776.875</v>
      </c>
      <c r="J4395" t="s">
        <v>11798</v>
      </c>
      <c r="K4395" t="s">
        <v>152</v>
      </c>
      <c r="L4395" s="5"/>
      <c r="M4395" s="5"/>
      <c r="N4395" t="s">
        <v>82</v>
      </c>
      <c r="O4395" t="s">
        <v>11799</v>
      </c>
      <c r="R4395">
        <v>1</v>
      </c>
      <c r="T4395" s="5" t="s">
        <v>38</v>
      </c>
      <c r="W4395">
        <v>23</v>
      </c>
      <c r="X4395" t="s">
        <v>295</v>
      </c>
      <c r="Y4395" t="str">
        <f>VLOOKUP(C4395,'[1]DBS_KPY Sorumlular'!A:C,2,FALSE)</f>
        <v>Sinan ERDAŞ</v>
      </c>
      <c r="Z4395" t="str">
        <f>VLOOKUP(C4395,'[1]DBS_KPY Sorumlular'!A:C,3,FALSE)</f>
        <v>Ayşegül AKGÜL</v>
      </c>
      <c r="AA4395" t="str">
        <f>VLOOKUP(K4395,[1]!Tablo3[#Data],2,FALSE)</f>
        <v>Erkan AKDOĞAN</v>
      </c>
    </row>
    <row r="4396" spans="1:27" x14ac:dyDescent="0.25">
      <c r="A4396">
        <v>5796</v>
      </c>
      <c r="B4396" t="s">
        <v>27</v>
      </c>
      <c r="C4396" t="s">
        <v>288</v>
      </c>
      <c r="D4396" t="s">
        <v>6377</v>
      </c>
      <c r="F4396" t="s">
        <v>290</v>
      </c>
      <c r="G4396" t="s">
        <v>291</v>
      </c>
      <c r="H4396" t="s">
        <v>11800</v>
      </c>
      <c r="I4396" s="4">
        <v>45776.875</v>
      </c>
      <c r="J4396" t="s">
        <v>11801</v>
      </c>
      <c r="K4396" t="s">
        <v>678</v>
      </c>
      <c r="L4396" s="5"/>
      <c r="M4396" s="5"/>
      <c r="N4396" t="s">
        <v>82</v>
      </c>
      <c r="O4396" t="s">
        <v>11802</v>
      </c>
      <c r="R4396">
        <v>1</v>
      </c>
      <c r="T4396" s="5" t="s">
        <v>38</v>
      </c>
      <c r="W4396">
        <v>23</v>
      </c>
      <c r="X4396" t="s">
        <v>295</v>
      </c>
      <c r="Y4396" t="str">
        <f>VLOOKUP(C4396,'[1]DBS_KPY Sorumlular'!A:C,2,FALSE)</f>
        <v>Sinan ERDAŞ</v>
      </c>
      <c r="Z4396" t="str">
        <f>VLOOKUP(C4396,'[1]DBS_KPY Sorumlular'!A:C,3,FALSE)</f>
        <v>Ayşegül AKGÜL</v>
      </c>
      <c r="AA4396" t="str">
        <f>VLOOKUP(K4396,[1]!Tablo3[#Data],2,FALSE)</f>
        <v>Kadir TOPÇU</v>
      </c>
    </row>
    <row r="4397" spans="1:27" x14ac:dyDescent="0.25">
      <c r="A4397">
        <v>5797</v>
      </c>
      <c r="B4397" t="s">
        <v>27</v>
      </c>
      <c r="C4397" t="s">
        <v>288</v>
      </c>
      <c r="D4397" t="s">
        <v>6377</v>
      </c>
      <c r="F4397" t="s">
        <v>290</v>
      </c>
      <c r="G4397" t="s">
        <v>291</v>
      </c>
      <c r="H4397" t="s">
        <v>11803</v>
      </c>
      <c r="I4397" s="4">
        <v>45837.875</v>
      </c>
      <c r="J4397" t="s">
        <v>11804</v>
      </c>
      <c r="K4397" t="s">
        <v>325</v>
      </c>
      <c r="L4397" s="5"/>
      <c r="M4397" s="5"/>
      <c r="N4397" t="s">
        <v>46</v>
      </c>
      <c r="O4397" t="s">
        <v>11805</v>
      </c>
      <c r="R4397">
        <v>0.01</v>
      </c>
      <c r="T4397" s="5" t="s">
        <v>38</v>
      </c>
      <c r="W4397">
        <v>23</v>
      </c>
      <c r="X4397" t="s">
        <v>295</v>
      </c>
      <c r="Y4397" t="str">
        <f>VLOOKUP(C4397,'[1]DBS_KPY Sorumlular'!A:C,2,FALSE)</f>
        <v>Sinan ERDAŞ</v>
      </c>
      <c r="Z4397" t="str">
        <f>VLOOKUP(C4397,'[1]DBS_KPY Sorumlular'!A:C,3,FALSE)</f>
        <v>Ayşegül AKGÜL</v>
      </c>
      <c r="AA4397" t="str">
        <f>VLOOKUP(K4397,[1]!Tablo3[#Data],2,FALSE)</f>
        <v>Kadir TOPÇU</v>
      </c>
    </row>
    <row r="4398" spans="1:27" x14ac:dyDescent="0.25">
      <c r="A4398">
        <v>5798</v>
      </c>
      <c r="B4398" t="s">
        <v>27</v>
      </c>
      <c r="C4398" t="s">
        <v>288</v>
      </c>
      <c r="D4398" t="s">
        <v>6377</v>
      </c>
      <c r="F4398" t="s">
        <v>290</v>
      </c>
      <c r="G4398" t="s">
        <v>291</v>
      </c>
      <c r="H4398" t="s">
        <v>11806</v>
      </c>
      <c r="I4398" s="4">
        <v>45898.875</v>
      </c>
      <c r="K4398" t="s">
        <v>853</v>
      </c>
      <c r="L4398" s="5"/>
      <c r="M4398" s="5"/>
      <c r="N4398" t="s">
        <v>46</v>
      </c>
      <c r="O4398" t="s">
        <v>11807</v>
      </c>
      <c r="R4398">
        <v>0.01</v>
      </c>
      <c r="T4398" s="5" t="s">
        <v>38</v>
      </c>
      <c r="W4398">
        <v>23</v>
      </c>
      <c r="X4398" t="s">
        <v>295</v>
      </c>
      <c r="Y4398" t="str">
        <f>VLOOKUP(C4398,'[1]DBS_KPY Sorumlular'!A:C,2,FALSE)</f>
        <v>Sinan ERDAŞ</v>
      </c>
      <c r="Z4398" t="str">
        <f>VLOOKUP(C4398,'[1]DBS_KPY Sorumlular'!A:C,3,FALSE)</f>
        <v>Ayşegül AKGÜL</v>
      </c>
      <c r="AA4398" t="str">
        <f>VLOOKUP(K4398,[1]!Tablo3[#Data],2,FALSE)</f>
        <v>Erkan AKDOĞAN</v>
      </c>
    </row>
    <row r="4399" spans="1:27" x14ac:dyDescent="0.25">
      <c r="A4399">
        <v>5799</v>
      </c>
      <c r="B4399" t="s">
        <v>27</v>
      </c>
      <c r="C4399" t="s">
        <v>288</v>
      </c>
      <c r="D4399" t="s">
        <v>6377</v>
      </c>
      <c r="F4399" t="s">
        <v>290</v>
      </c>
      <c r="G4399" t="s">
        <v>291</v>
      </c>
      <c r="H4399" t="s">
        <v>11808</v>
      </c>
      <c r="I4399" s="4">
        <v>45898.875</v>
      </c>
      <c r="K4399" t="s">
        <v>280</v>
      </c>
      <c r="L4399" s="5"/>
      <c r="M4399" s="5"/>
      <c r="N4399" t="s">
        <v>46</v>
      </c>
      <c r="O4399" t="s">
        <v>11809</v>
      </c>
      <c r="R4399">
        <v>0.01</v>
      </c>
      <c r="T4399" s="5" t="s">
        <v>38</v>
      </c>
      <c r="W4399">
        <v>23</v>
      </c>
      <c r="X4399" t="s">
        <v>295</v>
      </c>
      <c r="Y4399" t="str">
        <f>VLOOKUP(C4399,'[1]DBS_KPY Sorumlular'!A:C,2,FALSE)</f>
        <v>Sinan ERDAŞ</v>
      </c>
      <c r="Z4399" t="str">
        <f>VLOOKUP(C4399,'[1]DBS_KPY Sorumlular'!A:C,3,FALSE)</f>
        <v>Ayşegül AKGÜL</v>
      </c>
      <c r="AA4399" t="str">
        <f>VLOOKUP(K4399,[1]!Tablo3[#Data],2,FALSE)</f>
        <v>Erkan AKDOĞAN</v>
      </c>
    </row>
    <row r="4400" spans="1:27" x14ac:dyDescent="0.25">
      <c r="A4400">
        <v>5800</v>
      </c>
      <c r="B4400" t="s">
        <v>27</v>
      </c>
      <c r="C4400" t="s">
        <v>288</v>
      </c>
      <c r="D4400" t="s">
        <v>6377</v>
      </c>
      <c r="F4400" t="s">
        <v>290</v>
      </c>
      <c r="G4400" t="s">
        <v>291</v>
      </c>
      <c r="H4400" t="s">
        <v>11810</v>
      </c>
      <c r="I4400" s="4">
        <v>45912.875</v>
      </c>
      <c r="J4400" t="s">
        <v>11811</v>
      </c>
      <c r="K4400" t="s">
        <v>364</v>
      </c>
      <c r="L4400" s="5"/>
      <c r="M4400" s="5"/>
      <c r="N4400" t="s">
        <v>46</v>
      </c>
      <c r="O4400" t="s">
        <v>11812</v>
      </c>
      <c r="R4400">
        <v>0.01</v>
      </c>
      <c r="T4400" s="5" t="s">
        <v>38</v>
      </c>
      <c r="W4400">
        <v>23</v>
      </c>
      <c r="X4400" t="s">
        <v>295</v>
      </c>
      <c r="Y4400" t="str">
        <f>VLOOKUP(C4400,'[1]DBS_KPY Sorumlular'!A:C,2,FALSE)</f>
        <v>Sinan ERDAŞ</v>
      </c>
      <c r="Z4400" t="str">
        <f>VLOOKUP(C4400,'[1]DBS_KPY Sorumlular'!A:C,3,FALSE)</f>
        <v>Ayşegül AKGÜL</v>
      </c>
      <c r="AA4400" t="str">
        <f>VLOOKUP(K4400,[1]!Tablo3[#Data],2,FALSE)</f>
        <v>Kadir TOPÇU</v>
      </c>
    </row>
    <row r="4401" spans="1:27" x14ac:dyDescent="0.25">
      <c r="A4401">
        <v>5801</v>
      </c>
      <c r="B4401" t="s">
        <v>27</v>
      </c>
      <c r="C4401" t="s">
        <v>288</v>
      </c>
      <c r="D4401" t="s">
        <v>6377</v>
      </c>
      <c r="F4401" t="s">
        <v>290</v>
      </c>
      <c r="G4401" t="s">
        <v>291</v>
      </c>
      <c r="H4401" t="s">
        <v>11813</v>
      </c>
      <c r="I4401" s="4">
        <v>45897.875</v>
      </c>
      <c r="J4401" t="s">
        <v>11798</v>
      </c>
      <c r="K4401" t="s">
        <v>152</v>
      </c>
      <c r="L4401" s="5"/>
      <c r="M4401" s="5"/>
      <c r="N4401" t="s">
        <v>46</v>
      </c>
      <c r="O4401" t="s">
        <v>11799</v>
      </c>
      <c r="R4401">
        <v>0.01</v>
      </c>
      <c r="T4401" s="5" t="s">
        <v>38</v>
      </c>
      <c r="W4401">
        <v>23</v>
      </c>
      <c r="X4401" t="s">
        <v>295</v>
      </c>
      <c r="Y4401" t="str">
        <f>VLOOKUP(C4401,'[1]DBS_KPY Sorumlular'!A:C,2,FALSE)</f>
        <v>Sinan ERDAŞ</v>
      </c>
      <c r="Z4401" t="str">
        <f>VLOOKUP(C4401,'[1]DBS_KPY Sorumlular'!A:C,3,FALSE)</f>
        <v>Ayşegül AKGÜL</v>
      </c>
      <c r="AA4401" t="str">
        <f>VLOOKUP(K4401,[1]!Tablo3[#Data],2,FALSE)</f>
        <v>Erkan AKDOĞAN</v>
      </c>
    </row>
    <row r="4402" spans="1:27" x14ac:dyDescent="0.25">
      <c r="A4402">
        <v>5802</v>
      </c>
      <c r="B4402" t="s">
        <v>27</v>
      </c>
      <c r="C4402" t="s">
        <v>288</v>
      </c>
      <c r="D4402" t="s">
        <v>6377</v>
      </c>
      <c r="F4402" t="s">
        <v>290</v>
      </c>
      <c r="G4402" t="s">
        <v>291</v>
      </c>
      <c r="H4402" t="s">
        <v>11814</v>
      </c>
      <c r="I4402" s="4">
        <v>45859.875</v>
      </c>
      <c r="J4402" t="s">
        <v>11795</v>
      </c>
      <c r="K4402" t="s">
        <v>678</v>
      </c>
      <c r="L4402" s="5"/>
      <c r="M4402" s="5"/>
      <c r="N4402" t="s">
        <v>46</v>
      </c>
      <c r="O4402" t="s">
        <v>11796</v>
      </c>
      <c r="R4402">
        <v>0.01</v>
      </c>
      <c r="T4402" s="5" t="s">
        <v>38</v>
      </c>
      <c r="W4402">
        <v>23</v>
      </c>
      <c r="X4402" t="s">
        <v>295</v>
      </c>
      <c r="Y4402" t="str">
        <f>VLOOKUP(C4402,'[1]DBS_KPY Sorumlular'!A:C,2,FALSE)</f>
        <v>Sinan ERDAŞ</v>
      </c>
      <c r="Z4402" t="str">
        <f>VLOOKUP(C4402,'[1]DBS_KPY Sorumlular'!A:C,3,FALSE)</f>
        <v>Ayşegül AKGÜL</v>
      </c>
      <c r="AA4402" t="str">
        <f>VLOOKUP(K4402,[1]!Tablo3[#Data],2,FALSE)</f>
        <v>Kadir TOPÇU</v>
      </c>
    </row>
    <row r="4403" spans="1:27" x14ac:dyDescent="0.25">
      <c r="A4403">
        <v>5803</v>
      </c>
      <c r="B4403" t="s">
        <v>27</v>
      </c>
      <c r="C4403" t="s">
        <v>40</v>
      </c>
      <c r="D4403" t="s">
        <v>65</v>
      </c>
      <c r="G4403" t="s">
        <v>67</v>
      </c>
      <c r="H4403" t="s">
        <v>11815</v>
      </c>
      <c r="I4403" s="4">
        <v>45762.875</v>
      </c>
      <c r="J4403" t="s">
        <v>11816</v>
      </c>
      <c r="K4403" t="s">
        <v>1334</v>
      </c>
      <c r="L4403" s="5"/>
      <c r="M4403" s="5"/>
      <c r="N4403" t="s">
        <v>82</v>
      </c>
      <c r="O4403" t="s">
        <v>11817</v>
      </c>
      <c r="R4403">
        <v>0.3</v>
      </c>
      <c r="T4403" s="5" t="s">
        <v>48</v>
      </c>
      <c r="U4403" t="s">
        <v>11818</v>
      </c>
      <c r="V4403" t="s">
        <v>11819</v>
      </c>
      <c r="W4403">
        <v>203</v>
      </c>
      <c r="X4403" t="s">
        <v>72</v>
      </c>
      <c r="Y4403" t="str">
        <f>VLOOKUP(C4403,'[1]DBS_KPY Sorumlular'!A:C,2,FALSE)</f>
        <v>Mustafa AYDIN</v>
      </c>
      <c r="Z4403" t="str">
        <f>VLOOKUP(C4403,'[1]DBS_KPY Sorumlular'!A:C,3,FALSE)</f>
        <v>Esra DOLAN</v>
      </c>
      <c r="AA4403" t="str">
        <f>VLOOKUP(K4403,[1]!Tablo3[#Data],2,FALSE)</f>
        <v>Erkan AKDOĞAN</v>
      </c>
    </row>
    <row r="4404" spans="1:27" x14ac:dyDescent="0.25">
      <c r="A4404">
        <v>5804</v>
      </c>
      <c r="B4404" t="s">
        <v>27</v>
      </c>
      <c r="C4404" t="s">
        <v>652</v>
      </c>
      <c r="D4404" t="s">
        <v>653</v>
      </c>
      <c r="F4404" t="s">
        <v>95</v>
      </c>
      <c r="G4404" t="s">
        <v>456</v>
      </c>
      <c r="H4404" t="s">
        <v>11820</v>
      </c>
      <c r="I4404" s="4">
        <v>45836.875</v>
      </c>
      <c r="K4404" t="s">
        <v>364</v>
      </c>
      <c r="L4404" s="5"/>
      <c r="M4404" s="5"/>
      <c r="N4404" t="s">
        <v>46</v>
      </c>
      <c r="O4404" t="s">
        <v>11821</v>
      </c>
      <c r="R4404">
        <v>0.99</v>
      </c>
      <c r="T4404" s="5" t="s">
        <v>48</v>
      </c>
      <c r="U4404" t="s">
        <v>11822</v>
      </c>
      <c r="V4404" t="s">
        <v>11823</v>
      </c>
      <c r="W4404">
        <v>144</v>
      </c>
      <c r="X4404" t="s">
        <v>463</v>
      </c>
      <c r="Y4404" t="str">
        <f>VLOOKUP(C4404,'[1]DBS_KPY Sorumlular'!A:C,2,FALSE)</f>
        <v>Seyithan İŞİK</v>
      </c>
      <c r="Z4404" t="str">
        <f>VLOOKUP(C4404,'[1]DBS_KPY Sorumlular'!A:C,3,FALSE)</f>
        <v>Korhan KÖROĞLU</v>
      </c>
      <c r="AA4404" t="str">
        <f>VLOOKUP(K4404,[1]!Tablo3[#Data],2,FALSE)</f>
        <v>Kadir TOPÇU</v>
      </c>
    </row>
    <row r="4405" spans="1:27" x14ac:dyDescent="0.25">
      <c r="A4405">
        <v>5805</v>
      </c>
      <c r="B4405" t="s">
        <v>27</v>
      </c>
      <c r="C4405" t="s">
        <v>652</v>
      </c>
      <c r="D4405" t="s">
        <v>653</v>
      </c>
      <c r="F4405" t="s">
        <v>482</v>
      </c>
      <c r="G4405" t="s">
        <v>456</v>
      </c>
      <c r="H4405" t="s">
        <v>11824</v>
      </c>
      <c r="I4405" s="4">
        <v>45829.875</v>
      </c>
      <c r="K4405" t="s">
        <v>743</v>
      </c>
      <c r="L4405" s="5"/>
      <c r="M4405" s="5"/>
      <c r="N4405" t="s">
        <v>46</v>
      </c>
      <c r="O4405" t="s">
        <v>11825</v>
      </c>
      <c r="R4405">
        <v>0.99</v>
      </c>
      <c r="T4405" s="5" t="s">
        <v>48</v>
      </c>
      <c r="U4405" t="s">
        <v>11826</v>
      </c>
      <c r="V4405" t="s">
        <v>11827</v>
      </c>
      <c r="W4405">
        <v>144</v>
      </c>
      <c r="X4405" t="s">
        <v>463</v>
      </c>
      <c r="Y4405" t="str">
        <f>VLOOKUP(C4405,'[1]DBS_KPY Sorumlular'!A:C,2,FALSE)</f>
        <v>Seyithan İŞİK</v>
      </c>
      <c r="Z4405" t="str">
        <f>VLOOKUP(C4405,'[1]DBS_KPY Sorumlular'!A:C,3,FALSE)</f>
        <v>Korhan KÖROĞLU</v>
      </c>
      <c r="AA4405" t="str">
        <f>VLOOKUP(K4405,[1]!Tablo3[#Data],2,FALSE)</f>
        <v>Kadir TOPÇU</v>
      </c>
    </row>
    <row r="4406" spans="1:27" x14ac:dyDescent="0.25">
      <c r="A4406">
        <v>5806</v>
      </c>
      <c r="B4406" t="s">
        <v>27</v>
      </c>
      <c r="C4406" t="s">
        <v>402</v>
      </c>
      <c r="D4406" t="s">
        <v>403</v>
      </c>
      <c r="F4406" t="s">
        <v>383</v>
      </c>
      <c r="G4406" t="s">
        <v>384</v>
      </c>
      <c r="H4406" t="s">
        <v>11828</v>
      </c>
      <c r="I4406" s="4"/>
      <c r="J4406" t="s">
        <v>11829</v>
      </c>
      <c r="K4406" t="s">
        <v>743</v>
      </c>
      <c r="L4406" s="5" t="s">
        <v>11830</v>
      </c>
      <c r="M4406" s="5"/>
      <c r="N4406" t="s">
        <v>82</v>
      </c>
      <c r="O4406" t="s">
        <v>11831</v>
      </c>
      <c r="R4406">
        <v>1</v>
      </c>
      <c r="T4406" s="5" t="s">
        <v>100</v>
      </c>
      <c r="W4406">
        <v>177</v>
      </c>
      <c r="X4406" t="s">
        <v>2818</v>
      </c>
      <c r="Y4406" t="str">
        <f>VLOOKUP(C4406,'[1]DBS_KPY Sorumlular'!A:C,2,FALSE)</f>
        <v>Tayfun VİÇE</v>
      </c>
      <c r="Z4406" t="str">
        <f>VLOOKUP(C4406,'[1]DBS_KPY Sorumlular'!A:C,3,FALSE)</f>
        <v>Mehmet Ali YAVUZ</v>
      </c>
      <c r="AA4406" t="str">
        <f>VLOOKUP(K4406,[1]!Tablo3[#Data],2,FALSE)</f>
        <v>Kadir TOPÇU</v>
      </c>
    </row>
    <row r="4407" spans="1:27" x14ac:dyDescent="0.25">
      <c r="A4407">
        <v>5807</v>
      </c>
      <c r="B4407" t="s">
        <v>27</v>
      </c>
      <c r="C4407" t="s">
        <v>40</v>
      </c>
      <c r="D4407" t="s">
        <v>41</v>
      </c>
      <c r="G4407" t="s">
        <v>43</v>
      </c>
      <c r="H4407" t="s">
        <v>11832</v>
      </c>
      <c r="I4407" s="4">
        <v>46058.875</v>
      </c>
      <c r="K4407" t="s">
        <v>914</v>
      </c>
      <c r="L4407" s="5" t="s">
        <v>265</v>
      </c>
      <c r="M4407" s="5"/>
      <c r="N4407" t="s">
        <v>46</v>
      </c>
      <c r="O4407" t="s">
        <v>11833</v>
      </c>
      <c r="R4407">
        <v>0.65</v>
      </c>
      <c r="T4407" s="5" t="s">
        <v>48</v>
      </c>
      <c r="U4407" t="s">
        <v>11834</v>
      </c>
      <c r="V4407" t="s">
        <v>11835</v>
      </c>
      <c r="W4407">
        <v>62</v>
      </c>
      <c r="X4407" t="s">
        <v>680</v>
      </c>
      <c r="Y4407" t="str">
        <f>VLOOKUP(C4407,'[1]DBS_KPY Sorumlular'!A:C,2,FALSE)</f>
        <v>Mustafa AYDIN</v>
      </c>
      <c r="Z4407" t="str">
        <f>VLOOKUP(C4407,'[1]DBS_KPY Sorumlular'!A:C,3,FALSE)</f>
        <v>Esra DOLAN</v>
      </c>
      <c r="AA4407" t="str">
        <f>VLOOKUP(K4407,[1]!Tablo3[#Data],2,FALSE)</f>
        <v>Tayfun VİÇE</v>
      </c>
    </row>
    <row r="4408" spans="1:27" x14ac:dyDescent="0.25">
      <c r="A4408">
        <v>5808</v>
      </c>
      <c r="B4408" t="s">
        <v>27</v>
      </c>
      <c r="C4408" t="s">
        <v>40</v>
      </c>
      <c r="D4408" t="s">
        <v>41</v>
      </c>
      <c r="G4408" t="s">
        <v>43</v>
      </c>
      <c r="H4408" t="s">
        <v>11836</v>
      </c>
      <c r="I4408" s="4">
        <v>45837.875</v>
      </c>
      <c r="K4408" t="s">
        <v>280</v>
      </c>
      <c r="L4408" s="5"/>
      <c r="M4408" s="5"/>
      <c r="N4408" t="s">
        <v>46</v>
      </c>
      <c r="O4408" t="s">
        <v>11837</v>
      </c>
      <c r="R4408">
        <v>0.9</v>
      </c>
      <c r="T4408" s="5" t="s">
        <v>58</v>
      </c>
      <c r="U4408" t="s">
        <v>192</v>
      </c>
      <c r="V4408" t="s">
        <v>193</v>
      </c>
      <c r="W4408">
        <v>85</v>
      </c>
      <c r="X4408" t="s">
        <v>958</v>
      </c>
      <c r="Y4408" t="str">
        <f>VLOOKUP(C4408,'[1]DBS_KPY Sorumlular'!A:C,2,FALSE)</f>
        <v>Mustafa AYDIN</v>
      </c>
      <c r="Z4408" t="str">
        <f>VLOOKUP(C4408,'[1]DBS_KPY Sorumlular'!A:C,3,FALSE)</f>
        <v>Esra DOLAN</v>
      </c>
      <c r="AA4408" t="str">
        <f>VLOOKUP(K4408,[1]!Tablo3[#Data],2,FALSE)</f>
        <v>Erkan AKDOĞAN</v>
      </c>
    </row>
    <row r="4409" spans="1:27" x14ac:dyDescent="0.25">
      <c r="A4409">
        <v>5810</v>
      </c>
      <c r="B4409" t="s">
        <v>27</v>
      </c>
      <c r="C4409" t="s">
        <v>843</v>
      </c>
      <c r="D4409" t="s">
        <v>1601</v>
      </c>
      <c r="F4409" t="s">
        <v>95</v>
      </c>
      <c r="G4409" t="s">
        <v>291</v>
      </c>
      <c r="H4409" t="s">
        <v>11838</v>
      </c>
      <c r="I4409" s="4">
        <v>46171.875</v>
      </c>
      <c r="J4409" t="s">
        <v>11420</v>
      </c>
      <c r="K4409" t="s">
        <v>678</v>
      </c>
      <c r="L4409" s="5" t="s">
        <v>11839</v>
      </c>
      <c r="M4409" s="5"/>
      <c r="N4409" t="s">
        <v>35</v>
      </c>
      <c r="O4409" t="s">
        <v>11840</v>
      </c>
      <c r="R4409">
        <v>0.01</v>
      </c>
      <c r="T4409" s="5" t="s">
        <v>38</v>
      </c>
      <c r="W4409">
        <v>267</v>
      </c>
      <c r="X4409" t="s">
        <v>6211</v>
      </c>
      <c r="Y4409" t="str">
        <f>VLOOKUP(C4409,'[1]DBS_KPY Sorumlular'!A:C,2,FALSE)</f>
        <v>Sinan ERDAŞ</v>
      </c>
      <c r="Z4409" t="str">
        <f>VLOOKUP(C4409,'[1]DBS_KPY Sorumlular'!A:C,3,FALSE)</f>
        <v>Ayşegül AKGÜL</v>
      </c>
      <c r="AA4409" t="str">
        <f>VLOOKUP(K4409,[1]!Tablo3[#Data],2,FALSE)</f>
        <v>Kadir TOPÇU</v>
      </c>
    </row>
    <row r="4410" spans="1:27" x14ac:dyDescent="0.25">
      <c r="A4410">
        <v>5811</v>
      </c>
      <c r="B4410" t="s">
        <v>27</v>
      </c>
      <c r="C4410" t="s">
        <v>843</v>
      </c>
      <c r="D4410" t="s">
        <v>1601</v>
      </c>
      <c r="F4410" t="s">
        <v>1602</v>
      </c>
      <c r="G4410" t="s">
        <v>291</v>
      </c>
      <c r="H4410" t="s">
        <v>11841</v>
      </c>
      <c r="I4410" s="4">
        <v>46021.875</v>
      </c>
      <c r="J4410" t="s">
        <v>11420</v>
      </c>
      <c r="K4410" t="s">
        <v>325</v>
      </c>
      <c r="L4410" s="5" t="s">
        <v>11842</v>
      </c>
      <c r="M4410" s="5"/>
      <c r="N4410" t="s">
        <v>35</v>
      </c>
      <c r="O4410" t="s">
        <v>11843</v>
      </c>
      <c r="R4410">
        <v>0.01</v>
      </c>
      <c r="T4410" s="5" t="s">
        <v>38</v>
      </c>
      <c r="W4410">
        <v>94</v>
      </c>
      <c r="X4410" t="s">
        <v>1707</v>
      </c>
      <c r="Y4410" t="str">
        <f>VLOOKUP(C4410,'[1]DBS_KPY Sorumlular'!A:C,2,FALSE)</f>
        <v>Sinan ERDAŞ</v>
      </c>
      <c r="Z4410" t="str">
        <f>VLOOKUP(C4410,'[1]DBS_KPY Sorumlular'!A:C,3,FALSE)</f>
        <v>Ayşegül AKGÜL</v>
      </c>
      <c r="AA4410" t="str">
        <f>VLOOKUP(K4410,[1]!Tablo3[#Data],2,FALSE)</f>
        <v>Kadir TOPÇU</v>
      </c>
    </row>
    <row r="4411" spans="1:27" x14ac:dyDescent="0.25">
      <c r="A4411">
        <v>5812</v>
      </c>
      <c r="B4411" t="s">
        <v>27</v>
      </c>
      <c r="C4411" t="s">
        <v>40</v>
      </c>
      <c r="D4411" t="s">
        <v>41</v>
      </c>
      <c r="G4411" t="s">
        <v>43</v>
      </c>
      <c r="H4411" t="s">
        <v>11844</v>
      </c>
      <c r="I4411" s="4">
        <v>45837.875</v>
      </c>
      <c r="K4411" t="s">
        <v>181</v>
      </c>
      <c r="L4411" s="5"/>
      <c r="M4411" s="5"/>
      <c r="N4411" t="s">
        <v>46</v>
      </c>
      <c r="O4411" t="s">
        <v>11845</v>
      </c>
      <c r="R4411">
        <v>0.95</v>
      </c>
      <c r="T4411" s="5" t="s">
        <v>58</v>
      </c>
      <c r="U4411" t="s">
        <v>254</v>
      </c>
      <c r="V4411" t="s">
        <v>255</v>
      </c>
      <c r="W4411">
        <v>36</v>
      </c>
      <c r="X4411" t="s">
        <v>1051</v>
      </c>
      <c r="Y4411" t="str">
        <f>VLOOKUP(C4411,'[1]DBS_KPY Sorumlular'!A:C,2,FALSE)</f>
        <v>Mustafa AYDIN</v>
      </c>
      <c r="Z4411" t="str">
        <f>VLOOKUP(C4411,'[1]DBS_KPY Sorumlular'!A:C,3,FALSE)</f>
        <v>Esra DOLAN</v>
      </c>
      <c r="AA4411" t="str">
        <f>VLOOKUP(K4411,[1]!Tablo3[#Data],2,FALSE)</f>
        <v>Erkan AKDOĞAN</v>
      </c>
    </row>
    <row r="4412" spans="1:27" x14ac:dyDescent="0.25">
      <c r="A4412">
        <v>5813</v>
      </c>
      <c r="B4412" t="s">
        <v>27</v>
      </c>
      <c r="C4412" t="s">
        <v>40</v>
      </c>
      <c r="D4412" t="s">
        <v>41</v>
      </c>
      <c r="G4412" t="s">
        <v>43</v>
      </c>
      <c r="H4412" t="s">
        <v>11846</v>
      </c>
      <c r="I4412" s="4">
        <v>45807.875</v>
      </c>
      <c r="K4412" t="s">
        <v>325</v>
      </c>
      <c r="L4412" s="5"/>
      <c r="M4412" s="5"/>
      <c r="N4412" t="s">
        <v>82</v>
      </c>
      <c r="O4412" t="s">
        <v>11847</v>
      </c>
      <c r="R4412">
        <v>1</v>
      </c>
      <c r="T4412" s="5" t="s">
        <v>58</v>
      </c>
      <c r="U4412" t="s">
        <v>192</v>
      </c>
      <c r="V4412" t="s">
        <v>193</v>
      </c>
      <c r="W4412">
        <v>169</v>
      </c>
      <c r="X4412" t="s">
        <v>1480</v>
      </c>
      <c r="Y4412" t="str">
        <f>VLOOKUP(C4412,'[1]DBS_KPY Sorumlular'!A:C,2,FALSE)</f>
        <v>Mustafa AYDIN</v>
      </c>
      <c r="Z4412" t="str">
        <f>VLOOKUP(C4412,'[1]DBS_KPY Sorumlular'!A:C,3,FALSE)</f>
        <v>Esra DOLAN</v>
      </c>
      <c r="AA4412" t="str">
        <f>VLOOKUP(K4412,[1]!Tablo3[#Data],2,FALSE)</f>
        <v>Kadir TOPÇU</v>
      </c>
    </row>
    <row r="4413" spans="1:27" x14ac:dyDescent="0.25">
      <c r="A4413">
        <v>5814</v>
      </c>
      <c r="B4413" t="s">
        <v>27</v>
      </c>
      <c r="C4413" t="s">
        <v>40</v>
      </c>
      <c r="D4413" t="s">
        <v>41</v>
      </c>
      <c r="G4413" t="s">
        <v>43</v>
      </c>
      <c r="H4413" t="s">
        <v>11848</v>
      </c>
      <c r="I4413" s="4">
        <v>45837.875</v>
      </c>
      <c r="K4413" t="s">
        <v>435</v>
      </c>
      <c r="L4413" s="5"/>
      <c r="M4413" s="5"/>
      <c r="N4413" t="s">
        <v>46</v>
      </c>
      <c r="O4413" t="s">
        <v>11849</v>
      </c>
      <c r="R4413">
        <v>0.95</v>
      </c>
      <c r="T4413" s="5" t="s">
        <v>58</v>
      </c>
      <c r="U4413" t="s">
        <v>59</v>
      </c>
      <c r="V4413" t="s">
        <v>60</v>
      </c>
      <c r="W4413">
        <v>131</v>
      </c>
      <c r="X4413" t="s">
        <v>61</v>
      </c>
      <c r="Y4413" t="str">
        <f>VLOOKUP(C4413,'[1]DBS_KPY Sorumlular'!A:C,2,FALSE)</f>
        <v>Mustafa AYDIN</v>
      </c>
      <c r="Z4413" t="str">
        <f>VLOOKUP(C4413,'[1]DBS_KPY Sorumlular'!A:C,3,FALSE)</f>
        <v>Esra DOLAN</v>
      </c>
      <c r="AA4413" t="str">
        <f>VLOOKUP(K4413,[1]!Tablo3[#Data],2,FALSE)</f>
        <v>Tayfun VİÇE</v>
      </c>
    </row>
    <row r="4414" spans="1:27" x14ac:dyDescent="0.25">
      <c r="A4414">
        <v>5815</v>
      </c>
      <c r="B4414" t="s">
        <v>27</v>
      </c>
      <c r="C4414" t="s">
        <v>40</v>
      </c>
      <c r="D4414" t="s">
        <v>41</v>
      </c>
      <c r="G4414" t="s">
        <v>43</v>
      </c>
      <c r="H4414" t="s">
        <v>11850</v>
      </c>
      <c r="I4414" s="4">
        <v>45837.875</v>
      </c>
      <c r="K4414" t="s">
        <v>325</v>
      </c>
      <c r="L4414" s="5"/>
      <c r="M4414" s="5"/>
      <c r="N4414" t="s">
        <v>46</v>
      </c>
      <c r="O4414" t="s">
        <v>11851</v>
      </c>
      <c r="R4414">
        <v>0.6</v>
      </c>
      <c r="T4414" s="5" t="s">
        <v>58</v>
      </c>
      <c r="U4414" t="s">
        <v>254</v>
      </c>
      <c r="V4414" t="s">
        <v>255</v>
      </c>
      <c r="W4414">
        <v>72</v>
      </c>
      <c r="X4414" t="s">
        <v>341</v>
      </c>
      <c r="Y4414" t="str">
        <f>VLOOKUP(C4414,'[1]DBS_KPY Sorumlular'!A:C,2,FALSE)</f>
        <v>Mustafa AYDIN</v>
      </c>
      <c r="Z4414" t="str">
        <f>VLOOKUP(C4414,'[1]DBS_KPY Sorumlular'!A:C,3,FALSE)</f>
        <v>Esra DOLAN</v>
      </c>
      <c r="AA4414" t="str">
        <f>VLOOKUP(K4414,[1]!Tablo3[#Data],2,FALSE)</f>
        <v>Kadir TOPÇU</v>
      </c>
    </row>
    <row r="4415" spans="1:27" x14ac:dyDescent="0.25">
      <c r="A4415">
        <v>5816</v>
      </c>
      <c r="B4415" t="s">
        <v>27</v>
      </c>
      <c r="C4415" t="s">
        <v>652</v>
      </c>
      <c r="D4415" t="s">
        <v>11852</v>
      </c>
      <c r="G4415" t="s">
        <v>30</v>
      </c>
      <c r="H4415" t="s">
        <v>11853</v>
      </c>
      <c r="I4415" s="4"/>
      <c r="K4415" t="s">
        <v>98</v>
      </c>
      <c r="L4415" s="5"/>
      <c r="M4415" s="5"/>
      <c r="N4415" t="s">
        <v>82</v>
      </c>
      <c r="O4415" t="s">
        <v>11854</v>
      </c>
      <c r="R4415">
        <v>1</v>
      </c>
      <c r="T4415" s="5"/>
      <c r="W4415">
        <v>267</v>
      </c>
      <c r="X4415" t="s">
        <v>6211</v>
      </c>
      <c r="Y4415" t="str">
        <f>VLOOKUP(C4415,'[1]DBS_KPY Sorumlular'!A:C,2,FALSE)</f>
        <v>Seyithan İŞİK</v>
      </c>
      <c r="Z4415" t="str">
        <f>VLOOKUP(C4415,'[1]DBS_KPY Sorumlular'!A:C,3,FALSE)</f>
        <v>Korhan KÖROĞLU</v>
      </c>
      <c r="AA4415" t="str">
        <f>VLOOKUP(K4415,[1]!Tablo3[#Data],2,FALSE)</f>
        <v>Tayfun VİÇE</v>
      </c>
    </row>
    <row r="4416" spans="1:27" x14ac:dyDescent="0.25">
      <c r="A4416">
        <v>5817</v>
      </c>
      <c r="B4416" t="s">
        <v>27</v>
      </c>
      <c r="C4416" t="s">
        <v>652</v>
      </c>
      <c r="D4416" t="s">
        <v>11852</v>
      </c>
      <c r="G4416" t="s">
        <v>30</v>
      </c>
      <c r="H4416" t="s">
        <v>11855</v>
      </c>
      <c r="I4416" s="4"/>
      <c r="K4416" t="s">
        <v>54</v>
      </c>
      <c r="L4416" s="5"/>
      <c r="M4416" s="5"/>
      <c r="N4416" t="s">
        <v>82</v>
      </c>
      <c r="O4416" t="s">
        <v>11856</v>
      </c>
      <c r="R4416">
        <v>1</v>
      </c>
      <c r="T4416" s="5"/>
      <c r="W4416">
        <v>267</v>
      </c>
      <c r="X4416" t="s">
        <v>6211</v>
      </c>
      <c r="Y4416" t="str">
        <f>VLOOKUP(C4416,'[1]DBS_KPY Sorumlular'!A:C,2,FALSE)</f>
        <v>Seyithan İŞİK</v>
      </c>
      <c r="Z4416" t="str">
        <f>VLOOKUP(C4416,'[1]DBS_KPY Sorumlular'!A:C,3,FALSE)</f>
        <v>Korhan KÖROĞLU</v>
      </c>
      <c r="AA4416" t="str">
        <f>VLOOKUP(K4416,[1]!Tablo3[#Data],2,FALSE)</f>
        <v>Erkan AKDOĞAN</v>
      </c>
    </row>
    <row r="4417" spans="1:27" x14ac:dyDescent="0.25">
      <c r="A4417">
        <v>5818</v>
      </c>
      <c r="B4417" t="s">
        <v>27</v>
      </c>
      <c r="C4417" t="s">
        <v>652</v>
      </c>
      <c r="D4417" t="s">
        <v>11852</v>
      </c>
      <c r="G4417" t="s">
        <v>30</v>
      </c>
      <c r="H4417" t="s">
        <v>11857</v>
      </c>
      <c r="I4417" s="4"/>
      <c r="K4417" t="s">
        <v>152</v>
      </c>
      <c r="L4417" s="5"/>
      <c r="M4417" s="5"/>
      <c r="N4417" t="s">
        <v>82</v>
      </c>
      <c r="O4417" t="s">
        <v>11858</v>
      </c>
      <c r="R4417">
        <v>1</v>
      </c>
      <c r="T4417" s="5"/>
      <c r="W4417">
        <v>267</v>
      </c>
      <c r="X4417" t="s">
        <v>6211</v>
      </c>
      <c r="Y4417" t="str">
        <f>VLOOKUP(C4417,'[1]DBS_KPY Sorumlular'!A:C,2,FALSE)</f>
        <v>Seyithan İŞİK</v>
      </c>
      <c r="Z4417" t="str">
        <f>VLOOKUP(C4417,'[1]DBS_KPY Sorumlular'!A:C,3,FALSE)</f>
        <v>Korhan KÖROĞLU</v>
      </c>
      <c r="AA4417" t="str">
        <f>VLOOKUP(K4417,[1]!Tablo3[#Data],2,FALSE)</f>
        <v>Erkan AKDOĞAN</v>
      </c>
    </row>
    <row r="4418" spans="1:27" x14ac:dyDescent="0.25">
      <c r="A4418">
        <v>5819</v>
      </c>
      <c r="B4418" t="s">
        <v>27</v>
      </c>
      <c r="C4418" t="s">
        <v>652</v>
      </c>
      <c r="D4418" t="s">
        <v>11852</v>
      </c>
      <c r="G4418" t="s">
        <v>30</v>
      </c>
      <c r="H4418" t="s">
        <v>11859</v>
      </c>
      <c r="I4418" s="4"/>
      <c r="K4418" t="s">
        <v>232</v>
      </c>
      <c r="L4418" s="5"/>
      <c r="M4418" s="5"/>
      <c r="N4418" t="s">
        <v>82</v>
      </c>
      <c r="O4418" t="s">
        <v>11860</v>
      </c>
      <c r="R4418">
        <v>1</v>
      </c>
      <c r="T4418" s="5"/>
      <c r="W4418">
        <v>267</v>
      </c>
      <c r="X4418" t="s">
        <v>6211</v>
      </c>
      <c r="Y4418" t="str">
        <f>VLOOKUP(C4418,'[1]DBS_KPY Sorumlular'!A:C,2,FALSE)</f>
        <v>Seyithan İŞİK</v>
      </c>
      <c r="Z4418" t="str">
        <f>VLOOKUP(C4418,'[1]DBS_KPY Sorumlular'!A:C,3,FALSE)</f>
        <v>Korhan KÖROĞLU</v>
      </c>
      <c r="AA4418" t="str">
        <f>VLOOKUP(K4418,[1]!Tablo3[#Data],2,FALSE)</f>
        <v>Erkan AKDOĞAN</v>
      </c>
    </row>
    <row r="4419" spans="1:27" x14ac:dyDescent="0.25">
      <c r="A4419">
        <v>5820</v>
      </c>
      <c r="B4419" t="s">
        <v>27</v>
      </c>
      <c r="C4419" t="s">
        <v>652</v>
      </c>
      <c r="D4419" t="s">
        <v>11852</v>
      </c>
      <c r="G4419" t="s">
        <v>30</v>
      </c>
      <c r="H4419" t="s">
        <v>11861</v>
      </c>
      <c r="I4419" s="4"/>
      <c r="K4419" t="s">
        <v>217</v>
      </c>
      <c r="L4419" s="5"/>
      <c r="M4419" s="5"/>
      <c r="N4419" t="s">
        <v>82</v>
      </c>
      <c r="O4419" t="s">
        <v>11862</v>
      </c>
      <c r="R4419">
        <v>1</v>
      </c>
      <c r="T4419" s="5"/>
      <c r="W4419">
        <v>267</v>
      </c>
      <c r="X4419" t="s">
        <v>6211</v>
      </c>
      <c r="Y4419" t="str">
        <f>VLOOKUP(C4419,'[1]DBS_KPY Sorumlular'!A:C,2,FALSE)</f>
        <v>Seyithan İŞİK</v>
      </c>
      <c r="Z4419" t="str">
        <f>VLOOKUP(C4419,'[1]DBS_KPY Sorumlular'!A:C,3,FALSE)</f>
        <v>Korhan KÖROĞLU</v>
      </c>
      <c r="AA4419" t="str">
        <f>VLOOKUP(K4419,[1]!Tablo3[#Data],2,FALSE)</f>
        <v>Erkan AKDOĞAN</v>
      </c>
    </row>
    <row r="4420" spans="1:27" x14ac:dyDescent="0.25">
      <c r="A4420">
        <v>5821</v>
      </c>
      <c r="B4420" t="s">
        <v>27</v>
      </c>
      <c r="C4420" t="s">
        <v>652</v>
      </c>
      <c r="D4420" t="s">
        <v>11852</v>
      </c>
      <c r="G4420" t="s">
        <v>30</v>
      </c>
      <c r="H4420" t="s">
        <v>11863</v>
      </c>
      <c r="I4420" s="4"/>
      <c r="K4420" t="s">
        <v>217</v>
      </c>
      <c r="L4420" s="5"/>
      <c r="M4420" s="5"/>
      <c r="N4420" t="s">
        <v>82</v>
      </c>
      <c r="O4420" t="s">
        <v>11864</v>
      </c>
      <c r="R4420">
        <v>1</v>
      </c>
      <c r="T4420" s="5"/>
      <c r="W4420">
        <v>267</v>
      </c>
      <c r="X4420" t="s">
        <v>6211</v>
      </c>
      <c r="Y4420" t="str">
        <f>VLOOKUP(C4420,'[1]DBS_KPY Sorumlular'!A:C,2,FALSE)</f>
        <v>Seyithan İŞİK</v>
      </c>
      <c r="Z4420" t="str">
        <f>VLOOKUP(C4420,'[1]DBS_KPY Sorumlular'!A:C,3,FALSE)</f>
        <v>Korhan KÖROĞLU</v>
      </c>
      <c r="AA4420" t="str">
        <f>VLOOKUP(K4420,[1]!Tablo3[#Data],2,FALSE)</f>
        <v>Erkan AKDOĞAN</v>
      </c>
    </row>
    <row r="4421" spans="1:27" x14ac:dyDescent="0.25">
      <c r="A4421">
        <v>5822</v>
      </c>
      <c r="B4421" t="s">
        <v>27</v>
      </c>
      <c r="C4421" t="s">
        <v>652</v>
      </c>
      <c r="D4421" t="s">
        <v>11852</v>
      </c>
      <c r="G4421" t="s">
        <v>30</v>
      </c>
      <c r="H4421" t="s">
        <v>11865</v>
      </c>
      <c r="I4421" s="4"/>
      <c r="K4421" t="s">
        <v>309</v>
      </c>
      <c r="L4421" s="5"/>
      <c r="M4421" s="5"/>
      <c r="N4421" t="s">
        <v>82</v>
      </c>
      <c r="O4421" t="s">
        <v>11866</v>
      </c>
      <c r="R4421">
        <v>1</v>
      </c>
      <c r="T4421" s="5"/>
      <c r="W4421">
        <v>267</v>
      </c>
      <c r="X4421" t="s">
        <v>6211</v>
      </c>
      <c r="Y4421" t="str">
        <f>VLOOKUP(C4421,'[1]DBS_KPY Sorumlular'!A:C,2,FALSE)</f>
        <v>Seyithan İŞİK</v>
      </c>
      <c r="Z4421" t="str">
        <f>VLOOKUP(C4421,'[1]DBS_KPY Sorumlular'!A:C,3,FALSE)</f>
        <v>Korhan KÖROĞLU</v>
      </c>
      <c r="AA4421" t="str">
        <f>VLOOKUP(K4421,[1]!Tablo3[#Data],2,FALSE)</f>
        <v>Erkan AKDOĞAN</v>
      </c>
    </row>
    <row r="4422" spans="1:27" x14ac:dyDescent="0.25">
      <c r="A4422">
        <v>5823</v>
      </c>
      <c r="B4422" t="s">
        <v>27</v>
      </c>
      <c r="C4422" t="s">
        <v>652</v>
      </c>
      <c r="D4422" t="s">
        <v>11852</v>
      </c>
      <c r="G4422" t="s">
        <v>30</v>
      </c>
      <c r="H4422" t="s">
        <v>11867</v>
      </c>
      <c r="I4422" s="4"/>
      <c r="K4422" t="s">
        <v>309</v>
      </c>
      <c r="L4422" s="5"/>
      <c r="M4422" s="5"/>
      <c r="N4422" t="s">
        <v>82</v>
      </c>
      <c r="O4422" t="s">
        <v>11868</v>
      </c>
      <c r="R4422">
        <v>1</v>
      </c>
      <c r="T4422" s="5"/>
      <c r="W4422">
        <v>267</v>
      </c>
      <c r="X4422" t="s">
        <v>6211</v>
      </c>
      <c r="Y4422" t="str">
        <f>VLOOKUP(C4422,'[1]DBS_KPY Sorumlular'!A:C,2,FALSE)</f>
        <v>Seyithan İŞİK</v>
      </c>
      <c r="Z4422" t="str">
        <f>VLOOKUP(C4422,'[1]DBS_KPY Sorumlular'!A:C,3,FALSE)</f>
        <v>Korhan KÖROĞLU</v>
      </c>
      <c r="AA4422" t="str">
        <f>VLOOKUP(K4422,[1]!Tablo3[#Data],2,FALSE)</f>
        <v>Erkan AKDOĞAN</v>
      </c>
    </row>
    <row r="4423" spans="1:27" x14ac:dyDescent="0.25">
      <c r="A4423">
        <v>5824</v>
      </c>
      <c r="B4423" t="s">
        <v>27</v>
      </c>
      <c r="C4423" t="s">
        <v>652</v>
      </c>
      <c r="D4423" t="s">
        <v>11852</v>
      </c>
      <c r="G4423" t="s">
        <v>30</v>
      </c>
      <c r="H4423" t="s">
        <v>11869</v>
      </c>
      <c r="I4423" s="4"/>
      <c r="K4423" t="s">
        <v>309</v>
      </c>
      <c r="L4423" s="5"/>
      <c r="M4423" s="5"/>
      <c r="N4423" t="s">
        <v>82</v>
      </c>
      <c r="O4423" t="s">
        <v>11870</v>
      </c>
      <c r="R4423">
        <v>1</v>
      </c>
      <c r="T4423" s="5"/>
      <c r="W4423">
        <v>267</v>
      </c>
      <c r="X4423" t="s">
        <v>6211</v>
      </c>
      <c r="Y4423" t="str">
        <f>VLOOKUP(C4423,'[1]DBS_KPY Sorumlular'!A:C,2,FALSE)</f>
        <v>Seyithan İŞİK</v>
      </c>
      <c r="Z4423" t="str">
        <f>VLOOKUP(C4423,'[1]DBS_KPY Sorumlular'!A:C,3,FALSE)</f>
        <v>Korhan KÖROĞLU</v>
      </c>
      <c r="AA4423" t="str">
        <f>VLOOKUP(K4423,[1]!Tablo3[#Data],2,FALSE)</f>
        <v>Erkan AKDOĞAN</v>
      </c>
    </row>
    <row r="4424" spans="1:27" x14ac:dyDescent="0.25">
      <c r="A4424">
        <v>5825</v>
      </c>
      <c r="B4424" t="s">
        <v>27</v>
      </c>
      <c r="C4424" t="s">
        <v>40</v>
      </c>
      <c r="D4424" t="s">
        <v>41</v>
      </c>
      <c r="G4424" t="s">
        <v>43</v>
      </c>
      <c r="H4424" t="s">
        <v>11871</v>
      </c>
      <c r="I4424" s="4">
        <v>45929.875</v>
      </c>
      <c r="K4424" t="s">
        <v>423</v>
      </c>
      <c r="L4424" s="5"/>
      <c r="M4424" s="5"/>
      <c r="N4424" t="s">
        <v>46</v>
      </c>
      <c r="O4424" t="s">
        <v>11872</v>
      </c>
      <c r="R4424">
        <v>0.4</v>
      </c>
      <c r="T4424" s="5" t="s">
        <v>58</v>
      </c>
      <c r="U4424" t="s">
        <v>254</v>
      </c>
      <c r="V4424" t="s">
        <v>255</v>
      </c>
      <c r="W4424">
        <v>74</v>
      </c>
      <c r="X4424" t="s">
        <v>234</v>
      </c>
      <c r="Y4424" t="str">
        <f>VLOOKUP(C4424,'[1]DBS_KPY Sorumlular'!A:C,2,FALSE)</f>
        <v>Mustafa AYDIN</v>
      </c>
      <c r="Z4424" t="str">
        <f>VLOOKUP(C4424,'[1]DBS_KPY Sorumlular'!A:C,3,FALSE)</f>
        <v>Esra DOLAN</v>
      </c>
      <c r="AA4424" t="str">
        <f>VLOOKUP(K4424,[1]!Tablo3[#Data],2,FALSE)</f>
        <v>Kadir TOPÇU</v>
      </c>
    </row>
    <row r="4425" spans="1:27" x14ac:dyDescent="0.25">
      <c r="A4425">
        <v>5826</v>
      </c>
      <c r="B4425" t="s">
        <v>27</v>
      </c>
      <c r="C4425" t="s">
        <v>40</v>
      </c>
      <c r="D4425" t="s">
        <v>41</v>
      </c>
      <c r="G4425" t="s">
        <v>43</v>
      </c>
      <c r="H4425" t="s">
        <v>11873</v>
      </c>
      <c r="I4425" s="4">
        <v>45837.875</v>
      </c>
      <c r="K4425" t="s">
        <v>459</v>
      </c>
      <c r="L4425" s="5"/>
      <c r="M4425" s="5"/>
      <c r="N4425" t="s">
        <v>46</v>
      </c>
      <c r="O4425" t="s">
        <v>6863</v>
      </c>
      <c r="R4425">
        <v>0.85</v>
      </c>
      <c r="T4425" s="5" t="s">
        <v>58</v>
      </c>
      <c r="U4425" t="s">
        <v>254</v>
      </c>
      <c r="V4425" t="s">
        <v>255</v>
      </c>
      <c r="W4425">
        <v>68</v>
      </c>
      <c r="X4425" t="s">
        <v>51</v>
      </c>
      <c r="Y4425" t="str">
        <f>VLOOKUP(C4425,'[1]DBS_KPY Sorumlular'!A:C,2,FALSE)</f>
        <v>Mustafa AYDIN</v>
      </c>
      <c r="Z4425" t="str">
        <f>VLOOKUP(C4425,'[1]DBS_KPY Sorumlular'!A:C,3,FALSE)</f>
        <v>Esra DOLAN</v>
      </c>
      <c r="AA4425" t="str">
        <f>VLOOKUP(K4425,[1]!Tablo3[#Data],2,FALSE)</f>
        <v>Erkan AKDOĞAN</v>
      </c>
    </row>
    <row r="4426" spans="1:27" x14ac:dyDescent="0.25">
      <c r="A4426">
        <v>5827</v>
      </c>
      <c r="B4426" t="s">
        <v>27</v>
      </c>
      <c r="C4426" t="s">
        <v>40</v>
      </c>
      <c r="D4426" t="s">
        <v>41</v>
      </c>
      <c r="G4426" t="s">
        <v>43</v>
      </c>
      <c r="H4426" t="s">
        <v>11874</v>
      </c>
      <c r="I4426" s="4">
        <v>45868.875</v>
      </c>
      <c r="K4426" t="s">
        <v>423</v>
      </c>
      <c r="L4426" s="5"/>
      <c r="M4426" s="5"/>
      <c r="N4426" t="s">
        <v>46</v>
      </c>
      <c r="O4426" t="s">
        <v>11875</v>
      </c>
      <c r="R4426">
        <v>0</v>
      </c>
      <c r="T4426" s="5" t="s">
        <v>58</v>
      </c>
      <c r="U4426" t="s">
        <v>254</v>
      </c>
      <c r="V4426" t="s">
        <v>255</v>
      </c>
      <c r="W4426">
        <v>72</v>
      </c>
      <c r="X4426" t="s">
        <v>341</v>
      </c>
      <c r="Y4426" t="str">
        <f>VLOOKUP(C4426,'[1]DBS_KPY Sorumlular'!A:C,2,FALSE)</f>
        <v>Mustafa AYDIN</v>
      </c>
      <c r="Z4426" t="str">
        <f>VLOOKUP(C4426,'[1]DBS_KPY Sorumlular'!A:C,3,FALSE)</f>
        <v>Esra DOLAN</v>
      </c>
      <c r="AA4426" t="str">
        <f>VLOOKUP(K4426,[1]!Tablo3[#Data],2,FALSE)</f>
        <v>Kadir TOPÇU</v>
      </c>
    </row>
    <row r="4427" spans="1:27" x14ac:dyDescent="0.25">
      <c r="A4427">
        <v>5828</v>
      </c>
      <c r="B4427" t="s">
        <v>27</v>
      </c>
      <c r="C4427" t="s">
        <v>40</v>
      </c>
      <c r="D4427" t="s">
        <v>41</v>
      </c>
      <c r="G4427" t="s">
        <v>43</v>
      </c>
      <c r="H4427" t="s">
        <v>11876</v>
      </c>
      <c r="I4427" s="4">
        <v>45837.875</v>
      </c>
      <c r="K4427" t="s">
        <v>1002</v>
      </c>
      <c r="L4427" s="5"/>
      <c r="M4427" s="5"/>
      <c r="N4427" t="s">
        <v>46</v>
      </c>
      <c r="O4427" t="s">
        <v>11877</v>
      </c>
      <c r="R4427">
        <v>0.95</v>
      </c>
      <c r="T4427" s="5" t="s">
        <v>58</v>
      </c>
      <c r="U4427" t="s">
        <v>254</v>
      </c>
      <c r="V4427" t="s">
        <v>255</v>
      </c>
      <c r="W4427">
        <v>36</v>
      </c>
      <c r="X4427" t="s">
        <v>1051</v>
      </c>
      <c r="Y4427" t="str">
        <f>VLOOKUP(C4427,'[1]DBS_KPY Sorumlular'!A:C,2,FALSE)</f>
        <v>Mustafa AYDIN</v>
      </c>
      <c r="Z4427" t="str">
        <f>VLOOKUP(C4427,'[1]DBS_KPY Sorumlular'!A:C,3,FALSE)</f>
        <v>Esra DOLAN</v>
      </c>
      <c r="AA4427" t="str">
        <f>VLOOKUP(K4427,[1]!Tablo3[#Data],2,FALSE)</f>
        <v>Kadir TOPÇU</v>
      </c>
    </row>
    <row r="4428" spans="1:27" x14ac:dyDescent="0.25">
      <c r="A4428">
        <v>5829</v>
      </c>
      <c r="B4428" t="s">
        <v>27</v>
      </c>
      <c r="C4428" t="s">
        <v>652</v>
      </c>
      <c r="D4428" t="s">
        <v>11852</v>
      </c>
      <c r="G4428" t="s">
        <v>30</v>
      </c>
      <c r="H4428" t="s">
        <v>11878</v>
      </c>
      <c r="I4428" s="4"/>
      <c r="K4428" t="s">
        <v>325</v>
      </c>
      <c r="L4428" s="5"/>
      <c r="M4428" s="5"/>
      <c r="N4428" t="s">
        <v>82</v>
      </c>
      <c r="O4428" t="s">
        <v>11879</v>
      </c>
      <c r="R4428">
        <v>1</v>
      </c>
      <c r="T4428" s="5"/>
      <c r="W4428">
        <v>267</v>
      </c>
      <c r="X4428" t="s">
        <v>6211</v>
      </c>
      <c r="Y4428" t="str">
        <f>VLOOKUP(C4428,'[1]DBS_KPY Sorumlular'!A:C,2,FALSE)</f>
        <v>Seyithan İŞİK</v>
      </c>
      <c r="Z4428" t="str">
        <f>VLOOKUP(C4428,'[1]DBS_KPY Sorumlular'!A:C,3,FALSE)</f>
        <v>Korhan KÖROĞLU</v>
      </c>
      <c r="AA4428" t="str">
        <f>VLOOKUP(K4428,[1]!Tablo3[#Data],2,FALSE)</f>
        <v>Kadir TOPÇU</v>
      </c>
    </row>
    <row r="4429" spans="1:27" x14ac:dyDescent="0.25">
      <c r="A4429">
        <v>5830</v>
      </c>
      <c r="B4429" t="s">
        <v>1419</v>
      </c>
      <c r="C4429" t="s">
        <v>402</v>
      </c>
      <c r="D4429" t="s">
        <v>403</v>
      </c>
      <c r="F4429" t="s">
        <v>383</v>
      </c>
      <c r="G4429" t="s">
        <v>384</v>
      </c>
      <c r="H4429" t="s">
        <v>11880</v>
      </c>
      <c r="I4429" s="4"/>
      <c r="K4429" t="s">
        <v>898</v>
      </c>
      <c r="L4429" s="5"/>
      <c r="M4429" s="5"/>
      <c r="N4429" t="s">
        <v>35</v>
      </c>
      <c r="O4429" t="s">
        <v>11881</v>
      </c>
      <c r="T4429" s="5" t="s">
        <v>100</v>
      </c>
      <c r="W4429">
        <v>153</v>
      </c>
      <c r="X4429" t="s">
        <v>9117</v>
      </c>
      <c r="Y4429" t="str">
        <f>VLOOKUP(C4429,'[1]DBS_KPY Sorumlular'!A:C,2,FALSE)</f>
        <v>Tayfun VİÇE</v>
      </c>
      <c r="Z4429" t="str">
        <f>VLOOKUP(C4429,'[1]DBS_KPY Sorumlular'!A:C,3,FALSE)</f>
        <v>Mehmet Ali YAVUZ</v>
      </c>
      <c r="AA4429" t="str">
        <f>VLOOKUP(K4429,[1]!Tablo3[#Data],2,FALSE)</f>
        <v>Erkan AKDOĞAN</v>
      </c>
    </row>
    <row r="4430" spans="1:27" x14ac:dyDescent="0.25">
      <c r="A4430">
        <v>5831</v>
      </c>
      <c r="B4430" t="s">
        <v>27</v>
      </c>
      <c r="C4430" t="s">
        <v>652</v>
      </c>
      <c r="D4430" t="s">
        <v>11852</v>
      </c>
      <c r="G4430" t="s">
        <v>30</v>
      </c>
      <c r="H4430" t="s">
        <v>11882</v>
      </c>
      <c r="I4430" s="4"/>
      <c r="K4430" t="s">
        <v>325</v>
      </c>
      <c r="L4430" s="5"/>
      <c r="M4430" s="5"/>
      <c r="N4430" t="s">
        <v>82</v>
      </c>
      <c r="O4430" t="s">
        <v>11883</v>
      </c>
      <c r="R4430">
        <v>1</v>
      </c>
      <c r="T4430" s="5"/>
      <c r="W4430">
        <v>267</v>
      </c>
      <c r="X4430" t="s">
        <v>6211</v>
      </c>
      <c r="Y4430" t="str">
        <f>VLOOKUP(C4430,'[1]DBS_KPY Sorumlular'!A:C,2,FALSE)</f>
        <v>Seyithan İŞİK</v>
      </c>
      <c r="Z4430" t="str">
        <f>VLOOKUP(C4430,'[1]DBS_KPY Sorumlular'!A:C,3,FALSE)</f>
        <v>Korhan KÖROĞLU</v>
      </c>
      <c r="AA4430" t="str">
        <f>VLOOKUP(K4430,[1]!Tablo3[#Data],2,FALSE)</f>
        <v>Kadir TOPÇU</v>
      </c>
    </row>
    <row r="4431" spans="1:27" x14ac:dyDescent="0.25">
      <c r="A4431">
        <v>5832</v>
      </c>
      <c r="B4431" t="s">
        <v>27</v>
      </c>
      <c r="C4431" t="s">
        <v>652</v>
      </c>
      <c r="D4431" t="s">
        <v>11852</v>
      </c>
      <c r="G4431" t="s">
        <v>30</v>
      </c>
      <c r="H4431" t="s">
        <v>11884</v>
      </c>
      <c r="I4431" s="4"/>
      <c r="K4431" t="s">
        <v>568</v>
      </c>
      <c r="L4431" s="5"/>
      <c r="M4431" s="5"/>
      <c r="N4431" t="s">
        <v>82</v>
      </c>
      <c r="O4431" t="s">
        <v>11885</v>
      </c>
      <c r="R4431">
        <v>1</v>
      </c>
      <c r="T4431" s="5"/>
      <c r="W4431">
        <v>267</v>
      </c>
      <c r="X4431" t="s">
        <v>6211</v>
      </c>
      <c r="Y4431" t="str">
        <f>VLOOKUP(C4431,'[1]DBS_KPY Sorumlular'!A:C,2,FALSE)</f>
        <v>Seyithan İŞİK</v>
      </c>
      <c r="Z4431" t="str">
        <f>VLOOKUP(C4431,'[1]DBS_KPY Sorumlular'!A:C,3,FALSE)</f>
        <v>Korhan KÖROĞLU</v>
      </c>
      <c r="AA4431" t="str">
        <f>VLOOKUP(K4431,[1]!Tablo3[#Data],2,FALSE)</f>
        <v>Erkan AKDOĞAN</v>
      </c>
    </row>
    <row r="4432" spans="1:27" x14ac:dyDescent="0.25">
      <c r="A4432">
        <v>5833</v>
      </c>
      <c r="B4432" t="s">
        <v>1419</v>
      </c>
      <c r="C4432" t="s">
        <v>402</v>
      </c>
      <c r="D4432" t="s">
        <v>403</v>
      </c>
      <c r="F4432" t="s">
        <v>383</v>
      </c>
      <c r="G4432" t="s">
        <v>384</v>
      </c>
      <c r="H4432" t="s">
        <v>11886</v>
      </c>
      <c r="I4432" s="4"/>
      <c r="K4432" t="s">
        <v>364</v>
      </c>
      <c r="L4432" s="5"/>
      <c r="M4432" s="5"/>
      <c r="N4432" t="s">
        <v>35</v>
      </c>
      <c r="O4432" t="s">
        <v>11887</v>
      </c>
      <c r="T4432" s="5" t="s">
        <v>100</v>
      </c>
      <c r="W4432">
        <v>134</v>
      </c>
      <c r="X4432" t="s">
        <v>1577</v>
      </c>
      <c r="Y4432" t="str">
        <f>VLOOKUP(C4432,'[1]DBS_KPY Sorumlular'!A:C,2,FALSE)</f>
        <v>Tayfun VİÇE</v>
      </c>
      <c r="Z4432" t="str">
        <f>VLOOKUP(C4432,'[1]DBS_KPY Sorumlular'!A:C,3,FALSE)</f>
        <v>Mehmet Ali YAVUZ</v>
      </c>
      <c r="AA4432" t="str">
        <f>VLOOKUP(K4432,[1]!Tablo3[#Data],2,FALSE)</f>
        <v>Kadir TOPÇU</v>
      </c>
    </row>
    <row r="4433" spans="1:27" x14ac:dyDescent="0.25">
      <c r="A4433">
        <v>5834</v>
      </c>
      <c r="B4433" t="s">
        <v>27</v>
      </c>
      <c r="C4433" t="s">
        <v>40</v>
      </c>
      <c r="D4433" t="s">
        <v>41</v>
      </c>
      <c r="G4433" t="s">
        <v>43</v>
      </c>
      <c r="H4433" t="s">
        <v>11888</v>
      </c>
      <c r="I4433" s="4">
        <v>45837.875</v>
      </c>
      <c r="K4433" t="s">
        <v>1002</v>
      </c>
      <c r="L4433" s="5"/>
      <c r="M4433" s="5"/>
      <c r="N4433" t="s">
        <v>46</v>
      </c>
      <c r="O4433" t="s">
        <v>11889</v>
      </c>
      <c r="R4433">
        <v>0.45</v>
      </c>
      <c r="T4433" s="5" t="s">
        <v>58</v>
      </c>
      <c r="U4433" t="s">
        <v>254</v>
      </c>
      <c r="V4433" t="s">
        <v>255</v>
      </c>
      <c r="W4433">
        <v>72</v>
      </c>
      <c r="X4433" t="s">
        <v>341</v>
      </c>
      <c r="Y4433" t="str">
        <f>VLOOKUP(C4433,'[1]DBS_KPY Sorumlular'!A:C,2,FALSE)</f>
        <v>Mustafa AYDIN</v>
      </c>
      <c r="Z4433" t="str">
        <f>VLOOKUP(C4433,'[1]DBS_KPY Sorumlular'!A:C,3,FALSE)</f>
        <v>Esra DOLAN</v>
      </c>
      <c r="AA4433" t="str">
        <f>VLOOKUP(K4433,[1]!Tablo3[#Data],2,FALSE)</f>
        <v>Kadir TOPÇU</v>
      </c>
    </row>
    <row r="4434" spans="1:27" x14ac:dyDescent="0.25">
      <c r="A4434">
        <v>5835</v>
      </c>
      <c r="B4434" t="s">
        <v>27</v>
      </c>
      <c r="C4434" t="s">
        <v>652</v>
      </c>
      <c r="D4434" t="s">
        <v>11852</v>
      </c>
      <c r="G4434" t="s">
        <v>30</v>
      </c>
      <c r="H4434" t="s">
        <v>11890</v>
      </c>
      <c r="I4434" s="4"/>
      <c r="K4434" t="s">
        <v>611</v>
      </c>
      <c r="L4434" s="5"/>
      <c r="M4434" s="5"/>
      <c r="N4434" t="s">
        <v>82</v>
      </c>
      <c r="O4434" t="s">
        <v>11891</v>
      </c>
      <c r="R4434">
        <v>1</v>
      </c>
      <c r="T4434" s="5"/>
      <c r="W4434">
        <v>267</v>
      </c>
      <c r="X4434" t="s">
        <v>6211</v>
      </c>
      <c r="Y4434" t="str">
        <f>VLOOKUP(C4434,'[1]DBS_KPY Sorumlular'!A:C,2,FALSE)</f>
        <v>Seyithan İŞİK</v>
      </c>
      <c r="Z4434" t="str">
        <f>VLOOKUP(C4434,'[1]DBS_KPY Sorumlular'!A:C,3,FALSE)</f>
        <v>Korhan KÖROĞLU</v>
      </c>
      <c r="AA4434" t="str">
        <f>VLOOKUP(K4434,[1]!Tablo3[#Data],2,FALSE)</f>
        <v>Kadir TOPÇU</v>
      </c>
    </row>
    <row r="4435" spans="1:27" x14ac:dyDescent="0.25">
      <c r="A4435">
        <v>5836</v>
      </c>
      <c r="B4435" t="s">
        <v>27</v>
      </c>
      <c r="C4435" t="s">
        <v>652</v>
      </c>
      <c r="D4435" t="s">
        <v>11852</v>
      </c>
      <c r="G4435" t="s">
        <v>30</v>
      </c>
      <c r="H4435" t="s">
        <v>11892</v>
      </c>
      <c r="I4435" s="4"/>
      <c r="K4435" t="s">
        <v>611</v>
      </c>
      <c r="L4435" s="5"/>
      <c r="M4435" s="5"/>
      <c r="N4435" t="s">
        <v>82</v>
      </c>
      <c r="O4435" t="s">
        <v>11893</v>
      </c>
      <c r="R4435">
        <v>1</v>
      </c>
      <c r="T4435" s="5"/>
      <c r="W4435">
        <v>267</v>
      </c>
      <c r="X4435" t="s">
        <v>6211</v>
      </c>
      <c r="Y4435" t="str">
        <f>VLOOKUP(C4435,'[1]DBS_KPY Sorumlular'!A:C,2,FALSE)</f>
        <v>Seyithan İŞİK</v>
      </c>
      <c r="Z4435" t="str">
        <f>VLOOKUP(C4435,'[1]DBS_KPY Sorumlular'!A:C,3,FALSE)</f>
        <v>Korhan KÖROĞLU</v>
      </c>
      <c r="AA4435" t="str">
        <f>VLOOKUP(K4435,[1]!Tablo3[#Data],2,FALSE)</f>
        <v>Kadir TOPÇU</v>
      </c>
    </row>
    <row r="4436" spans="1:27" x14ac:dyDescent="0.25">
      <c r="A4436">
        <v>5837</v>
      </c>
      <c r="B4436" t="s">
        <v>27</v>
      </c>
      <c r="C4436" t="s">
        <v>652</v>
      </c>
      <c r="D4436" t="s">
        <v>11852</v>
      </c>
      <c r="G4436" t="s">
        <v>30</v>
      </c>
      <c r="H4436" t="s">
        <v>11894</v>
      </c>
      <c r="I4436" s="4"/>
      <c r="K4436" t="s">
        <v>678</v>
      </c>
      <c r="L4436" s="5"/>
      <c r="M4436" s="5"/>
      <c r="N4436" t="s">
        <v>82</v>
      </c>
      <c r="O4436" t="s">
        <v>11895</v>
      </c>
      <c r="R4436">
        <v>1</v>
      </c>
      <c r="T4436" s="5"/>
      <c r="W4436">
        <v>267</v>
      </c>
      <c r="X4436" t="s">
        <v>6211</v>
      </c>
      <c r="Y4436" t="str">
        <f>VLOOKUP(C4436,'[1]DBS_KPY Sorumlular'!A:C,2,FALSE)</f>
        <v>Seyithan İŞİK</v>
      </c>
      <c r="Z4436" t="str">
        <f>VLOOKUP(C4436,'[1]DBS_KPY Sorumlular'!A:C,3,FALSE)</f>
        <v>Korhan KÖROĞLU</v>
      </c>
      <c r="AA4436" t="str">
        <f>VLOOKUP(K4436,[1]!Tablo3[#Data],2,FALSE)</f>
        <v>Kadir TOPÇU</v>
      </c>
    </row>
    <row r="4437" spans="1:27" x14ac:dyDescent="0.25">
      <c r="A4437">
        <v>5838</v>
      </c>
      <c r="B4437" t="s">
        <v>27</v>
      </c>
      <c r="C4437" t="s">
        <v>652</v>
      </c>
      <c r="D4437" t="s">
        <v>11852</v>
      </c>
      <c r="G4437" t="s">
        <v>30</v>
      </c>
      <c r="H4437" t="s">
        <v>11896</v>
      </c>
      <c r="I4437" s="4"/>
      <c r="K4437" t="s">
        <v>743</v>
      </c>
      <c r="L4437" s="5"/>
      <c r="M4437" s="5"/>
      <c r="N4437" t="s">
        <v>82</v>
      </c>
      <c r="O4437" t="s">
        <v>11897</v>
      </c>
      <c r="R4437">
        <v>1</v>
      </c>
      <c r="T4437" s="5"/>
      <c r="W4437">
        <v>267</v>
      </c>
      <c r="X4437" t="s">
        <v>6211</v>
      </c>
      <c r="Y4437" t="str">
        <f>VLOOKUP(C4437,'[1]DBS_KPY Sorumlular'!A:C,2,FALSE)</f>
        <v>Seyithan İŞİK</v>
      </c>
      <c r="Z4437" t="str">
        <f>VLOOKUP(C4437,'[1]DBS_KPY Sorumlular'!A:C,3,FALSE)</f>
        <v>Korhan KÖROĞLU</v>
      </c>
      <c r="AA4437" t="str">
        <f>VLOOKUP(K4437,[1]!Tablo3[#Data],2,FALSE)</f>
        <v>Kadir TOPÇU</v>
      </c>
    </row>
    <row r="4438" spans="1:27" x14ac:dyDescent="0.25">
      <c r="A4438">
        <v>5840</v>
      </c>
      <c r="B4438" t="s">
        <v>27</v>
      </c>
      <c r="C4438" t="s">
        <v>652</v>
      </c>
      <c r="D4438" t="s">
        <v>11852</v>
      </c>
      <c r="G4438" t="s">
        <v>30</v>
      </c>
      <c r="H4438" t="s">
        <v>11898</v>
      </c>
      <c r="I4438" s="4"/>
      <c r="K4438" t="s">
        <v>743</v>
      </c>
      <c r="L4438" s="5"/>
      <c r="M4438" s="5"/>
      <c r="N4438" t="s">
        <v>82</v>
      </c>
      <c r="O4438" t="s">
        <v>11899</v>
      </c>
      <c r="R4438">
        <v>1</v>
      </c>
      <c r="T4438" s="5"/>
      <c r="W4438">
        <v>267</v>
      </c>
      <c r="X4438" t="s">
        <v>6211</v>
      </c>
      <c r="Y4438" t="str">
        <f>VLOOKUP(C4438,'[1]DBS_KPY Sorumlular'!A:C,2,FALSE)</f>
        <v>Seyithan İŞİK</v>
      </c>
      <c r="Z4438" t="str">
        <f>VLOOKUP(C4438,'[1]DBS_KPY Sorumlular'!A:C,3,FALSE)</f>
        <v>Korhan KÖROĞLU</v>
      </c>
      <c r="AA4438" t="str">
        <f>VLOOKUP(K4438,[1]!Tablo3[#Data],2,FALSE)</f>
        <v>Kadir TOPÇU</v>
      </c>
    </row>
    <row r="4439" spans="1:27" x14ac:dyDescent="0.25">
      <c r="A4439">
        <v>5841</v>
      </c>
      <c r="B4439" t="s">
        <v>27</v>
      </c>
      <c r="C4439" t="s">
        <v>40</v>
      </c>
      <c r="D4439" t="s">
        <v>41</v>
      </c>
      <c r="G4439" t="s">
        <v>43</v>
      </c>
      <c r="H4439" t="s">
        <v>11900</v>
      </c>
      <c r="I4439" s="4">
        <v>45867.875</v>
      </c>
      <c r="K4439" t="s">
        <v>678</v>
      </c>
      <c r="L4439" s="5"/>
      <c r="M4439" s="5"/>
      <c r="N4439" t="s">
        <v>46</v>
      </c>
      <c r="O4439" t="s">
        <v>11901</v>
      </c>
      <c r="R4439">
        <v>0.7</v>
      </c>
      <c r="T4439" s="5" t="s">
        <v>58</v>
      </c>
      <c r="U4439" t="s">
        <v>254</v>
      </c>
      <c r="V4439" t="s">
        <v>255</v>
      </c>
      <c r="W4439">
        <v>74</v>
      </c>
      <c r="X4439" t="s">
        <v>234</v>
      </c>
      <c r="Y4439" t="str">
        <f>VLOOKUP(C4439,'[1]DBS_KPY Sorumlular'!A:C,2,FALSE)</f>
        <v>Mustafa AYDIN</v>
      </c>
      <c r="Z4439" t="str">
        <f>VLOOKUP(C4439,'[1]DBS_KPY Sorumlular'!A:C,3,FALSE)</f>
        <v>Esra DOLAN</v>
      </c>
      <c r="AA4439" t="str">
        <f>VLOOKUP(K4439,[1]!Tablo3[#Data],2,FALSE)</f>
        <v>Kadir TOPÇU</v>
      </c>
    </row>
    <row r="4440" spans="1:27" x14ac:dyDescent="0.25">
      <c r="A4440">
        <v>5842</v>
      </c>
      <c r="B4440" t="s">
        <v>27</v>
      </c>
      <c r="C4440" t="s">
        <v>652</v>
      </c>
      <c r="D4440" t="s">
        <v>11852</v>
      </c>
      <c r="G4440" t="s">
        <v>30</v>
      </c>
      <c r="H4440" t="s">
        <v>11902</v>
      </c>
      <c r="I4440" s="4"/>
      <c r="K4440" t="s">
        <v>853</v>
      </c>
      <c r="L4440" s="5"/>
      <c r="M4440" s="5"/>
      <c r="N4440" t="s">
        <v>82</v>
      </c>
      <c r="O4440" t="s">
        <v>11903</v>
      </c>
      <c r="R4440">
        <v>1</v>
      </c>
      <c r="T4440" s="5"/>
      <c r="W4440">
        <v>267</v>
      </c>
      <c r="X4440" t="s">
        <v>6211</v>
      </c>
      <c r="Y4440" t="str">
        <f>VLOOKUP(C4440,'[1]DBS_KPY Sorumlular'!A:C,2,FALSE)</f>
        <v>Seyithan İŞİK</v>
      </c>
      <c r="Z4440" t="str">
        <f>VLOOKUP(C4440,'[1]DBS_KPY Sorumlular'!A:C,3,FALSE)</f>
        <v>Korhan KÖROĞLU</v>
      </c>
      <c r="AA4440" t="str">
        <f>VLOOKUP(K4440,[1]!Tablo3[#Data],2,FALSE)</f>
        <v>Erkan AKDOĞAN</v>
      </c>
    </row>
    <row r="4441" spans="1:27" x14ac:dyDescent="0.25">
      <c r="A4441">
        <v>5843</v>
      </c>
      <c r="B4441" t="s">
        <v>27</v>
      </c>
      <c r="C4441" t="s">
        <v>652</v>
      </c>
      <c r="D4441" t="s">
        <v>11852</v>
      </c>
      <c r="G4441" t="s">
        <v>30</v>
      </c>
      <c r="H4441" t="s">
        <v>11904</v>
      </c>
      <c r="I4441" s="4"/>
      <c r="K4441" t="s">
        <v>1002</v>
      </c>
      <c r="L4441" s="5"/>
      <c r="M4441" s="5"/>
      <c r="N4441" t="s">
        <v>82</v>
      </c>
      <c r="O4441" t="s">
        <v>11905</v>
      </c>
      <c r="R4441">
        <v>1</v>
      </c>
      <c r="T4441" s="5"/>
      <c r="W4441">
        <v>267</v>
      </c>
      <c r="X4441" t="s">
        <v>6211</v>
      </c>
      <c r="Y4441" t="str">
        <f>VLOOKUP(C4441,'[1]DBS_KPY Sorumlular'!A:C,2,FALSE)</f>
        <v>Seyithan İŞİK</v>
      </c>
      <c r="Z4441" t="str">
        <f>VLOOKUP(C4441,'[1]DBS_KPY Sorumlular'!A:C,3,FALSE)</f>
        <v>Korhan KÖROĞLU</v>
      </c>
      <c r="AA4441" t="str">
        <f>VLOOKUP(K4441,[1]!Tablo3[#Data],2,FALSE)</f>
        <v>Kadir TOPÇU</v>
      </c>
    </row>
    <row r="4442" spans="1:27" x14ac:dyDescent="0.25">
      <c r="A4442">
        <v>5844</v>
      </c>
      <c r="B4442" t="s">
        <v>27</v>
      </c>
      <c r="C4442" t="s">
        <v>652</v>
      </c>
      <c r="D4442" t="s">
        <v>11852</v>
      </c>
      <c r="G4442" t="s">
        <v>30</v>
      </c>
      <c r="H4442" t="s">
        <v>11906</v>
      </c>
      <c r="I4442" s="4"/>
      <c r="K4442" t="s">
        <v>1029</v>
      </c>
      <c r="L4442" s="5"/>
      <c r="M4442" s="5"/>
      <c r="N4442" t="s">
        <v>82</v>
      </c>
      <c r="O4442" t="s">
        <v>11907</v>
      </c>
      <c r="R4442">
        <v>1</v>
      </c>
      <c r="T4442" s="5"/>
      <c r="W4442">
        <v>267</v>
      </c>
      <c r="X4442" t="s">
        <v>6211</v>
      </c>
      <c r="Y4442" t="str">
        <f>VLOOKUP(C4442,'[1]DBS_KPY Sorumlular'!A:C,2,FALSE)</f>
        <v>Seyithan İŞİK</v>
      </c>
      <c r="Z4442" t="str">
        <f>VLOOKUP(C4442,'[1]DBS_KPY Sorumlular'!A:C,3,FALSE)</f>
        <v>Korhan KÖROĞLU</v>
      </c>
      <c r="AA4442" t="str">
        <f>VLOOKUP(K4442,[1]!Tablo3[#Data],2,FALSE)</f>
        <v>Tayfun VİÇE</v>
      </c>
    </row>
    <row r="4443" spans="1:27" x14ac:dyDescent="0.25">
      <c r="A4443">
        <v>5846</v>
      </c>
      <c r="B4443" t="s">
        <v>27</v>
      </c>
      <c r="C4443" t="s">
        <v>652</v>
      </c>
      <c r="D4443" t="s">
        <v>11852</v>
      </c>
      <c r="G4443" t="s">
        <v>30</v>
      </c>
      <c r="H4443" t="s">
        <v>11908</v>
      </c>
      <c r="I4443" s="4"/>
      <c r="K4443" t="s">
        <v>280</v>
      </c>
      <c r="L4443" s="5"/>
      <c r="M4443" s="5"/>
      <c r="N4443" t="s">
        <v>82</v>
      </c>
      <c r="O4443" t="s">
        <v>11909</v>
      </c>
      <c r="R4443">
        <v>1</v>
      </c>
      <c r="T4443" s="5"/>
      <c r="W4443">
        <v>267</v>
      </c>
      <c r="X4443" t="s">
        <v>6211</v>
      </c>
      <c r="Y4443" t="str">
        <f>VLOOKUP(C4443,'[1]DBS_KPY Sorumlular'!A:C,2,FALSE)</f>
        <v>Seyithan İŞİK</v>
      </c>
      <c r="Z4443" t="str">
        <f>VLOOKUP(C4443,'[1]DBS_KPY Sorumlular'!A:C,3,FALSE)</f>
        <v>Korhan KÖROĞLU</v>
      </c>
      <c r="AA4443" t="str">
        <f>VLOOKUP(K4443,[1]!Tablo3[#Data],2,FALSE)</f>
        <v>Erkan AKDOĞAN</v>
      </c>
    </row>
    <row r="4444" spans="1:27" x14ac:dyDescent="0.25">
      <c r="A4444">
        <v>5847</v>
      </c>
      <c r="B4444" t="s">
        <v>1419</v>
      </c>
      <c r="C4444" t="s">
        <v>402</v>
      </c>
      <c r="D4444" t="s">
        <v>403</v>
      </c>
      <c r="F4444" t="s">
        <v>383</v>
      </c>
      <c r="G4444" t="s">
        <v>384</v>
      </c>
      <c r="H4444" t="s">
        <v>11910</v>
      </c>
      <c r="I4444" s="4"/>
      <c r="K4444" t="s">
        <v>226</v>
      </c>
      <c r="L4444" s="5"/>
      <c r="M4444" s="5"/>
      <c r="N4444" t="s">
        <v>35</v>
      </c>
      <c r="O4444" t="s">
        <v>11911</v>
      </c>
      <c r="T4444" s="5" t="s">
        <v>100</v>
      </c>
      <c r="W4444">
        <v>134</v>
      </c>
      <c r="X4444" t="s">
        <v>1577</v>
      </c>
      <c r="Y4444" t="str">
        <f>VLOOKUP(C4444,'[1]DBS_KPY Sorumlular'!A:C,2,FALSE)</f>
        <v>Tayfun VİÇE</v>
      </c>
      <c r="Z4444" t="str">
        <f>VLOOKUP(C4444,'[1]DBS_KPY Sorumlular'!A:C,3,FALSE)</f>
        <v>Mehmet Ali YAVUZ</v>
      </c>
      <c r="AA4444" t="str">
        <f>VLOOKUP(K4444,[1]!Tablo3[#Data],2,FALSE)</f>
        <v>Kadir TOPÇU</v>
      </c>
    </row>
    <row r="4445" spans="1:27" x14ac:dyDescent="0.25">
      <c r="A4445">
        <v>5848</v>
      </c>
      <c r="B4445" t="s">
        <v>27</v>
      </c>
      <c r="C4445" t="s">
        <v>652</v>
      </c>
      <c r="D4445" t="s">
        <v>11852</v>
      </c>
      <c r="G4445" t="s">
        <v>30</v>
      </c>
      <c r="H4445" t="s">
        <v>11912</v>
      </c>
      <c r="I4445" s="4"/>
      <c r="K4445" t="s">
        <v>1106</v>
      </c>
      <c r="L4445" s="5"/>
      <c r="M4445" s="5"/>
      <c r="N4445" t="s">
        <v>82</v>
      </c>
      <c r="O4445" t="s">
        <v>11913</v>
      </c>
      <c r="R4445">
        <v>1</v>
      </c>
      <c r="T4445" s="5"/>
      <c r="W4445">
        <v>267</v>
      </c>
      <c r="X4445" t="s">
        <v>6211</v>
      </c>
      <c r="Y4445" t="str">
        <f>VLOOKUP(C4445,'[1]DBS_KPY Sorumlular'!A:C,2,FALSE)</f>
        <v>Seyithan İŞİK</v>
      </c>
      <c r="Z4445" t="str">
        <f>VLOOKUP(C4445,'[1]DBS_KPY Sorumlular'!A:C,3,FALSE)</f>
        <v>Korhan KÖROĞLU</v>
      </c>
      <c r="AA4445" t="str">
        <f>VLOOKUP(K4445,[1]!Tablo3[#Data],2,FALSE)</f>
        <v>Tayfun VİÇE</v>
      </c>
    </row>
    <row r="4446" spans="1:27" x14ac:dyDescent="0.25">
      <c r="A4446">
        <v>5849</v>
      </c>
      <c r="B4446" t="s">
        <v>1419</v>
      </c>
      <c r="C4446" t="s">
        <v>402</v>
      </c>
      <c r="D4446" t="s">
        <v>403</v>
      </c>
      <c r="F4446" t="s">
        <v>383</v>
      </c>
      <c r="G4446" t="s">
        <v>384</v>
      </c>
      <c r="H4446" t="s">
        <v>11914</v>
      </c>
      <c r="I4446" s="4"/>
      <c r="K4446" t="s">
        <v>743</v>
      </c>
      <c r="L4446" s="5"/>
      <c r="M4446" s="5"/>
      <c r="N4446" t="s">
        <v>35</v>
      </c>
      <c r="O4446" t="s">
        <v>11915</v>
      </c>
      <c r="T4446" s="5" t="s">
        <v>100</v>
      </c>
      <c r="W4446">
        <v>134</v>
      </c>
      <c r="X4446" t="s">
        <v>1577</v>
      </c>
      <c r="Y4446" t="str">
        <f>VLOOKUP(C4446,'[1]DBS_KPY Sorumlular'!A:C,2,FALSE)</f>
        <v>Tayfun VİÇE</v>
      </c>
      <c r="Z4446" t="str">
        <f>VLOOKUP(C4446,'[1]DBS_KPY Sorumlular'!A:C,3,FALSE)</f>
        <v>Mehmet Ali YAVUZ</v>
      </c>
      <c r="AA4446" t="str">
        <f>VLOOKUP(K4446,[1]!Tablo3[#Data],2,FALSE)</f>
        <v>Kadir TOPÇU</v>
      </c>
    </row>
    <row r="4447" spans="1:27" x14ac:dyDescent="0.25">
      <c r="A4447">
        <v>5850</v>
      </c>
      <c r="B4447" t="s">
        <v>27</v>
      </c>
      <c r="C4447" t="s">
        <v>652</v>
      </c>
      <c r="D4447" t="s">
        <v>11852</v>
      </c>
      <c r="G4447" t="s">
        <v>30</v>
      </c>
      <c r="H4447" t="s">
        <v>11916</v>
      </c>
      <c r="I4447" s="4"/>
      <c r="K4447" t="s">
        <v>1334</v>
      </c>
      <c r="L4447" s="5"/>
      <c r="M4447" s="5"/>
      <c r="N4447" t="s">
        <v>82</v>
      </c>
      <c r="O4447" t="s">
        <v>11917</v>
      </c>
      <c r="R4447">
        <v>1</v>
      </c>
      <c r="T4447" s="5"/>
      <c r="W4447">
        <v>267</v>
      </c>
      <c r="X4447" t="s">
        <v>6211</v>
      </c>
      <c r="Y4447" t="str">
        <f>VLOOKUP(C4447,'[1]DBS_KPY Sorumlular'!A:C,2,FALSE)</f>
        <v>Seyithan İŞİK</v>
      </c>
      <c r="Z4447" t="str">
        <f>VLOOKUP(C4447,'[1]DBS_KPY Sorumlular'!A:C,3,FALSE)</f>
        <v>Korhan KÖROĞLU</v>
      </c>
      <c r="AA4447" t="str">
        <f>VLOOKUP(K4447,[1]!Tablo3[#Data],2,FALSE)</f>
        <v>Erkan AKDOĞAN</v>
      </c>
    </row>
    <row r="4448" spans="1:27" x14ac:dyDescent="0.25">
      <c r="A4448">
        <v>5851</v>
      </c>
      <c r="B4448" t="s">
        <v>27</v>
      </c>
      <c r="C4448" t="s">
        <v>652</v>
      </c>
      <c r="D4448" t="s">
        <v>11852</v>
      </c>
      <c r="G4448" t="s">
        <v>30</v>
      </c>
      <c r="H4448" t="s">
        <v>11918</v>
      </c>
      <c r="I4448" s="4"/>
      <c r="K4448" t="s">
        <v>1334</v>
      </c>
      <c r="L4448" s="5"/>
      <c r="M4448" s="5"/>
      <c r="N4448" t="s">
        <v>82</v>
      </c>
      <c r="O4448" t="s">
        <v>11919</v>
      </c>
      <c r="R4448">
        <v>1</v>
      </c>
      <c r="T4448" s="5"/>
      <c r="W4448">
        <v>267</v>
      </c>
      <c r="X4448" t="s">
        <v>6211</v>
      </c>
      <c r="Y4448" t="str">
        <f>VLOOKUP(C4448,'[1]DBS_KPY Sorumlular'!A:C,2,FALSE)</f>
        <v>Seyithan İŞİK</v>
      </c>
      <c r="Z4448" t="str">
        <f>VLOOKUP(C4448,'[1]DBS_KPY Sorumlular'!A:C,3,FALSE)</f>
        <v>Korhan KÖROĞLU</v>
      </c>
      <c r="AA4448" t="str">
        <f>VLOOKUP(K4448,[1]!Tablo3[#Data],2,FALSE)</f>
        <v>Erkan AKDOĞAN</v>
      </c>
    </row>
    <row r="4449" spans="1:27" x14ac:dyDescent="0.25">
      <c r="A4449">
        <v>5852</v>
      </c>
      <c r="B4449" t="s">
        <v>27</v>
      </c>
      <c r="C4449" t="s">
        <v>652</v>
      </c>
      <c r="D4449" t="s">
        <v>11852</v>
      </c>
      <c r="G4449" t="s">
        <v>30</v>
      </c>
      <c r="H4449" t="s">
        <v>11920</v>
      </c>
      <c r="I4449" s="4"/>
      <c r="K4449" t="s">
        <v>1360</v>
      </c>
      <c r="L4449" s="5"/>
      <c r="M4449" s="5"/>
      <c r="N4449" t="s">
        <v>82</v>
      </c>
      <c r="O4449" t="s">
        <v>11921</v>
      </c>
      <c r="R4449">
        <v>1</v>
      </c>
      <c r="T4449" s="5"/>
      <c r="W4449">
        <v>267</v>
      </c>
      <c r="X4449" t="s">
        <v>6211</v>
      </c>
      <c r="Y4449" t="str">
        <f>VLOOKUP(C4449,'[1]DBS_KPY Sorumlular'!A:C,2,FALSE)</f>
        <v>Seyithan İŞİK</v>
      </c>
      <c r="Z4449" t="str">
        <f>VLOOKUP(C4449,'[1]DBS_KPY Sorumlular'!A:C,3,FALSE)</f>
        <v>Korhan KÖROĞLU</v>
      </c>
      <c r="AA4449" t="str">
        <f>VLOOKUP(K4449,[1]!Tablo3[#Data],2,FALSE)</f>
        <v>Kadir TOPÇU</v>
      </c>
    </row>
    <row r="4450" spans="1:27" x14ac:dyDescent="0.25">
      <c r="A4450">
        <v>5853</v>
      </c>
      <c r="B4450" t="s">
        <v>27</v>
      </c>
      <c r="C4450" t="s">
        <v>652</v>
      </c>
      <c r="D4450" t="s">
        <v>11852</v>
      </c>
      <c r="G4450" t="s">
        <v>30</v>
      </c>
      <c r="H4450" t="s">
        <v>11922</v>
      </c>
      <c r="I4450" s="4"/>
      <c r="K4450" t="s">
        <v>1360</v>
      </c>
      <c r="L4450" s="5"/>
      <c r="M4450" s="5"/>
      <c r="N4450" t="s">
        <v>82</v>
      </c>
      <c r="O4450" t="s">
        <v>11923</v>
      </c>
      <c r="R4450">
        <v>1</v>
      </c>
      <c r="T4450" s="5"/>
      <c r="W4450">
        <v>267</v>
      </c>
      <c r="X4450" t="s">
        <v>6211</v>
      </c>
      <c r="Y4450" t="str">
        <f>VLOOKUP(C4450,'[1]DBS_KPY Sorumlular'!A:C,2,FALSE)</f>
        <v>Seyithan İŞİK</v>
      </c>
      <c r="Z4450" t="str">
        <f>VLOOKUP(C4450,'[1]DBS_KPY Sorumlular'!A:C,3,FALSE)</f>
        <v>Korhan KÖROĞLU</v>
      </c>
      <c r="AA4450" t="str">
        <f>VLOOKUP(K4450,[1]!Tablo3[#Data],2,FALSE)</f>
        <v>Kadir TOPÇU</v>
      </c>
    </row>
    <row r="4451" spans="1:27" x14ac:dyDescent="0.25">
      <c r="A4451">
        <v>5854</v>
      </c>
      <c r="B4451" t="s">
        <v>1419</v>
      </c>
      <c r="C4451" t="s">
        <v>402</v>
      </c>
      <c r="D4451" t="s">
        <v>403</v>
      </c>
      <c r="F4451" t="s">
        <v>383</v>
      </c>
      <c r="G4451" t="s">
        <v>384</v>
      </c>
      <c r="H4451" t="s">
        <v>11924</v>
      </c>
      <c r="I4451" s="4"/>
      <c r="K4451" t="s">
        <v>926</v>
      </c>
      <c r="L4451" s="5"/>
      <c r="M4451" s="5"/>
      <c r="N4451" t="s">
        <v>35</v>
      </c>
      <c r="O4451" t="s">
        <v>11925</v>
      </c>
      <c r="T4451" s="5" t="s">
        <v>100</v>
      </c>
      <c r="W4451">
        <v>134</v>
      </c>
      <c r="X4451" t="s">
        <v>1577</v>
      </c>
      <c r="Y4451" t="str">
        <f>VLOOKUP(C4451,'[1]DBS_KPY Sorumlular'!A:C,2,FALSE)</f>
        <v>Tayfun VİÇE</v>
      </c>
      <c r="Z4451" t="str">
        <f>VLOOKUP(C4451,'[1]DBS_KPY Sorumlular'!A:C,3,FALSE)</f>
        <v>Mehmet Ali YAVUZ</v>
      </c>
      <c r="AA4451" t="str">
        <f>VLOOKUP(K4451,[1]!Tablo3[#Data],2,FALSE)</f>
        <v>Kadir TOPÇU</v>
      </c>
    </row>
    <row r="4452" spans="1:27" x14ac:dyDescent="0.25">
      <c r="A4452">
        <v>5855</v>
      </c>
      <c r="B4452" t="s">
        <v>27</v>
      </c>
      <c r="C4452" t="s">
        <v>652</v>
      </c>
      <c r="D4452" t="s">
        <v>11852</v>
      </c>
      <c r="G4452" t="s">
        <v>30</v>
      </c>
      <c r="H4452" t="s">
        <v>11926</v>
      </c>
      <c r="I4452" s="4"/>
      <c r="K4452" t="s">
        <v>1398</v>
      </c>
      <c r="L4452" s="5"/>
      <c r="M4452" s="5"/>
      <c r="N4452" t="s">
        <v>82</v>
      </c>
      <c r="O4452" t="s">
        <v>11927</v>
      </c>
      <c r="R4452">
        <v>1</v>
      </c>
      <c r="T4452" s="5"/>
      <c r="W4452">
        <v>267</v>
      </c>
      <c r="X4452" t="s">
        <v>6211</v>
      </c>
      <c r="Y4452" t="str">
        <f>VLOOKUP(C4452,'[1]DBS_KPY Sorumlular'!A:C,2,FALSE)</f>
        <v>Seyithan İŞİK</v>
      </c>
      <c r="Z4452" t="str">
        <f>VLOOKUP(C4452,'[1]DBS_KPY Sorumlular'!A:C,3,FALSE)</f>
        <v>Korhan KÖROĞLU</v>
      </c>
      <c r="AA4452" t="str">
        <f>VLOOKUP(K4452,[1]!Tablo3[#Data],2,FALSE)</f>
        <v>Tayfun VİÇE</v>
      </c>
    </row>
    <row r="4453" spans="1:27" x14ac:dyDescent="0.25">
      <c r="A4453">
        <v>5856</v>
      </c>
      <c r="B4453" t="s">
        <v>27</v>
      </c>
      <c r="C4453" t="s">
        <v>652</v>
      </c>
      <c r="D4453" t="s">
        <v>11852</v>
      </c>
      <c r="G4453" t="s">
        <v>30</v>
      </c>
      <c r="H4453" t="s">
        <v>11928</v>
      </c>
      <c r="I4453" s="4"/>
      <c r="K4453" t="s">
        <v>423</v>
      </c>
      <c r="L4453" s="5"/>
      <c r="M4453" s="5"/>
      <c r="N4453" t="s">
        <v>82</v>
      </c>
      <c r="O4453" t="s">
        <v>11929</v>
      </c>
      <c r="R4453">
        <v>1</v>
      </c>
      <c r="T4453" s="5"/>
      <c r="W4453">
        <v>267</v>
      </c>
      <c r="X4453" t="s">
        <v>6211</v>
      </c>
      <c r="Y4453" t="str">
        <f>VLOOKUP(C4453,'[1]DBS_KPY Sorumlular'!A:C,2,FALSE)</f>
        <v>Seyithan İŞİK</v>
      </c>
      <c r="Z4453" t="str">
        <f>VLOOKUP(C4453,'[1]DBS_KPY Sorumlular'!A:C,3,FALSE)</f>
        <v>Korhan KÖROĞLU</v>
      </c>
      <c r="AA4453" t="str">
        <f>VLOOKUP(K4453,[1]!Tablo3[#Data],2,FALSE)</f>
        <v>Kadir TOPÇU</v>
      </c>
    </row>
    <row r="4454" spans="1:27" x14ac:dyDescent="0.25">
      <c r="A4454">
        <v>5857</v>
      </c>
      <c r="B4454" t="s">
        <v>27</v>
      </c>
      <c r="C4454" t="s">
        <v>652</v>
      </c>
      <c r="D4454" t="s">
        <v>11852</v>
      </c>
      <c r="G4454" t="s">
        <v>30</v>
      </c>
      <c r="H4454" t="s">
        <v>11930</v>
      </c>
      <c r="I4454" s="4"/>
      <c r="K4454" t="s">
        <v>143</v>
      </c>
      <c r="L4454" s="5"/>
      <c r="M4454" s="5"/>
      <c r="N4454" t="s">
        <v>82</v>
      </c>
      <c r="O4454" t="s">
        <v>11931</v>
      </c>
      <c r="R4454">
        <v>1</v>
      </c>
      <c r="T4454" s="5"/>
      <c r="W4454">
        <v>267</v>
      </c>
      <c r="X4454" t="s">
        <v>6211</v>
      </c>
      <c r="Y4454" t="str">
        <f>VLOOKUP(C4454,'[1]DBS_KPY Sorumlular'!A:C,2,FALSE)</f>
        <v>Seyithan İŞİK</v>
      </c>
      <c r="Z4454" t="str">
        <f>VLOOKUP(C4454,'[1]DBS_KPY Sorumlular'!A:C,3,FALSE)</f>
        <v>Korhan KÖROĞLU</v>
      </c>
      <c r="AA4454" t="str">
        <f>VLOOKUP(K4454,[1]!Tablo3[#Data],2,FALSE)</f>
        <v>Tayfun VİÇE</v>
      </c>
    </row>
    <row r="4455" spans="1:27" x14ac:dyDescent="0.25">
      <c r="A4455">
        <v>5858</v>
      </c>
      <c r="B4455" t="s">
        <v>27</v>
      </c>
      <c r="C4455" t="s">
        <v>304</v>
      </c>
      <c r="D4455" t="s">
        <v>305</v>
      </c>
      <c r="E4455" t="s">
        <v>305</v>
      </c>
      <c r="F4455" t="s">
        <v>66</v>
      </c>
      <c r="G4455" t="s">
        <v>96</v>
      </c>
      <c r="H4455" t="s">
        <v>11932</v>
      </c>
      <c r="I4455" s="4">
        <v>45656.875</v>
      </c>
      <c r="K4455" t="s">
        <v>1221</v>
      </c>
      <c r="L4455" s="5"/>
      <c r="M4455" s="5"/>
      <c r="N4455" t="s">
        <v>82</v>
      </c>
      <c r="O4455" t="s">
        <v>11933</v>
      </c>
      <c r="R4455">
        <v>1</v>
      </c>
      <c r="T4455" s="5" t="s">
        <v>38</v>
      </c>
      <c r="Y4455" t="str">
        <f>VLOOKUP(C4455,'[1]DBS_KPY Sorumlular'!A:C,2,FALSE)</f>
        <v>Erkan AKDOĞAN</v>
      </c>
      <c r="Z4455" t="str">
        <f>VLOOKUP(C4455,'[1]DBS_KPY Sorumlular'!A:C,3,FALSE)</f>
        <v>Kadir TOPÇU</v>
      </c>
      <c r="AA4455" t="str">
        <f>VLOOKUP(K4455,[1]!Tablo3[#Data],2,FALSE)</f>
        <v>Tayfun VİÇE</v>
      </c>
    </row>
    <row r="4456" spans="1:27" x14ac:dyDescent="0.25">
      <c r="A4456">
        <v>5859</v>
      </c>
      <c r="B4456" t="s">
        <v>27</v>
      </c>
      <c r="C4456" t="s">
        <v>652</v>
      </c>
      <c r="D4456" t="s">
        <v>11852</v>
      </c>
      <c r="G4456" t="s">
        <v>30</v>
      </c>
      <c r="H4456" t="s">
        <v>11934</v>
      </c>
      <c r="I4456" s="4"/>
      <c r="K4456" t="s">
        <v>1550</v>
      </c>
      <c r="L4456" s="5"/>
      <c r="M4456" s="5"/>
      <c r="N4456" t="s">
        <v>82</v>
      </c>
      <c r="O4456" t="s">
        <v>11935</v>
      </c>
      <c r="R4456">
        <v>1</v>
      </c>
      <c r="T4456" s="5"/>
      <c r="W4456">
        <v>267</v>
      </c>
      <c r="X4456" t="s">
        <v>6211</v>
      </c>
      <c r="Y4456" t="str">
        <f>VLOOKUP(C4456,'[1]DBS_KPY Sorumlular'!A:C,2,FALSE)</f>
        <v>Seyithan İŞİK</v>
      </c>
      <c r="Z4456" t="str">
        <f>VLOOKUP(C4456,'[1]DBS_KPY Sorumlular'!A:C,3,FALSE)</f>
        <v>Korhan KÖROĞLU</v>
      </c>
      <c r="AA4456" t="str">
        <f>VLOOKUP(K4456,[1]!Tablo3[#Data],2,FALSE)</f>
        <v>Kadir TOPÇU</v>
      </c>
    </row>
    <row r="4457" spans="1:27" x14ac:dyDescent="0.25">
      <c r="A4457">
        <v>5860</v>
      </c>
      <c r="B4457" t="s">
        <v>27</v>
      </c>
      <c r="C4457" t="s">
        <v>402</v>
      </c>
      <c r="D4457" t="s">
        <v>403</v>
      </c>
      <c r="F4457" t="s">
        <v>383</v>
      </c>
      <c r="G4457" t="s">
        <v>384</v>
      </c>
      <c r="H4457" t="s">
        <v>11936</v>
      </c>
      <c r="I4457" s="4">
        <v>45098.875</v>
      </c>
      <c r="J4457" t="s">
        <v>11937</v>
      </c>
      <c r="K4457" t="s">
        <v>364</v>
      </c>
      <c r="L4457" s="5"/>
      <c r="M4457" s="5"/>
      <c r="N4457" t="s">
        <v>82</v>
      </c>
      <c r="O4457" t="s">
        <v>11938</v>
      </c>
      <c r="R4457">
        <v>1</v>
      </c>
      <c r="T4457" s="5" t="s">
        <v>100</v>
      </c>
      <c r="W4457">
        <v>218</v>
      </c>
      <c r="X4457" t="s">
        <v>2835</v>
      </c>
      <c r="Y4457" t="str">
        <f>VLOOKUP(C4457,'[1]DBS_KPY Sorumlular'!A:C,2,FALSE)</f>
        <v>Tayfun VİÇE</v>
      </c>
      <c r="Z4457" t="str">
        <f>VLOOKUP(C4457,'[1]DBS_KPY Sorumlular'!A:C,3,FALSE)</f>
        <v>Mehmet Ali YAVUZ</v>
      </c>
      <c r="AA4457" t="str">
        <f>VLOOKUP(K4457,[1]!Tablo3[#Data],2,FALSE)</f>
        <v>Kadir TOPÇU</v>
      </c>
    </row>
    <row r="4458" spans="1:27" x14ac:dyDescent="0.25">
      <c r="A4458">
        <v>5861</v>
      </c>
      <c r="B4458" t="s">
        <v>27</v>
      </c>
      <c r="C4458" t="s">
        <v>304</v>
      </c>
      <c r="D4458" t="s">
        <v>4707</v>
      </c>
      <c r="E4458" t="s">
        <v>305</v>
      </c>
      <c r="F4458" t="s">
        <v>66</v>
      </c>
      <c r="G4458" t="s">
        <v>96</v>
      </c>
      <c r="H4458" t="s">
        <v>11939</v>
      </c>
      <c r="I4458" s="4">
        <v>45443.875</v>
      </c>
      <c r="K4458" t="s">
        <v>423</v>
      </c>
      <c r="L4458" s="5"/>
      <c r="M4458" s="5"/>
      <c r="N4458" t="s">
        <v>82</v>
      </c>
      <c r="O4458" t="s">
        <v>11940</v>
      </c>
      <c r="R4458">
        <v>1</v>
      </c>
      <c r="T4458" s="5" t="s">
        <v>38</v>
      </c>
      <c r="Y4458" t="str">
        <f>VLOOKUP(C4458,'[1]DBS_KPY Sorumlular'!A:C,2,FALSE)</f>
        <v>Erkan AKDOĞAN</v>
      </c>
      <c r="Z4458" t="str">
        <f>VLOOKUP(C4458,'[1]DBS_KPY Sorumlular'!A:C,3,FALSE)</f>
        <v>Kadir TOPÇU</v>
      </c>
      <c r="AA4458" t="str">
        <f>VLOOKUP(K4458,[1]!Tablo3[#Data],2,FALSE)</f>
        <v>Kadir TOPÇU</v>
      </c>
    </row>
    <row r="4459" spans="1:27" x14ac:dyDescent="0.25">
      <c r="A4459">
        <v>5862</v>
      </c>
      <c r="B4459" t="s">
        <v>1419</v>
      </c>
      <c r="C4459" t="s">
        <v>304</v>
      </c>
      <c r="D4459" t="s">
        <v>4707</v>
      </c>
      <c r="E4459" t="s">
        <v>305</v>
      </c>
      <c r="F4459" t="s">
        <v>66</v>
      </c>
      <c r="G4459" t="s">
        <v>96</v>
      </c>
      <c r="H4459" t="s">
        <v>11941</v>
      </c>
      <c r="I4459" s="4"/>
      <c r="K4459" t="s">
        <v>232</v>
      </c>
      <c r="L4459" s="5"/>
      <c r="M4459" s="5"/>
      <c r="N4459" t="s">
        <v>35</v>
      </c>
      <c r="O4459" t="s">
        <v>11942</v>
      </c>
      <c r="T4459" s="5" t="s">
        <v>38</v>
      </c>
      <c r="Y4459" t="str">
        <f>VLOOKUP(C4459,'[1]DBS_KPY Sorumlular'!A:C,2,FALSE)</f>
        <v>Erkan AKDOĞAN</v>
      </c>
      <c r="Z4459" t="str">
        <f>VLOOKUP(C4459,'[1]DBS_KPY Sorumlular'!A:C,3,FALSE)</f>
        <v>Kadir TOPÇU</v>
      </c>
      <c r="AA4459" t="str">
        <f>VLOOKUP(K4459,[1]!Tablo3[#Data],2,FALSE)</f>
        <v>Erkan AKDOĞAN</v>
      </c>
    </row>
    <row r="4460" spans="1:27" x14ac:dyDescent="0.25">
      <c r="A4460">
        <v>5863</v>
      </c>
      <c r="B4460" t="s">
        <v>27</v>
      </c>
      <c r="C4460" t="s">
        <v>402</v>
      </c>
      <c r="D4460" t="s">
        <v>403</v>
      </c>
      <c r="F4460" t="s">
        <v>383</v>
      </c>
      <c r="G4460" t="s">
        <v>384</v>
      </c>
      <c r="H4460" t="s">
        <v>11943</v>
      </c>
      <c r="I4460" s="4"/>
      <c r="K4460" t="s">
        <v>226</v>
      </c>
      <c r="L4460" s="5"/>
      <c r="M4460" s="5"/>
      <c r="N4460" t="s">
        <v>82</v>
      </c>
      <c r="O4460" t="s">
        <v>11944</v>
      </c>
      <c r="R4460">
        <v>1</v>
      </c>
      <c r="T4460" s="5" t="s">
        <v>100</v>
      </c>
      <c r="W4460">
        <v>217</v>
      </c>
      <c r="X4460" t="s">
        <v>5454</v>
      </c>
      <c r="Y4460" t="str">
        <f>VLOOKUP(C4460,'[1]DBS_KPY Sorumlular'!A:C,2,FALSE)</f>
        <v>Tayfun VİÇE</v>
      </c>
      <c r="Z4460" t="str">
        <f>VLOOKUP(C4460,'[1]DBS_KPY Sorumlular'!A:C,3,FALSE)</f>
        <v>Mehmet Ali YAVUZ</v>
      </c>
      <c r="AA4460" t="str">
        <f>VLOOKUP(K4460,[1]!Tablo3[#Data],2,FALSE)</f>
        <v>Kadir TOPÇU</v>
      </c>
    </row>
    <row r="4461" spans="1:27" x14ac:dyDescent="0.25">
      <c r="A4461">
        <v>5864</v>
      </c>
      <c r="B4461" t="s">
        <v>1419</v>
      </c>
      <c r="C4461" t="s">
        <v>304</v>
      </c>
      <c r="D4461" t="s">
        <v>4707</v>
      </c>
      <c r="E4461" t="s">
        <v>305</v>
      </c>
      <c r="F4461" t="s">
        <v>66</v>
      </c>
      <c r="G4461" t="s">
        <v>96</v>
      </c>
      <c r="H4461" t="s">
        <v>11945</v>
      </c>
      <c r="I4461" s="4"/>
      <c r="K4461" t="s">
        <v>364</v>
      </c>
      <c r="L4461" s="5"/>
      <c r="M4461" s="5"/>
      <c r="N4461" t="s">
        <v>35</v>
      </c>
      <c r="O4461" t="s">
        <v>11946</v>
      </c>
      <c r="T4461" s="5" t="s">
        <v>38</v>
      </c>
      <c r="Y4461" t="str">
        <f>VLOOKUP(C4461,'[1]DBS_KPY Sorumlular'!A:C,2,FALSE)</f>
        <v>Erkan AKDOĞAN</v>
      </c>
      <c r="Z4461" t="str">
        <f>VLOOKUP(C4461,'[1]DBS_KPY Sorumlular'!A:C,3,FALSE)</f>
        <v>Kadir TOPÇU</v>
      </c>
      <c r="AA4461" t="str">
        <f>VLOOKUP(K4461,[1]!Tablo3[#Data],2,FALSE)</f>
        <v>Kadir TOPÇU</v>
      </c>
    </row>
    <row r="4462" spans="1:27" x14ac:dyDescent="0.25">
      <c r="A4462">
        <v>5865</v>
      </c>
      <c r="B4462" t="s">
        <v>27</v>
      </c>
      <c r="C4462" t="s">
        <v>402</v>
      </c>
      <c r="D4462" t="s">
        <v>403</v>
      </c>
      <c r="F4462" t="s">
        <v>383</v>
      </c>
      <c r="G4462" t="s">
        <v>384</v>
      </c>
      <c r="H4462" t="s">
        <v>11947</v>
      </c>
      <c r="I4462" s="4"/>
      <c r="K4462" t="s">
        <v>226</v>
      </c>
      <c r="L4462" s="5"/>
      <c r="M4462" s="5"/>
      <c r="N4462" t="s">
        <v>82</v>
      </c>
      <c r="O4462" t="s">
        <v>11948</v>
      </c>
      <c r="R4462">
        <v>1</v>
      </c>
      <c r="T4462" s="5" t="s">
        <v>100</v>
      </c>
      <c r="W4462">
        <v>134</v>
      </c>
      <c r="X4462" t="s">
        <v>1577</v>
      </c>
      <c r="Y4462" t="str">
        <f>VLOOKUP(C4462,'[1]DBS_KPY Sorumlular'!A:C,2,FALSE)</f>
        <v>Tayfun VİÇE</v>
      </c>
      <c r="Z4462" t="str">
        <f>VLOOKUP(C4462,'[1]DBS_KPY Sorumlular'!A:C,3,FALSE)</f>
        <v>Mehmet Ali YAVUZ</v>
      </c>
      <c r="AA4462" t="str">
        <f>VLOOKUP(K4462,[1]!Tablo3[#Data],2,FALSE)</f>
        <v>Kadir TOPÇU</v>
      </c>
    </row>
    <row r="4463" spans="1:27" x14ac:dyDescent="0.25">
      <c r="A4463">
        <v>5866</v>
      </c>
      <c r="B4463" t="s">
        <v>1419</v>
      </c>
      <c r="C4463" t="s">
        <v>304</v>
      </c>
      <c r="D4463" t="s">
        <v>11949</v>
      </c>
      <c r="E4463" t="s">
        <v>305</v>
      </c>
      <c r="F4463" t="s">
        <v>66</v>
      </c>
      <c r="G4463" t="s">
        <v>96</v>
      </c>
      <c r="H4463" t="s">
        <v>11950</v>
      </c>
      <c r="I4463" s="4"/>
      <c r="K4463" t="s">
        <v>435</v>
      </c>
      <c r="L4463" s="5"/>
      <c r="M4463" s="5"/>
      <c r="N4463" t="s">
        <v>35</v>
      </c>
      <c r="O4463" t="s">
        <v>11951</v>
      </c>
      <c r="T4463" s="5" t="s">
        <v>38</v>
      </c>
      <c r="Y4463" t="str">
        <f>VLOOKUP(C4463,'[1]DBS_KPY Sorumlular'!A:C,2,FALSE)</f>
        <v>Erkan AKDOĞAN</v>
      </c>
      <c r="Z4463" t="str">
        <f>VLOOKUP(C4463,'[1]DBS_KPY Sorumlular'!A:C,3,FALSE)</f>
        <v>Kadir TOPÇU</v>
      </c>
      <c r="AA4463" t="str">
        <f>VLOOKUP(K4463,[1]!Tablo3[#Data],2,FALSE)</f>
        <v>Tayfun VİÇE</v>
      </c>
    </row>
    <row r="4464" spans="1:27" x14ac:dyDescent="0.25">
      <c r="A4464">
        <v>5867</v>
      </c>
      <c r="B4464" t="s">
        <v>27</v>
      </c>
      <c r="C4464" t="s">
        <v>402</v>
      </c>
      <c r="D4464" t="s">
        <v>403</v>
      </c>
      <c r="F4464" t="s">
        <v>383</v>
      </c>
      <c r="G4464" t="s">
        <v>384</v>
      </c>
      <c r="H4464" t="s">
        <v>11952</v>
      </c>
      <c r="I4464" s="4"/>
      <c r="K4464" t="s">
        <v>226</v>
      </c>
      <c r="L4464" s="5"/>
      <c r="M4464" s="5"/>
      <c r="N4464" t="s">
        <v>82</v>
      </c>
      <c r="O4464" t="s">
        <v>11953</v>
      </c>
      <c r="R4464">
        <v>1</v>
      </c>
      <c r="T4464" s="5" t="s">
        <v>100</v>
      </c>
      <c r="W4464">
        <v>163</v>
      </c>
      <c r="X4464" t="s">
        <v>869</v>
      </c>
      <c r="Y4464" t="str">
        <f>VLOOKUP(C4464,'[1]DBS_KPY Sorumlular'!A:C,2,FALSE)</f>
        <v>Tayfun VİÇE</v>
      </c>
      <c r="Z4464" t="str">
        <f>VLOOKUP(C4464,'[1]DBS_KPY Sorumlular'!A:C,3,FALSE)</f>
        <v>Mehmet Ali YAVUZ</v>
      </c>
      <c r="AA4464" t="str">
        <f>VLOOKUP(K4464,[1]!Tablo3[#Data],2,FALSE)</f>
        <v>Kadir TOPÇU</v>
      </c>
    </row>
    <row r="4465" spans="1:27" x14ac:dyDescent="0.25">
      <c r="A4465">
        <v>5868</v>
      </c>
      <c r="B4465" t="s">
        <v>1419</v>
      </c>
      <c r="C4465" t="s">
        <v>304</v>
      </c>
      <c r="D4465" t="s">
        <v>11949</v>
      </c>
      <c r="E4465" t="s">
        <v>305</v>
      </c>
      <c r="F4465" t="s">
        <v>66</v>
      </c>
      <c r="G4465" t="s">
        <v>96</v>
      </c>
      <c r="H4465" t="s">
        <v>11954</v>
      </c>
      <c r="I4465" s="4"/>
      <c r="K4465" t="s">
        <v>435</v>
      </c>
      <c r="L4465" s="5"/>
      <c r="M4465" s="5"/>
      <c r="N4465" t="s">
        <v>35</v>
      </c>
      <c r="O4465" t="s">
        <v>11955</v>
      </c>
      <c r="T4465" s="5" t="s">
        <v>38</v>
      </c>
      <c r="Y4465" t="str">
        <f>VLOOKUP(C4465,'[1]DBS_KPY Sorumlular'!A:C,2,FALSE)</f>
        <v>Erkan AKDOĞAN</v>
      </c>
      <c r="Z4465" t="str">
        <f>VLOOKUP(C4465,'[1]DBS_KPY Sorumlular'!A:C,3,FALSE)</f>
        <v>Kadir TOPÇU</v>
      </c>
      <c r="AA4465" t="str">
        <f>VLOOKUP(K4465,[1]!Tablo3[#Data],2,FALSE)</f>
        <v>Tayfun VİÇE</v>
      </c>
    </row>
    <row r="4466" spans="1:27" x14ac:dyDescent="0.25">
      <c r="A4466">
        <v>5869</v>
      </c>
      <c r="B4466" t="s">
        <v>27</v>
      </c>
      <c r="C4466" t="s">
        <v>402</v>
      </c>
      <c r="D4466" t="s">
        <v>403</v>
      </c>
      <c r="F4466" t="s">
        <v>383</v>
      </c>
      <c r="G4466" t="s">
        <v>384</v>
      </c>
      <c r="H4466" t="s">
        <v>11956</v>
      </c>
      <c r="I4466" s="4">
        <v>45041.875</v>
      </c>
      <c r="K4466" t="s">
        <v>226</v>
      </c>
      <c r="L4466" s="5"/>
      <c r="M4466" s="5"/>
      <c r="N4466" t="s">
        <v>82</v>
      </c>
      <c r="O4466" t="s">
        <v>11957</v>
      </c>
      <c r="R4466">
        <v>1</v>
      </c>
      <c r="T4466" s="5" t="s">
        <v>100</v>
      </c>
      <c r="W4466">
        <v>218</v>
      </c>
      <c r="X4466" t="s">
        <v>2835</v>
      </c>
      <c r="Y4466" t="str">
        <f>VLOOKUP(C4466,'[1]DBS_KPY Sorumlular'!A:C,2,FALSE)</f>
        <v>Tayfun VİÇE</v>
      </c>
      <c r="Z4466" t="str">
        <f>VLOOKUP(C4466,'[1]DBS_KPY Sorumlular'!A:C,3,FALSE)</f>
        <v>Mehmet Ali YAVUZ</v>
      </c>
      <c r="AA4466" t="str">
        <f>VLOOKUP(K4466,[1]!Tablo3[#Data],2,FALSE)</f>
        <v>Kadir TOPÇU</v>
      </c>
    </row>
    <row r="4467" spans="1:27" x14ac:dyDescent="0.25">
      <c r="A4467">
        <v>5870</v>
      </c>
      <c r="B4467" t="s">
        <v>27</v>
      </c>
      <c r="C4467" t="s">
        <v>402</v>
      </c>
      <c r="D4467" t="s">
        <v>403</v>
      </c>
      <c r="F4467" t="s">
        <v>383</v>
      </c>
      <c r="G4467" t="s">
        <v>384</v>
      </c>
      <c r="H4467" t="s">
        <v>11958</v>
      </c>
      <c r="I4467" s="4"/>
      <c r="K4467" t="s">
        <v>226</v>
      </c>
      <c r="L4467" s="5"/>
      <c r="M4467" s="5"/>
      <c r="N4467" t="s">
        <v>82</v>
      </c>
      <c r="O4467" t="s">
        <v>11959</v>
      </c>
      <c r="R4467">
        <v>1</v>
      </c>
      <c r="T4467" s="5" t="s">
        <v>100</v>
      </c>
      <c r="W4467">
        <v>217</v>
      </c>
      <c r="X4467" t="s">
        <v>5454</v>
      </c>
      <c r="Y4467" t="str">
        <f>VLOOKUP(C4467,'[1]DBS_KPY Sorumlular'!A:C,2,FALSE)</f>
        <v>Tayfun VİÇE</v>
      </c>
      <c r="Z4467" t="str">
        <f>VLOOKUP(C4467,'[1]DBS_KPY Sorumlular'!A:C,3,FALSE)</f>
        <v>Mehmet Ali YAVUZ</v>
      </c>
      <c r="AA4467" t="str">
        <f>VLOOKUP(K4467,[1]!Tablo3[#Data],2,FALSE)</f>
        <v>Kadir TOPÇU</v>
      </c>
    </row>
    <row r="4468" spans="1:27" x14ac:dyDescent="0.25">
      <c r="A4468">
        <v>5871</v>
      </c>
      <c r="B4468" t="s">
        <v>1419</v>
      </c>
      <c r="C4468" t="s">
        <v>304</v>
      </c>
      <c r="D4468" t="s">
        <v>4707</v>
      </c>
      <c r="E4468" t="s">
        <v>305</v>
      </c>
      <c r="F4468" t="s">
        <v>66</v>
      </c>
      <c r="G4468" t="s">
        <v>96</v>
      </c>
      <c r="H4468" t="s">
        <v>11960</v>
      </c>
      <c r="I4468" s="4"/>
      <c r="K4468" t="s">
        <v>743</v>
      </c>
      <c r="L4468" s="5"/>
      <c r="M4468" s="5"/>
      <c r="N4468" t="s">
        <v>35</v>
      </c>
      <c r="O4468" t="s">
        <v>11961</v>
      </c>
      <c r="T4468" s="5" t="s">
        <v>38</v>
      </c>
      <c r="Y4468" t="str">
        <f>VLOOKUP(C4468,'[1]DBS_KPY Sorumlular'!A:C,2,FALSE)</f>
        <v>Erkan AKDOĞAN</v>
      </c>
      <c r="Z4468" t="str">
        <f>VLOOKUP(C4468,'[1]DBS_KPY Sorumlular'!A:C,3,FALSE)</f>
        <v>Kadir TOPÇU</v>
      </c>
      <c r="AA4468" t="str">
        <f>VLOOKUP(K4468,[1]!Tablo3[#Data],2,FALSE)</f>
        <v>Kadir TOPÇU</v>
      </c>
    </row>
    <row r="4469" spans="1:27" x14ac:dyDescent="0.25">
      <c r="A4469">
        <v>5872</v>
      </c>
      <c r="B4469" t="s">
        <v>27</v>
      </c>
      <c r="C4469" t="s">
        <v>402</v>
      </c>
      <c r="D4469" t="s">
        <v>403</v>
      </c>
      <c r="F4469" t="s">
        <v>383</v>
      </c>
      <c r="G4469" t="s">
        <v>384</v>
      </c>
      <c r="H4469" t="s">
        <v>11962</v>
      </c>
      <c r="I4469" s="4"/>
      <c r="K4469" t="s">
        <v>226</v>
      </c>
      <c r="L4469" s="5"/>
      <c r="M4469" s="5"/>
      <c r="N4469" t="s">
        <v>82</v>
      </c>
      <c r="O4469" t="s">
        <v>11963</v>
      </c>
      <c r="R4469">
        <v>1</v>
      </c>
      <c r="T4469" s="5" t="s">
        <v>100</v>
      </c>
      <c r="W4469">
        <v>217</v>
      </c>
      <c r="X4469" t="s">
        <v>5454</v>
      </c>
      <c r="Y4469" t="str">
        <f>VLOOKUP(C4469,'[1]DBS_KPY Sorumlular'!A:C,2,FALSE)</f>
        <v>Tayfun VİÇE</v>
      </c>
      <c r="Z4469" t="str">
        <f>VLOOKUP(C4469,'[1]DBS_KPY Sorumlular'!A:C,3,FALSE)</f>
        <v>Mehmet Ali YAVUZ</v>
      </c>
      <c r="AA4469" t="str">
        <f>VLOOKUP(K4469,[1]!Tablo3[#Data],2,FALSE)</f>
        <v>Kadir TOPÇU</v>
      </c>
    </row>
    <row r="4470" spans="1:27" x14ac:dyDescent="0.25">
      <c r="A4470">
        <v>5873</v>
      </c>
      <c r="B4470" t="s">
        <v>1419</v>
      </c>
      <c r="C4470" t="s">
        <v>304</v>
      </c>
      <c r="D4470" t="s">
        <v>11949</v>
      </c>
      <c r="E4470" t="s">
        <v>305</v>
      </c>
      <c r="F4470" t="s">
        <v>66</v>
      </c>
      <c r="G4470" t="s">
        <v>96</v>
      </c>
      <c r="H4470" t="s">
        <v>11964</v>
      </c>
      <c r="I4470" s="4"/>
      <c r="K4470" t="s">
        <v>914</v>
      </c>
      <c r="L4470" s="5"/>
      <c r="M4470" s="5"/>
      <c r="N4470" t="s">
        <v>35</v>
      </c>
      <c r="O4470" t="s">
        <v>11965</v>
      </c>
      <c r="T4470" s="5" t="s">
        <v>38</v>
      </c>
      <c r="Y4470" t="str">
        <f>VLOOKUP(C4470,'[1]DBS_KPY Sorumlular'!A:C,2,FALSE)</f>
        <v>Erkan AKDOĞAN</v>
      </c>
      <c r="Z4470" t="str">
        <f>VLOOKUP(C4470,'[1]DBS_KPY Sorumlular'!A:C,3,FALSE)</f>
        <v>Kadir TOPÇU</v>
      </c>
      <c r="AA4470" t="str">
        <f>VLOOKUP(K4470,[1]!Tablo3[#Data],2,FALSE)</f>
        <v>Tayfun VİÇE</v>
      </c>
    </row>
    <row r="4471" spans="1:27" x14ac:dyDescent="0.25">
      <c r="A4471">
        <v>5874</v>
      </c>
      <c r="B4471" t="s">
        <v>1419</v>
      </c>
      <c r="C4471" t="s">
        <v>304</v>
      </c>
      <c r="D4471" t="s">
        <v>4707</v>
      </c>
      <c r="E4471" t="s">
        <v>305</v>
      </c>
      <c r="F4471" t="s">
        <v>66</v>
      </c>
      <c r="G4471" t="s">
        <v>96</v>
      </c>
      <c r="H4471" t="s">
        <v>11966</v>
      </c>
      <c r="I4471" s="4"/>
      <c r="K4471" t="s">
        <v>1002</v>
      </c>
      <c r="L4471" s="5"/>
      <c r="M4471" s="5"/>
      <c r="N4471" t="s">
        <v>35</v>
      </c>
      <c r="O4471" t="s">
        <v>11967</v>
      </c>
      <c r="T4471" s="5" t="s">
        <v>38</v>
      </c>
      <c r="Y4471" t="str">
        <f>VLOOKUP(C4471,'[1]DBS_KPY Sorumlular'!A:C,2,FALSE)</f>
        <v>Erkan AKDOĞAN</v>
      </c>
      <c r="Z4471" t="str">
        <f>VLOOKUP(C4471,'[1]DBS_KPY Sorumlular'!A:C,3,FALSE)</f>
        <v>Kadir TOPÇU</v>
      </c>
      <c r="AA4471" t="str">
        <f>VLOOKUP(K4471,[1]!Tablo3[#Data],2,FALSE)</f>
        <v>Kadir TOPÇU</v>
      </c>
    </row>
    <row r="4472" spans="1:27" x14ac:dyDescent="0.25">
      <c r="A4472">
        <v>5875</v>
      </c>
      <c r="B4472" t="s">
        <v>27</v>
      </c>
      <c r="C4472" t="s">
        <v>40</v>
      </c>
      <c r="D4472" t="s">
        <v>41</v>
      </c>
      <c r="G4472" t="s">
        <v>43</v>
      </c>
      <c r="H4472" t="s">
        <v>11968</v>
      </c>
      <c r="I4472" s="4">
        <v>45767.875</v>
      </c>
      <c r="K4472" t="s">
        <v>743</v>
      </c>
      <c r="L4472" s="5"/>
      <c r="M4472" s="5"/>
      <c r="N4472" t="s">
        <v>82</v>
      </c>
      <c r="O4472" t="s">
        <v>11969</v>
      </c>
      <c r="R4472">
        <v>1</v>
      </c>
      <c r="T4472" s="5" t="s">
        <v>58</v>
      </c>
      <c r="U4472" t="s">
        <v>254</v>
      </c>
      <c r="V4472" t="s">
        <v>255</v>
      </c>
      <c r="W4472">
        <v>210</v>
      </c>
      <c r="X4472" t="s">
        <v>7053</v>
      </c>
      <c r="Y4472" t="str">
        <f>VLOOKUP(C4472,'[1]DBS_KPY Sorumlular'!A:C,2,FALSE)</f>
        <v>Mustafa AYDIN</v>
      </c>
      <c r="Z4472" t="str">
        <f>VLOOKUP(C4472,'[1]DBS_KPY Sorumlular'!A:C,3,FALSE)</f>
        <v>Esra DOLAN</v>
      </c>
      <c r="AA4472" t="str">
        <f>VLOOKUP(K4472,[1]!Tablo3[#Data],2,FALSE)</f>
        <v>Kadir TOPÇU</v>
      </c>
    </row>
    <row r="4473" spans="1:27" x14ac:dyDescent="0.25">
      <c r="A4473">
        <v>5876</v>
      </c>
      <c r="B4473" t="s">
        <v>27</v>
      </c>
      <c r="C4473" t="s">
        <v>402</v>
      </c>
      <c r="D4473" t="s">
        <v>403</v>
      </c>
      <c r="F4473" t="s">
        <v>383</v>
      </c>
      <c r="G4473" t="s">
        <v>384</v>
      </c>
      <c r="H4473" t="s">
        <v>11970</v>
      </c>
      <c r="I4473" s="4"/>
      <c r="K4473" t="s">
        <v>226</v>
      </c>
      <c r="L4473" s="5"/>
      <c r="M4473" s="5"/>
      <c r="N4473" t="s">
        <v>82</v>
      </c>
      <c r="O4473" t="s">
        <v>11971</v>
      </c>
      <c r="R4473">
        <v>1</v>
      </c>
      <c r="T4473" s="5" t="s">
        <v>100</v>
      </c>
      <c r="W4473">
        <v>217</v>
      </c>
      <c r="X4473" t="s">
        <v>5454</v>
      </c>
      <c r="Y4473" t="str">
        <f>VLOOKUP(C4473,'[1]DBS_KPY Sorumlular'!A:C,2,FALSE)</f>
        <v>Tayfun VİÇE</v>
      </c>
      <c r="Z4473" t="str">
        <f>VLOOKUP(C4473,'[1]DBS_KPY Sorumlular'!A:C,3,FALSE)</f>
        <v>Mehmet Ali YAVUZ</v>
      </c>
      <c r="AA4473" t="str">
        <f>VLOOKUP(K4473,[1]!Tablo3[#Data],2,FALSE)</f>
        <v>Kadir TOPÇU</v>
      </c>
    </row>
    <row r="4474" spans="1:27" x14ac:dyDescent="0.25">
      <c r="A4474">
        <v>5877</v>
      </c>
      <c r="B4474" t="s">
        <v>27</v>
      </c>
      <c r="C4474" t="s">
        <v>652</v>
      </c>
      <c r="D4474" t="s">
        <v>11852</v>
      </c>
      <c r="G4474" t="s">
        <v>30</v>
      </c>
      <c r="H4474" t="s">
        <v>11972</v>
      </c>
      <c r="I4474" s="4"/>
      <c r="K4474" t="s">
        <v>98</v>
      </c>
      <c r="L4474" s="5"/>
      <c r="M4474" s="5"/>
      <c r="N4474" t="s">
        <v>82</v>
      </c>
      <c r="O4474" t="s">
        <v>11973</v>
      </c>
      <c r="R4474">
        <v>1</v>
      </c>
      <c r="T4474" s="5"/>
      <c r="W4474">
        <v>267</v>
      </c>
      <c r="X4474" t="s">
        <v>6211</v>
      </c>
      <c r="Y4474" t="str">
        <f>VLOOKUP(C4474,'[1]DBS_KPY Sorumlular'!A:C,2,FALSE)</f>
        <v>Seyithan İŞİK</v>
      </c>
      <c r="Z4474" t="str">
        <f>VLOOKUP(C4474,'[1]DBS_KPY Sorumlular'!A:C,3,FALSE)</f>
        <v>Korhan KÖROĞLU</v>
      </c>
      <c r="AA4474" t="str">
        <f>VLOOKUP(K4474,[1]!Tablo3[#Data],2,FALSE)</f>
        <v>Tayfun VİÇE</v>
      </c>
    </row>
    <row r="4475" spans="1:27" x14ac:dyDescent="0.25">
      <c r="A4475">
        <v>5878</v>
      </c>
      <c r="B4475" t="s">
        <v>27</v>
      </c>
      <c r="C4475" t="s">
        <v>652</v>
      </c>
      <c r="D4475" t="s">
        <v>11852</v>
      </c>
      <c r="G4475" t="s">
        <v>30</v>
      </c>
      <c r="H4475" t="s">
        <v>11974</v>
      </c>
      <c r="I4475" s="4"/>
      <c r="K4475" t="s">
        <v>98</v>
      </c>
      <c r="L4475" s="5"/>
      <c r="M4475" s="5"/>
      <c r="N4475" t="s">
        <v>82</v>
      </c>
      <c r="O4475" t="s">
        <v>11975</v>
      </c>
      <c r="R4475">
        <v>1</v>
      </c>
      <c r="T4475" s="5"/>
      <c r="W4475">
        <v>267</v>
      </c>
      <c r="X4475" t="s">
        <v>6211</v>
      </c>
      <c r="Y4475" t="str">
        <f>VLOOKUP(C4475,'[1]DBS_KPY Sorumlular'!A:C,2,FALSE)</f>
        <v>Seyithan İŞİK</v>
      </c>
      <c r="Z4475" t="str">
        <f>VLOOKUP(C4475,'[1]DBS_KPY Sorumlular'!A:C,3,FALSE)</f>
        <v>Korhan KÖROĞLU</v>
      </c>
      <c r="AA4475" t="str">
        <f>VLOOKUP(K4475,[1]!Tablo3[#Data],2,FALSE)</f>
        <v>Tayfun VİÇE</v>
      </c>
    </row>
    <row r="4476" spans="1:27" x14ac:dyDescent="0.25">
      <c r="A4476">
        <v>5879</v>
      </c>
      <c r="B4476" t="s">
        <v>27</v>
      </c>
      <c r="C4476" t="s">
        <v>402</v>
      </c>
      <c r="D4476" t="s">
        <v>403</v>
      </c>
      <c r="F4476" t="s">
        <v>383</v>
      </c>
      <c r="G4476" t="s">
        <v>384</v>
      </c>
      <c r="H4476" t="s">
        <v>11976</v>
      </c>
      <c r="I4476" s="4"/>
      <c r="K4476" t="s">
        <v>568</v>
      </c>
      <c r="L4476" s="5"/>
      <c r="M4476" s="5"/>
      <c r="N4476" t="s">
        <v>82</v>
      </c>
      <c r="O4476" t="s">
        <v>11977</v>
      </c>
      <c r="R4476">
        <v>1</v>
      </c>
      <c r="T4476" s="5" t="s">
        <v>100</v>
      </c>
      <c r="W4476">
        <v>157</v>
      </c>
      <c r="X4476" t="s">
        <v>3495</v>
      </c>
      <c r="Y4476" t="str">
        <f>VLOOKUP(C4476,'[1]DBS_KPY Sorumlular'!A:C,2,FALSE)</f>
        <v>Tayfun VİÇE</v>
      </c>
      <c r="Z4476" t="str">
        <f>VLOOKUP(C4476,'[1]DBS_KPY Sorumlular'!A:C,3,FALSE)</f>
        <v>Mehmet Ali YAVUZ</v>
      </c>
      <c r="AA4476" t="str">
        <f>VLOOKUP(K4476,[1]!Tablo3[#Data],2,FALSE)</f>
        <v>Erkan AKDOĞAN</v>
      </c>
    </row>
    <row r="4477" spans="1:27" x14ac:dyDescent="0.25">
      <c r="A4477">
        <v>5880</v>
      </c>
      <c r="B4477" t="s">
        <v>27</v>
      </c>
      <c r="C4477" t="s">
        <v>40</v>
      </c>
      <c r="D4477" t="s">
        <v>41</v>
      </c>
      <c r="G4477" t="s">
        <v>43</v>
      </c>
      <c r="H4477" t="s">
        <v>11978</v>
      </c>
      <c r="I4477" s="4">
        <v>45837.875</v>
      </c>
      <c r="K4477" t="s">
        <v>435</v>
      </c>
      <c r="L4477" s="5" t="s">
        <v>11979</v>
      </c>
      <c r="M4477" s="5"/>
      <c r="N4477" t="s">
        <v>82</v>
      </c>
      <c r="O4477" t="s">
        <v>11980</v>
      </c>
      <c r="R4477">
        <v>1</v>
      </c>
      <c r="T4477" s="5" t="s">
        <v>58</v>
      </c>
      <c r="U4477" t="s">
        <v>134</v>
      </c>
      <c r="V4477" t="s">
        <v>135</v>
      </c>
      <c r="W4477">
        <v>206</v>
      </c>
      <c r="X4477" t="s">
        <v>311</v>
      </c>
      <c r="Y4477" t="str">
        <f>VLOOKUP(C4477,'[1]DBS_KPY Sorumlular'!A:C,2,FALSE)</f>
        <v>Mustafa AYDIN</v>
      </c>
      <c r="Z4477" t="str">
        <f>VLOOKUP(C4477,'[1]DBS_KPY Sorumlular'!A:C,3,FALSE)</f>
        <v>Esra DOLAN</v>
      </c>
      <c r="AA4477" t="str">
        <f>VLOOKUP(K4477,[1]!Tablo3[#Data],2,FALSE)</f>
        <v>Tayfun VİÇE</v>
      </c>
    </row>
    <row r="4478" spans="1:27" x14ac:dyDescent="0.25">
      <c r="A4478">
        <v>5881</v>
      </c>
      <c r="B4478" t="s">
        <v>27</v>
      </c>
      <c r="C4478" t="s">
        <v>402</v>
      </c>
      <c r="D4478" t="s">
        <v>403</v>
      </c>
      <c r="F4478" t="s">
        <v>383</v>
      </c>
      <c r="G4478" t="s">
        <v>384</v>
      </c>
      <c r="H4478" t="s">
        <v>11981</v>
      </c>
      <c r="I4478" s="4"/>
      <c r="K4478" t="s">
        <v>743</v>
      </c>
      <c r="L4478" s="5"/>
      <c r="M4478" s="5"/>
      <c r="N4478" t="s">
        <v>82</v>
      </c>
      <c r="O4478" t="s">
        <v>11982</v>
      </c>
      <c r="R4478">
        <v>1</v>
      </c>
      <c r="T4478" s="5" t="s">
        <v>100</v>
      </c>
      <c r="W4478">
        <v>51</v>
      </c>
      <c r="X4478" t="s">
        <v>809</v>
      </c>
      <c r="Y4478" t="str">
        <f>VLOOKUP(C4478,'[1]DBS_KPY Sorumlular'!A:C,2,FALSE)</f>
        <v>Tayfun VİÇE</v>
      </c>
      <c r="Z4478" t="str">
        <f>VLOOKUP(C4478,'[1]DBS_KPY Sorumlular'!A:C,3,FALSE)</f>
        <v>Mehmet Ali YAVUZ</v>
      </c>
      <c r="AA4478" t="str">
        <f>VLOOKUP(K4478,[1]!Tablo3[#Data],2,FALSE)</f>
        <v>Kadir TOPÇU</v>
      </c>
    </row>
    <row r="4479" spans="1:27" x14ac:dyDescent="0.25">
      <c r="A4479">
        <v>5882</v>
      </c>
      <c r="B4479" t="s">
        <v>27</v>
      </c>
      <c r="C4479" t="s">
        <v>40</v>
      </c>
      <c r="D4479" t="s">
        <v>41</v>
      </c>
      <c r="G4479" t="s">
        <v>96</v>
      </c>
      <c r="H4479" t="s">
        <v>11983</v>
      </c>
      <c r="I4479" s="4">
        <v>45885.875</v>
      </c>
      <c r="K4479" t="s">
        <v>926</v>
      </c>
      <c r="L4479" s="5"/>
      <c r="M4479" s="5"/>
      <c r="N4479" t="s">
        <v>46</v>
      </c>
      <c r="O4479" t="s">
        <v>11984</v>
      </c>
      <c r="R4479">
        <v>0.1</v>
      </c>
      <c r="T4479" s="5" t="s">
        <v>58</v>
      </c>
      <c r="U4479" t="s">
        <v>366</v>
      </c>
      <c r="V4479" t="s">
        <v>367</v>
      </c>
      <c r="W4479">
        <v>28</v>
      </c>
      <c r="X4479" t="s">
        <v>667</v>
      </c>
      <c r="Y4479" t="str">
        <f>VLOOKUP(C4479,'[1]DBS_KPY Sorumlular'!A:C,2,FALSE)</f>
        <v>Mustafa AYDIN</v>
      </c>
      <c r="Z4479" t="str">
        <f>VLOOKUP(C4479,'[1]DBS_KPY Sorumlular'!A:C,3,FALSE)</f>
        <v>Esra DOLAN</v>
      </c>
      <c r="AA4479" t="str">
        <f>VLOOKUP(K4479,[1]!Tablo3[#Data],2,FALSE)</f>
        <v>Kadir TOPÇU</v>
      </c>
    </row>
    <row r="4480" spans="1:27" x14ac:dyDescent="0.25">
      <c r="A4480">
        <v>5883</v>
      </c>
      <c r="B4480" t="s">
        <v>1419</v>
      </c>
      <c r="C4480" t="s">
        <v>304</v>
      </c>
      <c r="D4480" t="s">
        <v>11949</v>
      </c>
      <c r="E4480" t="s">
        <v>305</v>
      </c>
      <c r="F4480" t="s">
        <v>66</v>
      </c>
      <c r="G4480" t="s">
        <v>96</v>
      </c>
      <c r="H4480" t="s">
        <v>11985</v>
      </c>
      <c r="I4480" s="4"/>
      <c r="K4480" t="s">
        <v>1157</v>
      </c>
      <c r="L4480" s="5"/>
      <c r="M4480" s="5"/>
      <c r="N4480" t="s">
        <v>35</v>
      </c>
      <c r="O4480" t="s">
        <v>11986</v>
      </c>
      <c r="T4480" s="5" t="s">
        <v>38</v>
      </c>
      <c r="Y4480" t="str">
        <f>VLOOKUP(C4480,'[1]DBS_KPY Sorumlular'!A:C,2,FALSE)</f>
        <v>Erkan AKDOĞAN</v>
      </c>
      <c r="Z4480" t="str">
        <f>VLOOKUP(C4480,'[1]DBS_KPY Sorumlular'!A:C,3,FALSE)</f>
        <v>Kadir TOPÇU</v>
      </c>
      <c r="AA4480" t="str">
        <f>VLOOKUP(K4480,[1]!Tablo3[#Data],2,FALSE)</f>
        <v>Tayfun VİÇE</v>
      </c>
    </row>
    <row r="4481" spans="1:27" x14ac:dyDescent="0.25">
      <c r="A4481">
        <v>5884</v>
      </c>
      <c r="B4481" t="s">
        <v>1419</v>
      </c>
      <c r="C4481" t="s">
        <v>304</v>
      </c>
      <c r="D4481" t="s">
        <v>11949</v>
      </c>
      <c r="E4481" t="s">
        <v>305</v>
      </c>
      <c r="F4481" t="s">
        <v>66</v>
      </c>
      <c r="G4481" t="s">
        <v>96</v>
      </c>
      <c r="H4481" t="s">
        <v>11987</v>
      </c>
      <c r="I4481" s="4"/>
      <c r="K4481" t="s">
        <v>1157</v>
      </c>
      <c r="L4481" s="5"/>
      <c r="M4481" s="5"/>
      <c r="N4481" t="s">
        <v>35</v>
      </c>
      <c r="O4481" t="s">
        <v>11988</v>
      </c>
      <c r="T4481" s="5" t="s">
        <v>38</v>
      </c>
      <c r="Y4481" t="str">
        <f>VLOOKUP(C4481,'[1]DBS_KPY Sorumlular'!A:C,2,FALSE)</f>
        <v>Erkan AKDOĞAN</v>
      </c>
      <c r="Z4481" t="str">
        <f>VLOOKUP(C4481,'[1]DBS_KPY Sorumlular'!A:C,3,FALSE)</f>
        <v>Kadir TOPÇU</v>
      </c>
      <c r="AA4481" t="str">
        <f>VLOOKUP(K4481,[1]!Tablo3[#Data],2,FALSE)</f>
        <v>Tayfun VİÇE</v>
      </c>
    </row>
    <row r="4482" spans="1:27" x14ac:dyDescent="0.25">
      <c r="A4482">
        <v>5885</v>
      </c>
      <c r="B4482" t="s">
        <v>1419</v>
      </c>
      <c r="C4482" t="s">
        <v>304</v>
      </c>
      <c r="D4482" t="s">
        <v>11949</v>
      </c>
      <c r="E4482" t="s">
        <v>305</v>
      </c>
      <c r="F4482" t="s">
        <v>66</v>
      </c>
      <c r="G4482" t="s">
        <v>96</v>
      </c>
      <c r="H4482" t="s">
        <v>11989</v>
      </c>
      <c r="I4482" s="4"/>
      <c r="K4482" t="s">
        <v>1398</v>
      </c>
      <c r="L4482" s="5"/>
      <c r="M4482" s="5"/>
      <c r="N4482" t="s">
        <v>35</v>
      </c>
      <c r="O4482" t="s">
        <v>11990</v>
      </c>
      <c r="T4482" s="5" t="s">
        <v>38</v>
      </c>
      <c r="Y4482" t="str">
        <f>VLOOKUP(C4482,'[1]DBS_KPY Sorumlular'!A:C,2,FALSE)</f>
        <v>Erkan AKDOĞAN</v>
      </c>
      <c r="Z4482" t="str">
        <f>VLOOKUP(C4482,'[1]DBS_KPY Sorumlular'!A:C,3,FALSE)</f>
        <v>Kadir TOPÇU</v>
      </c>
      <c r="AA4482" t="str">
        <f>VLOOKUP(K4482,[1]!Tablo3[#Data],2,FALSE)</f>
        <v>Tayfun VİÇE</v>
      </c>
    </row>
    <row r="4483" spans="1:27" x14ac:dyDescent="0.25">
      <c r="A4483">
        <v>5886</v>
      </c>
      <c r="B4483" t="s">
        <v>1419</v>
      </c>
      <c r="C4483" t="s">
        <v>304</v>
      </c>
      <c r="D4483" t="s">
        <v>11949</v>
      </c>
      <c r="E4483" t="s">
        <v>305</v>
      </c>
      <c r="F4483" t="s">
        <v>66</v>
      </c>
      <c r="G4483" t="s">
        <v>96</v>
      </c>
      <c r="H4483" t="s">
        <v>11991</v>
      </c>
      <c r="I4483" s="4"/>
      <c r="K4483" t="s">
        <v>1398</v>
      </c>
      <c r="L4483" s="5"/>
      <c r="M4483" s="5"/>
      <c r="N4483" t="s">
        <v>35</v>
      </c>
      <c r="O4483" t="s">
        <v>11992</v>
      </c>
      <c r="T4483" s="5" t="s">
        <v>38</v>
      </c>
      <c r="Y4483" t="str">
        <f>VLOOKUP(C4483,'[1]DBS_KPY Sorumlular'!A:C,2,FALSE)</f>
        <v>Erkan AKDOĞAN</v>
      </c>
      <c r="Z4483" t="str">
        <f>VLOOKUP(C4483,'[1]DBS_KPY Sorumlular'!A:C,3,FALSE)</f>
        <v>Kadir TOPÇU</v>
      </c>
      <c r="AA4483" t="str">
        <f>VLOOKUP(K4483,[1]!Tablo3[#Data],2,FALSE)</f>
        <v>Tayfun VİÇE</v>
      </c>
    </row>
    <row r="4484" spans="1:27" x14ac:dyDescent="0.25">
      <c r="A4484">
        <v>5887</v>
      </c>
      <c r="B4484" t="s">
        <v>1419</v>
      </c>
      <c r="C4484" t="s">
        <v>304</v>
      </c>
      <c r="D4484" t="s">
        <v>11949</v>
      </c>
      <c r="E4484" t="s">
        <v>305</v>
      </c>
      <c r="F4484" t="s">
        <v>66</v>
      </c>
      <c r="G4484" t="s">
        <v>96</v>
      </c>
      <c r="H4484" t="s">
        <v>11993</v>
      </c>
      <c r="I4484" s="4"/>
      <c r="K4484" t="s">
        <v>1528</v>
      </c>
      <c r="L4484" s="5"/>
      <c r="M4484" s="5"/>
      <c r="N4484" t="s">
        <v>35</v>
      </c>
      <c r="O4484" t="s">
        <v>11994</v>
      </c>
      <c r="T4484" s="5" t="s">
        <v>38</v>
      </c>
      <c r="Y4484" t="str">
        <f>VLOOKUP(C4484,'[1]DBS_KPY Sorumlular'!A:C,2,FALSE)</f>
        <v>Erkan AKDOĞAN</v>
      </c>
      <c r="Z4484" t="str">
        <f>VLOOKUP(C4484,'[1]DBS_KPY Sorumlular'!A:C,3,FALSE)</f>
        <v>Kadir TOPÇU</v>
      </c>
      <c r="AA4484" t="str">
        <f>VLOOKUP(K4484,[1]!Tablo3[#Data],2,FALSE)</f>
        <v>Tayfun VİÇE</v>
      </c>
    </row>
    <row r="4485" spans="1:27" x14ac:dyDescent="0.25">
      <c r="A4485">
        <v>5888</v>
      </c>
      <c r="B4485" t="s">
        <v>1419</v>
      </c>
      <c r="C4485" t="s">
        <v>304</v>
      </c>
      <c r="D4485" t="s">
        <v>11949</v>
      </c>
      <c r="E4485" t="s">
        <v>305</v>
      </c>
      <c r="F4485" t="s">
        <v>66</v>
      </c>
      <c r="G4485" t="s">
        <v>96</v>
      </c>
      <c r="H4485" t="s">
        <v>11995</v>
      </c>
      <c r="I4485" s="4"/>
      <c r="K4485" t="s">
        <v>1471</v>
      </c>
      <c r="L4485" s="5"/>
      <c r="M4485" s="5"/>
      <c r="N4485" t="s">
        <v>35</v>
      </c>
      <c r="O4485" t="s">
        <v>11996</v>
      </c>
      <c r="T4485" s="5" t="s">
        <v>38</v>
      </c>
      <c r="Y4485" t="str">
        <f>VLOOKUP(C4485,'[1]DBS_KPY Sorumlular'!A:C,2,FALSE)</f>
        <v>Erkan AKDOĞAN</v>
      </c>
      <c r="Z4485" t="str">
        <f>VLOOKUP(C4485,'[1]DBS_KPY Sorumlular'!A:C,3,FALSE)</f>
        <v>Kadir TOPÇU</v>
      </c>
      <c r="AA4485" t="str">
        <f>VLOOKUP(K4485,[1]!Tablo3[#Data],2,FALSE)</f>
        <v>Tayfun VİÇE</v>
      </c>
    </row>
    <row r="4486" spans="1:27" x14ac:dyDescent="0.25">
      <c r="A4486">
        <v>5889</v>
      </c>
      <c r="B4486" t="s">
        <v>1419</v>
      </c>
      <c r="C4486" t="s">
        <v>304</v>
      </c>
      <c r="D4486" t="s">
        <v>11949</v>
      </c>
      <c r="E4486" t="s">
        <v>305</v>
      </c>
      <c r="F4486" t="s">
        <v>66</v>
      </c>
      <c r="G4486" t="s">
        <v>96</v>
      </c>
      <c r="H4486" t="s">
        <v>11997</v>
      </c>
      <c r="I4486" s="4"/>
      <c r="K4486" t="s">
        <v>1471</v>
      </c>
      <c r="L4486" s="5"/>
      <c r="M4486" s="5"/>
      <c r="N4486" t="s">
        <v>35</v>
      </c>
      <c r="O4486" t="s">
        <v>11998</v>
      </c>
      <c r="T4486" s="5" t="s">
        <v>38</v>
      </c>
      <c r="Y4486" t="str">
        <f>VLOOKUP(C4486,'[1]DBS_KPY Sorumlular'!A:C,2,FALSE)</f>
        <v>Erkan AKDOĞAN</v>
      </c>
      <c r="Z4486" t="str">
        <f>VLOOKUP(C4486,'[1]DBS_KPY Sorumlular'!A:C,3,FALSE)</f>
        <v>Kadir TOPÇU</v>
      </c>
      <c r="AA4486" t="str">
        <f>VLOOKUP(K4486,[1]!Tablo3[#Data],2,FALSE)</f>
        <v>Tayfun VİÇE</v>
      </c>
    </row>
    <row r="4487" spans="1:27" x14ac:dyDescent="0.25">
      <c r="A4487">
        <v>5890</v>
      </c>
      <c r="B4487" t="s">
        <v>27</v>
      </c>
      <c r="C4487" t="s">
        <v>40</v>
      </c>
      <c r="D4487" t="s">
        <v>41</v>
      </c>
      <c r="G4487" t="s">
        <v>43</v>
      </c>
      <c r="H4487" t="s">
        <v>11999</v>
      </c>
      <c r="I4487" s="4">
        <v>46063.875</v>
      </c>
      <c r="K4487" t="s">
        <v>568</v>
      </c>
      <c r="L4487" s="5"/>
      <c r="M4487" s="5"/>
      <c r="N4487" t="s">
        <v>46</v>
      </c>
      <c r="O4487" t="s">
        <v>12000</v>
      </c>
      <c r="R4487">
        <v>0.75</v>
      </c>
      <c r="T4487" s="5" t="s">
        <v>58</v>
      </c>
      <c r="U4487" t="s">
        <v>59</v>
      </c>
      <c r="V4487" t="s">
        <v>60</v>
      </c>
      <c r="W4487">
        <v>131</v>
      </c>
      <c r="X4487" t="s">
        <v>61</v>
      </c>
      <c r="Y4487" t="str">
        <f>VLOOKUP(C4487,'[1]DBS_KPY Sorumlular'!A:C,2,FALSE)</f>
        <v>Mustafa AYDIN</v>
      </c>
      <c r="Z4487" t="str">
        <f>VLOOKUP(C4487,'[1]DBS_KPY Sorumlular'!A:C,3,FALSE)</f>
        <v>Esra DOLAN</v>
      </c>
      <c r="AA4487" t="str">
        <f>VLOOKUP(K4487,[1]!Tablo3[#Data],2,FALSE)</f>
        <v>Erkan AKDOĞAN</v>
      </c>
    </row>
    <row r="4488" spans="1:27" x14ac:dyDescent="0.25">
      <c r="A4488">
        <v>5891</v>
      </c>
      <c r="B4488" t="s">
        <v>27</v>
      </c>
      <c r="C4488" t="s">
        <v>40</v>
      </c>
      <c r="D4488" t="s">
        <v>41</v>
      </c>
      <c r="G4488" t="s">
        <v>30</v>
      </c>
      <c r="H4488" t="s">
        <v>12001</v>
      </c>
      <c r="I4488" s="4">
        <v>46063.875</v>
      </c>
      <c r="K4488" t="s">
        <v>568</v>
      </c>
      <c r="L4488" s="5"/>
      <c r="M4488" s="5"/>
      <c r="N4488" t="s">
        <v>46</v>
      </c>
      <c r="O4488" t="s">
        <v>12002</v>
      </c>
      <c r="R4488">
        <v>0.5</v>
      </c>
      <c r="T4488" s="5" t="s">
        <v>58</v>
      </c>
      <c r="U4488" t="s">
        <v>59</v>
      </c>
      <c r="V4488" t="s">
        <v>60</v>
      </c>
      <c r="W4488">
        <v>131</v>
      </c>
      <c r="X4488" t="s">
        <v>61</v>
      </c>
      <c r="Y4488" t="str">
        <f>VLOOKUP(C4488,'[1]DBS_KPY Sorumlular'!A:C,2,FALSE)</f>
        <v>Mustafa AYDIN</v>
      </c>
      <c r="Z4488" t="str">
        <f>VLOOKUP(C4488,'[1]DBS_KPY Sorumlular'!A:C,3,FALSE)</f>
        <v>Esra DOLAN</v>
      </c>
      <c r="AA4488" t="str">
        <f>VLOOKUP(K4488,[1]!Tablo3[#Data],2,FALSE)</f>
        <v>Erkan AKDOĞAN</v>
      </c>
    </row>
    <row r="4489" spans="1:27" x14ac:dyDescent="0.25">
      <c r="A4489">
        <v>5892</v>
      </c>
      <c r="B4489" t="s">
        <v>27</v>
      </c>
      <c r="C4489" t="s">
        <v>40</v>
      </c>
      <c r="D4489" t="s">
        <v>41</v>
      </c>
      <c r="G4489" t="s">
        <v>30</v>
      </c>
      <c r="H4489" t="s">
        <v>12003</v>
      </c>
      <c r="I4489" s="4">
        <v>46063.875</v>
      </c>
      <c r="K4489" t="s">
        <v>280</v>
      </c>
      <c r="L4489" s="5"/>
      <c r="M4489" s="5"/>
      <c r="N4489" t="s">
        <v>46</v>
      </c>
      <c r="O4489" t="s">
        <v>12004</v>
      </c>
      <c r="R4489">
        <v>0.65</v>
      </c>
      <c r="T4489" s="5" t="s">
        <v>58</v>
      </c>
      <c r="U4489" t="s">
        <v>59</v>
      </c>
      <c r="V4489" t="s">
        <v>60</v>
      </c>
      <c r="W4489">
        <v>131</v>
      </c>
      <c r="X4489" t="s">
        <v>61</v>
      </c>
      <c r="Y4489" t="str">
        <f>VLOOKUP(C4489,'[1]DBS_KPY Sorumlular'!A:C,2,FALSE)</f>
        <v>Mustafa AYDIN</v>
      </c>
      <c r="Z4489" t="str">
        <f>VLOOKUP(C4489,'[1]DBS_KPY Sorumlular'!A:C,3,FALSE)</f>
        <v>Esra DOLAN</v>
      </c>
      <c r="AA4489" t="str">
        <f>VLOOKUP(K4489,[1]!Tablo3[#Data],2,FALSE)</f>
        <v>Erkan AKDOĞAN</v>
      </c>
    </row>
    <row r="4490" spans="1:27" x14ac:dyDescent="0.25">
      <c r="A4490">
        <v>5893</v>
      </c>
      <c r="B4490" t="s">
        <v>27</v>
      </c>
      <c r="C4490" t="s">
        <v>40</v>
      </c>
      <c r="D4490" t="s">
        <v>41</v>
      </c>
      <c r="G4490" t="s">
        <v>43</v>
      </c>
      <c r="H4490" t="s">
        <v>12005</v>
      </c>
      <c r="I4490" s="4">
        <v>45837.875</v>
      </c>
      <c r="K4490" t="s">
        <v>926</v>
      </c>
      <c r="L4490" s="5"/>
      <c r="M4490" s="5"/>
      <c r="N4490" t="s">
        <v>46</v>
      </c>
      <c r="O4490" t="s">
        <v>12006</v>
      </c>
      <c r="R4490">
        <v>0.9</v>
      </c>
      <c r="T4490" s="5" t="s">
        <v>58</v>
      </c>
      <c r="U4490" t="s">
        <v>1454</v>
      </c>
      <c r="V4490" t="s">
        <v>1455</v>
      </c>
      <c r="W4490">
        <v>28</v>
      </c>
      <c r="X4490" t="s">
        <v>667</v>
      </c>
      <c r="Y4490" t="str">
        <f>VLOOKUP(C4490,'[1]DBS_KPY Sorumlular'!A:C,2,FALSE)</f>
        <v>Mustafa AYDIN</v>
      </c>
      <c r="Z4490" t="str">
        <f>VLOOKUP(C4490,'[1]DBS_KPY Sorumlular'!A:C,3,FALSE)</f>
        <v>Esra DOLAN</v>
      </c>
      <c r="AA4490" t="str">
        <f>VLOOKUP(K4490,[1]!Tablo3[#Data],2,FALSE)</f>
        <v>Kadir TOPÇU</v>
      </c>
    </row>
    <row r="4491" spans="1:27" x14ac:dyDescent="0.25">
      <c r="A4491">
        <v>5894</v>
      </c>
      <c r="B4491" t="s">
        <v>27</v>
      </c>
      <c r="C4491" t="s">
        <v>652</v>
      </c>
      <c r="D4491" t="s">
        <v>11852</v>
      </c>
      <c r="G4491" t="s">
        <v>30</v>
      </c>
      <c r="H4491" t="s">
        <v>12007</v>
      </c>
      <c r="I4491" s="4"/>
      <c r="K4491" t="s">
        <v>181</v>
      </c>
      <c r="L4491" s="5"/>
      <c r="M4491" s="5"/>
      <c r="N4491" t="s">
        <v>82</v>
      </c>
      <c r="O4491" t="s">
        <v>12008</v>
      </c>
      <c r="R4491">
        <v>1</v>
      </c>
      <c r="T4491" s="5"/>
      <c r="W4491">
        <v>267</v>
      </c>
      <c r="X4491" t="s">
        <v>6211</v>
      </c>
      <c r="Y4491" t="str">
        <f>VLOOKUP(C4491,'[1]DBS_KPY Sorumlular'!A:C,2,FALSE)</f>
        <v>Seyithan İŞİK</v>
      </c>
      <c r="Z4491" t="str">
        <f>VLOOKUP(C4491,'[1]DBS_KPY Sorumlular'!A:C,3,FALSE)</f>
        <v>Korhan KÖROĞLU</v>
      </c>
      <c r="AA4491" t="str">
        <f>VLOOKUP(K4491,[1]!Tablo3[#Data],2,FALSE)</f>
        <v>Erkan AKDOĞAN</v>
      </c>
    </row>
    <row r="4492" spans="1:27" x14ac:dyDescent="0.25">
      <c r="A4492">
        <v>5895</v>
      </c>
      <c r="B4492" t="s">
        <v>27</v>
      </c>
      <c r="C4492" t="s">
        <v>40</v>
      </c>
      <c r="D4492" t="s">
        <v>41</v>
      </c>
      <c r="G4492" t="s">
        <v>96</v>
      </c>
      <c r="H4492" t="s">
        <v>12009</v>
      </c>
      <c r="I4492" s="4">
        <v>45837.875</v>
      </c>
      <c r="K4492" t="s">
        <v>743</v>
      </c>
      <c r="L4492" s="5"/>
      <c r="M4492" s="5"/>
      <c r="N4492" t="s">
        <v>46</v>
      </c>
      <c r="O4492" t="s">
        <v>12010</v>
      </c>
      <c r="R4492">
        <v>0.99</v>
      </c>
      <c r="T4492" s="5" t="s">
        <v>58</v>
      </c>
      <c r="U4492" t="s">
        <v>1292</v>
      </c>
      <c r="V4492" t="s">
        <v>1293</v>
      </c>
      <c r="W4492">
        <v>91</v>
      </c>
      <c r="X4492" t="s">
        <v>101</v>
      </c>
      <c r="Y4492" t="str">
        <f>VLOOKUP(C4492,'[1]DBS_KPY Sorumlular'!A:C,2,FALSE)</f>
        <v>Mustafa AYDIN</v>
      </c>
      <c r="Z4492" t="str">
        <f>VLOOKUP(C4492,'[1]DBS_KPY Sorumlular'!A:C,3,FALSE)</f>
        <v>Esra DOLAN</v>
      </c>
      <c r="AA4492" t="str">
        <f>VLOOKUP(K4492,[1]!Tablo3[#Data],2,FALSE)</f>
        <v>Kadir TOPÇU</v>
      </c>
    </row>
    <row r="4493" spans="1:27" x14ac:dyDescent="0.25">
      <c r="A4493">
        <v>5896</v>
      </c>
      <c r="B4493" t="s">
        <v>27</v>
      </c>
      <c r="C4493" t="s">
        <v>652</v>
      </c>
      <c r="D4493" t="s">
        <v>11852</v>
      </c>
      <c r="G4493" t="s">
        <v>30</v>
      </c>
      <c r="H4493" t="s">
        <v>12011</v>
      </c>
      <c r="I4493" s="4"/>
      <c r="K4493" t="s">
        <v>232</v>
      </c>
      <c r="L4493" s="5"/>
      <c r="M4493" s="5"/>
      <c r="N4493" t="s">
        <v>82</v>
      </c>
      <c r="O4493" t="s">
        <v>12012</v>
      </c>
      <c r="R4493">
        <v>1</v>
      </c>
      <c r="T4493" s="5"/>
      <c r="W4493">
        <v>267</v>
      </c>
      <c r="X4493" t="s">
        <v>6211</v>
      </c>
      <c r="Y4493" t="str">
        <f>VLOOKUP(C4493,'[1]DBS_KPY Sorumlular'!A:C,2,FALSE)</f>
        <v>Seyithan İŞİK</v>
      </c>
      <c r="Z4493" t="str">
        <f>VLOOKUP(C4493,'[1]DBS_KPY Sorumlular'!A:C,3,FALSE)</f>
        <v>Korhan KÖROĞLU</v>
      </c>
      <c r="AA4493" t="str">
        <f>VLOOKUP(K4493,[1]!Tablo3[#Data],2,FALSE)</f>
        <v>Erkan AKDOĞAN</v>
      </c>
    </row>
    <row r="4494" spans="1:27" x14ac:dyDescent="0.25">
      <c r="A4494">
        <v>5897</v>
      </c>
      <c r="B4494" t="s">
        <v>27</v>
      </c>
      <c r="C4494" t="s">
        <v>402</v>
      </c>
      <c r="D4494" t="s">
        <v>403</v>
      </c>
      <c r="F4494" t="s">
        <v>383</v>
      </c>
      <c r="G4494" t="s">
        <v>384</v>
      </c>
      <c r="H4494" t="s">
        <v>12013</v>
      </c>
      <c r="I4494" s="4"/>
      <c r="K4494" t="s">
        <v>898</v>
      </c>
      <c r="L4494" s="5"/>
      <c r="M4494" s="5"/>
      <c r="N4494" t="s">
        <v>82</v>
      </c>
      <c r="O4494" t="s">
        <v>12014</v>
      </c>
      <c r="R4494">
        <v>1</v>
      </c>
      <c r="T4494" s="5" t="s">
        <v>100</v>
      </c>
      <c r="W4494">
        <v>223</v>
      </c>
      <c r="X4494" t="s">
        <v>524</v>
      </c>
      <c r="Y4494" t="str">
        <f>VLOOKUP(C4494,'[1]DBS_KPY Sorumlular'!A:C,2,FALSE)</f>
        <v>Tayfun VİÇE</v>
      </c>
      <c r="Z4494" t="str">
        <f>VLOOKUP(C4494,'[1]DBS_KPY Sorumlular'!A:C,3,FALSE)</f>
        <v>Mehmet Ali YAVUZ</v>
      </c>
      <c r="AA4494" t="str">
        <f>VLOOKUP(K4494,[1]!Tablo3[#Data],2,FALSE)</f>
        <v>Erkan AKDOĞAN</v>
      </c>
    </row>
    <row r="4495" spans="1:27" x14ac:dyDescent="0.25">
      <c r="A4495">
        <v>5898</v>
      </c>
      <c r="B4495" t="s">
        <v>27</v>
      </c>
      <c r="C4495" t="s">
        <v>402</v>
      </c>
      <c r="D4495" t="s">
        <v>403</v>
      </c>
      <c r="F4495" t="s">
        <v>383</v>
      </c>
      <c r="G4495" t="s">
        <v>384</v>
      </c>
      <c r="H4495" t="s">
        <v>12015</v>
      </c>
      <c r="I4495" s="4"/>
      <c r="K4495" t="s">
        <v>898</v>
      </c>
      <c r="L4495" s="5"/>
      <c r="M4495" s="5"/>
      <c r="N4495" t="s">
        <v>82</v>
      </c>
      <c r="O4495" t="s">
        <v>12014</v>
      </c>
      <c r="R4495">
        <v>1</v>
      </c>
      <c r="T4495" s="5" t="s">
        <v>100</v>
      </c>
      <c r="W4495">
        <v>223</v>
      </c>
      <c r="X4495" t="s">
        <v>524</v>
      </c>
      <c r="Y4495" t="str">
        <f>VLOOKUP(C4495,'[1]DBS_KPY Sorumlular'!A:C,2,FALSE)</f>
        <v>Tayfun VİÇE</v>
      </c>
      <c r="Z4495" t="str">
        <f>VLOOKUP(C4495,'[1]DBS_KPY Sorumlular'!A:C,3,FALSE)</f>
        <v>Mehmet Ali YAVUZ</v>
      </c>
      <c r="AA4495" t="str">
        <f>VLOOKUP(K4495,[1]!Tablo3[#Data],2,FALSE)</f>
        <v>Erkan AKDOĞAN</v>
      </c>
    </row>
    <row r="4496" spans="1:27" x14ac:dyDescent="0.25">
      <c r="A4496">
        <v>5899</v>
      </c>
      <c r="B4496" t="s">
        <v>27</v>
      </c>
      <c r="C4496" t="s">
        <v>652</v>
      </c>
      <c r="D4496" t="s">
        <v>11852</v>
      </c>
      <c r="G4496" t="s">
        <v>30</v>
      </c>
      <c r="H4496" t="s">
        <v>12016</v>
      </c>
      <c r="I4496" s="4"/>
      <c r="K4496" t="s">
        <v>217</v>
      </c>
      <c r="L4496" s="5"/>
      <c r="M4496" s="5"/>
      <c r="N4496" t="s">
        <v>82</v>
      </c>
      <c r="O4496" t="s">
        <v>12017</v>
      </c>
      <c r="R4496">
        <v>1</v>
      </c>
      <c r="T4496" s="5"/>
      <c r="W4496">
        <v>267</v>
      </c>
      <c r="X4496" t="s">
        <v>6211</v>
      </c>
      <c r="Y4496" t="str">
        <f>VLOOKUP(C4496,'[1]DBS_KPY Sorumlular'!A:C,2,FALSE)</f>
        <v>Seyithan İŞİK</v>
      </c>
      <c r="Z4496" t="str">
        <f>VLOOKUP(C4496,'[1]DBS_KPY Sorumlular'!A:C,3,FALSE)</f>
        <v>Korhan KÖROĞLU</v>
      </c>
      <c r="AA4496" t="str">
        <f>VLOOKUP(K4496,[1]!Tablo3[#Data],2,FALSE)</f>
        <v>Erkan AKDOĞAN</v>
      </c>
    </row>
    <row r="4497" spans="1:27" x14ac:dyDescent="0.25">
      <c r="A4497">
        <v>5900</v>
      </c>
      <c r="B4497" t="s">
        <v>27</v>
      </c>
      <c r="C4497" t="s">
        <v>40</v>
      </c>
      <c r="D4497" t="s">
        <v>41</v>
      </c>
      <c r="G4497" t="s">
        <v>30</v>
      </c>
      <c r="H4497" t="s">
        <v>12018</v>
      </c>
      <c r="I4497" s="4">
        <v>45807.875</v>
      </c>
      <c r="K4497" t="s">
        <v>226</v>
      </c>
      <c r="L4497" s="5"/>
      <c r="M4497" s="5"/>
      <c r="N4497" t="s">
        <v>82</v>
      </c>
      <c r="O4497" t="s">
        <v>12019</v>
      </c>
      <c r="R4497">
        <v>1</v>
      </c>
      <c r="T4497" s="5" t="s">
        <v>58</v>
      </c>
      <c r="U4497" t="s">
        <v>192</v>
      </c>
      <c r="V4497" t="s">
        <v>193</v>
      </c>
      <c r="W4497">
        <v>103</v>
      </c>
      <c r="X4497" t="s">
        <v>353</v>
      </c>
      <c r="Y4497" t="str">
        <f>VLOOKUP(C4497,'[1]DBS_KPY Sorumlular'!A:C,2,FALSE)</f>
        <v>Mustafa AYDIN</v>
      </c>
      <c r="Z4497" t="str">
        <f>VLOOKUP(C4497,'[1]DBS_KPY Sorumlular'!A:C,3,FALSE)</f>
        <v>Esra DOLAN</v>
      </c>
      <c r="AA4497" t="str">
        <f>VLOOKUP(K4497,[1]!Tablo3[#Data],2,FALSE)</f>
        <v>Kadir TOPÇU</v>
      </c>
    </row>
    <row r="4498" spans="1:27" x14ac:dyDescent="0.25">
      <c r="A4498">
        <v>5901</v>
      </c>
      <c r="B4498" t="s">
        <v>27</v>
      </c>
      <c r="C4498" t="s">
        <v>402</v>
      </c>
      <c r="D4498" t="s">
        <v>403</v>
      </c>
      <c r="F4498" t="s">
        <v>383</v>
      </c>
      <c r="G4498" t="s">
        <v>384</v>
      </c>
      <c r="H4498" t="s">
        <v>12020</v>
      </c>
      <c r="I4498" s="4"/>
      <c r="K4498" t="s">
        <v>898</v>
      </c>
      <c r="L4498" s="5"/>
      <c r="M4498" s="5"/>
      <c r="N4498" t="s">
        <v>82</v>
      </c>
      <c r="O4498" t="s">
        <v>12014</v>
      </c>
      <c r="R4498">
        <v>1</v>
      </c>
      <c r="T4498" s="5" t="s">
        <v>100</v>
      </c>
      <c r="W4498">
        <v>223</v>
      </c>
      <c r="X4498" t="s">
        <v>524</v>
      </c>
      <c r="Y4498" t="str">
        <f>VLOOKUP(C4498,'[1]DBS_KPY Sorumlular'!A:C,2,FALSE)</f>
        <v>Tayfun VİÇE</v>
      </c>
      <c r="Z4498" t="str">
        <f>VLOOKUP(C4498,'[1]DBS_KPY Sorumlular'!A:C,3,FALSE)</f>
        <v>Mehmet Ali YAVUZ</v>
      </c>
      <c r="AA4498" t="str">
        <f>VLOOKUP(K4498,[1]!Tablo3[#Data],2,FALSE)</f>
        <v>Erkan AKDOĞAN</v>
      </c>
    </row>
    <row r="4499" spans="1:27" x14ac:dyDescent="0.25">
      <c r="A4499">
        <v>5902</v>
      </c>
      <c r="B4499" t="s">
        <v>27</v>
      </c>
      <c r="C4499" t="s">
        <v>652</v>
      </c>
      <c r="D4499" t="s">
        <v>11852</v>
      </c>
      <c r="G4499" t="s">
        <v>30</v>
      </c>
      <c r="H4499" t="s">
        <v>12021</v>
      </c>
      <c r="I4499" s="4"/>
      <c r="K4499" t="s">
        <v>217</v>
      </c>
      <c r="L4499" s="5"/>
      <c r="M4499" s="5"/>
      <c r="N4499" t="s">
        <v>82</v>
      </c>
      <c r="O4499" t="s">
        <v>12022</v>
      </c>
      <c r="R4499">
        <v>1</v>
      </c>
      <c r="T4499" s="5"/>
      <c r="W4499">
        <v>267</v>
      </c>
      <c r="X4499" t="s">
        <v>6211</v>
      </c>
      <c r="Y4499" t="str">
        <f>VLOOKUP(C4499,'[1]DBS_KPY Sorumlular'!A:C,2,FALSE)</f>
        <v>Seyithan İŞİK</v>
      </c>
      <c r="Z4499" t="str">
        <f>VLOOKUP(C4499,'[1]DBS_KPY Sorumlular'!A:C,3,FALSE)</f>
        <v>Korhan KÖROĞLU</v>
      </c>
      <c r="AA4499" t="str">
        <f>VLOOKUP(K4499,[1]!Tablo3[#Data],2,FALSE)</f>
        <v>Erkan AKDOĞAN</v>
      </c>
    </row>
    <row r="4500" spans="1:27" x14ac:dyDescent="0.25">
      <c r="A4500">
        <v>5903</v>
      </c>
      <c r="B4500" t="s">
        <v>27</v>
      </c>
      <c r="C4500" t="s">
        <v>402</v>
      </c>
      <c r="D4500" t="s">
        <v>403</v>
      </c>
      <c r="F4500" t="s">
        <v>383</v>
      </c>
      <c r="G4500" t="s">
        <v>384</v>
      </c>
      <c r="H4500" t="s">
        <v>12023</v>
      </c>
      <c r="I4500" s="4"/>
      <c r="K4500" t="s">
        <v>898</v>
      </c>
      <c r="L4500" s="5"/>
      <c r="M4500" s="5"/>
      <c r="N4500" t="s">
        <v>82</v>
      </c>
      <c r="O4500" t="s">
        <v>12014</v>
      </c>
      <c r="R4500">
        <v>1</v>
      </c>
      <c r="T4500" s="5" t="s">
        <v>100</v>
      </c>
      <c r="W4500">
        <v>92</v>
      </c>
      <c r="X4500" t="s">
        <v>12024</v>
      </c>
      <c r="Y4500" t="str">
        <f>VLOOKUP(C4500,'[1]DBS_KPY Sorumlular'!A:C,2,FALSE)</f>
        <v>Tayfun VİÇE</v>
      </c>
      <c r="Z4500" t="str">
        <f>VLOOKUP(C4500,'[1]DBS_KPY Sorumlular'!A:C,3,FALSE)</f>
        <v>Mehmet Ali YAVUZ</v>
      </c>
      <c r="AA4500" t="str">
        <f>VLOOKUP(K4500,[1]!Tablo3[#Data],2,FALSE)</f>
        <v>Erkan AKDOĞAN</v>
      </c>
    </row>
    <row r="4501" spans="1:27" x14ac:dyDescent="0.25">
      <c r="A4501">
        <v>5904</v>
      </c>
      <c r="B4501" t="s">
        <v>27</v>
      </c>
      <c r="C4501" t="s">
        <v>652</v>
      </c>
      <c r="D4501" t="s">
        <v>11852</v>
      </c>
      <c r="G4501" t="s">
        <v>30</v>
      </c>
      <c r="H4501" t="s">
        <v>12025</v>
      </c>
      <c r="I4501" s="4"/>
      <c r="K4501" t="s">
        <v>435</v>
      </c>
      <c r="L4501" s="5"/>
      <c r="M4501" s="5"/>
      <c r="N4501" t="s">
        <v>82</v>
      </c>
      <c r="O4501" t="s">
        <v>12026</v>
      </c>
      <c r="R4501">
        <v>1</v>
      </c>
      <c r="T4501" s="5"/>
      <c r="W4501">
        <v>267</v>
      </c>
      <c r="X4501" t="s">
        <v>6211</v>
      </c>
      <c r="Y4501" t="str">
        <f>VLOOKUP(C4501,'[1]DBS_KPY Sorumlular'!A:C,2,FALSE)</f>
        <v>Seyithan İŞİK</v>
      </c>
      <c r="Z4501" t="str">
        <f>VLOOKUP(C4501,'[1]DBS_KPY Sorumlular'!A:C,3,FALSE)</f>
        <v>Korhan KÖROĞLU</v>
      </c>
      <c r="AA4501" t="str">
        <f>VLOOKUP(K4501,[1]!Tablo3[#Data],2,FALSE)</f>
        <v>Tayfun VİÇE</v>
      </c>
    </row>
    <row r="4502" spans="1:27" x14ac:dyDescent="0.25">
      <c r="A4502">
        <v>5905</v>
      </c>
      <c r="B4502" t="s">
        <v>27</v>
      </c>
      <c r="C4502" t="s">
        <v>402</v>
      </c>
      <c r="D4502" t="s">
        <v>403</v>
      </c>
      <c r="F4502" t="s">
        <v>383</v>
      </c>
      <c r="G4502" t="s">
        <v>384</v>
      </c>
      <c r="H4502" t="s">
        <v>12027</v>
      </c>
      <c r="I4502" s="4"/>
      <c r="K4502" t="s">
        <v>898</v>
      </c>
      <c r="L4502" s="5"/>
      <c r="M4502" s="5"/>
      <c r="N4502" t="s">
        <v>82</v>
      </c>
      <c r="O4502" t="s">
        <v>12014</v>
      </c>
      <c r="R4502">
        <v>1</v>
      </c>
      <c r="T4502" s="5" t="s">
        <v>100</v>
      </c>
      <c r="W4502">
        <v>223</v>
      </c>
      <c r="X4502" t="s">
        <v>524</v>
      </c>
      <c r="Y4502" t="str">
        <f>VLOOKUP(C4502,'[1]DBS_KPY Sorumlular'!A:C,2,FALSE)</f>
        <v>Tayfun VİÇE</v>
      </c>
      <c r="Z4502" t="str">
        <f>VLOOKUP(C4502,'[1]DBS_KPY Sorumlular'!A:C,3,FALSE)</f>
        <v>Mehmet Ali YAVUZ</v>
      </c>
      <c r="AA4502" t="str">
        <f>VLOOKUP(K4502,[1]!Tablo3[#Data],2,FALSE)</f>
        <v>Erkan AKDOĞAN</v>
      </c>
    </row>
    <row r="4503" spans="1:27" x14ac:dyDescent="0.25">
      <c r="A4503">
        <v>5906</v>
      </c>
      <c r="B4503" t="s">
        <v>1419</v>
      </c>
      <c r="C4503" t="s">
        <v>402</v>
      </c>
      <c r="D4503" t="s">
        <v>403</v>
      </c>
      <c r="F4503" t="s">
        <v>383</v>
      </c>
      <c r="G4503" t="s">
        <v>384</v>
      </c>
      <c r="H4503" t="s">
        <v>12028</v>
      </c>
      <c r="I4503" s="4"/>
      <c r="K4503" t="s">
        <v>898</v>
      </c>
      <c r="L4503" s="5"/>
      <c r="M4503" s="5"/>
      <c r="N4503" t="s">
        <v>35</v>
      </c>
      <c r="O4503" t="s">
        <v>12029</v>
      </c>
      <c r="T4503" s="5" t="s">
        <v>100</v>
      </c>
      <c r="W4503">
        <v>153</v>
      </c>
      <c r="X4503" t="s">
        <v>9117</v>
      </c>
      <c r="Y4503" t="str">
        <f>VLOOKUP(C4503,'[1]DBS_KPY Sorumlular'!A:C,2,FALSE)</f>
        <v>Tayfun VİÇE</v>
      </c>
      <c r="Z4503" t="str">
        <f>VLOOKUP(C4503,'[1]DBS_KPY Sorumlular'!A:C,3,FALSE)</f>
        <v>Mehmet Ali YAVUZ</v>
      </c>
      <c r="AA4503" t="str">
        <f>VLOOKUP(K4503,[1]!Tablo3[#Data],2,FALSE)</f>
        <v>Erkan AKDOĞAN</v>
      </c>
    </row>
    <row r="4504" spans="1:27" x14ac:dyDescent="0.25">
      <c r="A4504">
        <v>5907</v>
      </c>
      <c r="B4504" t="s">
        <v>27</v>
      </c>
      <c r="C4504" t="s">
        <v>652</v>
      </c>
      <c r="D4504" t="s">
        <v>11852</v>
      </c>
      <c r="G4504" t="s">
        <v>30</v>
      </c>
      <c r="H4504" t="s">
        <v>12030</v>
      </c>
      <c r="I4504" s="4"/>
      <c r="K4504" t="s">
        <v>435</v>
      </c>
      <c r="L4504" s="5"/>
      <c r="M4504" s="5"/>
      <c r="N4504" t="s">
        <v>82</v>
      </c>
      <c r="O4504" t="s">
        <v>12031</v>
      </c>
      <c r="R4504">
        <v>1</v>
      </c>
      <c r="T4504" s="5"/>
      <c r="W4504">
        <v>267</v>
      </c>
      <c r="X4504" t="s">
        <v>6211</v>
      </c>
      <c r="Y4504" t="str">
        <f>VLOOKUP(C4504,'[1]DBS_KPY Sorumlular'!A:C,2,FALSE)</f>
        <v>Seyithan İŞİK</v>
      </c>
      <c r="Z4504" t="str">
        <f>VLOOKUP(C4504,'[1]DBS_KPY Sorumlular'!A:C,3,FALSE)</f>
        <v>Korhan KÖROĞLU</v>
      </c>
      <c r="AA4504" t="str">
        <f>VLOOKUP(K4504,[1]!Tablo3[#Data],2,FALSE)</f>
        <v>Tayfun VİÇE</v>
      </c>
    </row>
    <row r="4505" spans="1:27" x14ac:dyDescent="0.25">
      <c r="A4505">
        <v>5910</v>
      </c>
      <c r="B4505" t="s">
        <v>27</v>
      </c>
      <c r="C4505" t="s">
        <v>652</v>
      </c>
      <c r="D4505" t="s">
        <v>11852</v>
      </c>
      <c r="G4505" t="s">
        <v>30</v>
      </c>
      <c r="H4505" t="s">
        <v>12032</v>
      </c>
      <c r="I4505" s="4"/>
      <c r="K4505" t="s">
        <v>534</v>
      </c>
      <c r="L4505" s="5"/>
      <c r="M4505" s="5"/>
      <c r="N4505" t="s">
        <v>82</v>
      </c>
      <c r="O4505" t="s">
        <v>12033</v>
      </c>
      <c r="R4505">
        <v>1</v>
      </c>
      <c r="T4505" s="5"/>
      <c r="W4505">
        <v>267</v>
      </c>
      <c r="X4505" t="s">
        <v>6211</v>
      </c>
      <c r="Y4505" t="str">
        <f>VLOOKUP(C4505,'[1]DBS_KPY Sorumlular'!A:C,2,FALSE)</f>
        <v>Seyithan İŞİK</v>
      </c>
      <c r="Z4505" t="str">
        <f>VLOOKUP(C4505,'[1]DBS_KPY Sorumlular'!A:C,3,FALSE)</f>
        <v>Korhan KÖROĞLU</v>
      </c>
      <c r="AA4505" t="str">
        <f>VLOOKUP(K4505,[1]!Tablo3[#Data],2,FALSE)</f>
        <v>Erkan AKDOĞAN</v>
      </c>
    </row>
    <row r="4506" spans="1:27" x14ac:dyDescent="0.25">
      <c r="A4506">
        <v>5911</v>
      </c>
      <c r="B4506" t="s">
        <v>27</v>
      </c>
      <c r="C4506" t="s">
        <v>652</v>
      </c>
      <c r="D4506" t="s">
        <v>11852</v>
      </c>
      <c r="G4506" t="s">
        <v>30</v>
      </c>
      <c r="H4506" t="s">
        <v>12034</v>
      </c>
      <c r="I4506" s="4"/>
      <c r="K4506" t="s">
        <v>534</v>
      </c>
      <c r="L4506" s="5"/>
      <c r="M4506" s="5"/>
      <c r="N4506" t="s">
        <v>82</v>
      </c>
      <c r="O4506" t="s">
        <v>12035</v>
      </c>
      <c r="R4506">
        <v>1</v>
      </c>
      <c r="T4506" s="5"/>
      <c r="W4506">
        <v>267</v>
      </c>
      <c r="X4506" t="s">
        <v>6211</v>
      </c>
      <c r="Y4506" t="str">
        <f>VLOOKUP(C4506,'[1]DBS_KPY Sorumlular'!A:C,2,FALSE)</f>
        <v>Seyithan İŞİK</v>
      </c>
      <c r="Z4506" t="str">
        <f>VLOOKUP(C4506,'[1]DBS_KPY Sorumlular'!A:C,3,FALSE)</f>
        <v>Korhan KÖROĞLU</v>
      </c>
      <c r="AA4506" t="str">
        <f>VLOOKUP(K4506,[1]!Tablo3[#Data],2,FALSE)</f>
        <v>Erkan AKDOĞAN</v>
      </c>
    </row>
    <row r="4507" spans="1:27" x14ac:dyDescent="0.25">
      <c r="A4507">
        <v>5912</v>
      </c>
      <c r="B4507" t="s">
        <v>27</v>
      </c>
      <c r="C4507" t="s">
        <v>402</v>
      </c>
      <c r="D4507" t="s">
        <v>403</v>
      </c>
      <c r="F4507" t="s">
        <v>383</v>
      </c>
      <c r="G4507" t="s">
        <v>384</v>
      </c>
      <c r="H4507" t="s">
        <v>12036</v>
      </c>
      <c r="I4507" s="4"/>
      <c r="K4507" t="s">
        <v>898</v>
      </c>
      <c r="L4507" s="5"/>
      <c r="M4507" s="5"/>
      <c r="N4507" t="s">
        <v>82</v>
      </c>
      <c r="O4507" t="s">
        <v>12029</v>
      </c>
      <c r="R4507">
        <v>1</v>
      </c>
      <c r="T4507" s="5" t="s">
        <v>100</v>
      </c>
      <c r="W4507">
        <v>196</v>
      </c>
      <c r="X4507" t="s">
        <v>7066</v>
      </c>
      <c r="Y4507" t="str">
        <f>VLOOKUP(C4507,'[1]DBS_KPY Sorumlular'!A:C,2,FALSE)</f>
        <v>Tayfun VİÇE</v>
      </c>
      <c r="Z4507" t="str">
        <f>VLOOKUP(C4507,'[1]DBS_KPY Sorumlular'!A:C,3,FALSE)</f>
        <v>Mehmet Ali YAVUZ</v>
      </c>
      <c r="AA4507" t="str">
        <f>VLOOKUP(K4507,[1]!Tablo3[#Data],2,FALSE)</f>
        <v>Erkan AKDOĞAN</v>
      </c>
    </row>
    <row r="4508" spans="1:27" x14ac:dyDescent="0.25">
      <c r="A4508">
        <v>5913</v>
      </c>
      <c r="B4508" t="s">
        <v>27</v>
      </c>
      <c r="C4508" t="s">
        <v>652</v>
      </c>
      <c r="D4508" t="s">
        <v>11852</v>
      </c>
      <c r="G4508" t="s">
        <v>30</v>
      </c>
      <c r="H4508" t="s">
        <v>12037</v>
      </c>
      <c r="I4508" s="4"/>
      <c r="K4508" t="s">
        <v>534</v>
      </c>
      <c r="L4508" s="5"/>
      <c r="M4508" s="5"/>
      <c r="N4508" t="s">
        <v>82</v>
      </c>
      <c r="O4508" t="s">
        <v>12038</v>
      </c>
      <c r="R4508">
        <v>1</v>
      </c>
      <c r="T4508" s="5"/>
      <c r="W4508">
        <v>267</v>
      </c>
      <c r="X4508" t="s">
        <v>6211</v>
      </c>
      <c r="Y4508" t="str">
        <f>VLOOKUP(C4508,'[1]DBS_KPY Sorumlular'!A:C,2,FALSE)</f>
        <v>Seyithan İŞİK</v>
      </c>
      <c r="Z4508" t="str">
        <f>VLOOKUP(C4508,'[1]DBS_KPY Sorumlular'!A:C,3,FALSE)</f>
        <v>Korhan KÖROĞLU</v>
      </c>
      <c r="AA4508" t="str">
        <f>VLOOKUP(K4508,[1]!Tablo3[#Data],2,FALSE)</f>
        <v>Erkan AKDOĞAN</v>
      </c>
    </row>
    <row r="4509" spans="1:27" x14ac:dyDescent="0.25">
      <c r="A4509">
        <v>5914</v>
      </c>
      <c r="B4509" t="s">
        <v>27</v>
      </c>
      <c r="C4509" t="s">
        <v>652</v>
      </c>
      <c r="D4509" t="s">
        <v>11852</v>
      </c>
      <c r="G4509" t="s">
        <v>30</v>
      </c>
      <c r="H4509" t="s">
        <v>12039</v>
      </c>
      <c r="I4509" s="4"/>
      <c r="K4509" t="s">
        <v>586</v>
      </c>
      <c r="L4509" s="5"/>
      <c r="M4509" s="5"/>
      <c r="N4509" t="s">
        <v>82</v>
      </c>
      <c r="O4509" t="s">
        <v>12040</v>
      </c>
      <c r="R4509">
        <v>1</v>
      </c>
      <c r="T4509" s="5"/>
      <c r="W4509">
        <v>267</v>
      </c>
      <c r="X4509" t="s">
        <v>6211</v>
      </c>
      <c r="Y4509" t="str">
        <f>VLOOKUP(C4509,'[1]DBS_KPY Sorumlular'!A:C,2,FALSE)</f>
        <v>Seyithan İŞİK</v>
      </c>
      <c r="Z4509" t="str">
        <f>VLOOKUP(C4509,'[1]DBS_KPY Sorumlular'!A:C,3,FALSE)</f>
        <v>Korhan KÖROĞLU</v>
      </c>
      <c r="AA4509" t="str">
        <f>VLOOKUP(K4509,[1]!Tablo3[#Data],2,FALSE)</f>
        <v>Tayfun VİÇE</v>
      </c>
    </row>
    <row r="4510" spans="1:27" x14ac:dyDescent="0.25">
      <c r="A4510">
        <v>5915</v>
      </c>
      <c r="B4510" t="s">
        <v>27</v>
      </c>
      <c r="C4510" t="s">
        <v>652</v>
      </c>
      <c r="D4510" t="s">
        <v>11852</v>
      </c>
      <c r="G4510" t="s">
        <v>30</v>
      </c>
      <c r="H4510" t="s">
        <v>12041</v>
      </c>
      <c r="I4510" s="4"/>
      <c r="K4510" t="s">
        <v>586</v>
      </c>
      <c r="L4510" s="5"/>
      <c r="M4510" s="5"/>
      <c r="N4510" t="s">
        <v>82</v>
      </c>
      <c r="O4510" t="s">
        <v>12042</v>
      </c>
      <c r="R4510">
        <v>1</v>
      </c>
      <c r="T4510" s="5"/>
      <c r="W4510">
        <v>267</v>
      </c>
      <c r="X4510" t="s">
        <v>6211</v>
      </c>
      <c r="Y4510" t="str">
        <f>VLOOKUP(C4510,'[1]DBS_KPY Sorumlular'!A:C,2,FALSE)</f>
        <v>Seyithan İŞİK</v>
      </c>
      <c r="Z4510" t="str">
        <f>VLOOKUP(C4510,'[1]DBS_KPY Sorumlular'!A:C,3,FALSE)</f>
        <v>Korhan KÖROĞLU</v>
      </c>
      <c r="AA4510" t="str">
        <f>VLOOKUP(K4510,[1]!Tablo3[#Data],2,FALSE)</f>
        <v>Tayfun VİÇE</v>
      </c>
    </row>
    <row r="4511" spans="1:27" x14ac:dyDescent="0.25">
      <c r="A4511">
        <v>5916</v>
      </c>
      <c r="B4511" t="s">
        <v>27</v>
      </c>
      <c r="C4511" t="s">
        <v>652</v>
      </c>
      <c r="D4511" t="s">
        <v>11852</v>
      </c>
      <c r="G4511" t="s">
        <v>30</v>
      </c>
      <c r="H4511" t="s">
        <v>12043</v>
      </c>
      <c r="I4511" s="4"/>
      <c r="K4511" t="s">
        <v>586</v>
      </c>
      <c r="L4511" s="5"/>
      <c r="M4511" s="5"/>
      <c r="N4511" t="s">
        <v>82</v>
      </c>
      <c r="O4511" t="s">
        <v>12044</v>
      </c>
      <c r="R4511">
        <v>1</v>
      </c>
      <c r="T4511" s="5"/>
      <c r="W4511">
        <v>267</v>
      </c>
      <c r="X4511" t="s">
        <v>6211</v>
      </c>
      <c r="Y4511" t="str">
        <f>VLOOKUP(C4511,'[1]DBS_KPY Sorumlular'!A:C,2,FALSE)</f>
        <v>Seyithan İŞİK</v>
      </c>
      <c r="Z4511" t="str">
        <f>VLOOKUP(C4511,'[1]DBS_KPY Sorumlular'!A:C,3,FALSE)</f>
        <v>Korhan KÖROĞLU</v>
      </c>
      <c r="AA4511" t="str">
        <f>VLOOKUP(K4511,[1]!Tablo3[#Data],2,FALSE)</f>
        <v>Tayfun VİÇE</v>
      </c>
    </row>
    <row r="4512" spans="1:27" x14ac:dyDescent="0.25">
      <c r="A4512">
        <v>5917</v>
      </c>
      <c r="B4512" t="s">
        <v>27</v>
      </c>
      <c r="C4512" t="s">
        <v>402</v>
      </c>
      <c r="D4512" t="s">
        <v>403</v>
      </c>
      <c r="F4512" t="s">
        <v>383</v>
      </c>
      <c r="G4512" t="s">
        <v>384</v>
      </c>
      <c r="H4512" t="s">
        <v>12045</v>
      </c>
      <c r="I4512" s="4"/>
      <c r="K4512" t="s">
        <v>914</v>
      </c>
      <c r="L4512" s="5"/>
      <c r="M4512" s="5"/>
      <c r="N4512" t="s">
        <v>82</v>
      </c>
      <c r="O4512" t="s">
        <v>12046</v>
      </c>
      <c r="R4512">
        <v>1</v>
      </c>
      <c r="T4512" s="5" t="s">
        <v>100</v>
      </c>
      <c r="W4512">
        <v>131</v>
      </c>
      <c r="X4512" t="s">
        <v>61</v>
      </c>
      <c r="Y4512" t="str">
        <f>VLOOKUP(C4512,'[1]DBS_KPY Sorumlular'!A:C,2,FALSE)</f>
        <v>Tayfun VİÇE</v>
      </c>
      <c r="Z4512" t="str">
        <f>VLOOKUP(C4512,'[1]DBS_KPY Sorumlular'!A:C,3,FALSE)</f>
        <v>Mehmet Ali YAVUZ</v>
      </c>
      <c r="AA4512" t="str">
        <f>VLOOKUP(K4512,[1]!Tablo3[#Data],2,FALSE)</f>
        <v>Tayfun VİÇE</v>
      </c>
    </row>
    <row r="4513" spans="1:27" x14ac:dyDescent="0.25">
      <c r="A4513">
        <v>5918</v>
      </c>
      <c r="B4513" t="s">
        <v>27</v>
      </c>
      <c r="C4513" t="s">
        <v>652</v>
      </c>
      <c r="D4513" t="s">
        <v>11852</v>
      </c>
      <c r="G4513" t="s">
        <v>30</v>
      </c>
      <c r="H4513" t="s">
        <v>12047</v>
      </c>
      <c r="I4513" s="4"/>
      <c r="K4513" t="s">
        <v>636</v>
      </c>
      <c r="L4513" s="5"/>
      <c r="M4513" s="5"/>
      <c r="N4513" t="s">
        <v>82</v>
      </c>
      <c r="O4513" t="s">
        <v>12048</v>
      </c>
      <c r="R4513">
        <v>1</v>
      </c>
      <c r="T4513" s="5"/>
      <c r="W4513">
        <v>267</v>
      </c>
      <c r="X4513" t="s">
        <v>6211</v>
      </c>
      <c r="Y4513" t="str">
        <f>VLOOKUP(C4513,'[1]DBS_KPY Sorumlular'!A:C,2,FALSE)</f>
        <v>Seyithan İŞİK</v>
      </c>
      <c r="Z4513" t="str">
        <f>VLOOKUP(C4513,'[1]DBS_KPY Sorumlular'!A:C,3,FALSE)</f>
        <v>Korhan KÖROĞLU</v>
      </c>
      <c r="AA4513" t="str">
        <f>VLOOKUP(K4513,[1]!Tablo3[#Data],2,FALSE)</f>
        <v>Erkan AKDOĞAN</v>
      </c>
    </row>
    <row r="4514" spans="1:27" x14ac:dyDescent="0.25">
      <c r="A4514">
        <v>5919</v>
      </c>
      <c r="B4514" t="s">
        <v>27</v>
      </c>
      <c r="C4514" t="s">
        <v>402</v>
      </c>
      <c r="D4514" t="s">
        <v>403</v>
      </c>
      <c r="F4514" t="s">
        <v>383</v>
      </c>
      <c r="G4514" t="s">
        <v>384</v>
      </c>
      <c r="H4514" t="s">
        <v>12049</v>
      </c>
      <c r="I4514" s="4"/>
      <c r="K4514" t="s">
        <v>1002</v>
      </c>
      <c r="L4514" s="5"/>
      <c r="M4514" s="5"/>
      <c r="N4514" t="s">
        <v>82</v>
      </c>
      <c r="O4514" t="s">
        <v>12050</v>
      </c>
      <c r="R4514">
        <v>1</v>
      </c>
      <c r="T4514" s="5" t="s">
        <v>100</v>
      </c>
      <c r="W4514">
        <v>51</v>
      </c>
      <c r="X4514" t="s">
        <v>809</v>
      </c>
      <c r="Y4514" t="str">
        <f>VLOOKUP(C4514,'[1]DBS_KPY Sorumlular'!A:C,2,FALSE)</f>
        <v>Tayfun VİÇE</v>
      </c>
      <c r="Z4514" t="str">
        <f>VLOOKUP(C4514,'[1]DBS_KPY Sorumlular'!A:C,3,FALSE)</f>
        <v>Mehmet Ali YAVUZ</v>
      </c>
      <c r="AA4514" t="str">
        <f>VLOOKUP(K4514,[1]!Tablo3[#Data],2,FALSE)</f>
        <v>Kadir TOPÇU</v>
      </c>
    </row>
    <row r="4515" spans="1:27" x14ac:dyDescent="0.25">
      <c r="A4515">
        <v>5920</v>
      </c>
      <c r="B4515" t="s">
        <v>27</v>
      </c>
      <c r="C4515" t="s">
        <v>652</v>
      </c>
      <c r="D4515" t="s">
        <v>11852</v>
      </c>
      <c r="G4515" t="s">
        <v>30</v>
      </c>
      <c r="H4515" t="s">
        <v>12051</v>
      </c>
      <c r="I4515" s="4"/>
      <c r="K4515" t="s">
        <v>678</v>
      </c>
      <c r="L4515" s="5"/>
      <c r="M4515" s="5"/>
      <c r="N4515" t="s">
        <v>82</v>
      </c>
      <c r="O4515" t="s">
        <v>12052</v>
      </c>
      <c r="R4515">
        <v>1</v>
      </c>
      <c r="T4515" s="5"/>
      <c r="W4515">
        <v>267</v>
      </c>
      <c r="X4515" t="s">
        <v>6211</v>
      </c>
      <c r="Y4515" t="str">
        <f>VLOOKUP(C4515,'[1]DBS_KPY Sorumlular'!A:C,2,FALSE)</f>
        <v>Seyithan İŞİK</v>
      </c>
      <c r="Z4515" t="str">
        <f>VLOOKUP(C4515,'[1]DBS_KPY Sorumlular'!A:C,3,FALSE)</f>
        <v>Korhan KÖROĞLU</v>
      </c>
      <c r="AA4515" t="str">
        <f>VLOOKUP(K4515,[1]!Tablo3[#Data],2,FALSE)</f>
        <v>Kadir TOPÇU</v>
      </c>
    </row>
    <row r="4516" spans="1:27" x14ac:dyDescent="0.25">
      <c r="A4516">
        <v>5921</v>
      </c>
      <c r="B4516" t="s">
        <v>1419</v>
      </c>
      <c r="C4516" t="s">
        <v>402</v>
      </c>
      <c r="D4516" t="s">
        <v>403</v>
      </c>
      <c r="F4516" t="s">
        <v>383</v>
      </c>
      <c r="G4516" t="s">
        <v>384</v>
      </c>
      <c r="H4516" t="s">
        <v>12053</v>
      </c>
      <c r="I4516" s="4"/>
      <c r="K4516" t="s">
        <v>364</v>
      </c>
      <c r="L4516" s="5"/>
      <c r="M4516" s="5"/>
      <c r="N4516" t="s">
        <v>35</v>
      </c>
      <c r="O4516" t="s">
        <v>12054</v>
      </c>
      <c r="T4516" s="5" t="s">
        <v>100</v>
      </c>
      <c r="W4516">
        <v>32</v>
      </c>
      <c r="X4516" t="s">
        <v>4412</v>
      </c>
      <c r="Y4516" t="str">
        <f>VLOOKUP(C4516,'[1]DBS_KPY Sorumlular'!A:C,2,FALSE)</f>
        <v>Tayfun VİÇE</v>
      </c>
      <c r="Z4516" t="str">
        <f>VLOOKUP(C4516,'[1]DBS_KPY Sorumlular'!A:C,3,FALSE)</f>
        <v>Mehmet Ali YAVUZ</v>
      </c>
      <c r="AA4516" t="str">
        <f>VLOOKUP(K4516,[1]!Tablo3[#Data],2,FALSE)</f>
        <v>Kadir TOPÇU</v>
      </c>
    </row>
    <row r="4517" spans="1:27" x14ac:dyDescent="0.25">
      <c r="A4517">
        <v>5922</v>
      </c>
      <c r="B4517" t="s">
        <v>1419</v>
      </c>
      <c r="C4517" t="s">
        <v>402</v>
      </c>
      <c r="D4517" t="s">
        <v>403</v>
      </c>
      <c r="F4517" t="s">
        <v>383</v>
      </c>
      <c r="G4517" t="s">
        <v>384</v>
      </c>
      <c r="H4517" t="s">
        <v>12055</v>
      </c>
      <c r="I4517" s="4"/>
      <c r="K4517" t="s">
        <v>226</v>
      </c>
      <c r="L4517" s="5"/>
      <c r="M4517" s="5"/>
      <c r="N4517" t="s">
        <v>35</v>
      </c>
      <c r="O4517" t="s">
        <v>12056</v>
      </c>
      <c r="T4517" s="5" t="s">
        <v>100</v>
      </c>
      <c r="W4517">
        <v>217</v>
      </c>
      <c r="X4517" t="s">
        <v>5454</v>
      </c>
      <c r="Y4517" t="str">
        <f>VLOOKUP(C4517,'[1]DBS_KPY Sorumlular'!A:C,2,FALSE)</f>
        <v>Tayfun VİÇE</v>
      </c>
      <c r="Z4517" t="str">
        <f>VLOOKUP(C4517,'[1]DBS_KPY Sorumlular'!A:C,3,FALSE)</f>
        <v>Mehmet Ali YAVUZ</v>
      </c>
      <c r="AA4517" t="str">
        <f>VLOOKUP(K4517,[1]!Tablo3[#Data],2,FALSE)</f>
        <v>Kadir TOPÇU</v>
      </c>
    </row>
    <row r="4518" spans="1:27" x14ac:dyDescent="0.25">
      <c r="A4518">
        <v>5923</v>
      </c>
      <c r="B4518" t="s">
        <v>27</v>
      </c>
      <c r="C4518" t="s">
        <v>652</v>
      </c>
      <c r="D4518" t="s">
        <v>11852</v>
      </c>
      <c r="G4518" t="s">
        <v>30</v>
      </c>
      <c r="H4518" t="s">
        <v>12057</v>
      </c>
      <c r="I4518" s="4"/>
      <c r="K4518" t="s">
        <v>678</v>
      </c>
      <c r="L4518" s="5"/>
      <c r="M4518" s="5"/>
      <c r="N4518" t="s">
        <v>82</v>
      </c>
      <c r="O4518" t="s">
        <v>12058</v>
      </c>
      <c r="R4518">
        <v>1</v>
      </c>
      <c r="T4518" s="5"/>
      <c r="W4518">
        <v>267</v>
      </c>
      <c r="X4518" t="s">
        <v>6211</v>
      </c>
      <c r="Y4518" t="str">
        <f>VLOOKUP(C4518,'[1]DBS_KPY Sorumlular'!A:C,2,FALSE)</f>
        <v>Seyithan İŞİK</v>
      </c>
      <c r="Z4518" t="str">
        <f>VLOOKUP(C4518,'[1]DBS_KPY Sorumlular'!A:C,3,FALSE)</f>
        <v>Korhan KÖROĞLU</v>
      </c>
      <c r="AA4518" t="str">
        <f>VLOOKUP(K4518,[1]!Tablo3[#Data],2,FALSE)</f>
        <v>Kadir TOPÇU</v>
      </c>
    </row>
    <row r="4519" spans="1:27" x14ac:dyDescent="0.25">
      <c r="A4519">
        <v>5924</v>
      </c>
      <c r="B4519" t="s">
        <v>1419</v>
      </c>
      <c r="C4519" t="s">
        <v>402</v>
      </c>
      <c r="D4519" t="s">
        <v>403</v>
      </c>
      <c r="E4519" t="s">
        <v>12059</v>
      </c>
      <c r="F4519" t="s">
        <v>383</v>
      </c>
      <c r="G4519" t="s">
        <v>384</v>
      </c>
      <c r="H4519" t="s">
        <v>12060</v>
      </c>
      <c r="I4519" s="4"/>
      <c r="K4519" t="s">
        <v>678</v>
      </c>
      <c r="L4519" s="5"/>
      <c r="M4519" s="5"/>
      <c r="N4519" t="s">
        <v>35</v>
      </c>
      <c r="O4519" t="s">
        <v>12061</v>
      </c>
      <c r="T4519" s="5" t="s">
        <v>100</v>
      </c>
      <c r="W4519">
        <v>29</v>
      </c>
      <c r="X4519" t="s">
        <v>7107</v>
      </c>
      <c r="Y4519" t="str">
        <f>VLOOKUP(C4519,'[1]DBS_KPY Sorumlular'!A:C,2,FALSE)</f>
        <v>Tayfun VİÇE</v>
      </c>
      <c r="Z4519" t="str">
        <f>VLOOKUP(C4519,'[1]DBS_KPY Sorumlular'!A:C,3,FALSE)</f>
        <v>Mehmet Ali YAVUZ</v>
      </c>
      <c r="AA4519" t="str">
        <f>VLOOKUP(K4519,[1]!Tablo3[#Data],2,FALSE)</f>
        <v>Kadir TOPÇU</v>
      </c>
    </row>
    <row r="4520" spans="1:27" x14ac:dyDescent="0.25">
      <c r="A4520">
        <v>5925</v>
      </c>
      <c r="B4520" t="s">
        <v>1419</v>
      </c>
      <c r="C4520" t="s">
        <v>402</v>
      </c>
      <c r="D4520" t="s">
        <v>403</v>
      </c>
      <c r="F4520" t="s">
        <v>383</v>
      </c>
      <c r="G4520" t="s">
        <v>384</v>
      </c>
      <c r="H4520" t="s">
        <v>12062</v>
      </c>
      <c r="I4520" s="4">
        <v>45897.875</v>
      </c>
      <c r="J4520" t="s">
        <v>12063</v>
      </c>
      <c r="K4520" t="s">
        <v>743</v>
      </c>
      <c r="L4520" s="5"/>
      <c r="M4520" s="5"/>
      <c r="N4520" t="s">
        <v>46</v>
      </c>
      <c r="O4520" t="s">
        <v>12064</v>
      </c>
      <c r="T4520" s="5" t="s">
        <v>100</v>
      </c>
      <c r="W4520">
        <v>219</v>
      </c>
      <c r="X4520" t="s">
        <v>7082</v>
      </c>
      <c r="Y4520" t="str">
        <f>VLOOKUP(C4520,'[1]DBS_KPY Sorumlular'!A:C,2,FALSE)</f>
        <v>Tayfun VİÇE</v>
      </c>
      <c r="Z4520" t="str">
        <f>VLOOKUP(C4520,'[1]DBS_KPY Sorumlular'!A:C,3,FALSE)</f>
        <v>Mehmet Ali YAVUZ</v>
      </c>
      <c r="AA4520" t="str">
        <f>VLOOKUP(K4520,[1]!Tablo3[#Data],2,FALSE)</f>
        <v>Kadir TOPÇU</v>
      </c>
    </row>
    <row r="4521" spans="1:27" x14ac:dyDescent="0.25">
      <c r="A4521">
        <v>5926</v>
      </c>
      <c r="B4521" t="s">
        <v>1419</v>
      </c>
      <c r="C4521" t="s">
        <v>402</v>
      </c>
      <c r="D4521" t="s">
        <v>403</v>
      </c>
      <c r="F4521" t="s">
        <v>383</v>
      </c>
      <c r="G4521" t="s">
        <v>384</v>
      </c>
      <c r="H4521" t="s">
        <v>12065</v>
      </c>
      <c r="I4521" s="4"/>
      <c r="K4521" t="s">
        <v>743</v>
      </c>
      <c r="L4521" s="5"/>
      <c r="M4521" s="5"/>
      <c r="N4521" t="s">
        <v>35</v>
      </c>
      <c r="O4521" t="s">
        <v>12066</v>
      </c>
      <c r="T4521" s="5" t="s">
        <v>100</v>
      </c>
      <c r="W4521">
        <v>153</v>
      </c>
      <c r="X4521" t="s">
        <v>9117</v>
      </c>
      <c r="Y4521" t="str">
        <f>VLOOKUP(C4521,'[1]DBS_KPY Sorumlular'!A:C,2,FALSE)</f>
        <v>Tayfun VİÇE</v>
      </c>
      <c r="Z4521" t="str">
        <f>VLOOKUP(C4521,'[1]DBS_KPY Sorumlular'!A:C,3,FALSE)</f>
        <v>Mehmet Ali YAVUZ</v>
      </c>
      <c r="AA4521" t="str">
        <f>VLOOKUP(K4521,[1]!Tablo3[#Data],2,FALSE)</f>
        <v>Kadir TOPÇU</v>
      </c>
    </row>
    <row r="4522" spans="1:27" x14ac:dyDescent="0.25">
      <c r="A4522">
        <v>5927</v>
      </c>
      <c r="B4522" t="s">
        <v>1419</v>
      </c>
      <c r="C4522" t="s">
        <v>402</v>
      </c>
      <c r="D4522" t="s">
        <v>403</v>
      </c>
      <c r="F4522" t="s">
        <v>383</v>
      </c>
      <c r="G4522" t="s">
        <v>384</v>
      </c>
      <c r="H4522" t="s">
        <v>12067</v>
      </c>
      <c r="I4522" s="4"/>
      <c r="K4522" t="s">
        <v>898</v>
      </c>
      <c r="L4522" s="5"/>
      <c r="M4522" s="5"/>
      <c r="N4522" t="s">
        <v>35</v>
      </c>
      <c r="O4522" t="s">
        <v>12068</v>
      </c>
      <c r="T4522" s="5" t="s">
        <v>100</v>
      </c>
      <c r="W4522">
        <v>223</v>
      </c>
      <c r="X4522" t="s">
        <v>524</v>
      </c>
      <c r="Y4522" t="str">
        <f>VLOOKUP(C4522,'[1]DBS_KPY Sorumlular'!A:C,2,FALSE)</f>
        <v>Tayfun VİÇE</v>
      </c>
      <c r="Z4522" t="str">
        <f>VLOOKUP(C4522,'[1]DBS_KPY Sorumlular'!A:C,3,FALSE)</f>
        <v>Mehmet Ali YAVUZ</v>
      </c>
      <c r="AA4522" t="str">
        <f>VLOOKUP(K4522,[1]!Tablo3[#Data],2,FALSE)</f>
        <v>Erkan AKDOĞAN</v>
      </c>
    </row>
    <row r="4523" spans="1:27" x14ac:dyDescent="0.25">
      <c r="A4523">
        <v>5928</v>
      </c>
      <c r="B4523" t="s">
        <v>1419</v>
      </c>
      <c r="C4523" t="s">
        <v>402</v>
      </c>
      <c r="D4523" t="s">
        <v>403</v>
      </c>
      <c r="F4523" t="s">
        <v>383</v>
      </c>
      <c r="G4523" t="s">
        <v>384</v>
      </c>
      <c r="H4523" t="s">
        <v>12069</v>
      </c>
      <c r="I4523" s="4"/>
      <c r="K4523" t="s">
        <v>898</v>
      </c>
      <c r="L4523" s="5"/>
      <c r="M4523" s="5"/>
      <c r="N4523" t="s">
        <v>35</v>
      </c>
      <c r="O4523" t="s">
        <v>12068</v>
      </c>
      <c r="T4523" s="5" t="s">
        <v>100</v>
      </c>
      <c r="W4523">
        <v>223</v>
      </c>
      <c r="X4523" t="s">
        <v>524</v>
      </c>
      <c r="Y4523" t="str">
        <f>VLOOKUP(C4523,'[1]DBS_KPY Sorumlular'!A:C,2,FALSE)</f>
        <v>Tayfun VİÇE</v>
      </c>
      <c r="Z4523" t="str">
        <f>VLOOKUP(C4523,'[1]DBS_KPY Sorumlular'!A:C,3,FALSE)</f>
        <v>Mehmet Ali YAVUZ</v>
      </c>
      <c r="AA4523" t="str">
        <f>VLOOKUP(K4523,[1]!Tablo3[#Data],2,FALSE)</f>
        <v>Erkan AKDOĞAN</v>
      </c>
    </row>
    <row r="4524" spans="1:27" x14ac:dyDescent="0.25">
      <c r="A4524">
        <v>5929</v>
      </c>
      <c r="B4524" t="s">
        <v>1419</v>
      </c>
      <c r="C4524" t="s">
        <v>402</v>
      </c>
      <c r="D4524" t="s">
        <v>403</v>
      </c>
      <c r="F4524" t="s">
        <v>383</v>
      </c>
      <c r="G4524" t="s">
        <v>384</v>
      </c>
      <c r="H4524" t="s">
        <v>12070</v>
      </c>
      <c r="I4524" s="4"/>
      <c r="K4524" t="s">
        <v>898</v>
      </c>
      <c r="L4524" s="5"/>
      <c r="M4524" s="5"/>
      <c r="N4524" t="s">
        <v>35</v>
      </c>
      <c r="O4524" t="s">
        <v>12068</v>
      </c>
      <c r="T4524" s="5" t="s">
        <v>100</v>
      </c>
      <c r="W4524">
        <v>224</v>
      </c>
      <c r="X4524" t="s">
        <v>6599</v>
      </c>
      <c r="Y4524" t="str">
        <f>VLOOKUP(C4524,'[1]DBS_KPY Sorumlular'!A:C,2,FALSE)</f>
        <v>Tayfun VİÇE</v>
      </c>
      <c r="Z4524" t="str">
        <f>VLOOKUP(C4524,'[1]DBS_KPY Sorumlular'!A:C,3,FALSE)</f>
        <v>Mehmet Ali YAVUZ</v>
      </c>
      <c r="AA4524" t="str">
        <f>VLOOKUP(K4524,[1]!Tablo3[#Data],2,FALSE)</f>
        <v>Erkan AKDOĞAN</v>
      </c>
    </row>
    <row r="4525" spans="1:27" x14ac:dyDescent="0.25">
      <c r="A4525">
        <v>5930</v>
      </c>
      <c r="B4525" t="s">
        <v>1419</v>
      </c>
      <c r="C4525" t="s">
        <v>402</v>
      </c>
      <c r="D4525" t="s">
        <v>403</v>
      </c>
      <c r="F4525" t="s">
        <v>383</v>
      </c>
      <c r="G4525" t="s">
        <v>384</v>
      </c>
      <c r="H4525" t="s">
        <v>12071</v>
      </c>
      <c r="I4525" s="4"/>
      <c r="K4525" t="s">
        <v>1528</v>
      </c>
      <c r="L4525" s="5"/>
      <c r="M4525" s="5"/>
      <c r="N4525" t="s">
        <v>35</v>
      </c>
      <c r="O4525" t="s">
        <v>12072</v>
      </c>
      <c r="T4525" s="5" t="s">
        <v>100</v>
      </c>
      <c r="W4525">
        <v>223</v>
      </c>
      <c r="X4525" t="s">
        <v>524</v>
      </c>
      <c r="Y4525" t="str">
        <f>VLOOKUP(C4525,'[1]DBS_KPY Sorumlular'!A:C,2,FALSE)</f>
        <v>Tayfun VİÇE</v>
      </c>
      <c r="Z4525" t="str">
        <f>VLOOKUP(C4525,'[1]DBS_KPY Sorumlular'!A:C,3,FALSE)</f>
        <v>Mehmet Ali YAVUZ</v>
      </c>
      <c r="AA4525" t="str">
        <f>VLOOKUP(K4525,[1]!Tablo3[#Data],2,FALSE)</f>
        <v>Tayfun VİÇE</v>
      </c>
    </row>
    <row r="4526" spans="1:27" x14ac:dyDescent="0.25">
      <c r="A4526">
        <v>5931</v>
      </c>
      <c r="B4526" t="s">
        <v>27</v>
      </c>
      <c r="C4526" t="s">
        <v>402</v>
      </c>
      <c r="D4526" t="s">
        <v>403</v>
      </c>
      <c r="F4526" t="s">
        <v>383</v>
      </c>
      <c r="G4526" t="s">
        <v>384</v>
      </c>
      <c r="H4526" t="s">
        <v>12073</v>
      </c>
      <c r="I4526" s="4">
        <v>45837.875</v>
      </c>
      <c r="K4526" t="s">
        <v>1528</v>
      </c>
      <c r="L4526" s="5"/>
      <c r="M4526" s="5"/>
      <c r="N4526" t="s">
        <v>82</v>
      </c>
      <c r="O4526" t="s">
        <v>12074</v>
      </c>
      <c r="R4526">
        <v>1</v>
      </c>
      <c r="T4526" s="5" t="s">
        <v>100</v>
      </c>
      <c r="W4526">
        <v>178</v>
      </c>
      <c r="X4526" t="s">
        <v>9082</v>
      </c>
      <c r="Y4526" t="str">
        <f>VLOOKUP(C4526,'[1]DBS_KPY Sorumlular'!A:C,2,FALSE)</f>
        <v>Tayfun VİÇE</v>
      </c>
      <c r="Z4526" t="str">
        <f>VLOOKUP(C4526,'[1]DBS_KPY Sorumlular'!A:C,3,FALSE)</f>
        <v>Mehmet Ali YAVUZ</v>
      </c>
      <c r="AA4526" t="str">
        <f>VLOOKUP(K4526,[1]!Tablo3[#Data],2,FALSE)</f>
        <v>Tayfun VİÇE</v>
      </c>
    </row>
    <row r="4527" spans="1:27" x14ac:dyDescent="0.25">
      <c r="A4527">
        <v>5932</v>
      </c>
      <c r="B4527" t="s">
        <v>27</v>
      </c>
      <c r="C4527" t="s">
        <v>402</v>
      </c>
      <c r="D4527" t="s">
        <v>403</v>
      </c>
      <c r="F4527" t="s">
        <v>383</v>
      </c>
      <c r="G4527" t="s">
        <v>384</v>
      </c>
      <c r="H4527" t="s">
        <v>12075</v>
      </c>
      <c r="I4527" s="4"/>
      <c r="K4527" t="s">
        <v>33</v>
      </c>
      <c r="L4527" s="5"/>
      <c r="M4527" s="5"/>
      <c r="N4527" t="s">
        <v>82</v>
      </c>
      <c r="O4527" t="s">
        <v>12076</v>
      </c>
      <c r="R4527">
        <v>1</v>
      </c>
      <c r="T4527" s="5" t="s">
        <v>100</v>
      </c>
      <c r="W4527">
        <v>131</v>
      </c>
      <c r="X4527" t="s">
        <v>61</v>
      </c>
      <c r="Y4527" t="str">
        <f>VLOOKUP(C4527,'[1]DBS_KPY Sorumlular'!A:C,2,FALSE)</f>
        <v>Tayfun VİÇE</v>
      </c>
      <c r="Z4527" t="str">
        <f>VLOOKUP(C4527,'[1]DBS_KPY Sorumlular'!A:C,3,FALSE)</f>
        <v>Mehmet Ali YAVUZ</v>
      </c>
      <c r="AA4527" t="str">
        <f>VLOOKUP(K4527,[1]!Tablo3[#Data],2,FALSE)</f>
        <v>Tayfun VİÇE</v>
      </c>
    </row>
    <row r="4528" spans="1:27" x14ac:dyDescent="0.25">
      <c r="A4528">
        <v>5933</v>
      </c>
      <c r="B4528" t="s">
        <v>27</v>
      </c>
      <c r="C4528" t="s">
        <v>402</v>
      </c>
      <c r="D4528" t="s">
        <v>403</v>
      </c>
      <c r="F4528" t="s">
        <v>383</v>
      </c>
      <c r="G4528" t="s">
        <v>384</v>
      </c>
      <c r="H4528" t="s">
        <v>12077</v>
      </c>
      <c r="I4528" s="4"/>
      <c r="K4528" t="s">
        <v>364</v>
      </c>
      <c r="L4528" s="5"/>
      <c r="M4528" s="5"/>
      <c r="N4528" t="s">
        <v>82</v>
      </c>
      <c r="O4528" t="s">
        <v>12078</v>
      </c>
      <c r="R4528">
        <v>1</v>
      </c>
      <c r="T4528" s="5" t="s">
        <v>100</v>
      </c>
      <c r="W4528">
        <v>156</v>
      </c>
      <c r="X4528" t="s">
        <v>815</v>
      </c>
      <c r="Y4528" t="str">
        <f>VLOOKUP(C4528,'[1]DBS_KPY Sorumlular'!A:C,2,FALSE)</f>
        <v>Tayfun VİÇE</v>
      </c>
      <c r="Z4528" t="str">
        <f>VLOOKUP(C4528,'[1]DBS_KPY Sorumlular'!A:C,3,FALSE)</f>
        <v>Mehmet Ali YAVUZ</v>
      </c>
      <c r="AA4528" t="str">
        <f>VLOOKUP(K4528,[1]!Tablo3[#Data],2,FALSE)</f>
        <v>Kadir TOPÇU</v>
      </c>
    </row>
    <row r="4529" spans="1:27" x14ac:dyDescent="0.25">
      <c r="A4529">
        <v>5934</v>
      </c>
      <c r="B4529" t="s">
        <v>27</v>
      </c>
      <c r="C4529" t="s">
        <v>402</v>
      </c>
      <c r="D4529" t="s">
        <v>403</v>
      </c>
      <c r="F4529" t="s">
        <v>383</v>
      </c>
      <c r="G4529" t="s">
        <v>384</v>
      </c>
      <c r="H4529" t="s">
        <v>12079</v>
      </c>
      <c r="I4529" s="4"/>
      <c r="K4529" t="s">
        <v>226</v>
      </c>
      <c r="L4529" s="5"/>
      <c r="M4529" s="5"/>
      <c r="N4529" t="s">
        <v>82</v>
      </c>
      <c r="O4529" t="s">
        <v>12080</v>
      </c>
      <c r="R4529">
        <v>1</v>
      </c>
      <c r="T4529" s="5" t="s">
        <v>100</v>
      </c>
      <c r="W4529">
        <v>241</v>
      </c>
      <c r="X4529" t="s">
        <v>3500</v>
      </c>
      <c r="Y4529" t="str">
        <f>VLOOKUP(C4529,'[1]DBS_KPY Sorumlular'!A:C,2,FALSE)</f>
        <v>Tayfun VİÇE</v>
      </c>
      <c r="Z4529" t="str">
        <f>VLOOKUP(C4529,'[1]DBS_KPY Sorumlular'!A:C,3,FALSE)</f>
        <v>Mehmet Ali YAVUZ</v>
      </c>
      <c r="AA4529" t="str">
        <f>VLOOKUP(K4529,[1]!Tablo3[#Data],2,FALSE)</f>
        <v>Kadir TOPÇU</v>
      </c>
    </row>
    <row r="4530" spans="1:27" x14ac:dyDescent="0.25">
      <c r="A4530">
        <v>5935</v>
      </c>
      <c r="B4530" t="s">
        <v>27</v>
      </c>
      <c r="C4530" t="s">
        <v>402</v>
      </c>
      <c r="D4530" t="s">
        <v>403</v>
      </c>
      <c r="F4530" t="s">
        <v>383</v>
      </c>
      <c r="G4530" t="s">
        <v>384</v>
      </c>
      <c r="H4530" t="s">
        <v>12081</v>
      </c>
      <c r="I4530" s="4"/>
      <c r="K4530" t="s">
        <v>678</v>
      </c>
      <c r="L4530" s="5"/>
      <c r="M4530" s="5"/>
      <c r="N4530" t="s">
        <v>82</v>
      </c>
      <c r="O4530" t="s">
        <v>12082</v>
      </c>
      <c r="R4530">
        <v>1</v>
      </c>
      <c r="T4530" s="5" t="s">
        <v>100</v>
      </c>
      <c r="W4530">
        <v>252</v>
      </c>
      <c r="X4530" t="s">
        <v>10800</v>
      </c>
      <c r="Y4530" t="str">
        <f>VLOOKUP(C4530,'[1]DBS_KPY Sorumlular'!A:C,2,FALSE)</f>
        <v>Tayfun VİÇE</v>
      </c>
      <c r="Z4530" t="str">
        <f>VLOOKUP(C4530,'[1]DBS_KPY Sorumlular'!A:C,3,FALSE)</f>
        <v>Mehmet Ali YAVUZ</v>
      </c>
      <c r="AA4530" t="str">
        <f>VLOOKUP(K4530,[1]!Tablo3[#Data],2,FALSE)</f>
        <v>Kadir TOPÇU</v>
      </c>
    </row>
    <row r="4531" spans="1:27" x14ac:dyDescent="0.25">
      <c r="A4531">
        <v>5936</v>
      </c>
      <c r="B4531" t="s">
        <v>27</v>
      </c>
      <c r="C4531" t="s">
        <v>402</v>
      </c>
      <c r="D4531" t="s">
        <v>403</v>
      </c>
      <c r="F4531" t="s">
        <v>383</v>
      </c>
      <c r="G4531" t="s">
        <v>384</v>
      </c>
      <c r="H4531" t="s">
        <v>12083</v>
      </c>
      <c r="I4531" s="4"/>
      <c r="K4531" t="s">
        <v>743</v>
      </c>
      <c r="L4531" s="5"/>
      <c r="M4531" s="5"/>
      <c r="N4531" t="s">
        <v>82</v>
      </c>
      <c r="O4531" t="s">
        <v>12084</v>
      </c>
      <c r="R4531">
        <v>1</v>
      </c>
      <c r="T4531" s="5" t="s">
        <v>100</v>
      </c>
      <c r="W4531">
        <v>177</v>
      </c>
      <c r="X4531" t="s">
        <v>2818</v>
      </c>
      <c r="Y4531" t="str">
        <f>VLOOKUP(C4531,'[1]DBS_KPY Sorumlular'!A:C,2,FALSE)</f>
        <v>Tayfun VİÇE</v>
      </c>
      <c r="Z4531" t="str">
        <f>VLOOKUP(C4531,'[1]DBS_KPY Sorumlular'!A:C,3,FALSE)</f>
        <v>Mehmet Ali YAVUZ</v>
      </c>
      <c r="AA4531" t="str">
        <f>VLOOKUP(K4531,[1]!Tablo3[#Data],2,FALSE)</f>
        <v>Kadir TOPÇU</v>
      </c>
    </row>
    <row r="4532" spans="1:27" x14ac:dyDescent="0.25">
      <c r="A4532">
        <v>5937</v>
      </c>
      <c r="B4532" t="s">
        <v>27</v>
      </c>
      <c r="C4532" t="s">
        <v>402</v>
      </c>
      <c r="D4532" t="s">
        <v>403</v>
      </c>
      <c r="F4532" t="s">
        <v>383</v>
      </c>
      <c r="G4532" t="s">
        <v>384</v>
      </c>
      <c r="H4532" t="s">
        <v>12085</v>
      </c>
      <c r="I4532" s="4"/>
      <c r="K4532" t="s">
        <v>1157</v>
      </c>
      <c r="L4532" s="5"/>
      <c r="M4532" s="5"/>
      <c r="N4532" t="s">
        <v>82</v>
      </c>
      <c r="O4532" t="s">
        <v>12086</v>
      </c>
      <c r="R4532">
        <v>1</v>
      </c>
      <c r="T4532" s="5" t="s">
        <v>100</v>
      </c>
      <c r="W4532">
        <v>178</v>
      </c>
      <c r="X4532" t="s">
        <v>9082</v>
      </c>
      <c r="Y4532" t="str">
        <f>VLOOKUP(C4532,'[1]DBS_KPY Sorumlular'!A:C,2,FALSE)</f>
        <v>Tayfun VİÇE</v>
      </c>
      <c r="Z4532" t="str">
        <f>VLOOKUP(C4532,'[1]DBS_KPY Sorumlular'!A:C,3,FALSE)</f>
        <v>Mehmet Ali YAVUZ</v>
      </c>
      <c r="AA4532" t="str">
        <f>VLOOKUP(K4532,[1]!Tablo3[#Data],2,FALSE)</f>
        <v>Tayfun VİÇE</v>
      </c>
    </row>
    <row r="4533" spans="1:27" x14ac:dyDescent="0.25">
      <c r="A4533">
        <v>5938</v>
      </c>
      <c r="B4533" t="s">
        <v>27</v>
      </c>
      <c r="C4533" t="s">
        <v>402</v>
      </c>
      <c r="D4533" t="s">
        <v>403</v>
      </c>
      <c r="F4533" t="s">
        <v>383</v>
      </c>
      <c r="G4533" t="s">
        <v>384</v>
      </c>
      <c r="H4533" t="s">
        <v>12087</v>
      </c>
      <c r="I4533" s="4"/>
      <c r="K4533" t="s">
        <v>1528</v>
      </c>
      <c r="L4533" s="5"/>
      <c r="M4533" s="5"/>
      <c r="N4533" t="s">
        <v>82</v>
      </c>
      <c r="O4533" t="s">
        <v>12088</v>
      </c>
      <c r="R4533">
        <v>1</v>
      </c>
      <c r="T4533" s="5" t="s">
        <v>100</v>
      </c>
      <c r="W4533">
        <v>241</v>
      </c>
      <c r="X4533" t="s">
        <v>3500</v>
      </c>
      <c r="Y4533" t="str">
        <f>VLOOKUP(C4533,'[1]DBS_KPY Sorumlular'!A:C,2,FALSE)</f>
        <v>Tayfun VİÇE</v>
      </c>
      <c r="Z4533" t="str">
        <f>VLOOKUP(C4533,'[1]DBS_KPY Sorumlular'!A:C,3,FALSE)</f>
        <v>Mehmet Ali YAVUZ</v>
      </c>
      <c r="AA4533" t="str">
        <f>VLOOKUP(K4533,[1]!Tablo3[#Data],2,FALSE)</f>
        <v>Tayfun VİÇE</v>
      </c>
    </row>
    <row r="4534" spans="1:27" x14ac:dyDescent="0.25">
      <c r="A4534">
        <v>5939</v>
      </c>
      <c r="B4534" t="s">
        <v>27</v>
      </c>
      <c r="C4534" t="s">
        <v>402</v>
      </c>
      <c r="D4534" t="s">
        <v>403</v>
      </c>
      <c r="F4534" t="s">
        <v>383</v>
      </c>
      <c r="G4534" t="s">
        <v>384</v>
      </c>
      <c r="H4534" t="s">
        <v>12089</v>
      </c>
      <c r="I4534" s="4">
        <v>45867.875</v>
      </c>
      <c r="K4534" t="s">
        <v>33</v>
      </c>
      <c r="L4534" s="5"/>
      <c r="M4534" s="5"/>
      <c r="N4534" t="s">
        <v>82</v>
      </c>
      <c r="O4534" t="s">
        <v>12090</v>
      </c>
      <c r="R4534">
        <v>1</v>
      </c>
      <c r="T4534" s="5" t="s">
        <v>100</v>
      </c>
      <c r="W4534">
        <v>131</v>
      </c>
      <c r="X4534" t="s">
        <v>61</v>
      </c>
      <c r="Y4534" t="str">
        <f>VLOOKUP(C4534,'[1]DBS_KPY Sorumlular'!A:C,2,FALSE)</f>
        <v>Tayfun VİÇE</v>
      </c>
      <c r="Z4534" t="str">
        <f>VLOOKUP(C4534,'[1]DBS_KPY Sorumlular'!A:C,3,FALSE)</f>
        <v>Mehmet Ali YAVUZ</v>
      </c>
      <c r="AA4534" t="str">
        <f>VLOOKUP(K4534,[1]!Tablo3[#Data],2,FALSE)</f>
        <v>Tayfun VİÇE</v>
      </c>
    </row>
    <row r="4535" spans="1:27" x14ac:dyDescent="0.25">
      <c r="A4535">
        <v>5940</v>
      </c>
      <c r="B4535" t="s">
        <v>27</v>
      </c>
      <c r="C4535" t="s">
        <v>402</v>
      </c>
      <c r="D4535" t="s">
        <v>403</v>
      </c>
      <c r="F4535" t="s">
        <v>383</v>
      </c>
      <c r="G4535" t="s">
        <v>384</v>
      </c>
      <c r="H4535" t="s">
        <v>12091</v>
      </c>
      <c r="I4535" s="4">
        <v>45897.875</v>
      </c>
      <c r="K4535" t="s">
        <v>364</v>
      </c>
      <c r="L4535" s="5"/>
      <c r="M4535" s="5"/>
      <c r="N4535" t="s">
        <v>46</v>
      </c>
      <c r="O4535" t="s">
        <v>12092</v>
      </c>
      <c r="R4535">
        <v>0.01</v>
      </c>
      <c r="T4535" s="5" t="s">
        <v>100</v>
      </c>
      <c r="W4535">
        <v>245</v>
      </c>
      <c r="X4535" t="s">
        <v>5262</v>
      </c>
      <c r="Y4535" t="str">
        <f>VLOOKUP(C4535,'[1]DBS_KPY Sorumlular'!A:C,2,FALSE)</f>
        <v>Tayfun VİÇE</v>
      </c>
      <c r="Z4535" t="str">
        <f>VLOOKUP(C4535,'[1]DBS_KPY Sorumlular'!A:C,3,FALSE)</f>
        <v>Mehmet Ali YAVUZ</v>
      </c>
      <c r="AA4535" t="str">
        <f>VLOOKUP(K4535,[1]!Tablo3[#Data],2,FALSE)</f>
        <v>Kadir TOPÇU</v>
      </c>
    </row>
    <row r="4536" spans="1:27" x14ac:dyDescent="0.25">
      <c r="A4536">
        <v>5941</v>
      </c>
      <c r="B4536" t="s">
        <v>27</v>
      </c>
      <c r="C4536" t="s">
        <v>402</v>
      </c>
      <c r="D4536" t="s">
        <v>403</v>
      </c>
      <c r="F4536" t="s">
        <v>383</v>
      </c>
      <c r="G4536" t="s">
        <v>384</v>
      </c>
      <c r="H4536" t="s">
        <v>12093</v>
      </c>
      <c r="I4536" s="4">
        <v>45896.875</v>
      </c>
      <c r="K4536" t="s">
        <v>226</v>
      </c>
      <c r="L4536" s="5"/>
      <c r="M4536" s="5"/>
      <c r="N4536" t="s">
        <v>46</v>
      </c>
      <c r="O4536" t="s">
        <v>12094</v>
      </c>
      <c r="R4536">
        <v>0.55000000000000004</v>
      </c>
      <c r="T4536" s="5" t="s">
        <v>100</v>
      </c>
      <c r="W4536">
        <v>217</v>
      </c>
      <c r="X4536" t="s">
        <v>5454</v>
      </c>
      <c r="Y4536" t="str">
        <f>VLOOKUP(C4536,'[1]DBS_KPY Sorumlular'!A:C,2,FALSE)</f>
        <v>Tayfun VİÇE</v>
      </c>
      <c r="Z4536" t="str">
        <f>VLOOKUP(C4536,'[1]DBS_KPY Sorumlular'!A:C,3,FALSE)</f>
        <v>Mehmet Ali YAVUZ</v>
      </c>
      <c r="AA4536" t="str">
        <f>VLOOKUP(K4536,[1]!Tablo3[#Data],2,FALSE)</f>
        <v>Kadir TOPÇU</v>
      </c>
    </row>
    <row r="4537" spans="1:27" x14ac:dyDescent="0.25">
      <c r="A4537">
        <v>5942</v>
      </c>
      <c r="B4537" t="s">
        <v>27</v>
      </c>
      <c r="C4537" t="s">
        <v>402</v>
      </c>
      <c r="D4537" t="s">
        <v>403</v>
      </c>
      <c r="F4537" t="s">
        <v>383</v>
      </c>
      <c r="G4537" t="s">
        <v>384</v>
      </c>
      <c r="H4537" t="s">
        <v>12095</v>
      </c>
      <c r="I4537" s="4">
        <v>45897.875</v>
      </c>
      <c r="K4537" t="s">
        <v>226</v>
      </c>
      <c r="L4537" s="5"/>
      <c r="M4537" s="5"/>
      <c r="N4537" t="s">
        <v>46</v>
      </c>
      <c r="O4537" t="s">
        <v>12096</v>
      </c>
      <c r="R4537">
        <v>0.75</v>
      </c>
      <c r="T4537" s="5" t="s">
        <v>100</v>
      </c>
      <c r="W4537">
        <v>177</v>
      </c>
      <c r="X4537" t="s">
        <v>2818</v>
      </c>
      <c r="Y4537" t="str">
        <f>VLOOKUP(C4537,'[1]DBS_KPY Sorumlular'!A:C,2,FALSE)</f>
        <v>Tayfun VİÇE</v>
      </c>
      <c r="Z4537" t="str">
        <f>VLOOKUP(C4537,'[1]DBS_KPY Sorumlular'!A:C,3,FALSE)</f>
        <v>Mehmet Ali YAVUZ</v>
      </c>
      <c r="AA4537" t="str">
        <f>VLOOKUP(K4537,[1]!Tablo3[#Data],2,FALSE)</f>
        <v>Kadir TOPÇU</v>
      </c>
    </row>
    <row r="4538" spans="1:27" x14ac:dyDescent="0.25">
      <c r="A4538">
        <v>5943</v>
      </c>
      <c r="B4538" t="s">
        <v>27</v>
      </c>
      <c r="C4538" t="s">
        <v>402</v>
      </c>
      <c r="D4538" t="s">
        <v>403</v>
      </c>
      <c r="F4538" t="s">
        <v>383</v>
      </c>
      <c r="G4538" t="s">
        <v>384</v>
      </c>
      <c r="H4538" t="s">
        <v>12097</v>
      </c>
      <c r="I4538" s="4">
        <v>45866.875</v>
      </c>
      <c r="K4538" t="s">
        <v>678</v>
      </c>
      <c r="L4538" s="5"/>
      <c r="M4538" s="5"/>
      <c r="N4538" t="s">
        <v>46</v>
      </c>
      <c r="O4538" t="s">
        <v>12098</v>
      </c>
      <c r="R4538">
        <v>0.8</v>
      </c>
      <c r="T4538" s="5" t="s">
        <v>100</v>
      </c>
      <c r="W4538">
        <v>131</v>
      </c>
      <c r="X4538" t="s">
        <v>61</v>
      </c>
      <c r="Y4538" t="str">
        <f>VLOOKUP(C4538,'[1]DBS_KPY Sorumlular'!A:C,2,FALSE)</f>
        <v>Tayfun VİÇE</v>
      </c>
      <c r="Z4538" t="str">
        <f>VLOOKUP(C4538,'[1]DBS_KPY Sorumlular'!A:C,3,FALSE)</f>
        <v>Mehmet Ali YAVUZ</v>
      </c>
      <c r="AA4538" t="str">
        <f>VLOOKUP(K4538,[1]!Tablo3[#Data],2,FALSE)</f>
        <v>Kadir TOPÇU</v>
      </c>
    </row>
    <row r="4539" spans="1:27" x14ac:dyDescent="0.25">
      <c r="A4539">
        <v>5944</v>
      </c>
      <c r="B4539" t="s">
        <v>27</v>
      </c>
      <c r="C4539" t="s">
        <v>402</v>
      </c>
      <c r="D4539" t="s">
        <v>403</v>
      </c>
      <c r="F4539" t="s">
        <v>383</v>
      </c>
      <c r="G4539" t="s">
        <v>384</v>
      </c>
      <c r="H4539" t="s">
        <v>12099</v>
      </c>
      <c r="I4539" s="4">
        <v>45897.875</v>
      </c>
      <c r="K4539" t="s">
        <v>678</v>
      </c>
      <c r="L4539" s="5"/>
      <c r="M4539" s="5"/>
      <c r="N4539" t="s">
        <v>46</v>
      </c>
      <c r="O4539" t="s">
        <v>12100</v>
      </c>
      <c r="R4539">
        <v>0.65</v>
      </c>
      <c r="T4539" s="5" t="s">
        <v>100</v>
      </c>
      <c r="W4539">
        <v>241</v>
      </c>
      <c r="X4539" t="s">
        <v>3500</v>
      </c>
      <c r="Y4539" t="str">
        <f>VLOOKUP(C4539,'[1]DBS_KPY Sorumlular'!A:C,2,FALSE)</f>
        <v>Tayfun VİÇE</v>
      </c>
      <c r="Z4539" t="str">
        <f>VLOOKUP(C4539,'[1]DBS_KPY Sorumlular'!A:C,3,FALSE)</f>
        <v>Mehmet Ali YAVUZ</v>
      </c>
      <c r="AA4539" t="str">
        <f>VLOOKUP(K4539,[1]!Tablo3[#Data],2,FALSE)</f>
        <v>Kadir TOPÇU</v>
      </c>
    </row>
    <row r="4540" spans="1:27" x14ac:dyDescent="0.25">
      <c r="A4540">
        <v>5945</v>
      </c>
      <c r="B4540" t="s">
        <v>27</v>
      </c>
      <c r="C4540" t="s">
        <v>402</v>
      </c>
      <c r="D4540" t="s">
        <v>403</v>
      </c>
      <c r="F4540" t="s">
        <v>383</v>
      </c>
      <c r="G4540" t="s">
        <v>384</v>
      </c>
      <c r="H4540" t="s">
        <v>12101</v>
      </c>
      <c r="I4540" s="4">
        <v>45897.875</v>
      </c>
      <c r="K4540" t="s">
        <v>743</v>
      </c>
      <c r="L4540" s="5"/>
      <c r="M4540" s="5"/>
      <c r="N4540" t="s">
        <v>46</v>
      </c>
      <c r="O4540" t="s">
        <v>12102</v>
      </c>
      <c r="R4540">
        <v>0.4</v>
      </c>
      <c r="T4540" s="5" t="s">
        <v>100</v>
      </c>
      <c r="W4540">
        <v>156</v>
      </c>
      <c r="X4540" t="s">
        <v>815</v>
      </c>
      <c r="Y4540" t="str">
        <f>VLOOKUP(C4540,'[1]DBS_KPY Sorumlular'!A:C,2,FALSE)</f>
        <v>Tayfun VİÇE</v>
      </c>
      <c r="Z4540" t="str">
        <f>VLOOKUP(C4540,'[1]DBS_KPY Sorumlular'!A:C,3,FALSE)</f>
        <v>Mehmet Ali YAVUZ</v>
      </c>
      <c r="AA4540" t="str">
        <f>VLOOKUP(K4540,[1]!Tablo3[#Data],2,FALSE)</f>
        <v>Kadir TOPÇU</v>
      </c>
    </row>
    <row r="4541" spans="1:27" x14ac:dyDescent="0.25">
      <c r="A4541">
        <v>5946</v>
      </c>
      <c r="B4541" t="s">
        <v>27</v>
      </c>
      <c r="C4541" t="s">
        <v>402</v>
      </c>
      <c r="D4541" t="s">
        <v>403</v>
      </c>
      <c r="F4541" t="s">
        <v>383</v>
      </c>
      <c r="G4541" t="s">
        <v>384</v>
      </c>
      <c r="H4541" t="s">
        <v>12103</v>
      </c>
      <c r="I4541" s="4">
        <v>45866.875</v>
      </c>
      <c r="K4541" t="s">
        <v>743</v>
      </c>
      <c r="L4541" s="5"/>
      <c r="M4541" s="5"/>
      <c r="N4541" t="s">
        <v>46</v>
      </c>
      <c r="O4541" t="s">
        <v>12104</v>
      </c>
      <c r="R4541">
        <v>0.01</v>
      </c>
      <c r="T4541" s="5" t="s">
        <v>100</v>
      </c>
      <c r="W4541">
        <v>51</v>
      </c>
      <c r="X4541" t="s">
        <v>809</v>
      </c>
      <c r="Y4541" t="str">
        <f>VLOOKUP(C4541,'[1]DBS_KPY Sorumlular'!A:C,2,FALSE)</f>
        <v>Tayfun VİÇE</v>
      </c>
      <c r="Z4541" t="str">
        <f>VLOOKUP(C4541,'[1]DBS_KPY Sorumlular'!A:C,3,FALSE)</f>
        <v>Mehmet Ali YAVUZ</v>
      </c>
      <c r="AA4541" t="str">
        <f>VLOOKUP(K4541,[1]!Tablo3[#Data],2,FALSE)</f>
        <v>Kadir TOPÇU</v>
      </c>
    </row>
    <row r="4542" spans="1:27" x14ac:dyDescent="0.25">
      <c r="A4542">
        <v>5947</v>
      </c>
      <c r="B4542" t="s">
        <v>27</v>
      </c>
      <c r="C4542" t="s">
        <v>402</v>
      </c>
      <c r="D4542" t="s">
        <v>403</v>
      </c>
      <c r="F4542" t="s">
        <v>383</v>
      </c>
      <c r="G4542" t="s">
        <v>384</v>
      </c>
      <c r="H4542" t="s">
        <v>12105</v>
      </c>
      <c r="I4542" s="4">
        <v>45837.875</v>
      </c>
      <c r="K4542" t="s">
        <v>743</v>
      </c>
      <c r="L4542" s="5"/>
      <c r="M4542" s="5"/>
      <c r="N4542" t="s">
        <v>82</v>
      </c>
      <c r="O4542" t="s">
        <v>12106</v>
      </c>
      <c r="R4542">
        <v>1</v>
      </c>
      <c r="T4542" s="5" t="s">
        <v>100</v>
      </c>
      <c r="W4542">
        <v>79</v>
      </c>
      <c r="X4542" t="s">
        <v>1619</v>
      </c>
      <c r="Y4542" t="str">
        <f>VLOOKUP(C4542,'[1]DBS_KPY Sorumlular'!A:C,2,FALSE)</f>
        <v>Tayfun VİÇE</v>
      </c>
      <c r="Z4542" t="str">
        <f>VLOOKUP(C4542,'[1]DBS_KPY Sorumlular'!A:C,3,FALSE)</f>
        <v>Mehmet Ali YAVUZ</v>
      </c>
      <c r="AA4542" t="str">
        <f>VLOOKUP(K4542,[1]!Tablo3[#Data],2,FALSE)</f>
        <v>Kadir TOPÇU</v>
      </c>
    </row>
    <row r="4543" spans="1:27" x14ac:dyDescent="0.25">
      <c r="A4543">
        <v>5948</v>
      </c>
      <c r="B4543" t="s">
        <v>27</v>
      </c>
      <c r="C4543" t="s">
        <v>402</v>
      </c>
      <c r="D4543" t="s">
        <v>403</v>
      </c>
      <c r="F4543" t="s">
        <v>383</v>
      </c>
      <c r="G4543" t="s">
        <v>384</v>
      </c>
      <c r="H4543" t="s">
        <v>12107</v>
      </c>
      <c r="I4543" s="4">
        <v>45868.875</v>
      </c>
      <c r="K4543" t="s">
        <v>743</v>
      </c>
      <c r="L4543" s="5"/>
      <c r="M4543" s="5"/>
      <c r="N4543" t="s">
        <v>46</v>
      </c>
      <c r="O4543" t="s">
        <v>12108</v>
      </c>
      <c r="R4543">
        <v>0.25</v>
      </c>
      <c r="S4543" t="s">
        <v>12108</v>
      </c>
      <c r="T4543" s="5" t="s">
        <v>100</v>
      </c>
      <c r="W4543">
        <v>157</v>
      </c>
      <c r="X4543" t="s">
        <v>3495</v>
      </c>
      <c r="Y4543" t="str">
        <f>VLOOKUP(C4543,'[1]DBS_KPY Sorumlular'!A:C,2,FALSE)</f>
        <v>Tayfun VİÇE</v>
      </c>
      <c r="Z4543" t="str">
        <f>VLOOKUP(C4543,'[1]DBS_KPY Sorumlular'!A:C,3,FALSE)</f>
        <v>Mehmet Ali YAVUZ</v>
      </c>
      <c r="AA4543" t="str">
        <f>VLOOKUP(K4543,[1]!Tablo3[#Data],2,FALSE)</f>
        <v>Kadir TOPÇU</v>
      </c>
    </row>
    <row r="4544" spans="1:27" x14ac:dyDescent="0.25">
      <c r="A4544">
        <v>5949</v>
      </c>
      <c r="B4544" t="s">
        <v>27</v>
      </c>
      <c r="C4544" t="s">
        <v>402</v>
      </c>
      <c r="D4544" t="s">
        <v>403</v>
      </c>
      <c r="F4544" t="s">
        <v>383</v>
      </c>
      <c r="G4544" t="s">
        <v>384</v>
      </c>
      <c r="H4544" t="s">
        <v>12109</v>
      </c>
      <c r="I4544" s="4">
        <v>45899.875</v>
      </c>
      <c r="K4544" t="s">
        <v>898</v>
      </c>
      <c r="L4544" s="5"/>
      <c r="M4544" s="5"/>
      <c r="N4544" t="s">
        <v>46</v>
      </c>
      <c r="O4544" t="s">
        <v>12110</v>
      </c>
      <c r="R4544">
        <v>0.03</v>
      </c>
      <c r="T4544" s="5" t="s">
        <v>100</v>
      </c>
      <c r="W4544">
        <v>245</v>
      </c>
      <c r="X4544" t="s">
        <v>5262</v>
      </c>
      <c r="Y4544" t="str">
        <f>VLOOKUP(C4544,'[1]DBS_KPY Sorumlular'!A:C,2,FALSE)</f>
        <v>Tayfun VİÇE</v>
      </c>
      <c r="Z4544" t="str">
        <f>VLOOKUP(C4544,'[1]DBS_KPY Sorumlular'!A:C,3,FALSE)</f>
        <v>Mehmet Ali YAVUZ</v>
      </c>
      <c r="AA4544" t="str">
        <f>VLOOKUP(K4544,[1]!Tablo3[#Data],2,FALSE)</f>
        <v>Erkan AKDOĞAN</v>
      </c>
    </row>
    <row r="4545" spans="1:27" x14ac:dyDescent="0.25">
      <c r="A4545">
        <v>5950</v>
      </c>
      <c r="B4545" t="s">
        <v>27</v>
      </c>
      <c r="C4545" t="s">
        <v>402</v>
      </c>
      <c r="D4545" t="s">
        <v>403</v>
      </c>
      <c r="F4545" t="s">
        <v>383</v>
      </c>
      <c r="G4545" t="s">
        <v>384</v>
      </c>
      <c r="H4545" t="s">
        <v>12111</v>
      </c>
      <c r="I4545" s="4">
        <v>45868.875</v>
      </c>
      <c r="K4545" t="s">
        <v>926</v>
      </c>
      <c r="L4545" s="5"/>
      <c r="M4545" s="5"/>
      <c r="N4545" t="s">
        <v>46</v>
      </c>
      <c r="O4545" t="s">
        <v>12112</v>
      </c>
      <c r="R4545">
        <v>0.65</v>
      </c>
      <c r="T4545" s="5" t="s">
        <v>100</v>
      </c>
      <c r="W4545">
        <v>245</v>
      </c>
      <c r="X4545" t="s">
        <v>5262</v>
      </c>
      <c r="Y4545" t="str">
        <f>VLOOKUP(C4545,'[1]DBS_KPY Sorumlular'!A:C,2,FALSE)</f>
        <v>Tayfun VİÇE</v>
      </c>
      <c r="Z4545" t="str">
        <f>VLOOKUP(C4545,'[1]DBS_KPY Sorumlular'!A:C,3,FALSE)</f>
        <v>Mehmet Ali YAVUZ</v>
      </c>
      <c r="AA4545" t="str">
        <f>VLOOKUP(K4545,[1]!Tablo3[#Data],2,FALSE)</f>
        <v>Kadir TOPÇU</v>
      </c>
    </row>
    <row r="4546" spans="1:27" x14ac:dyDescent="0.25">
      <c r="A4546">
        <v>5951</v>
      </c>
      <c r="B4546" t="s">
        <v>27</v>
      </c>
      <c r="C4546" t="s">
        <v>402</v>
      </c>
      <c r="D4546" t="s">
        <v>403</v>
      </c>
      <c r="F4546" t="s">
        <v>383</v>
      </c>
      <c r="G4546" t="s">
        <v>384</v>
      </c>
      <c r="H4546" t="s">
        <v>12113</v>
      </c>
      <c r="I4546" s="4">
        <v>45868.875</v>
      </c>
      <c r="K4546" t="s">
        <v>926</v>
      </c>
      <c r="L4546" s="5"/>
      <c r="M4546" s="5"/>
      <c r="N4546" t="s">
        <v>46</v>
      </c>
      <c r="O4546" t="s">
        <v>12114</v>
      </c>
      <c r="R4546">
        <v>0.98</v>
      </c>
      <c r="T4546" s="5" t="s">
        <v>100</v>
      </c>
      <c r="W4546">
        <v>134</v>
      </c>
      <c r="X4546" t="s">
        <v>1577</v>
      </c>
      <c r="Y4546" t="str">
        <f>VLOOKUP(C4546,'[1]DBS_KPY Sorumlular'!A:C,2,FALSE)</f>
        <v>Tayfun VİÇE</v>
      </c>
      <c r="Z4546" t="str">
        <f>VLOOKUP(C4546,'[1]DBS_KPY Sorumlular'!A:C,3,FALSE)</f>
        <v>Mehmet Ali YAVUZ</v>
      </c>
      <c r="AA4546" t="str">
        <f>VLOOKUP(K4546,[1]!Tablo3[#Data],2,FALSE)</f>
        <v>Kadir TOPÇU</v>
      </c>
    </row>
    <row r="4547" spans="1:27" x14ac:dyDescent="0.25">
      <c r="A4547">
        <v>5952</v>
      </c>
      <c r="B4547" t="s">
        <v>27</v>
      </c>
      <c r="C4547" t="s">
        <v>402</v>
      </c>
      <c r="D4547" t="s">
        <v>403</v>
      </c>
      <c r="F4547" t="s">
        <v>383</v>
      </c>
      <c r="G4547" t="s">
        <v>384</v>
      </c>
      <c r="H4547" t="s">
        <v>12115</v>
      </c>
      <c r="I4547" s="4"/>
      <c r="K4547" t="s">
        <v>325</v>
      </c>
      <c r="L4547" s="5"/>
      <c r="M4547" s="5"/>
      <c r="N4547" t="s">
        <v>82</v>
      </c>
      <c r="O4547" t="s">
        <v>12116</v>
      </c>
      <c r="R4547">
        <v>1</v>
      </c>
      <c r="T4547" s="5" t="s">
        <v>100</v>
      </c>
      <c r="W4547">
        <v>131</v>
      </c>
      <c r="X4547" t="s">
        <v>61</v>
      </c>
      <c r="Y4547" t="str">
        <f>VLOOKUP(C4547,'[1]DBS_KPY Sorumlular'!A:C,2,FALSE)</f>
        <v>Tayfun VİÇE</v>
      </c>
      <c r="Z4547" t="str">
        <f>VLOOKUP(C4547,'[1]DBS_KPY Sorumlular'!A:C,3,FALSE)</f>
        <v>Mehmet Ali YAVUZ</v>
      </c>
      <c r="AA4547" t="str">
        <f>VLOOKUP(K4547,[1]!Tablo3[#Data],2,FALSE)</f>
        <v>Kadir TOPÇU</v>
      </c>
    </row>
    <row r="4548" spans="1:27" x14ac:dyDescent="0.25">
      <c r="A4548">
        <v>5953</v>
      </c>
      <c r="B4548" t="s">
        <v>27</v>
      </c>
      <c r="C4548" t="s">
        <v>402</v>
      </c>
      <c r="D4548" t="s">
        <v>403</v>
      </c>
      <c r="F4548" t="s">
        <v>383</v>
      </c>
      <c r="G4548" t="s">
        <v>384</v>
      </c>
      <c r="H4548" t="s">
        <v>12117</v>
      </c>
      <c r="I4548" s="4"/>
      <c r="K4548" t="s">
        <v>678</v>
      </c>
      <c r="L4548" s="5"/>
      <c r="M4548" s="5"/>
      <c r="N4548" t="s">
        <v>82</v>
      </c>
      <c r="O4548" t="s">
        <v>12118</v>
      </c>
      <c r="R4548">
        <v>1</v>
      </c>
      <c r="T4548" s="5" t="s">
        <v>100</v>
      </c>
      <c r="W4548">
        <v>131</v>
      </c>
      <c r="X4548" t="s">
        <v>61</v>
      </c>
      <c r="Y4548" t="str">
        <f>VLOOKUP(C4548,'[1]DBS_KPY Sorumlular'!A:C,2,FALSE)</f>
        <v>Tayfun VİÇE</v>
      </c>
      <c r="Z4548" t="str">
        <f>VLOOKUP(C4548,'[1]DBS_KPY Sorumlular'!A:C,3,FALSE)</f>
        <v>Mehmet Ali YAVUZ</v>
      </c>
      <c r="AA4548" t="str">
        <f>VLOOKUP(K4548,[1]!Tablo3[#Data],2,FALSE)</f>
        <v>Kadir TOPÇU</v>
      </c>
    </row>
    <row r="4549" spans="1:27" x14ac:dyDescent="0.25">
      <c r="A4549">
        <v>5954</v>
      </c>
      <c r="B4549" t="s">
        <v>27</v>
      </c>
      <c r="C4549" t="s">
        <v>402</v>
      </c>
      <c r="D4549" t="s">
        <v>403</v>
      </c>
      <c r="F4549" t="s">
        <v>383</v>
      </c>
      <c r="G4549" t="s">
        <v>384</v>
      </c>
      <c r="H4549" t="s">
        <v>12119</v>
      </c>
      <c r="I4549" s="4"/>
      <c r="K4549" t="s">
        <v>423</v>
      </c>
      <c r="L4549" s="5"/>
      <c r="M4549" s="5"/>
      <c r="N4549" t="s">
        <v>82</v>
      </c>
      <c r="O4549" t="s">
        <v>12120</v>
      </c>
      <c r="R4549">
        <v>1</v>
      </c>
      <c r="T4549" s="5" t="s">
        <v>100</v>
      </c>
      <c r="W4549">
        <v>131</v>
      </c>
      <c r="X4549" t="s">
        <v>61</v>
      </c>
      <c r="Y4549" t="str">
        <f>VLOOKUP(C4549,'[1]DBS_KPY Sorumlular'!A:C,2,FALSE)</f>
        <v>Tayfun VİÇE</v>
      </c>
      <c r="Z4549" t="str">
        <f>VLOOKUP(C4549,'[1]DBS_KPY Sorumlular'!A:C,3,FALSE)</f>
        <v>Mehmet Ali YAVUZ</v>
      </c>
      <c r="AA4549" t="str">
        <f>VLOOKUP(K4549,[1]!Tablo3[#Data],2,FALSE)</f>
        <v>Kadir TOPÇU</v>
      </c>
    </row>
    <row r="4550" spans="1:27" x14ac:dyDescent="0.25">
      <c r="A4550">
        <v>5955</v>
      </c>
      <c r="B4550" t="s">
        <v>27</v>
      </c>
      <c r="C4550" t="s">
        <v>402</v>
      </c>
      <c r="D4550" t="s">
        <v>403</v>
      </c>
      <c r="F4550" t="s">
        <v>383</v>
      </c>
      <c r="G4550" t="s">
        <v>384</v>
      </c>
      <c r="H4550" t="s">
        <v>12121</v>
      </c>
      <c r="I4550" s="4"/>
      <c r="K4550" t="s">
        <v>1528</v>
      </c>
      <c r="L4550" s="5"/>
      <c r="M4550" s="5"/>
      <c r="N4550" t="s">
        <v>82</v>
      </c>
      <c r="O4550" t="s">
        <v>12122</v>
      </c>
      <c r="R4550">
        <v>1</v>
      </c>
      <c r="T4550" s="5" t="s">
        <v>100</v>
      </c>
      <c r="W4550">
        <v>29</v>
      </c>
      <c r="X4550" t="s">
        <v>7107</v>
      </c>
      <c r="Y4550" t="str">
        <f>VLOOKUP(C4550,'[1]DBS_KPY Sorumlular'!A:C,2,FALSE)</f>
        <v>Tayfun VİÇE</v>
      </c>
      <c r="Z4550" t="str">
        <f>VLOOKUP(C4550,'[1]DBS_KPY Sorumlular'!A:C,3,FALSE)</f>
        <v>Mehmet Ali YAVUZ</v>
      </c>
      <c r="AA4550" t="str">
        <f>VLOOKUP(K4550,[1]!Tablo3[#Data],2,FALSE)</f>
        <v>Tayfun VİÇE</v>
      </c>
    </row>
    <row r="4551" spans="1:27" x14ac:dyDescent="0.25">
      <c r="A4551">
        <v>5956</v>
      </c>
      <c r="B4551" t="s">
        <v>27</v>
      </c>
      <c r="C4551" t="s">
        <v>402</v>
      </c>
      <c r="D4551" t="s">
        <v>403</v>
      </c>
      <c r="F4551" t="s">
        <v>383</v>
      </c>
      <c r="G4551" t="s">
        <v>384</v>
      </c>
      <c r="H4551" t="s">
        <v>12123</v>
      </c>
      <c r="I4551" s="4"/>
      <c r="K4551" t="s">
        <v>217</v>
      </c>
      <c r="L4551" s="5"/>
      <c r="M4551" s="5"/>
      <c r="N4551" t="s">
        <v>82</v>
      </c>
      <c r="O4551" t="s">
        <v>12124</v>
      </c>
      <c r="R4551">
        <v>1</v>
      </c>
      <c r="T4551" s="5" t="s">
        <v>100</v>
      </c>
      <c r="W4551">
        <v>8</v>
      </c>
      <c r="X4551" t="s">
        <v>8399</v>
      </c>
      <c r="Y4551" t="str">
        <f>VLOOKUP(C4551,'[1]DBS_KPY Sorumlular'!A:C,2,FALSE)</f>
        <v>Tayfun VİÇE</v>
      </c>
      <c r="Z4551" t="str">
        <f>VLOOKUP(C4551,'[1]DBS_KPY Sorumlular'!A:C,3,FALSE)</f>
        <v>Mehmet Ali YAVUZ</v>
      </c>
      <c r="AA4551" t="str">
        <f>VLOOKUP(K4551,[1]!Tablo3[#Data],2,FALSE)</f>
        <v>Erkan AKDOĞAN</v>
      </c>
    </row>
    <row r="4552" spans="1:27" x14ac:dyDescent="0.25">
      <c r="A4552">
        <v>5957</v>
      </c>
      <c r="B4552" t="s">
        <v>27</v>
      </c>
      <c r="C4552" t="s">
        <v>402</v>
      </c>
      <c r="D4552" t="s">
        <v>403</v>
      </c>
      <c r="F4552" t="s">
        <v>383</v>
      </c>
      <c r="G4552" t="s">
        <v>384</v>
      </c>
      <c r="H4552" t="s">
        <v>12125</v>
      </c>
      <c r="I4552" s="4"/>
      <c r="K4552" t="s">
        <v>364</v>
      </c>
      <c r="L4552" s="5"/>
      <c r="M4552" s="5"/>
      <c r="N4552" t="s">
        <v>82</v>
      </c>
      <c r="O4552" t="s">
        <v>12126</v>
      </c>
      <c r="R4552">
        <v>1</v>
      </c>
      <c r="T4552" s="5" t="s">
        <v>100</v>
      </c>
      <c r="W4552">
        <v>66</v>
      </c>
      <c r="X4552" t="s">
        <v>8482</v>
      </c>
      <c r="Y4552" t="str">
        <f>VLOOKUP(C4552,'[1]DBS_KPY Sorumlular'!A:C,2,FALSE)</f>
        <v>Tayfun VİÇE</v>
      </c>
      <c r="Z4552" t="str">
        <f>VLOOKUP(C4552,'[1]DBS_KPY Sorumlular'!A:C,3,FALSE)</f>
        <v>Mehmet Ali YAVUZ</v>
      </c>
      <c r="AA4552" t="str">
        <f>VLOOKUP(K4552,[1]!Tablo3[#Data],2,FALSE)</f>
        <v>Kadir TOPÇU</v>
      </c>
    </row>
    <row r="4553" spans="1:27" x14ac:dyDescent="0.25">
      <c r="A4553">
        <v>5959</v>
      </c>
      <c r="B4553" t="s">
        <v>27</v>
      </c>
      <c r="C4553" t="s">
        <v>402</v>
      </c>
      <c r="D4553" t="s">
        <v>403</v>
      </c>
      <c r="F4553" t="s">
        <v>383</v>
      </c>
      <c r="G4553" t="s">
        <v>384</v>
      </c>
      <c r="H4553" t="s">
        <v>12127</v>
      </c>
      <c r="I4553" s="4"/>
      <c r="K4553" t="s">
        <v>226</v>
      </c>
      <c r="L4553" s="5"/>
      <c r="M4553" s="5"/>
      <c r="N4553" t="s">
        <v>82</v>
      </c>
      <c r="O4553" t="s">
        <v>12128</v>
      </c>
      <c r="R4553">
        <v>1</v>
      </c>
      <c r="T4553" s="5" t="s">
        <v>100</v>
      </c>
      <c r="W4553">
        <v>66</v>
      </c>
      <c r="X4553" t="s">
        <v>8482</v>
      </c>
      <c r="Y4553" t="str">
        <f>VLOOKUP(C4553,'[1]DBS_KPY Sorumlular'!A:C,2,FALSE)</f>
        <v>Tayfun VİÇE</v>
      </c>
      <c r="Z4553" t="str">
        <f>VLOOKUP(C4553,'[1]DBS_KPY Sorumlular'!A:C,3,FALSE)</f>
        <v>Mehmet Ali YAVUZ</v>
      </c>
      <c r="AA4553" t="str">
        <f>VLOOKUP(K4553,[1]!Tablo3[#Data],2,FALSE)</f>
        <v>Kadir TOPÇU</v>
      </c>
    </row>
    <row r="4554" spans="1:27" x14ac:dyDescent="0.25">
      <c r="A4554">
        <v>5960</v>
      </c>
      <c r="B4554" t="s">
        <v>27</v>
      </c>
      <c r="C4554" t="s">
        <v>402</v>
      </c>
      <c r="D4554" t="s">
        <v>403</v>
      </c>
      <c r="F4554" t="s">
        <v>383</v>
      </c>
      <c r="G4554" t="s">
        <v>384</v>
      </c>
      <c r="H4554" t="s">
        <v>12129</v>
      </c>
      <c r="I4554" s="4"/>
      <c r="K4554" t="s">
        <v>226</v>
      </c>
      <c r="L4554" s="5"/>
      <c r="M4554" s="5"/>
      <c r="N4554" t="s">
        <v>82</v>
      </c>
      <c r="O4554" t="s">
        <v>12130</v>
      </c>
      <c r="R4554">
        <v>1</v>
      </c>
      <c r="T4554" s="5" t="s">
        <v>100</v>
      </c>
      <c r="W4554">
        <v>66</v>
      </c>
      <c r="X4554" t="s">
        <v>8482</v>
      </c>
      <c r="Y4554" t="str">
        <f>VLOOKUP(C4554,'[1]DBS_KPY Sorumlular'!A:C,2,FALSE)</f>
        <v>Tayfun VİÇE</v>
      </c>
      <c r="Z4554" t="str">
        <f>VLOOKUP(C4554,'[1]DBS_KPY Sorumlular'!A:C,3,FALSE)</f>
        <v>Mehmet Ali YAVUZ</v>
      </c>
      <c r="AA4554" t="str">
        <f>VLOOKUP(K4554,[1]!Tablo3[#Data],2,FALSE)</f>
        <v>Kadir TOPÇU</v>
      </c>
    </row>
    <row r="4555" spans="1:27" x14ac:dyDescent="0.25">
      <c r="A4555">
        <v>5961</v>
      </c>
      <c r="B4555" t="s">
        <v>27</v>
      </c>
      <c r="C4555" t="s">
        <v>402</v>
      </c>
      <c r="D4555" t="s">
        <v>403</v>
      </c>
      <c r="F4555" t="s">
        <v>383</v>
      </c>
      <c r="G4555" t="s">
        <v>384</v>
      </c>
      <c r="H4555" t="s">
        <v>12131</v>
      </c>
      <c r="I4555" s="4"/>
      <c r="K4555" t="s">
        <v>743</v>
      </c>
      <c r="L4555" s="5"/>
      <c r="M4555" s="5"/>
      <c r="N4555" t="s">
        <v>82</v>
      </c>
      <c r="O4555" t="s">
        <v>12132</v>
      </c>
      <c r="R4555">
        <v>1</v>
      </c>
      <c r="T4555" s="5" t="s">
        <v>100</v>
      </c>
      <c r="W4555">
        <v>8</v>
      </c>
      <c r="X4555" t="s">
        <v>8399</v>
      </c>
      <c r="Y4555" t="str">
        <f>VLOOKUP(C4555,'[1]DBS_KPY Sorumlular'!A:C,2,FALSE)</f>
        <v>Tayfun VİÇE</v>
      </c>
      <c r="Z4555" t="str">
        <f>VLOOKUP(C4555,'[1]DBS_KPY Sorumlular'!A:C,3,FALSE)</f>
        <v>Mehmet Ali YAVUZ</v>
      </c>
      <c r="AA4555" t="str">
        <f>VLOOKUP(K4555,[1]!Tablo3[#Data],2,FALSE)</f>
        <v>Kadir TOPÇU</v>
      </c>
    </row>
    <row r="4556" spans="1:27" x14ac:dyDescent="0.25">
      <c r="A4556">
        <v>5962</v>
      </c>
      <c r="B4556" t="s">
        <v>27</v>
      </c>
      <c r="C4556" t="s">
        <v>402</v>
      </c>
      <c r="D4556" t="s">
        <v>403</v>
      </c>
      <c r="F4556" t="s">
        <v>383</v>
      </c>
      <c r="G4556" t="s">
        <v>384</v>
      </c>
      <c r="H4556" t="s">
        <v>12133</v>
      </c>
      <c r="I4556" s="4"/>
      <c r="K4556" t="s">
        <v>423</v>
      </c>
      <c r="L4556" s="5"/>
      <c r="M4556" s="5"/>
      <c r="N4556" t="s">
        <v>82</v>
      </c>
      <c r="O4556" t="s">
        <v>12134</v>
      </c>
      <c r="R4556">
        <v>1</v>
      </c>
      <c r="T4556" s="5" t="s">
        <v>100</v>
      </c>
      <c r="W4556">
        <v>66</v>
      </c>
      <c r="X4556" t="s">
        <v>8482</v>
      </c>
      <c r="Y4556" t="str">
        <f>VLOOKUP(C4556,'[1]DBS_KPY Sorumlular'!A:C,2,FALSE)</f>
        <v>Tayfun VİÇE</v>
      </c>
      <c r="Z4556" t="str">
        <f>VLOOKUP(C4556,'[1]DBS_KPY Sorumlular'!A:C,3,FALSE)</f>
        <v>Mehmet Ali YAVUZ</v>
      </c>
      <c r="AA4556" t="str">
        <f>VLOOKUP(K4556,[1]!Tablo3[#Data],2,FALSE)</f>
        <v>Kadir TOPÇU</v>
      </c>
    </row>
    <row r="4557" spans="1:27" x14ac:dyDescent="0.25">
      <c r="A4557">
        <v>5963</v>
      </c>
      <c r="B4557" t="s">
        <v>27</v>
      </c>
      <c r="C4557" t="s">
        <v>402</v>
      </c>
      <c r="D4557" t="s">
        <v>403</v>
      </c>
      <c r="F4557" t="s">
        <v>383</v>
      </c>
      <c r="G4557" t="s">
        <v>384</v>
      </c>
      <c r="H4557" t="s">
        <v>12135</v>
      </c>
      <c r="I4557" s="4"/>
      <c r="K4557" t="s">
        <v>423</v>
      </c>
      <c r="L4557" s="5"/>
      <c r="M4557" s="5"/>
      <c r="N4557" t="s">
        <v>82</v>
      </c>
      <c r="O4557" t="s">
        <v>12136</v>
      </c>
      <c r="R4557">
        <v>1</v>
      </c>
      <c r="T4557" s="5" t="s">
        <v>100</v>
      </c>
      <c r="W4557">
        <v>66</v>
      </c>
      <c r="X4557" t="s">
        <v>8482</v>
      </c>
      <c r="Y4557" t="str">
        <f>VLOOKUP(C4557,'[1]DBS_KPY Sorumlular'!A:C,2,FALSE)</f>
        <v>Tayfun VİÇE</v>
      </c>
      <c r="Z4557" t="str">
        <f>VLOOKUP(C4557,'[1]DBS_KPY Sorumlular'!A:C,3,FALSE)</f>
        <v>Mehmet Ali YAVUZ</v>
      </c>
      <c r="AA4557" t="str">
        <f>VLOOKUP(K4557,[1]!Tablo3[#Data],2,FALSE)</f>
        <v>Kadir TOPÇU</v>
      </c>
    </row>
    <row r="4558" spans="1:27" x14ac:dyDescent="0.25">
      <c r="A4558">
        <v>5964</v>
      </c>
      <c r="B4558" t="s">
        <v>27</v>
      </c>
      <c r="C4558" t="s">
        <v>402</v>
      </c>
      <c r="D4558" t="s">
        <v>403</v>
      </c>
      <c r="F4558" t="s">
        <v>383</v>
      </c>
      <c r="G4558" t="s">
        <v>384</v>
      </c>
      <c r="H4558" t="s">
        <v>12137</v>
      </c>
      <c r="I4558" s="4"/>
      <c r="K4558" t="s">
        <v>98</v>
      </c>
      <c r="L4558" s="5"/>
      <c r="M4558" s="5"/>
      <c r="N4558" t="s">
        <v>82</v>
      </c>
      <c r="O4558" t="s">
        <v>12138</v>
      </c>
      <c r="R4558">
        <v>1</v>
      </c>
      <c r="T4558" s="5" t="s">
        <v>100</v>
      </c>
      <c r="W4558">
        <v>32</v>
      </c>
      <c r="X4558" t="s">
        <v>4412</v>
      </c>
      <c r="Y4558" t="str">
        <f>VLOOKUP(C4558,'[1]DBS_KPY Sorumlular'!A:C,2,FALSE)</f>
        <v>Tayfun VİÇE</v>
      </c>
      <c r="Z4558" t="str">
        <f>VLOOKUP(C4558,'[1]DBS_KPY Sorumlular'!A:C,3,FALSE)</f>
        <v>Mehmet Ali YAVUZ</v>
      </c>
      <c r="AA4558" t="str">
        <f>VLOOKUP(K4558,[1]!Tablo3[#Data],2,FALSE)</f>
        <v>Tayfun VİÇE</v>
      </c>
    </row>
    <row r="4559" spans="1:27" x14ac:dyDescent="0.25">
      <c r="A4559">
        <v>5965</v>
      </c>
      <c r="B4559" t="s">
        <v>27</v>
      </c>
      <c r="C4559" t="s">
        <v>402</v>
      </c>
      <c r="D4559" t="s">
        <v>403</v>
      </c>
      <c r="F4559" t="s">
        <v>383</v>
      </c>
      <c r="G4559" t="s">
        <v>384</v>
      </c>
      <c r="H4559" t="s">
        <v>12139</v>
      </c>
      <c r="I4559" s="4"/>
      <c r="K4559" t="s">
        <v>325</v>
      </c>
      <c r="L4559" s="5"/>
      <c r="M4559" s="5"/>
      <c r="N4559" t="s">
        <v>82</v>
      </c>
      <c r="O4559" t="s">
        <v>12140</v>
      </c>
      <c r="R4559">
        <v>1</v>
      </c>
      <c r="T4559" s="5" t="s">
        <v>100</v>
      </c>
      <c r="W4559">
        <v>32</v>
      </c>
      <c r="X4559" t="s">
        <v>4412</v>
      </c>
      <c r="Y4559" t="str">
        <f>VLOOKUP(C4559,'[1]DBS_KPY Sorumlular'!A:C,2,FALSE)</f>
        <v>Tayfun VİÇE</v>
      </c>
      <c r="Z4559" t="str">
        <f>VLOOKUP(C4559,'[1]DBS_KPY Sorumlular'!A:C,3,FALSE)</f>
        <v>Mehmet Ali YAVUZ</v>
      </c>
      <c r="AA4559" t="str">
        <f>VLOOKUP(K4559,[1]!Tablo3[#Data],2,FALSE)</f>
        <v>Kadir TOPÇU</v>
      </c>
    </row>
    <row r="4560" spans="1:27" x14ac:dyDescent="0.25">
      <c r="A4560">
        <v>5966</v>
      </c>
      <c r="B4560" t="s">
        <v>27</v>
      </c>
      <c r="C4560" t="s">
        <v>402</v>
      </c>
      <c r="D4560" t="s">
        <v>403</v>
      </c>
      <c r="F4560" t="s">
        <v>383</v>
      </c>
      <c r="G4560" t="s">
        <v>384</v>
      </c>
      <c r="H4560" t="s">
        <v>12141</v>
      </c>
      <c r="I4560" s="4"/>
      <c r="K4560" t="s">
        <v>364</v>
      </c>
      <c r="L4560" s="5"/>
      <c r="M4560" s="5"/>
      <c r="N4560" t="s">
        <v>82</v>
      </c>
      <c r="O4560" t="s">
        <v>12142</v>
      </c>
      <c r="R4560">
        <v>1</v>
      </c>
      <c r="T4560" s="5" t="s">
        <v>100</v>
      </c>
      <c r="W4560">
        <v>158</v>
      </c>
      <c r="X4560" t="s">
        <v>8517</v>
      </c>
      <c r="Y4560" t="str">
        <f>VLOOKUP(C4560,'[1]DBS_KPY Sorumlular'!A:C,2,FALSE)</f>
        <v>Tayfun VİÇE</v>
      </c>
      <c r="Z4560" t="str">
        <f>VLOOKUP(C4560,'[1]DBS_KPY Sorumlular'!A:C,3,FALSE)</f>
        <v>Mehmet Ali YAVUZ</v>
      </c>
      <c r="AA4560" t="str">
        <f>VLOOKUP(K4560,[1]!Tablo3[#Data],2,FALSE)</f>
        <v>Kadir TOPÇU</v>
      </c>
    </row>
    <row r="4561" spans="1:27" x14ac:dyDescent="0.25">
      <c r="A4561">
        <v>5967</v>
      </c>
      <c r="B4561" t="s">
        <v>27</v>
      </c>
      <c r="C4561" t="s">
        <v>402</v>
      </c>
      <c r="D4561" t="s">
        <v>403</v>
      </c>
      <c r="F4561" t="s">
        <v>383</v>
      </c>
      <c r="G4561" t="s">
        <v>384</v>
      </c>
      <c r="H4561" t="s">
        <v>12143</v>
      </c>
      <c r="I4561" s="4"/>
      <c r="K4561" t="s">
        <v>568</v>
      </c>
      <c r="L4561" s="5"/>
      <c r="M4561" s="5"/>
      <c r="N4561" t="s">
        <v>82</v>
      </c>
      <c r="O4561" t="s">
        <v>12144</v>
      </c>
      <c r="R4561">
        <v>1</v>
      </c>
      <c r="T4561" s="5" t="s">
        <v>100</v>
      </c>
      <c r="W4561">
        <v>32</v>
      </c>
      <c r="X4561" t="s">
        <v>4412</v>
      </c>
      <c r="Y4561" t="str">
        <f>VLOOKUP(C4561,'[1]DBS_KPY Sorumlular'!A:C,2,FALSE)</f>
        <v>Tayfun VİÇE</v>
      </c>
      <c r="Z4561" t="str">
        <f>VLOOKUP(C4561,'[1]DBS_KPY Sorumlular'!A:C,3,FALSE)</f>
        <v>Mehmet Ali YAVUZ</v>
      </c>
      <c r="AA4561" t="str">
        <f>VLOOKUP(K4561,[1]!Tablo3[#Data],2,FALSE)</f>
        <v>Erkan AKDOĞAN</v>
      </c>
    </row>
    <row r="4562" spans="1:27" x14ac:dyDescent="0.25">
      <c r="A4562">
        <v>5968</v>
      </c>
      <c r="B4562" t="s">
        <v>27</v>
      </c>
      <c r="C4562" t="s">
        <v>402</v>
      </c>
      <c r="D4562" t="s">
        <v>403</v>
      </c>
      <c r="F4562" t="s">
        <v>383</v>
      </c>
      <c r="G4562" t="s">
        <v>384</v>
      </c>
      <c r="H4562" t="s">
        <v>12145</v>
      </c>
      <c r="I4562" s="4"/>
      <c r="K4562" t="s">
        <v>926</v>
      </c>
      <c r="L4562" s="5"/>
      <c r="M4562" s="5"/>
      <c r="N4562" t="s">
        <v>82</v>
      </c>
      <c r="O4562" t="s">
        <v>12146</v>
      </c>
      <c r="R4562">
        <v>1</v>
      </c>
      <c r="T4562" s="5" t="s">
        <v>100</v>
      </c>
      <c r="W4562">
        <v>32</v>
      </c>
      <c r="X4562" t="s">
        <v>4412</v>
      </c>
      <c r="Y4562" t="str">
        <f>VLOOKUP(C4562,'[1]DBS_KPY Sorumlular'!A:C,2,FALSE)</f>
        <v>Tayfun VİÇE</v>
      </c>
      <c r="Z4562" t="str">
        <f>VLOOKUP(C4562,'[1]DBS_KPY Sorumlular'!A:C,3,FALSE)</f>
        <v>Mehmet Ali YAVUZ</v>
      </c>
      <c r="AA4562" t="str">
        <f>VLOOKUP(K4562,[1]!Tablo3[#Data],2,FALSE)</f>
        <v>Kadir TOPÇU</v>
      </c>
    </row>
    <row r="4563" spans="1:27" x14ac:dyDescent="0.25">
      <c r="A4563">
        <v>5969</v>
      </c>
      <c r="B4563" t="s">
        <v>27</v>
      </c>
      <c r="C4563" t="s">
        <v>402</v>
      </c>
      <c r="D4563" t="s">
        <v>403</v>
      </c>
      <c r="F4563" t="s">
        <v>383</v>
      </c>
      <c r="G4563" t="s">
        <v>384</v>
      </c>
      <c r="H4563" t="s">
        <v>12147</v>
      </c>
      <c r="I4563" s="4"/>
      <c r="K4563" t="s">
        <v>1528</v>
      </c>
      <c r="L4563" s="5"/>
      <c r="M4563" s="5"/>
      <c r="N4563" t="s">
        <v>82</v>
      </c>
      <c r="O4563" t="s">
        <v>12148</v>
      </c>
      <c r="R4563">
        <v>1</v>
      </c>
      <c r="T4563" s="5" t="s">
        <v>100</v>
      </c>
      <c r="W4563">
        <v>252</v>
      </c>
      <c r="X4563" t="s">
        <v>10800</v>
      </c>
      <c r="Y4563" t="str">
        <f>VLOOKUP(C4563,'[1]DBS_KPY Sorumlular'!A:C,2,FALSE)</f>
        <v>Tayfun VİÇE</v>
      </c>
      <c r="Z4563" t="str">
        <f>VLOOKUP(C4563,'[1]DBS_KPY Sorumlular'!A:C,3,FALSE)</f>
        <v>Mehmet Ali YAVUZ</v>
      </c>
      <c r="AA4563" t="str">
        <f>VLOOKUP(K4563,[1]!Tablo3[#Data],2,FALSE)</f>
        <v>Tayfun VİÇE</v>
      </c>
    </row>
    <row r="4564" spans="1:27" x14ac:dyDescent="0.25">
      <c r="A4564">
        <v>5970</v>
      </c>
      <c r="B4564" t="s">
        <v>27</v>
      </c>
      <c r="C4564" t="s">
        <v>73</v>
      </c>
      <c r="D4564" t="s">
        <v>73</v>
      </c>
      <c r="E4564" t="s">
        <v>12149</v>
      </c>
      <c r="G4564" t="s">
        <v>30</v>
      </c>
      <c r="H4564" t="s">
        <v>12150</v>
      </c>
      <c r="I4564" s="4">
        <v>45871.875</v>
      </c>
      <c r="J4564" t="s">
        <v>12151</v>
      </c>
      <c r="K4564" t="s">
        <v>1106</v>
      </c>
      <c r="L4564" s="5" t="s">
        <v>12152</v>
      </c>
      <c r="M4564" s="5"/>
      <c r="N4564" t="s">
        <v>46</v>
      </c>
      <c r="R4564">
        <v>0.6</v>
      </c>
      <c r="T4564" s="5" t="s">
        <v>38</v>
      </c>
      <c r="Y4564" t="str">
        <f>VLOOKUP(C4564,'[1]DBS_KPY Sorumlular'!A:C,2,FALSE)</f>
        <v>Ayşegül AKGÜL</v>
      </c>
      <c r="Z4564" t="str">
        <f>VLOOKUP(C4564,'[1]DBS_KPY Sorumlular'!A:C,3,FALSE)</f>
        <v>Sinan ERDAŞ</v>
      </c>
      <c r="AA4564" t="str">
        <f>VLOOKUP(K4564,[1]!Tablo3[#Data],2,FALSE)</f>
        <v>Tayfun VİÇE</v>
      </c>
    </row>
    <row r="4565" spans="1:27" x14ac:dyDescent="0.25">
      <c r="A4565">
        <v>5971</v>
      </c>
      <c r="B4565" t="s">
        <v>27</v>
      </c>
      <c r="C4565" t="s">
        <v>73</v>
      </c>
      <c r="D4565" t="s">
        <v>73</v>
      </c>
      <c r="E4565" t="s">
        <v>12149</v>
      </c>
      <c r="G4565" t="s">
        <v>30</v>
      </c>
      <c r="H4565" t="s">
        <v>12153</v>
      </c>
      <c r="I4565" s="4">
        <v>46020.875</v>
      </c>
      <c r="J4565" t="s">
        <v>12154</v>
      </c>
      <c r="K4565" t="s">
        <v>1221</v>
      </c>
      <c r="L4565" s="5" t="s">
        <v>12155</v>
      </c>
      <c r="M4565" s="5"/>
      <c r="N4565" t="s">
        <v>46</v>
      </c>
      <c r="R4565">
        <v>0.04</v>
      </c>
      <c r="T4565" s="5" t="s">
        <v>38</v>
      </c>
      <c r="Y4565" t="str">
        <f>VLOOKUP(C4565,'[1]DBS_KPY Sorumlular'!A:C,2,FALSE)</f>
        <v>Ayşegül AKGÜL</v>
      </c>
      <c r="Z4565" t="str">
        <f>VLOOKUP(C4565,'[1]DBS_KPY Sorumlular'!A:C,3,FALSE)</f>
        <v>Sinan ERDAŞ</v>
      </c>
      <c r="AA4565" t="str">
        <f>VLOOKUP(K4565,[1]!Tablo3[#Data],2,FALSE)</f>
        <v>Tayfun VİÇE</v>
      </c>
    </row>
    <row r="4566" spans="1:27" x14ac:dyDescent="0.25">
      <c r="A4566">
        <v>5972</v>
      </c>
      <c r="B4566" t="s">
        <v>27</v>
      </c>
      <c r="C4566" t="s">
        <v>73</v>
      </c>
      <c r="D4566" t="s">
        <v>73</v>
      </c>
      <c r="E4566" t="s">
        <v>12149</v>
      </c>
      <c r="G4566" t="s">
        <v>30</v>
      </c>
      <c r="H4566" t="s">
        <v>12156</v>
      </c>
      <c r="I4566" s="4">
        <v>46358.875</v>
      </c>
      <c r="J4566" t="s">
        <v>12157</v>
      </c>
      <c r="K4566" t="s">
        <v>1471</v>
      </c>
      <c r="L4566" s="5" t="s">
        <v>12158</v>
      </c>
      <c r="M4566" s="5"/>
      <c r="N4566" t="s">
        <v>46</v>
      </c>
      <c r="R4566">
        <v>7.0000000000000007E-2</v>
      </c>
      <c r="T4566" s="5" t="s">
        <v>38</v>
      </c>
      <c r="Y4566" t="str">
        <f>VLOOKUP(C4566,'[1]DBS_KPY Sorumlular'!A:C,2,FALSE)</f>
        <v>Ayşegül AKGÜL</v>
      </c>
      <c r="Z4566" t="str">
        <f>VLOOKUP(C4566,'[1]DBS_KPY Sorumlular'!A:C,3,FALSE)</f>
        <v>Sinan ERDAŞ</v>
      </c>
      <c r="AA4566" t="str">
        <f>VLOOKUP(K4566,[1]!Tablo3[#Data],2,FALSE)</f>
        <v>Tayfun VİÇE</v>
      </c>
    </row>
    <row r="4567" spans="1:27" x14ac:dyDescent="0.25">
      <c r="A4567">
        <v>5973</v>
      </c>
      <c r="B4567" t="s">
        <v>27</v>
      </c>
      <c r="C4567" t="s">
        <v>73</v>
      </c>
      <c r="D4567" t="s">
        <v>73</v>
      </c>
      <c r="E4567" t="s">
        <v>12149</v>
      </c>
      <c r="G4567" t="s">
        <v>30</v>
      </c>
      <c r="H4567" t="s">
        <v>12159</v>
      </c>
      <c r="I4567" s="4">
        <v>46358.875</v>
      </c>
      <c r="J4567" t="s">
        <v>12160</v>
      </c>
      <c r="K4567" t="s">
        <v>98</v>
      </c>
      <c r="L4567" s="5" t="s">
        <v>12161</v>
      </c>
      <c r="M4567" s="5"/>
      <c r="N4567" t="s">
        <v>46</v>
      </c>
      <c r="R4567">
        <v>0.08</v>
      </c>
      <c r="T4567" s="5" t="s">
        <v>38</v>
      </c>
      <c r="Y4567" t="str">
        <f>VLOOKUP(C4567,'[1]DBS_KPY Sorumlular'!A:C,2,FALSE)</f>
        <v>Ayşegül AKGÜL</v>
      </c>
      <c r="Z4567" t="str">
        <f>VLOOKUP(C4567,'[1]DBS_KPY Sorumlular'!A:C,3,FALSE)</f>
        <v>Sinan ERDAŞ</v>
      </c>
      <c r="AA4567" t="str">
        <f>VLOOKUP(K4567,[1]!Tablo3[#Data],2,FALSE)</f>
        <v>Tayfun VİÇE</v>
      </c>
    </row>
    <row r="4568" spans="1:27" x14ac:dyDescent="0.25">
      <c r="A4568">
        <v>5974</v>
      </c>
      <c r="B4568" t="s">
        <v>27</v>
      </c>
      <c r="C4568" t="s">
        <v>652</v>
      </c>
      <c r="D4568" t="s">
        <v>11852</v>
      </c>
      <c r="G4568" t="s">
        <v>30</v>
      </c>
      <c r="H4568" t="s">
        <v>12162</v>
      </c>
      <c r="I4568" s="4"/>
      <c r="K4568" t="s">
        <v>678</v>
      </c>
      <c r="L4568" s="5"/>
      <c r="M4568" s="5"/>
      <c r="N4568" t="s">
        <v>82</v>
      </c>
      <c r="O4568" t="s">
        <v>12163</v>
      </c>
      <c r="R4568">
        <v>1</v>
      </c>
      <c r="T4568" s="5"/>
      <c r="W4568">
        <v>267</v>
      </c>
      <c r="X4568" t="s">
        <v>6211</v>
      </c>
      <c r="Y4568" t="str">
        <f>VLOOKUP(C4568,'[1]DBS_KPY Sorumlular'!A:C,2,FALSE)</f>
        <v>Seyithan İŞİK</v>
      </c>
      <c r="Z4568" t="str">
        <f>VLOOKUP(C4568,'[1]DBS_KPY Sorumlular'!A:C,3,FALSE)</f>
        <v>Korhan KÖROĞLU</v>
      </c>
      <c r="AA4568" t="str">
        <f>VLOOKUP(K4568,[1]!Tablo3[#Data],2,FALSE)</f>
        <v>Kadir TOPÇU</v>
      </c>
    </row>
    <row r="4569" spans="1:27" x14ac:dyDescent="0.25">
      <c r="A4569">
        <v>5975</v>
      </c>
      <c r="B4569" t="s">
        <v>27</v>
      </c>
      <c r="C4569" t="s">
        <v>652</v>
      </c>
      <c r="D4569" t="s">
        <v>11852</v>
      </c>
      <c r="G4569" t="s">
        <v>30</v>
      </c>
      <c r="H4569" t="s">
        <v>12164</v>
      </c>
      <c r="I4569" s="4"/>
      <c r="K4569" t="s">
        <v>743</v>
      </c>
      <c r="L4569" s="5"/>
      <c r="M4569" s="5"/>
      <c r="N4569" t="s">
        <v>82</v>
      </c>
      <c r="O4569" t="s">
        <v>12165</v>
      </c>
      <c r="R4569">
        <v>1</v>
      </c>
      <c r="T4569" s="5"/>
      <c r="W4569">
        <v>267</v>
      </c>
      <c r="X4569" t="s">
        <v>6211</v>
      </c>
      <c r="Y4569" t="str">
        <f>VLOOKUP(C4569,'[1]DBS_KPY Sorumlular'!A:C,2,FALSE)</f>
        <v>Seyithan İŞİK</v>
      </c>
      <c r="Z4569" t="str">
        <f>VLOOKUP(C4569,'[1]DBS_KPY Sorumlular'!A:C,3,FALSE)</f>
        <v>Korhan KÖROĞLU</v>
      </c>
      <c r="AA4569" t="str">
        <f>VLOOKUP(K4569,[1]!Tablo3[#Data],2,FALSE)</f>
        <v>Kadir TOPÇU</v>
      </c>
    </row>
    <row r="4570" spans="1:27" x14ac:dyDescent="0.25">
      <c r="A4570">
        <v>5976</v>
      </c>
      <c r="B4570" t="s">
        <v>27</v>
      </c>
      <c r="C4570" t="s">
        <v>652</v>
      </c>
      <c r="D4570" t="s">
        <v>11852</v>
      </c>
      <c r="G4570" t="s">
        <v>30</v>
      </c>
      <c r="H4570" t="s">
        <v>12166</v>
      </c>
      <c r="I4570" s="4"/>
      <c r="K4570" t="s">
        <v>835</v>
      </c>
      <c r="L4570" s="5"/>
      <c r="M4570" s="5"/>
      <c r="N4570" t="s">
        <v>82</v>
      </c>
      <c r="O4570" t="s">
        <v>12167</v>
      </c>
      <c r="R4570">
        <v>1</v>
      </c>
      <c r="T4570" s="5"/>
      <c r="W4570">
        <v>267</v>
      </c>
      <c r="X4570" t="s">
        <v>6211</v>
      </c>
      <c r="Y4570" t="str">
        <f>VLOOKUP(C4570,'[1]DBS_KPY Sorumlular'!A:C,2,FALSE)</f>
        <v>Seyithan İŞİK</v>
      </c>
      <c r="Z4570" t="str">
        <f>VLOOKUP(C4570,'[1]DBS_KPY Sorumlular'!A:C,3,FALSE)</f>
        <v>Korhan KÖROĞLU</v>
      </c>
      <c r="AA4570" t="str">
        <f>VLOOKUP(K4570,[1]!Tablo3[#Data],2,FALSE)</f>
        <v>Kadir TOPÇU</v>
      </c>
    </row>
    <row r="4571" spans="1:27" x14ac:dyDescent="0.25">
      <c r="A4571">
        <v>5977</v>
      </c>
      <c r="B4571" t="s">
        <v>27</v>
      </c>
      <c r="C4571" t="s">
        <v>652</v>
      </c>
      <c r="D4571" t="s">
        <v>11852</v>
      </c>
      <c r="G4571" t="s">
        <v>30</v>
      </c>
      <c r="H4571" t="s">
        <v>12168</v>
      </c>
      <c r="I4571" s="4"/>
      <c r="K4571" t="s">
        <v>1029</v>
      </c>
      <c r="L4571" s="5"/>
      <c r="M4571" s="5"/>
      <c r="N4571" t="s">
        <v>82</v>
      </c>
      <c r="O4571" t="s">
        <v>12169</v>
      </c>
      <c r="R4571">
        <v>1</v>
      </c>
      <c r="T4571" s="5"/>
      <c r="W4571">
        <v>267</v>
      </c>
      <c r="X4571" t="s">
        <v>6211</v>
      </c>
      <c r="Y4571" t="str">
        <f>VLOOKUP(C4571,'[1]DBS_KPY Sorumlular'!A:C,2,FALSE)</f>
        <v>Seyithan İŞİK</v>
      </c>
      <c r="Z4571" t="str">
        <f>VLOOKUP(C4571,'[1]DBS_KPY Sorumlular'!A:C,3,FALSE)</f>
        <v>Korhan KÖROĞLU</v>
      </c>
      <c r="AA4571" t="str">
        <f>VLOOKUP(K4571,[1]!Tablo3[#Data],2,FALSE)</f>
        <v>Tayfun VİÇE</v>
      </c>
    </row>
    <row r="4572" spans="1:27" x14ac:dyDescent="0.25">
      <c r="A4572">
        <v>5978</v>
      </c>
      <c r="B4572" t="s">
        <v>27</v>
      </c>
      <c r="C4572" t="s">
        <v>652</v>
      </c>
      <c r="D4572" t="s">
        <v>11852</v>
      </c>
      <c r="G4572" t="s">
        <v>30</v>
      </c>
      <c r="H4572" t="s">
        <v>12170</v>
      </c>
      <c r="I4572" s="4"/>
      <c r="K4572" t="s">
        <v>1029</v>
      </c>
      <c r="L4572" s="5"/>
      <c r="M4572" s="5"/>
      <c r="N4572" t="s">
        <v>82</v>
      </c>
      <c r="O4572" t="s">
        <v>12171</v>
      </c>
      <c r="R4572">
        <v>1</v>
      </c>
      <c r="T4572" s="5"/>
      <c r="W4572">
        <v>267</v>
      </c>
      <c r="X4572" t="s">
        <v>6211</v>
      </c>
      <c r="Y4572" t="str">
        <f>VLOOKUP(C4572,'[1]DBS_KPY Sorumlular'!A:C,2,FALSE)</f>
        <v>Seyithan İŞİK</v>
      </c>
      <c r="Z4572" t="str">
        <f>VLOOKUP(C4572,'[1]DBS_KPY Sorumlular'!A:C,3,FALSE)</f>
        <v>Korhan KÖROĞLU</v>
      </c>
      <c r="AA4572" t="str">
        <f>VLOOKUP(K4572,[1]!Tablo3[#Data],2,FALSE)</f>
        <v>Tayfun VİÇE</v>
      </c>
    </row>
    <row r="4573" spans="1:27" x14ac:dyDescent="0.25">
      <c r="A4573">
        <v>5979</v>
      </c>
      <c r="B4573" t="s">
        <v>27</v>
      </c>
      <c r="C4573" t="s">
        <v>652</v>
      </c>
      <c r="D4573" t="s">
        <v>11852</v>
      </c>
      <c r="G4573" t="s">
        <v>30</v>
      </c>
      <c r="H4573" t="s">
        <v>12172</v>
      </c>
      <c r="I4573" s="4"/>
      <c r="K4573" t="s">
        <v>1029</v>
      </c>
      <c r="L4573" s="5"/>
      <c r="M4573" s="5"/>
      <c r="N4573" t="s">
        <v>82</v>
      </c>
      <c r="O4573" t="s">
        <v>12173</v>
      </c>
      <c r="R4573">
        <v>1</v>
      </c>
      <c r="T4573" s="5"/>
      <c r="W4573">
        <v>267</v>
      </c>
      <c r="X4573" t="s">
        <v>6211</v>
      </c>
      <c r="Y4573" t="str">
        <f>VLOOKUP(C4573,'[1]DBS_KPY Sorumlular'!A:C,2,FALSE)</f>
        <v>Seyithan İŞİK</v>
      </c>
      <c r="Z4573" t="str">
        <f>VLOOKUP(C4573,'[1]DBS_KPY Sorumlular'!A:C,3,FALSE)</f>
        <v>Korhan KÖROĞLU</v>
      </c>
      <c r="AA4573" t="str">
        <f>VLOOKUP(K4573,[1]!Tablo3[#Data],2,FALSE)</f>
        <v>Tayfun VİÇE</v>
      </c>
    </row>
    <row r="4574" spans="1:27" x14ac:dyDescent="0.25">
      <c r="A4574">
        <v>5980</v>
      </c>
      <c r="B4574" t="s">
        <v>27</v>
      </c>
      <c r="C4574" t="s">
        <v>652</v>
      </c>
      <c r="D4574" t="s">
        <v>11852</v>
      </c>
      <c r="G4574" t="s">
        <v>30</v>
      </c>
      <c r="H4574" t="s">
        <v>12174</v>
      </c>
      <c r="I4574" s="4"/>
      <c r="K4574" t="s">
        <v>280</v>
      </c>
      <c r="L4574" s="5"/>
      <c r="M4574" s="5"/>
      <c r="N4574" t="s">
        <v>82</v>
      </c>
      <c r="O4574" t="s">
        <v>12175</v>
      </c>
      <c r="R4574">
        <v>1</v>
      </c>
      <c r="T4574" s="5"/>
      <c r="W4574">
        <v>267</v>
      </c>
      <c r="X4574" t="s">
        <v>6211</v>
      </c>
      <c r="Y4574" t="str">
        <f>VLOOKUP(C4574,'[1]DBS_KPY Sorumlular'!A:C,2,FALSE)</f>
        <v>Seyithan İŞİK</v>
      </c>
      <c r="Z4574" t="str">
        <f>VLOOKUP(C4574,'[1]DBS_KPY Sorumlular'!A:C,3,FALSE)</f>
        <v>Korhan KÖROĞLU</v>
      </c>
      <c r="AA4574" t="str">
        <f>VLOOKUP(K4574,[1]!Tablo3[#Data],2,FALSE)</f>
        <v>Erkan AKDOĞAN</v>
      </c>
    </row>
    <row r="4575" spans="1:27" x14ac:dyDescent="0.25">
      <c r="A4575">
        <v>5981</v>
      </c>
      <c r="B4575" t="s">
        <v>27</v>
      </c>
      <c r="C4575" t="s">
        <v>652</v>
      </c>
      <c r="D4575" t="s">
        <v>11852</v>
      </c>
      <c r="G4575" t="s">
        <v>30</v>
      </c>
      <c r="H4575" t="s">
        <v>12176</v>
      </c>
      <c r="I4575" s="4"/>
      <c r="K4575" t="s">
        <v>280</v>
      </c>
      <c r="L4575" s="5"/>
      <c r="M4575" s="5"/>
      <c r="N4575" t="s">
        <v>82</v>
      </c>
      <c r="O4575" t="s">
        <v>12177</v>
      </c>
      <c r="R4575">
        <v>1</v>
      </c>
      <c r="T4575" s="5"/>
      <c r="W4575">
        <v>267</v>
      </c>
      <c r="X4575" t="s">
        <v>6211</v>
      </c>
      <c r="Y4575" t="str">
        <f>VLOOKUP(C4575,'[1]DBS_KPY Sorumlular'!A:C,2,FALSE)</f>
        <v>Seyithan İŞİK</v>
      </c>
      <c r="Z4575" t="str">
        <f>VLOOKUP(C4575,'[1]DBS_KPY Sorumlular'!A:C,3,FALSE)</f>
        <v>Korhan KÖROĞLU</v>
      </c>
      <c r="AA4575" t="str">
        <f>VLOOKUP(K4575,[1]!Tablo3[#Data],2,FALSE)</f>
        <v>Erkan AKDOĞAN</v>
      </c>
    </row>
    <row r="4576" spans="1:27" x14ac:dyDescent="0.25">
      <c r="A4576">
        <v>5982</v>
      </c>
      <c r="B4576" t="s">
        <v>27</v>
      </c>
      <c r="C4576" t="s">
        <v>652</v>
      </c>
      <c r="D4576" t="s">
        <v>11852</v>
      </c>
      <c r="G4576" t="s">
        <v>30</v>
      </c>
      <c r="H4576" t="s">
        <v>12178</v>
      </c>
      <c r="I4576" s="4"/>
      <c r="K4576" t="s">
        <v>280</v>
      </c>
      <c r="L4576" s="5"/>
      <c r="M4576" s="5"/>
      <c r="N4576" t="s">
        <v>82</v>
      </c>
      <c r="O4576" t="s">
        <v>12179</v>
      </c>
      <c r="R4576">
        <v>1</v>
      </c>
      <c r="T4576" s="5"/>
      <c r="W4576">
        <v>267</v>
      </c>
      <c r="X4576" t="s">
        <v>6211</v>
      </c>
      <c r="Y4576" t="str">
        <f>VLOOKUP(C4576,'[1]DBS_KPY Sorumlular'!A:C,2,FALSE)</f>
        <v>Seyithan İŞİK</v>
      </c>
      <c r="Z4576" t="str">
        <f>VLOOKUP(C4576,'[1]DBS_KPY Sorumlular'!A:C,3,FALSE)</f>
        <v>Korhan KÖROĞLU</v>
      </c>
      <c r="AA4576" t="str">
        <f>VLOOKUP(K4576,[1]!Tablo3[#Data],2,FALSE)</f>
        <v>Erkan AKDOĞAN</v>
      </c>
    </row>
    <row r="4577" spans="1:27" x14ac:dyDescent="0.25">
      <c r="A4577">
        <v>5983</v>
      </c>
      <c r="B4577" t="s">
        <v>27</v>
      </c>
      <c r="C4577" t="s">
        <v>652</v>
      </c>
      <c r="D4577" t="s">
        <v>11852</v>
      </c>
      <c r="G4577" t="s">
        <v>30</v>
      </c>
      <c r="H4577" t="s">
        <v>12180</v>
      </c>
      <c r="I4577" s="4"/>
      <c r="K4577" t="s">
        <v>1157</v>
      </c>
      <c r="L4577" s="5"/>
      <c r="M4577" s="5"/>
      <c r="N4577" t="s">
        <v>82</v>
      </c>
      <c r="O4577" t="s">
        <v>12181</v>
      </c>
      <c r="R4577">
        <v>1</v>
      </c>
      <c r="T4577" s="5"/>
      <c r="W4577">
        <v>267</v>
      </c>
      <c r="X4577" t="s">
        <v>6211</v>
      </c>
      <c r="Y4577" t="str">
        <f>VLOOKUP(C4577,'[1]DBS_KPY Sorumlular'!A:C,2,FALSE)</f>
        <v>Seyithan İŞİK</v>
      </c>
      <c r="Z4577" t="str">
        <f>VLOOKUP(C4577,'[1]DBS_KPY Sorumlular'!A:C,3,FALSE)</f>
        <v>Korhan KÖROĞLU</v>
      </c>
      <c r="AA4577" t="str">
        <f>VLOOKUP(K4577,[1]!Tablo3[#Data],2,FALSE)</f>
        <v>Tayfun VİÇE</v>
      </c>
    </row>
    <row r="4578" spans="1:27" x14ac:dyDescent="0.25">
      <c r="A4578">
        <v>5984</v>
      </c>
      <c r="B4578" t="s">
        <v>27</v>
      </c>
      <c r="C4578" t="s">
        <v>652</v>
      </c>
      <c r="D4578" t="s">
        <v>11852</v>
      </c>
      <c r="G4578" t="s">
        <v>30</v>
      </c>
      <c r="H4578" t="s">
        <v>12182</v>
      </c>
      <c r="I4578" s="4"/>
      <c r="K4578" t="s">
        <v>1157</v>
      </c>
      <c r="L4578" s="5"/>
      <c r="M4578" s="5"/>
      <c r="N4578" t="s">
        <v>82</v>
      </c>
      <c r="O4578" t="s">
        <v>12183</v>
      </c>
      <c r="R4578">
        <v>1</v>
      </c>
      <c r="T4578" s="5"/>
      <c r="W4578">
        <v>267</v>
      </c>
      <c r="X4578" t="s">
        <v>6211</v>
      </c>
      <c r="Y4578" t="str">
        <f>VLOOKUP(C4578,'[1]DBS_KPY Sorumlular'!A:C,2,FALSE)</f>
        <v>Seyithan İŞİK</v>
      </c>
      <c r="Z4578" t="str">
        <f>VLOOKUP(C4578,'[1]DBS_KPY Sorumlular'!A:C,3,FALSE)</f>
        <v>Korhan KÖROĞLU</v>
      </c>
      <c r="AA4578" t="str">
        <f>VLOOKUP(K4578,[1]!Tablo3[#Data],2,FALSE)</f>
        <v>Tayfun VİÇE</v>
      </c>
    </row>
    <row r="4579" spans="1:27" x14ac:dyDescent="0.25">
      <c r="A4579">
        <v>5985</v>
      </c>
      <c r="B4579" t="s">
        <v>27</v>
      </c>
      <c r="C4579" t="s">
        <v>652</v>
      </c>
      <c r="D4579" t="s">
        <v>11852</v>
      </c>
      <c r="G4579" t="s">
        <v>30</v>
      </c>
      <c r="H4579" t="s">
        <v>12184</v>
      </c>
      <c r="I4579" s="4"/>
      <c r="K4579" t="s">
        <v>1157</v>
      </c>
      <c r="L4579" s="5"/>
      <c r="M4579" s="5"/>
      <c r="N4579" t="s">
        <v>82</v>
      </c>
      <c r="O4579" t="s">
        <v>12183</v>
      </c>
      <c r="R4579">
        <v>1</v>
      </c>
      <c r="T4579" s="5"/>
      <c r="W4579">
        <v>267</v>
      </c>
      <c r="X4579" t="s">
        <v>6211</v>
      </c>
      <c r="Y4579" t="str">
        <f>VLOOKUP(C4579,'[1]DBS_KPY Sorumlular'!A:C,2,FALSE)</f>
        <v>Seyithan İŞİK</v>
      </c>
      <c r="Z4579" t="str">
        <f>VLOOKUP(C4579,'[1]DBS_KPY Sorumlular'!A:C,3,FALSE)</f>
        <v>Korhan KÖROĞLU</v>
      </c>
      <c r="AA4579" t="str">
        <f>VLOOKUP(K4579,[1]!Tablo3[#Data],2,FALSE)</f>
        <v>Tayfun VİÇE</v>
      </c>
    </row>
    <row r="4580" spans="1:27" x14ac:dyDescent="0.25">
      <c r="A4580">
        <v>5986</v>
      </c>
      <c r="B4580" t="s">
        <v>27</v>
      </c>
      <c r="C4580" t="s">
        <v>652</v>
      </c>
      <c r="D4580" t="s">
        <v>11852</v>
      </c>
      <c r="G4580" t="s">
        <v>30</v>
      </c>
      <c r="H4580" t="s">
        <v>12185</v>
      </c>
      <c r="I4580" s="4"/>
      <c r="K4580" t="s">
        <v>1157</v>
      </c>
      <c r="L4580" s="5"/>
      <c r="M4580" s="5"/>
      <c r="N4580" t="s">
        <v>82</v>
      </c>
      <c r="O4580" t="s">
        <v>12183</v>
      </c>
      <c r="R4580">
        <v>1</v>
      </c>
      <c r="T4580" s="5"/>
      <c r="W4580">
        <v>267</v>
      </c>
      <c r="X4580" t="s">
        <v>6211</v>
      </c>
      <c r="Y4580" t="str">
        <f>VLOOKUP(C4580,'[1]DBS_KPY Sorumlular'!A:C,2,FALSE)</f>
        <v>Seyithan İŞİK</v>
      </c>
      <c r="Z4580" t="str">
        <f>VLOOKUP(C4580,'[1]DBS_KPY Sorumlular'!A:C,3,FALSE)</f>
        <v>Korhan KÖROĞLU</v>
      </c>
      <c r="AA4580" t="str">
        <f>VLOOKUP(K4580,[1]!Tablo3[#Data],2,FALSE)</f>
        <v>Tayfun VİÇE</v>
      </c>
    </row>
    <row r="4581" spans="1:27" x14ac:dyDescent="0.25">
      <c r="A4581">
        <v>5987</v>
      </c>
      <c r="B4581" t="s">
        <v>27</v>
      </c>
      <c r="C4581" t="s">
        <v>652</v>
      </c>
      <c r="D4581" t="s">
        <v>11852</v>
      </c>
      <c r="G4581" t="s">
        <v>30</v>
      </c>
      <c r="H4581" t="s">
        <v>12186</v>
      </c>
      <c r="I4581" s="4"/>
      <c r="K4581" t="s">
        <v>1157</v>
      </c>
      <c r="L4581" s="5"/>
      <c r="M4581" s="5"/>
      <c r="N4581" t="s">
        <v>82</v>
      </c>
      <c r="O4581" t="s">
        <v>12183</v>
      </c>
      <c r="R4581">
        <v>1</v>
      </c>
      <c r="T4581" s="5"/>
      <c r="W4581">
        <v>267</v>
      </c>
      <c r="X4581" t="s">
        <v>6211</v>
      </c>
      <c r="Y4581" t="str">
        <f>VLOOKUP(C4581,'[1]DBS_KPY Sorumlular'!A:C,2,FALSE)</f>
        <v>Seyithan İŞİK</v>
      </c>
      <c r="Z4581" t="str">
        <f>VLOOKUP(C4581,'[1]DBS_KPY Sorumlular'!A:C,3,FALSE)</f>
        <v>Korhan KÖROĞLU</v>
      </c>
      <c r="AA4581" t="str">
        <f>VLOOKUP(K4581,[1]!Tablo3[#Data],2,FALSE)</f>
        <v>Tayfun VİÇE</v>
      </c>
    </row>
    <row r="4582" spans="1:27" x14ac:dyDescent="0.25">
      <c r="A4582">
        <v>5988</v>
      </c>
      <c r="B4582" t="s">
        <v>1419</v>
      </c>
      <c r="C4582" t="s">
        <v>1674</v>
      </c>
      <c r="D4582" t="s">
        <v>1675</v>
      </c>
      <c r="F4582" t="s">
        <v>52</v>
      </c>
      <c r="G4582" t="s">
        <v>67</v>
      </c>
      <c r="H4582" t="s">
        <v>12187</v>
      </c>
      <c r="I4582" s="4"/>
      <c r="J4582" t="s">
        <v>12188</v>
      </c>
      <c r="K4582" t="s">
        <v>568</v>
      </c>
      <c r="L4582" s="5"/>
      <c r="M4582" s="5"/>
      <c r="N4582" t="s">
        <v>35</v>
      </c>
      <c r="O4582" t="s">
        <v>12189</v>
      </c>
      <c r="T4582" s="5" t="s">
        <v>48</v>
      </c>
      <c r="U4582" t="s">
        <v>12190</v>
      </c>
      <c r="V4582" t="s">
        <v>12187</v>
      </c>
      <c r="W4582">
        <v>65</v>
      </c>
      <c r="X4582" t="s">
        <v>374</v>
      </c>
      <c r="Y4582" t="str">
        <f>VLOOKUP(C4582,'[1]DBS_KPY Sorumlular'!A:C,2,FALSE)</f>
        <v>Kadir TOPÇU</v>
      </c>
      <c r="Z4582" t="str">
        <f>VLOOKUP(C4582,'[1]DBS_KPY Sorumlular'!A:C,3,FALSE)</f>
        <v>Erkan AKDOĞAN</v>
      </c>
      <c r="AA4582" t="str">
        <f>VLOOKUP(K4582,[1]!Tablo3[#Data],2,FALSE)</f>
        <v>Erkan AKDOĞAN</v>
      </c>
    </row>
    <row r="4583" spans="1:27" x14ac:dyDescent="0.25">
      <c r="A4583">
        <v>5989</v>
      </c>
      <c r="B4583" t="s">
        <v>1419</v>
      </c>
      <c r="C4583" t="s">
        <v>1674</v>
      </c>
      <c r="D4583" t="s">
        <v>1675</v>
      </c>
      <c r="F4583" t="s">
        <v>439</v>
      </c>
      <c r="G4583" t="s">
        <v>291</v>
      </c>
      <c r="H4583" t="s">
        <v>12191</v>
      </c>
      <c r="I4583" s="4"/>
      <c r="J4583" t="s">
        <v>12192</v>
      </c>
      <c r="K4583" t="s">
        <v>743</v>
      </c>
      <c r="L4583" s="5" t="s">
        <v>12193</v>
      </c>
      <c r="M4583" s="5"/>
      <c r="N4583" t="s">
        <v>35</v>
      </c>
      <c r="O4583" t="s">
        <v>12194</v>
      </c>
      <c r="T4583" s="5" t="s">
        <v>48</v>
      </c>
      <c r="U4583" t="s">
        <v>12195</v>
      </c>
      <c r="V4583" t="s">
        <v>12191</v>
      </c>
      <c r="W4583">
        <v>148</v>
      </c>
      <c r="X4583" t="s">
        <v>368</v>
      </c>
      <c r="Y4583" t="str">
        <f>VLOOKUP(C4583,'[1]DBS_KPY Sorumlular'!A:C,2,FALSE)</f>
        <v>Kadir TOPÇU</v>
      </c>
      <c r="Z4583" t="str">
        <f>VLOOKUP(C4583,'[1]DBS_KPY Sorumlular'!A:C,3,FALSE)</f>
        <v>Erkan AKDOĞAN</v>
      </c>
      <c r="AA4583" t="str">
        <f>VLOOKUP(K4583,[1]!Tablo3[#Data],2,FALSE)</f>
        <v>Kadir TOPÇU</v>
      </c>
    </row>
    <row r="4584" spans="1:27" x14ac:dyDescent="0.25">
      <c r="A4584">
        <v>5990</v>
      </c>
      <c r="B4584" t="s">
        <v>1419</v>
      </c>
      <c r="C4584" t="s">
        <v>1674</v>
      </c>
      <c r="D4584" t="s">
        <v>1675</v>
      </c>
      <c r="F4584" t="s">
        <v>306</v>
      </c>
      <c r="G4584" t="s">
        <v>96</v>
      </c>
      <c r="H4584" t="s">
        <v>12196</v>
      </c>
      <c r="I4584" s="4"/>
      <c r="J4584" t="s">
        <v>12197</v>
      </c>
      <c r="K4584" t="s">
        <v>1157</v>
      </c>
      <c r="L4584" s="5"/>
      <c r="M4584" s="5"/>
      <c r="N4584" t="s">
        <v>35</v>
      </c>
      <c r="O4584" t="s">
        <v>12198</v>
      </c>
      <c r="T4584" s="5" t="s">
        <v>48</v>
      </c>
      <c r="U4584" t="s">
        <v>12199</v>
      </c>
      <c r="V4584" t="s">
        <v>12196</v>
      </c>
      <c r="W4584">
        <v>6</v>
      </c>
      <c r="X4584" t="s">
        <v>3668</v>
      </c>
      <c r="Y4584" t="str">
        <f>VLOOKUP(C4584,'[1]DBS_KPY Sorumlular'!A:C,2,FALSE)</f>
        <v>Kadir TOPÇU</v>
      </c>
      <c r="Z4584" t="str">
        <f>VLOOKUP(C4584,'[1]DBS_KPY Sorumlular'!A:C,3,FALSE)</f>
        <v>Erkan AKDOĞAN</v>
      </c>
      <c r="AA4584" t="str">
        <f>VLOOKUP(K4584,[1]!Tablo3[#Data],2,FALSE)</f>
        <v>Tayfun VİÇE</v>
      </c>
    </row>
    <row r="4585" spans="1:27" x14ac:dyDescent="0.25">
      <c r="A4585">
        <v>5991</v>
      </c>
      <c r="B4585" t="s">
        <v>1419</v>
      </c>
      <c r="C4585" t="s">
        <v>1674</v>
      </c>
      <c r="D4585" t="s">
        <v>1675</v>
      </c>
      <c r="F4585" t="s">
        <v>306</v>
      </c>
      <c r="G4585" t="s">
        <v>96</v>
      </c>
      <c r="H4585" t="s">
        <v>12200</v>
      </c>
      <c r="I4585" s="4"/>
      <c r="J4585" t="s">
        <v>12201</v>
      </c>
      <c r="K4585" t="s">
        <v>423</v>
      </c>
      <c r="L4585" s="5"/>
      <c r="M4585" s="5"/>
      <c r="N4585" t="s">
        <v>35</v>
      </c>
      <c r="O4585" t="s">
        <v>12202</v>
      </c>
      <c r="T4585" s="5" t="s">
        <v>48</v>
      </c>
      <c r="U4585" t="s">
        <v>12203</v>
      </c>
      <c r="V4585" t="s">
        <v>12200</v>
      </c>
      <c r="W4585">
        <v>28</v>
      </c>
      <c r="X4585" t="s">
        <v>667</v>
      </c>
      <c r="Y4585" t="str">
        <f>VLOOKUP(C4585,'[1]DBS_KPY Sorumlular'!A:C,2,FALSE)</f>
        <v>Kadir TOPÇU</v>
      </c>
      <c r="Z4585" t="str">
        <f>VLOOKUP(C4585,'[1]DBS_KPY Sorumlular'!A:C,3,FALSE)</f>
        <v>Erkan AKDOĞAN</v>
      </c>
      <c r="AA4585" t="str">
        <f>VLOOKUP(K4585,[1]!Tablo3[#Data],2,FALSE)</f>
        <v>Kadir TOPÇU</v>
      </c>
    </row>
    <row r="4586" spans="1:27" x14ac:dyDescent="0.25">
      <c r="A4586">
        <v>5992</v>
      </c>
      <c r="B4586" t="s">
        <v>1419</v>
      </c>
      <c r="C4586" t="s">
        <v>1674</v>
      </c>
      <c r="D4586" t="s">
        <v>1675</v>
      </c>
      <c r="F4586" t="s">
        <v>66</v>
      </c>
      <c r="G4586" t="s">
        <v>67</v>
      </c>
      <c r="H4586" t="s">
        <v>12204</v>
      </c>
      <c r="I4586" s="4"/>
      <c r="J4586" t="s">
        <v>12205</v>
      </c>
      <c r="K4586" t="s">
        <v>1471</v>
      </c>
      <c r="L4586" s="5"/>
      <c r="M4586" s="5"/>
      <c r="N4586" t="s">
        <v>35</v>
      </c>
      <c r="O4586" t="s">
        <v>12206</v>
      </c>
      <c r="T4586" s="5" t="s">
        <v>48</v>
      </c>
      <c r="U4586" t="s">
        <v>12207</v>
      </c>
      <c r="V4586" t="s">
        <v>12204</v>
      </c>
      <c r="W4586">
        <v>208</v>
      </c>
      <c r="X4586" t="s">
        <v>594</v>
      </c>
      <c r="Y4586" t="str">
        <f>VLOOKUP(C4586,'[1]DBS_KPY Sorumlular'!A:C,2,FALSE)</f>
        <v>Kadir TOPÇU</v>
      </c>
      <c r="Z4586" t="str">
        <f>VLOOKUP(C4586,'[1]DBS_KPY Sorumlular'!A:C,3,FALSE)</f>
        <v>Erkan AKDOĞAN</v>
      </c>
      <c r="AA4586" t="str">
        <f>VLOOKUP(K4586,[1]!Tablo3[#Data],2,FALSE)</f>
        <v>Tayfun VİÇE</v>
      </c>
    </row>
    <row r="4587" spans="1:27" x14ac:dyDescent="0.25">
      <c r="A4587">
        <v>5993</v>
      </c>
      <c r="B4587" t="s">
        <v>1419</v>
      </c>
      <c r="C4587" t="s">
        <v>1674</v>
      </c>
      <c r="D4587" t="s">
        <v>1675</v>
      </c>
      <c r="F4587" t="s">
        <v>306</v>
      </c>
      <c r="G4587" t="s">
        <v>96</v>
      </c>
      <c r="H4587" t="s">
        <v>12208</v>
      </c>
      <c r="I4587" s="4"/>
      <c r="J4587" t="s">
        <v>12209</v>
      </c>
      <c r="K4587" t="s">
        <v>1471</v>
      </c>
      <c r="L4587" s="5"/>
      <c r="M4587" s="5" t="s">
        <v>12210</v>
      </c>
      <c r="N4587" t="s">
        <v>35</v>
      </c>
      <c r="O4587" t="s">
        <v>12211</v>
      </c>
      <c r="T4587" s="5" t="s">
        <v>48</v>
      </c>
      <c r="U4587" t="s">
        <v>12212</v>
      </c>
      <c r="V4587" t="s">
        <v>12208</v>
      </c>
      <c r="W4587">
        <v>150</v>
      </c>
      <c r="X4587" t="s">
        <v>485</v>
      </c>
      <c r="Y4587" t="str">
        <f>VLOOKUP(C4587,'[1]DBS_KPY Sorumlular'!A:C,2,FALSE)</f>
        <v>Kadir TOPÇU</v>
      </c>
      <c r="Z4587" t="str">
        <f>VLOOKUP(C4587,'[1]DBS_KPY Sorumlular'!A:C,3,FALSE)</f>
        <v>Erkan AKDOĞAN</v>
      </c>
      <c r="AA4587" t="str">
        <f>VLOOKUP(K4587,[1]!Tablo3[#Data],2,FALSE)</f>
        <v>Tayfun VİÇE</v>
      </c>
    </row>
    <row r="4588" spans="1:27" x14ac:dyDescent="0.25">
      <c r="A4588">
        <v>5994</v>
      </c>
      <c r="B4588" t="s">
        <v>1419</v>
      </c>
      <c r="C4588" t="s">
        <v>1674</v>
      </c>
      <c r="D4588" t="s">
        <v>1675</v>
      </c>
      <c r="F4588" t="s">
        <v>439</v>
      </c>
      <c r="G4588" t="s">
        <v>291</v>
      </c>
      <c r="H4588" t="s">
        <v>12213</v>
      </c>
      <c r="I4588" s="4"/>
      <c r="J4588" t="s">
        <v>12214</v>
      </c>
      <c r="K4588" t="s">
        <v>1528</v>
      </c>
      <c r="L4588" s="5"/>
      <c r="M4588" s="5"/>
      <c r="N4588" t="s">
        <v>35</v>
      </c>
      <c r="O4588" t="s">
        <v>12215</v>
      </c>
      <c r="T4588" s="5" t="s">
        <v>48</v>
      </c>
      <c r="U4588" t="s">
        <v>12216</v>
      </c>
      <c r="V4588" t="s">
        <v>12213</v>
      </c>
      <c r="W4588">
        <v>148</v>
      </c>
      <c r="X4588" t="s">
        <v>368</v>
      </c>
      <c r="Y4588" t="str">
        <f>VLOOKUP(C4588,'[1]DBS_KPY Sorumlular'!A:C,2,FALSE)</f>
        <v>Kadir TOPÇU</v>
      </c>
      <c r="Z4588" t="str">
        <f>VLOOKUP(C4588,'[1]DBS_KPY Sorumlular'!A:C,3,FALSE)</f>
        <v>Erkan AKDOĞAN</v>
      </c>
      <c r="AA4588" t="str">
        <f>VLOOKUP(K4588,[1]!Tablo3[#Data],2,FALSE)</f>
        <v>Tayfun VİÇE</v>
      </c>
    </row>
    <row r="4589" spans="1:27" x14ac:dyDescent="0.25">
      <c r="A4589">
        <v>5995</v>
      </c>
      <c r="B4589" t="s">
        <v>27</v>
      </c>
      <c r="C4589" t="s">
        <v>652</v>
      </c>
      <c r="D4589" t="s">
        <v>11852</v>
      </c>
      <c r="G4589" t="s">
        <v>30</v>
      </c>
      <c r="H4589" t="s">
        <v>12217</v>
      </c>
      <c r="I4589" s="4"/>
      <c r="K4589" t="s">
        <v>1157</v>
      </c>
      <c r="L4589" s="5"/>
      <c r="M4589" s="5"/>
      <c r="N4589" t="s">
        <v>82</v>
      </c>
      <c r="O4589" t="s">
        <v>12218</v>
      </c>
      <c r="R4589">
        <v>1</v>
      </c>
      <c r="T4589" s="5"/>
      <c r="W4589">
        <v>267</v>
      </c>
      <c r="X4589" t="s">
        <v>6211</v>
      </c>
      <c r="Y4589" t="str">
        <f>VLOOKUP(C4589,'[1]DBS_KPY Sorumlular'!A:C,2,FALSE)</f>
        <v>Seyithan İŞİK</v>
      </c>
      <c r="Z4589" t="str">
        <f>VLOOKUP(C4589,'[1]DBS_KPY Sorumlular'!A:C,3,FALSE)</f>
        <v>Korhan KÖROĞLU</v>
      </c>
      <c r="AA4589" t="str">
        <f>VLOOKUP(K4589,[1]!Tablo3[#Data],2,FALSE)</f>
        <v>Tayfun VİÇE</v>
      </c>
    </row>
    <row r="4590" spans="1:27" x14ac:dyDescent="0.25">
      <c r="A4590">
        <v>5996</v>
      </c>
      <c r="B4590" t="s">
        <v>27</v>
      </c>
      <c r="C4590" t="s">
        <v>652</v>
      </c>
      <c r="D4590" t="s">
        <v>11852</v>
      </c>
      <c r="G4590" t="s">
        <v>30</v>
      </c>
      <c r="H4590" t="s">
        <v>12219</v>
      </c>
      <c r="I4590" s="4"/>
      <c r="K4590" t="s">
        <v>1221</v>
      </c>
      <c r="L4590" s="5"/>
      <c r="M4590" s="5"/>
      <c r="N4590" t="s">
        <v>82</v>
      </c>
      <c r="O4590" t="s">
        <v>12220</v>
      </c>
      <c r="R4590">
        <v>1</v>
      </c>
      <c r="T4590" s="5"/>
      <c r="W4590">
        <v>267</v>
      </c>
      <c r="X4590" t="s">
        <v>6211</v>
      </c>
      <c r="Y4590" t="str">
        <f>VLOOKUP(C4590,'[1]DBS_KPY Sorumlular'!A:C,2,FALSE)</f>
        <v>Seyithan İŞİK</v>
      </c>
      <c r="Z4590" t="str">
        <f>VLOOKUP(C4590,'[1]DBS_KPY Sorumlular'!A:C,3,FALSE)</f>
        <v>Korhan KÖROĞLU</v>
      </c>
      <c r="AA4590" t="str">
        <f>VLOOKUP(K4590,[1]!Tablo3[#Data],2,FALSE)</f>
        <v>Tayfun VİÇE</v>
      </c>
    </row>
    <row r="4591" spans="1:27" x14ac:dyDescent="0.25">
      <c r="A4591">
        <v>5997</v>
      </c>
      <c r="B4591" t="s">
        <v>27</v>
      </c>
      <c r="C4591" t="s">
        <v>652</v>
      </c>
      <c r="D4591" t="s">
        <v>11852</v>
      </c>
      <c r="G4591" t="s">
        <v>30</v>
      </c>
      <c r="H4591" t="s">
        <v>12221</v>
      </c>
      <c r="I4591" s="4"/>
      <c r="K4591" t="s">
        <v>1221</v>
      </c>
      <c r="L4591" s="5"/>
      <c r="M4591" s="5"/>
      <c r="N4591" t="s">
        <v>82</v>
      </c>
      <c r="O4591" t="s">
        <v>12222</v>
      </c>
      <c r="R4591">
        <v>1</v>
      </c>
      <c r="T4591" s="5"/>
      <c r="W4591">
        <v>267</v>
      </c>
      <c r="X4591" t="s">
        <v>6211</v>
      </c>
      <c r="Y4591" t="str">
        <f>VLOOKUP(C4591,'[1]DBS_KPY Sorumlular'!A:C,2,FALSE)</f>
        <v>Seyithan İŞİK</v>
      </c>
      <c r="Z4591" t="str">
        <f>VLOOKUP(C4591,'[1]DBS_KPY Sorumlular'!A:C,3,FALSE)</f>
        <v>Korhan KÖROĞLU</v>
      </c>
      <c r="AA4591" t="str">
        <f>VLOOKUP(K4591,[1]!Tablo3[#Data],2,FALSE)</f>
        <v>Tayfun VİÇE</v>
      </c>
    </row>
    <row r="4592" spans="1:27" x14ac:dyDescent="0.25">
      <c r="A4592">
        <v>5998</v>
      </c>
      <c r="B4592" t="s">
        <v>27</v>
      </c>
      <c r="C4592" t="s">
        <v>652</v>
      </c>
      <c r="D4592" t="s">
        <v>11852</v>
      </c>
      <c r="G4592" t="s">
        <v>30</v>
      </c>
      <c r="H4592" t="s">
        <v>12223</v>
      </c>
      <c r="I4592" s="4"/>
      <c r="K4592" t="s">
        <v>1221</v>
      </c>
      <c r="L4592" s="5"/>
      <c r="M4592" s="5"/>
      <c r="N4592" t="s">
        <v>82</v>
      </c>
      <c r="O4592" t="s">
        <v>12224</v>
      </c>
      <c r="R4592">
        <v>1</v>
      </c>
      <c r="T4592" s="5"/>
      <c r="W4592">
        <v>267</v>
      </c>
      <c r="X4592" t="s">
        <v>6211</v>
      </c>
      <c r="Y4592" t="str">
        <f>VLOOKUP(C4592,'[1]DBS_KPY Sorumlular'!A:C,2,FALSE)</f>
        <v>Seyithan İŞİK</v>
      </c>
      <c r="Z4592" t="str">
        <f>VLOOKUP(C4592,'[1]DBS_KPY Sorumlular'!A:C,3,FALSE)</f>
        <v>Korhan KÖROĞLU</v>
      </c>
      <c r="AA4592" t="str">
        <f>VLOOKUP(K4592,[1]!Tablo3[#Data],2,FALSE)</f>
        <v>Tayfun VİÇE</v>
      </c>
    </row>
    <row r="4593" spans="1:27" x14ac:dyDescent="0.25">
      <c r="A4593">
        <v>5999</v>
      </c>
      <c r="B4593" t="s">
        <v>27</v>
      </c>
      <c r="C4593" t="s">
        <v>652</v>
      </c>
      <c r="D4593" t="s">
        <v>11852</v>
      </c>
      <c r="G4593" t="s">
        <v>30</v>
      </c>
      <c r="H4593" t="s">
        <v>12225</v>
      </c>
      <c r="I4593" s="4"/>
      <c r="K4593" t="s">
        <v>1221</v>
      </c>
      <c r="L4593" s="5"/>
      <c r="M4593" s="5"/>
      <c r="N4593" t="s">
        <v>82</v>
      </c>
      <c r="O4593" t="s">
        <v>12226</v>
      </c>
      <c r="R4593">
        <v>1</v>
      </c>
      <c r="T4593" s="5"/>
      <c r="W4593">
        <v>267</v>
      </c>
      <c r="X4593" t="s">
        <v>6211</v>
      </c>
      <c r="Y4593" t="str">
        <f>VLOOKUP(C4593,'[1]DBS_KPY Sorumlular'!A:C,2,FALSE)</f>
        <v>Seyithan İŞİK</v>
      </c>
      <c r="Z4593" t="str">
        <f>VLOOKUP(C4593,'[1]DBS_KPY Sorumlular'!A:C,3,FALSE)</f>
        <v>Korhan KÖROĞLU</v>
      </c>
      <c r="AA4593" t="str">
        <f>VLOOKUP(K4593,[1]!Tablo3[#Data],2,FALSE)</f>
        <v>Tayfun VİÇE</v>
      </c>
    </row>
    <row r="4594" spans="1:27" x14ac:dyDescent="0.25">
      <c r="A4594">
        <v>6000</v>
      </c>
      <c r="B4594" t="s">
        <v>27</v>
      </c>
      <c r="C4594" t="s">
        <v>652</v>
      </c>
      <c r="D4594" t="s">
        <v>11852</v>
      </c>
      <c r="G4594" t="s">
        <v>30</v>
      </c>
      <c r="H4594" t="s">
        <v>12227</v>
      </c>
      <c r="I4594" s="4"/>
      <c r="K4594" t="s">
        <v>1221</v>
      </c>
      <c r="L4594" s="5"/>
      <c r="M4594" s="5"/>
      <c r="N4594" t="s">
        <v>82</v>
      </c>
      <c r="O4594" t="s">
        <v>12228</v>
      </c>
      <c r="R4594">
        <v>1</v>
      </c>
      <c r="T4594" s="5"/>
      <c r="W4594">
        <v>267</v>
      </c>
      <c r="X4594" t="s">
        <v>6211</v>
      </c>
      <c r="Y4594" t="str">
        <f>VLOOKUP(C4594,'[1]DBS_KPY Sorumlular'!A:C,2,FALSE)</f>
        <v>Seyithan İŞİK</v>
      </c>
      <c r="Z4594" t="str">
        <f>VLOOKUP(C4594,'[1]DBS_KPY Sorumlular'!A:C,3,FALSE)</f>
        <v>Korhan KÖROĞLU</v>
      </c>
      <c r="AA4594" t="str">
        <f>VLOOKUP(K4594,[1]!Tablo3[#Data],2,FALSE)</f>
        <v>Tayfun VİÇE</v>
      </c>
    </row>
    <row r="4595" spans="1:27" x14ac:dyDescent="0.25">
      <c r="A4595">
        <v>6001</v>
      </c>
      <c r="B4595" t="s">
        <v>27</v>
      </c>
      <c r="C4595" t="s">
        <v>652</v>
      </c>
      <c r="D4595" t="s">
        <v>11852</v>
      </c>
      <c r="G4595" t="s">
        <v>30</v>
      </c>
      <c r="H4595" t="s">
        <v>12229</v>
      </c>
      <c r="I4595" s="4"/>
      <c r="K4595" t="s">
        <v>1360</v>
      </c>
      <c r="L4595" s="5"/>
      <c r="M4595" s="5"/>
      <c r="N4595" t="s">
        <v>82</v>
      </c>
      <c r="O4595" t="s">
        <v>12230</v>
      </c>
      <c r="R4595">
        <v>1</v>
      </c>
      <c r="T4595" s="5"/>
      <c r="W4595">
        <v>267</v>
      </c>
      <c r="X4595" t="s">
        <v>6211</v>
      </c>
      <c r="Y4595" t="str">
        <f>VLOOKUP(C4595,'[1]DBS_KPY Sorumlular'!A:C,2,FALSE)</f>
        <v>Seyithan İŞİK</v>
      </c>
      <c r="Z4595" t="str">
        <f>VLOOKUP(C4595,'[1]DBS_KPY Sorumlular'!A:C,3,FALSE)</f>
        <v>Korhan KÖROĞLU</v>
      </c>
      <c r="AA4595" t="str">
        <f>VLOOKUP(K4595,[1]!Tablo3[#Data],2,FALSE)</f>
        <v>Kadir TOPÇU</v>
      </c>
    </row>
    <row r="4596" spans="1:27" x14ac:dyDescent="0.25">
      <c r="A4596">
        <v>6002</v>
      </c>
      <c r="B4596" t="s">
        <v>27</v>
      </c>
      <c r="C4596" t="s">
        <v>652</v>
      </c>
      <c r="D4596" t="s">
        <v>11852</v>
      </c>
      <c r="G4596" t="s">
        <v>30</v>
      </c>
      <c r="H4596" t="s">
        <v>12231</v>
      </c>
      <c r="I4596" s="4"/>
      <c r="K4596" t="s">
        <v>1360</v>
      </c>
      <c r="L4596" s="5"/>
      <c r="M4596" s="5"/>
      <c r="N4596" t="s">
        <v>82</v>
      </c>
      <c r="O4596" t="s">
        <v>12232</v>
      </c>
      <c r="R4596">
        <v>1</v>
      </c>
      <c r="T4596" s="5"/>
      <c r="W4596">
        <v>267</v>
      </c>
      <c r="X4596" t="s">
        <v>6211</v>
      </c>
      <c r="Y4596" t="str">
        <f>VLOOKUP(C4596,'[1]DBS_KPY Sorumlular'!A:C,2,FALSE)</f>
        <v>Seyithan İŞİK</v>
      </c>
      <c r="Z4596" t="str">
        <f>VLOOKUP(C4596,'[1]DBS_KPY Sorumlular'!A:C,3,FALSE)</f>
        <v>Korhan KÖROĞLU</v>
      </c>
      <c r="AA4596" t="str">
        <f>VLOOKUP(K4596,[1]!Tablo3[#Data],2,FALSE)</f>
        <v>Kadir TOPÇU</v>
      </c>
    </row>
    <row r="4597" spans="1:27" x14ac:dyDescent="0.25">
      <c r="A4597">
        <v>6003</v>
      </c>
      <c r="B4597" t="s">
        <v>27</v>
      </c>
      <c r="C4597" t="s">
        <v>652</v>
      </c>
      <c r="D4597" t="s">
        <v>11852</v>
      </c>
      <c r="G4597" t="s">
        <v>30</v>
      </c>
      <c r="H4597" t="s">
        <v>12233</v>
      </c>
      <c r="I4597" s="4"/>
      <c r="K4597" t="s">
        <v>1360</v>
      </c>
      <c r="L4597" s="5"/>
      <c r="M4597" s="5"/>
      <c r="N4597" t="s">
        <v>82</v>
      </c>
      <c r="O4597" t="s">
        <v>12234</v>
      </c>
      <c r="R4597">
        <v>1</v>
      </c>
      <c r="T4597" s="5"/>
      <c r="W4597">
        <v>267</v>
      </c>
      <c r="X4597" t="s">
        <v>6211</v>
      </c>
      <c r="Y4597" t="str">
        <f>VLOOKUP(C4597,'[1]DBS_KPY Sorumlular'!A:C,2,FALSE)</f>
        <v>Seyithan İŞİK</v>
      </c>
      <c r="Z4597" t="str">
        <f>VLOOKUP(C4597,'[1]DBS_KPY Sorumlular'!A:C,3,FALSE)</f>
        <v>Korhan KÖROĞLU</v>
      </c>
      <c r="AA4597" t="str">
        <f>VLOOKUP(K4597,[1]!Tablo3[#Data],2,FALSE)</f>
        <v>Kadir TOPÇU</v>
      </c>
    </row>
    <row r="4598" spans="1:27" x14ac:dyDescent="0.25">
      <c r="A4598">
        <v>6004</v>
      </c>
      <c r="B4598" t="s">
        <v>27</v>
      </c>
      <c r="C4598" t="s">
        <v>652</v>
      </c>
      <c r="D4598" t="s">
        <v>11852</v>
      </c>
      <c r="G4598" t="s">
        <v>30</v>
      </c>
      <c r="H4598" t="s">
        <v>12235</v>
      </c>
      <c r="I4598" s="4"/>
      <c r="K4598" t="s">
        <v>1398</v>
      </c>
      <c r="L4598" s="5"/>
      <c r="M4598" s="5"/>
      <c r="N4598" t="s">
        <v>82</v>
      </c>
      <c r="O4598" t="s">
        <v>12236</v>
      </c>
      <c r="R4598">
        <v>1</v>
      </c>
      <c r="T4598" s="5"/>
      <c r="W4598">
        <v>267</v>
      </c>
      <c r="X4598" t="s">
        <v>6211</v>
      </c>
      <c r="Y4598" t="str">
        <f>VLOOKUP(C4598,'[1]DBS_KPY Sorumlular'!A:C,2,FALSE)</f>
        <v>Seyithan İŞİK</v>
      </c>
      <c r="Z4598" t="str">
        <f>VLOOKUP(C4598,'[1]DBS_KPY Sorumlular'!A:C,3,FALSE)</f>
        <v>Korhan KÖROĞLU</v>
      </c>
      <c r="AA4598" t="str">
        <f>VLOOKUP(K4598,[1]!Tablo3[#Data],2,FALSE)</f>
        <v>Tayfun VİÇE</v>
      </c>
    </row>
    <row r="4599" spans="1:27" x14ac:dyDescent="0.25">
      <c r="A4599">
        <v>6005</v>
      </c>
      <c r="B4599" t="s">
        <v>27</v>
      </c>
      <c r="C4599" t="s">
        <v>652</v>
      </c>
      <c r="D4599" t="s">
        <v>11852</v>
      </c>
      <c r="G4599" t="s">
        <v>30</v>
      </c>
      <c r="H4599" t="s">
        <v>12237</v>
      </c>
      <c r="I4599" s="4"/>
      <c r="K4599" t="s">
        <v>1398</v>
      </c>
      <c r="L4599" s="5"/>
      <c r="M4599" s="5"/>
      <c r="N4599" t="s">
        <v>82</v>
      </c>
      <c r="O4599" t="s">
        <v>12238</v>
      </c>
      <c r="R4599">
        <v>1</v>
      </c>
      <c r="T4599" s="5"/>
      <c r="W4599">
        <v>267</v>
      </c>
      <c r="X4599" t="s">
        <v>6211</v>
      </c>
      <c r="Y4599" t="str">
        <f>VLOOKUP(C4599,'[1]DBS_KPY Sorumlular'!A:C,2,FALSE)</f>
        <v>Seyithan İŞİK</v>
      </c>
      <c r="Z4599" t="str">
        <f>VLOOKUP(C4599,'[1]DBS_KPY Sorumlular'!A:C,3,FALSE)</f>
        <v>Korhan KÖROĞLU</v>
      </c>
      <c r="AA4599" t="str">
        <f>VLOOKUP(K4599,[1]!Tablo3[#Data],2,FALSE)</f>
        <v>Tayfun VİÇE</v>
      </c>
    </row>
    <row r="4600" spans="1:27" x14ac:dyDescent="0.25">
      <c r="A4600">
        <v>6006</v>
      </c>
      <c r="B4600" t="s">
        <v>27</v>
      </c>
      <c r="C4600" t="s">
        <v>652</v>
      </c>
      <c r="D4600" t="s">
        <v>11852</v>
      </c>
      <c r="G4600" t="s">
        <v>30</v>
      </c>
      <c r="H4600" t="s">
        <v>12239</v>
      </c>
      <c r="I4600" s="4"/>
      <c r="K4600" t="s">
        <v>423</v>
      </c>
      <c r="L4600" s="5"/>
      <c r="M4600" s="5"/>
      <c r="N4600" t="s">
        <v>82</v>
      </c>
      <c r="O4600" t="s">
        <v>12240</v>
      </c>
      <c r="R4600">
        <v>1</v>
      </c>
      <c r="T4600" s="5"/>
      <c r="W4600">
        <v>267</v>
      </c>
      <c r="X4600" t="s">
        <v>6211</v>
      </c>
      <c r="Y4600" t="str">
        <f>VLOOKUP(C4600,'[1]DBS_KPY Sorumlular'!A:C,2,FALSE)</f>
        <v>Seyithan İŞİK</v>
      </c>
      <c r="Z4600" t="str">
        <f>VLOOKUP(C4600,'[1]DBS_KPY Sorumlular'!A:C,3,FALSE)</f>
        <v>Korhan KÖROĞLU</v>
      </c>
      <c r="AA4600" t="str">
        <f>VLOOKUP(K4600,[1]!Tablo3[#Data],2,FALSE)</f>
        <v>Kadir TOPÇU</v>
      </c>
    </row>
    <row r="4601" spans="1:27" x14ac:dyDescent="0.25">
      <c r="A4601">
        <v>6007</v>
      </c>
      <c r="B4601" t="s">
        <v>27</v>
      </c>
      <c r="C4601" t="s">
        <v>652</v>
      </c>
      <c r="D4601" t="s">
        <v>11852</v>
      </c>
      <c r="G4601" t="s">
        <v>30</v>
      </c>
      <c r="H4601" t="s">
        <v>12241</v>
      </c>
      <c r="I4601" s="4"/>
      <c r="K4601" t="s">
        <v>1471</v>
      </c>
      <c r="L4601" s="5"/>
      <c r="M4601" s="5"/>
      <c r="N4601" t="s">
        <v>82</v>
      </c>
      <c r="O4601" t="s">
        <v>12242</v>
      </c>
      <c r="R4601">
        <v>1</v>
      </c>
      <c r="T4601" s="5"/>
      <c r="W4601">
        <v>267</v>
      </c>
      <c r="X4601" t="s">
        <v>6211</v>
      </c>
      <c r="Y4601" t="str">
        <f>VLOOKUP(C4601,'[1]DBS_KPY Sorumlular'!A:C,2,FALSE)</f>
        <v>Seyithan İŞİK</v>
      </c>
      <c r="Z4601" t="str">
        <f>VLOOKUP(C4601,'[1]DBS_KPY Sorumlular'!A:C,3,FALSE)</f>
        <v>Korhan KÖROĞLU</v>
      </c>
      <c r="AA4601" t="str">
        <f>VLOOKUP(K4601,[1]!Tablo3[#Data],2,FALSE)</f>
        <v>Tayfun VİÇE</v>
      </c>
    </row>
    <row r="4602" spans="1:27" x14ac:dyDescent="0.25">
      <c r="A4602">
        <v>6008</v>
      </c>
      <c r="B4602" t="s">
        <v>27</v>
      </c>
      <c r="C4602" t="s">
        <v>652</v>
      </c>
      <c r="D4602" t="s">
        <v>11852</v>
      </c>
      <c r="G4602" t="s">
        <v>30</v>
      </c>
      <c r="H4602" t="s">
        <v>12243</v>
      </c>
      <c r="I4602" s="4"/>
      <c r="K4602" t="s">
        <v>1528</v>
      </c>
      <c r="L4602" s="5"/>
      <c r="M4602" s="5"/>
      <c r="N4602" t="s">
        <v>82</v>
      </c>
      <c r="O4602" t="s">
        <v>12244</v>
      </c>
      <c r="R4602">
        <v>1</v>
      </c>
      <c r="T4602" s="5"/>
      <c r="W4602">
        <v>267</v>
      </c>
      <c r="X4602" t="s">
        <v>6211</v>
      </c>
      <c r="Y4602" t="str">
        <f>VLOOKUP(C4602,'[1]DBS_KPY Sorumlular'!A:C,2,FALSE)</f>
        <v>Seyithan İŞİK</v>
      </c>
      <c r="Z4602" t="str">
        <f>VLOOKUP(C4602,'[1]DBS_KPY Sorumlular'!A:C,3,FALSE)</f>
        <v>Korhan KÖROĞLU</v>
      </c>
      <c r="AA4602" t="str">
        <f>VLOOKUP(K4602,[1]!Tablo3[#Data],2,FALSE)</f>
        <v>Tayfun VİÇE</v>
      </c>
    </row>
    <row r="4603" spans="1:27" x14ac:dyDescent="0.25">
      <c r="A4603">
        <v>6009</v>
      </c>
      <c r="B4603" t="s">
        <v>27</v>
      </c>
      <c r="C4603" t="s">
        <v>652</v>
      </c>
      <c r="D4603" t="s">
        <v>653</v>
      </c>
      <c r="G4603" t="s">
        <v>30</v>
      </c>
      <c r="H4603" t="s">
        <v>12245</v>
      </c>
      <c r="I4603" s="4"/>
      <c r="K4603" t="s">
        <v>54</v>
      </c>
      <c r="L4603" s="5"/>
      <c r="M4603" s="5"/>
      <c r="N4603" t="s">
        <v>82</v>
      </c>
      <c r="O4603" t="s">
        <v>12246</v>
      </c>
      <c r="R4603">
        <v>1</v>
      </c>
      <c r="T4603" s="5"/>
      <c r="W4603">
        <v>267</v>
      </c>
      <c r="X4603" t="s">
        <v>6211</v>
      </c>
      <c r="Y4603" t="str">
        <f>VLOOKUP(C4603,'[1]DBS_KPY Sorumlular'!A:C,2,FALSE)</f>
        <v>Seyithan İŞİK</v>
      </c>
      <c r="Z4603" t="str">
        <f>VLOOKUP(C4603,'[1]DBS_KPY Sorumlular'!A:C,3,FALSE)</f>
        <v>Korhan KÖROĞLU</v>
      </c>
      <c r="AA4603" t="str">
        <f>VLOOKUP(K4603,[1]!Tablo3[#Data],2,FALSE)</f>
        <v>Erkan AKDOĞAN</v>
      </c>
    </row>
    <row r="4604" spans="1:27" x14ac:dyDescent="0.25">
      <c r="A4604">
        <v>6010</v>
      </c>
      <c r="B4604" t="s">
        <v>27</v>
      </c>
      <c r="C4604" t="s">
        <v>652</v>
      </c>
      <c r="D4604" t="s">
        <v>653</v>
      </c>
      <c r="G4604" t="s">
        <v>30</v>
      </c>
      <c r="H4604" t="s">
        <v>12247</v>
      </c>
      <c r="I4604" s="4"/>
      <c r="K4604" t="s">
        <v>217</v>
      </c>
      <c r="L4604" s="5"/>
      <c r="M4604" s="5"/>
      <c r="N4604" t="s">
        <v>82</v>
      </c>
      <c r="O4604" t="s">
        <v>12248</v>
      </c>
      <c r="R4604">
        <v>1</v>
      </c>
      <c r="T4604" s="5"/>
      <c r="W4604">
        <v>267</v>
      </c>
      <c r="X4604" t="s">
        <v>6211</v>
      </c>
      <c r="Y4604" t="str">
        <f>VLOOKUP(C4604,'[1]DBS_KPY Sorumlular'!A:C,2,FALSE)</f>
        <v>Seyithan İŞİK</v>
      </c>
      <c r="Z4604" t="str">
        <f>VLOOKUP(C4604,'[1]DBS_KPY Sorumlular'!A:C,3,FALSE)</f>
        <v>Korhan KÖROĞLU</v>
      </c>
      <c r="AA4604" t="str">
        <f>VLOOKUP(K4604,[1]!Tablo3[#Data],2,FALSE)</f>
        <v>Erkan AKDOĞAN</v>
      </c>
    </row>
    <row r="4605" spans="1:27" x14ac:dyDescent="0.25">
      <c r="A4605">
        <v>6011</v>
      </c>
      <c r="B4605" t="s">
        <v>27</v>
      </c>
      <c r="C4605" t="s">
        <v>652</v>
      </c>
      <c r="D4605" t="s">
        <v>11852</v>
      </c>
      <c r="G4605" t="s">
        <v>30</v>
      </c>
      <c r="H4605" t="s">
        <v>12249</v>
      </c>
      <c r="I4605" s="4"/>
      <c r="K4605" t="s">
        <v>217</v>
      </c>
      <c r="L4605" s="5"/>
      <c r="M4605" s="5"/>
      <c r="N4605" t="s">
        <v>82</v>
      </c>
      <c r="O4605" t="s">
        <v>12250</v>
      </c>
      <c r="R4605">
        <v>1</v>
      </c>
      <c r="T4605" s="5"/>
      <c r="W4605">
        <v>267</v>
      </c>
      <c r="X4605" t="s">
        <v>6211</v>
      </c>
      <c r="Y4605" t="str">
        <f>VLOOKUP(C4605,'[1]DBS_KPY Sorumlular'!A:C,2,FALSE)</f>
        <v>Seyithan İŞİK</v>
      </c>
      <c r="Z4605" t="str">
        <f>VLOOKUP(C4605,'[1]DBS_KPY Sorumlular'!A:C,3,FALSE)</f>
        <v>Korhan KÖROĞLU</v>
      </c>
      <c r="AA4605" t="str">
        <f>VLOOKUP(K4605,[1]!Tablo3[#Data],2,FALSE)</f>
        <v>Erkan AKDOĞAN</v>
      </c>
    </row>
    <row r="4606" spans="1:27" x14ac:dyDescent="0.25">
      <c r="A4606">
        <v>6012</v>
      </c>
      <c r="B4606" t="s">
        <v>27</v>
      </c>
      <c r="C4606" t="s">
        <v>652</v>
      </c>
      <c r="D4606" t="s">
        <v>653</v>
      </c>
      <c r="G4606" t="s">
        <v>30</v>
      </c>
      <c r="H4606" t="s">
        <v>12251</v>
      </c>
      <c r="I4606" s="4"/>
      <c r="K4606" t="s">
        <v>435</v>
      </c>
      <c r="L4606" s="5"/>
      <c r="M4606" s="5"/>
      <c r="N4606" t="s">
        <v>82</v>
      </c>
      <c r="O4606" t="s">
        <v>12252</v>
      </c>
      <c r="R4606">
        <v>1</v>
      </c>
      <c r="T4606" s="5"/>
      <c r="W4606">
        <v>267</v>
      </c>
      <c r="X4606" t="s">
        <v>6211</v>
      </c>
      <c r="Y4606" t="str">
        <f>VLOOKUP(C4606,'[1]DBS_KPY Sorumlular'!A:C,2,FALSE)</f>
        <v>Seyithan İŞİK</v>
      </c>
      <c r="Z4606" t="str">
        <f>VLOOKUP(C4606,'[1]DBS_KPY Sorumlular'!A:C,3,FALSE)</f>
        <v>Korhan KÖROĞLU</v>
      </c>
      <c r="AA4606" t="str">
        <f>VLOOKUP(K4606,[1]!Tablo3[#Data],2,FALSE)</f>
        <v>Tayfun VİÇE</v>
      </c>
    </row>
    <row r="4607" spans="1:27" x14ac:dyDescent="0.25">
      <c r="A4607">
        <v>6013</v>
      </c>
      <c r="B4607" t="s">
        <v>1419</v>
      </c>
      <c r="C4607" t="s">
        <v>288</v>
      </c>
      <c r="D4607" t="s">
        <v>289</v>
      </c>
      <c r="F4607" t="s">
        <v>290</v>
      </c>
      <c r="G4607" t="s">
        <v>291</v>
      </c>
      <c r="H4607" t="s">
        <v>12253</v>
      </c>
      <c r="I4607" s="4"/>
      <c r="J4607" t="s">
        <v>12254</v>
      </c>
      <c r="K4607" t="s">
        <v>226</v>
      </c>
      <c r="L4607" s="5"/>
      <c r="M4607" s="5"/>
      <c r="N4607" t="s">
        <v>35</v>
      </c>
      <c r="O4607" t="s">
        <v>12255</v>
      </c>
      <c r="T4607" s="5" t="s">
        <v>38</v>
      </c>
      <c r="W4607">
        <v>23</v>
      </c>
      <c r="X4607" t="s">
        <v>295</v>
      </c>
      <c r="Y4607" t="str">
        <f>VLOOKUP(C4607,'[1]DBS_KPY Sorumlular'!A:C,2,FALSE)</f>
        <v>Sinan ERDAŞ</v>
      </c>
      <c r="Z4607" t="str">
        <f>VLOOKUP(C4607,'[1]DBS_KPY Sorumlular'!A:C,3,FALSE)</f>
        <v>Ayşegül AKGÜL</v>
      </c>
      <c r="AA4607" t="str">
        <f>VLOOKUP(K4607,[1]!Tablo3[#Data],2,FALSE)</f>
        <v>Kadir TOPÇU</v>
      </c>
    </row>
    <row r="4608" spans="1:27" x14ac:dyDescent="0.25">
      <c r="A4608">
        <v>6014</v>
      </c>
      <c r="B4608" t="s">
        <v>1419</v>
      </c>
      <c r="C4608" t="s">
        <v>288</v>
      </c>
      <c r="D4608" t="s">
        <v>289</v>
      </c>
      <c r="F4608" t="s">
        <v>290</v>
      </c>
      <c r="G4608" t="s">
        <v>291</v>
      </c>
      <c r="H4608" t="s">
        <v>12256</v>
      </c>
      <c r="I4608" s="4"/>
      <c r="J4608" t="s">
        <v>12254</v>
      </c>
      <c r="K4608" t="s">
        <v>586</v>
      </c>
      <c r="L4608" s="5"/>
      <c r="M4608" s="5"/>
      <c r="N4608" t="s">
        <v>35</v>
      </c>
      <c r="O4608" t="s">
        <v>12257</v>
      </c>
      <c r="T4608" s="5" t="s">
        <v>38</v>
      </c>
      <c r="W4608">
        <v>91</v>
      </c>
      <c r="X4608" t="s">
        <v>101</v>
      </c>
      <c r="Y4608" t="str">
        <f>VLOOKUP(C4608,'[1]DBS_KPY Sorumlular'!A:C,2,FALSE)</f>
        <v>Sinan ERDAŞ</v>
      </c>
      <c r="Z4608" t="str">
        <f>VLOOKUP(C4608,'[1]DBS_KPY Sorumlular'!A:C,3,FALSE)</f>
        <v>Ayşegül AKGÜL</v>
      </c>
      <c r="AA4608" t="str">
        <f>VLOOKUP(K4608,[1]!Tablo3[#Data],2,FALSE)</f>
        <v>Tayfun VİÇE</v>
      </c>
    </row>
    <row r="4609" spans="1:27" x14ac:dyDescent="0.25">
      <c r="A4609">
        <v>6015</v>
      </c>
      <c r="B4609" t="s">
        <v>1419</v>
      </c>
      <c r="C4609" t="s">
        <v>288</v>
      </c>
      <c r="D4609" t="s">
        <v>289</v>
      </c>
      <c r="F4609" t="s">
        <v>290</v>
      </c>
      <c r="G4609" t="s">
        <v>291</v>
      </c>
      <c r="H4609" t="s">
        <v>12258</v>
      </c>
      <c r="I4609" s="4"/>
      <c r="J4609" t="s">
        <v>12254</v>
      </c>
      <c r="K4609" t="s">
        <v>1471</v>
      </c>
      <c r="L4609" s="5"/>
      <c r="M4609" s="5"/>
      <c r="N4609" t="s">
        <v>35</v>
      </c>
      <c r="O4609" t="s">
        <v>12259</v>
      </c>
      <c r="T4609" s="5" t="s">
        <v>38</v>
      </c>
      <c r="W4609">
        <v>23</v>
      </c>
      <c r="X4609" t="s">
        <v>295</v>
      </c>
      <c r="Y4609" t="str">
        <f>VLOOKUP(C4609,'[1]DBS_KPY Sorumlular'!A:C,2,FALSE)</f>
        <v>Sinan ERDAŞ</v>
      </c>
      <c r="Z4609" t="str">
        <f>VLOOKUP(C4609,'[1]DBS_KPY Sorumlular'!A:C,3,FALSE)</f>
        <v>Ayşegül AKGÜL</v>
      </c>
      <c r="AA4609" t="str">
        <f>VLOOKUP(K4609,[1]!Tablo3[#Data],2,FALSE)</f>
        <v>Tayfun VİÇE</v>
      </c>
    </row>
    <row r="4610" spans="1:27" x14ac:dyDescent="0.25">
      <c r="A4610">
        <v>6016</v>
      </c>
      <c r="B4610" t="s">
        <v>1419</v>
      </c>
      <c r="C4610" t="s">
        <v>288</v>
      </c>
      <c r="D4610" t="s">
        <v>6377</v>
      </c>
      <c r="F4610" t="s">
        <v>290</v>
      </c>
      <c r="G4610" t="s">
        <v>291</v>
      </c>
      <c r="H4610" t="s">
        <v>12260</v>
      </c>
      <c r="I4610" s="4"/>
      <c r="J4610" t="s">
        <v>12254</v>
      </c>
      <c r="K4610" t="s">
        <v>1471</v>
      </c>
      <c r="L4610" s="5"/>
      <c r="M4610" s="5"/>
      <c r="N4610" t="s">
        <v>35</v>
      </c>
      <c r="O4610" t="s">
        <v>12259</v>
      </c>
      <c r="T4610" s="5" t="s">
        <v>38</v>
      </c>
      <c r="W4610">
        <v>23</v>
      </c>
      <c r="X4610" t="s">
        <v>295</v>
      </c>
      <c r="Y4610" t="str">
        <f>VLOOKUP(C4610,'[1]DBS_KPY Sorumlular'!A:C,2,FALSE)</f>
        <v>Sinan ERDAŞ</v>
      </c>
      <c r="Z4610" t="str">
        <f>VLOOKUP(C4610,'[1]DBS_KPY Sorumlular'!A:C,3,FALSE)</f>
        <v>Ayşegül AKGÜL</v>
      </c>
      <c r="AA4610" t="str">
        <f>VLOOKUP(K4610,[1]!Tablo3[#Data],2,FALSE)</f>
        <v>Tayfun VİÇE</v>
      </c>
    </row>
    <row r="4611" spans="1:27" x14ac:dyDescent="0.25">
      <c r="A4611">
        <v>6017</v>
      </c>
      <c r="B4611" t="s">
        <v>1419</v>
      </c>
      <c r="C4611" t="s">
        <v>288</v>
      </c>
      <c r="D4611" t="s">
        <v>289</v>
      </c>
      <c r="F4611" t="s">
        <v>290</v>
      </c>
      <c r="G4611" t="s">
        <v>291</v>
      </c>
      <c r="H4611" t="s">
        <v>12261</v>
      </c>
      <c r="I4611" s="4"/>
      <c r="J4611" t="s">
        <v>12254</v>
      </c>
      <c r="K4611" t="s">
        <v>1528</v>
      </c>
      <c r="L4611" s="5"/>
      <c r="M4611" s="5"/>
      <c r="N4611" t="s">
        <v>35</v>
      </c>
      <c r="O4611" t="s">
        <v>12262</v>
      </c>
      <c r="T4611" s="5" t="s">
        <v>38</v>
      </c>
      <c r="W4611">
        <v>91</v>
      </c>
      <c r="X4611" t="s">
        <v>101</v>
      </c>
      <c r="Y4611" t="str">
        <f>VLOOKUP(C4611,'[1]DBS_KPY Sorumlular'!A:C,2,FALSE)</f>
        <v>Sinan ERDAŞ</v>
      </c>
      <c r="Z4611" t="str">
        <f>VLOOKUP(C4611,'[1]DBS_KPY Sorumlular'!A:C,3,FALSE)</f>
        <v>Ayşegül AKGÜL</v>
      </c>
      <c r="AA4611" t="str">
        <f>VLOOKUP(K4611,[1]!Tablo3[#Data],2,FALSE)</f>
        <v>Tayfun VİÇE</v>
      </c>
    </row>
    <row r="4612" spans="1:27" x14ac:dyDescent="0.25">
      <c r="A4612">
        <v>6018</v>
      </c>
      <c r="B4612" t="s">
        <v>1419</v>
      </c>
      <c r="C4612" t="s">
        <v>288</v>
      </c>
      <c r="D4612" t="s">
        <v>289</v>
      </c>
      <c r="F4612" t="s">
        <v>290</v>
      </c>
      <c r="G4612" t="s">
        <v>291</v>
      </c>
      <c r="H4612" t="s">
        <v>12263</v>
      </c>
      <c r="I4612" s="4"/>
      <c r="J4612" t="s">
        <v>12254</v>
      </c>
      <c r="K4612" t="s">
        <v>1528</v>
      </c>
      <c r="L4612" s="5"/>
      <c r="M4612" s="5"/>
      <c r="N4612" t="s">
        <v>35</v>
      </c>
      <c r="O4612" t="s">
        <v>12262</v>
      </c>
      <c r="T4612" s="5" t="s">
        <v>38</v>
      </c>
      <c r="W4612">
        <v>91</v>
      </c>
      <c r="X4612" t="s">
        <v>101</v>
      </c>
      <c r="Y4612" t="str">
        <f>VLOOKUP(C4612,'[1]DBS_KPY Sorumlular'!A:C,2,FALSE)</f>
        <v>Sinan ERDAŞ</v>
      </c>
      <c r="Z4612" t="str">
        <f>VLOOKUP(C4612,'[1]DBS_KPY Sorumlular'!A:C,3,FALSE)</f>
        <v>Ayşegül AKGÜL</v>
      </c>
      <c r="AA4612" t="str">
        <f>VLOOKUP(K4612,[1]!Tablo3[#Data],2,FALSE)</f>
        <v>Tayfun VİÇE</v>
      </c>
    </row>
    <row r="4613" spans="1:27" x14ac:dyDescent="0.25">
      <c r="A4613">
        <v>6019</v>
      </c>
      <c r="B4613" t="s">
        <v>27</v>
      </c>
      <c r="C4613" t="s">
        <v>40</v>
      </c>
      <c r="D4613" t="s">
        <v>41</v>
      </c>
      <c r="G4613" t="s">
        <v>43</v>
      </c>
      <c r="H4613" t="s">
        <v>12264</v>
      </c>
      <c r="I4613" s="4"/>
      <c r="K4613" t="s">
        <v>152</v>
      </c>
      <c r="L4613" s="5"/>
      <c r="M4613" s="5"/>
      <c r="N4613" t="s">
        <v>35</v>
      </c>
      <c r="O4613" t="s">
        <v>12265</v>
      </c>
      <c r="R4613">
        <v>0</v>
      </c>
      <c r="T4613" s="5" t="s">
        <v>48</v>
      </c>
      <c r="U4613" t="s">
        <v>12266</v>
      </c>
      <c r="V4613" t="s">
        <v>12267</v>
      </c>
      <c r="W4613">
        <v>68</v>
      </c>
      <c r="X4613" t="s">
        <v>51</v>
      </c>
      <c r="Y4613" t="str">
        <f>VLOOKUP(C4613,'[1]DBS_KPY Sorumlular'!A:C,2,FALSE)</f>
        <v>Mustafa AYDIN</v>
      </c>
      <c r="Z4613" t="str">
        <f>VLOOKUP(C4613,'[1]DBS_KPY Sorumlular'!A:C,3,FALSE)</f>
        <v>Esra DOLAN</v>
      </c>
      <c r="AA4613" t="str">
        <f>VLOOKUP(K4613,[1]!Tablo3[#Data],2,FALSE)</f>
        <v>Erkan AKDOĞAN</v>
      </c>
    </row>
    <row r="4614" spans="1:27" x14ac:dyDescent="0.25">
      <c r="A4614">
        <v>6020</v>
      </c>
      <c r="B4614" t="s">
        <v>1419</v>
      </c>
      <c r="C4614" t="s">
        <v>652</v>
      </c>
      <c r="D4614" t="s">
        <v>653</v>
      </c>
      <c r="G4614" t="s">
        <v>30</v>
      </c>
      <c r="H4614" t="s">
        <v>12268</v>
      </c>
      <c r="I4614" s="4"/>
      <c r="J4614" t="s">
        <v>12269</v>
      </c>
      <c r="K4614" t="s">
        <v>611</v>
      </c>
      <c r="L4614" s="5"/>
      <c r="M4614" s="5"/>
      <c r="N4614" t="s">
        <v>35</v>
      </c>
      <c r="O4614" t="s">
        <v>12270</v>
      </c>
      <c r="T4614" s="5"/>
      <c r="W4614">
        <v>144</v>
      </c>
      <c r="X4614" t="s">
        <v>463</v>
      </c>
      <c r="Y4614" t="str">
        <f>VLOOKUP(C4614,'[1]DBS_KPY Sorumlular'!A:C,2,FALSE)</f>
        <v>Seyithan İŞİK</v>
      </c>
      <c r="Z4614" t="str">
        <f>VLOOKUP(C4614,'[1]DBS_KPY Sorumlular'!A:C,3,FALSE)</f>
        <v>Korhan KÖROĞLU</v>
      </c>
      <c r="AA4614" t="str">
        <f>VLOOKUP(K4614,[1]!Tablo3[#Data],2,FALSE)</f>
        <v>Kadir TOPÇU</v>
      </c>
    </row>
    <row r="4615" spans="1:27" x14ac:dyDescent="0.25">
      <c r="A4615">
        <v>6021</v>
      </c>
      <c r="B4615" t="s">
        <v>1419</v>
      </c>
      <c r="C4615" t="s">
        <v>652</v>
      </c>
      <c r="D4615" t="s">
        <v>653</v>
      </c>
      <c r="G4615" t="s">
        <v>30</v>
      </c>
      <c r="H4615" t="s">
        <v>12271</v>
      </c>
      <c r="I4615" s="4"/>
      <c r="J4615" t="s">
        <v>12272</v>
      </c>
      <c r="K4615" t="s">
        <v>914</v>
      </c>
      <c r="L4615" s="5"/>
      <c r="M4615" s="5"/>
      <c r="N4615" t="s">
        <v>35</v>
      </c>
      <c r="O4615" t="s">
        <v>12273</v>
      </c>
      <c r="T4615" s="5"/>
      <c r="W4615">
        <v>144</v>
      </c>
      <c r="X4615" t="s">
        <v>463</v>
      </c>
      <c r="Y4615" t="str">
        <f>VLOOKUP(C4615,'[1]DBS_KPY Sorumlular'!A:C,2,FALSE)</f>
        <v>Seyithan İŞİK</v>
      </c>
      <c r="Z4615" t="str">
        <f>VLOOKUP(C4615,'[1]DBS_KPY Sorumlular'!A:C,3,FALSE)</f>
        <v>Korhan KÖROĞLU</v>
      </c>
      <c r="AA4615" t="str">
        <f>VLOOKUP(K4615,[1]!Tablo3[#Data],2,FALSE)</f>
        <v>Tayfun VİÇE</v>
      </c>
    </row>
    <row r="4616" spans="1:27" x14ac:dyDescent="0.25">
      <c r="A4616">
        <v>6022</v>
      </c>
      <c r="B4616" t="s">
        <v>27</v>
      </c>
      <c r="C4616" t="s">
        <v>652</v>
      </c>
      <c r="D4616" t="s">
        <v>653</v>
      </c>
      <c r="G4616" t="s">
        <v>30</v>
      </c>
      <c r="H4616" t="s">
        <v>12274</v>
      </c>
      <c r="I4616" s="4"/>
      <c r="K4616" t="s">
        <v>636</v>
      </c>
      <c r="L4616" s="5"/>
      <c r="M4616" s="5"/>
      <c r="N4616" t="s">
        <v>35</v>
      </c>
      <c r="O4616" t="s">
        <v>12275</v>
      </c>
      <c r="T4616" s="5"/>
      <c r="W4616">
        <v>144</v>
      </c>
      <c r="X4616" t="s">
        <v>463</v>
      </c>
      <c r="Y4616" t="str">
        <f>VLOOKUP(C4616,'[1]DBS_KPY Sorumlular'!A:C,2,FALSE)</f>
        <v>Seyithan İŞİK</v>
      </c>
      <c r="Z4616" t="str">
        <f>VLOOKUP(C4616,'[1]DBS_KPY Sorumlular'!A:C,3,FALSE)</f>
        <v>Korhan KÖROĞLU</v>
      </c>
      <c r="AA4616" t="str">
        <f>VLOOKUP(K4616,[1]!Tablo3[#Data],2,FALSE)</f>
        <v>Erkan AKDOĞAN</v>
      </c>
    </row>
    <row r="4617" spans="1:27" x14ac:dyDescent="0.25">
      <c r="A4617">
        <v>6023</v>
      </c>
      <c r="B4617" t="s">
        <v>1419</v>
      </c>
      <c r="C4617" t="s">
        <v>652</v>
      </c>
      <c r="D4617" t="s">
        <v>653</v>
      </c>
      <c r="G4617" t="s">
        <v>30</v>
      </c>
      <c r="H4617" t="s">
        <v>12276</v>
      </c>
      <c r="I4617" s="4"/>
      <c r="K4617" t="s">
        <v>1221</v>
      </c>
      <c r="L4617" s="5"/>
      <c r="M4617" s="5"/>
      <c r="N4617" t="s">
        <v>35</v>
      </c>
      <c r="O4617" t="s">
        <v>12277</v>
      </c>
      <c r="T4617" s="5"/>
      <c r="W4617">
        <v>144</v>
      </c>
      <c r="X4617" t="s">
        <v>463</v>
      </c>
      <c r="Y4617" t="str">
        <f>VLOOKUP(C4617,'[1]DBS_KPY Sorumlular'!A:C,2,FALSE)</f>
        <v>Seyithan İŞİK</v>
      </c>
      <c r="Z4617" t="str">
        <f>VLOOKUP(C4617,'[1]DBS_KPY Sorumlular'!A:C,3,FALSE)</f>
        <v>Korhan KÖROĞLU</v>
      </c>
      <c r="AA4617" t="str">
        <f>VLOOKUP(K4617,[1]!Tablo3[#Data],2,FALSE)</f>
        <v>Tayfun VİÇE</v>
      </c>
    </row>
    <row r="4618" spans="1:27" x14ac:dyDescent="0.25">
      <c r="A4618">
        <v>6024</v>
      </c>
      <c r="B4618" t="s">
        <v>1419</v>
      </c>
      <c r="C4618" t="s">
        <v>652</v>
      </c>
      <c r="D4618" t="s">
        <v>653</v>
      </c>
      <c r="G4618" t="s">
        <v>30</v>
      </c>
      <c r="H4618" t="s">
        <v>12278</v>
      </c>
      <c r="I4618" s="4"/>
      <c r="K4618" t="s">
        <v>98</v>
      </c>
      <c r="L4618" s="5"/>
      <c r="M4618" s="5"/>
      <c r="N4618" t="s">
        <v>35</v>
      </c>
      <c r="O4618" t="s">
        <v>12279</v>
      </c>
      <c r="T4618" s="5"/>
      <c r="W4618">
        <v>144</v>
      </c>
      <c r="X4618" t="s">
        <v>463</v>
      </c>
      <c r="Y4618" t="str">
        <f>VLOOKUP(C4618,'[1]DBS_KPY Sorumlular'!A:C,2,FALSE)</f>
        <v>Seyithan İŞİK</v>
      </c>
      <c r="Z4618" t="str">
        <f>VLOOKUP(C4618,'[1]DBS_KPY Sorumlular'!A:C,3,FALSE)</f>
        <v>Korhan KÖROĞLU</v>
      </c>
      <c r="AA4618" t="str">
        <f>VLOOKUP(K4618,[1]!Tablo3[#Data],2,FALSE)</f>
        <v>Tayfun VİÇE</v>
      </c>
    </row>
    <row r="4619" spans="1:27" x14ac:dyDescent="0.25">
      <c r="A4619">
        <v>6025</v>
      </c>
      <c r="B4619" t="s">
        <v>1419</v>
      </c>
      <c r="C4619" t="s">
        <v>652</v>
      </c>
      <c r="D4619" t="s">
        <v>653</v>
      </c>
      <c r="G4619" t="s">
        <v>30</v>
      </c>
      <c r="H4619" t="s">
        <v>12280</v>
      </c>
      <c r="I4619" s="4"/>
      <c r="K4619" t="s">
        <v>98</v>
      </c>
      <c r="L4619" s="5"/>
      <c r="M4619" s="5"/>
      <c r="N4619" t="s">
        <v>35</v>
      </c>
      <c r="O4619" t="s">
        <v>12281</v>
      </c>
      <c r="T4619" s="5"/>
      <c r="W4619">
        <v>144</v>
      </c>
      <c r="X4619" t="s">
        <v>463</v>
      </c>
      <c r="Y4619" t="str">
        <f>VLOOKUP(C4619,'[1]DBS_KPY Sorumlular'!A:C,2,FALSE)</f>
        <v>Seyithan İŞİK</v>
      </c>
      <c r="Z4619" t="str">
        <f>VLOOKUP(C4619,'[1]DBS_KPY Sorumlular'!A:C,3,FALSE)</f>
        <v>Korhan KÖROĞLU</v>
      </c>
      <c r="AA4619" t="str">
        <f>VLOOKUP(K4619,[1]!Tablo3[#Data],2,FALSE)</f>
        <v>Tayfun VİÇE</v>
      </c>
    </row>
    <row r="4620" spans="1:27" x14ac:dyDescent="0.25">
      <c r="A4620">
        <v>6026</v>
      </c>
      <c r="B4620" t="s">
        <v>1419</v>
      </c>
      <c r="C4620" t="s">
        <v>652</v>
      </c>
      <c r="D4620" t="s">
        <v>653</v>
      </c>
      <c r="G4620" t="s">
        <v>30</v>
      </c>
      <c r="H4620" t="s">
        <v>12282</v>
      </c>
      <c r="I4620" s="4"/>
      <c r="J4620" t="s">
        <v>12283</v>
      </c>
      <c r="K4620" t="s">
        <v>364</v>
      </c>
      <c r="L4620" s="5"/>
      <c r="M4620" s="5"/>
      <c r="N4620" t="s">
        <v>35</v>
      </c>
      <c r="O4620" t="s">
        <v>12284</v>
      </c>
      <c r="T4620" s="5"/>
      <c r="W4620">
        <v>144</v>
      </c>
      <c r="X4620" t="s">
        <v>463</v>
      </c>
      <c r="Y4620" t="str">
        <f>VLOOKUP(C4620,'[1]DBS_KPY Sorumlular'!A:C,2,FALSE)</f>
        <v>Seyithan İŞİK</v>
      </c>
      <c r="Z4620" t="str">
        <f>VLOOKUP(C4620,'[1]DBS_KPY Sorumlular'!A:C,3,FALSE)</f>
        <v>Korhan KÖROĞLU</v>
      </c>
      <c r="AA4620" t="str">
        <f>VLOOKUP(K4620,[1]!Tablo3[#Data],2,FALSE)</f>
        <v>Kadir TOPÇU</v>
      </c>
    </row>
    <row r="4621" spans="1:27" x14ac:dyDescent="0.25">
      <c r="A4621">
        <v>6027</v>
      </c>
      <c r="B4621" t="s">
        <v>27</v>
      </c>
      <c r="C4621" t="s">
        <v>40</v>
      </c>
      <c r="D4621" t="s">
        <v>65</v>
      </c>
      <c r="G4621" t="s">
        <v>30</v>
      </c>
      <c r="H4621" t="s">
        <v>12285</v>
      </c>
      <c r="I4621" s="4">
        <v>45914.875</v>
      </c>
      <c r="K4621" t="s">
        <v>636</v>
      </c>
      <c r="L4621" s="5"/>
      <c r="M4621" s="5"/>
      <c r="N4621" t="s">
        <v>46</v>
      </c>
      <c r="O4621" t="s">
        <v>12286</v>
      </c>
      <c r="R4621">
        <v>0.2</v>
      </c>
      <c r="T4621" s="5" t="s">
        <v>100</v>
      </c>
      <c r="W4621">
        <v>203</v>
      </c>
      <c r="X4621" t="s">
        <v>72</v>
      </c>
      <c r="Y4621" t="str">
        <f>VLOOKUP(C4621,'[1]DBS_KPY Sorumlular'!A:C,2,FALSE)</f>
        <v>Mustafa AYDIN</v>
      </c>
      <c r="Z4621" t="str">
        <f>VLOOKUP(C4621,'[1]DBS_KPY Sorumlular'!A:C,3,FALSE)</f>
        <v>Esra DOLAN</v>
      </c>
      <c r="AA4621" t="str">
        <f>VLOOKUP(K4621,[1]!Tablo3[#Data],2,FALSE)</f>
        <v>Erkan AKDOĞAN</v>
      </c>
    </row>
    <row r="4622" spans="1:27" x14ac:dyDescent="0.25">
      <c r="A4622">
        <v>6028</v>
      </c>
      <c r="B4622" t="s">
        <v>27</v>
      </c>
      <c r="C4622" t="s">
        <v>40</v>
      </c>
      <c r="D4622" t="s">
        <v>65</v>
      </c>
      <c r="G4622" t="s">
        <v>30</v>
      </c>
      <c r="H4622" t="s">
        <v>12287</v>
      </c>
      <c r="I4622" s="4">
        <v>45852.875</v>
      </c>
      <c r="K4622" t="s">
        <v>1471</v>
      </c>
      <c r="L4622" s="5"/>
      <c r="M4622" s="5"/>
      <c r="N4622" t="s">
        <v>46</v>
      </c>
      <c r="O4622" t="s">
        <v>12288</v>
      </c>
      <c r="R4622">
        <v>0.65</v>
      </c>
      <c r="T4622" s="5" t="s">
        <v>100</v>
      </c>
      <c r="W4622">
        <v>103</v>
      </c>
      <c r="X4622" t="s">
        <v>353</v>
      </c>
      <c r="Y4622" t="str">
        <f>VLOOKUP(C4622,'[1]DBS_KPY Sorumlular'!A:C,2,FALSE)</f>
        <v>Mustafa AYDIN</v>
      </c>
      <c r="Z4622" t="str">
        <f>VLOOKUP(C4622,'[1]DBS_KPY Sorumlular'!A:C,3,FALSE)</f>
        <v>Esra DOLAN</v>
      </c>
      <c r="AA4622" t="str">
        <f>VLOOKUP(K4622,[1]!Tablo3[#Data],2,FALSE)</f>
        <v>Tayfun VİÇE</v>
      </c>
    </row>
    <row r="4623" spans="1:27" x14ac:dyDescent="0.25">
      <c r="A4623">
        <v>6029</v>
      </c>
      <c r="B4623" t="s">
        <v>27</v>
      </c>
      <c r="C4623" t="s">
        <v>402</v>
      </c>
      <c r="D4623" t="s">
        <v>403</v>
      </c>
      <c r="F4623" t="s">
        <v>383</v>
      </c>
      <c r="G4623" t="s">
        <v>384</v>
      </c>
      <c r="H4623" t="s">
        <v>12289</v>
      </c>
      <c r="I4623" s="4">
        <v>45981.875</v>
      </c>
      <c r="K4623" t="s">
        <v>226</v>
      </c>
      <c r="L4623" s="5"/>
      <c r="M4623" s="5"/>
      <c r="N4623" t="s">
        <v>46</v>
      </c>
      <c r="O4623" t="s">
        <v>12290</v>
      </c>
      <c r="R4623">
        <v>0.05</v>
      </c>
      <c r="S4623" t="s">
        <v>37</v>
      </c>
      <c r="T4623" s="5"/>
      <c r="W4623">
        <v>29</v>
      </c>
      <c r="X4623" t="s">
        <v>7107</v>
      </c>
      <c r="Y4623" t="str">
        <f>VLOOKUP(C4623,'[1]DBS_KPY Sorumlular'!A:C,2,FALSE)</f>
        <v>Tayfun VİÇE</v>
      </c>
      <c r="Z4623" t="str">
        <f>VLOOKUP(C4623,'[1]DBS_KPY Sorumlular'!A:C,3,FALSE)</f>
        <v>Mehmet Ali YAVUZ</v>
      </c>
      <c r="AA4623" t="str">
        <f>VLOOKUP(K4623,[1]!Tablo3[#Data],2,FALSE)</f>
        <v>Kadir TOPÇU</v>
      </c>
    </row>
    <row r="4624" spans="1:27" x14ac:dyDescent="0.25">
      <c r="A4624">
        <v>6030</v>
      </c>
      <c r="B4624" t="s">
        <v>27</v>
      </c>
      <c r="C4624" t="s">
        <v>1046</v>
      </c>
      <c r="D4624" t="s">
        <v>12291</v>
      </c>
      <c r="H4624" t="s">
        <v>12292</v>
      </c>
      <c r="I4624" s="4">
        <v>45842.875</v>
      </c>
      <c r="J4624" t="s">
        <v>12293</v>
      </c>
      <c r="K4624" t="s">
        <v>98</v>
      </c>
      <c r="L4624" s="5" t="s">
        <v>12294</v>
      </c>
      <c r="M4624" s="5"/>
      <c r="N4624" t="s">
        <v>46</v>
      </c>
      <c r="O4624" t="s">
        <v>12295</v>
      </c>
      <c r="R4624">
        <v>0.9</v>
      </c>
      <c r="T4624" s="5" t="s">
        <v>38</v>
      </c>
      <c r="W4624">
        <v>70</v>
      </c>
      <c r="X4624" t="s">
        <v>711</v>
      </c>
      <c r="Y4624" t="str">
        <f>VLOOKUP(C4624,'[1]DBS_KPY Sorumlular'!A:C,2,FALSE)</f>
        <v>Ayşegül AKGÜL</v>
      </c>
      <c r="Z4624" t="str">
        <f>VLOOKUP(C4624,'[1]DBS_KPY Sorumlular'!A:C,3,FALSE)</f>
        <v>Sinan ERDAŞ</v>
      </c>
      <c r="AA4624" t="str">
        <f>VLOOKUP(K4624,[1]!Tablo3[#Data],2,FALSE)</f>
        <v>Tayfun VİÇE</v>
      </c>
    </row>
    <row r="4625" spans="1:27" x14ac:dyDescent="0.25">
      <c r="A4625">
        <v>6031</v>
      </c>
      <c r="B4625" t="s">
        <v>27</v>
      </c>
      <c r="C4625" t="s">
        <v>402</v>
      </c>
      <c r="D4625" t="s">
        <v>403</v>
      </c>
      <c r="F4625" t="s">
        <v>882</v>
      </c>
      <c r="G4625" t="s">
        <v>384</v>
      </c>
      <c r="H4625" t="s">
        <v>12296</v>
      </c>
      <c r="I4625" s="4">
        <v>45442.875</v>
      </c>
      <c r="K4625" t="s">
        <v>743</v>
      </c>
      <c r="L4625" s="5"/>
      <c r="M4625" s="5"/>
      <c r="N4625" t="s">
        <v>82</v>
      </c>
      <c r="R4625">
        <v>1</v>
      </c>
      <c r="T4625" s="5" t="s">
        <v>100</v>
      </c>
      <c r="W4625">
        <v>270</v>
      </c>
      <c r="X4625" t="s">
        <v>8412</v>
      </c>
      <c r="Y4625" t="str">
        <f>VLOOKUP(C4625,'[1]DBS_KPY Sorumlular'!A:C,2,FALSE)</f>
        <v>Tayfun VİÇE</v>
      </c>
      <c r="Z4625" t="str">
        <f>VLOOKUP(C4625,'[1]DBS_KPY Sorumlular'!A:C,3,FALSE)</f>
        <v>Mehmet Ali YAVUZ</v>
      </c>
      <c r="AA4625" t="str">
        <f>VLOOKUP(K4625,[1]!Tablo3[#Data],2,FALSE)</f>
        <v>Kadir TOPÇU</v>
      </c>
    </row>
    <row r="4626" spans="1:27" x14ac:dyDescent="0.25">
      <c r="A4626">
        <v>6032</v>
      </c>
      <c r="B4626" t="s">
        <v>27</v>
      </c>
      <c r="C4626" t="s">
        <v>1046</v>
      </c>
      <c r="D4626" t="s">
        <v>12291</v>
      </c>
      <c r="H4626" t="s">
        <v>12297</v>
      </c>
      <c r="I4626" s="4">
        <v>45873.875</v>
      </c>
      <c r="J4626" t="s">
        <v>12298</v>
      </c>
      <c r="K4626" t="s">
        <v>217</v>
      </c>
      <c r="L4626" s="5" t="s">
        <v>12299</v>
      </c>
      <c r="M4626" s="5" t="s">
        <v>12300</v>
      </c>
      <c r="N4626" t="s">
        <v>46</v>
      </c>
      <c r="O4626" t="s">
        <v>12301</v>
      </c>
      <c r="R4626">
        <v>0.7</v>
      </c>
      <c r="T4626" s="5" t="s">
        <v>38</v>
      </c>
      <c r="W4626">
        <v>211</v>
      </c>
      <c r="X4626" t="s">
        <v>1876</v>
      </c>
      <c r="Y4626" t="str">
        <f>VLOOKUP(C4626,'[1]DBS_KPY Sorumlular'!A:C,2,FALSE)</f>
        <v>Ayşegül AKGÜL</v>
      </c>
      <c r="Z4626" t="str">
        <f>VLOOKUP(C4626,'[1]DBS_KPY Sorumlular'!A:C,3,FALSE)</f>
        <v>Sinan ERDAŞ</v>
      </c>
      <c r="AA4626" t="str">
        <f>VLOOKUP(K4626,[1]!Tablo3[#Data],2,FALSE)</f>
        <v>Erkan AKDOĞAN</v>
      </c>
    </row>
    <row r="4627" spans="1:27" x14ac:dyDescent="0.25">
      <c r="A4627">
        <v>6033</v>
      </c>
      <c r="B4627" t="s">
        <v>1419</v>
      </c>
      <c r="C4627" t="s">
        <v>1723</v>
      </c>
      <c r="D4627" t="s">
        <v>2478</v>
      </c>
      <c r="G4627" t="s">
        <v>67</v>
      </c>
      <c r="H4627" t="s">
        <v>12302</v>
      </c>
      <c r="I4627" s="4"/>
      <c r="J4627" t="s">
        <v>12303</v>
      </c>
      <c r="K4627" t="s">
        <v>98</v>
      </c>
      <c r="L4627" s="5" t="s">
        <v>12304</v>
      </c>
      <c r="M4627" s="5"/>
      <c r="N4627" t="s">
        <v>35</v>
      </c>
      <c r="O4627" t="s">
        <v>12305</v>
      </c>
      <c r="T4627" s="5" t="s">
        <v>38</v>
      </c>
      <c r="Y4627" t="str">
        <f>VLOOKUP(C4627,'[1]DBS_KPY Sorumlular'!A:C,2,FALSE)</f>
        <v>Erkan AKDOĞAN</v>
      </c>
      <c r="Z4627" t="str">
        <f>VLOOKUP(C4627,'[1]DBS_KPY Sorumlular'!A:C,3,FALSE)</f>
        <v>Kadir TOPÇU</v>
      </c>
      <c r="AA4627" t="str">
        <f>VLOOKUP(K4627,[1]!Tablo3[#Data],2,FALSE)</f>
        <v>Tayfun VİÇE</v>
      </c>
    </row>
    <row r="4628" spans="1:27" x14ac:dyDescent="0.25">
      <c r="A4628">
        <v>6034</v>
      </c>
      <c r="B4628" t="s">
        <v>1419</v>
      </c>
      <c r="C4628" t="s">
        <v>1723</v>
      </c>
      <c r="D4628" t="s">
        <v>2478</v>
      </c>
      <c r="G4628" t="s">
        <v>67</v>
      </c>
      <c r="H4628" t="s">
        <v>12306</v>
      </c>
      <c r="I4628" s="4"/>
      <c r="J4628" t="s">
        <v>12307</v>
      </c>
      <c r="K4628" t="s">
        <v>98</v>
      </c>
      <c r="L4628" s="5" t="s">
        <v>12307</v>
      </c>
      <c r="M4628" s="5"/>
      <c r="N4628" t="s">
        <v>35</v>
      </c>
      <c r="O4628" t="s">
        <v>12308</v>
      </c>
      <c r="T4628" s="5" t="s">
        <v>38</v>
      </c>
      <c r="Y4628" t="str">
        <f>VLOOKUP(C4628,'[1]DBS_KPY Sorumlular'!A:C,2,FALSE)</f>
        <v>Erkan AKDOĞAN</v>
      </c>
      <c r="Z4628" t="str">
        <f>VLOOKUP(C4628,'[1]DBS_KPY Sorumlular'!A:C,3,FALSE)</f>
        <v>Kadir TOPÇU</v>
      </c>
      <c r="AA4628" t="str">
        <f>VLOOKUP(K4628,[1]!Tablo3[#Data],2,FALSE)</f>
        <v>Tayfun VİÇE</v>
      </c>
    </row>
    <row r="4629" spans="1:27" x14ac:dyDescent="0.25">
      <c r="A4629">
        <v>6035</v>
      </c>
      <c r="B4629" t="s">
        <v>1419</v>
      </c>
      <c r="C4629" t="s">
        <v>1723</v>
      </c>
      <c r="D4629" t="s">
        <v>2478</v>
      </c>
      <c r="G4629" t="s">
        <v>67</v>
      </c>
      <c r="H4629" t="s">
        <v>12309</v>
      </c>
      <c r="I4629" s="4"/>
      <c r="J4629" t="s">
        <v>12310</v>
      </c>
      <c r="K4629" t="s">
        <v>586</v>
      </c>
      <c r="L4629" s="5" t="s">
        <v>12310</v>
      </c>
      <c r="M4629" s="5"/>
      <c r="N4629" t="s">
        <v>35</v>
      </c>
      <c r="O4629" t="s">
        <v>12311</v>
      </c>
      <c r="T4629" s="5" t="s">
        <v>38</v>
      </c>
      <c r="Y4629" t="str">
        <f>VLOOKUP(C4629,'[1]DBS_KPY Sorumlular'!A:C,2,FALSE)</f>
        <v>Erkan AKDOĞAN</v>
      </c>
      <c r="Z4629" t="str">
        <f>VLOOKUP(C4629,'[1]DBS_KPY Sorumlular'!A:C,3,FALSE)</f>
        <v>Kadir TOPÇU</v>
      </c>
      <c r="AA4629" t="str">
        <f>VLOOKUP(K4629,[1]!Tablo3[#Data],2,FALSE)</f>
        <v>Tayfun VİÇE</v>
      </c>
    </row>
    <row r="4630" spans="1:27" x14ac:dyDescent="0.25">
      <c r="A4630">
        <v>6036</v>
      </c>
      <c r="B4630" t="s">
        <v>1419</v>
      </c>
      <c r="C4630" t="s">
        <v>1723</v>
      </c>
      <c r="D4630" t="s">
        <v>2478</v>
      </c>
      <c r="G4630" t="s">
        <v>67</v>
      </c>
      <c r="H4630" t="s">
        <v>12312</v>
      </c>
      <c r="I4630" s="4"/>
      <c r="J4630" t="s">
        <v>12313</v>
      </c>
      <c r="K4630" t="s">
        <v>586</v>
      </c>
      <c r="L4630" s="5" t="s">
        <v>12313</v>
      </c>
      <c r="M4630" s="5"/>
      <c r="N4630" t="s">
        <v>35</v>
      </c>
      <c r="O4630" t="s">
        <v>12314</v>
      </c>
      <c r="T4630" s="5" t="s">
        <v>38</v>
      </c>
      <c r="Y4630" t="str">
        <f>VLOOKUP(C4630,'[1]DBS_KPY Sorumlular'!A:C,2,FALSE)</f>
        <v>Erkan AKDOĞAN</v>
      </c>
      <c r="Z4630" t="str">
        <f>VLOOKUP(C4630,'[1]DBS_KPY Sorumlular'!A:C,3,FALSE)</f>
        <v>Kadir TOPÇU</v>
      </c>
      <c r="AA4630" t="str">
        <f>VLOOKUP(K4630,[1]!Tablo3[#Data],2,FALSE)</f>
        <v>Tayfun VİÇE</v>
      </c>
    </row>
    <row r="4631" spans="1:27" x14ac:dyDescent="0.25">
      <c r="A4631">
        <v>6037</v>
      </c>
      <c r="B4631" t="s">
        <v>1419</v>
      </c>
      <c r="C4631" t="s">
        <v>1723</v>
      </c>
      <c r="D4631" t="s">
        <v>2478</v>
      </c>
      <c r="G4631" t="s">
        <v>67</v>
      </c>
      <c r="H4631" t="s">
        <v>12315</v>
      </c>
      <c r="I4631" s="4"/>
      <c r="J4631" t="s">
        <v>12313</v>
      </c>
      <c r="K4631" t="s">
        <v>586</v>
      </c>
      <c r="L4631" s="5" t="s">
        <v>12313</v>
      </c>
      <c r="M4631" s="5"/>
      <c r="N4631" t="s">
        <v>35</v>
      </c>
      <c r="O4631" t="s">
        <v>12316</v>
      </c>
      <c r="T4631" s="5" t="s">
        <v>38</v>
      </c>
      <c r="Y4631" t="str">
        <f>VLOOKUP(C4631,'[1]DBS_KPY Sorumlular'!A:C,2,FALSE)</f>
        <v>Erkan AKDOĞAN</v>
      </c>
      <c r="Z4631" t="str">
        <f>VLOOKUP(C4631,'[1]DBS_KPY Sorumlular'!A:C,3,FALSE)</f>
        <v>Kadir TOPÇU</v>
      </c>
      <c r="AA4631" t="str">
        <f>VLOOKUP(K4631,[1]!Tablo3[#Data],2,FALSE)</f>
        <v>Tayfun VİÇE</v>
      </c>
    </row>
    <row r="4632" spans="1:27" x14ac:dyDescent="0.25">
      <c r="A4632">
        <v>6038</v>
      </c>
      <c r="B4632" t="s">
        <v>1419</v>
      </c>
      <c r="C4632" t="s">
        <v>1723</v>
      </c>
      <c r="D4632" t="s">
        <v>2478</v>
      </c>
      <c r="G4632" t="s">
        <v>67</v>
      </c>
      <c r="H4632" t="s">
        <v>12317</v>
      </c>
      <c r="I4632" s="4"/>
      <c r="J4632" t="s">
        <v>12313</v>
      </c>
      <c r="K4632" t="s">
        <v>586</v>
      </c>
      <c r="L4632" s="5" t="s">
        <v>12313</v>
      </c>
      <c r="M4632" s="5"/>
      <c r="N4632" t="s">
        <v>35</v>
      </c>
      <c r="O4632" t="s">
        <v>12318</v>
      </c>
      <c r="T4632" s="5" t="s">
        <v>38</v>
      </c>
      <c r="Y4632" t="str">
        <f>VLOOKUP(C4632,'[1]DBS_KPY Sorumlular'!A:C,2,FALSE)</f>
        <v>Erkan AKDOĞAN</v>
      </c>
      <c r="Z4632" t="str">
        <f>VLOOKUP(C4632,'[1]DBS_KPY Sorumlular'!A:C,3,FALSE)</f>
        <v>Kadir TOPÇU</v>
      </c>
      <c r="AA4632" t="str">
        <f>VLOOKUP(K4632,[1]!Tablo3[#Data],2,FALSE)</f>
        <v>Tayfun VİÇE</v>
      </c>
    </row>
    <row r="4633" spans="1:27" x14ac:dyDescent="0.25">
      <c r="A4633">
        <v>6039</v>
      </c>
      <c r="B4633" t="s">
        <v>1419</v>
      </c>
      <c r="C4633" t="s">
        <v>1723</v>
      </c>
      <c r="D4633" t="s">
        <v>1724</v>
      </c>
      <c r="G4633" t="s">
        <v>67</v>
      </c>
      <c r="H4633" t="s">
        <v>12319</v>
      </c>
      <c r="I4633" s="4"/>
      <c r="J4633" t="s">
        <v>12303</v>
      </c>
      <c r="K4633" t="s">
        <v>678</v>
      </c>
      <c r="L4633" s="5" t="s">
        <v>12320</v>
      </c>
      <c r="M4633" s="5"/>
      <c r="N4633" t="s">
        <v>35</v>
      </c>
      <c r="O4633" t="s">
        <v>12321</v>
      </c>
      <c r="T4633" s="5" t="s">
        <v>38</v>
      </c>
      <c r="Y4633" t="str">
        <f>VLOOKUP(C4633,'[1]DBS_KPY Sorumlular'!A:C,2,FALSE)</f>
        <v>Erkan AKDOĞAN</v>
      </c>
      <c r="Z4633" t="str">
        <f>VLOOKUP(C4633,'[1]DBS_KPY Sorumlular'!A:C,3,FALSE)</f>
        <v>Kadir TOPÇU</v>
      </c>
      <c r="AA4633" t="str">
        <f>VLOOKUP(K4633,[1]!Tablo3[#Data],2,FALSE)</f>
        <v>Kadir TOPÇU</v>
      </c>
    </row>
    <row r="4634" spans="1:27" x14ac:dyDescent="0.25">
      <c r="A4634">
        <v>6040</v>
      </c>
      <c r="B4634" t="s">
        <v>1419</v>
      </c>
      <c r="C4634" t="s">
        <v>1723</v>
      </c>
      <c r="D4634" t="s">
        <v>1724</v>
      </c>
      <c r="G4634" t="s">
        <v>67</v>
      </c>
      <c r="H4634" t="s">
        <v>12322</v>
      </c>
      <c r="I4634" s="4"/>
      <c r="J4634" t="s">
        <v>12323</v>
      </c>
      <c r="K4634" t="s">
        <v>678</v>
      </c>
      <c r="L4634" s="5" t="s">
        <v>12323</v>
      </c>
      <c r="M4634" s="5"/>
      <c r="N4634" t="s">
        <v>35</v>
      </c>
      <c r="O4634" t="s">
        <v>12324</v>
      </c>
      <c r="T4634" s="5" t="s">
        <v>38</v>
      </c>
      <c r="Y4634" t="str">
        <f>VLOOKUP(C4634,'[1]DBS_KPY Sorumlular'!A:C,2,FALSE)</f>
        <v>Erkan AKDOĞAN</v>
      </c>
      <c r="Z4634" t="str">
        <f>VLOOKUP(C4634,'[1]DBS_KPY Sorumlular'!A:C,3,FALSE)</f>
        <v>Kadir TOPÇU</v>
      </c>
      <c r="AA4634" t="str">
        <f>VLOOKUP(K4634,[1]!Tablo3[#Data],2,FALSE)</f>
        <v>Kadir TOPÇU</v>
      </c>
    </row>
    <row r="4635" spans="1:27" x14ac:dyDescent="0.25">
      <c r="A4635">
        <v>6041</v>
      </c>
      <c r="B4635" t="s">
        <v>1419</v>
      </c>
      <c r="C4635" t="s">
        <v>1723</v>
      </c>
      <c r="D4635" t="s">
        <v>2478</v>
      </c>
      <c r="G4635" t="s">
        <v>67</v>
      </c>
      <c r="H4635" t="s">
        <v>12325</v>
      </c>
      <c r="I4635" s="4"/>
      <c r="J4635" t="s">
        <v>12326</v>
      </c>
      <c r="K4635" t="s">
        <v>1106</v>
      </c>
      <c r="L4635" s="5" t="s">
        <v>12327</v>
      </c>
      <c r="M4635" s="5"/>
      <c r="N4635" t="s">
        <v>35</v>
      </c>
      <c r="O4635" t="s">
        <v>12328</v>
      </c>
      <c r="T4635" s="5" t="s">
        <v>38</v>
      </c>
      <c r="Y4635" t="str">
        <f>VLOOKUP(C4635,'[1]DBS_KPY Sorumlular'!A:C,2,FALSE)</f>
        <v>Erkan AKDOĞAN</v>
      </c>
      <c r="Z4635" t="str">
        <f>VLOOKUP(C4635,'[1]DBS_KPY Sorumlular'!A:C,3,FALSE)</f>
        <v>Kadir TOPÇU</v>
      </c>
      <c r="AA4635" t="str">
        <f>VLOOKUP(K4635,[1]!Tablo3[#Data],2,FALSE)</f>
        <v>Tayfun VİÇE</v>
      </c>
    </row>
    <row r="4636" spans="1:27" x14ac:dyDescent="0.25">
      <c r="A4636">
        <v>6042</v>
      </c>
      <c r="B4636" t="s">
        <v>1419</v>
      </c>
      <c r="C4636" t="s">
        <v>1723</v>
      </c>
      <c r="D4636" t="s">
        <v>2478</v>
      </c>
      <c r="G4636" t="s">
        <v>67</v>
      </c>
      <c r="H4636" t="s">
        <v>12329</v>
      </c>
      <c r="I4636" s="4"/>
      <c r="J4636" t="s">
        <v>12330</v>
      </c>
      <c r="K4636" t="s">
        <v>1348</v>
      </c>
      <c r="L4636" s="5" t="s">
        <v>12331</v>
      </c>
      <c r="M4636" s="5"/>
      <c r="N4636" t="s">
        <v>35</v>
      </c>
      <c r="O4636" t="s">
        <v>12332</v>
      </c>
      <c r="T4636" s="5" t="s">
        <v>38</v>
      </c>
      <c r="Y4636" t="str">
        <f>VLOOKUP(C4636,'[1]DBS_KPY Sorumlular'!A:C,2,FALSE)</f>
        <v>Erkan AKDOĞAN</v>
      </c>
      <c r="Z4636" t="str">
        <f>VLOOKUP(C4636,'[1]DBS_KPY Sorumlular'!A:C,3,FALSE)</f>
        <v>Kadir TOPÇU</v>
      </c>
      <c r="AA4636" t="str">
        <f>VLOOKUP(K4636,[1]!Tablo3[#Data],2,FALSE)</f>
        <v>Tayfun VİÇE</v>
      </c>
    </row>
    <row r="4637" spans="1:27" x14ac:dyDescent="0.25">
      <c r="A4637">
        <v>6043</v>
      </c>
      <c r="B4637" t="s">
        <v>1419</v>
      </c>
      <c r="C4637" t="s">
        <v>1723</v>
      </c>
      <c r="D4637" t="s">
        <v>2478</v>
      </c>
      <c r="G4637" t="s">
        <v>67</v>
      </c>
      <c r="H4637" t="s">
        <v>12333</v>
      </c>
      <c r="I4637" s="4"/>
      <c r="J4637" t="s">
        <v>12334</v>
      </c>
      <c r="K4637" t="s">
        <v>1348</v>
      </c>
      <c r="L4637" s="5" t="s">
        <v>12334</v>
      </c>
      <c r="M4637" s="5"/>
      <c r="N4637" t="s">
        <v>35</v>
      </c>
      <c r="O4637" t="s">
        <v>12335</v>
      </c>
      <c r="T4637" s="5" t="s">
        <v>38</v>
      </c>
      <c r="Y4637" t="str">
        <f>VLOOKUP(C4637,'[1]DBS_KPY Sorumlular'!A:C,2,FALSE)</f>
        <v>Erkan AKDOĞAN</v>
      </c>
      <c r="Z4637" t="str">
        <f>VLOOKUP(C4637,'[1]DBS_KPY Sorumlular'!A:C,3,FALSE)</f>
        <v>Kadir TOPÇU</v>
      </c>
      <c r="AA4637" t="str">
        <f>VLOOKUP(K4637,[1]!Tablo3[#Data],2,FALSE)</f>
        <v>Tayfun VİÇE</v>
      </c>
    </row>
    <row r="4638" spans="1:27" x14ac:dyDescent="0.25">
      <c r="A4638">
        <v>6044</v>
      </c>
      <c r="B4638" t="s">
        <v>1419</v>
      </c>
      <c r="C4638" t="s">
        <v>1723</v>
      </c>
      <c r="D4638" t="s">
        <v>2478</v>
      </c>
      <c r="G4638" t="s">
        <v>67</v>
      </c>
      <c r="H4638" t="s">
        <v>12336</v>
      </c>
      <c r="I4638" s="4"/>
      <c r="J4638" t="s">
        <v>12337</v>
      </c>
      <c r="K4638" t="s">
        <v>143</v>
      </c>
      <c r="L4638" s="5" t="s">
        <v>12338</v>
      </c>
      <c r="M4638" s="5"/>
      <c r="N4638" t="s">
        <v>35</v>
      </c>
      <c r="O4638" t="s">
        <v>12339</v>
      </c>
      <c r="T4638" s="5" t="s">
        <v>38</v>
      </c>
      <c r="Y4638" t="str">
        <f>VLOOKUP(C4638,'[1]DBS_KPY Sorumlular'!A:C,2,FALSE)</f>
        <v>Erkan AKDOĞAN</v>
      </c>
      <c r="Z4638" t="str">
        <f>VLOOKUP(C4638,'[1]DBS_KPY Sorumlular'!A:C,3,FALSE)</f>
        <v>Kadir TOPÇU</v>
      </c>
      <c r="AA4638" t="str">
        <f>VLOOKUP(K4638,[1]!Tablo3[#Data],2,FALSE)</f>
        <v>Tayfun VİÇE</v>
      </c>
    </row>
    <row r="4639" spans="1:27" x14ac:dyDescent="0.25">
      <c r="A4639">
        <v>6045</v>
      </c>
      <c r="B4639" t="s">
        <v>1419</v>
      </c>
      <c r="C4639" t="s">
        <v>1723</v>
      </c>
      <c r="D4639" t="s">
        <v>2478</v>
      </c>
      <c r="G4639" t="s">
        <v>67</v>
      </c>
      <c r="H4639" t="s">
        <v>12340</v>
      </c>
      <c r="I4639" s="4"/>
      <c r="J4639" t="s">
        <v>12341</v>
      </c>
      <c r="K4639" t="s">
        <v>143</v>
      </c>
      <c r="L4639" s="5" t="s">
        <v>12313</v>
      </c>
      <c r="M4639" s="5"/>
      <c r="N4639" t="s">
        <v>35</v>
      </c>
      <c r="O4639" t="s">
        <v>12342</v>
      </c>
      <c r="T4639" s="5" t="s">
        <v>38</v>
      </c>
      <c r="Y4639" t="str">
        <f>VLOOKUP(C4639,'[1]DBS_KPY Sorumlular'!A:C,2,FALSE)</f>
        <v>Erkan AKDOĞAN</v>
      </c>
      <c r="Z4639" t="str">
        <f>VLOOKUP(C4639,'[1]DBS_KPY Sorumlular'!A:C,3,FALSE)</f>
        <v>Kadir TOPÇU</v>
      </c>
      <c r="AA4639" t="str">
        <f>VLOOKUP(K4639,[1]!Tablo3[#Data],2,FALSE)</f>
        <v>Tayfun VİÇE</v>
      </c>
    </row>
    <row r="4640" spans="1:27" x14ac:dyDescent="0.25">
      <c r="A4640">
        <v>6046</v>
      </c>
      <c r="B4640" t="s">
        <v>1419</v>
      </c>
      <c r="C4640" t="s">
        <v>304</v>
      </c>
      <c r="D4640" t="s">
        <v>305</v>
      </c>
      <c r="F4640" t="s">
        <v>306</v>
      </c>
      <c r="G4640" t="s">
        <v>96</v>
      </c>
      <c r="H4640" t="s">
        <v>12343</v>
      </c>
      <c r="I4640" s="4"/>
      <c r="K4640" t="s">
        <v>364</v>
      </c>
      <c r="L4640" s="5"/>
      <c r="M4640" s="5"/>
      <c r="N4640" t="s">
        <v>35</v>
      </c>
      <c r="O4640" t="s">
        <v>12344</v>
      </c>
      <c r="T4640" s="5" t="s">
        <v>38</v>
      </c>
      <c r="Y4640" t="str">
        <f>VLOOKUP(C4640,'[1]DBS_KPY Sorumlular'!A:C,2,FALSE)</f>
        <v>Erkan AKDOĞAN</v>
      </c>
      <c r="Z4640" t="str">
        <f>VLOOKUP(C4640,'[1]DBS_KPY Sorumlular'!A:C,3,FALSE)</f>
        <v>Kadir TOPÇU</v>
      </c>
      <c r="AA4640" t="str">
        <f>VLOOKUP(K4640,[1]!Tablo3[#Data],2,FALSE)</f>
        <v>Kadir TOPÇU</v>
      </c>
    </row>
    <row r="4641" spans="1:27" x14ac:dyDescent="0.25">
      <c r="A4641">
        <v>6047</v>
      </c>
      <c r="B4641" t="s">
        <v>1419</v>
      </c>
      <c r="C4641" t="s">
        <v>1046</v>
      </c>
      <c r="D4641" t="s">
        <v>12291</v>
      </c>
      <c r="H4641" t="s">
        <v>12345</v>
      </c>
      <c r="I4641" s="4"/>
      <c r="J4641" t="s">
        <v>12346</v>
      </c>
      <c r="K4641" t="s">
        <v>152</v>
      </c>
      <c r="L4641" s="5" t="s">
        <v>12347</v>
      </c>
      <c r="M4641" s="5"/>
      <c r="N4641" t="s">
        <v>35</v>
      </c>
      <c r="O4641" t="s">
        <v>12348</v>
      </c>
      <c r="R4641">
        <v>0.05</v>
      </c>
      <c r="T4641" s="5" t="s">
        <v>38</v>
      </c>
      <c r="W4641">
        <v>72</v>
      </c>
      <c r="X4641" t="s">
        <v>341</v>
      </c>
      <c r="Y4641" t="str">
        <f>VLOOKUP(C4641,'[1]DBS_KPY Sorumlular'!A:C,2,FALSE)</f>
        <v>Ayşegül AKGÜL</v>
      </c>
      <c r="Z4641" t="str">
        <f>VLOOKUP(C4641,'[1]DBS_KPY Sorumlular'!A:C,3,FALSE)</f>
        <v>Sinan ERDAŞ</v>
      </c>
      <c r="AA4641" t="str">
        <f>VLOOKUP(K4641,[1]!Tablo3[#Data],2,FALSE)</f>
        <v>Erkan AKDOĞAN</v>
      </c>
    </row>
    <row r="4642" spans="1:27" x14ac:dyDescent="0.25">
      <c r="A4642">
        <v>6048</v>
      </c>
      <c r="B4642" t="s">
        <v>27</v>
      </c>
      <c r="C4642" t="s">
        <v>1046</v>
      </c>
      <c r="D4642" t="s">
        <v>12291</v>
      </c>
      <c r="H4642" t="s">
        <v>12349</v>
      </c>
      <c r="I4642" s="4">
        <v>45888.875</v>
      </c>
      <c r="J4642" t="s">
        <v>12350</v>
      </c>
      <c r="K4642" t="s">
        <v>217</v>
      </c>
      <c r="L4642" s="5" t="s">
        <v>12351</v>
      </c>
      <c r="M4642" s="5"/>
      <c r="N4642" t="s">
        <v>46</v>
      </c>
      <c r="O4642" t="s">
        <v>12352</v>
      </c>
      <c r="R4642">
        <v>0.5</v>
      </c>
      <c r="T4642" s="5" t="s">
        <v>38</v>
      </c>
      <c r="W4642">
        <v>72</v>
      </c>
      <c r="X4642" t="s">
        <v>341</v>
      </c>
      <c r="Y4642" t="str">
        <f>VLOOKUP(C4642,'[1]DBS_KPY Sorumlular'!A:C,2,FALSE)</f>
        <v>Ayşegül AKGÜL</v>
      </c>
      <c r="Z4642" t="str">
        <f>VLOOKUP(C4642,'[1]DBS_KPY Sorumlular'!A:C,3,FALSE)</f>
        <v>Sinan ERDAŞ</v>
      </c>
      <c r="AA4642" t="str">
        <f>VLOOKUP(K4642,[1]!Tablo3[#Data],2,FALSE)</f>
        <v>Erkan AKDOĞAN</v>
      </c>
    </row>
    <row r="4643" spans="1:27" x14ac:dyDescent="0.25">
      <c r="A4643">
        <v>6049</v>
      </c>
      <c r="B4643" t="s">
        <v>1419</v>
      </c>
      <c r="C4643" t="s">
        <v>1046</v>
      </c>
      <c r="D4643" t="s">
        <v>12291</v>
      </c>
      <c r="H4643" t="s">
        <v>12353</v>
      </c>
      <c r="I4643" s="4"/>
      <c r="J4643" t="s">
        <v>12346</v>
      </c>
      <c r="K4643" t="s">
        <v>217</v>
      </c>
      <c r="L4643" s="5" t="s">
        <v>12347</v>
      </c>
      <c r="M4643" s="5"/>
      <c r="N4643" t="s">
        <v>768</v>
      </c>
      <c r="R4643">
        <v>0.1</v>
      </c>
      <c r="T4643" s="5" t="s">
        <v>38</v>
      </c>
      <c r="W4643">
        <v>80</v>
      </c>
      <c r="X4643" t="s">
        <v>647</v>
      </c>
      <c r="Y4643" t="str">
        <f>VLOOKUP(C4643,'[1]DBS_KPY Sorumlular'!A:C,2,FALSE)</f>
        <v>Ayşegül AKGÜL</v>
      </c>
      <c r="Z4643" t="str">
        <f>VLOOKUP(C4643,'[1]DBS_KPY Sorumlular'!A:C,3,FALSE)</f>
        <v>Sinan ERDAŞ</v>
      </c>
      <c r="AA4643" t="str">
        <f>VLOOKUP(K4643,[1]!Tablo3[#Data],2,FALSE)</f>
        <v>Erkan AKDOĞAN</v>
      </c>
    </row>
    <row r="4644" spans="1:27" x14ac:dyDescent="0.25">
      <c r="A4644">
        <v>6050</v>
      </c>
      <c r="B4644" t="s">
        <v>27</v>
      </c>
      <c r="C4644" t="s">
        <v>1046</v>
      </c>
      <c r="D4644" t="s">
        <v>12291</v>
      </c>
      <c r="H4644" t="s">
        <v>3958</v>
      </c>
      <c r="I4644" s="4">
        <v>45857.875</v>
      </c>
      <c r="J4644" t="s">
        <v>12354</v>
      </c>
      <c r="K4644" t="s">
        <v>364</v>
      </c>
      <c r="L4644" s="5" t="s">
        <v>12355</v>
      </c>
      <c r="M4644" s="5"/>
      <c r="N4644" t="s">
        <v>46</v>
      </c>
      <c r="O4644" t="s">
        <v>12356</v>
      </c>
      <c r="R4644">
        <v>0.3</v>
      </c>
      <c r="T4644" s="5" t="s">
        <v>38</v>
      </c>
      <c r="W4644">
        <v>169</v>
      </c>
      <c r="X4644" t="s">
        <v>1480</v>
      </c>
      <c r="Y4644" t="str">
        <f>VLOOKUP(C4644,'[1]DBS_KPY Sorumlular'!A:C,2,FALSE)</f>
        <v>Ayşegül AKGÜL</v>
      </c>
      <c r="Z4644" t="str">
        <f>VLOOKUP(C4644,'[1]DBS_KPY Sorumlular'!A:C,3,FALSE)</f>
        <v>Sinan ERDAŞ</v>
      </c>
      <c r="AA4644" t="str">
        <f>VLOOKUP(K4644,[1]!Tablo3[#Data],2,FALSE)</f>
        <v>Kadir TOPÇU</v>
      </c>
    </row>
    <row r="4645" spans="1:27" x14ac:dyDescent="0.25">
      <c r="A4645">
        <v>6051</v>
      </c>
      <c r="B4645" t="s">
        <v>27</v>
      </c>
      <c r="C4645" t="s">
        <v>12357</v>
      </c>
      <c r="D4645" t="s">
        <v>12357</v>
      </c>
      <c r="H4645" t="s">
        <v>12358</v>
      </c>
      <c r="I4645" s="4">
        <v>45959.875</v>
      </c>
      <c r="J4645" t="s">
        <v>12359</v>
      </c>
      <c r="K4645" t="s">
        <v>435</v>
      </c>
      <c r="L4645" s="5" t="s">
        <v>12360</v>
      </c>
      <c r="M4645" s="5"/>
      <c r="N4645" t="s">
        <v>46</v>
      </c>
      <c r="O4645" t="s">
        <v>12361</v>
      </c>
      <c r="R4645">
        <v>0.05</v>
      </c>
      <c r="T4645" s="5"/>
      <c r="Y4645" t="e">
        <f>VLOOKUP(C4645,'[1]DBS_KPY Sorumlular'!A:C,2,FALSE)</f>
        <v>#N/A</v>
      </c>
      <c r="Z4645" t="e">
        <f>VLOOKUP(C4645,'[1]DBS_KPY Sorumlular'!A:C,3,FALSE)</f>
        <v>#N/A</v>
      </c>
      <c r="AA4645" t="str">
        <f>VLOOKUP(K4645,[1]!Tablo3[#Data],2,FALSE)</f>
        <v>Tayfun VİÇE</v>
      </c>
    </row>
    <row r="4646" spans="1:27" x14ac:dyDescent="0.25">
      <c r="A4646">
        <v>6052</v>
      </c>
      <c r="B4646" t="s">
        <v>1419</v>
      </c>
      <c r="C4646" t="s">
        <v>1046</v>
      </c>
      <c r="D4646" t="s">
        <v>12291</v>
      </c>
      <c r="H4646" t="s">
        <v>12362</v>
      </c>
      <c r="I4646" s="4"/>
      <c r="J4646" t="s">
        <v>12346</v>
      </c>
      <c r="K4646" t="s">
        <v>459</v>
      </c>
      <c r="L4646" s="5" t="s">
        <v>12347</v>
      </c>
      <c r="M4646" s="5"/>
      <c r="N4646" t="s">
        <v>768</v>
      </c>
      <c r="R4646">
        <v>0.05</v>
      </c>
      <c r="T4646" s="5" t="s">
        <v>38</v>
      </c>
      <c r="W4646">
        <v>80</v>
      </c>
      <c r="X4646" t="s">
        <v>647</v>
      </c>
      <c r="Y4646" t="str">
        <f>VLOOKUP(C4646,'[1]DBS_KPY Sorumlular'!A:C,2,FALSE)</f>
        <v>Ayşegül AKGÜL</v>
      </c>
      <c r="Z4646" t="str">
        <f>VLOOKUP(C4646,'[1]DBS_KPY Sorumlular'!A:C,3,FALSE)</f>
        <v>Sinan ERDAŞ</v>
      </c>
      <c r="AA4646" t="str">
        <f>VLOOKUP(K4646,[1]!Tablo3[#Data],2,FALSE)</f>
        <v>Erkan AKDOĞAN</v>
      </c>
    </row>
    <row r="4647" spans="1:27" x14ac:dyDescent="0.25">
      <c r="A4647">
        <v>6053</v>
      </c>
      <c r="B4647" t="s">
        <v>27</v>
      </c>
      <c r="C4647" t="s">
        <v>1046</v>
      </c>
      <c r="D4647" t="s">
        <v>12291</v>
      </c>
      <c r="H4647" t="s">
        <v>12363</v>
      </c>
      <c r="I4647" s="4">
        <v>45904.875</v>
      </c>
      <c r="J4647" t="s">
        <v>12364</v>
      </c>
      <c r="K4647" t="s">
        <v>678</v>
      </c>
      <c r="L4647" s="5" t="s">
        <v>12365</v>
      </c>
      <c r="M4647" s="5"/>
      <c r="N4647" t="s">
        <v>46</v>
      </c>
      <c r="O4647" t="s">
        <v>12366</v>
      </c>
      <c r="R4647">
        <v>0.85</v>
      </c>
      <c r="T4647" s="5" t="s">
        <v>38</v>
      </c>
      <c r="W4647">
        <v>16</v>
      </c>
      <c r="X4647" t="s">
        <v>5859</v>
      </c>
      <c r="Y4647" t="str">
        <f>VLOOKUP(C4647,'[1]DBS_KPY Sorumlular'!A:C,2,FALSE)</f>
        <v>Ayşegül AKGÜL</v>
      </c>
      <c r="Z4647" t="str">
        <f>VLOOKUP(C4647,'[1]DBS_KPY Sorumlular'!A:C,3,FALSE)</f>
        <v>Sinan ERDAŞ</v>
      </c>
      <c r="AA4647" t="str">
        <f>VLOOKUP(K4647,[1]!Tablo3[#Data],2,FALSE)</f>
        <v>Kadir TOPÇU</v>
      </c>
    </row>
    <row r="4648" spans="1:27" x14ac:dyDescent="0.25">
      <c r="A4648">
        <v>6054</v>
      </c>
      <c r="B4648" t="s">
        <v>27</v>
      </c>
      <c r="C4648" t="s">
        <v>1046</v>
      </c>
      <c r="D4648" t="s">
        <v>12291</v>
      </c>
      <c r="H4648" t="s">
        <v>12367</v>
      </c>
      <c r="I4648" s="4">
        <v>45873.875</v>
      </c>
      <c r="J4648" t="s">
        <v>12368</v>
      </c>
      <c r="K4648" t="s">
        <v>678</v>
      </c>
      <c r="L4648" s="5" t="s">
        <v>12369</v>
      </c>
      <c r="M4648" s="5"/>
      <c r="N4648" t="s">
        <v>46</v>
      </c>
      <c r="R4648">
        <v>0.85</v>
      </c>
      <c r="T4648" s="5" t="s">
        <v>38</v>
      </c>
      <c r="W4648">
        <v>93</v>
      </c>
      <c r="X4648" t="s">
        <v>4561</v>
      </c>
      <c r="Y4648" t="str">
        <f>VLOOKUP(C4648,'[1]DBS_KPY Sorumlular'!A:C,2,FALSE)</f>
        <v>Ayşegül AKGÜL</v>
      </c>
      <c r="Z4648" t="str">
        <f>VLOOKUP(C4648,'[1]DBS_KPY Sorumlular'!A:C,3,FALSE)</f>
        <v>Sinan ERDAŞ</v>
      </c>
      <c r="AA4648" t="str">
        <f>VLOOKUP(K4648,[1]!Tablo3[#Data],2,FALSE)</f>
        <v>Kadir TOPÇU</v>
      </c>
    </row>
    <row r="4649" spans="1:27" x14ac:dyDescent="0.25">
      <c r="A4649">
        <v>6055</v>
      </c>
      <c r="B4649" t="s">
        <v>27</v>
      </c>
      <c r="C4649" t="s">
        <v>1046</v>
      </c>
      <c r="D4649" t="s">
        <v>12291</v>
      </c>
      <c r="H4649" t="s">
        <v>12370</v>
      </c>
      <c r="I4649" s="4">
        <v>45944.875</v>
      </c>
      <c r="J4649" t="s">
        <v>12371</v>
      </c>
      <c r="K4649" t="s">
        <v>678</v>
      </c>
      <c r="L4649" s="5" t="s">
        <v>12372</v>
      </c>
      <c r="M4649" s="5"/>
      <c r="N4649" t="s">
        <v>46</v>
      </c>
      <c r="O4649" t="s">
        <v>12373</v>
      </c>
      <c r="R4649">
        <v>0.2</v>
      </c>
      <c r="T4649" s="5" t="s">
        <v>38</v>
      </c>
      <c r="W4649">
        <v>108</v>
      </c>
      <c r="X4649" t="s">
        <v>107</v>
      </c>
      <c r="Y4649" t="str">
        <f>VLOOKUP(C4649,'[1]DBS_KPY Sorumlular'!A:C,2,FALSE)</f>
        <v>Ayşegül AKGÜL</v>
      </c>
      <c r="Z4649" t="str">
        <f>VLOOKUP(C4649,'[1]DBS_KPY Sorumlular'!A:C,3,FALSE)</f>
        <v>Sinan ERDAŞ</v>
      </c>
      <c r="AA4649" t="str">
        <f>VLOOKUP(K4649,[1]!Tablo3[#Data],2,FALSE)</f>
        <v>Kadir TOPÇU</v>
      </c>
    </row>
    <row r="4650" spans="1:27" x14ac:dyDescent="0.25">
      <c r="A4650">
        <v>6056</v>
      </c>
      <c r="B4650" t="s">
        <v>27</v>
      </c>
      <c r="C4650" t="s">
        <v>1046</v>
      </c>
      <c r="D4650" t="s">
        <v>12291</v>
      </c>
      <c r="H4650" t="s">
        <v>12374</v>
      </c>
      <c r="I4650" s="4">
        <v>45817.875</v>
      </c>
      <c r="J4650" t="s">
        <v>12375</v>
      </c>
      <c r="K4650" t="s">
        <v>1221</v>
      </c>
      <c r="L4650" s="5"/>
      <c r="M4650" s="5"/>
      <c r="N4650" t="s">
        <v>82</v>
      </c>
      <c r="O4650" t="s">
        <v>12376</v>
      </c>
      <c r="R4650">
        <v>1</v>
      </c>
      <c r="T4650" s="5" t="s">
        <v>38</v>
      </c>
      <c r="W4650">
        <v>80</v>
      </c>
      <c r="X4650" t="s">
        <v>647</v>
      </c>
      <c r="Y4650" t="str">
        <f>VLOOKUP(C4650,'[1]DBS_KPY Sorumlular'!A:C,2,FALSE)</f>
        <v>Ayşegül AKGÜL</v>
      </c>
      <c r="Z4650" t="str">
        <f>VLOOKUP(C4650,'[1]DBS_KPY Sorumlular'!A:C,3,FALSE)</f>
        <v>Sinan ERDAŞ</v>
      </c>
      <c r="AA4650" t="str">
        <f>VLOOKUP(K4650,[1]!Tablo3[#Data],2,FALSE)</f>
        <v>Tayfun VİÇE</v>
      </c>
    </row>
    <row r="4651" spans="1:27" x14ac:dyDescent="0.25">
      <c r="A4651">
        <v>6057</v>
      </c>
      <c r="B4651" t="s">
        <v>27</v>
      </c>
      <c r="C4651" t="s">
        <v>1046</v>
      </c>
      <c r="D4651" t="s">
        <v>12291</v>
      </c>
      <c r="H4651" t="s">
        <v>12377</v>
      </c>
      <c r="I4651" s="4">
        <v>45817.875</v>
      </c>
      <c r="J4651" t="s">
        <v>12378</v>
      </c>
      <c r="K4651" t="s">
        <v>926</v>
      </c>
      <c r="L4651" s="5" t="s">
        <v>12379</v>
      </c>
      <c r="M4651" s="5"/>
      <c r="N4651" t="s">
        <v>46</v>
      </c>
      <c r="O4651" t="s">
        <v>12380</v>
      </c>
      <c r="R4651">
        <v>0.98</v>
      </c>
      <c r="T4651" s="5" t="s">
        <v>38</v>
      </c>
      <c r="W4651">
        <v>172</v>
      </c>
      <c r="X4651" t="s">
        <v>240</v>
      </c>
      <c r="Y4651" t="str">
        <f>VLOOKUP(C4651,'[1]DBS_KPY Sorumlular'!A:C,2,FALSE)</f>
        <v>Ayşegül AKGÜL</v>
      </c>
      <c r="Z4651" t="str">
        <f>VLOOKUP(C4651,'[1]DBS_KPY Sorumlular'!A:C,3,FALSE)</f>
        <v>Sinan ERDAŞ</v>
      </c>
      <c r="AA4651" t="str">
        <f>VLOOKUP(K4651,[1]!Tablo3[#Data],2,FALSE)</f>
        <v>Kadir TOPÇU</v>
      </c>
    </row>
    <row r="4652" spans="1:27" x14ac:dyDescent="0.25">
      <c r="A4652">
        <v>6058</v>
      </c>
      <c r="B4652" t="s">
        <v>1419</v>
      </c>
      <c r="C4652" t="s">
        <v>1046</v>
      </c>
      <c r="D4652" t="s">
        <v>12291</v>
      </c>
      <c r="H4652" t="s">
        <v>12381</v>
      </c>
      <c r="I4652" s="4"/>
      <c r="K4652" t="s">
        <v>926</v>
      </c>
      <c r="L4652" s="5" t="s">
        <v>12347</v>
      </c>
      <c r="M4652" s="5"/>
      <c r="N4652" t="s">
        <v>35</v>
      </c>
      <c r="T4652" s="5" t="s">
        <v>38</v>
      </c>
      <c r="W4652">
        <v>80</v>
      </c>
      <c r="X4652" t="s">
        <v>647</v>
      </c>
      <c r="Y4652" t="str">
        <f>VLOOKUP(C4652,'[1]DBS_KPY Sorumlular'!A:C,2,FALSE)</f>
        <v>Ayşegül AKGÜL</v>
      </c>
      <c r="Z4652" t="str">
        <f>VLOOKUP(C4652,'[1]DBS_KPY Sorumlular'!A:C,3,FALSE)</f>
        <v>Sinan ERDAŞ</v>
      </c>
      <c r="AA4652" t="str">
        <f>VLOOKUP(K4652,[1]!Tablo3[#Data],2,FALSE)</f>
        <v>Kadir TOPÇU</v>
      </c>
    </row>
    <row r="4653" spans="1:27" x14ac:dyDescent="0.25">
      <c r="A4653">
        <v>6059</v>
      </c>
      <c r="B4653" t="s">
        <v>27</v>
      </c>
      <c r="C4653" t="s">
        <v>1046</v>
      </c>
      <c r="D4653" t="s">
        <v>12291</v>
      </c>
      <c r="H4653" t="s">
        <v>12382</v>
      </c>
      <c r="I4653" s="4">
        <v>45837.875</v>
      </c>
      <c r="J4653" t="s">
        <v>12383</v>
      </c>
      <c r="K4653" t="s">
        <v>1360</v>
      </c>
      <c r="L4653" s="5" t="s">
        <v>12384</v>
      </c>
      <c r="M4653" s="5"/>
      <c r="N4653" t="s">
        <v>46</v>
      </c>
      <c r="O4653" t="s">
        <v>12385</v>
      </c>
      <c r="R4653">
        <v>0.8</v>
      </c>
      <c r="T4653" s="5" t="s">
        <v>38</v>
      </c>
      <c r="W4653">
        <v>62</v>
      </c>
      <c r="X4653" t="s">
        <v>680</v>
      </c>
      <c r="Y4653" t="str">
        <f>VLOOKUP(C4653,'[1]DBS_KPY Sorumlular'!A:C,2,FALSE)</f>
        <v>Ayşegül AKGÜL</v>
      </c>
      <c r="Z4653" t="str">
        <f>VLOOKUP(C4653,'[1]DBS_KPY Sorumlular'!A:C,3,FALSE)</f>
        <v>Sinan ERDAŞ</v>
      </c>
      <c r="AA4653" t="str">
        <f>VLOOKUP(K4653,[1]!Tablo3[#Data],2,FALSE)</f>
        <v>Kadir TOPÇU</v>
      </c>
    </row>
    <row r="4654" spans="1:27" x14ac:dyDescent="0.25">
      <c r="A4654">
        <v>6060</v>
      </c>
      <c r="B4654" t="s">
        <v>1419</v>
      </c>
      <c r="C4654" t="s">
        <v>1046</v>
      </c>
      <c r="D4654" t="s">
        <v>12291</v>
      </c>
      <c r="H4654" t="s">
        <v>12386</v>
      </c>
      <c r="I4654" s="4"/>
      <c r="J4654" t="s">
        <v>12387</v>
      </c>
      <c r="K4654" t="s">
        <v>1398</v>
      </c>
      <c r="L4654" s="5"/>
      <c r="M4654" s="5"/>
      <c r="N4654" t="s">
        <v>35</v>
      </c>
      <c r="O4654" t="s">
        <v>12388</v>
      </c>
      <c r="R4654">
        <v>0.05</v>
      </c>
      <c r="T4654" s="5" t="s">
        <v>38</v>
      </c>
      <c r="W4654">
        <v>80</v>
      </c>
      <c r="X4654" t="s">
        <v>647</v>
      </c>
      <c r="Y4654" t="str">
        <f>VLOOKUP(C4654,'[1]DBS_KPY Sorumlular'!A:C,2,FALSE)</f>
        <v>Ayşegül AKGÜL</v>
      </c>
      <c r="Z4654" t="str">
        <f>VLOOKUP(C4654,'[1]DBS_KPY Sorumlular'!A:C,3,FALSE)</f>
        <v>Sinan ERDAŞ</v>
      </c>
      <c r="AA4654" t="str">
        <f>VLOOKUP(K4654,[1]!Tablo3[#Data],2,FALSE)</f>
        <v>Tayfun VİÇE</v>
      </c>
    </row>
    <row r="4655" spans="1:27" x14ac:dyDescent="0.25">
      <c r="A4655">
        <v>6061</v>
      </c>
      <c r="B4655" t="s">
        <v>27</v>
      </c>
      <c r="C4655" t="s">
        <v>1046</v>
      </c>
      <c r="D4655" t="s">
        <v>12291</v>
      </c>
      <c r="H4655" t="s">
        <v>12389</v>
      </c>
      <c r="I4655" s="4">
        <v>45873.875</v>
      </c>
      <c r="J4655" t="s">
        <v>12390</v>
      </c>
      <c r="K4655" t="s">
        <v>1471</v>
      </c>
      <c r="L4655" s="5" t="s">
        <v>12391</v>
      </c>
      <c r="M4655" s="5"/>
      <c r="N4655" t="s">
        <v>46</v>
      </c>
      <c r="O4655" t="s">
        <v>12392</v>
      </c>
      <c r="R4655">
        <v>0.95</v>
      </c>
      <c r="T4655" s="5" t="s">
        <v>38</v>
      </c>
      <c r="W4655">
        <v>80</v>
      </c>
      <c r="X4655" t="s">
        <v>647</v>
      </c>
      <c r="Y4655" t="str">
        <f>VLOOKUP(C4655,'[1]DBS_KPY Sorumlular'!A:C,2,FALSE)</f>
        <v>Ayşegül AKGÜL</v>
      </c>
      <c r="Z4655" t="str">
        <f>VLOOKUP(C4655,'[1]DBS_KPY Sorumlular'!A:C,3,FALSE)</f>
        <v>Sinan ERDAŞ</v>
      </c>
      <c r="AA4655" t="str">
        <f>VLOOKUP(K4655,[1]!Tablo3[#Data],2,FALSE)</f>
        <v>Tayfun VİÇE</v>
      </c>
    </row>
    <row r="4656" spans="1:27" x14ac:dyDescent="0.25">
      <c r="A4656">
        <v>6062</v>
      </c>
      <c r="B4656" t="s">
        <v>27</v>
      </c>
      <c r="C4656" t="s">
        <v>1046</v>
      </c>
      <c r="D4656" t="s">
        <v>12291</v>
      </c>
      <c r="H4656" t="s">
        <v>12393</v>
      </c>
      <c r="I4656" s="4">
        <v>45817.875</v>
      </c>
      <c r="J4656" t="s">
        <v>12394</v>
      </c>
      <c r="K4656" t="s">
        <v>1471</v>
      </c>
      <c r="L4656" s="5"/>
      <c r="M4656" s="5"/>
      <c r="N4656" t="s">
        <v>82</v>
      </c>
      <c r="O4656" t="s">
        <v>12395</v>
      </c>
      <c r="R4656">
        <v>1</v>
      </c>
      <c r="T4656" s="5" t="s">
        <v>38</v>
      </c>
      <c r="W4656">
        <v>80</v>
      </c>
      <c r="X4656" t="s">
        <v>647</v>
      </c>
      <c r="Y4656" t="str">
        <f>VLOOKUP(C4656,'[1]DBS_KPY Sorumlular'!A:C,2,FALSE)</f>
        <v>Ayşegül AKGÜL</v>
      </c>
      <c r="Z4656" t="str">
        <f>VLOOKUP(C4656,'[1]DBS_KPY Sorumlular'!A:C,3,FALSE)</f>
        <v>Sinan ERDAŞ</v>
      </c>
      <c r="AA4656" t="str">
        <f>VLOOKUP(K4656,[1]!Tablo3[#Data],2,FALSE)</f>
        <v>Tayfun VİÇE</v>
      </c>
    </row>
    <row r="4657" spans="1:27" x14ac:dyDescent="0.25">
      <c r="A4657">
        <v>6063</v>
      </c>
      <c r="B4657" t="s">
        <v>1419</v>
      </c>
      <c r="C4657" t="s">
        <v>1674</v>
      </c>
      <c r="D4657" t="s">
        <v>1717</v>
      </c>
      <c r="G4657" t="s">
        <v>43</v>
      </c>
      <c r="H4657" t="s">
        <v>12396</v>
      </c>
      <c r="I4657" s="4"/>
      <c r="K4657" t="s">
        <v>1029</v>
      </c>
      <c r="L4657" s="5"/>
      <c r="M4657" s="5"/>
      <c r="N4657" t="s">
        <v>35</v>
      </c>
      <c r="T4657" s="5" t="s">
        <v>48</v>
      </c>
      <c r="U4657" t="s">
        <v>12397</v>
      </c>
      <c r="V4657" t="s">
        <v>12396</v>
      </c>
      <c r="W4657">
        <v>62</v>
      </c>
      <c r="X4657" t="s">
        <v>680</v>
      </c>
      <c r="Y4657" t="str">
        <f>VLOOKUP(C4657,'[1]DBS_KPY Sorumlular'!A:C,2,FALSE)</f>
        <v>Kadir TOPÇU</v>
      </c>
      <c r="Z4657" t="str">
        <f>VLOOKUP(C4657,'[1]DBS_KPY Sorumlular'!A:C,3,FALSE)</f>
        <v>Erkan AKDOĞAN</v>
      </c>
      <c r="AA4657" t="str">
        <f>VLOOKUP(K4657,[1]!Tablo3[#Data],2,FALSE)</f>
        <v>Tayfun VİÇE</v>
      </c>
    </row>
    <row r="4658" spans="1:27" x14ac:dyDescent="0.25">
      <c r="A4658">
        <v>6064</v>
      </c>
      <c r="B4658" t="s">
        <v>1419</v>
      </c>
      <c r="C4658" t="s">
        <v>1674</v>
      </c>
      <c r="D4658" t="s">
        <v>1675</v>
      </c>
      <c r="H4658" t="s">
        <v>12398</v>
      </c>
      <c r="I4658" s="4"/>
      <c r="K4658" t="s">
        <v>33</v>
      </c>
      <c r="L4658" s="5"/>
      <c r="M4658" s="5"/>
      <c r="N4658" t="s">
        <v>35</v>
      </c>
      <c r="T4658" s="5"/>
      <c r="W4658">
        <v>94</v>
      </c>
      <c r="X4658" t="s">
        <v>1707</v>
      </c>
      <c r="Y4658" t="str">
        <f>VLOOKUP(C4658,'[1]DBS_KPY Sorumlular'!A:C,2,FALSE)</f>
        <v>Kadir TOPÇU</v>
      </c>
      <c r="Z4658" t="str">
        <f>VLOOKUP(C4658,'[1]DBS_KPY Sorumlular'!A:C,3,FALSE)</f>
        <v>Erkan AKDOĞAN</v>
      </c>
      <c r="AA4658" t="str">
        <f>VLOOKUP(K4658,[1]!Tablo3[#Data],2,FALSE)</f>
        <v>Tayfun VİÇE</v>
      </c>
    </row>
    <row r="4659" spans="1:27" x14ac:dyDescent="0.25">
      <c r="A4659">
        <v>6065</v>
      </c>
      <c r="B4659" t="s">
        <v>1419</v>
      </c>
      <c r="C4659" t="s">
        <v>1674</v>
      </c>
      <c r="D4659" t="s">
        <v>1675</v>
      </c>
      <c r="H4659" t="s">
        <v>12399</v>
      </c>
      <c r="I4659" s="4"/>
      <c r="K4659" t="s">
        <v>309</v>
      </c>
      <c r="L4659" s="5"/>
      <c r="M4659" s="5"/>
      <c r="N4659" t="s">
        <v>35</v>
      </c>
      <c r="T4659" s="5"/>
      <c r="W4659">
        <v>91</v>
      </c>
      <c r="X4659" t="s">
        <v>101</v>
      </c>
      <c r="Y4659" t="str">
        <f>VLOOKUP(C4659,'[1]DBS_KPY Sorumlular'!A:C,2,FALSE)</f>
        <v>Kadir TOPÇU</v>
      </c>
      <c r="Z4659" t="str">
        <f>VLOOKUP(C4659,'[1]DBS_KPY Sorumlular'!A:C,3,FALSE)</f>
        <v>Erkan AKDOĞAN</v>
      </c>
      <c r="AA4659" t="str">
        <f>VLOOKUP(K4659,[1]!Tablo3[#Data],2,FALSE)</f>
        <v>Erkan AKDOĞAN</v>
      </c>
    </row>
    <row r="4660" spans="1:27" x14ac:dyDescent="0.25">
      <c r="A4660">
        <v>6066</v>
      </c>
      <c r="B4660" t="s">
        <v>1419</v>
      </c>
      <c r="C4660" t="s">
        <v>1674</v>
      </c>
      <c r="D4660" t="s">
        <v>1675</v>
      </c>
      <c r="H4660" t="s">
        <v>12400</v>
      </c>
      <c r="I4660" s="4"/>
      <c r="K4660" t="s">
        <v>325</v>
      </c>
      <c r="L4660" s="5"/>
      <c r="M4660" s="5"/>
      <c r="N4660" t="s">
        <v>35</v>
      </c>
      <c r="T4660" s="5"/>
      <c r="W4660">
        <v>91</v>
      </c>
      <c r="X4660" t="s">
        <v>101</v>
      </c>
      <c r="Y4660" t="str">
        <f>VLOOKUP(C4660,'[1]DBS_KPY Sorumlular'!A:C,2,FALSE)</f>
        <v>Kadir TOPÇU</v>
      </c>
      <c r="Z4660" t="str">
        <f>VLOOKUP(C4660,'[1]DBS_KPY Sorumlular'!A:C,3,FALSE)</f>
        <v>Erkan AKDOĞAN</v>
      </c>
      <c r="AA4660" t="str">
        <f>VLOOKUP(K4660,[1]!Tablo3[#Data],2,FALSE)</f>
        <v>Kadir TOPÇU</v>
      </c>
    </row>
    <row r="4661" spans="1:27" x14ac:dyDescent="0.25">
      <c r="A4661">
        <v>6067</v>
      </c>
      <c r="B4661" t="s">
        <v>1419</v>
      </c>
      <c r="C4661" t="s">
        <v>1674</v>
      </c>
      <c r="D4661" t="s">
        <v>1675</v>
      </c>
      <c r="H4661" t="s">
        <v>12401</v>
      </c>
      <c r="I4661" s="4"/>
      <c r="K4661" t="s">
        <v>435</v>
      </c>
      <c r="L4661" s="5"/>
      <c r="M4661" s="5"/>
      <c r="N4661" t="s">
        <v>35</v>
      </c>
      <c r="T4661" s="5"/>
      <c r="W4661">
        <v>168</v>
      </c>
      <c r="X4661" t="s">
        <v>394</v>
      </c>
      <c r="Y4661" t="str">
        <f>VLOOKUP(C4661,'[1]DBS_KPY Sorumlular'!A:C,2,FALSE)</f>
        <v>Kadir TOPÇU</v>
      </c>
      <c r="Z4661" t="str">
        <f>VLOOKUP(C4661,'[1]DBS_KPY Sorumlular'!A:C,3,FALSE)</f>
        <v>Erkan AKDOĞAN</v>
      </c>
      <c r="AA4661" t="str">
        <f>VLOOKUP(K4661,[1]!Tablo3[#Data],2,FALSE)</f>
        <v>Tayfun VİÇE</v>
      </c>
    </row>
    <row r="4662" spans="1:27" x14ac:dyDescent="0.25">
      <c r="A4662">
        <v>6068</v>
      </c>
      <c r="B4662" t="s">
        <v>1419</v>
      </c>
      <c r="C4662" t="s">
        <v>1674</v>
      </c>
      <c r="D4662" t="s">
        <v>1675</v>
      </c>
      <c r="H4662" t="s">
        <v>12402</v>
      </c>
      <c r="I4662" s="4"/>
      <c r="K4662" t="s">
        <v>435</v>
      </c>
      <c r="L4662" s="5"/>
      <c r="M4662" s="5"/>
      <c r="N4662" t="s">
        <v>35</v>
      </c>
      <c r="T4662" s="5"/>
      <c r="W4662">
        <v>227</v>
      </c>
      <c r="X4662" t="s">
        <v>4380</v>
      </c>
      <c r="Y4662" t="str">
        <f>VLOOKUP(C4662,'[1]DBS_KPY Sorumlular'!A:C,2,FALSE)</f>
        <v>Kadir TOPÇU</v>
      </c>
      <c r="Z4662" t="str">
        <f>VLOOKUP(C4662,'[1]DBS_KPY Sorumlular'!A:C,3,FALSE)</f>
        <v>Erkan AKDOĞAN</v>
      </c>
      <c r="AA4662" t="str">
        <f>VLOOKUP(K4662,[1]!Tablo3[#Data],2,FALSE)</f>
        <v>Tayfun VİÇE</v>
      </c>
    </row>
    <row r="4663" spans="1:27" x14ac:dyDescent="0.25">
      <c r="A4663">
        <v>6069</v>
      </c>
      <c r="B4663" t="s">
        <v>1419</v>
      </c>
      <c r="C4663" t="s">
        <v>1674</v>
      </c>
      <c r="D4663" t="s">
        <v>1675</v>
      </c>
      <c r="H4663" t="s">
        <v>12403</v>
      </c>
      <c r="I4663" s="4"/>
      <c r="K4663" t="s">
        <v>586</v>
      </c>
      <c r="L4663" s="5"/>
      <c r="M4663" s="5"/>
      <c r="N4663" t="s">
        <v>35</v>
      </c>
      <c r="T4663" s="5"/>
      <c r="W4663">
        <v>86</v>
      </c>
      <c r="X4663" t="s">
        <v>189</v>
      </c>
      <c r="Y4663" t="str">
        <f>VLOOKUP(C4663,'[1]DBS_KPY Sorumlular'!A:C,2,FALSE)</f>
        <v>Kadir TOPÇU</v>
      </c>
      <c r="Z4663" t="str">
        <f>VLOOKUP(C4663,'[1]DBS_KPY Sorumlular'!A:C,3,FALSE)</f>
        <v>Erkan AKDOĞAN</v>
      </c>
      <c r="AA4663" t="str">
        <f>VLOOKUP(K4663,[1]!Tablo3[#Data],2,FALSE)</f>
        <v>Tayfun VİÇE</v>
      </c>
    </row>
    <row r="4664" spans="1:27" x14ac:dyDescent="0.25">
      <c r="A4664">
        <v>6070</v>
      </c>
      <c r="B4664" t="s">
        <v>1419</v>
      </c>
      <c r="C4664" t="s">
        <v>1674</v>
      </c>
      <c r="D4664" t="s">
        <v>1675</v>
      </c>
      <c r="H4664" t="s">
        <v>12404</v>
      </c>
      <c r="I4664" s="4"/>
      <c r="K4664" t="s">
        <v>611</v>
      </c>
      <c r="L4664" s="5"/>
      <c r="M4664" s="5"/>
      <c r="N4664" t="s">
        <v>35</v>
      </c>
      <c r="T4664" s="5"/>
      <c r="W4664">
        <v>40</v>
      </c>
      <c r="X4664" t="s">
        <v>1117</v>
      </c>
      <c r="Y4664" t="str">
        <f>VLOOKUP(C4664,'[1]DBS_KPY Sorumlular'!A:C,2,FALSE)</f>
        <v>Kadir TOPÇU</v>
      </c>
      <c r="Z4664" t="str">
        <f>VLOOKUP(C4664,'[1]DBS_KPY Sorumlular'!A:C,3,FALSE)</f>
        <v>Erkan AKDOĞAN</v>
      </c>
      <c r="AA4664" t="str">
        <f>VLOOKUP(K4664,[1]!Tablo3[#Data],2,FALSE)</f>
        <v>Kadir TOPÇU</v>
      </c>
    </row>
    <row r="4665" spans="1:27" x14ac:dyDescent="0.25">
      <c r="A4665">
        <v>6071</v>
      </c>
      <c r="B4665" t="s">
        <v>1419</v>
      </c>
      <c r="C4665" t="s">
        <v>1674</v>
      </c>
      <c r="D4665" t="s">
        <v>1675</v>
      </c>
      <c r="H4665" t="s">
        <v>12405</v>
      </c>
      <c r="I4665" s="4"/>
      <c r="K4665" t="s">
        <v>678</v>
      </c>
      <c r="L4665" s="5"/>
      <c r="M4665" s="5"/>
      <c r="N4665" t="s">
        <v>35</v>
      </c>
      <c r="T4665" s="5"/>
      <c r="W4665">
        <v>94</v>
      </c>
      <c r="X4665" t="s">
        <v>1707</v>
      </c>
      <c r="Y4665" t="str">
        <f>VLOOKUP(C4665,'[1]DBS_KPY Sorumlular'!A:C,2,FALSE)</f>
        <v>Kadir TOPÇU</v>
      </c>
      <c r="Z4665" t="str">
        <f>VLOOKUP(C4665,'[1]DBS_KPY Sorumlular'!A:C,3,FALSE)</f>
        <v>Erkan AKDOĞAN</v>
      </c>
      <c r="AA4665" t="str">
        <f>VLOOKUP(K4665,[1]!Tablo3[#Data],2,FALSE)</f>
        <v>Kadir TOPÇU</v>
      </c>
    </row>
    <row r="4666" spans="1:27" x14ac:dyDescent="0.25">
      <c r="A4666">
        <v>6072</v>
      </c>
      <c r="B4666" t="s">
        <v>1419</v>
      </c>
      <c r="C4666" t="s">
        <v>1674</v>
      </c>
      <c r="D4666" t="s">
        <v>1675</v>
      </c>
      <c r="H4666" t="s">
        <v>12406</v>
      </c>
      <c r="I4666" s="4"/>
      <c r="K4666" t="s">
        <v>678</v>
      </c>
      <c r="L4666" s="5"/>
      <c r="M4666" s="5"/>
      <c r="N4666" t="s">
        <v>35</v>
      </c>
      <c r="T4666" s="5"/>
      <c r="W4666">
        <v>71</v>
      </c>
      <c r="X4666" t="s">
        <v>1299</v>
      </c>
      <c r="Y4666" t="str">
        <f>VLOOKUP(C4666,'[1]DBS_KPY Sorumlular'!A:C,2,FALSE)</f>
        <v>Kadir TOPÇU</v>
      </c>
      <c r="Z4666" t="str">
        <f>VLOOKUP(C4666,'[1]DBS_KPY Sorumlular'!A:C,3,FALSE)</f>
        <v>Erkan AKDOĞAN</v>
      </c>
      <c r="AA4666" t="str">
        <f>VLOOKUP(K4666,[1]!Tablo3[#Data],2,FALSE)</f>
        <v>Kadir TOPÇU</v>
      </c>
    </row>
    <row r="4667" spans="1:27" x14ac:dyDescent="0.25">
      <c r="A4667">
        <v>6073</v>
      </c>
      <c r="B4667" t="s">
        <v>1419</v>
      </c>
      <c r="C4667" t="s">
        <v>1674</v>
      </c>
      <c r="D4667" t="s">
        <v>1675</v>
      </c>
      <c r="H4667" t="s">
        <v>12407</v>
      </c>
      <c r="I4667" s="4"/>
      <c r="K4667" t="s">
        <v>835</v>
      </c>
      <c r="L4667" s="5"/>
      <c r="M4667" s="5"/>
      <c r="N4667" t="s">
        <v>35</v>
      </c>
      <c r="T4667" s="5"/>
      <c r="W4667">
        <v>78</v>
      </c>
      <c r="X4667" t="s">
        <v>86</v>
      </c>
      <c r="Y4667" t="str">
        <f>VLOOKUP(C4667,'[1]DBS_KPY Sorumlular'!A:C,2,FALSE)</f>
        <v>Kadir TOPÇU</v>
      </c>
      <c r="Z4667" t="str">
        <f>VLOOKUP(C4667,'[1]DBS_KPY Sorumlular'!A:C,3,FALSE)</f>
        <v>Erkan AKDOĞAN</v>
      </c>
      <c r="AA4667" t="str">
        <f>VLOOKUP(K4667,[1]!Tablo3[#Data],2,FALSE)</f>
        <v>Kadir TOPÇU</v>
      </c>
    </row>
    <row r="4668" spans="1:27" x14ac:dyDescent="0.25">
      <c r="A4668">
        <v>6075</v>
      </c>
      <c r="B4668" t="s">
        <v>1419</v>
      </c>
      <c r="C4668" t="s">
        <v>1674</v>
      </c>
      <c r="D4668" t="s">
        <v>1675</v>
      </c>
      <c r="H4668" t="s">
        <v>12408</v>
      </c>
      <c r="I4668" s="4"/>
      <c r="K4668" t="s">
        <v>280</v>
      </c>
      <c r="L4668" s="5"/>
      <c r="M4668" s="5"/>
      <c r="N4668" t="s">
        <v>35</v>
      </c>
      <c r="T4668" s="5"/>
      <c r="W4668">
        <v>73</v>
      </c>
      <c r="X4668" t="s">
        <v>1198</v>
      </c>
      <c r="Y4668" t="str">
        <f>VLOOKUP(C4668,'[1]DBS_KPY Sorumlular'!A:C,2,FALSE)</f>
        <v>Kadir TOPÇU</v>
      </c>
      <c r="Z4668" t="str">
        <f>VLOOKUP(C4668,'[1]DBS_KPY Sorumlular'!A:C,3,FALSE)</f>
        <v>Erkan AKDOĞAN</v>
      </c>
      <c r="AA4668" t="str">
        <f>VLOOKUP(K4668,[1]!Tablo3[#Data],2,FALSE)</f>
        <v>Erkan AKDOĞAN</v>
      </c>
    </row>
    <row r="4669" spans="1:27" x14ac:dyDescent="0.25">
      <c r="A4669">
        <v>6076</v>
      </c>
      <c r="B4669" t="s">
        <v>1419</v>
      </c>
      <c r="C4669" t="s">
        <v>1674</v>
      </c>
      <c r="D4669" t="s">
        <v>1675</v>
      </c>
      <c r="H4669" t="s">
        <v>12409</v>
      </c>
      <c r="I4669" s="4"/>
      <c r="K4669" t="s">
        <v>1157</v>
      </c>
      <c r="L4669" s="5"/>
      <c r="M4669" s="5"/>
      <c r="N4669" t="s">
        <v>35</v>
      </c>
      <c r="T4669" s="5"/>
      <c r="W4669">
        <v>73</v>
      </c>
      <c r="X4669" t="s">
        <v>1198</v>
      </c>
      <c r="Y4669" t="str">
        <f>VLOOKUP(C4669,'[1]DBS_KPY Sorumlular'!A:C,2,FALSE)</f>
        <v>Kadir TOPÇU</v>
      </c>
      <c r="Z4669" t="str">
        <f>VLOOKUP(C4669,'[1]DBS_KPY Sorumlular'!A:C,3,FALSE)</f>
        <v>Erkan AKDOĞAN</v>
      </c>
      <c r="AA4669" t="str">
        <f>VLOOKUP(K4669,[1]!Tablo3[#Data],2,FALSE)</f>
        <v>Tayfun VİÇE</v>
      </c>
    </row>
    <row r="4670" spans="1:27" x14ac:dyDescent="0.25">
      <c r="A4670">
        <v>6077</v>
      </c>
      <c r="B4670" t="s">
        <v>1419</v>
      </c>
      <c r="C4670" t="s">
        <v>1674</v>
      </c>
      <c r="D4670" t="s">
        <v>1675</v>
      </c>
      <c r="H4670" t="s">
        <v>12410</v>
      </c>
      <c r="I4670" s="4"/>
      <c r="K4670" t="s">
        <v>1157</v>
      </c>
      <c r="L4670" s="5"/>
      <c r="M4670" s="5"/>
      <c r="N4670" t="s">
        <v>35</v>
      </c>
      <c r="T4670" s="5"/>
      <c r="W4670">
        <v>209</v>
      </c>
      <c r="X4670" t="s">
        <v>5947</v>
      </c>
      <c r="Y4670" t="str">
        <f>VLOOKUP(C4670,'[1]DBS_KPY Sorumlular'!A:C,2,FALSE)</f>
        <v>Kadir TOPÇU</v>
      </c>
      <c r="Z4670" t="str">
        <f>VLOOKUP(C4670,'[1]DBS_KPY Sorumlular'!A:C,3,FALSE)</f>
        <v>Erkan AKDOĞAN</v>
      </c>
      <c r="AA4670" t="str">
        <f>VLOOKUP(K4670,[1]!Tablo3[#Data],2,FALSE)</f>
        <v>Tayfun VİÇE</v>
      </c>
    </row>
    <row r="4671" spans="1:27" x14ac:dyDescent="0.25">
      <c r="A4671">
        <v>6078</v>
      </c>
      <c r="B4671" t="s">
        <v>1419</v>
      </c>
      <c r="C4671" t="s">
        <v>1674</v>
      </c>
      <c r="D4671" t="s">
        <v>1675</v>
      </c>
      <c r="H4671" t="s">
        <v>12411</v>
      </c>
      <c r="I4671" s="4"/>
      <c r="K4671" t="s">
        <v>1157</v>
      </c>
      <c r="L4671" s="5"/>
      <c r="M4671" s="5"/>
      <c r="N4671" t="s">
        <v>35</v>
      </c>
      <c r="T4671" s="5"/>
      <c r="W4671">
        <v>263</v>
      </c>
      <c r="X4671" t="s">
        <v>628</v>
      </c>
      <c r="Y4671" t="str">
        <f>VLOOKUP(C4671,'[1]DBS_KPY Sorumlular'!A:C,2,FALSE)</f>
        <v>Kadir TOPÇU</v>
      </c>
      <c r="Z4671" t="str">
        <f>VLOOKUP(C4671,'[1]DBS_KPY Sorumlular'!A:C,3,FALSE)</f>
        <v>Erkan AKDOĞAN</v>
      </c>
      <c r="AA4671" t="str">
        <f>VLOOKUP(K4671,[1]!Tablo3[#Data],2,FALSE)</f>
        <v>Tayfun VİÇE</v>
      </c>
    </row>
    <row r="4672" spans="1:27" x14ac:dyDescent="0.25">
      <c r="A4672">
        <v>6079</v>
      </c>
      <c r="B4672" t="s">
        <v>1419</v>
      </c>
      <c r="C4672" t="s">
        <v>1674</v>
      </c>
      <c r="D4672" t="s">
        <v>1675</v>
      </c>
      <c r="H4672" t="s">
        <v>12412</v>
      </c>
      <c r="I4672" s="4"/>
      <c r="K4672" t="s">
        <v>1106</v>
      </c>
      <c r="L4672" s="5"/>
      <c r="M4672" s="5"/>
      <c r="N4672" t="s">
        <v>35</v>
      </c>
      <c r="T4672" s="5"/>
      <c r="W4672">
        <v>91</v>
      </c>
      <c r="X4672" t="s">
        <v>101</v>
      </c>
      <c r="Y4672" t="str">
        <f>VLOOKUP(C4672,'[1]DBS_KPY Sorumlular'!A:C,2,FALSE)</f>
        <v>Kadir TOPÇU</v>
      </c>
      <c r="Z4672" t="str">
        <f>VLOOKUP(C4672,'[1]DBS_KPY Sorumlular'!A:C,3,FALSE)</f>
        <v>Erkan AKDOĞAN</v>
      </c>
      <c r="AA4672" t="str">
        <f>VLOOKUP(K4672,[1]!Tablo3[#Data],2,FALSE)</f>
        <v>Tayfun VİÇE</v>
      </c>
    </row>
    <row r="4673" spans="1:27" x14ac:dyDescent="0.25">
      <c r="A4673">
        <v>6081</v>
      </c>
      <c r="B4673" t="s">
        <v>1419</v>
      </c>
      <c r="C4673" t="s">
        <v>1674</v>
      </c>
      <c r="D4673" t="s">
        <v>1675</v>
      </c>
      <c r="H4673" t="s">
        <v>12413</v>
      </c>
      <c r="I4673" s="4"/>
      <c r="K4673" t="s">
        <v>1398</v>
      </c>
      <c r="L4673" s="5"/>
      <c r="M4673" s="5"/>
      <c r="N4673" t="s">
        <v>35</v>
      </c>
      <c r="T4673" s="5"/>
      <c r="W4673">
        <v>108</v>
      </c>
      <c r="X4673" t="s">
        <v>107</v>
      </c>
      <c r="Y4673" t="str">
        <f>VLOOKUP(C4673,'[1]DBS_KPY Sorumlular'!A:C,2,FALSE)</f>
        <v>Kadir TOPÇU</v>
      </c>
      <c r="Z4673" t="str">
        <f>VLOOKUP(C4673,'[1]DBS_KPY Sorumlular'!A:C,3,FALSE)</f>
        <v>Erkan AKDOĞAN</v>
      </c>
      <c r="AA4673" t="str">
        <f>VLOOKUP(K4673,[1]!Tablo3[#Data],2,FALSE)</f>
        <v>Tayfun VİÇE</v>
      </c>
    </row>
    <row r="4674" spans="1:27" x14ac:dyDescent="0.25">
      <c r="A4674">
        <v>6082</v>
      </c>
      <c r="B4674" t="s">
        <v>1419</v>
      </c>
      <c r="C4674" t="s">
        <v>1674</v>
      </c>
      <c r="D4674" t="s">
        <v>1675</v>
      </c>
      <c r="H4674" t="s">
        <v>12414</v>
      </c>
      <c r="I4674" s="4"/>
      <c r="K4674" t="s">
        <v>1471</v>
      </c>
      <c r="L4674" s="5"/>
      <c r="M4674" s="5"/>
      <c r="N4674" t="s">
        <v>35</v>
      </c>
      <c r="T4674" s="5"/>
      <c r="W4674">
        <v>91</v>
      </c>
      <c r="X4674" t="s">
        <v>101</v>
      </c>
      <c r="Y4674" t="str">
        <f>VLOOKUP(C4674,'[1]DBS_KPY Sorumlular'!A:C,2,FALSE)</f>
        <v>Kadir TOPÇU</v>
      </c>
      <c r="Z4674" t="str">
        <f>VLOOKUP(C4674,'[1]DBS_KPY Sorumlular'!A:C,3,FALSE)</f>
        <v>Erkan AKDOĞAN</v>
      </c>
      <c r="AA4674" t="str">
        <f>VLOOKUP(K4674,[1]!Tablo3[#Data],2,FALSE)</f>
        <v>Tayfun VİÇE</v>
      </c>
    </row>
    <row r="4675" spans="1:27" x14ac:dyDescent="0.25">
      <c r="A4675">
        <v>6083</v>
      </c>
      <c r="B4675" t="s">
        <v>1419</v>
      </c>
      <c r="C4675" t="s">
        <v>1674</v>
      </c>
      <c r="D4675" t="s">
        <v>1675</v>
      </c>
      <c r="H4675" t="s">
        <v>12415</v>
      </c>
      <c r="I4675" s="4"/>
      <c r="K4675" t="s">
        <v>143</v>
      </c>
      <c r="L4675" s="5"/>
      <c r="M4675" s="5"/>
      <c r="N4675" t="s">
        <v>35</v>
      </c>
      <c r="T4675" s="5"/>
      <c r="W4675">
        <v>200</v>
      </c>
      <c r="X4675" t="s">
        <v>2976</v>
      </c>
      <c r="Y4675" t="str">
        <f>VLOOKUP(C4675,'[1]DBS_KPY Sorumlular'!A:C,2,FALSE)</f>
        <v>Kadir TOPÇU</v>
      </c>
      <c r="Z4675" t="str">
        <f>VLOOKUP(C4675,'[1]DBS_KPY Sorumlular'!A:C,3,FALSE)</f>
        <v>Erkan AKDOĞAN</v>
      </c>
      <c r="AA4675" t="str">
        <f>VLOOKUP(K4675,[1]!Tablo3[#Data],2,FALSE)</f>
        <v>Tayfun VİÇE</v>
      </c>
    </row>
    <row r="4676" spans="1:27" x14ac:dyDescent="0.25">
      <c r="A4676">
        <v>6084</v>
      </c>
      <c r="B4676" t="s">
        <v>1419</v>
      </c>
      <c r="C4676" t="s">
        <v>1674</v>
      </c>
      <c r="D4676" t="s">
        <v>1675</v>
      </c>
      <c r="H4676" t="s">
        <v>12416</v>
      </c>
      <c r="I4676" s="4"/>
      <c r="K4676" t="s">
        <v>1528</v>
      </c>
      <c r="L4676" s="5"/>
      <c r="M4676" s="5"/>
      <c r="N4676" t="s">
        <v>35</v>
      </c>
      <c r="T4676" s="5"/>
      <c r="W4676">
        <v>128</v>
      </c>
      <c r="X4676" t="s">
        <v>39</v>
      </c>
      <c r="Y4676" t="str">
        <f>VLOOKUP(C4676,'[1]DBS_KPY Sorumlular'!A:C,2,FALSE)</f>
        <v>Kadir TOPÇU</v>
      </c>
      <c r="Z4676" t="str">
        <f>VLOOKUP(C4676,'[1]DBS_KPY Sorumlular'!A:C,3,FALSE)</f>
        <v>Erkan AKDOĞAN</v>
      </c>
      <c r="AA4676" t="str">
        <f>VLOOKUP(K4676,[1]!Tablo3[#Data],2,FALSE)</f>
        <v>Tayfun VİÇE</v>
      </c>
    </row>
    <row r="4677" spans="1:27" x14ac:dyDescent="0.25">
      <c r="A4677">
        <v>6085</v>
      </c>
      <c r="B4677" t="s">
        <v>1419</v>
      </c>
      <c r="C4677" t="s">
        <v>1674</v>
      </c>
      <c r="D4677" t="s">
        <v>1675</v>
      </c>
      <c r="H4677" t="s">
        <v>12417</v>
      </c>
      <c r="I4677" s="4"/>
      <c r="K4677" t="s">
        <v>33</v>
      </c>
      <c r="L4677" s="5"/>
      <c r="M4677" s="5"/>
      <c r="N4677" t="s">
        <v>35</v>
      </c>
      <c r="T4677" s="5"/>
      <c r="W4677">
        <v>71</v>
      </c>
      <c r="X4677" t="s">
        <v>1299</v>
      </c>
      <c r="Y4677" t="str">
        <f>VLOOKUP(C4677,'[1]DBS_KPY Sorumlular'!A:C,2,FALSE)</f>
        <v>Kadir TOPÇU</v>
      </c>
      <c r="Z4677" t="str">
        <f>VLOOKUP(C4677,'[1]DBS_KPY Sorumlular'!A:C,3,FALSE)</f>
        <v>Erkan AKDOĞAN</v>
      </c>
      <c r="AA4677" t="str">
        <f>VLOOKUP(K4677,[1]!Tablo3[#Data],2,FALSE)</f>
        <v>Tayfun VİÇE</v>
      </c>
    </row>
    <row r="4678" spans="1:27" x14ac:dyDescent="0.25">
      <c r="A4678">
        <v>6086</v>
      </c>
      <c r="B4678" t="s">
        <v>1419</v>
      </c>
      <c r="C4678" t="s">
        <v>1674</v>
      </c>
      <c r="D4678" t="s">
        <v>1675</v>
      </c>
      <c r="H4678" t="s">
        <v>12418</v>
      </c>
      <c r="I4678" s="4"/>
      <c r="K4678" t="s">
        <v>54</v>
      </c>
      <c r="L4678" s="5"/>
      <c r="M4678" s="5"/>
      <c r="N4678" t="s">
        <v>35</v>
      </c>
      <c r="T4678" s="5"/>
      <c r="W4678">
        <v>80</v>
      </c>
      <c r="X4678" t="s">
        <v>647</v>
      </c>
      <c r="Y4678" t="str">
        <f>VLOOKUP(C4678,'[1]DBS_KPY Sorumlular'!A:C,2,FALSE)</f>
        <v>Kadir TOPÇU</v>
      </c>
      <c r="Z4678" t="str">
        <f>VLOOKUP(C4678,'[1]DBS_KPY Sorumlular'!A:C,3,FALSE)</f>
        <v>Erkan AKDOĞAN</v>
      </c>
      <c r="AA4678" t="str">
        <f>VLOOKUP(K4678,[1]!Tablo3[#Data],2,FALSE)</f>
        <v>Erkan AKDOĞAN</v>
      </c>
    </row>
    <row r="4679" spans="1:27" x14ac:dyDescent="0.25">
      <c r="A4679">
        <v>6087</v>
      </c>
      <c r="B4679" t="s">
        <v>1419</v>
      </c>
      <c r="C4679" t="s">
        <v>1674</v>
      </c>
      <c r="D4679" t="s">
        <v>1675</v>
      </c>
      <c r="H4679" t="s">
        <v>12419</v>
      </c>
      <c r="I4679" s="4"/>
      <c r="K4679" t="s">
        <v>98</v>
      </c>
      <c r="L4679" s="5"/>
      <c r="M4679" s="5"/>
      <c r="N4679" t="s">
        <v>35</v>
      </c>
      <c r="T4679" s="5"/>
      <c r="W4679">
        <v>72</v>
      </c>
      <c r="X4679" t="s">
        <v>341</v>
      </c>
      <c r="Y4679" t="str">
        <f>VLOOKUP(C4679,'[1]DBS_KPY Sorumlular'!A:C,2,FALSE)</f>
        <v>Kadir TOPÇU</v>
      </c>
      <c r="Z4679" t="str">
        <f>VLOOKUP(C4679,'[1]DBS_KPY Sorumlular'!A:C,3,FALSE)</f>
        <v>Erkan AKDOĞAN</v>
      </c>
      <c r="AA4679" t="str">
        <f>VLOOKUP(K4679,[1]!Tablo3[#Data],2,FALSE)</f>
        <v>Tayfun VİÇE</v>
      </c>
    </row>
    <row r="4680" spans="1:27" x14ac:dyDescent="0.25">
      <c r="A4680">
        <v>6088</v>
      </c>
      <c r="B4680" t="s">
        <v>1419</v>
      </c>
      <c r="C4680" t="s">
        <v>1674</v>
      </c>
      <c r="D4680" t="s">
        <v>1675</v>
      </c>
      <c r="H4680" t="s">
        <v>12420</v>
      </c>
      <c r="I4680" s="4"/>
      <c r="K4680" t="s">
        <v>98</v>
      </c>
      <c r="L4680" s="5"/>
      <c r="M4680" s="5"/>
      <c r="N4680" t="s">
        <v>35</v>
      </c>
      <c r="T4680" s="5"/>
      <c r="W4680">
        <v>71</v>
      </c>
      <c r="X4680" t="s">
        <v>1299</v>
      </c>
      <c r="Y4680" t="str">
        <f>VLOOKUP(C4680,'[1]DBS_KPY Sorumlular'!A:C,2,FALSE)</f>
        <v>Kadir TOPÇU</v>
      </c>
      <c r="Z4680" t="str">
        <f>VLOOKUP(C4680,'[1]DBS_KPY Sorumlular'!A:C,3,FALSE)</f>
        <v>Erkan AKDOĞAN</v>
      </c>
      <c r="AA4680" t="str">
        <f>VLOOKUP(K4680,[1]!Tablo3[#Data],2,FALSE)</f>
        <v>Tayfun VİÇE</v>
      </c>
    </row>
    <row r="4681" spans="1:27" x14ac:dyDescent="0.25">
      <c r="A4681">
        <v>6089</v>
      </c>
      <c r="B4681" t="s">
        <v>1419</v>
      </c>
      <c r="C4681" t="s">
        <v>1674</v>
      </c>
      <c r="D4681" t="s">
        <v>1675</v>
      </c>
      <c r="H4681" t="s">
        <v>12421</v>
      </c>
      <c r="I4681" s="4"/>
      <c r="K4681" t="s">
        <v>152</v>
      </c>
      <c r="L4681" s="5"/>
      <c r="M4681" s="5"/>
      <c r="N4681" t="s">
        <v>35</v>
      </c>
      <c r="T4681" s="5"/>
      <c r="W4681">
        <v>108</v>
      </c>
      <c r="X4681" t="s">
        <v>107</v>
      </c>
      <c r="Y4681" t="str">
        <f>VLOOKUP(C4681,'[1]DBS_KPY Sorumlular'!A:C,2,FALSE)</f>
        <v>Kadir TOPÇU</v>
      </c>
      <c r="Z4681" t="str">
        <f>VLOOKUP(C4681,'[1]DBS_KPY Sorumlular'!A:C,3,FALSE)</f>
        <v>Erkan AKDOĞAN</v>
      </c>
      <c r="AA4681" t="str">
        <f>VLOOKUP(K4681,[1]!Tablo3[#Data],2,FALSE)</f>
        <v>Erkan AKDOĞAN</v>
      </c>
    </row>
    <row r="4682" spans="1:27" x14ac:dyDescent="0.25">
      <c r="A4682">
        <v>6090</v>
      </c>
      <c r="B4682" t="s">
        <v>1419</v>
      </c>
      <c r="C4682" t="s">
        <v>1674</v>
      </c>
      <c r="D4682" t="s">
        <v>1675</v>
      </c>
      <c r="H4682" t="s">
        <v>12422</v>
      </c>
      <c r="I4682" s="4"/>
      <c r="K4682" t="s">
        <v>152</v>
      </c>
      <c r="L4682" s="5"/>
      <c r="M4682" s="5"/>
      <c r="N4682" t="s">
        <v>35</v>
      </c>
      <c r="T4682" s="5"/>
      <c r="W4682">
        <v>149</v>
      </c>
      <c r="X4682" t="s">
        <v>1015</v>
      </c>
      <c r="Y4682" t="str">
        <f>VLOOKUP(C4682,'[1]DBS_KPY Sorumlular'!A:C,2,FALSE)</f>
        <v>Kadir TOPÇU</v>
      </c>
      <c r="Z4682" t="str">
        <f>VLOOKUP(C4682,'[1]DBS_KPY Sorumlular'!A:C,3,FALSE)</f>
        <v>Erkan AKDOĞAN</v>
      </c>
      <c r="AA4682" t="str">
        <f>VLOOKUP(K4682,[1]!Tablo3[#Data],2,FALSE)</f>
        <v>Erkan AKDOĞAN</v>
      </c>
    </row>
    <row r="4683" spans="1:27" x14ac:dyDescent="0.25">
      <c r="A4683">
        <v>6091</v>
      </c>
      <c r="B4683" t="s">
        <v>1419</v>
      </c>
      <c r="C4683" t="s">
        <v>1674</v>
      </c>
      <c r="D4683" t="s">
        <v>1675</v>
      </c>
      <c r="H4683" t="s">
        <v>12423</v>
      </c>
      <c r="I4683" s="4"/>
      <c r="K4683" t="s">
        <v>152</v>
      </c>
      <c r="L4683" s="5"/>
      <c r="M4683" s="5"/>
      <c r="N4683" t="s">
        <v>35</v>
      </c>
      <c r="T4683" s="5"/>
      <c r="W4683">
        <v>71</v>
      </c>
      <c r="X4683" t="s">
        <v>1299</v>
      </c>
      <c r="Y4683" t="str">
        <f>VLOOKUP(C4683,'[1]DBS_KPY Sorumlular'!A:C,2,FALSE)</f>
        <v>Kadir TOPÇU</v>
      </c>
      <c r="Z4683" t="str">
        <f>VLOOKUP(C4683,'[1]DBS_KPY Sorumlular'!A:C,3,FALSE)</f>
        <v>Erkan AKDOĞAN</v>
      </c>
      <c r="AA4683" t="str">
        <f>VLOOKUP(K4683,[1]!Tablo3[#Data],2,FALSE)</f>
        <v>Erkan AKDOĞAN</v>
      </c>
    </row>
    <row r="4684" spans="1:27" x14ac:dyDescent="0.25">
      <c r="A4684">
        <v>6092</v>
      </c>
      <c r="B4684" t="s">
        <v>1419</v>
      </c>
      <c r="C4684" t="s">
        <v>1674</v>
      </c>
      <c r="D4684" t="s">
        <v>1675</v>
      </c>
      <c r="H4684" t="s">
        <v>12424</v>
      </c>
      <c r="I4684" s="4"/>
      <c r="K4684" t="s">
        <v>232</v>
      </c>
      <c r="L4684" s="5"/>
      <c r="M4684" s="5"/>
      <c r="N4684" t="s">
        <v>35</v>
      </c>
      <c r="T4684" s="5"/>
      <c r="W4684">
        <v>22</v>
      </c>
      <c r="X4684" t="s">
        <v>1473</v>
      </c>
      <c r="Y4684" t="str">
        <f>VLOOKUP(C4684,'[1]DBS_KPY Sorumlular'!A:C,2,FALSE)</f>
        <v>Kadir TOPÇU</v>
      </c>
      <c r="Z4684" t="str">
        <f>VLOOKUP(C4684,'[1]DBS_KPY Sorumlular'!A:C,3,FALSE)</f>
        <v>Erkan AKDOĞAN</v>
      </c>
      <c r="AA4684" t="str">
        <f>VLOOKUP(K4684,[1]!Tablo3[#Data],2,FALSE)</f>
        <v>Erkan AKDOĞAN</v>
      </c>
    </row>
    <row r="4685" spans="1:27" x14ac:dyDescent="0.25">
      <c r="A4685">
        <v>6093</v>
      </c>
      <c r="B4685" t="s">
        <v>1419</v>
      </c>
      <c r="C4685" t="s">
        <v>1674</v>
      </c>
      <c r="D4685" t="s">
        <v>1675</v>
      </c>
      <c r="H4685" t="s">
        <v>12425</v>
      </c>
      <c r="I4685" s="4"/>
      <c r="K4685" t="s">
        <v>217</v>
      </c>
      <c r="L4685" s="5"/>
      <c r="M4685" s="5"/>
      <c r="N4685" t="s">
        <v>35</v>
      </c>
      <c r="T4685" s="5"/>
      <c r="W4685">
        <v>211</v>
      </c>
      <c r="X4685" t="s">
        <v>1876</v>
      </c>
      <c r="Y4685" t="str">
        <f>VLOOKUP(C4685,'[1]DBS_KPY Sorumlular'!A:C,2,FALSE)</f>
        <v>Kadir TOPÇU</v>
      </c>
      <c r="Z4685" t="str">
        <f>VLOOKUP(C4685,'[1]DBS_KPY Sorumlular'!A:C,3,FALSE)</f>
        <v>Erkan AKDOĞAN</v>
      </c>
      <c r="AA4685" t="str">
        <f>VLOOKUP(K4685,[1]!Tablo3[#Data],2,FALSE)</f>
        <v>Erkan AKDOĞAN</v>
      </c>
    </row>
    <row r="4686" spans="1:27" x14ac:dyDescent="0.25">
      <c r="A4686">
        <v>6094</v>
      </c>
      <c r="B4686" t="s">
        <v>1419</v>
      </c>
      <c r="C4686" t="s">
        <v>1674</v>
      </c>
      <c r="D4686" t="s">
        <v>1675</v>
      </c>
      <c r="H4686" t="s">
        <v>12426</v>
      </c>
      <c r="I4686" s="4"/>
      <c r="K4686" t="s">
        <v>217</v>
      </c>
      <c r="L4686" s="5"/>
      <c r="M4686" s="5"/>
      <c r="N4686" t="s">
        <v>35</v>
      </c>
      <c r="T4686" s="5"/>
      <c r="W4686">
        <v>71</v>
      </c>
      <c r="X4686" t="s">
        <v>1299</v>
      </c>
      <c r="Y4686" t="str">
        <f>VLOOKUP(C4686,'[1]DBS_KPY Sorumlular'!A:C,2,FALSE)</f>
        <v>Kadir TOPÇU</v>
      </c>
      <c r="Z4686" t="str">
        <f>VLOOKUP(C4686,'[1]DBS_KPY Sorumlular'!A:C,3,FALSE)</f>
        <v>Erkan AKDOĞAN</v>
      </c>
      <c r="AA4686" t="str">
        <f>VLOOKUP(K4686,[1]!Tablo3[#Data],2,FALSE)</f>
        <v>Erkan AKDOĞAN</v>
      </c>
    </row>
    <row r="4687" spans="1:27" x14ac:dyDescent="0.25">
      <c r="A4687">
        <v>6095</v>
      </c>
      <c r="B4687" t="s">
        <v>1419</v>
      </c>
      <c r="C4687" t="s">
        <v>1674</v>
      </c>
      <c r="D4687" t="s">
        <v>1675</v>
      </c>
      <c r="H4687" t="s">
        <v>12427</v>
      </c>
      <c r="I4687" s="4"/>
      <c r="K4687" t="s">
        <v>309</v>
      </c>
      <c r="L4687" s="5"/>
      <c r="M4687" s="5"/>
      <c r="N4687" t="s">
        <v>35</v>
      </c>
      <c r="T4687" s="5"/>
      <c r="W4687">
        <v>167</v>
      </c>
      <c r="X4687" t="s">
        <v>4475</v>
      </c>
      <c r="Y4687" t="str">
        <f>VLOOKUP(C4687,'[1]DBS_KPY Sorumlular'!A:C,2,FALSE)</f>
        <v>Kadir TOPÇU</v>
      </c>
      <c r="Z4687" t="str">
        <f>VLOOKUP(C4687,'[1]DBS_KPY Sorumlular'!A:C,3,FALSE)</f>
        <v>Erkan AKDOĞAN</v>
      </c>
      <c r="AA4687" t="str">
        <f>VLOOKUP(K4687,[1]!Tablo3[#Data],2,FALSE)</f>
        <v>Erkan AKDOĞAN</v>
      </c>
    </row>
    <row r="4688" spans="1:27" x14ac:dyDescent="0.25">
      <c r="A4688">
        <v>6096</v>
      </c>
      <c r="B4688" t="s">
        <v>1419</v>
      </c>
      <c r="C4688" t="s">
        <v>1674</v>
      </c>
      <c r="D4688" t="s">
        <v>1675</v>
      </c>
      <c r="H4688" t="s">
        <v>12428</v>
      </c>
      <c r="I4688" s="4"/>
      <c r="K4688" t="s">
        <v>325</v>
      </c>
      <c r="L4688" s="5"/>
      <c r="M4688" s="5"/>
      <c r="N4688" t="s">
        <v>35</v>
      </c>
      <c r="T4688" s="5"/>
      <c r="W4688">
        <v>115</v>
      </c>
      <c r="X4688" t="s">
        <v>350</v>
      </c>
      <c r="Y4688" t="str">
        <f>VLOOKUP(C4688,'[1]DBS_KPY Sorumlular'!A:C,2,FALSE)</f>
        <v>Kadir TOPÇU</v>
      </c>
      <c r="Z4688" t="str">
        <f>VLOOKUP(C4688,'[1]DBS_KPY Sorumlular'!A:C,3,FALSE)</f>
        <v>Erkan AKDOĞAN</v>
      </c>
      <c r="AA4688" t="str">
        <f>VLOOKUP(K4688,[1]!Tablo3[#Data],2,FALSE)</f>
        <v>Kadir TOPÇU</v>
      </c>
    </row>
    <row r="4689" spans="1:27" x14ac:dyDescent="0.25">
      <c r="A4689">
        <v>6097</v>
      </c>
      <c r="B4689" t="s">
        <v>1419</v>
      </c>
      <c r="C4689" t="s">
        <v>1674</v>
      </c>
      <c r="D4689" t="s">
        <v>1675</v>
      </c>
      <c r="H4689" t="s">
        <v>12429</v>
      </c>
      <c r="I4689" s="4"/>
      <c r="K4689" t="s">
        <v>325</v>
      </c>
      <c r="L4689" s="5"/>
      <c r="M4689" s="5"/>
      <c r="N4689" t="s">
        <v>35</v>
      </c>
      <c r="T4689" s="5"/>
      <c r="W4689">
        <v>108</v>
      </c>
      <c r="X4689" t="s">
        <v>107</v>
      </c>
      <c r="Y4689" t="str">
        <f>VLOOKUP(C4689,'[1]DBS_KPY Sorumlular'!A:C,2,FALSE)</f>
        <v>Kadir TOPÇU</v>
      </c>
      <c r="Z4689" t="str">
        <f>VLOOKUP(C4689,'[1]DBS_KPY Sorumlular'!A:C,3,FALSE)</f>
        <v>Erkan AKDOĞAN</v>
      </c>
      <c r="AA4689" t="str">
        <f>VLOOKUP(K4689,[1]!Tablo3[#Data],2,FALSE)</f>
        <v>Kadir TOPÇU</v>
      </c>
    </row>
    <row r="4690" spans="1:27" x14ac:dyDescent="0.25">
      <c r="A4690">
        <v>6098</v>
      </c>
      <c r="B4690" t="s">
        <v>1419</v>
      </c>
      <c r="C4690" t="s">
        <v>1674</v>
      </c>
      <c r="D4690" t="s">
        <v>1675</v>
      </c>
      <c r="H4690" t="s">
        <v>12430</v>
      </c>
      <c r="I4690" s="4"/>
      <c r="K4690" t="s">
        <v>325</v>
      </c>
      <c r="L4690" s="5"/>
      <c r="M4690" s="5"/>
      <c r="N4690" t="s">
        <v>35</v>
      </c>
      <c r="T4690" s="5"/>
      <c r="W4690">
        <v>114</v>
      </c>
      <c r="X4690" t="s">
        <v>136</v>
      </c>
      <c r="Y4690" t="str">
        <f>VLOOKUP(C4690,'[1]DBS_KPY Sorumlular'!A:C,2,FALSE)</f>
        <v>Kadir TOPÇU</v>
      </c>
      <c r="Z4690" t="str">
        <f>VLOOKUP(C4690,'[1]DBS_KPY Sorumlular'!A:C,3,FALSE)</f>
        <v>Erkan AKDOĞAN</v>
      </c>
      <c r="AA4690" t="str">
        <f>VLOOKUP(K4690,[1]!Tablo3[#Data],2,FALSE)</f>
        <v>Kadir TOPÇU</v>
      </c>
    </row>
    <row r="4691" spans="1:27" x14ac:dyDescent="0.25">
      <c r="A4691">
        <v>6099</v>
      </c>
      <c r="B4691" t="s">
        <v>1419</v>
      </c>
      <c r="C4691" t="s">
        <v>1674</v>
      </c>
      <c r="D4691" t="s">
        <v>1675</v>
      </c>
      <c r="H4691" t="s">
        <v>12431</v>
      </c>
      <c r="I4691" s="4"/>
      <c r="K4691" t="s">
        <v>325</v>
      </c>
      <c r="L4691" s="5"/>
      <c r="M4691" s="5"/>
      <c r="N4691" t="s">
        <v>35</v>
      </c>
      <c r="T4691" s="5"/>
      <c r="W4691">
        <v>71</v>
      </c>
      <c r="X4691" t="s">
        <v>1299</v>
      </c>
      <c r="Y4691" t="str">
        <f>VLOOKUP(C4691,'[1]DBS_KPY Sorumlular'!A:C,2,FALSE)</f>
        <v>Kadir TOPÇU</v>
      </c>
      <c r="Z4691" t="str">
        <f>VLOOKUP(C4691,'[1]DBS_KPY Sorumlular'!A:C,3,FALSE)</f>
        <v>Erkan AKDOĞAN</v>
      </c>
      <c r="AA4691" t="str">
        <f>VLOOKUP(K4691,[1]!Tablo3[#Data],2,FALSE)</f>
        <v>Kadir TOPÇU</v>
      </c>
    </row>
    <row r="4692" spans="1:27" x14ac:dyDescent="0.25">
      <c r="A4692">
        <v>6100</v>
      </c>
      <c r="B4692" t="s">
        <v>1419</v>
      </c>
      <c r="C4692" t="s">
        <v>1674</v>
      </c>
      <c r="D4692" t="s">
        <v>1675</v>
      </c>
      <c r="H4692" t="s">
        <v>12432</v>
      </c>
      <c r="I4692" s="4"/>
      <c r="K4692" t="s">
        <v>364</v>
      </c>
      <c r="L4692" s="5"/>
      <c r="M4692" s="5"/>
      <c r="N4692" t="s">
        <v>35</v>
      </c>
      <c r="T4692" s="5"/>
      <c r="W4692">
        <v>168</v>
      </c>
      <c r="X4692" t="s">
        <v>394</v>
      </c>
      <c r="Y4692" t="str">
        <f>VLOOKUP(C4692,'[1]DBS_KPY Sorumlular'!A:C,2,FALSE)</f>
        <v>Kadir TOPÇU</v>
      </c>
      <c r="Z4692" t="str">
        <f>VLOOKUP(C4692,'[1]DBS_KPY Sorumlular'!A:C,3,FALSE)</f>
        <v>Erkan AKDOĞAN</v>
      </c>
      <c r="AA4692" t="str">
        <f>VLOOKUP(K4692,[1]!Tablo3[#Data],2,FALSE)</f>
        <v>Kadir TOPÇU</v>
      </c>
    </row>
    <row r="4693" spans="1:27" x14ac:dyDescent="0.25">
      <c r="A4693">
        <v>6101</v>
      </c>
      <c r="B4693" t="s">
        <v>1419</v>
      </c>
      <c r="C4693" t="s">
        <v>1674</v>
      </c>
      <c r="D4693" t="s">
        <v>1675</v>
      </c>
      <c r="H4693" t="s">
        <v>12433</v>
      </c>
      <c r="I4693" s="4"/>
      <c r="K4693" t="s">
        <v>364</v>
      </c>
      <c r="L4693" s="5"/>
      <c r="M4693" s="5"/>
      <c r="N4693" t="s">
        <v>35</v>
      </c>
      <c r="T4693" s="5"/>
      <c r="W4693">
        <v>169</v>
      </c>
      <c r="X4693" t="s">
        <v>1480</v>
      </c>
      <c r="Y4693" t="str">
        <f>VLOOKUP(C4693,'[1]DBS_KPY Sorumlular'!A:C,2,FALSE)</f>
        <v>Kadir TOPÇU</v>
      </c>
      <c r="Z4693" t="str">
        <f>VLOOKUP(C4693,'[1]DBS_KPY Sorumlular'!A:C,3,FALSE)</f>
        <v>Erkan AKDOĞAN</v>
      </c>
      <c r="AA4693" t="str">
        <f>VLOOKUP(K4693,[1]!Tablo3[#Data],2,FALSE)</f>
        <v>Kadir TOPÇU</v>
      </c>
    </row>
    <row r="4694" spans="1:27" x14ac:dyDescent="0.25">
      <c r="A4694">
        <v>6102</v>
      </c>
      <c r="B4694" t="s">
        <v>1419</v>
      </c>
      <c r="C4694" t="s">
        <v>1674</v>
      </c>
      <c r="D4694" t="s">
        <v>1675</v>
      </c>
      <c r="H4694" t="s">
        <v>12434</v>
      </c>
      <c r="I4694" s="4"/>
      <c r="K4694" t="s">
        <v>364</v>
      </c>
      <c r="L4694" s="5"/>
      <c r="M4694" s="5"/>
      <c r="N4694" t="s">
        <v>35</v>
      </c>
      <c r="T4694" s="5"/>
      <c r="W4694">
        <v>195</v>
      </c>
      <c r="X4694" t="s">
        <v>433</v>
      </c>
      <c r="Y4694" t="str">
        <f>VLOOKUP(C4694,'[1]DBS_KPY Sorumlular'!A:C,2,FALSE)</f>
        <v>Kadir TOPÇU</v>
      </c>
      <c r="Z4694" t="str">
        <f>VLOOKUP(C4694,'[1]DBS_KPY Sorumlular'!A:C,3,FALSE)</f>
        <v>Erkan AKDOĞAN</v>
      </c>
      <c r="AA4694" t="str">
        <f>VLOOKUP(K4694,[1]!Tablo3[#Data],2,FALSE)</f>
        <v>Kadir TOPÇU</v>
      </c>
    </row>
    <row r="4695" spans="1:27" x14ac:dyDescent="0.25">
      <c r="A4695">
        <v>6103</v>
      </c>
      <c r="B4695" t="s">
        <v>1419</v>
      </c>
      <c r="C4695" t="s">
        <v>1674</v>
      </c>
      <c r="D4695" t="s">
        <v>1675</v>
      </c>
      <c r="H4695" t="s">
        <v>12435</v>
      </c>
      <c r="I4695" s="4"/>
      <c r="K4695" t="s">
        <v>364</v>
      </c>
      <c r="L4695" s="5"/>
      <c r="M4695" s="5"/>
      <c r="N4695" t="s">
        <v>35</v>
      </c>
      <c r="T4695" s="5"/>
      <c r="W4695">
        <v>169</v>
      </c>
      <c r="X4695" t="s">
        <v>1480</v>
      </c>
      <c r="Y4695" t="str">
        <f>VLOOKUP(C4695,'[1]DBS_KPY Sorumlular'!A:C,2,FALSE)</f>
        <v>Kadir TOPÇU</v>
      </c>
      <c r="Z4695" t="str">
        <f>VLOOKUP(C4695,'[1]DBS_KPY Sorumlular'!A:C,3,FALSE)</f>
        <v>Erkan AKDOĞAN</v>
      </c>
      <c r="AA4695" t="str">
        <f>VLOOKUP(K4695,[1]!Tablo3[#Data],2,FALSE)</f>
        <v>Kadir TOPÇU</v>
      </c>
    </row>
    <row r="4696" spans="1:27" x14ac:dyDescent="0.25">
      <c r="A4696">
        <v>6104</v>
      </c>
      <c r="B4696" t="s">
        <v>1419</v>
      </c>
      <c r="C4696" t="s">
        <v>1674</v>
      </c>
      <c r="D4696" t="s">
        <v>1675</v>
      </c>
      <c r="H4696" t="s">
        <v>12436</v>
      </c>
      <c r="I4696" s="4"/>
      <c r="K4696" t="s">
        <v>364</v>
      </c>
      <c r="L4696" s="5"/>
      <c r="M4696" s="5"/>
      <c r="N4696" t="s">
        <v>35</v>
      </c>
      <c r="T4696" s="5"/>
      <c r="W4696">
        <v>169</v>
      </c>
      <c r="X4696" t="s">
        <v>1480</v>
      </c>
      <c r="Y4696" t="str">
        <f>VLOOKUP(C4696,'[1]DBS_KPY Sorumlular'!A:C,2,FALSE)</f>
        <v>Kadir TOPÇU</v>
      </c>
      <c r="Z4696" t="str">
        <f>VLOOKUP(C4696,'[1]DBS_KPY Sorumlular'!A:C,3,FALSE)</f>
        <v>Erkan AKDOĞAN</v>
      </c>
      <c r="AA4696" t="str">
        <f>VLOOKUP(K4696,[1]!Tablo3[#Data],2,FALSE)</f>
        <v>Kadir TOPÇU</v>
      </c>
    </row>
    <row r="4697" spans="1:27" x14ac:dyDescent="0.25">
      <c r="A4697">
        <v>6105</v>
      </c>
      <c r="B4697" t="s">
        <v>1419</v>
      </c>
      <c r="C4697" t="s">
        <v>1674</v>
      </c>
      <c r="D4697" t="s">
        <v>1675</v>
      </c>
      <c r="H4697" t="s">
        <v>12437</v>
      </c>
      <c r="I4697" s="4"/>
      <c r="K4697" t="s">
        <v>435</v>
      </c>
      <c r="L4697" s="5"/>
      <c r="M4697" s="5"/>
      <c r="N4697" t="s">
        <v>35</v>
      </c>
      <c r="T4697" s="5"/>
      <c r="W4697">
        <v>71</v>
      </c>
      <c r="X4697" t="s">
        <v>1299</v>
      </c>
      <c r="Y4697" t="str">
        <f>VLOOKUP(C4697,'[1]DBS_KPY Sorumlular'!A:C,2,FALSE)</f>
        <v>Kadir TOPÇU</v>
      </c>
      <c r="Z4697" t="str">
        <f>VLOOKUP(C4697,'[1]DBS_KPY Sorumlular'!A:C,3,FALSE)</f>
        <v>Erkan AKDOĞAN</v>
      </c>
      <c r="AA4697" t="str">
        <f>VLOOKUP(K4697,[1]!Tablo3[#Data],2,FALSE)</f>
        <v>Tayfun VİÇE</v>
      </c>
    </row>
    <row r="4698" spans="1:27" x14ac:dyDescent="0.25">
      <c r="A4698">
        <v>6106</v>
      </c>
      <c r="B4698" t="s">
        <v>1419</v>
      </c>
      <c r="C4698" t="s">
        <v>1674</v>
      </c>
      <c r="D4698" t="s">
        <v>1675</v>
      </c>
      <c r="H4698" t="s">
        <v>12438</v>
      </c>
      <c r="I4698" s="4"/>
      <c r="K4698" t="s">
        <v>226</v>
      </c>
      <c r="L4698" s="5"/>
      <c r="M4698" s="5"/>
      <c r="N4698" t="s">
        <v>35</v>
      </c>
      <c r="T4698" s="5"/>
      <c r="W4698">
        <v>168</v>
      </c>
      <c r="X4698" t="s">
        <v>394</v>
      </c>
      <c r="Y4698" t="str">
        <f>VLOOKUP(C4698,'[1]DBS_KPY Sorumlular'!A:C,2,FALSE)</f>
        <v>Kadir TOPÇU</v>
      </c>
      <c r="Z4698" t="str">
        <f>VLOOKUP(C4698,'[1]DBS_KPY Sorumlular'!A:C,3,FALSE)</f>
        <v>Erkan AKDOĞAN</v>
      </c>
      <c r="AA4698" t="str">
        <f>VLOOKUP(K4698,[1]!Tablo3[#Data],2,FALSE)</f>
        <v>Kadir TOPÇU</v>
      </c>
    </row>
    <row r="4699" spans="1:27" x14ac:dyDescent="0.25">
      <c r="A4699">
        <v>6107</v>
      </c>
      <c r="B4699" t="s">
        <v>1419</v>
      </c>
      <c r="C4699" t="s">
        <v>1674</v>
      </c>
      <c r="D4699" t="s">
        <v>1675</v>
      </c>
      <c r="H4699" t="s">
        <v>12439</v>
      </c>
      <c r="I4699" s="4"/>
      <c r="K4699" t="s">
        <v>226</v>
      </c>
      <c r="L4699" s="5"/>
      <c r="M4699" s="5"/>
      <c r="N4699" t="s">
        <v>35</v>
      </c>
      <c r="T4699" s="5"/>
      <c r="W4699">
        <v>86</v>
      </c>
      <c r="X4699" t="s">
        <v>189</v>
      </c>
      <c r="Y4699" t="str">
        <f>VLOOKUP(C4699,'[1]DBS_KPY Sorumlular'!A:C,2,FALSE)</f>
        <v>Kadir TOPÇU</v>
      </c>
      <c r="Z4699" t="str">
        <f>VLOOKUP(C4699,'[1]DBS_KPY Sorumlular'!A:C,3,FALSE)</f>
        <v>Erkan AKDOĞAN</v>
      </c>
      <c r="AA4699" t="str">
        <f>VLOOKUP(K4699,[1]!Tablo3[#Data],2,FALSE)</f>
        <v>Kadir TOPÇU</v>
      </c>
    </row>
    <row r="4700" spans="1:27" x14ac:dyDescent="0.25">
      <c r="A4700">
        <v>6108</v>
      </c>
      <c r="B4700" t="s">
        <v>1419</v>
      </c>
      <c r="C4700" t="s">
        <v>1674</v>
      </c>
      <c r="D4700" t="s">
        <v>1675</v>
      </c>
      <c r="H4700" t="s">
        <v>12440</v>
      </c>
      <c r="I4700" s="4"/>
      <c r="K4700" t="s">
        <v>534</v>
      </c>
      <c r="L4700" s="5"/>
      <c r="M4700" s="5"/>
      <c r="N4700" t="s">
        <v>35</v>
      </c>
      <c r="T4700" s="5"/>
      <c r="W4700">
        <v>80</v>
      </c>
      <c r="X4700" t="s">
        <v>647</v>
      </c>
      <c r="Y4700" t="str">
        <f>VLOOKUP(C4700,'[1]DBS_KPY Sorumlular'!A:C,2,FALSE)</f>
        <v>Kadir TOPÇU</v>
      </c>
      <c r="Z4700" t="str">
        <f>VLOOKUP(C4700,'[1]DBS_KPY Sorumlular'!A:C,3,FALSE)</f>
        <v>Erkan AKDOĞAN</v>
      </c>
      <c r="AA4700" t="str">
        <f>VLOOKUP(K4700,[1]!Tablo3[#Data],2,FALSE)</f>
        <v>Erkan AKDOĞAN</v>
      </c>
    </row>
    <row r="4701" spans="1:27" x14ac:dyDescent="0.25">
      <c r="A4701">
        <v>6109</v>
      </c>
      <c r="B4701" t="s">
        <v>1419</v>
      </c>
      <c r="C4701" t="s">
        <v>1674</v>
      </c>
      <c r="D4701" t="s">
        <v>1675</v>
      </c>
      <c r="H4701" t="s">
        <v>12441</v>
      </c>
      <c r="I4701" s="4"/>
      <c r="K4701" t="s">
        <v>534</v>
      </c>
      <c r="L4701" s="5"/>
      <c r="M4701" s="5"/>
      <c r="N4701" t="s">
        <v>35</v>
      </c>
      <c r="T4701" s="5"/>
      <c r="W4701">
        <v>71</v>
      </c>
      <c r="X4701" t="s">
        <v>1299</v>
      </c>
      <c r="Y4701" t="str">
        <f>VLOOKUP(C4701,'[1]DBS_KPY Sorumlular'!A:C,2,FALSE)</f>
        <v>Kadir TOPÇU</v>
      </c>
      <c r="Z4701" t="str">
        <f>VLOOKUP(C4701,'[1]DBS_KPY Sorumlular'!A:C,3,FALSE)</f>
        <v>Erkan AKDOĞAN</v>
      </c>
      <c r="AA4701" t="str">
        <f>VLOOKUP(K4701,[1]!Tablo3[#Data],2,FALSE)</f>
        <v>Erkan AKDOĞAN</v>
      </c>
    </row>
    <row r="4702" spans="1:27" x14ac:dyDescent="0.25">
      <c r="A4702">
        <v>6110</v>
      </c>
      <c r="B4702" t="s">
        <v>1419</v>
      </c>
      <c r="C4702" t="s">
        <v>1674</v>
      </c>
      <c r="D4702" t="s">
        <v>1675</v>
      </c>
      <c r="H4702" t="s">
        <v>12442</v>
      </c>
      <c r="I4702" s="4"/>
      <c r="K4702" t="s">
        <v>568</v>
      </c>
      <c r="L4702" s="5"/>
      <c r="M4702" s="5"/>
      <c r="N4702" t="s">
        <v>35</v>
      </c>
      <c r="T4702" s="5"/>
      <c r="W4702">
        <v>71</v>
      </c>
      <c r="X4702" t="s">
        <v>1299</v>
      </c>
      <c r="Y4702" t="str">
        <f>VLOOKUP(C4702,'[1]DBS_KPY Sorumlular'!A:C,2,FALSE)</f>
        <v>Kadir TOPÇU</v>
      </c>
      <c r="Z4702" t="str">
        <f>VLOOKUP(C4702,'[1]DBS_KPY Sorumlular'!A:C,3,FALSE)</f>
        <v>Erkan AKDOĞAN</v>
      </c>
      <c r="AA4702" t="str">
        <f>VLOOKUP(K4702,[1]!Tablo3[#Data],2,FALSE)</f>
        <v>Erkan AKDOĞAN</v>
      </c>
    </row>
    <row r="4703" spans="1:27" x14ac:dyDescent="0.25">
      <c r="A4703">
        <v>6111</v>
      </c>
      <c r="B4703" t="s">
        <v>1419</v>
      </c>
      <c r="C4703" t="s">
        <v>1674</v>
      </c>
      <c r="D4703" t="s">
        <v>1675</v>
      </c>
      <c r="H4703" t="s">
        <v>12443</v>
      </c>
      <c r="I4703" s="4"/>
      <c r="K4703" t="s">
        <v>568</v>
      </c>
      <c r="L4703" s="5"/>
      <c r="M4703" s="5"/>
      <c r="N4703" t="s">
        <v>35</v>
      </c>
      <c r="T4703" s="5"/>
      <c r="W4703">
        <v>52</v>
      </c>
      <c r="X4703" t="s">
        <v>3153</v>
      </c>
      <c r="Y4703" t="str">
        <f>VLOOKUP(C4703,'[1]DBS_KPY Sorumlular'!A:C,2,FALSE)</f>
        <v>Kadir TOPÇU</v>
      </c>
      <c r="Z4703" t="str">
        <f>VLOOKUP(C4703,'[1]DBS_KPY Sorumlular'!A:C,3,FALSE)</f>
        <v>Erkan AKDOĞAN</v>
      </c>
      <c r="AA4703" t="str">
        <f>VLOOKUP(K4703,[1]!Tablo3[#Data],2,FALSE)</f>
        <v>Erkan AKDOĞAN</v>
      </c>
    </row>
    <row r="4704" spans="1:27" x14ac:dyDescent="0.25">
      <c r="A4704">
        <v>6112</v>
      </c>
      <c r="B4704" t="s">
        <v>1419</v>
      </c>
      <c r="C4704" t="s">
        <v>1674</v>
      </c>
      <c r="D4704" t="s">
        <v>1675</v>
      </c>
      <c r="H4704" t="s">
        <v>12444</v>
      </c>
      <c r="I4704" s="4"/>
      <c r="K4704" t="s">
        <v>568</v>
      </c>
      <c r="L4704" s="5"/>
      <c r="M4704" s="5"/>
      <c r="N4704" t="s">
        <v>35</v>
      </c>
      <c r="T4704" s="5"/>
      <c r="W4704">
        <v>62</v>
      </c>
      <c r="X4704" t="s">
        <v>680</v>
      </c>
      <c r="Y4704" t="str">
        <f>VLOOKUP(C4704,'[1]DBS_KPY Sorumlular'!A:C,2,FALSE)</f>
        <v>Kadir TOPÇU</v>
      </c>
      <c r="Z4704" t="str">
        <f>VLOOKUP(C4704,'[1]DBS_KPY Sorumlular'!A:C,3,FALSE)</f>
        <v>Erkan AKDOĞAN</v>
      </c>
      <c r="AA4704" t="str">
        <f>VLOOKUP(K4704,[1]!Tablo3[#Data],2,FALSE)</f>
        <v>Erkan AKDOĞAN</v>
      </c>
    </row>
    <row r="4705" spans="1:27" x14ac:dyDescent="0.25">
      <c r="A4705">
        <v>6113</v>
      </c>
      <c r="B4705" t="s">
        <v>1419</v>
      </c>
      <c r="C4705" t="s">
        <v>1674</v>
      </c>
      <c r="D4705" t="s">
        <v>1675</v>
      </c>
      <c r="H4705" t="s">
        <v>12445</v>
      </c>
      <c r="I4705" s="4"/>
      <c r="K4705" t="s">
        <v>568</v>
      </c>
      <c r="L4705" s="5"/>
      <c r="M4705" s="5"/>
      <c r="N4705" t="s">
        <v>35</v>
      </c>
      <c r="T4705" s="5"/>
      <c r="W4705">
        <v>118</v>
      </c>
      <c r="X4705" t="s">
        <v>197</v>
      </c>
      <c r="Y4705" t="str">
        <f>VLOOKUP(C4705,'[1]DBS_KPY Sorumlular'!A:C,2,FALSE)</f>
        <v>Kadir TOPÇU</v>
      </c>
      <c r="Z4705" t="str">
        <f>VLOOKUP(C4705,'[1]DBS_KPY Sorumlular'!A:C,3,FALSE)</f>
        <v>Erkan AKDOĞAN</v>
      </c>
      <c r="AA4705" t="str">
        <f>VLOOKUP(K4705,[1]!Tablo3[#Data],2,FALSE)</f>
        <v>Erkan AKDOĞAN</v>
      </c>
    </row>
    <row r="4706" spans="1:27" x14ac:dyDescent="0.25">
      <c r="A4706">
        <v>6114</v>
      </c>
      <c r="B4706" t="s">
        <v>1419</v>
      </c>
      <c r="C4706" t="s">
        <v>1674</v>
      </c>
      <c r="D4706" t="s">
        <v>1675</v>
      </c>
      <c r="H4706" t="s">
        <v>12446</v>
      </c>
      <c r="I4706" s="4"/>
      <c r="K4706" t="s">
        <v>586</v>
      </c>
      <c r="L4706" s="5"/>
      <c r="M4706" s="5"/>
      <c r="N4706" t="s">
        <v>35</v>
      </c>
      <c r="T4706" s="5"/>
      <c r="W4706">
        <v>213</v>
      </c>
      <c r="X4706" t="s">
        <v>6425</v>
      </c>
      <c r="Y4706" t="str">
        <f>VLOOKUP(C4706,'[1]DBS_KPY Sorumlular'!A:C,2,FALSE)</f>
        <v>Kadir TOPÇU</v>
      </c>
      <c r="Z4706" t="str">
        <f>VLOOKUP(C4706,'[1]DBS_KPY Sorumlular'!A:C,3,FALSE)</f>
        <v>Erkan AKDOĞAN</v>
      </c>
      <c r="AA4706" t="str">
        <f>VLOOKUP(K4706,[1]!Tablo3[#Data],2,FALSE)</f>
        <v>Tayfun VİÇE</v>
      </c>
    </row>
    <row r="4707" spans="1:27" x14ac:dyDescent="0.25">
      <c r="A4707">
        <v>6115</v>
      </c>
      <c r="B4707" t="s">
        <v>1419</v>
      </c>
      <c r="C4707" t="s">
        <v>1674</v>
      </c>
      <c r="D4707" t="s">
        <v>1675</v>
      </c>
      <c r="H4707" t="s">
        <v>12447</v>
      </c>
      <c r="I4707" s="4"/>
      <c r="K4707" t="s">
        <v>611</v>
      </c>
      <c r="L4707" s="5"/>
      <c r="M4707" s="5"/>
      <c r="N4707" t="s">
        <v>35</v>
      </c>
      <c r="T4707" s="5"/>
      <c r="W4707">
        <v>30</v>
      </c>
      <c r="X4707" t="s">
        <v>327</v>
      </c>
      <c r="Y4707" t="str">
        <f>VLOOKUP(C4707,'[1]DBS_KPY Sorumlular'!A:C,2,FALSE)</f>
        <v>Kadir TOPÇU</v>
      </c>
      <c r="Z4707" t="str">
        <f>VLOOKUP(C4707,'[1]DBS_KPY Sorumlular'!A:C,3,FALSE)</f>
        <v>Erkan AKDOĞAN</v>
      </c>
      <c r="AA4707" t="str">
        <f>VLOOKUP(K4707,[1]!Tablo3[#Data],2,FALSE)</f>
        <v>Kadir TOPÇU</v>
      </c>
    </row>
    <row r="4708" spans="1:27" x14ac:dyDescent="0.25">
      <c r="A4708">
        <v>6116</v>
      </c>
      <c r="B4708" t="s">
        <v>1419</v>
      </c>
      <c r="C4708" t="s">
        <v>1674</v>
      </c>
      <c r="D4708" t="s">
        <v>1675</v>
      </c>
      <c r="H4708" t="s">
        <v>12448</v>
      </c>
      <c r="I4708" s="4"/>
      <c r="K4708" t="s">
        <v>611</v>
      </c>
      <c r="L4708" s="5"/>
      <c r="M4708" s="5"/>
      <c r="N4708" t="s">
        <v>35</v>
      </c>
      <c r="T4708" s="5"/>
      <c r="W4708">
        <v>169</v>
      </c>
      <c r="X4708" t="s">
        <v>1480</v>
      </c>
      <c r="Y4708" t="str">
        <f>VLOOKUP(C4708,'[1]DBS_KPY Sorumlular'!A:C,2,FALSE)</f>
        <v>Kadir TOPÇU</v>
      </c>
      <c r="Z4708" t="str">
        <f>VLOOKUP(C4708,'[1]DBS_KPY Sorumlular'!A:C,3,FALSE)</f>
        <v>Erkan AKDOĞAN</v>
      </c>
      <c r="AA4708" t="str">
        <f>VLOOKUP(K4708,[1]!Tablo3[#Data],2,FALSE)</f>
        <v>Kadir TOPÇU</v>
      </c>
    </row>
    <row r="4709" spans="1:27" x14ac:dyDescent="0.25">
      <c r="A4709">
        <v>6117</v>
      </c>
      <c r="B4709" t="s">
        <v>1419</v>
      </c>
      <c r="C4709" t="s">
        <v>1674</v>
      </c>
      <c r="D4709" t="s">
        <v>1675</v>
      </c>
      <c r="H4709" t="s">
        <v>12449</v>
      </c>
      <c r="I4709" s="4"/>
      <c r="K4709" t="s">
        <v>636</v>
      </c>
      <c r="L4709" s="5"/>
      <c r="M4709" s="5"/>
      <c r="N4709" t="s">
        <v>35</v>
      </c>
      <c r="T4709" s="5"/>
      <c r="W4709">
        <v>114</v>
      </c>
      <c r="X4709" t="s">
        <v>136</v>
      </c>
      <c r="Y4709" t="str">
        <f>VLOOKUP(C4709,'[1]DBS_KPY Sorumlular'!A:C,2,FALSE)</f>
        <v>Kadir TOPÇU</v>
      </c>
      <c r="Z4709" t="str">
        <f>VLOOKUP(C4709,'[1]DBS_KPY Sorumlular'!A:C,3,FALSE)</f>
        <v>Erkan AKDOĞAN</v>
      </c>
      <c r="AA4709" t="str">
        <f>VLOOKUP(K4709,[1]!Tablo3[#Data],2,FALSE)</f>
        <v>Erkan AKDOĞAN</v>
      </c>
    </row>
    <row r="4710" spans="1:27" x14ac:dyDescent="0.25">
      <c r="A4710">
        <v>6118</v>
      </c>
      <c r="B4710" t="s">
        <v>1419</v>
      </c>
      <c r="C4710" t="s">
        <v>1674</v>
      </c>
      <c r="D4710" t="s">
        <v>1675</v>
      </c>
      <c r="H4710" t="s">
        <v>12450</v>
      </c>
      <c r="I4710" s="4"/>
      <c r="K4710" t="s">
        <v>636</v>
      </c>
      <c r="L4710" s="5"/>
      <c r="M4710" s="5"/>
      <c r="N4710" t="s">
        <v>35</v>
      </c>
      <c r="T4710" s="5"/>
      <c r="W4710">
        <v>263</v>
      </c>
      <c r="X4710" t="s">
        <v>628</v>
      </c>
      <c r="Y4710" t="str">
        <f>VLOOKUP(C4710,'[1]DBS_KPY Sorumlular'!A:C,2,FALSE)</f>
        <v>Kadir TOPÇU</v>
      </c>
      <c r="Z4710" t="str">
        <f>VLOOKUP(C4710,'[1]DBS_KPY Sorumlular'!A:C,3,FALSE)</f>
        <v>Erkan AKDOĞAN</v>
      </c>
      <c r="AA4710" t="str">
        <f>VLOOKUP(K4710,[1]!Tablo3[#Data],2,FALSE)</f>
        <v>Erkan AKDOĞAN</v>
      </c>
    </row>
    <row r="4711" spans="1:27" x14ac:dyDescent="0.25">
      <c r="A4711">
        <v>6119</v>
      </c>
      <c r="B4711" t="s">
        <v>1419</v>
      </c>
      <c r="C4711" t="s">
        <v>1674</v>
      </c>
      <c r="D4711" t="s">
        <v>1675</v>
      </c>
      <c r="H4711" t="s">
        <v>12451</v>
      </c>
      <c r="I4711" s="4"/>
      <c r="K4711" t="s">
        <v>678</v>
      </c>
      <c r="L4711" s="5"/>
      <c r="M4711" s="5"/>
      <c r="N4711" t="s">
        <v>35</v>
      </c>
      <c r="T4711" s="5"/>
      <c r="W4711">
        <v>169</v>
      </c>
      <c r="X4711" t="s">
        <v>1480</v>
      </c>
      <c r="Y4711" t="str">
        <f>VLOOKUP(C4711,'[1]DBS_KPY Sorumlular'!A:C,2,FALSE)</f>
        <v>Kadir TOPÇU</v>
      </c>
      <c r="Z4711" t="str">
        <f>VLOOKUP(C4711,'[1]DBS_KPY Sorumlular'!A:C,3,FALSE)</f>
        <v>Erkan AKDOĞAN</v>
      </c>
      <c r="AA4711" t="str">
        <f>VLOOKUP(K4711,[1]!Tablo3[#Data],2,FALSE)</f>
        <v>Kadir TOPÇU</v>
      </c>
    </row>
    <row r="4712" spans="1:27" x14ac:dyDescent="0.25">
      <c r="A4712">
        <v>6120</v>
      </c>
      <c r="B4712" t="s">
        <v>1419</v>
      </c>
      <c r="C4712" t="s">
        <v>1674</v>
      </c>
      <c r="D4712" t="s">
        <v>1675</v>
      </c>
      <c r="H4712" t="s">
        <v>12452</v>
      </c>
      <c r="I4712" s="4"/>
      <c r="K4712" t="s">
        <v>678</v>
      </c>
      <c r="L4712" s="5"/>
      <c r="M4712" s="5"/>
      <c r="N4712" t="s">
        <v>35</v>
      </c>
      <c r="T4712" s="5"/>
      <c r="W4712">
        <v>94</v>
      </c>
      <c r="X4712" t="s">
        <v>1707</v>
      </c>
      <c r="Y4712" t="str">
        <f>VLOOKUP(C4712,'[1]DBS_KPY Sorumlular'!A:C,2,FALSE)</f>
        <v>Kadir TOPÇU</v>
      </c>
      <c r="Z4712" t="str">
        <f>VLOOKUP(C4712,'[1]DBS_KPY Sorumlular'!A:C,3,FALSE)</f>
        <v>Erkan AKDOĞAN</v>
      </c>
      <c r="AA4712" t="str">
        <f>VLOOKUP(K4712,[1]!Tablo3[#Data],2,FALSE)</f>
        <v>Kadir TOPÇU</v>
      </c>
    </row>
    <row r="4713" spans="1:27" x14ac:dyDescent="0.25">
      <c r="A4713">
        <v>6121</v>
      </c>
      <c r="B4713" t="s">
        <v>1419</v>
      </c>
      <c r="C4713" t="s">
        <v>1674</v>
      </c>
      <c r="D4713" t="s">
        <v>1675</v>
      </c>
      <c r="H4713" t="s">
        <v>12453</v>
      </c>
      <c r="I4713" s="4"/>
      <c r="K4713" t="s">
        <v>678</v>
      </c>
      <c r="L4713" s="5"/>
      <c r="M4713" s="5"/>
      <c r="N4713" t="s">
        <v>35</v>
      </c>
      <c r="T4713" s="5"/>
      <c r="W4713">
        <v>71</v>
      </c>
      <c r="X4713" t="s">
        <v>1299</v>
      </c>
      <c r="Y4713" t="str">
        <f>VLOOKUP(C4713,'[1]DBS_KPY Sorumlular'!A:C,2,FALSE)</f>
        <v>Kadir TOPÇU</v>
      </c>
      <c r="Z4713" t="str">
        <f>VLOOKUP(C4713,'[1]DBS_KPY Sorumlular'!A:C,3,FALSE)</f>
        <v>Erkan AKDOĞAN</v>
      </c>
      <c r="AA4713" t="str">
        <f>VLOOKUP(K4713,[1]!Tablo3[#Data],2,FALSE)</f>
        <v>Kadir TOPÇU</v>
      </c>
    </row>
    <row r="4714" spans="1:27" x14ac:dyDescent="0.25">
      <c r="A4714">
        <v>6122</v>
      </c>
      <c r="B4714" t="s">
        <v>1419</v>
      </c>
      <c r="C4714" t="s">
        <v>1674</v>
      </c>
      <c r="D4714" t="s">
        <v>1675</v>
      </c>
      <c r="H4714" t="s">
        <v>12454</v>
      </c>
      <c r="I4714" s="4"/>
      <c r="K4714" t="s">
        <v>678</v>
      </c>
      <c r="L4714" s="5"/>
      <c r="M4714" s="5"/>
      <c r="N4714" t="s">
        <v>35</v>
      </c>
      <c r="T4714" s="5"/>
      <c r="W4714">
        <v>62</v>
      </c>
      <c r="X4714" t="s">
        <v>680</v>
      </c>
      <c r="Y4714" t="str">
        <f>VLOOKUP(C4714,'[1]DBS_KPY Sorumlular'!A:C,2,FALSE)</f>
        <v>Kadir TOPÇU</v>
      </c>
      <c r="Z4714" t="str">
        <f>VLOOKUP(C4714,'[1]DBS_KPY Sorumlular'!A:C,3,FALSE)</f>
        <v>Erkan AKDOĞAN</v>
      </c>
      <c r="AA4714" t="str">
        <f>VLOOKUP(K4714,[1]!Tablo3[#Data],2,FALSE)</f>
        <v>Kadir TOPÇU</v>
      </c>
    </row>
    <row r="4715" spans="1:27" x14ac:dyDescent="0.25">
      <c r="A4715">
        <v>6123</v>
      </c>
      <c r="B4715" t="s">
        <v>1419</v>
      </c>
      <c r="C4715" t="s">
        <v>1674</v>
      </c>
      <c r="D4715" t="s">
        <v>1675</v>
      </c>
      <c r="H4715" t="s">
        <v>12455</v>
      </c>
      <c r="I4715" s="4"/>
      <c r="K4715" t="s">
        <v>743</v>
      </c>
      <c r="L4715" s="5"/>
      <c r="M4715" s="5"/>
      <c r="N4715" t="s">
        <v>35</v>
      </c>
      <c r="T4715" s="5"/>
      <c r="W4715">
        <v>91</v>
      </c>
      <c r="X4715" t="s">
        <v>101</v>
      </c>
      <c r="Y4715" t="str">
        <f>VLOOKUP(C4715,'[1]DBS_KPY Sorumlular'!A:C,2,FALSE)</f>
        <v>Kadir TOPÇU</v>
      </c>
      <c r="Z4715" t="str">
        <f>VLOOKUP(C4715,'[1]DBS_KPY Sorumlular'!A:C,3,FALSE)</f>
        <v>Erkan AKDOĞAN</v>
      </c>
      <c r="AA4715" t="str">
        <f>VLOOKUP(K4715,[1]!Tablo3[#Data],2,FALSE)</f>
        <v>Kadir TOPÇU</v>
      </c>
    </row>
    <row r="4716" spans="1:27" x14ac:dyDescent="0.25">
      <c r="A4716">
        <v>6124</v>
      </c>
      <c r="B4716" t="s">
        <v>1419</v>
      </c>
      <c r="C4716" t="s">
        <v>1674</v>
      </c>
      <c r="D4716" t="s">
        <v>1675</v>
      </c>
      <c r="H4716" t="s">
        <v>12456</v>
      </c>
      <c r="I4716" s="4"/>
      <c r="K4716" t="s">
        <v>743</v>
      </c>
      <c r="L4716" s="5"/>
      <c r="M4716" s="5"/>
      <c r="N4716" t="s">
        <v>35</v>
      </c>
      <c r="T4716" s="5"/>
      <c r="W4716">
        <v>68</v>
      </c>
      <c r="X4716" t="s">
        <v>51</v>
      </c>
      <c r="Y4716" t="str">
        <f>VLOOKUP(C4716,'[1]DBS_KPY Sorumlular'!A:C,2,FALSE)</f>
        <v>Kadir TOPÇU</v>
      </c>
      <c r="Z4716" t="str">
        <f>VLOOKUP(C4716,'[1]DBS_KPY Sorumlular'!A:C,3,FALSE)</f>
        <v>Erkan AKDOĞAN</v>
      </c>
      <c r="AA4716" t="str">
        <f>VLOOKUP(K4716,[1]!Tablo3[#Data],2,FALSE)</f>
        <v>Kadir TOPÇU</v>
      </c>
    </row>
    <row r="4717" spans="1:27" x14ac:dyDescent="0.25">
      <c r="A4717">
        <v>6125</v>
      </c>
      <c r="B4717" t="s">
        <v>1419</v>
      </c>
      <c r="C4717" t="s">
        <v>1674</v>
      </c>
      <c r="D4717" t="s">
        <v>1675</v>
      </c>
      <c r="H4717" t="s">
        <v>12457</v>
      </c>
      <c r="I4717" s="4"/>
      <c r="K4717" t="s">
        <v>835</v>
      </c>
      <c r="L4717" s="5"/>
      <c r="M4717" s="5"/>
      <c r="N4717" t="s">
        <v>35</v>
      </c>
      <c r="T4717" s="5"/>
      <c r="W4717">
        <v>108</v>
      </c>
      <c r="X4717" t="s">
        <v>107</v>
      </c>
      <c r="Y4717" t="str">
        <f>VLOOKUP(C4717,'[1]DBS_KPY Sorumlular'!A:C,2,FALSE)</f>
        <v>Kadir TOPÇU</v>
      </c>
      <c r="Z4717" t="str">
        <f>VLOOKUP(C4717,'[1]DBS_KPY Sorumlular'!A:C,3,FALSE)</f>
        <v>Erkan AKDOĞAN</v>
      </c>
      <c r="AA4717" t="str">
        <f>VLOOKUP(K4717,[1]!Tablo3[#Data],2,FALSE)</f>
        <v>Kadir TOPÇU</v>
      </c>
    </row>
    <row r="4718" spans="1:27" x14ac:dyDescent="0.25">
      <c r="A4718">
        <v>6126</v>
      </c>
      <c r="B4718" t="s">
        <v>1419</v>
      </c>
      <c r="C4718" t="s">
        <v>1674</v>
      </c>
      <c r="D4718" t="s">
        <v>1675</v>
      </c>
      <c r="H4718" t="s">
        <v>12458</v>
      </c>
      <c r="I4718" s="4"/>
      <c r="K4718" t="s">
        <v>835</v>
      </c>
      <c r="L4718" s="5"/>
      <c r="M4718" s="5"/>
      <c r="N4718" t="s">
        <v>35</v>
      </c>
      <c r="T4718" s="5"/>
      <c r="W4718">
        <v>44</v>
      </c>
      <c r="X4718" t="s">
        <v>1821</v>
      </c>
      <c r="Y4718" t="str">
        <f>VLOOKUP(C4718,'[1]DBS_KPY Sorumlular'!A:C,2,FALSE)</f>
        <v>Kadir TOPÇU</v>
      </c>
      <c r="Z4718" t="str">
        <f>VLOOKUP(C4718,'[1]DBS_KPY Sorumlular'!A:C,3,FALSE)</f>
        <v>Erkan AKDOĞAN</v>
      </c>
      <c r="AA4718" t="str">
        <f>VLOOKUP(K4718,[1]!Tablo3[#Data],2,FALSE)</f>
        <v>Kadir TOPÇU</v>
      </c>
    </row>
    <row r="4719" spans="1:27" x14ac:dyDescent="0.25">
      <c r="A4719">
        <v>6127</v>
      </c>
      <c r="B4719" t="s">
        <v>1419</v>
      </c>
      <c r="C4719" t="s">
        <v>1674</v>
      </c>
      <c r="D4719" t="s">
        <v>1675</v>
      </c>
      <c r="H4719" t="s">
        <v>12459</v>
      </c>
      <c r="I4719" s="4"/>
      <c r="K4719" t="s">
        <v>835</v>
      </c>
      <c r="L4719" s="5"/>
      <c r="M4719" s="5"/>
      <c r="N4719" t="s">
        <v>35</v>
      </c>
      <c r="T4719" s="5"/>
      <c r="W4719">
        <v>179</v>
      </c>
      <c r="X4719" t="s">
        <v>2128</v>
      </c>
      <c r="Y4719" t="str">
        <f>VLOOKUP(C4719,'[1]DBS_KPY Sorumlular'!A:C,2,FALSE)</f>
        <v>Kadir TOPÇU</v>
      </c>
      <c r="Z4719" t="str">
        <f>VLOOKUP(C4719,'[1]DBS_KPY Sorumlular'!A:C,3,FALSE)</f>
        <v>Erkan AKDOĞAN</v>
      </c>
      <c r="AA4719" t="str">
        <f>VLOOKUP(K4719,[1]!Tablo3[#Data],2,FALSE)</f>
        <v>Kadir TOPÇU</v>
      </c>
    </row>
    <row r="4720" spans="1:27" x14ac:dyDescent="0.25">
      <c r="A4720">
        <v>6128</v>
      </c>
      <c r="B4720" t="s">
        <v>1419</v>
      </c>
      <c r="C4720" t="s">
        <v>1674</v>
      </c>
      <c r="D4720" t="s">
        <v>1675</v>
      </c>
      <c r="H4720" t="s">
        <v>12460</v>
      </c>
      <c r="I4720" s="4"/>
      <c r="K4720" t="s">
        <v>914</v>
      </c>
      <c r="L4720" s="5"/>
      <c r="M4720" s="5"/>
      <c r="N4720" t="s">
        <v>35</v>
      </c>
      <c r="T4720" s="5"/>
      <c r="W4720">
        <v>78</v>
      </c>
      <c r="X4720" t="s">
        <v>86</v>
      </c>
      <c r="Y4720" t="str">
        <f>VLOOKUP(C4720,'[1]DBS_KPY Sorumlular'!A:C,2,FALSE)</f>
        <v>Kadir TOPÇU</v>
      </c>
      <c r="Z4720" t="str">
        <f>VLOOKUP(C4720,'[1]DBS_KPY Sorumlular'!A:C,3,FALSE)</f>
        <v>Erkan AKDOĞAN</v>
      </c>
      <c r="AA4720" t="str">
        <f>VLOOKUP(K4720,[1]!Tablo3[#Data],2,FALSE)</f>
        <v>Tayfun VİÇE</v>
      </c>
    </row>
    <row r="4721" spans="1:27" x14ac:dyDescent="0.25">
      <c r="A4721">
        <v>6129</v>
      </c>
      <c r="B4721" t="s">
        <v>1419</v>
      </c>
      <c r="C4721" t="s">
        <v>1674</v>
      </c>
      <c r="D4721" t="s">
        <v>1675</v>
      </c>
      <c r="H4721" t="s">
        <v>12461</v>
      </c>
      <c r="I4721" s="4"/>
      <c r="K4721" t="s">
        <v>914</v>
      </c>
      <c r="L4721" s="5"/>
      <c r="M4721" s="5"/>
      <c r="N4721" t="s">
        <v>35</v>
      </c>
      <c r="T4721" s="5"/>
      <c r="W4721">
        <v>68</v>
      </c>
      <c r="X4721" t="s">
        <v>51</v>
      </c>
      <c r="Y4721" t="str">
        <f>VLOOKUP(C4721,'[1]DBS_KPY Sorumlular'!A:C,2,FALSE)</f>
        <v>Kadir TOPÇU</v>
      </c>
      <c r="Z4721" t="str">
        <f>VLOOKUP(C4721,'[1]DBS_KPY Sorumlular'!A:C,3,FALSE)</f>
        <v>Erkan AKDOĞAN</v>
      </c>
      <c r="AA4721" t="str">
        <f>VLOOKUP(K4721,[1]!Tablo3[#Data],2,FALSE)</f>
        <v>Tayfun VİÇE</v>
      </c>
    </row>
    <row r="4722" spans="1:27" x14ac:dyDescent="0.25">
      <c r="A4722">
        <v>6130</v>
      </c>
      <c r="B4722" t="s">
        <v>1419</v>
      </c>
      <c r="C4722" t="s">
        <v>1674</v>
      </c>
      <c r="D4722" t="s">
        <v>1675</v>
      </c>
      <c r="H4722" t="s">
        <v>12462</v>
      </c>
      <c r="I4722" s="4"/>
      <c r="K4722" t="s">
        <v>914</v>
      </c>
      <c r="L4722" s="5"/>
      <c r="M4722" s="5"/>
      <c r="N4722" t="s">
        <v>35</v>
      </c>
      <c r="T4722" s="5"/>
      <c r="W4722">
        <v>71</v>
      </c>
      <c r="X4722" t="s">
        <v>1299</v>
      </c>
      <c r="Y4722" t="str">
        <f>VLOOKUP(C4722,'[1]DBS_KPY Sorumlular'!A:C,2,FALSE)</f>
        <v>Kadir TOPÇU</v>
      </c>
      <c r="Z4722" t="str">
        <f>VLOOKUP(C4722,'[1]DBS_KPY Sorumlular'!A:C,3,FALSE)</f>
        <v>Erkan AKDOĞAN</v>
      </c>
      <c r="AA4722" t="str">
        <f>VLOOKUP(K4722,[1]!Tablo3[#Data],2,FALSE)</f>
        <v>Tayfun VİÇE</v>
      </c>
    </row>
    <row r="4723" spans="1:27" x14ac:dyDescent="0.25">
      <c r="A4723">
        <v>6131</v>
      </c>
      <c r="B4723" t="s">
        <v>1419</v>
      </c>
      <c r="C4723" t="s">
        <v>1674</v>
      </c>
      <c r="D4723" t="s">
        <v>1675</v>
      </c>
      <c r="H4723" t="s">
        <v>12463</v>
      </c>
      <c r="I4723" s="4"/>
      <c r="K4723" t="s">
        <v>1029</v>
      </c>
      <c r="L4723" s="5"/>
      <c r="M4723" s="5"/>
      <c r="N4723" t="s">
        <v>35</v>
      </c>
      <c r="T4723" s="5"/>
      <c r="W4723">
        <v>71</v>
      </c>
      <c r="X4723" t="s">
        <v>1299</v>
      </c>
      <c r="Y4723" t="str">
        <f>VLOOKUP(C4723,'[1]DBS_KPY Sorumlular'!A:C,2,FALSE)</f>
        <v>Kadir TOPÇU</v>
      </c>
      <c r="Z4723" t="str">
        <f>VLOOKUP(C4723,'[1]DBS_KPY Sorumlular'!A:C,3,FALSE)</f>
        <v>Erkan AKDOĞAN</v>
      </c>
      <c r="AA4723" t="str">
        <f>VLOOKUP(K4723,[1]!Tablo3[#Data],2,FALSE)</f>
        <v>Tayfun VİÇE</v>
      </c>
    </row>
    <row r="4724" spans="1:27" x14ac:dyDescent="0.25">
      <c r="A4724">
        <v>6132</v>
      </c>
      <c r="B4724" t="s">
        <v>1419</v>
      </c>
      <c r="C4724" t="s">
        <v>1674</v>
      </c>
      <c r="D4724" t="s">
        <v>1675</v>
      </c>
      <c r="H4724" t="s">
        <v>12464</v>
      </c>
      <c r="I4724" s="4"/>
      <c r="K4724" t="s">
        <v>1029</v>
      </c>
      <c r="L4724" s="5"/>
      <c r="M4724" s="5"/>
      <c r="N4724" t="s">
        <v>35</v>
      </c>
      <c r="T4724" s="5"/>
      <c r="W4724">
        <v>62</v>
      </c>
      <c r="X4724" t="s">
        <v>680</v>
      </c>
      <c r="Y4724" t="str">
        <f>VLOOKUP(C4724,'[1]DBS_KPY Sorumlular'!A:C,2,FALSE)</f>
        <v>Kadir TOPÇU</v>
      </c>
      <c r="Z4724" t="str">
        <f>VLOOKUP(C4724,'[1]DBS_KPY Sorumlular'!A:C,3,FALSE)</f>
        <v>Erkan AKDOĞAN</v>
      </c>
      <c r="AA4724" t="str">
        <f>VLOOKUP(K4724,[1]!Tablo3[#Data],2,FALSE)</f>
        <v>Tayfun VİÇE</v>
      </c>
    </row>
    <row r="4725" spans="1:27" x14ac:dyDescent="0.25">
      <c r="A4725">
        <v>6133</v>
      </c>
      <c r="B4725" t="s">
        <v>1419</v>
      </c>
      <c r="C4725" t="s">
        <v>1674</v>
      </c>
      <c r="D4725" t="s">
        <v>1675</v>
      </c>
      <c r="H4725" t="s">
        <v>12465</v>
      </c>
      <c r="I4725" s="4"/>
      <c r="K4725" t="s">
        <v>1029</v>
      </c>
      <c r="L4725" s="5"/>
      <c r="M4725" s="5"/>
      <c r="N4725" t="s">
        <v>35</v>
      </c>
      <c r="T4725" s="5"/>
      <c r="W4725">
        <v>73</v>
      </c>
      <c r="X4725" t="s">
        <v>1198</v>
      </c>
      <c r="Y4725" t="str">
        <f>VLOOKUP(C4725,'[1]DBS_KPY Sorumlular'!A:C,2,FALSE)</f>
        <v>Kadir TOPÇU</v>
      </c>
      <c r="Z4725" t="str">
        <f>VLOOKUP(C4725,'[1]DBS_KPY Sorumlular'!A:C,3,FALSE)</f>
        <v>Erkan AKDOĞAN</v>
      </c>
      <c r="AA4725" t="str">
        <f>VLOOKUP(K4725,[1]!Tablo3[#Data],2,FALSE)</f>
        <v>Tayfun VİÇE</v>
      </c>
    </row>
    <row r="4726" spans="1:27" x14ac:dyDescent="0.25">
      <c r="A4726">
        <v>6134</v>
      </c>
      <c r="B4726" t="s">
        <v>1419</v>
      </c>
      <c r="C4726" t="s">
        <v>1674</v>
      </c>
      <c r="D4726" t="s">
        <v>1675</v>
      </c>
      <c r="H4726" t="s">
        <v>12466</v>
      </c>
      <c r="I4726" s="4"/>
      <c r="K4726" t="s">
        <v>280</v>
      </c>
      <c r="L4726" s="5"/>
      <c r="M4726" s="5"/>
      <c r="N4726" t="s">
        <v>35</v>
      </c>
      <c r="T4726" s="5"/>
      <c r="W4726">
        <v>209</v>
      </c>
      <c r="X4726" t="s">
        <v>5947</v>
      </c>
      <c r="Y4726" t="str">
        <f>VLOOKUP(C4726,'[1]DBS_KPY Sorumlular'!A:C,2,FALSE)</f>
        <v>Kadir TOPÇU</v>
      </c>
      <c r="Z4726" t="str">
        <f>VLOOKUP(C4726,'[1]DBS_KPY Sorumlular'!A:C,3,FALSE)</f>
        <v>Erkan AKDOĞAN</v>
      </c>
      <c r="AA4726" t="str">
        <f>VLOOKUP(K4726,[1]!Tablo3[#Data],2,FALSE)</f>
        <v>Erkan AKDOĞAN</v>
      </c>
    </row>
    <row r="4727" spans="1:27" x14ac:dyDescent="0.25">
      <c r="A4727">
        <v>6135</v>
      </c>
      <c r="B4727" t="s">
        <v>1419</v>
      </c>
      <c r="C4727" t="s">
        <v>1674</v>
      </c>
      <c r="D4727" t="s">
        <v>1675</v>
      </c>
      <c r="H4727" t="s">
        <v>12467</v>
      </c>
      <c r="I4727" s="4"/>
      <c r="K4727" t="s">
        <v>1157</v>
      </c>
      <c r="L4727" s="5"/>
      <c r="M4727" s="5"/>
      <c r="N4727" t="s">
        <v>35</v>
      </c>
      <c r="T4727" s="5"/>
      <c r="W4727">
        <v>118</v>
      </c>
      <c r="X4727" t="s">
        <v>197</v>
      </c>
      <c r="Y4727" t="str">
        <f>VLOOKUP(C4727,'[1]DBS_KPY Sorumlular'!A:C,2,FALSE)</f>
        <v>Kadir TOPÇU</v>
      </c>
      <c r="Z4727" t="str">
        <f>VLOOKUP(C4727,'[1]DBS_KPY Sorumlular'!A:C,3,FALSE)</f>
        <v>Erkan AKDOĞAN</v>
      </c>
      <c r="AA4727" t="str">
        <f>VLOOKUP(K4727,[1]!Tablo3[#Data],2,FALSE)</f>
        <v>Tayfun VİÇE</v>
      </c>
    </row>
    <row r="4728" spans="1:27" x14ac:dyDescent="0.25">
      <c r="A4728">
        <v>6136</v>
      </c>
      <c r="B4728" t="s">
        <v>1419</v>
      </c>
      <c r="C4728" t="s">
        <v>1674</v>
      </c>
      <c r="D4728" t="s">
        <v>1675</v>
      </c>
      <c r="H4728" t="s">
        <v>12468</v>
      </c>
      <c r="I4728" s="4"/>
      <c r="K4728" t="s">
        <v>1221</v>
      </c>
      <c r="L4728" s="5"/>
      <c r="M4728" s="5"/>
      <c r="N4728" t="s">
        <v>35</v>
      </c>
      <c r="T4728" s="5"/>
      <c r="W4728">
        <v>114</v>
      </c>
      <c r="X4728" t="s">
        <v>136</v>
      </c>
      <c r="Y4728" t="str">
        <f>VLOOKUP(C4728,'[1]DBS_KPY Sorumlular'!A:C,2,FALSE)</f>
        <v>Kadir TOPÇU</v>
      </c>
      <c r="Z4728" t="str">
        <f>VLOOKUP(C4728,'[1]DBS_KPY Sorumlular'!A:C,3,FALSE)</f>
        <v>Erkan AKDOĞAN</v>
      </c>
      <c r="AA4728" t="str">
        <f>VLOOKUP(K4728,[1]!Tablo3[#Data],2,FALSE)</f>
        <v>Tayfun VİÇE</v>
      </c>
    </row>
    <row r="4729" spans="1:27" x14ac:dyDescent="0.25">
      <c r="A4729">
        <v>6137</v>
      </c>
      <c r="B4729" t="s">
        <v>1419</v>
      </c>
      <c r="C4729" t="s">
        <v>1674</v>
      </c>
      <c r="D4729" t="s">
        <v>1675</v>
      </c>
      <c r="H4729" t="s">
        <v>12469</v>
      </c>
      <c r="I4729" s="4"/>
      <c r="K4729" t="s">
        <v>1221</v>
      </c>
      <c r="L4729" s="5"/>
      <c r="M4729" s="5"/>
      <c r="N4729" t="s">
        <v>35</v>
      </c>
      <c r="T4729" s="5"/>
      <c r="W4729">
        <v>114</v>
      </c>
      <c r="X4729" t="s">
        <v>136</v>
      </c>
      <c r="Y4729" t="str">
        <f>VLOOKUP(C4729,'[1]DBS_KPY Sorumlular'!A:C,2,FALSE)</f>
        <v>Kadir TOPÇU</v>
      </c>
      <c r="Z4729" t="str">
        <f>VLOOKUP(C4729,'[1]DBS_KPY Sorumlular'!A:C,3,FALSE)</f>
        <v>Erkan AKDOĞAN</v>
      </c>
      <c r="AA4729" t="str">
        <f>VLOOKUP(K4729,[1]!Tablo3[#Data],2,FALSE)</f>
        <v>Tayfun VİÇE</v>
      </c>
    </row>
    <row r="4730" spans="1:27" x14ac:dyDescent="0.25">
      <c r="A4730">
        <v>6138</v>
      </c>
      <c r="B4730" t="s">
        <v>1419</v>
      </c>
      <c r="C4730" t="s">
        <v>1674</v>
      </c>
      <c r="D4730" t="s">
        <v>1675</v>
      </c>
      <c r="H4730" t="s">
        <v>12470</v>
      </c>
      <c r="I4730" s="4"/>
      <c r="K4730" t="s">
        <v>1221</v>
      </c>
      <c r="L4730" s="5"/>
      <c r="M4730" s="5"/>
      <c r="N4730" t="s">
        <v>35</v>
      </c>
      <c r="T4730" s="5"/>
      <c r="W4730">
        <v>71</v>
      </c>
      <c r="X4730" t="s">
        <v>1299</v>
      </c>
      <c r="Y4730" t="str">
        <f>VLOOKUP(C4730,'[1]DBS_KPY Sorumlular'!A:C,2,FALSE)</f>
        <v>Kadir TOPÇU</v>
      </c>
      <c r="Z4730" t="str">
        <f>VLOOKUP(C4730,'[1]DBS_KPY Sorumlular'!A:C,3,FALSE)</f>
        <v>Erkan AKDOĞAN</v>
      </c>
      <c r="AA4730" t="str">
        <f>VLOOKUP(K4730,[1]!Tablo3[#Data],2,FALSE)</f>
        <v>Tayfun VİÇE</v>
      </c>
    </row>
    <row r="4731" spans="1:27" x14ac:dyDescent="0.25">
      <c r="A4731">
        <v>6139</v>
      </c>
      <c r="B4731" t="s">
        <v>1419</v>
      </c>
      <c r="C4731" t="s">
        <v>1674</v>
      </c>
      <c r="D4731" t="s">
        <v>1675</v>
      </c>
      <c r="H4731" t="s">
        <v>12471</v>
      </c>
      <c r="I4731" s="4"/>
      <c r="K4731" t="s">
        <v>1221</v>
      </c>
      <c r="L4731" s="5"/>
      <c r="M4731" s="5"/>
      <c r="N4731" t="s">
        <v>35</v>
      </c>
      <c r="T4731" s="5"/>
      <c r="W4731">
        <v>30</v>
      </c>
      <c r="X4731" t="s">
        <v>327</v>
      </c>
      <c r="Y4731" t="str">
        <f>VLOOKUP(C4731,'[1]DBS_KPY Sorumlular'!A:C,2,FALSE)</f>
        <v>Kadir TOPÇU</v>
      </c>
      <c r="Z4731" t="str">
        <f>VLOOKUP(C4731,'[1]DBS_KPY Sorumlular'!A:C,3,FALSE)</f>
        <v>Erkan AKDOĞAN</v>
      </c>
      <c r="AA4731" t="str">
        <f>VLOOKUP(K4731,[1]!Tablo3[#Data],2,FALSE)</f>
        <v>Tayfun VİÇE</v>
      </c>
    </row>
    <row r="4732" spans="1:27" x14ac:dyDescent="0.25">
      <c r="A4732">
        <v>6140</v>
      </c>
      <c r="B4732" t="s">
        <v>1419</v>
      </c>
      <c r="C4732" t="s">
        <v>1674</v>
      </c>
      <c r="D4732" t="s">
        <v>1675</v>
      </c>
      <c r="H4732" t="s">
        <v>12472</v>
      </c>
      <c r="I4732" s="4"/>
      <c r="K4732" t="s">
        <v>1221</v>
      </c>
      <c r="L4732" s="5"/>
      <c r="M4732" s="5"/>
      <c r="N4732" t="s">
        <v>35</v>
      </c>
      <c r="T4732" s="5"/>
      <c r="W4732">
        <v>73</v>
      </c>
      <c r="X4732" t="s">
        <v>1198</v>
      </c>
      <c r="Y4732" t="str">
        <f>VLOOKUP(C4732,'[1]DBS_KPY Sorumlular'!A:C,2,FALSE)</f>
        <v>Kadir TOPÇU</v>
      </c>
      <c r="Z4732" t="str">
        <f>VLOOKUP(C4732,'[1]DBS_KPY Sorumlular'!A:C,3,FALSE)</f>
        <v>Erkan AKDOĞAN</v>
      </c>
      <c r="AA4732" t="str">
        <f>VLOOKUP(K4732,[1]!Tablo3[#Data],2,FALSE)</f>
        <v>Tayfun VİÇE</v>
      </c>
    </row>
    <row r="4733" spans="1:27" x14ac:dyDescent="0.25">
      <c r="A4733">
        <v>6141</v>
      </c>
      <c r="B4733" t="s">
        <v>1419</v>
      </c>
      <c r="C4733" t="s">
        <v>1674</v>
      </c>
      <c r="D4733" t="s">
        <v>1675</v>
      </c>
      <c r="H4733" t="s">
        <v>12473</v>
      </c>
      <c r="I4733" s="4"/>
      <c r="K4733" t="s">
        <v>926</v>
      </c>
      <c r="L4733" s="5"/>
      <c r="M4733" s="5"/>
      <c r="N4733" t="s">
        <v>35</v>
      </c>
      <c r="T4733" s="5"/>
      <c r="W4733">
        <v>68</v>
      </c>
      <c r="X4733" t="s">
        <v>51</v>
      </c>
      <c r="Y4733" t="str">
        <f>VLOOKUP(C4733,'[1]DBS_KPY Sorumlular'!A:C,2,FALSE)</f>
        <v>Kadir TOPÇU</v>
      </c>
      <c r="Z4733" t="str">
        <f>VLOOKUP(C4733,'[1]DBS_KPY Sorumlular'!A:C,3,FALSE)</f>
        <v>Erkan AKDOĞAN</v>
      </c>
      <c r="AA4733" t="str">
        <f>VLOOKUP(K4733,[1]!Tablo3[#Data],2,FALSE)</f>
        <v>Kadir TOPÇU</v>
      </c>
    </row>
    <row r="4734" spans="1:27" x14ac:dyDescent="0.25">
      <c r="A4734">
        <v>6142</v>
      </c>
      <c r="B4734" t="s">
        <v>1419</v>
      </c>
      <c r="C4734" t="s">
        <v>1674</v>
      </c>
      <c r="D4734" t="s">
        <v>1675</v>
      </c>
      <c r="H4734" t="s">
        <v>12474</v>
      </c>
      <c r="I4734" s="4"/>
      <c r="K4734" t="s">
        <v>926</v>
      </c>
      <c r="L4734" s="5"/>
      <c r="M4734" s="5"/>
      <c r="N4734" t="s">
        <v>35</v>
      </c>
      <c r="T4734" s="5"/>
      <c r="W4734">
        <v>68</v>
      </c>
      <c r="X4734" t="s">
        <v>51</v>
      </c>
      <c r="Y4734" t="str">
        <f>VLOOKUP(C4734,'[1]DBS_KPY Sorumlular'!A:C,2,FALSE)</f>
        <v>Kadir TOPÇU</v>
      </c>
      <c r="Z4734" t="str">
        <f>VLOOKUP(C4734,'[1]DBS_KPY Sorumlular'!A:C,3,FALSE)</f>
        <v>Erkan AKDOĞAN</v>
      </c>
      <c r="AA4734" t="str">
        <f>VLOOKUP(K4734,[1]!Tablo3[#Data],2,FALSE)</f>
        <v>Kadir TOPÇU</v>
      </c>
    </row>
    <row r="4735" spans="1:27" x14ac:dyDescent="0.25">
      <c r="A4735">
        <v>6143</v>
      </c>
      <c r="B4735" t="s">
        <v>1419</v>
      </c>
      <c r="C4735" t="s">
        <v>1674</v>
      </c>
      <c r="D4735" t="s">
        <v>1675</v>
      </c>
      <c r="H4735" t="s">
        <v>12475</v>
      </c>
      <c r="I4735" s="4"/>
      <c r="K4735" t="s">
        <v>926</v>
      </c>
      <c r="L4735" s="5"/>
      <c r="M4735" s="5"/>
      <c r="N4735" t="s">
        <v>35</v>
      </c>
      <c r="T4735" s="5"/>
      <c r="W4735">
        <v>171</v>
      </c>
      <c r="X4735" t="s">
        <v>1239</v>
      </c>
      <c r="Y4735" t="str">
        <f>VLOOKUP(C4735,'[1]DBS_KPY Sorumlular'!A:C,2,FALSE)</f>
        <v>Kadir TOPÇU</v>
      </c>
      <c r="Z4735" t="str">
        <f>VLOOKUP(C4735,'[1]DBS_KPY Sorumlular'!A:C,3,FALSE)</f>
        <v>Erkan AKDOĞAN</v>
      </c>
      <c r="AA4735" t="str">
        <f>VLOOKUP(K4735,[1]!Tablo3[#Data],2,FALSE)</f>
        <v>Kadir TOPÇU</v>
      </c>
    </row>
    <row r="4736" spans="1:27" x14ac:dyDescent="0.25">
      <c r="A4736">
        <v>6144</v>
      </c>
      <c r="B4736" t="s">
        <v>1419</v>
      </c>
      <c r="C4736" t="s">
        <v>1674</v>
      </c>
      <c r="D4736" t="s">
        <v>1675</v>
      </c>
      <c r="H4736" t="s">
        <v>12476</v>
      </c>
      <c r="I4736" s="4"/>
      <c r="K4736" t="s">
        <v>926</v>
      </c>
      <c r="L4736" s="5"/>
      <c r="M4736" s="5"/>
      <c r="N4736" t="s">
        <v>35</v>
      </c>
      <c r="T4736" s="5"/>
      <c r="W4736">
        <v>169</v>
      </c>
      <c r="X4736" t="s">
        <v>1480</v>
      </c>
      <c r="Y4736" t="str">
        <f>VLOOKUP(C4736,'[1]DBS_KPY Sorumlular'!A:C,2,FALSE)</f>
        <v>Kadir TOPÇU</v>
      </c>
      <c r="Z4736" t="str">
        <f>VLOOKUP(C4736,'[1]DBS_KPY Sorumlular'!A:C,3,FALSE)</f>
        <v>Erkan AKDOĞAN</v>
      </c>
      <c r="AA4736" t="str">
        <f>VLOOKUP(K4736,[1]!Tablo3[#Data],2,FALSE)</f>
        <v>Kadir TOPÇU</v>
      </c>
    </row>
    <row r="4737" spans="1:27" x14ac:dyDescent="0.25">
      <c r="A4737">
        <v>6145</v>
      </c>
      <c r="B4737" t="s">
        <v>1419</v>
      </c>
      <c r="C4737" t="s">
        <v>1674</v>
      </c>
      <c r="D4737" t="s">
        <v>1675</v>
      </c>
      <c r="H4737" t="s">
        <v>12477</v>
      </c>
      <c r="I4737" s="4"/>
      <c r="K4737" t="s">
        <v>926</v>
      </c>
      <c r="L4737" s="5"/>
      <c r="M4737" s="5"/>
      <c r="N4737" t="s">
        <v>35</v>
      </c>
      <c r="T4737" s="5"/>
      <c r="W4737">
        <v>71</v>
      </c>
      <c r="X4737" t="s">
        <v>1299</v>
      </c>
      <c r="Y4737" t="str">
        <f>VLOOKUP(C4737,'[1]DBS_KPY Sorumlular'!A:C,2,FALSE)</f>
        <v>Kadir TOPÇU</v>
      </c>
      <c r="Z4737" t="str">
        <f>VLOOKUP(C4737,'[1]DBS_KPY Sorumlular'!A:C,3,FALSE)</f>
        <v>Erkan AKDOĞAN</v>
      </c>
      <c r="AA4737" t="str">
        <f>VLOOKUP(K4737,[1]!Tablo3[#Data],2,FALSE)</f>
        <v>Kadir TOPÇU</v>
      </c>
    </row>
    <row r="4738" spans="1:27" x14ac:dyDescent="0.25">
      <c r="A4738">
        <v>6146</v>
      </c>
      <c r="B4738" t="s">
        <v>1419</v>
      </c>
      <c r="C4738" t="s">
        <v>1674</v>
      </c>
      <c r="D4738" t="s">
        <v>1675</v>
      </c>
      <c r="H4738" t="s">
        <v>12478</v>
      </c>
      <c r="I4738" s="4"/>
      <c r="K4738" t="s">
        <v>926</v>
      </c>
      <c r="L4738" s="5"/>
      <c r="M4738" s="5"/>
      <c r="N4738" t="s">
        <v>35</v>
      </c>
      <c r="T4738" s="5"/>
      <c r="W4738">
        <v>71</v>
      </c>
      <c r="X4738" t="s">
        <v>1299</v>
      </c>
      <c r="Y4738" t="str">
        <f>VLOOKUP(C4738,'[1]DBS_KPY Sorumlular'!A:C,2,FALSE)</f>
        <v>Kadir TOPÇU</v>
      </c>
      <c r="Z4738" t="str">
        <f>VLOOKUP(C4738,'[1]DBS_KPY Sorumlular'!A:C,3,FALSE)</f>
        <v>Erkan AKDOĞAN</v>
      </c>
      <c r="AA4738" t="str">
        <f>VLOOKUP(K4738,[1]!Tablo3[#Data],2,FALSE)</f>
        <v>Kadir TOPÇU</v>
      </c>
    </row>
    <row r="4739" spans="1:27" x14ac:dyDescent="0.25">
      <c r="A4739">
        <v>6147</v>
      </c>
      <c r="B4739" t="s">
        <v>1419</v>
      </c>
      <c r="C4739" t="s">
        <v>1674</v>
      </c>
      <c r="D4739" t="s">
        <v>1675</v>
      </c>
      <c r="H4739" t="s">
        <v>12479</v>
      </c>
      <c r="I4739" s="4"/>
      <c r="K4739" t="s">
        <v>1334</v>
      </c>
      <c r="L4739" s="5"/>
      <c r="M4739" s="5"/>
      <c r="N4739" t="s">
        <v>35</v>
      </c>
      <c r="T4739" s="5"/>
      <c r="W4739">
        <v>114</v>
      </c>
      <c r="X4739" t="s">
        <v>136</v>
      </c>
      <c r="Y4739" t="str">
        <f>VLOOKUP(C4739,'[1]DBS_KPY Sorumlular'!A:C,2,FALSE)</f>
        <v>Kadir TOPÇU</v>
      </c>
      <c r="Z4739" t="str">
        <f>VLOOKUP(C4739,'[1]DBS_KPY Sorumlular'!A:C,3,FALSE)</f>
        <v>Erkan AKDOĞAN</v>
      </c>
      <c r="AA4739" t="str">
        <f>VLOOKUP(K4739,[1]!Tablo3[#Data],2,FALSE)</f>
        <v>Erkan AKDOĞAN</v>
      </c>
    </row>
    <row r="4740" spans="1:27" x14ac:dyDescent="0.25">
      <c r="A4740">
        <v>6148</v>
      </c>
      <c r="B4740" t="s">
        <v>1419</v>
      </c>
      <c r="C4740" t="s">
        <v>1674</v>
      </c>
      <c r="D4740" t="s">
        <v>1675</v>
      </c>
      <c r="H4740" t="s">
        <v>12480</v>
      </c>
      <c r="I4740" s="4"/>
      <c r="K4740" t="s">
        <v>1334</v>
      </c>
      <c r="L4740" s="5"/>
      <c r="M4740" s="5"/>
      <c r="N4740" t="s">
        <v>35</v>
      </c>
      <c r="T4740" s="5"/>
      <c r="W4740">
        <v>68</v>
      </c>
      <c r="X4740" t="s">
        <v>51</v>
      </c>
      <c r="Y4740" t="str">
        <f>VLOOKUP(C4740,'[1]DBS_KPY Sorumlular'!A:C,2,FALSE)</f>
        <v>Kadir TOPÇU</v>
      </c>
      <c r="Z4740" t="str">
        <f>VLOOKUP(C4740,'[1]DBS_KPY Sorumlular'!A:C,3,FALSE)</f>
        <v>Erkan AKDOĞAN</v>
      </c>
      <c r="AA4740" t="str">
        <f>VLOOKUP(K4740,[1]!Tablo3[#Data],2,FALSE)</f>
        <v>Erkan AKDOĞAN</v>
      </c>
    </row>
    <row r="4741" spans="1:27" x14ac:dyDescent="0.25">
      <c r="A4741">
        <v>6149</v>
      </c>
      <c r="B4741" t="s">
        <v>1419</v>
      </c>
      <c r="C4741" t="s">
        <v>1674</v>
      </c>
      <c r="D4741" t="s">
        <v>1675</v>
      </c>
      <c r="H4741" t="s">
        <v>12481</v>
      </c>
      <c r="I4741" s="4"/>
      <c r="K4741" t="s">
        <v>1360</v>
      </c>
      <c r="L4741" s="5"/>
      <c r="M4741" s="5"/>
      <c r="N4741" t="s">
        <v>35</v>
      </c>
      <c r="T4741" s="5"/>
      <c r="W4741">
        <v>86</v>
      </c>
      <c r="X4741" t="s">
        <v>189</v>
      </c>
      <c r="Y4741" t="str">
        <f>VLOOKUP(C4741,'[1]DBS_KPY Sorumlular'!A:C,2,FALSE)</f>
        <v>Kadir TOPÇU</v>
      </c>
      <c r="Z4741" t="str">
        <f>VLOOKUP(C4741,'[1]DBS_KPY Sorumlular'!A:C,3,FALSE)</f>
        <v>Erkan AKDOĞAN</v>
      </c>
      <c r="AA4741" t="str">
        <f>VLOOKUP(K4741,[1]!Tablo3[#Data],2,FALSE)</f>
        <v>Kadir TOPÇU</v>
      </c>
    </row>
    <row r="4742" spans="1:27" x14ac:dyDescent="0.25">
      <c r="A4742">
        <v>6150</v>
      </c>
      <c r="B4742" t="s">
        <v>1419</v>
      </c>
      <c r="C4742" t="s">
        <v>1674</v>
      </c>
      <c r="D4742" t="s">
        <v>1675</v>
      </c>
      <c r="H4742" t="s">
        <v>12482</v>
      </c>
      <c r="I4742" s="4"/>
      <c r="K4742" t="s">
        <v>1398</v>
      </c>
      <c r="L4742" s="5"/>
      <c r="M4742" s="5"/>
      <c r="N4742" t="s">
        <v>35</v>
      </c>
      <c r="T4742" s="5"/>
      <c r="W4742">
        <v>211</v>
      </c>
      <c r="X4742" t="s">
        <v>1876</v>
      </c>
      <c r="Y4742" t="str">
        <f>VLOOKUP(C4742,'[1]DBS_KPY Sorumlular'!A:C,2,FALSE)</f>
        <v>Kadir TOPÇU</v>
      </c>
      <c r="Z4742" t="str">
        <f>VLOOKUP(C4742,'[1]DBS_KPY Sorumlular'!A:C,3,FALSE)</f>
        <v>Erkan AKDOĞAN</v>
      </c>
      <c r="AA4742" t="str">
        <f>VLOOKUP(K4742,[1]!Tablo3[#Data],2,FALSE)</f>
        <v>Tayfun VİÇE</v>
      </c>
    </row>
    <row r="4743" spans="1:27" x14ac:dyDescent="0.25">
      <c r="A4743">
        <v>6151</v>
      </c>
      <c r="B4743" t="s">
        <v>1419</v>
      </c>
      <c r="C4743" t="s">
        <v>1674</v>
      </c>
      <c r="D4743" t="s">
        <v>1675</v>
      </c>
      <c r="H4743" t="s">
        <v>12483</v>
      </c>
      <c r="I4743" s="4"/>
      <c r="K4743" t="s">
        <v>423</v>
      </c>
      <c r="L4743" s="5"/>
      <c r="M4743" s="5"/>
      <c r="N4743" t="s">
        <v>35</v>
      </c>
      <c r="T4743" s="5"/>
      <c r="W4743">
        <v>94</v>
      </c>
      <c r="X4743" t="s">
        <v>1707</v>
      </c>
      <c r="Y4743" t="str">
        <f>VLOOKUP(C4743,'[1]DBS_KPY Sorumlular'!A:C,2,FALSE)</f>
        <v>Kadir TOPÇU</v>
      </c>
      <c r="Z4743" t="str">
        <f>VLOOKUP(C4743,'[1]DBS_KPY Sorumlular'!A:C,3,FALSE)</f>
        <v>Erkan AKDOĞAN</v>
      </c>
      <c r="AA4743" t="str">
        <f>VLOOKUP(K4743,[1]!Tablo3[#Data],2,FALSE)</f>
        <v>Kadir TOPÇU</v>
      </c>
    </row>
    <row r="4744" spans="1:27" x14ac:dyDescent="0.25">
      <c r="A4744">
        <v>6152</v>
      </c>
      <c r="B4744" t="s">
        <v>1419</v>
      </c>
      <c r="C4744" t="s">
        <v>1674</v>
      </c>
      <c r="D4744" t="s">
        <v>1675</v>
      </c>
      <c r="H4744" t="s">
        <v>12484</v>
      </c>
      <c r="I4744" s="4"/>
      <c r="K4744" t="s">
        <v>423</v>
      </c>
      <c r="L4744" s="5"/>
      <c r="M4744" s="5"/>
      <c r="N4744" t="s">
        <v>35</v>
      </c>
      <c r="T4744" s="5"/>
      <c r="W4744">
        <v>80</v>
      </c>
      <c r="X4744" t="s">
        <v>647</v>
      </c>
      <c r="Y4744" t="str">
        <f>VLOOKUP(C4744,'[1]DBS_KPY Sorumlular'!A:C,2,FALSE)</f>
        <v>Kadir TOPÇU</v>
      </c>
      <c r="Z4744" t="str">
        <f>VLOOKUP(C4744,'[1]DBS_KPY Sorumlular'!A:C,3,FALSE)</f>
        <v>Erkan AKDOĞAN</v>
      </c>
      <c r="AA4744" t="str">
        <f>VLOOKUP(K4744,[1]!Tablo3[#Data],2,FALSE)</f>
        <v>Kadir TOPÇU</v>
      </c>
    </row>
    <row r="4745" spans="1:27" x14ac:dyDescent="0.25">
      <c r="A4745">
        <v>6153</v>
      </c>
      <c r="B4745" t="s">
        <v>1419</v>
      </c>
      <c r="C4745" t="s">
        <v>1674</v>
      </c>
      <c r="D4745" t="s">
        <v>1675</v>
      </c>
      <c r="H4745" t="s">
        <v>12485</v>
      </c>
      <c r="I4745" s="4"/>
      <c r="K4745" t="s">
        <v>423</v>
      </c>
      <c r="L4745" s="5"/>
      <c r="M4745" s="5"/>
      <c r="N4745" t="s">
        <v>35</v>
      </c>
      <c r="T4745" s="5"/>
      <c r="W4745">
        <v>68</v>
      </c>
      <c r="X4745" t="s">
        <v>51</v>
      </c>
      <c r="Y4745" t="str">
        <f>VLOOKUP(C4745,'[1]DBS_KPY Sorumlular'!A:C,2,FALSE)</f>
        <v>Kadir TOPÇU</v>
      </c>
      <c r="Z4745" t="str">
        <f>VLOOKUP(C4745,'[1]DBS_KPY Sorumlular'!A:C,3,FALSE)</f>
        <v>Erkan AKDOĞAN</v>
      </c>
      <c r="AA4745" t="str">
        <f>VLOOKUP(K4745,[1]!Tablo3[#Data],2,FALSE)</f>
        <v>Kadir TOPÇU</v>
      </c>
    </row>
    <row r="4746" spans="1:27" x14ac:dyDescent="0.25">
      <c r="A4746">
        <v>6154</v>
      </c>
      <c r="B4746" t="s">
        <v>1419</v>
      </c>
      <c r="C4746" t="s">
        <v>1674</v>
      </c>
      <c r="D4746" t="s">
        <v>1675</v>
      </c>
      <c r="H4746" t="s">
        <v>12486</v>
      </c>
      <c r="I4746" s="4"/>
      <c r="K4746" t="s">
        <v>1471</v>
      </c>
      <c r="L4746" s="5"/>
      <c r="M4746" s="5"/>
      <c r="N4746" t="s">
        <v>35</v>
      </c>
      <c r="T4746" s="5"/>
      <c r="W4746">
        <v>62</v>
      </c>
      <c r="X4746" t="s">
        <v>680</v>
      </c>
      <c r="Y4746" t="str">
        <f>VLOOKUP(C4746,'[1]DBS_KPY Sorumlular'!A:C,2,FALSE)</f>
        <v>Kadir TOPÇU</v>
      </c>
      <c r="Z4746" t="str">
        <f>VLOOKUP(C4746,'[1]DBS_KPY Sorumlular'!A:C,3,FALSE)</f>
        <v>Erkan AKDOĞAN</v>
      </c>
      <c r="AA4746" t="str">
        <f>VLOOKUP(K4746,[1]!Tablo3[#Data],2,FALSE)</f>
        <v>Tayfun VİÇE</v>
      </c>
    </row>
    <row r="4747" spans="1:27" x14ac:dyDescent="0.25">
      <c r="A4747">
        <v>6155</v>
      </c>
      <c r="B4747" t="s">
        <v>1419</v>
      </c>
      <c r="C4747" t="s">
        <v>1674</v>
      </c>
      <c r="D4747" t="s">
        <v>1675</v>
      </c>
      <c r="H4747" t="s">
        <v>12487</v>
      </c>
      <c r="I4747" s="4"/>
      <c r="K4747" t="s">
        <v>143</v>
      </c>
      <c r="L4747" s="5"/>
      <c r="M4747" s="5"/>
      <c r="N4747" t="s">
        <v>35</v>
      </c>
      <c r="T4747" s="5"/>
      <c r="W4747">
        <v>171</v>
      </c>
      <c r="X4747" t="s">
        <v>1239</v>
      </c>
      <c r="Y4747" t="str">
        <f>VLOOKUP(C4747,'[1]DBS_KPY Sorumlular'!A:C,2,FALSE)</f>
        <v>Kadir TOPÇU</v>
      </c>
      <c r="Z4747" t="str">
        <f>VLOOKUP(C4747,'[1]DBS_KPY Sorumlular'!A:C,3,FALSE)</f>
        <v>Erkan AKDOĞAN</v>
      </c>
      <c r="AA4747" t="str">
        <f>VLOOKUP(K4747,[1]!Tablo3[#Data],2,FALSE)</f>
        <v>Tayfun VİÇE</v>
      </c>
    </row>
    <row r="4748" spans="1:27" x14ac:dyDescent="0.25">
      <c r="A4748">
        <v>6156</v>
      </c>
      <c r="B4748" t="s">
        <v>1419</v>
      </c>
      <c r="C4748" t="s">
        <v>1674</v>
      </c>
      <c r="D4748" t="s">
        <v>1675</v>
      </c>
      <c r="H4748" t="s">
        <v>12488</v>
      </c>
      <c r="I4748" s="4"/>
      <c r="K4748" t="s">
        <v>1528</v>
      </c>
      <c r="L4748" s="5"/>
      <c r="M4748" s="5"/>
      <c r="N4748" t="s">
        <v>35</v>
      </c>
      <c r="T4748" s="5"/>
      <c r="W4748">
        <v>80</v>
      </c>
      <c r="X4748" t="s">
        <v>647</v>
      </c>
      <c r="Y4748" t="str">
        <f>VLOOKUP(C4748,'[1]DBS_KPY Sorumlular'!A:C,2,FALSE)</f>
        <v>Kadir TOPÇU</v>
      </c>
      <c r="Z4748" t="str">
        <f>VLOOKUP(C4748,'[1]DBS_KPY Sorumlular'!A:C,3,FALSE)</f>
        <v>Erkan AKDOĞAN</v>
      </c>
      <c r="AA4748" t="str">
        <f>VLOOKUP(K4748,[1]!Tablo3[#Data],2,FALSE)</f>
        <v>Tayfun VİÇE</v>
      </c>
    </row>
    <row r="4749" spans="1:27" x14ac:dyDescent="0.25">
      <c r="A4749">
        <v>6157</v>
      </c>
      <c r="B4749" t="s">
        <v>1419</v>
      </c>
      <c r="C4749" t="s">
        <v>1674</v>
      </c>
      <c r="D4749" t="s">
        <v>1675</v>
      </c>
      <c r="H4749" t="s">
        <v>12489</v>
      </c>
      <c r="I4749" s="4"/>
      <c r="K4749" t="s">
        <v>1528</v>
      </c>
      <c r="L4749" s="5"/>
      <c r="M4749" s="5"/>
      <c r="N4749" t="s">
        <v>35</v>
      </c>
      <c r="T4749" s="5"/>
      <c r="W4749">
        <v>72</v>
      </c>
      <c r="X4749" t="s">
        <v>341</v>
      </c>
      <c r="Y4749" t="str">
        <f>VLOOKUP(C4749,'[1]DBS_KPY Sorumlular'!A:C,2,FALSE)</f>
        <v>Kadir TOPÇU</v>
      </c>
      <c r="Z4749" t="str">
        <f>VLOOKUP(C4749,'[1]DBS_KPY Sorumlular'!A:C,3,FALSE)</f>
        <v>Erkan AKDOĞAN</v>
      </c>
      <c r="AA4749" t="str">
        <f>VLOOKUP(K4749,[1]!Tablo3[#Data],2,FALSE)</f>
        <v>Tayfun VİÇE</v>
      </c>
    </row>
    <row r="4750" spans="1:27" x14ac:dyDescent="0.25">
      <c r="A4750">
        <v>6158</v>
      </c>
      <c r="B4750" t="s">
        <v>1419</v>
      </c>
      <c r="C4750" t="s">
        <v>1674</v>
      </c>
      <c r="D4750" t="s">
        <v>1675</v>
      </c>
      <c r="H4750" t="s">
        <v>12490</v>
      </c>
      <c r="I4750" s="4"/>
      <c r="K4750" t="s">
        <v>1528</v>
      </c>
      <c r="L4750" s="5"/>
      <c r="M4750" s="5"/>
      <c r="N4750" t="s">
        <v>35</v>
      </c>
      <c r="T4750" s="5"/>
      <c r="W4750">
        <v>209</v>
      </c>
      <c r="X4750" t="s">
        <v>5947</v>
      </c>
      <c r="Y4750" t="str">
        <f>VLOOKUP(C4750,'[1]DBS_KPY Sorumlular'!A:C,2,FALSE)</f>
        <v>Kadir TOPÇU</v>
      </c>
      <c r="Z4750" t="str">
        <f>VLOOKUP(C4750,'[1]DBS_KPY Sorumlular'!A:C,3,FALSE)</f>
        <v>Erkan AKDOĞAN</v>
      </c>
      <c r="AA4750" t="str">
        <f>VLOOKUP(K4750,[1]!Tablo3[#Data],2,FALSE)</f>
        <v>Tayfun VİÇE</v>
      </c>
    </row>
    <row r="4751" spans="1:27" x14ac:dyDescent="0.25">
      <c r="A4751">
        <v>6159</v>
      </c>
      <c r="B4751" t="s">
        <v>1419</v>
      </c>
      <c r="C4751" t="s">
        <v>1674</v>
      </c>
      <c r="D4751" t="s">
        <v>1675</v>
      </c>
      <c r="H4751" t="s">
        <v>12491</v>
      </c>
      <c r="I4751" s="4"/>
      <c r="K4751" t="s">
        <v>1528</v>
      </c>
      <c r="L4751" s="5"/>
      <c r="M4751" s="5"/>
      <c r="N4751" t="s">
        <v>35</v>
      </c>
      <c r="T4751" s="5"/>
      <c r="W4751">
        <v>114</v>
      </c>
      <c r="X4751" t="s">
        <v>136</v>
      </c>
      <c r="Y4751" t="str">
        <f>VLOOKUP(C4751,'[1]DBS_KPY Sorumlular'!A:C,2,FALSE)</f>
        <v>Kadir TOPÇU</v>
      </c>
      <c r="Z4751" t="str">
        <f>VLOOKUP(C4751,'[1]DBS_KPY Sorumlular'!A:C,3,FALSE)</f>
        <v>Erkan AKDOĞAN</v>
      </c>
      <c r="AA4751" t="str">
        <f>VLOOKUP(K4751,[1]!Tablo3[#Data],2,FALSE)</f>
        <v>Tayfun VİÇE</v>
      </c>
    </row>
    <row r="4752" spans="1:27" x14ac:dyDescent="0.25">
      <c r="A4752">
        <v>6160</v>
      </c>
      <c r="B4752" t="s">
        <v>1419</v>
      </c>
      <c r="C4752" t="s">
        <v>1674</v>
      </c>
      <c r="D4752" t="s">
        <v>1675</v>
      </c>
      <c r="H4752" t="s">
        <v>12492</v>
      </c>
      <c r="I4752" s="4"/>
      <c r="K4752" t="s">
        <v>1528</v>
      </c>
      <c r="L4752" s="5"/>
      <c r="M4752" s="5"/>
      <c r="N4752" t="s">
        <v>35</v>
      </c>
      <c r="T4752" s="5"/>
      <c r="W4752">
        <v>71</v>
      </c>
      <c r="X4752" t="s">
        <v>1299</v>
      </c>
      <c r="Y4752" t="str">
        <f>VLOOKUP(C4752,'[1]DBS_KPY Sorumlular'!A:C,2,FALSE)</f>
        <v>Kadir TOPÇU</v>
      </c>
      <c r="Z4752" t="str">
        <f>VLOOKUP(C4752,'[1]DBS_KPY Sorumlular'!A:C,3,FALSE)</f>
        <v>Erkan AKDOĞAN</v>
      </c>
      <c r="AA4752" t="str">
        <f>VLOOKUP(K4752,[1]!Tablo3[#Data],2,FALSE)</f>
        <v>Tayfun VİÇE</v>
      </c>
    </row>
    <row r="4753" spans="1:27" x14ac:dyDescent="0.25">
      <c r="A4753">
        <v>6161</v>
      </c>
      <c r="B4753" t="s">
        <v>1419</v>
      </c>
      <c r="C4753" t="s">
        <v>1674</v>
      </c>
      <c r="D4753" t="s">
        <v>1675</v>
      </c>
      <c r="H4753" t="s">
        <v>12493</v>
      </c>
      <c r="I4753" s="4"/>
      <c r="K4753" t="s">
        <v>1528</v>
      </c>
      <c r="L4753" s="5"/>
      <c r="M4753" s="5"/>
      <c r="N4753" t="s">
        <v>35</v>
      </c>
      <c r="T4753" s="5"/>
      <c r="W4753">
        <v>71</v>
      </c>
      <c r="X4753" t="s">
        <v>1299</v>
      </c>
      <c r="Y4753" t="str">
        <f>VLOOKUP(C4753,'[1]DBS_KPY Sorumlular'!A:C,2,FALSE)</f>
        <v>Kadir TOPÇU</v>
      </c>
      <c r="Z4753" t="str">
        <f>VLOOKUP(C4753,'[1]DBS_KPY Sorumlular'!A:C,3,FALSE)</f>
        <v>Erkan AKDOĞAN</v>
      </c>
      <c r="AA4753" t="str">
        <f>VLOOKUP(K4753,[1]!Tablo3[#Data],2,FALSE)</f>
        <v>Tayfun VİÇE</v>
      </c>
    </row>
    <row r="4754" spans="1:27" x14ac:dyDescent="0.25">
      <c r="A4754">
        <v>6162</v>
      </c>
      <c r="B4754" t="s">
        <v>1419</v>
      </c>
      <c r="C4754" t="s">
        <v>1674</v>
      </c>
      <c r="D4754" t="s">
        <v>1675</v>
      </c>
      <c r="H4754" t="s">
        <v>12494</v>
      </c>
      <c r="I4754" s="4"/>
      <c r="K4754" t="s">
        <v>1528</v>
      </c>
      <c r="L4754" s="5"/>
      <c r="M4754" s="5"/>
      <c r="N4754" t="s">
        <v>35</v>
      </c>
      <c r="T4754" s="5"/>
      <c r="W4754">
        <v>71</v>
      </c>
      <c r="X4754" t="s">
        <v>1299</v>
      </c>
      <c r="Y4754" t="str">
        <f>VLOOKUP(C4754,'[1]DBS_KPY Sorumlular'!A:C,2,FALSE)</f>
        <v>Kadir TOPÇU</v>
      </c>
      <c r="Z4754" t="str">
        <f>VLOOKUP(C4754,'[1]DBS_KPY Sorumlular'!A:C,3,FALSE)</f>
        <v>Erkan AKDOĞAN</v>
      </c>
      <c r="AA4754" t="str">
        <f>VLOOKUP(K4754,[1]!Tablo3[#Data],2,FALSE)</f>
        <v>Tayfun VİÇE</v>
      </c>
    </row>
    <row r="4755" spans="1:27" x14ac:dyDescent="0.25">
      <c r="A4755">
        <v>6163</v>
      </c>
      <c r="B4755" t="s">
        <v>1419</v>
      </c>
      <c r="C4755" t="s">
        <v>1674</v>
      </c>
      <c r="D4755" t="s">
        <v>1675</v>
      </c>
      <c r="H4755" t="s">
        <v>12495</v>
      </c>
      <c r="I4755" s="4"/>
      <c r="K4755" t="s">
        <v>1550</v>
      </c>
      <c r="L4755" s="5"/>
      <c r="M4755" s="5"/>
      <c r="N4755" t="s">
        <v>35</v>
      </c>
      <c r="T4755" s="5"/>
      <c r="W4755">
        <v>134</v>
      </c>
      <c r="X4755" t="s">
        <v>1577</v>
      </c>
      <c r="Y4755" t="str">
        <f>VLOOKUP(C4755,'[1]DBS_KPY Sorumlular'!A:C,2,FALSE)</f>
        <v>Kadir TOPÇU</v>
      </c>
      <c r="Z4755" t="str">
        <f>VLOOKUP(C4755,'[1]DBS_KPY Sorumlular'!A:C,3,FALSE)</f>
        <v>Erkan AKDOĞAN</v>
      </c>
      <c r="AA4755" t="str">
        <f>VLOOKUP(K4755,[1]!Tablo3[#Data],2,FALSE)</f>
        <v>Kadir TOPÇU</v>
      </c>
    </row>
    <row r="4756" spans="1:27" x14ac:dyDescent="0.25">
      <c r="A4756">
        <v>6164</v>
      </c>
      <c r="B4756" t="s">
        <v>1419</v>
      </c>
      <c r="C4756" t="s">
        <v>1674</v>
      </c>
      <c r="D4756" t="s">
        <v>1675</v>
      </c>
      <c r="H4756" t="s">
        <v>12496</v>
      </c>
      <c r="I4756" s="4"/>
      <c r="K4756" t="s">
        <v>217</v>
      </c>
      <c r="L4756" s="5"/>
      <c r="M4756" s="5"/>
      <c r="N4756" t="s">
        <v>35</v>
      </c>
      <c r="T4756" s="5"/>
      <c r="W4756">
        <v>94</v>
      </c>
      <c r="X4756" t="s">
        <v>1707</v>
      </c>
      <c r="Y4756" t="str">
        <f>VLOOKUP(C4756,'[1]DBS_KPY Sorumlular'!A:C,2,FALSE)</f>
        <v>Kadir TOPÇU</v>
      </c>
      <c r="Z4756" t="str">
        <f>VLOOKUP(C4756,'[1]DBS_KPY Sorumlular'!A:C,3,FALSE)</f>
        <v>Erkan AKDOĞAN</v>
      </c>
      <c r="AA4756" t="str">
        <f>VLOOKUP(K4756,[1]!Tablo3[#Data],2,FALSE)</f>
        <v>Erkan AKDOĞAN</v>
      </c>
    </row>
    <row r="4757" spans="1:27" x14ac:dyDescent="0.25">
      <c r="A4757">
        <v>6165</v>
      </c>
      <c r="B4757" t="s">
        <v>1419</v>
      </c>
      <c r="C4757" t="s">
        <v>1674</v>
      </c>
      <c r="D4757" t="s">
        <v>1675</v>
      </c>
      <c r="H4757" t="s">
        <v>12497</v>
      </c>
      <c r="I4757" s="4"/>
      <c r="K4757" t="s">
        <v>435</v>
      </c>
      <c r="L4757" s="5"/>
      <c r="M4757" s="5"/>
      <c r="N4757" t="s">
        <v>35</v>
      </c>
      <c r="T4757" s="5"/>
      <c r="W4757">
        <v>94</v>
      </c>
      <c r="X4757" t="s">
        <v>1707</v>
      </c>
      <c r="Y4757" t="str">
        <f>VLOOKUP(C4757,'[1]DBS_KPY Sorumlular'!A:C,2,FALSE)</f>
        <v>Kadir TOPÇU</v>
      </c>
      <c r="Z4757" t="str">
        <f>VLOOKUP(C4757,'[1]DBS_KPY Sorumlular'!A:C,3,FALSE)</f>
        <v>Erkan AKDOĞAN</v>
      </c>
      <c r="AA4757" t="str">
        <f>VLOOKUP(K4757,[1]!Tablo3[#Data],2,FALSE)</f>
        <v>Tayfun VİÇE</v>
      </c>
    </row>
    <row r="4758" spans="1:27" x14ac:dyDescent="0.25">
      <c r="A4758">
        <v>6166</v>
      </c>
      <c r="B4758" t="s">
        <v>1419</v>
      </c>
      <c r="C4758" t="s">
        <v>1674</v>
      </c>
      <c r="D4758" t="s">
        <v>1675</v>
      </c>
      <c r="H4758" t="s">
        <v>12498</v>
      </c>
      <c r="I4758" s="4"/>
      <c r="K4758" t="s">
        <v>743</v>
      </c>
      <c r="L4758" s="5"/>
      <c r="M4758" s="5"/>
      <c r="N4758" t="s">
        <v>35</v>
      </c>
      <c r="T4758" s="5"/>
      <c r="W4758">
        <v>94</v>
      </c>
      <c r="X4758" t="s">
        <v>1707</v>
      </c>
      <c r="Y4758" t="str">
        <f>VLOOKUP(C4758,'[1]DBS_KPY Sorumlular'!A:C,2,FALSE)</f>
        <v>Kadir TOPÇU</v>
      </c>
      <c r="Z4758" t="str">
        <f>VLOOKUP(C4758,'[1]DBS_KPY Sorumlular'!A:C,3,FALSE)</f>
        <v>Erkan AKDOĞAN</v>
      </c>
      <c r="AA4758" t="str">
        <f>VLOOKUP(K4758,[1]!Tablo3[#Data],2,FALSE)</f>
        <v>Kadir TOPÇU</v>
      </c>
    </row>
    <row r="4759" spans="1:27" x14ac:dyDescent="0.25">
      <c r="A4759">
        <v>6167</v>
      </c>
      <c r="B4759" t="s">
        <v>1419</v>
      </c>
      <c r="C4759" t="s">
        <v>1674</v>
      </c>
      <c r="D4759" t="s">
        <v>1675</v>
      </c>
      <c r="H4759" t="s">
        <v>12499</v>
      </c>
      <c r="I4759" s="4"/>
      <c r="K4759" t="s">
        <v>226</v>
      </c>
      <c r="L4759" s="5"/>
      <c r="M4759" s="5"/>
      <c r="N4759" t="s">
        <v>35</v>
      </c>
      <c r="T4759" s="5"/>
      <c r="W4759">
        <v>94</v>
      </c>
      <c r="X4759" t="s">
        <v>1707</v>
      </c>
      <c r="Y4759" t="str">
        <f>VLOOKUP(C4759,'[1]DBS_KPY Sorumlular'!A:C,2,FALSE)</f>
        <v>Kadir TOPÇU</v>
      </c>
      <c r="Z4759" t="str">
        <f>VLOOKUP(C4759,'[1]DBS_KPY Sorumlular'!A:C,3,FALSE)</f>
        <v>Erkan AKDOĞAN</v>
      </c>
      <c r="AA4759" t="str">
        <f>VLOOKUP(K4759,[1]!Tablo3[#Data],2,FALSE)</f>
        <v>Kadir TOPÇU</v>
      </c>
    </row>
    <row r="4760" spans="1:27" x14ac:dyDescent="0.25">
      <c r="A4760">
        <v>6168</v>
      </c>
      <c r="B4760" t="s">
        <v>1419</v>
      </c>
      <c r="C4760" t="s">
        <v>1674</v>
      </c>
      <c r="D4760" t="s">
        <v>1675</v>
      </c>
      <c r="H4760" t="s">
        <v>12500</v>
      </c>
      <c r="I4760" s="4"/>
      <c r="K4760" t="s">
        <v>98</v>
      </c>
      <c r="L4760" s="5"/>
      <c r="M4760" s="5"/>
      <c r="N4760" t="s">
        <v>35</v>
      </c>
      <c r="T4760" s="5"/>
      <c r="W4760">
        <v>79</v>
      </c>
      <c r="X4760" t="s">
        <v>1619</v>
      </c>
      <c r="Y4760" t="str">
        <f>VLOOKUP(C4760,'[1]DBS_KPY Sorumlular'!A:C,2,FALSE)</f>
        <v>Kadir TOPÇU</v>
      </c>
      <c r="Z4760" t="str">
        <f>VLOOKUP(C4760,'[1]DBS_KPY Sorumlular'!A:C,3,FALSE)</f>
        <v>Erkan AKDOĞAN</v>
      </c>
      <c r="AA4760" t="str">
        <f>VLOOKUP(K4760,[1]!Tablo3[#Data],2,FALSE)</f>
        <v>Tayfun VİÇE</v>
      </c>
    </row>
    <row r="4761" spans="1:27" x14ac:dyDescent="0.25">
      <c r="A4761">
        <v>6169</v>
      </c>
      <c r="B4761" t="s">
        <v>1419</v>
      </c>
      <c r="C4761" t="s">
        <v>1674</v>
      </c>
      <c r="D4761" t="s">
        <v>1675</v>
      </c>
      <c r="H4761" t="s">
        <v>12501</v>
      </c>
      <c r="I4761" s="4"/>
      <c r="K4761" t="s">
        <v>152</v>
      </c>
      <c r="L4761" s="5"/>
      <c r="M4761" s="5"/>
      <c r="N4761" t="s">
        <v>35</v>
      </c>
      <c r="T4761" s="5"/>
      <c r="W4761">
        <v>79</v>
      </c>
      <c r="X4761" t="s">
        <v>1619</v>
      </c>
      <c r="Y4761" t="str">
        <f>VLOOKUP(C4761,'[1]DBS_KPY Sorumlular'!A:C,2,FALSE)</f>
        <v>Kadir TOPÇU</v>
      </c>
      <c r="Z4761" t="str">
        <f>VLOOKUP(C4761,'[1]DBS_KPY Sorumlular'!A:C,3,FALSE)</f>
        <v>Erkan AKDOĞAN</v>
      </c>
      <c r="AA4761" t="str">
        <f>VLOOKUP(K4761,[1]!Tablo3[#Data],2,FALSE)</f>
        <v>Erkan AKDOĞAN</v>
      </c>
    </row>
    <row r="4762" spans="1:27" x14ac:dyDescent="0.25">
      <c r="A4762">
        <v>6170</v>
      </c>
      <c r="B4762" t="s">
        <v>1419</v>
      </c>
      <c r="C4762" t="s">
        <v>1674</v>
      </c>
      <c r="D4762" t="s">
        <v>1675</v>
      </c>
      <c r="H4762" t="s">
        <v>12502</v>
      </c>
      <c r="I4762" s="4"/>
      <c r="K4762" t="s">
        <v>435</v>
      </c>
      <c r="L4762" s="5"/>
      <c r="M4762" s="5"/>
      <c r="N4762" t="s">
        <v>35</v>
      </c>
      <c r="T4762" s="5"/>
      <c r="W4762">
        <v>79</v>
      </c>
      <c r="X4762" t="s">
        <v>1619</v>
      </c>
      <c r="Y4762" t="str">
        <f>VLOOKUP(C4762,'[1]DBS_KPY Sorumlular'!A:C,2,FALSE)</f>
        <v>Kadir TOPÇU</v>
      </c>
      <c r="Z4762" t="str">
        <f>VLOOKUP(C4762,'[1]DBS_KPY Sorumlular'!A:C,3,FALSE)</f>
        <v>Erkan AKDOĞAN</v>
      </c>
      <c r="AA4762" t="str">
        <f>VLOOKUP(K4762,[1]!Tablo3[#Data],2,FALSE)</f>
        <v>Tayfun VİÇE</v>
      </c>
    </row>
    <row r="4763" spans="1:27" x14ac:dyDescent="0.25">
      <c r="A4763">
        <v>6171</v>
      </c>
      <c r="B4763" t="s">
        <v>1419</v>
      </c>
      <c r="C4763" t="s">
        <v>1674</v>
      </c>
      <c r="D4763" t="s">
        <v>1675</v>
      </c>
      <c r="H4763" t="s">
        <v>531</v>
      </c>
      <c r="I4763" s="4"/>
      <c r="K4763" t="s">
        <v>226</v>
      </c>
      <c r="L4763" s="5"/>
      <c r="M4763" s="5"/>
      <c r="N4763" t="s">
        <v>35</v>
      </c>
      <c r="T4763" s="5"/>
      <c r="W4763">
        <v>86</v>
      </c>
      <c r="X4763" t="s">
        <v>189</v>
      </c>
      <c r="Y4763" t="str">
        <f>VLOOKUP(C4763,'[1]DBS_KPY Sorumlular'!A:C,2,FALSE)</f>
        <v>Kadir TOPÇU</v>
      </c>
      <c r="Z4763" t="str">
        <f>VLOOKUP(C4763,'[1]DBS_KPY Sorumlular'!A:C,3,FALSE)</f>
        <v>Erkan AKDOĞAN</v>
      </c>
      <c r="AA4763" t="str">
        <f>VLOOKUP(K4763,[1]!Tablo3[#Data],2,FALSE)</f>
        <v>Kadir TOPÇU</v>
      </c>
    </row>
    <row r="4764" spans="1:27" x14ac:dyDescent="0.25">
      <c r="A4764">
        <v>6172</v>
      </c>
      <c r="B4764" t="s">
        <v>1419</v>
      </c>
      <c r="C4764" t="s">
        <v>1674</v>
      </c>
      <c r="D4764" t="s">
        <v>1675</v>
      </c>
      <c r="H4764" t="s">
        <v>12503</v>
      </c>
      <c r="I4764" s="4"/>
      <c r="K4764" t="s">
        <v>226</v>
      </c>
      <c r="L4764" s="5" t="s">
        <v>743</v>
      </c>
      <c r="M4764" s="5"/>
      <c r="N4764" t="s">
        <v>35</v>
      </c>
      <c r="T4764" s="5"/>
      <c r="W4764">
        <v>103</v>
      </c>
      <c r="X4764" t="s">
        <v>353</v>
      </c>
      <c r="Y4764" t="str">
        <f>VLOOKUP(C4764,'[1]DBS_KPY Sorumlular'!A:C,2,FALSE)</f>
        <v>Kadir TOPÇU</v>
      </c>
      <c r="Z4764" t="str">
        <f>VLOOKUP(C4764,'[1]DBS_KPY Sorumlular'!A:C,3,FALSE)</f>
        <v>Erkan AKDOĞAN</v>
      </c>
      <c r="AA4764" t="str">
        <f>VLOOKUP(K4764,[1]!Tablo3[#Data],2,FALSE)</f>
        <v>Kadir TOPÇU</v>
      </c>
    </row>
    <row r="4765" spans="1:27" x14ac:dyDescent="0.25">
      <c r="A4765">
        <v>6173</v>
      </c>
      <c r="B4765" t="s">
        <v>1419</v>
      </c>
      <c r="C4765" t="s">
        <v>1674</v>
      </c>
      <c r="D4765" t="s">
        <v>1675</v>
      </c>
      <c r="H4765" t="s">
        <v>12504</v>
      </c>
      <c r="I4765" s="4"/>
      <c r="K4765" t="s">
        <v>611</v>
      </c>
      <c r="L4765" s="5"/>
      <c r="M4765" s="5"/>
      <c r="N4765" t="s">
        <v>35</v>
      </c>
      <c r="T4765" s="5"/>
      <c r="W4765">
        <v>79</v>
      </c>
      <c r="X4765" t="s">
        <v>1619</v>
      </c>
      <c r="Y4765" t="str">
        <f>VLOOKUP(C4765,'[1]DBS_KPY Sorumlular'!A:C,2,FALSE)</f>
        <v>Kadir TOPÇU</v>
      </c>
      <c r="Z4765" t="str">
        <f>VLOOKUP(C4765,'[1]DBS_KPY Sorumlular'!A:C,3,FALSE)</f>
        <v>Erkan AKDOĞAN</v>
      </c>
      <c r="AA4765" t="str">
        <f>VLOOKUP(K4765,[1]!Tablo3[#Data],2,FALSE)</f>
        <v>Kadir TOPÇU</v>
      </c>
    </row>
    <row r="4766" spans="1:27" x14ac:dyDescent="0.25">
      <c r="A4766">
        <v>6174</v>
      </c>
      <c r="B4766" t="s">
        <v>1419</v>
      </c>
      <c r="C4766" t="s">
        <v>1674</v>
      </c>
      <c r="D4766" t="s">
        <v>1675</v>
      </c>
      <c r="H4766" t="s">
        <v>12505</v>
      </c>
      <c r="I4766" s="4"/>
      <c r="K4766" t="s">
        <v>636</v>
      </c>
      <c r="L4766" s="5"/>
      <c r="M4766" s="5"/>
      <c r="N4766" t="s">
        <v>35</v>
      </c>
      <c r="T4766" s="5"/>
      <c r="W4766">
        <v>79</v>
      </c>
      <c r="X4766" t="s">
        <v>1619</v>
      </c>
      <c r="Y4766" t="str">
        <f>VLOOKUP(C4766,'[1]DBS_KPY Sorumlular'!A:C,2,FALSE)</f>
        <v>Kadir TOPÇU</v>
      </c>
      <c r="Z4766" t="str">
        <f>VLOOKUP(C4766,'[1]DBS_KPY Sorumlular'!A:C,3,FALSE)</f>
        <v>Erkan AKDOĞAN</v>
      </c>
      <c r="AA4766" t="str">
        <f>VLOOKUP(K4766,[1]!Tablo3[#Data],2,FALSE)</f>
        <v>Erkan AKDOĞAN</v>
      </c>
    </row>
    <row r="4767" spans="1:27" x14ac:dyDescent="0.25">
      <c r="A4767">
        <v>6175</v>
      </c>
      <c r="B4767" t="s">
        <v>1419</v>
      </c>
      <c r="C4767" t="s">
        <v>1674</v>
      </c>
      <c r="D4767" t="s">
        <v>1675</v>
      </c>
      <c r="H4767" t="s">
        <v>12506</v>
      </c>
      <c r="I4767" s="4"/>
      <c r="K4767" t="s">
        <v>678</v>
      </c>
      <c r="L4767" s="5"/>
      <c r="M4767" s="5"/>
      <c r="N4767" t="s">
        <v>35</v>
      </c>
      <c r="T4767" s="5"/>
      <c r="W4767">
        <v>79</v>
      </c>
      <c r="X4767" t="s">
        <v>1619</v>
      </c>
      <c r="Y4767" t="str">
        <f>VLOOKUP(C4767,'[1]DBS_KPY Sorumlular'!A:C,2,FALSE)</f>
        <v>Kadir TOPÇU</v>
      </c>
      <c r="Z4767" t="str">
        <f>VLOOKUP(C4767,'[1]DBS_KPY Sorumlular'!A:C,3,FALSE)</f>
        <v>Erkan AKDOĞAN</v>
      </c>
      <c r="AA4767" t="str">
        <f>VLOOKUP(K4767,[1]!Tablo3[#Data],2,FALSE)</f>
        <v>Kadir TOPÇU</v>
      </c>
    </row>
    <row r="4768" spans="1:27" x14ac:dyDescent="0.25">
      <c r="A4768">
        <v>6176</v>
      </c>
      <c r="B4768" t="s">
        <v>1419</v>
      </c>
      <c r="C4768" t="s">
        <v>1674</v>
      </c>
      <c r="D4768" t="s">
        <v>1675</v>
      </c>
      <c r="H4768" t="s">
        <v>12507</v>
      </c>
      <c r="I4768" s="4"/>
      <c r="K4768" t="s">
        <v>678</v>
      </c>
      <c r="L4768" s="5"/>
      <c r="M4768" s="5"/>
      <c r="N4768" t="s">
        <v>35</v>
      </c>
      <c r="T4768" s="5"/>
      <c r="W4768">
        <v>79</v>
      </c>
      <c r="X4768" t="s">
        <v>1619</v>
      </c>
      <c r="Y4768" t="str">
        <f>VLOOKUP(C4768,'[1]DBS_KPY Sorumlular'!A:C,2,FALSE)</f>
        <v>Kadir TOPÇU</v>
      </c>
      <c r="Z4768" t="str">
        <f>VLOOKUP(C4768,'[1]DBS_KPY Sorumlular'!A:C,3,FALSE)</f>
        <v>Erkan AKDOĞAN</v>
      </c>
      <c r="AA4768" t="str">
        <f>VLOOKUP(K4768,[1]!Tablo3[#Data],2,FALSE)</f>
        <v>Kadir TOPÇU</v>
      </c>
    </row>
    <row r="4769" spans="1:27" x14ac:dyDescent="0.25">
      <c r="A4769">
        <v>6177</v>
      </c>
      <c r="B4769" t="s">
        <v>1419</v>
      </c>
      <c r="C4769" t="s">
        <v>1674</v>
      </c>
      <c r="D4769" t="s">
        <v>1675</v>
      </c>
      <c r="H4769" t="s">
        <v>12508</v>
      </c>
      <c r="I4769" s="4"/>
      <c r="K4769" t="s">
        <v>743</v>
      </c>
      <c r="L4769" s="5"/>
      <c r="M4769" s="5"/>
      <c r="N4769" t="s">
        <v>35</v>
      </c>
      <c r="T4769" s="5"/>
      <c r="W4769">
        <v>79</v>
      </c>
      <c r="X4769" t="s">
        <v>1619</v>
      </c>
      <c r="Y4769" t="str">
        <f>VLOOKUP(C4769,'[1]DBS_KPY Sorumlular'!A:C,2,FALSE)</f>
        <v>Kadir TOPÇU</v>
      </c>
      <c r="Z4769" t="str">
        <f>VLOOKUP(C4769,'[1]DBS_KPY Sorumlular'!A:C,3,FALSE)</f>
        <v>Erkan AKDOĞAN</v>
      </c>
      <c r="AA4769" t="str">
        <f>VLOOKUP(K4769,[1]!Tablo3[#Data],2,FALSE)</f>
        <v>Kadir TOPÇU</v>
      </c>
    </row>
    <row r="4770" spans="1:27" x14ac:dyDescent="0.25">
      <c r="A4770">
        <v>6178</v>
      </c>
      <c r="B4770" t="s">
        <v>1419</v>
      </c>
      <c r="C4770" t="s">
        <v>1674</v>
      </c>
      <c r="D4770" t="s">
        <v>1675</v>
      </c>
      <c r="H4770" t="s">
        <v>12509</v>
      </c>
      <c r="I4770" s="4"/>
      <c r="K4770" t="s">
        <v>860</v>
      </c>
      <c r="L4770" s="5"/>
      <c r="M4770" s="5"/>
      <c r="N4770" t="s">
        <v>35</v>
      </c>
      <c r="T4770" s="5"/>
      <c r="W4770">
        <v>94</v>
      </c>
      <c r="X4770" t="s">
        <v>1707</v>
      </c>
      <c r="Y4770" t="str">
        <f>VLOOKUP(C4770,'[1]DBS_KPY Sorumlular'!A:C,2,FALSE)</f>
        <v>Kadir TOPÇU</v>
      </c>
      <c r="Z4770" t="str">
        <f>VLOOKUP(C4770,'[1]DBS_KPY Sorumlular'!A:C,3,FALSE)</f>
        <v>Erkan AKDOĞAN</v>
      </c>
      <c r="AA4770" t="str">
        <f>VLOOKUP(K4770,[1]!Tablo3[#Data],2,FALSE)</f>
        <v>Erkan AKDOĞAN</v>
      </c>
    </row>
    <row r="4771" spans="1:27" x14ac:dyDescent="0.25">
      <c r="A4771">
        <v>6179</v>
      </c>
      <c r="B4771" t="s">
        <v>1419</v>
      </c>
      <c r="C4771" t="s">
        <v>1674</v>
      </c>
      <c r="D4771" t="s">
        <v>1675</v>
      </c>
      <c r="H4771" t="s">
        <v>12510</v>
      </c>
      <c r="I4771" s="4"/>
      <c r="K4771" t="s">
        <v>914</v>
      </c>
      <c r="L4771" s="5"/>
      <c r="M4771" s="5"/>
      <c r="N4771" t="s">
        <v>35</v>
      </c>
      <c r="T4771" s="5"/>
      <c r="W4771">
        <v>103</v>
      </c>
      <c r="X4771" t="s">
        <v>353</v>
      </c>
      <c r="Y4771" t="str">
        <f>VLOOKUP(C4771,'[1]DBS_KPY Sorumlular'!A:C,2,FALSE)</f>
        <v>Kadir TOPÇU</v>
      </c>
      <c r="Z4771" t="str">
        <f>VLOOKUP(C4771,'[1]DBS_KPY Sorumlular'!A:C,3,FALSE)</f>
        <v>Erkan AKDOĞAN</v>
      </c>
      <c r="AA4771" t="str">
        <f>VLOOKUP(K4771,[1]!Tablo3[#Data],2,FALSE)</f>
        <v>Tayfun VİÇE</v>
      </c>
    </row>
    <row r="4772" spans="1:27" x14ac:dyDescent="0.25">
      <c r="A4772">
        <v>6180</v>
      </c>
      <c r="B4772" t="s">
        <v>1419</v>
      </c>
      <c r="C4772" t="s">
        <v>1674</v>
      </c>
      <c r="D4772" t="s">
        <v>1675</v>
      </c>
      <c r="H4772" t="s">
        <v>12511</v>
      </c>
      <c r="I4772" s="4"/>
      <c r="K4772" t="s">
        <v>1157</v>
      </c>
      <c r="L4772" s="5"/>
      <c r="M4772" s="5"/>
      <c r="N4772" t="s">
        <v>35</v>
      </c>
      <c r="T4772" s="5"/>
      <c r="W4772">
        <v>203</v>
      </c>
      <c r="X4772" t="s">
        <v>72</v>
      </c>
      <c r="Y4772" t="str">
        <f>VLOOKUP(C4772,'[1]DBS_KPY Sorumlular'!A:C,2,FALSE)</f>
        <v>Kadir TOPÇU</v>
      </c>
      <c r="Z4772" t="str">
        <f>VLOOKUP(C4772,'[1]DBS_KPY Sorumlular'!A:C,3,FALSE)</f>
        <v>Erkan AKDOĞAN</v>
      </c>
      <c r="AA4772" t="str">
        <f>VLOOKUP(K4772,[1]!Tablo3[#Data],2,FALSE)</f>
        <v>Tayfun VİÇE</v>
      </c>
    </row>
    <row r="4773" spans="1:27" x14ac:dyDescent="0.25">
      <c r="A4773">
        <v>6181</v>
      </c>
      <c r="B4773" t="s">
        <v>1419</v>
      </c>
      <c r="C4773" t="s">
        <v>1674</v>
      </c>
      <c r="D4773" t="s">
        <v>1675</v>
      </c>
      <c r="H4773" t="s">
        <v>12512</v>
      </c>
      <c r="I4773" s="4"/>
      <c r="K4773" t="s">
        <v>1221</v>
      </c>
      <c r="L4773" s="5"/>
      <c r="M4773" s="5"/>
      <c r="N4773" t="s">
        <v>35</v>
      </c>
      <c r="T4773" s="5"/>
      <c r="W4773">
        <v>79</v>
      </c>
      <c r="X4773" t="s">
        <v>1619</v>
      </c>
      <c r="Y4773" t="str">
        <f>VLOOKUP(C4773,'[1]DBS_KPY Sorumlular'!A:C,2,FALSE)</f>
        <v>Kadir TOPÇU</v>
      </c>
      <c r="Z4773" t="str">
        <f>VLOOKUP(C4773,'[1]DBS_KPY Sorumlular'!A:C,3,FALSE)</f>
        <v>Erkan AKDOĞAN</v>
      </c>
      <c r="AA4773" t="str">
        <f>VLOOKUP(K4773,[1]!Tablo3[#Data],2,FALSE)</f>
        <v>Tayfun VİÇE</v>
      </c>
    </row>
    <row r="4774" spans="1:27" x14ac:dyDescent="0.25">
      <c r="A4774">
        <v>6182</v>
      </c>
      <c r="B4774" t="s">
        <v>1419</v>
      </c>
      <c r="C4774" t="s">
        <v>1674</v>
      </c>
      <c r="D4774" t="s">
        <v>1675</v>
      </c>
      <c r="H4774" t="s">
        <v>12513</v>
      </c>
      <c r="I4774" s="4"/>
      <c r="K4774" t="s">
        <v>926</v>
      </c>
      <c r="L4774" s="5"/>
      <c r="M4774" s="5"/>
      <c r="N4774" t="s">
        <v>35</v>
      </c>
      <c r="T4774" s="5"/>
      <c r="W4774">
        <v>79</v>
      </c>
      <c r="X4774" t="s">
        <v>1619</v>
      </c>
      <c r="Y4774" t="str">
        <f>VLOOKUP(C4774,'[1]DBS_KPY Sorumlular'!A:C,2,FALSE)</f>
        <v>Kadir TOPÇU</v>
      </c>
      <c r="Z4774" t="str">
        <f>VLOOKUP(C4774,'[1]DBS_KPY Sorumlular'!A:C,3,FALSE)</f>
        <v>Erkan AKDOĞAN</v>
      </c>
      <c r="AA4774" t="str">
        <f>VLOOKUP(K4774,[1]!Tablo3[#Data],2,FALSE)</f>
        <v>Kadir TOPÇU</v>
      </c>
    </row>
    <row r="4775" spans="1:27" x14ac:dyDescent="0.25">
      <c r="A4775">
        <v>6183</v>
      </c>
      <c r="B4775" t="s">
        <v>1419</v>
      </c>
      <c r="C4775" t="s">
        <v>1674</v>
      </c>
      <c r="D4775" t="s">
        <v>1675</v>
      </c>
      <c r="H4775" t="s">
        <v>12514</v>
      </c>
      <c r="I4775" s="4"/>
      <c r="K4775" t="s">
        <v>1334</v>
      </c>
      <c r="L4775" s="5"/>
      <c r="M4775" s="5"/>
      <c r="N4775" t="s">
        <v>35</v>
      </c>
      <c r="T4775" s="5"/>
      <c r="W4775">
        <v>79</v>
      </c>
      <c r="X4775" t="s">
        <v>1619</v>
      </c>
      <c r="Y4775" t="str">
        <f>VLOOKUP(C4775,'[1]DBS_KPY Sorumlular'!A:C,2,FALSE)</f>
        <v>Kadir TOPÇU</v>
      </c>
      <c r="Z4775" t="str">
        <f>VLOOKUP(C4775,'[1]DBS_KPY Sorumlular'!A:C,3,FALSE)</f>
        <v>Erkan AKDOĞAN</v>
      </c>
      <c r="AA4775" t="str">
        <f>VLOOKUP(K4775,[1]!Tablo3[#Data],2,FALSE)</f>
        <v>Erkan AKDOĞAN</v>
      </c>
    </row>
    <row r="4776" spans="1:27" x14ac:dyDescent="0.25">
      <c r="A4776">
        <v>6184</v>
      </c>
      <c r="B4776" t="s">
        <v>1419</v>
      </c>
      <c r="C4776" t="s">
        <v>1674</v>
      </c>
      <c r="D4776" t="s">
        <v>1675</v>
      </c>
      <c r="H4776" t="s">
        <v>12515</v>
      </c>
      <c r="I4776" s="4"/>
      <c r="K4776" t="s">
        <v>1334</v>
      </c>
      <c r="L4776" s="5"/>
      <c r="M4776" s="5"/>
      <c r="N4776" t="s">
        <v>35</v>
      </c>
      <c r="T4776" s="5"/>
      <c r="W4776">
        <v>79</v>
      </c>
      <c r="X4776" t="s">
        <v>1619</v>
      </c>
      <c r="Y4776" t="str">
        <f>VLOOKUP(C4776,'[1]DBS_KPY Sorumlular'!A:C,2,FALSE)</f>
        <v>Kadir TOPÇU</v>
      </c>
      <c r="Z4776" t="str">
        <f>VLOOKUP(C4776,'[1]DBS_KPY Sorumlular'!A:C,3,FALSE)</f>
        <v>Erkan AKDOĞAN</v>
      </c>
      <c r="AA4776" t="str">
        <f>VLOOKUP(K4776,[1]!Tablo3[#Data],2,FALSE)</f>
        <v>Erkan AKDOĞAN</v>
      </c>
    </row>
    <row r="4777" spans="1:27" x14ac:dyDescent="0.25">
      <c r="A4777">
        <v>6185</v>
      </c>
      <c r="B4777" t="s">
        <v>1419</v>
      </c>
      <c r="C4777" t="s">
        <v>1674</v>
      </c>
      <c r="D4777" t="s">
        <v>1675</v>
      </c>
      <c r="H4777" t="s">
        <v>12516</v>
      </c>
      <c r="I4777" s="4"/>
      <c r="K4777" t="s">
        <v>1471</v>
      </c>
      <c r="L4777" s="5"/>
      <c r="M4777" s="5"/>
      <c r="N4777" t="s">
        <v>35</v>
      </c>
      <c r="T4777" s="5"/>
      <c r="W4777">
        <v>79</v>
      </c>
      <c r="X4777" t="s">
        <v>1619</v>
      </c>
      <c r="Y4777" t="str">
        <f>VLOOKUP(C4777,'[1]DBS_KPY Sorumlular'!A:C,2,FALSE)</f>
        <v>Kadir TOPÇU</v>
      </c>
      <c r="Z4777" t="str">
        <f>VLOOKUP(C4777,'[1]DBS_KPY Sorumlular'!A:C,3,FALSE)</f>
        <v>Erkan AKDOĞAN</v>
      </c>
      <c r="AA4777" t="str">
        <f>VLOOKUP(K4777,[1]!Tablo3[#Data],2,FALSE)</f>
        <v>Tayfun VİÇE</v>
      </c>
    </row>
    <row r="4778" spans="1:27" x14ac:dyDescent="0.25">
      <c r="A4778">
        <v>6186</v>
      </c>
      <c r="B4778" t="s">
        <v>1419</v>
      </c>
      <c r="C4778" t="s">
        <v>1674</v>
      </c>
      <c r="D4778" t="s">
        <v>1675</v>
      </c>
      <c r="H4778" t="s">
        <v>3808</v>
      </c>
      <c r="I4778" s="4"/>
      <c r="K4778" t="s">
        <v>1528</v>
      </c>
      <c r="L4778" s="5"/>
      <c r="M4778" s="5"/>
      <c r="N4778" t="s">
        <v>35</v>
      </c>
      <c r="T4778" s="5"/>
      <c r="W4778">
        <v>203</v>
      </c>
      <c r="X4778" t="s">
        <v>72</v>
      </c>
      <c r="Y4778" t="str">
        <f>VLOOKUP(C4778,'[1]DBS_KPY Sorumlular'!A:C,2,FALSE)</f>
        <v>Kadir TOPÇU</v>
      </c>
      <c r="Z4778" t="str">
        <f>VLOOKUP(C4778,'[1]DBS_KPY Sorumlular'!A:C,3,FALSE)</f>
        <v>Erkan AKDOĞAN</v>
      </c>
      <c r="AA4778" t="str">
        <f>VLOOKUP(K4778,[1]!Tablo3[#Data],2,FALSE)</f>
        <v>Tayfun VİÇE</v>
      </c>
    </row>
    <row r="4779" spans="1:27" x14ac:dyDescent="0.25">
      <c r="A4779">
        <v>6187</v>
      </c>
      <c r="B4779" t="s">
        <v>1419</v>
      </c>
      <c r="C4779" t="s">
        <v>1674</v>
      </c>
      <c r="D4779" t="s">
        <v>1675</v>
      </c>
      <c r="H4779" t="s">
        <v>12517</v>
      </c>
      <c r="I4779" s="4"/>
      <c r="K4779" t="s">
        <v>54</v>
      </c>
      <c r="L4779" s="5"/>
      <c r="M4779" s="5"/>
      <c r="N4779" t="s">
        <v>35</v>
      </c>
      <c r="T4779" s="5"/>
      <c r="W4779">
        <v>79</v>
      </c>
      <c r="X4779" t="s">
        <v>1619</v>
      </c>
      <c r="Y4779" t="str">
        <f>VLOOKUP(C4779,'[1]DBS_KPY Sorumlular'!A:C,2,FALSE)</f>
        <v>Kadir TOPÇU</v>
      </c>
      <c r="Z4779" t="str">
        <f>VLOOKUP(C4779,'[1]DBS_KPY Sorumlular'!A:C,3,FALSE)</f>
        <v>Erkan AKDOĞAN</v>
      </c>
      <c r="AA4779" t="str">
        <f>VLOOKUP(K4779,[1]!Tablo3[#Data],2,FALSE)</f>
        <v>Erkan AKDOĞAN</v>
      </c>
    </row>
    <row r="4780" spans="1:27" x14ac:dyDescent="0.25">
      <c r="A4780">
        <v>6188</v>
      </c>
      <c r="B4780" t="s">
        <v>1419</v>
      </c>
      <c r="C4780" t="s">
        <v>1674</v>
      </c>
      <c r="D4780" t="s">
        <v>1675</v>
      </c>
      <c r="H4780" t="s">
        <v>12518</v>
      </c>
      <c r="I4780" s="4"/>
      <c r="K4780" t="s">
        <v>54</v>
      </c>
      <c r="L4780" s="5"/>
      <c r="M4780" s="5"/>
      <c r="N4780" t="s">
        <v>35</v>
      </c>
      <c r="T4780" s="5"/>
      <c r="W4780">
        <v>203</v>
      </c>
      <c r="X4780" t="s">
        <v>72</v>
      </c>
      <c r="Y4780" t="str">
        <f>VLOOKUP(C4780,'[1]DBS_KPY Sorumlular'!A:C,2,FALSE)</f>
        <v>Kadir TOPÇU</v>
      </c>
      <c r="Z4780" t="str">
        <f>VLOOKUP(C4780,'[1]DBS_KPY Sorumlular'!A:C,3,FALSE)</f>
        <v>Erkan AKDOĞAN</v>
      </c>
      <c r="AA4780" t="str">
        <f>VLOOKUP(K4780,[1]!Tablo3[#Data],2,FALSE)</f>
        <v>Erkan AKDOĞAN</v>
      </c>
    </row>
    <row r="4781" spans="1:27" x14ac:dyDescent="0.25">
      <c r="A4781">
        <v>6189</v>
      </c>
      <c r="B4781" t="s">
        <v>1419</v>
      </c>
      <c r="C4781" t="s">
        <v>1674</v>
      </c>
      <c r="D4781" t="s">
        <v>1675</v>
      </c>
      <c r="H4781" t="s">
        <v>12519</v>
      </c>
      <c r="I4781" s="4"/>
      <c r="K4781" t="s">
        <v>54</v>
      </c>
      <c r="L4781" s="5"/>
      <c r="M4781" s="5"/>
      <c r="N4781" t="s">
        <v>35</v>
      </c>
      <c r="T4781" s="5"/>
      <c r="W4781">
        <v>28</v>
      </c>
      <c r="X4781" t="s">
        <v>667</v>
      </c>
      <c r="Y4781" t="str">
        <f>VLOOKUP(C4781,'[1]DBS_KPY Sorumlular'!A:C,2,FALSE)</f>
        <v>Kadir TOPÇU</v>
      </c>
      <c r="Z4781" t="str">
        <f>VLOOKUP(C4781,'[1]DBS_KPY Sorumlular'!A:C,3,FALSE)</f>
        <v>Erkan AKDOĞAN</v>
      </c>
      <c r="AA4781" t="str">
        <f>VLOOKUP(K4781,[1]!Tablo3[#Data],2,FALSE)</f>
        <v>Erkan AKDOĞAN</v>
      </c>
    </row>
    <row r="4782" spans="1:27" x14ac:dyDescent="0.25">
      <c r="A4782">
        <v>6190</v>
      </c>
      <c r="B4782" t="s">
        <v>1419</v>
      </c>
      <c r="C4782" t="s">
        <v>1674</v>
      </c>
      <c r="D4782" t="s">
        <v>1675</v>
      </c>
      <c r="H4782" t="s">
        <v>12520</v>
      </c>
      <c r="I4782" s="4"/>
      <c r="K4782" t="s">
        <v>98</v>
      </c>
      <c r="L4782" s="5"/>
      <c r="M4782" s="5"/>
      <c r="N4782" t="s">
        <v>35</v>
      </c>
      <c r="T4782" s="5"/>
      <c r="W4782">
        <v>203</v>
      </c>
      <c r="X4782" t="s">
        <v>72</v>
      </c>
      <c r="Y4782" t="str">
        <f>VLOOKUP(C4782,'[1]DBS_KPY Sorumlular'!A:C,2,FALSE)</f>
        <v>Kadir TOPÇU</v>
      </c>
      <c r="Z4782" t="str">
        <f>VLOOKUP(C4782,'[1]DBS_KPY Sorumlular'!A:C,3,FALSE)</f>
        <v>Erkan AKDOĞAN</v>
      </c>
      <c r="AA4782" t="str">
        <f>VLOOKUP(K4782,[1]!Tablo3[#Data],2,FALSE)</f>
        <v>Tayfun VİÇE</v>
      </c>
    </row>
    <row r="4783" spans="1:27" x14ac:dyDescent="0.25">
      <c r="A4783">
        <v>6191</v>
      </c>
      <c r="B4783" t="s">
        <v>1419</v>
      </c>
      <c r="C4783" t="s">
        <v>1674</v>
      </c>
      <c r="D4783" t="s">
        <v>1675</v>
      </c>
      <c r="H4783" t="s">
        <v>12521</v>
      </c>
      <c r="I4783" s="4"/>
      <c r="K4783" t="s">
        <v>98</v>
      </c>
      <c r="L4783" s="5"/>
      <c r="M4783" s="5"/>
      <c r="N4783" t="s">
        <v>35</v>
      </c>
      <c r="T4783" s="5"/>
      <c r="W4783">
        <v>203</v>
      </c>
      <c r="X4783" t="s">
        <v>72</v>
      </c>
      <c r="Y4783" t="str">
        <f>VLOOKUP(C4783,'[1]DBS_KPY Sorumlular'!A:C,2,FALSE)</f>
        <v>Kadir TOPÇU</v>
      </c>
      <c r="Z4783" t="str">
        <f>VLOOKUP(C4783,'[1]DBS_KPY Sorumlular'!A:C,3,FALSE)</f>
        <v>Erkan AKDOĞAN</v>
      </c>
      <c r="AA4783" t="str">
        <f>VLOOKUP(K4783,[1]!Tablo3[#Data],2,FALSE)</f>
        <v>Tayfun VİÇE</v>
      </c>
    </row>
    <row r="4784" spans="1:27" x14ac:dyDescent="0.25">
      <c r="A4784">
        <v>6192</v>
      </c>
      <c r="B4784" t="s">
        <v>1419</v>
      </c>
      <c r="C4784" t="s">
        <v>1674</v>
      </c>
      <c r="D4784" t="s">
        <v>1675</v>
      </c>
      <c r="H4784" t="s">
        <v>12522</v>
      </c>
      <c r="I4784" s="4"/>
      <c r="K4784" t="s">
        <v>98</v>
      </c>
      <c r="L4784" s="5"/>
      <c r="M4784" s="5"/>
      <c r="N4784" t="s">
        <v>35</v>
      </c>
      <c r="T4784" s="5"/>
      <c r="W4784">
        <v>28</v>
      </c>
      <c r="X4784" t="s">
        <v>667</v>
      </c>
      <c r="Y4784" t="str">
        <f>VLOOKUP(C4784,'[1]DBS_KPY Sorumlular'!A:C,2,FALSE)</f>
        <v>Kadir TOPÇU</v>
      </c>
      <c r="Z4784" t="str">
        <f>VLOOKUP(C4784,'[1]DBS_KPY Sorumlular'!A:C,3,FALSE)</f>
        <v>Erkan AKDOĞAN</v>
      </c>
      <c r="AA4784" t="str">
        <f>VLOOKUP(K4784,[1]!Tablo3[#Data],2,FALSE)</f>
        <v>Tayfun VİÇE</v>
      </c>
    </row>
    <row r="4785" spans="1:27" x14ac:dyDescent="0.25">
      <c r="A4785">
        <v>6193</v>
      </c>
      <c r="B4785" t="s">
        <v>1419</v>
      </c>
      <c r="C4785" t="s">
        <v>1674</v>
      </c>
      <c r="D4785" t="s">
        <v>1675</v>
      </c>
      <c r="H4785" t="s">
        <v>12523</v>
      </c>
      <c r="I4785" s="4"/>
      <c r="K4785" t="s">
        <v>98</v>
      </c>
      <c r="L4785" s="5"/>
      <c r="M4785" s="5"/>
      <c r="N4785" t="s">
        <v>35</v>
      </c>
      <c r="T4785" s="5"/>
      <c r="W4785">
        <v>28</v>
      </c>
      <c r="X4785" t="s">
        <v>667</v>
      </c>
      <c r="Y4785" t="str">
        <f>VLOOKUP(C4785,'[1]DBS_KPY Sorumlular'!A:C,2,FALSE)</f>
        <v>Kadir TOPÇU</v>
      </c>
      <c r="Z4785" t="str">
        <f>VLOOKUP(C4785,'[1]DBS_KPY Sorumlular'!A:C,3,FALSE)</f>
        <v>Erkan AKDOĞAN</v>
      </c>
      <c r="AA4785" t="str">
        <f>VLOOKUP(K4785,[1]!Tablo3[#Data],2,FALSE)</f>
        <v>Tayfun VİÇE</v>
      </c>
    </row>
    <row r="4786" spans="1:27" x14ac:dyDescent="0.25">
      <c r="A4786">
        <v>6194</v>
      </c>
      <c r="B4786" t="s">
        <v>1419</v>
      </c>
      <c r="C4786" t="s">
        <v>1674</v>
      </c>
      <c r="D4786" t="s">
        <v>1675</v>
      </c>
      <c r="H4786" t="s">
        <v>12524</v>
      </c>
      <c r="I4786" s="4"/>
      <c r="K4786" t="s">
        <v>152</v>
      </c>
      <c r="L4786" s="5"/>
      <c r="M4786" s="5"/>
      <c r="N4786" t="s">
        <v>35</v>
      </c>
      <c r="T4786" s="5"/>
      <c r="W4786">
        <v>79</v>
      </c>
      <c r="X4786" t="s">
        <v>1619</v>
      </c>
      <c r="Y4786" t="str">
        <f>VLOOKUP(C4786,'[1]DBS_KPY Sorumlular'!A:C,2,FALSE)</f>
        <v>Kadir TOPÇU</v>
      </c>
      <c r="Z4786" t="str">
        <f>VLOOKUP(C4786,'[1]DBS_KPY Sorumlular'!A:C,3,FALSE)</f>
        <v>Erkan AKDOĞAN</v>
      </c>
      <c r="AA4786" t="str">
        <f>VLOOKUP(K4786,[1]!Tablo3[#Data],2,FALSE)</f>
        <v>Erkan AKDOĞAN</v>
      </c>
    </row>
    <row r="4787" spans="1:27" x14ac:dyDescent="0.25">
      <c r="A4787">
        <v>6195</v>
      </c>
      <c r="B4787" t="s">
        <v>1419</v>
      </c>
      <c r="C4787" t="s">
        <v>1674</v>
      </c>
      <c r="D4787" t="s">
        <v>1675</v>
      </c>
      <c r="H4787" t="s">
        <v>12525</v>
      </c>
      <c r="I4787" s="4"/>
      <c r="K4787" t="s">
        <v>152</v>
      </c>
      <c r="L4787" s="5"/>
      <c r="M4787" s="5"/>
      <c r="N4787" t="s">
        <v>35</v>
      </c>
      <c r="T4787" s="5"/>
      <c r="W4787">
        <v>203</v>
      </c>
      <c r="X4787" t="s">
        <v>72</v>
      </c>
      <c r="Y4787" t="str">
        <f>VLOOKUP(C4787,'[1]DBS_KPY Sorumlular'!A:C,2,FALSE)</f>
        <v>Kadir TOPÇU</v>
      </c>
      <c r="Z4787" t="str">
        <f>VLOOKUP(C4787,'[1]DBS_KPY Sorumlular'!A:C,3,FALSE)</f>
        <v>Erkan AKDOĞAN</v>
      </c>
      <c r="AA4787" t="str">
        <f>VLOOKUP(K4787,[1]!Tablo3[#Data],2,FALSE)</f>
        <v>Erkan AKDOĞAN</v>
      </c>
    </row>
    <row r="4788" spans="1:27" x14ac:dyDescent="0.25">
      <c r="A4788">
        <v>6196</v>
      </c>
      <c r="B4788" t="s">
        <v>1419</v>
      </c>
      <c r="C4788" t="s">
        <v>1674</v>
      </c>
      <c r="D4788" t="s">
        <v>1675</v>
      </c>
      <c r="H4788" t="s">
        <v>12526</v>
      </c>
      <c r="I4788" s="4"/>
      <c r="K4788" t="s">
        <v>152</v>
      </c>
      <c r="L4788" s="5"/>
      <c r="M4788" s="5"/>
      <c r="N4788" t="s">
        <v>35</v>
      </c>
      <c r="T4788" s="5"/>
      <c r="W4788">
        <v>128</v>
      </c>
      <c r="X4788" t="s">
        <v>39</v>
      </c>
      <c r="Y4788" t="str">
        <f>VLOOKUP(C4788,'[1]DBS_KPY Sorumlular'!A:C,2,FALSE)</f>
        <v>Kadir TOPÇU</v>
      </c>
      <c r="Z4788" t="str">
        <f>VLOOKUP(C4788,'[1]DBS_KPY Sorumlular'!A:C,3,FALSE)</f>
        <v>Erkan AKDOĞAN</v>
      </c>
      <c r="AA4788" t="str">
        <f>VLOOKUP(K4788,[1]!Tablo3[#Data],2,FALSE)</f>
        <v>Erkan AKDOĞAN</v>
      </c>
    </row>
    <row r="4789" spans="1:27" x14ac:dyDescent="0.25">
      <c r="A4789">
        <v>6197</v>
      </c>
      <c r="B4789" t="s">
        <v>1419</v>
      </c>
      <c r="C4789" t="s">
        <v>1674</v>
      </c>
      <c r="D4789" t="s">
        <v>1675</v>
      </c>
      <c r="H4789" t="s">
        <v>12527</v>
      </c>
      <c r="I4789" s="4"/>
      <c r="K4789" t="s">
        <v>152</v>
      </c>
      <c r="L4789" s="5"/>
      <c r="M4789" s="5"/>
      <c r="N4789" t="s">
        <v>35</v>
      </c>
      <c r="T4789" s="5"/>
      <c r="W4789">
        <v>28</v>
      </c>
      <c r="X4789" t="s">
        <v>667</v>
      </c>
      <c r="Y4789" t="str">
        <f>VLOOKUP(C4789,'[1]DBS_KPY Sorumlular'!A:C,2,FALSE)</f>
        <v>Kadir TOPÇU</v>
      </c>
      <c r="Z4789" t="str">
        <f>VLOOKUP(C4789,'[1]DBS_KPY Sorumlular'!A:C,3,FALSE)</f>
        <v>Erkan AKDOĞAN</v>
      </c>
      <c r="AA4789" t="str">
        <f>VLOOKUP(K4789,[1]!Tablo3[#Data],2,FALSE)</f>
        <v>Erkan AKDOĞAN</v>
      </c>
    </row>
    <row r="4790" spans="1:27" x14ac:dyDescent="0.25">
      <c r="A4790">
        <v>6198</v>
      </c>
      <c r="B4790" t="s">
        <v>1419</v>
      </c>
      <c r="C4790" t="s">
        <v>1674</v>
      </c>
      <c r="D4790" t="s">
        <v>1675</v>
      </c>
      <c r="H4790" t="s">
        <v>12528</v>
      </c>
      <c r="I4790" s="4"/>
      <c r="K4790" t="s">
        <v>152</v>
      </c>
      <c r="L4790" s="5"/>
      <c r="M4790" s="5"/>
      <c r="N4790" t="s">
        <v>35</v>
      </c>
      <c r="T4790" s="5"/>
      <c r="W4790">
        <v>203</v>
      </c>
      <c r="X4790" t="s">
        <v>72</v>
      </c>
      <c r="Y4790" t="str">
        <f>VLOOKUP(C4790,'[1]DBS_KPY Sorumlular'!A:C,2,FALSE)</f>
        <v>Kadir TOPÇU</v>
      </c>
      <c r="Z4790" t="str">
        <f>VLOOKUP(C4790,'[1]DBS_KPY Sorumlular'!A:C,3,FALSE)</f>
        <v>Erkan AKDOĞAN</v>
      </c>
      <c r="AA4790" t="str">
        <f>VLOOKUP(K4790,[1]!Tablo3[#Data],2,FALSE)</f>
        <v>Erkan AKDOĞAN</v>
      </c>
    </row>
    <row r="4791" spans="1:27" x14ac:dyDescent="0.25">
      <c r="A4791">
        <v>6199</v>
      </c>
      <c r="B4791" t="s">
        <v>1419</v>
      </c>
      <c r="C4791" t="s">
        <v>1674</v>
      </c>
      <c r="D4791" t="s">
        <v>1675</v>
      </c>
      <c r="H4791" t="s">
        <v>12529</v>
      </c>
      <c r="I4791" s="4"/>
      <c r="K4791" t="s">
        <v>181</v>
      </c>
      <c r="L4791" s="5"/>
      <c r="M4791" s="5"/>
      <c r="N4791" t="s">
        <v>35</v>
      </c>
      <c r="T4791" s="5"/>
      <c r="W4791">
        <v>203</v>
      </c>
      <c r="X4791" t="s">
        <v>72</v>
      </c>
      <c r="Y4791" t="str">
        <f>VLOOKUP(C4791,'[1]DBS_KPY Sorumlular'!A:C,2,FALSE)</f>
        <v>Kadir TOPÇU</v>
      </c>
      <c r="Z4791" t="str">
        <f>VLOOKUP(C4791,'[1]DBS_KPY Sorumlular'!A:C,3,FALSE)</f>
        <v>Erkan AKDOĞAN</v>
      </c>
      <c r="AA4791" t="str">
        <f>VLOOKUP(K4791,[1]!Tablo3[#Data],2,FALSE)</f>
        <v>Erkan AKDOĞAN</v>
      </c>
    </row>
    <row r="4792" spans="1:27" x14ac:dyDescent="0.25">
      <c r="A4792">
        <v>6200</v>
      </c>
      <c r="B4792" t="s">
        <v>1419</v>
      </c>
      <c r="C4792" t="s">
        <v>1674</v>
      </c>
      <c r="D4792" t="s">
        <v>1675</v>
      </c>
      <c r="H4792" t="s">
        <v>12530</v>
      </c>
      <c r="I4792" s="4"/>
      <c r="K4792" t="s">
        <v>181</v>
      </c>
      <c r="L4792" s="5"/>
      <c r="M4792" s="5"/>
      <c r="N4792" t="s">
        <v>35</v>
      </c>
      <c r="T4792" s="5"/>
      <c r="W4792">
        <v>206</v>
      </c>
      <c r="X4792" t="s">
        <v>311</v>
      </c>
      <c r="Y4792" t="str">
        <f>VLOOKUP(C4792,'[1]DBS_KPY Sorumlular'!A:C,2,FALSE)</f>
        <v>Kadir TOPÇU</v>
      </c>
      <c r="Z4792" t="str">
        <f>VLOOKUP(C4792,'[1]DBS_KPY Sorumlular'!A:C,3,FALSE)</f>
        <v>Erkan AKDOĞAN</v>
      </c>
      <c r="AA4792" t="str">
        <f>VLOOKUP(K4792,[1]!Tablo3[#Data],2,FALSE)</f>
        <v>Erkan AKDOĞAN</v>
      </c>
    </row>
    <row r="4793" spans="1:27" x14ac:dyDescent="0.25">
      <c r="A4793">
        <v>6201</v>
      </c>
      <c r="B4793" t="s">
        <v>1419</v>
      </c>
      <c r="C4793" t="s">
        <v>1674</v>
      </c>
      <c r="D4793" t="s">
        <v>1675</v>
      </c>
      <c r="H4793" t="s">
        <v>12531</v>
      </c>
      <c r="I4793" s="4"/>
      <c r="K4793" t="s">
        <v>181</v>
      </c>
      <c r="L4793" s="5" t="s">
        <v>12532</v>
      </c>
      <c r="M4793" s="5"/>
      <c r="N4793" t="s">
        <v>35</v>
      </c>
      <c r="T4793" s="5"/>
      <c r="W4793">
        <v>103</v>
      </c>
      <c r="X4793" t="s">
        <v>353</v>
      </c>
      <c r="Y4793" t="str">
        <f>VLOOKUP(C4793,'[1]DBS_KPY Sorumlular'!A:C,2,FALSE)</f>
        <v>Kadir TOPÇU</v>
      </c>
      <c r="Z4793" t="str">
        <f>VLOOKUP(C4793,'[1]DBS_KPY Sorumlular'!A:C,3,FALSE)</f>
        <v>Erkan AKDOĞAN</v>
      </c>
      <c r="AA4793" t="str">
        <f>VLOOKUP(K4793,[1]!Tablo3[#Data],2,FALSE)</f>
        <v>Erkan AKDOĞAN</v>
      </c>
    </row>
    <row r="4794" spans="1:27" x14ac:dyDescent="0.25">
      <c r="A4794">
        <v>6202</v>
      </c>
      <c r="B4794" t="s">
        <v>1419</v>
      </c>
      <c r="C4794" t="s">
        <v>1674</v>
      </c>
      <c r="D4794" t="s">
        <v>1675</v>
      </c>
      <c r="H4794" t="s">
        <v>12533</v>
      </c>
      <c r="I4794" s="4"/>
      <c r="K4794" t="s">
        <v>217</v>
      </c>
      <c r="L4794" s="5"/>
      <c r="M4794" s="5"/>
      <c r="N4794" t="s">
        <v>35</v>
      </c>
      <c r="T4794" s="5"/>
      <c r="W4794">
        <v>161</v>
      </c>
      <c r="X4794" t="s">
        <v>12534</v>
      </c>
      <c r="Y4794" t="str">
        <f>VLOOKUP(C4794,'[1]DBS_KPY Sorumlular'!A:C,2,FALSE)</f>
        <v>Kadir TOPÇU</v>
      </c>
      <c r="Z4794" t="str">
        <f>VLOOKUP(C4794,'[1]DBS_KPY Sorumlular'!A:C,3,FALSE)</f>
        <v>Erkan AKDOĞAN</v>
      </c>
      <c r="AA4794" t="str">
        <f>VLOOKUP(K4794,[1]!Tablo3[#Data],2,FALSE)</f>
        <v>Erkan AKDOĞAN</v>
      </c>
    </row>
    <row r="4795" spans="1:27" x14ac:dyDescent="0.25">
      <c r="A4795">
        <v>6203</v>
      </c>
      <c r="B4795" t="s">
        <v>1419</v>
      </c>
      <c r="C4795" t="s">
        <v>1674</v>
      </c>
      <c r="D4795" t="s">
        <v>1675</v>
      </c>
      <c r="H4795" t="s">
        <v>12535</v>
      </c>
      <c r="I4795" s="4"/>
      <c r="K4795" t="s">
        <v>217</v>
      </c>
      <c r="L4795" s="5"/>
      <c r="M4795" s="5"/>
      <c r="N4795" t="s">
        <v>35</v>
      </c>
      <c r="T4795" s="5"/>
      <c r="W4795">
        <v>203</v>
      </c>
      <c r="X4795" t="s">
        <v>72</v>
      </c>
      <c r="Y4795" t="str">
        <f>VLOOKUP(C4795,'[1]DBS_KPY Sorumlular'!A:C,2,FALSE)</f>
        <v>Kadir TOPÇU</v>
      </c>
      <c r="Z4795" t="str">
        <f>VLOOKUP(C4795,'[1]DBS_KPY Sorumlular'!A:C,3,FALSE)</f>
        <v>Erkan AKDOĞAN</v>
      </c>
      <c r="AA4795" t="str">
        <f>VLOOKUP(K4795,[1]!Tablo3[#Data],2,FALSE)</f>
        <v>Erkan AKDOĞAN</v>
      </c>
    </row>
    <row r="4796" spans="1:27" x14ac:dyDescent="0.25">
      <c r="A4796">
        <v>6204</v>
      </c>
      <c r="B4796" t="s">
        <v>1419</v>
      </c>
      <c r="C4796" t="s">
        <v>1674</v>
      </c>
      <c r="D4796" t="s">
        <v>1675</v>
      </c>
      <c r="H4796" t="s">
        <v>12536</v>
      </c>
      <c r="I4796" s="4"/>
      <c r="K4796" t="s">
        <v>217</v>
      </c>
      <c r="L4796" s="5"/>
      <c r="M4796" s="5"/>
      <c r="N4796" t="s">
        <v>35</v>
      </c>
      <c r="T4796" s="5"/>
      <c r="W4796">
        <v>28</v>
      </c>
      <c r="X4796" t="s">
        <v>667</v>
      </c>
      <c r="Y4796" t="str">
        <f>VLOOKUP(C4796,'[1]DBS_KPY Sorumlular'!A:C,2,FALSE)</f>
        <v>Kadir TOPÇU</v>
      </c>
      <c r="Z4796" t="str">
        <f>VLOOKUP(C4796,'[1]DBS_KPY Sorumlular'!A:C,3,FALSE)</f>
        <v>Erkan AKDOĞAN</v>
      </c>
      <c r="AA4796" t="str">
        <f>VLOOKUP(K4796,[1]!Tablo3[#Data],2,FALSE)</f>
        <v>Erkan AKDOĞAN</v>
      </c>
    </row>
    <row r="4797" spans="1:27" x14ac:dyDescent="0.25">
      <c r="A4797">
        <v>6205</v>
      </c>
      <c r="B4797" t="s">
        <v>1419</v>
      </c>
      <c r="C4797" t="s">
        <v>1674</v>
      </c>
      <c r="D4797" t="s">
        <v>1675</v>
      </c>
      <c r="H4797" t="s">
        <v>12537</v>
      </c>
      <c r="I4797" s="4"/>
      <c r="K4797" t="s">
        <v>217</v>
      </c>
      <c r="L4797" s="5"/>
      <c r="M4797" s="5"/>
      <c r="N4797" t="s">
        <v>35</v>
      </c>
      <c r="T4797" s="5"/>
      <c r="W4797">
        <v>206</v>
      </c>
      <c r="X4797" t="s">
        <v>311</v>
      </c>
      <c r="Y4797" t="str">
        <f>VLOOKUP(C4797,'[1]DBS_KPY Sorumlular'!A:C,2,FALSE)</f>
        <v>Kadir TOPÇU</v>
      </c>
      <c r="Z4797" t="str">
        <f>VLOOKUP(C4797,'[1]DBS_KPY Sorumlular'!A:C,3,FALSE)</f>
        <v>Erkan AKDOĞAN</v>
      </c>
      <c r="AA4797" t="str">
        <f>VLOOKUP(K4797,[1]!Tablo3[#Data],2,FALSE)</f>
        <v>Erkan AKDOĞAN</v>
      </c>
    </row>
    <row r="4798" spans="1:27" x14ac:dyDescent="0.25">
      <c r="A4798">
        <v>6206</v>
      </c>
      <c r="B4798" t="s">
        <v>1419</v>
      </c>
      <c r="C4798" t="s">
        <v>1674</v>
      </c>
      <c r="D4798" t="s">
        <v>1675</v>
      </c>
      <c r="H4798" t="s">
        <v>12538</v>
      </c>
      <c r="I4798" s="4"/>
      <c r="K4798" t="s">
        <v>217</v>
      </c>
      <c r="L4798" s="5"/>
      <c r="M4798" s="5"/>
      <c r="N4798" t="s">
        <v>35</v>
      </c>
      <c r="T4798" s="5"/>
      <c r="W4798">
        <v>208</v>
      </c>
      <c r="X4798" t="s">
        <v>594</v>
      </c>
      <c r="Y4798" t="str">
        <f>VLOOKUP(C4798,'[1]DBS_KPY Sorumlular'!A:C,2,FALSE)</f>
        <v>Kadir TOPÇU</v>
      </c>
      <c r="Z4798" t="str">
        <f>VLOOKUP(C4798,'[1]DBS_KPY Sorumlular'!A:C,3,FALSE)</f>
        <v>Erkan AKDOĞAN</v>
      </c>
      <c r="AA4798" t="str">
        <f>VLOOKUP(K4798,[1]!Tablo3[#Data],2,FALSE)</f>
        <v>Erkan AKDOĞAN</v>
      </c>
    </row>
    <row r="4799" spans="1:27" x14ac:dyDescent="0.25">
      <c r="A4799">
        <v>6207</v>
      </c>
      <c r="B4799" t="s">
        <v>1419</v>
      </c>
      <c r="C4799" t="s">
        <v>1674</v>
      </c>
      <c r="D4799" t="s">
        <v>1675</v>
      </c>
      <c r="H4799" t="s">
        <v>12539</v>
      </c>
      <c r="I4799" s="4"/>
      <c r="K4799" t="s">
        <v>217</v>
      </c>
      <c r="L4799" s="5"/>
      <c r="M4799" s="5"/>
      <c r="N4799" t="s">
        <v>35</v>
      </c>
      <c r="T4799" s="5"/>
      <c r="W4799">
        <v>104</v>
      </c>
      <c r="X4799" t="s">
        <v>703</v>
      </c>
      <c r="Y4799" t="str">
        <f>VLOOKUP(C4799,'[1]DBS_KPY Sorumlular'!A:C,2,FALSE)</f>
        <v>Kadir TOPÇU</v>
      </c>
      <c r="Z4799" t="str">
        <f>VLOOKUP(C4799,'[1]DBS_KPY Sorumlular'!A:C,3,FALSE)</f>
        <v>Erkan AKDOĞAN</v>
      </c>
      <c r="AA4799" t="str">
        <f>VLOOKUP(K4799,[1]!Tablo3[#Data],2,FALSE)</f>
        <v>Erkan AKDOĞAN</v>
      </c>
    </row>
    <row r="4800" spans="1:27" x14ac:dyDescent="0.25">
      <c r="A4800">
        <v>6208</v>
      </c>
      <c r="B4800" t="s">
        <v>1419</v>
      </c>
      <c r="C4800" t="s">
        <v>1674</v>
      </c>
      <c r="D4800" t="s">
        <v>1675</v>
      </c>
      <c r="H4800" t="s">
        <v>12540</v>
      </c>
      <c r="I4800" s="4"/>
      <c r="K4800" t="s">
        <v>309</v>
      </c>
      <c r="L4800" s="5"/>
      <c r="M4800" s="5"/>
      <c r="N4800" t="s">
        <v>35</v>
      </c>
      <c r="T4800" s="5"/>
      <c r="W4800">
        <v>203</v>
      </c>
      <c r="X4800" t="s">
        <v>72</v>
      </c>
      <c r="Y4800" t="str">
        <f>VLOOKUP(C4800,'[1]DBS_KPY Sorumlular'!A:C,2,FALSE)</f>
        <v>Kadir TOPÇU</v>
      </c>
      <c r="Z4800" t="str">
        <f>VLOOKUP(C4800,'[1]DBS_KPY Sorumlular'!A:C,3,FALSE)</f>
        <v>Erkan AKDOĞAN</v>
      </c>
      <c r="AA4800" t="str">
        <f>VLOOKUP(K4800,[1]!Tablo3[#Data],2,FALSE)</f>
        <v>Erkan AKDOĞAN</v>
      </c>
    </row>
    <row r="4801" spans="1:27" x14ac:dyDescent="0.25">
      <c r="A4801">
        <v>6209</v>
      </c>
      <c r="B4801" t="s">
        <v>1419</v>
      </c>
      <c r="C4801" t="s">
        <v>1674</v>
      </c>
      <c r="D4801" t="s">
        <v>1675</v>
      </c>
      <c r="H4801" t="s">
        <v>12541</v>
      </c>
      <c r="I4801" s="4"/>
      <c r="K4801" t="s">
        <v>309</v>
      </c>
      <c r="L4801" s="5"/>
      <c r="M4801" s="5"/>
      <c r="N4801" t="s">
        <v>35</v>
      </c>
      <c r="T4801" s="5"/>
      <c r="W4801">
        <v>203</v>
      </c>
      <c r="X4801" t="s">
        <v>72</v>
      </c>
      <c r="Y4801" t="str">
        <f>VLOOKUP(C4801,'[1]DBS_KPY Sorumlular'!A:C,2,FALSE)</f>
        <v>Kadir TOPÇU</v>
      </c>
      <c r="Z4801" t="str">
        <f>VLOOKUP(C4801,'[1]DBS_KPY Sorumlular'!A:C,3,FALSE)</f>
        <v>Erkan AKDOĞAN</v>
      </c>
      <c r="AA4801" t="str">
        <f>VLOOKUP(K4801,[1]!Tablo3[#Data],2,FALSE)</f>
        <v>Erkan AKDOĞAN</v>
      </c>
    </row>
    <row r="4802" spans="1:27" x14ac:dyDescent="0.25">
      <c r="A4802">
        <v>6210</v>
      </c>
      <c r="B4802" t="s">
        <v>1419</v>
      </c>
      <c r="C4802" t="s">
        <v>1674</v>
      </c>
      <c r="D4802" t="s">
        <v>1675</v>
      </c>
      <c r="H4802" t="s">
        <v>12542</v>
      </c>
      <c r="I4802" s="4"/>
      <c r="K4802" t="s">
        <v>309</v>
      </c>
      <c r="L4802" s="5"/>
      <c r="M4802" s="5"/>
      <c r="N4802" t="s">
        <v>35</v>
      </c>
      <c r="T4802" s="5"/>
      <c r="W4802">
        <v>203</v>
      </c>
      <c r="X4802" t="s">
        <v>72</v>
      </c>
      <c r="Y4802" t="str">
        <f>VLOOKUP(C4802,'[1]DBS_KPY Sorumlular'!A:C,2,FALSE)</f>
        <v>Kadir TOPÇU</v>
      </c>
      <c r="Z4802" t="str">
        <f>VLOOKUP(C4802,'[1]DBS_KPY Sorumlular'!A:C,3,FALSE)</f>
        <v>Erkan AKDOĞAN</v>
      </c>
      <c r="AA4802" t="str">
        <f>VLOOKUP(K4802,[1]!Tablo3[#Data],2,FALSE)</f>
        <v>Erkan AKDOĞAN</v>
      </c>
    </row>
    <row r="4803" spans="1:27" x14ac:dyDescent="0.25">
      <c r="A4803">
        <v>6211</v>
      </c>
      <c r="B4803" t="s">
        <v>1419</v>
      </c>
      <c r="C4803" t="s">
        <v>1674</v>
      </c>
      <c r="D4803" t="s">
        <v>1675</v>
      </c>
      <c r="H4803" t="s">
        <v>12543</v>
      </c>
      <c r="I4803" s="4"/>
      <c r="K4803" t="s">
        <v>309</v>
      </c>
      <c r="L4803" s="5"/>
      <c r="M4803" s="5"/>
      <c r="N4803" t="s">
        <v>35</v>
      </c>
      <c r="T4803" s="5"/>
      <c r="W4803">
        <v>139</v>
      </c>
      <c r="X4803" t="s">
        <v>536</v>
      </c>
      <c r="Y4803" t="str">
        <f>VLOOKUP(C4803,'[1]DBS_KPY Sorumlular'!A:C,2,FALSE)</f>
        <v>Kadir TOPÇU</v>
      </c>
      <c r="Z4803" t="str">
        <f>VLOOKUP(C4803,'[1]DBS_KPY Sorumlular'!A:C,3,FALSE)</f>
        <v>Erkan AKDOĞAN</v>
      </c>
      <c r="AA4803" t="str">
        <f>VLOOKUP(K4803,[1]!Tablo3[#Data],2,FALSE)</f>
        <v>Erkan AKDOĞAN</v>
      </c>
    </row>
    <row r="4804" spans="1:27" x14ac:dyDescent="0.25">
      <c r="A4804">
        <v>6212</v>
      </c>
      <c r="B4804" t="s">
        <v>1419</v>
      </c>
      <c r="C4804" t="s">
        <v>1674</v>
      </c>
      <c r="D4804" t="s">
        <v>1675</v>
      </c>
      <c r="H4804" t="s">
        <v>12544</v>
      </c>
      <c r="I4804" s="4"/>
      <c r="K4804" t="s">
        <v>309</v>
      </c>
      <c r="L4804" s="5"/>
      <c r="M4804" s="5"/>
      <c r="N4804" t="s">
        <v>35</v>
      </c>
      <c r="T4804" s="5"/>
      <c r="W4804">
        <v>28</v>
      </c>
      <c r="X4804" t="s">
        <v>667</v>
      </c>
      <c r="Y4804" t="str">
        <f>VLOOKUP(C4804,'[1]DBS_KPY Sorumlular'!A:C,2,FALSE)</f>
        <v>Kadir TOPÇU</v>
      </c>
      <c r="Z4804" t="str">
        <f>VLOOKUP(C4804,'[1]DBS_KPY Sorumlular'!A:C,3,FALSE)</f>
        <v>Erkan AKDOĞAN</v>
      </c>
      <c r="AA4804" t="str">
        <f>VLOOKUP(K4804,[1]!Tablo3[#Data],2,FALSE)</f>
        <v>Erkan AKDOĞAN</v>
      </c>
    </row>
    <row r="4805" spans="1:27" x14ac:dyDescent="0.25">
      <c r="A4805">
        <v>6213</v>
      </c>
      <c r="B4805" t="s">
        <v>1419</v>
      </c>
      <c r="C4805" t="s">
        <v>1674</v>
      </c>
      <c r="D4805" t="s">
        <v>1675</v>
      </c>
      <c r="H4805" t="s">
        <v>12545</v>
      </c>
      <c r="I4805" s="4"/>
      <c r="K4805" t="s">
        <v>309</v>
      </c>
      <c r="L4805" s="5"/>
      <c r="M4805" s="5"/>
      <c r="N4805" t="s">
        <v>35</v>
      </c>
      <c r="T4805" s="5"/>
      <c r="W4805">
        <v>208</v>
      </c>
      <c r="X4805" t="s">
        <v>594</v>
      </c>
      <c r="Y4805" t="str">
        <f>VLOOKUP(C4805,'[1]DBS_KPY Sorumlular'!A:C,2,FALSE)</f>
        <v>Kadir TOPÇU</v>
      </c>
      <c r="Z4805" t="str">
        <f>VLOOKUP(C4805,'[1]DBS_KPY Sorumlular'!A:C,3,FALSE)</f>
        <v>Erkan AKDOĞAN</v>
      </c>
      <c r="AA4805" t="str">
        <f>VLOOKUP(K4805,[1]!Tablo3[#Data],2,FALSE)</f>
        <v>Erkan AKDOĞAN</v>
      </c>
    </row>
    <row r="4806" spans="1:27" x14ac:dyDescent="0.25">
      <c r="A4806">
        <v>6214</v>
      </c>
      <c r="B4806" t="s">
        <v>1419</v>
      </c>
      <c r="C4806" t="s">
        <v>1674</v>
      </c>
      <c r="D4806" t="s">
        <v>1675</v>
      </c>
      <c r="H4806" t="s">
        <v>12546</v>
      </c>
      <c r="I4806" s="4"/>
      <c r="K4806" t="s">
        <v>309</v>
      </c>
      <c r="L4806" s="5"/>
      <c r="M4806" s="5"/>
      <c r="N4806" t="s">
        <v>35</v>
      </c>
      <c r="T4806" s="5"/>
      <c r="W4806">
        <v>208</v>
      </c>
      <c r="X4806" t="s">
        <v>594</v>
      </c>
      <c r="Y4806" t="str">
        <f>VLOOKUP(C4806,'[1]DBS_KPY Sorumlular'!A:C,2,FALSE)</f>
        <v>Kadir TOPÇU</v>
      </c>
      <c r="Z4806" t="str">
        <f>VLOOKUP(C4806,'[1]DBS_KPY Sorumlular'!A:C,3,FALSE)</f>
        <v>Erkan AKDOĞAN</v>
      </c>
      <c r="AA4806" t="str">
        <f>VLOOKUP(K4806,[1]!Tablo3[#Data],2,FALSE)</f>
        <v>Erkan AKDOĞAN</v>
      </c>
    </row>
    <row r="4807" spans="1:27" x14ac:dyDescent="0.25">
      <c r="A4807">
        <v>6215</v>
      </c>
      <c r="B4807" t="s">
        <v>1419</v>
      </c>
      <c r="C4807" t="s">
        <v>1674</v>
      </c>
      <c r="D4807" t="s">
        <v>1675</v>
      </c>
      <c r="H4807" t="s">
        <v>12547</v>
      </c>
      <c r="I4807" s="4"/>
      <c r="K4807" t="s">
        <v>309</v>
      </c>
      <c r="L4807" s="5"/>
      <c r="M4807" s="5"/>
      <c r="N4807" t="s">
        <v>35</v>
      </c>
      <c r="T4807" s="5"/>
      <c r="W4807">
        <v>207</v>
      </c>
      <c r="X4807" t="s">
        <v>472</v>
      </c>
      <c r="Y4807" t="str">
        <f>VLOOKUP(C4807,'[1]DBS_KPY Sorumlular'!A:C,2,FALSE)</f>
        <v>Kadir TOPÇU</v>
      </c>
      <c r="Z4807" t="str">
        <f>VLOOKUP(C4807,'[1]DBS_KPY Sorumlular'!A:C,3,FALSE)</f>
        <v>Erkan AKDOĞAN</v>
      </c>
      <c r="AA4807" t="str">
        <f>VLOOKUP(K4807,[1]!Tablo3[#Data],2,FALSE)</f>
        <v>Erkan AKDOĞAN</v>
      </c>
    </row>
    <row r="4808" spans="1:27" x14ac:dyDescent="0.25">
      <c r="A4808">
        <v>6216</v>
      </c>
      <c r="B4808" t="s">
        <v>1419</v>
      </c>
      <c r="C4808" t="s">
        <v>1674</v>
      </c>
      <c r="D4808" t="s">
        <v>1675</v>
      </c>
      <c r="H4808" t="s">
        <v>12548</v>
      </c>
      <c r="I4808" s="4"/>
      <c r="K4808" t="s">
        <v>325</v>
      </c>
      <c r="L4808" s="5"/>
      <c r="M4808" s="5"/>
      <c r="N4808" t="s">
        <v>35</v>
      </c>
      <c r="T4808" s="5"/>
      <c r="W4808">
        <v>203</v>
      </c>
      <c r="X4808" t="s">
        <v>72</v>
      </c>
      <c r="Y4808" t="str">
        <f>VLOOKUP(C4808,'[1]DBS_KPY Sorumlular'!A:C,2,FALSE)</f>
        <v>Kadir TOPÇU</v>
      </c>
      <c r="Z4808" t="str">
        <f>VLOOKUP(C4808,'[1]DBS_KPY Sorumlular'!A:C,3,FALSE)</f>
        <v>Erkan AKDOĞAN</v>
      </c>
      <c r="AA4808" t="str">
        <f>VLOOKUP(K4808,[1]!Tablo3[#Data],2,FALSE)</f>
        <v>Kadir TOPÇU</v>
      </c>
    </row>
    <row r="4809" spans="1:27" x14ac:dyDescent="0.25">
      <c r="A4809">
        <v>6217</v>
      </c>
      <c r="B4809" t="s">
        <v>1419</v>
      </c>
      <c r="C4809" t="s">
        <v>1674</v>
      </c>
      <c r="D4809" t="s">
        <v>1675</v>
      </c>
      <c r="H4809" t="s">
        <v>12549</v>
      </c>
      <c r="I4809" s="4"/>
      <c r="K4809" t="s">
        <v>325</v>
      </c>
      <c r="L4809" s="5"/>
      <c r="M4809" s="5"/>
      <c r="N4809" t="s">
        <v>35</v>
      </c>
      <c r="T4809" s="5"/>
      <c r="W4809">
        <v>79</v>
      </c>
      <c r="X4809" t="s">
        <v>1619</v>
      </c>
      <c r="Y4809" t="str">
        <f>VLOOKUP(C4809,'[1]DBS_KPY Sorumlular'!A:C,2,FALSE)</f>
        <v>Kadir TOPÇU</v>
      </c>
      <c r="Z4809" t="str">
        <f>VLOOKUP(C4809,'[1]DBS_KPY Sorumlular'!A:C,3,FALSE)</f>
        <v>Erkan AKDOĞAN</v>
      </c>
      <c r="AA4809" t="str">
        <f>VLOOKUP(K4809,[1]!Tablo3[#Data],2,FALSE)</f>
        <v>Kadir TOPÇU</v>
      </c>
    </row>
    <row r="4810" spans="1:27" x14ac:dyDescent="0.25">
      <c r="A4810">
        <v>6218</v>
      </c>
      <c r="B4810" t="s">
        <v>1419</v>
      </c>
      <c r="C4810" t="s">
        <v>1674</v>
      </c>
      <c r="D4810" t="s">
        <v>1675</v>
      </c>
      <c r="H4810" t="s">
        <v>12550</v>
      </c>
      <c r="I4810" s="4"/>
      <c r="K4810" t="s">
        <v>325</v>
      </c>
      <c r="L4810" s="5"/>
      <c r="M4810" s="5"/>
      <c r="N4810" t="s">
        <v>35</v>
      </c>
      <c r="T4810" s="5"/>
      <c r="W4810">
        <v>79</v>
      </c>
      <c r="X4810" t="s">
        <v>1619</v>
      </c>
      <c r="Y4810" t="str">
        <f>VLOOKUP(C4810,'[1]DBS_KPY Sorumlular'!A:C,2,FALSE)</f>
        <v>Kadir TOPÇU</v>
      </c>
      <c r="Z4810" t="str">
        <f>VLOOKUP(C4810,'[1]DBS_KPY Sorumlular'!A:C,3,FALSE)</f>
        <v>Erkan AKDOĞAN</v>
      </c>
      <c r="AA4810" t="str">
        <f>VLOOKUP(K4810,[1]!Tablo3[#Data],2,FALSE)</f>
        <v>Kadir TOPÇU</v>
      </c>
    </row>
    <row r="4811" spans="1:27" x14ac:dyDescent="0.25">
      <c r="A4811">
        <v>6219</v>
      </c>
      <c r="B4811" t="s">
        <v>1419</v>
      </c>
      <c r="C4811" t="s">
        <v>1674</v>
      </c>
      <c r="D4811" t="s">
        <v>1675</v>
      </c>
      <c r="H4811" t="s">
        <v>12551</v>
      </c>
      <c r="I4811" s="4"/>
      <c r="K4811" t="s">
        <v>435</v>
      </c>
      <c r="L4811" s="5"/>
      <c r="M4811" s="5"/>
      <c r="N4811" t="s">
        <v>35</v>
      </c>
      <c r="T4811" s="5"/>
      <c r="W4811">
        <v>103</v>
      </c>
      <c r="X4811" t="s">
        <v>353</v>
      </c>
      <c r="Y4811" t="str">
        <f>VLOOKUP(C4811,'[1]DBS_KPY Sorumlular'!A:C,2,FALSE)</f>
        <v>Kadir TOPÇU</v>
      </c>
      <c r="Z4811" t="str">
        <f>VLOOKUP(C4811,'[1]DBS_KPY Sorumlular'!A:C,3,FALSE)</f>
        <v>Erkan AKDOĞAN</v>
      </c>
      <c r="AA4811" t="str">
        <f>VLOOKUP(K4811,[1]!Tablo3[#Data],2,FALSE)</f>
        <v>Tayfun VİÇE</v>
      </c>
    </row>
    <row r="4812" spans="1:27" x14ac:dyDescent="0.25">
      <c r="A4812">
        <v>6220</v>
      </c>
      <c r="B4812" t="s">
        <v>1419</v>
      </c>
      <c r="C4812" t="s">
        <v>1674</v>
      </c>
      <c r="D4812" t="s">
        <v>1675</v>
      </c>
      <c r="H4812" t="s">
        <v>12552</v>
      </c>
      <c r="I4812" s="4"/>
      <c r="K4812" t="s">
        <v>459</v>
      </c>
      <c r="L4812" s="5"/>
      <c r="M4812" s="5"/>
      <c r="N4812" t="s">
        <v>35</v>
      </c>
      <c r="T4812" s="5"/>
      <c r="W4812">
        <v>203</v>
      </c>
      <c r="X4812" t="s">
        <v>72</v>
      </c>
      <c r="Y4812" t="str">
        <f>VLOOKUP(C4812,'[1]DBS_KPY Sorumlular'!A:C,2,FALSE)</f>
        <v>Kadir TOPÇU</v>
      </c>
      <c r="Z4812" t="str">
        <f>VLOOKUP(C4812,'[1]DBS_KPY Sorumlular'!A:C,3,FALSE)</f>
        <v>Erkan AKDOĞAN</v>
      </c>
      <c r="AA4812" t="str">
        <f>VLOOKUP(K4812,[1]!Tablo3[#Data],2,FALSE)</f>
        <v>Erkan AKDOĞAN</v>
      </c>
    </row>
    <row r="4813" spans="1:27" x14ac:dyDescent="0.25">
      <c r="A4813">
        <v>6221</v>
      </c>
      <c r="B4813" t="s">
        <v>1419</v>
      </c>
      <c r="C4813" t="s">
        <v>1674</v>
      </c>
      <c r="D4813" t="s">
        <v>1675</v>
      </c>
      <c r="H4813" t="s">
        <v>12553</v>
      </c>
      <c r="I4813" s="4"/>
      <c r="K4813" t="s">
        <v>226</v>
      </c>
      <c r="L4813" s="5"/>
      <c r="M4813" s="5"/>
      <c r="N4813" t="s">
        <v>35</v>
      </c>
      <c r="T4813" s="5"/>
      <c r="W4813">
        <v>203</v>
      </c>
      <c r="X4813" t="s">
        <v>72</v>
      </c>
      <c r="Y4813" t="str">
        <f>VLOOKUP(C4813,'[1]DBS_KPY Sorumlular'!A:C,2,FALSE)</f>
        <v>Kadir TOPÇU</v>
      </c>
      <c r="Z4813" t="str">
        <f>VLOOKUP(C4813,'[1]DBS_KPY Sorumlular'!A:C,3,FALSE)</f>
        <v>Erkan AKDOĞAN</v>
      </c>
      <c r="AA4813" t="str">
        <f>VLOOKUP(K4813,[1]!Tablo3[#Data],2,FALSE)</f>
        <v>Kadir TOPÇU</v>
      </c>
    </row>
    <row r="4814" spans="1:27" x14ac:dyDescent="0.25">
      <c r="A4814">
        <v>6222</v>
      </c>
      <c r="B4814" t="s">
        <v>1419</v>
      </c>
      <c r="C4814" t="s">
        <v>1674</v>
      </c>
      <c r="D4814" t="s">
        <v>1675</v>
      </c>
      <c r="H4814" t="s">
        <v>12554</v>
      </c>
      <c r="I4814" s="4"/>
      <c r="K4814" t="s">
        <v>534</v>
      </c>
      <c r="L4814" s="5"/>
      <c r="M4814" s="5"/>
      <c r="N4814" t="s">
        <v>35</v>
      </c>
      <c r="T4814" s="5"/>
      <c r="W4814">
        <v>203</v>
      </c>
      <c r="X4814" t="s">
        <v>72</v>
      </c>
      <c r="Y4814" t="str">
        <f>VLOOKUP(C4814,'[1]DBS_KPY Sorumlular'!A:C,2,FALSE)</f>
        <v>Kadir TOPÇU</v>
      </c>
      <c r="Z4814" t="str">
        <f>VLOOKUP(C4814,'[1]DBS_KPY Sorumlular'!A:C,3,FALSE)</f>
        <v>Erkan AKDOĞAN</v>
      </c>
      <c r="AA4814" t="str">
        <f>VLOOKUP(K4814,[1]!Tablo3[#Data],2,FALSE)</f>
        <v>Erkan AKDOĞAN</v>
      </c>
    </row>
    <row r="4815" spans="1:27" x14ac:dyDescent="0.25">
      <c r="A4815">
        <v>6223</v>
      </c>
      <c r="B4815" t="s">
        <v>1419</v>
      </c>
      <c r="C4815" t="s">
        <v>1674</v>
      </c>
      <c r="D4815" t="s">
        <v>1675</v>
      </c>
      <c r="H4815" t="s">
        <v>12555</v>
      </c>
      <c r="I4815" s="4"/>
      <c r="K4815" t="s">
        <v>534</v>
      </c>
      <c r="L4815" s="5"/>
      <c r="M4815" s="5"/>
      <c r="N4815" t="s">
        <v>35</v>
      </c>
      <c r="T4815" s="5"/>
      <c r="W4815">
        <v>79</v>
      </c>
      <c r="X4815" t="s">
        <v>1619</v>
      </c>
      <c r="Y4815" t="str">
        <f>VLOOKUP(C4815,'[1]DBS_KPY Sorumlular'!A:C,2,FALSE)</f>
        <v>Kadir TOPÇU</v>
      </c>
      <c r="Z4815" t="str">
        <f>VLOOKUP(C4815,'[1]DBS_KPY Sorumlular'!A:C,3,FALSE)</f>
        <v>Erkan AKDOĞAN</v>
      </c>
      <c r="AA4815" t="str">
        <f>VLOOKUP(K4815,[1]!Tablo3[#Data],2,FALSE)</f>
        <v>Erkan AKDOĞAN</v>
      </c>
    </row>
    <row r="4816" spans="1:27" x14ac:dyDescent="0.25">
      <c r="A4816">
        <v>6224</v>
      </c>
      <c r="B4816" t="s">
        <v>1419</v>
      </c>
      <c r="C4816" t="s">
        <v>1674</v>
      </c>
      <c r="D4816" t="s">
        <v>1675</v>
      </c>
      <c r="H4816" t="s">
        <v>12556</v>
      </c>
      <c r="I4816" s="4"/>
      <c r="K4816" t="s">
        <v>534</v>
      </c>
      <c r="L4816" s="5"/>
      <c r="M4816" s="5"/>
      <c r="N4816" t="s">
        <v>35</v>
      </c>
      <c r="T4816" s="5"/>
      <c r="W4816">
        <v>203</v>
      </c>
      <c r="X4816" t="s">
        <v>72</v>
      </c>
      <c r="Y4816" t="str">
        <f>VLOOKUP(C4816,'[1]DBS_KPY Sorumlular'!A:C,2,FALSE)</f>
        <v>Kadir TOPÇU</v>
      </c>
      <c r="Z4816" t="str">
        <f>VLOOKUP(C4816,'[1]DBS_KPY Sorumlular'!A:C,3,FALSE)</f>
        <v>Erkan AKDOĞAN</v>
      </c>
      <c r="AA4816" t="str">
        <f>VLOOKUP(K4816,[1]!Tablo3[#Data],2,FALSE)</f>
        <v>Erkan AKDOĞAN</v>
      </c>
    </row>
    <row r="4817" spans="1:27" x14ac:dyDescent="0.25">
      <c r="A4817">
        <v>6225</v>
      </c>
      <c r="B4817" t="s">
        <v>1419</v>
      </c>
      <c r="C4817" t="s">
        <v>1674</v>
      </c>
      <c r="D4817" t="s">
        <v>1675</v>
      </c>
      <c r="H4817" t="s">
        <v>12557</v>
      </c>
      <c r="I4817" s="4"/>
      <c r="K4817" t="s">
        <v>534</v>
      </c>
      <c r="L4817" s="5"/>
      <c r="M4817" s="5"/>
      <c r="N4817" t="s">
        <v>35</v>
      </c>
      <c r="T4817" s="5"/>
      <c r="W4817">
        <v>208</v>
      </c>
      <c r="X4817" t="s">
        <v>594</v>
      </c>
      <c r="Y4817" t="str">
        <f>VLOOKUP(C4817,'[1]DBS_KPY Sorumlular'!A:C,2,FALSE)</f>
        <v>Kadir TOPÇU</v>
      </c>
      <c r="Z4817" t="str">
        <f>VLOOKUP(C4817,'[1]DBS_KPY Sorumlular'!A:C,3,FALSE)</f>
        <v>Erkan AKDOĞAN</v>
      </c>
      <c r="AA4817" t="str">
        <f>VLOOKUP(K4817,[1]!Tablo3[#Data],2,FALSE)</f>
        <v>Erkan AKDOĞAN</v>
      </c>
    </row>
    <row r="4818" spans="1:27" x14ac:dyDescent="0.25">
      <c r="A4818">
        <v>6226</v>
      </c>
      <c r="B4818" t="s">
        <v>1419</v>
      </c>
      <c r="C4818" t="s">
        <v>1674</v>
      </c>
      <c r="D4818" t="s">
        <v>1675</v>
      </c>
      <c r="H4818" t="s">
        <v>12558</v>
      </c>
      <c r="I4818" s="4"/>
      <c r="K4818" t="s">
        <v>568</v>
      </c>
      <c r="L4818" s="5"/>
      <c r="M4818" s="5"/>
      <c r="N4818" t="s">
        <v>35</v>
      </c>
      <c r="T4818" s="5"/>
      <c r="W4818">
        <v>104</v>
      </c>
      <c r="X4818" t="s">
        <v>703</v>
      </c>
      <c r="Y4818" t="str">
        <f>VLOOKUP(C4818,'[1]DBS_KPY Sorumlular'!A:C,2,FALSE)</f>
        <v>Kadir TOPÇU</v>
      </c>
      <c r="Z4818" t="str">
        <f>VLOOKUP(C4818,'[1]DBS_KPY Sorumlular'!A:C,3,FALSE)</f>
        <v>Erkan AKDOĞAN</v>
      </c>
      <c r="AA4818" t="str">
        <f>VLOOKUP(K4818,[1]!Tablo3[#Data],2,FALSE)</f>
        <v>Erkan AKDOĞAN</v>
      </c>
    </row>
    <row r="4819" spans="1:27" x14ac:dyDescent="0.25">
      <c r="A4819">
        <v>6227</v>
      </c>
      <c r="B4819" t="s">
        <v>1419</v>
      </c>
      <c r="C4819" t="s">
        <v>1674</v>
      </c>
      <c r="D4819" t="s">
        <v>1675</v>
      </c>
      <c r="H4819" t="s">
        <v>12559</v>
      </c>
      <c r="I4819" s="4"/>
      <c r="K4819" t="s">
        <v>586</v>
      </c>
      <c r="L4819" s="5"/>
      <c r="M4819" s="5"/>
      <c r="N4819" t="s">
        <v>35</v>
      </c>
      <c r="T4819" s="5"/>
      <c r="W4819">
        <v>203</v>
      </c>
      <c r="X4819" t="s">
        <v>72</v>
      </c>
      <c r="Y4819" t="str">
        <f>VLOOKUP(C4819,'[1]DBS_KPY Sorumlular'!A:C,2,FALSE)</f>
        <v>Kadir TOPÇU</v>
      </c>
      <c r="Z4819" t="str">
        <f>VLOOKUP(C4819,'[1]DBS_KPY Sorumlular'!A:C,3,FALSE)</f>
        <v>Erkan AKDOĞAN</v>
      </c>
      <c r="AA4819" t="str">
        <f>VLOOKUP(K4819,[1]!Tablo3[#Data],2,FALSE)</f>
        <v>Tayfun VİÇE</v>
      </c>
    </row>
    <row r="4820" spans="1:27" x14ac:dyDescent="0.25">
      <c r="A4820">
        <v>6228</v>
      </c>
      <c r="B4820" t="s">
        <v>1419</v>
      </c>
      <c r="C4820" t="s">
        <v>1674</v>
      </c>
      <c r="D4820" t="s">
        <v>1675</v>
      </c>
      <c r="H4820" t="s">
        <v>12560</v>
      </c>
      <c r="I4820" s="4"/>
      <c r="K4820" t="s">
        <v>636</v>
      </c>
      <c r="L4820" s="5"/>
      <c r="M4820" s="5"/>
      <c r="N4820" t="s">
        <v>35</v>
      </c>
      <c r="T4820" s="5"/>
      <c r="W4820">
        <v>203</v>
      </c>
      <c r="X4820" t="s">
        <v>72</v>
      </c>
      <c r="Y4820" t="str">
        <f>VLOOKUP(C4820,'[1]DBS_KPY Sorumlular'!A:C,2,FALSE)</f>
        <v>Kadir TOPÇU</v>
      </c>
      <c r="Z4820" t="str">
        <f>VLOOKUP(C4820,'[1]DBS_KPY Sorumlular'!A:C,3,FALSE)</f>
        <v>Erkan AKDOĞAN</v>
      </c>
      <c r="AA4820" t="str">
        <f>VLOOKUP(K4820,[1]!Tablo3[#Data],2,FALSE)</f>
        <v>Erkan AKDOĞAN</v>
      </c>
    </row>
    <row r="4821" spans="1:27" x14ac:dyDescent="0.25">
      <c r="A4821">
        <v>6229</v>
      </c>
      <c r="B4821" t="s">
        <v>1419</v>
      </c>
      <c r="C4821" t="s">
        <v>1674</v>
      </c>
      <c r="D4821" t="s">
        <v>1675</v>
      </c>
      <c r="H4821" t="s">
        <v>12561</v>
      </c>
      <c r="I4821" s="4"/>
      <c r="K4821" t="s">
        <v>636</v>
      </c>
      <c r="L4821" s="5"/>
      <c r="M4821" s="5"/>
      <c r="N4821" t="s">
        <v>35</v>
      </c>
      <c r="T4821" s="5"/>
      <c r="W4821">
        <v>128</v>
      </c>
      <c r="X4821" t="s">
        <v>39</v>
      </c>
      <c r="Y4821" t="str">
        <f>VLOOKUP(C4821,'[1]DBS_KPY Sorumlular'!A:C,2,FALSE)</f>
        <v>Kadir TOPÇU</v>
      </c>
      <c r="Z4821" t="str">
        <f>VLOOKUP(C4821,'[1]DBS_KPY Sorumlular'!A:C,3,FALSE)</f>
        <v>Erkan AKDOĞAN</v>
      </c>
      <c r="AA4821" t="str">
        <f>VLOOKUP(K4821,[1]!Tablo3[#Data],2,FALSE)</f>
        <v>Erkan AKDOĞAN</v>
      </c>
    </row>
    <row r="4822" spans="1:27" x14ac:dyDescent="0.25">
      <c r="A4822">
        <v>6230</v>
      </c>
      <c r="B4822" t="s">
        <v>1419</v>
      </c>
      <c r="C4822" t="s">
        <v>1674</v>
      </c>
      <c r="D4822" t="s">
        <v>1675</v>
      </c>
      <c r="H4822" t="s">
        <v>12562</v>
      </c>
      <c r="I4822" s="4"/>
      <c r="K4822" t="s">
        <v>678</v>
      </c>
      <c r="L4822" s="5"/>
      <c r="M4822" s="5"/>
      <c r="N4822" t="s">
        <v>35</v>
      </c>
      <c r="T4822" s="5"/>
      <c r="W4822">
        <v>206</v>
      </c>
      <c r="X4822" t="s">
        <v>311</v>
      </c>
      <c r="Y4822" t="str">
        <f>VLOOKUP(C4822,'[1]DBS_KPY Sorumlular'!A:C,2,FALSE)</f>
        <v>Kadir TOPÇU</v>
      </c>
      <c r="Z4822" t="str">
        <f>VLOOKUP(C4822,'[1]DBS_KPY Sorumlular'!A:C,3,FALSE)</f>
        <v>Erkan AKDOĞAN</v>
      </c>
      <c r="AA4822" t="str">
        <f>VLOOKUP(K4822,[1]!Tablo3[#Data],2,FALSE)</f>
        <v>Kadir TOPÇU</v>
      </c>
    </row>
    <row r="4823" spans="1:27" x14ac:dyDescent="0.25">
      <c r="A4823">
        <v>6230</v>
      </c>
      <c r="B4823" t="s">
        <v>1419</v>
      </c>
      <c r="C4823" t="s">
        <v>1674</v>
      </c>
      <c r="D4823" t="s">
        <v>1675</v>
      </c>
      <c r="H4823" t="s">
        <v>12562</v>
      </c>
      <c r="I4823" s="4"/>
      <c r="K4823" t="s">
        <v>678</v>
      </c>
      <c r="L4823" s="5"/>
      <c r="M4823" s="5"/>
      <c r="N4823" t="s">
        <v>35</v>
      </c>
      <c r="T4823" s="5"/>
      <c r="W4823">
        <v>103</v>
      </c>
      <c r="X4823" t="s">
        <v>353</v>
      </c>
      <c r="Y4823" t="str">
        <f>VLOOKUP(C4823,'[1]DBS_KPY Sorumlular'!A:C,2,FALSE)</f>
        <v>Kadir TOPÇU</v>
      </c>
      <c r="Z4823" t="str">
        <f>VLOOKUP(C4823,'[1]DBS_KPY Sorumlular'!A:C,3,FALSE)</f>
        <v>Erkan AKDOĞAN</v>
      </c>
      <c r="AA4823" t="str">
        <f>VLOOKUP(K4823,[1]!Tablo3[#Data],2,FALSE)</f>
        <v>Kadir TOPÇU</v>
      </c>
    </row>
    <row r="4824" spans="1:27" x14ac:dyDescent="0.25">
      <c r="A4824">
        <v>6231</v>
      </c>
      <c r="B4824" t="s">
        <v>1419</v>
      </c>
      <c r="C4824" t="s">
        <v>1674</v>
      </c>
      <c r="D4824" t="s">
        <v>1675</v>
      </c>
      <c r="H4824" t="s">
        <v>12563</v>
      </c>
      <c r="I4824" s="4"/>
      <c r="K4824" t="s">
        <v>678</v>
      </c>
      <c r="L4824" s="5"/>
      <c r="M4824" s="5"/>
      <c r="N4824" t="s">
        <v>35</v>
      </c>
      <c r="T4824" s="5"/>
      <c r="W4824">
        <v>28</v>
      </c>
      <c r="X4824" t="s">
        <v>667</v>
      </c>
      <c r="Y4824" t="str">
        <f>VLOOKUP(C4824,'[1]DBS_KPY Sorumlular'!A:C,2,FALSE)</f>
        <v>Kadir TOPÇU</v>
      </c>
      <c r="Z4824" t="str">
        <f>VLOOKUP(C4824,'[1]DBS_KPY Sorumlular'!A:C,3,FALSE)</f>
        <v>Erkan AKDOĞAN</v>
      </c>
      <c r="AA4824" t="str">
        <f>VLOOKUP(K4824,[1]!Tablo3[#Data],2,FALSE)</f>
        <v>Kadir TOPÇU</v>
      </c>
    </row>
    <row r="4825" spans="1:27" x14ac:dyDescent="0.25">
      <c r="A4825">
        <v>6232</v>
      </c>
      <c r="B4825" t="s">
        <v>1419</v>
      </c>
      <c r="C4825" t="s">
        <v>1674</v>
      </c>
      <c r="D4825" t="s">
        <v>1675</v>
      </c>
      <c r="H4825" t="s">
        <v>12564</v>
      </c>
      <c r="I4825" s="4"/>
      <c r="K4825" t="s">
        <v>743</v>
      </c>
      <c r="L4825" s="5"/>
      <c r="M4825" s="5"/>
      <c r="N4825" t="s">
        <v>35</v>
      </c>
      <c r="T4825" s="5"/>
      <c r="W4825">
        <v>95</v>
      </c>
      <c r="X4825" t="s">
        <v>2987</v>
      </c>
      <c r="Y4825" t="str">
        <f>VLOOKUP(C4825,'[1]DBS_KPY Sorumlular'!A:C,2,FALSE)</f>
        <v>Kadir TOPÇU</v>
      </c>
      <c r="Z4825" t="str">
        <f>VLOOKUP(C4825,'[1]DBS_KPY Sorumlular'!A:C,3,FALSE)</f>
        <v>Erkan AKDOĞAN</v>
      </c>
      <c r="AA4825" t="str">
        <f>VLOOKUP(K4825,[1]!Tablo3[#Data],2,FALSE)</f>
        <v>Kadir TOPÇU</v>
      </c>
    </row>
    <row r="4826" spans="1:27" x14ac:dyDescent="0.25">
      <c r="A4826">
        <v>6233</v>
      </c>
      <c r="B4826" t="s">
        <v>1419</v>
      </c>
      <c r="C4826" t="s">
        <v>1674</v>
      </c>
      <c r="D4826" t="s">
        <v>1675</v>
      </c>
      <c r="H4826" t="s">
        <v>12565</v>
      </c>
      <c r="I4826" s="4"/>
      <c r="K4826" t="s">
        <v>743</v>
      </c>
      <c r="L4826" s="5"/>
      <c r="M4826" s="5"/>
      <c r="N4826" t="s">
        <v>35</v>
      </c>
      <c r="T4826" s="5"/>
      <c r="W4826">
        <v>95</v>
      </c>
      <c r="X4826" t="s">
        <v>2987</v>
      </c>
      <c r="Y4826" t="str">
        <f>VLOOKUP(C4826,'[1]DBS_KPY Sorumlular'!A:C,2,FALSE)</f>
        <v>Kadir TOPÇU</v>
      </c>
      <c r="Z4826" t="str">
        <f>VLOOKUP(C4826,'[1]DBS_KPY Sorumlular'!A:C,3,FALSE)</f>
        <v>Erkan AKDOĞAN</v>
      </c>
      <c r="AA4826" t="str">
        <f>VLOOKUP(K4826,[1]!Tablo3[#Data],2,FALSE)</f>
        <v>Kadir TOPÇU</v>
      </c>
    </row>
    <row r="4827" spans="1:27" x14ac:dyDescent="0.25">
      <c r="A4827">
        <v>6234</v>
      </c>
      <c r="B4827" t="s">
        <v>1419</v>
      </c>
      <c r="C4827" t="s">
        <v>1674</v>
      </c>
      <c r="D4827" t="s">
        <v>1675</v>
      </c>
      <c r="H4827" t="s">
        <v>12566</v>
      </c>
      <c r="I4827" s="4"/>
      <c r="K4827" t="s">
        <v>743</v>
      </c>
      <c r="L4827" s="5" t="s">
        <v>12567</v>
      </c>
      <c r="M4827" s="5"/>
      <c r="N4827" t="s">
        <v>35</v>
      </c>
      <c r="T4827" s="5"/>
      <c r="W4827">
        <v>103</v>
      </c>
      <c r="X4827" t="s">
        <v>353</v>
      </c>
      <c r="Y4827" t="str">
        <f>VLOOKUP(C4827,'[1]DBS_KPY Sorumlular'!A:C,2,FALSE)</f>
        <v>Kadir TOPÇU</v>
      </c>
      <c r="Z4827" t="str">
        <f>VLOOKUP(C4827,'[1]DBS_KPY Sorumlular'!A:C,3,FALSE)</f>
        <v>Erkan AKDOĞAN</v>
      </c>
      <c r="AA4827" t="str">
        <f>VLOOKUP(K4827,[1]!Tablo3[#Data],2,FALSE)</f>
        <v>Kadir TOPÇU</v>
      </c>
    </row>
    <row r="4828" spans="1:27" x14ac:dyDescent="0.25">
      <c r="A4828">
        <v>6235</v>
      </c>
      <c r="B4828" t="s">
        <v>1419</v>
      </c>
      <c r="C4828" t="s">
        <v>1674</v>
      </c>
      <c r="D4828" t="s">
        <v>1675</v>
      </c>
      <c r="H4828" t="s">
        <v>12568</v>
      </c>
      <c r="I4828" s="4"/>
      <c r="K4828" t="s">
        <v>743</v>
      </c>
      <c r="L4828" s="5" t="s">
        <v>12567</v>
      </c>
      <c r="M4828" s="5"/>
      <c r="N4828" t="s">
        <v>35</v>
      </c>
      <c r="T4828" s="5"/>
      <c r="W4828">
        <v>103</v>
      </c>
      <c r="X4828" t="s">
        <v>353</v>
      </c>
      <c r="Y4828" t="str">
        <f>VLOOKUP(C4828,'[1]DBS_KPY Sorumlular'!A:C,2,FALSE)</f>
        <v>Kadir TOPÇU</v>
      </c>
      <c r="Z4828" t="str">
        <f>VLOOKUP(C4828,'[1]DBS_KPY Sorumlular'!A:C,3,FALSE)</f>
        <v>Erkan AKDOĞAN</v>
      </c>
      <c r="AA4828" t="str">
        <f>VLOOKUP(K4828,[1]!Tablo3[#Data],2,FALSE)</f>
        <v>Kadir TOPÇU</v>
      </c>
    </row>
    <row r="4829" spans="1:27" x14ac:dyDescent="0.25">
      <c r="A4829">
        <v>6236</v>
      </c>
      <c r="B4829" t="s">
        <v>1419</v>
      </c>
      <c r="C4829" t="s">
        <v>1674</v>
      </c>
      <c r="D4829" t="s">
        <v>1675</v>
      </c>
      <c r="H4829" t="s">
        <v>12569</v>
      </c>
      <c r="I4829" s="4"/>
      <c r="K4829" t="s">
        <v>835</v>
      </c>
      <c r="L4829" s="5"/>
      <c r="M4829" s="5"/>
      <c r="N4829" t="s">
        <v>35</v>
      </c>
      <c r="T4829" s="5"/>
      <c r="W4829">
        <v>203</v>
      </c>
      <c r="X4829" t="s">
        <v>72</v>
      </c>
      <c r="Y4829" t="str">
        <f>VLOOKUP(C4829,'[1]DBS_KPY Sorumlular'!A:C,2,FALSE)</f>
        <v>Kadir TOPÇU</v>
      </c>
      <c r="Z4829" t="str">
        <f>VLOOKUP(C4829,'[1]DBS_KPY Sorumlular'!A:C,3,FALSE)</f>
        <v>Erkan AKDOĞAN</v>
      </c>
      <c r="AA4829" t="str">
        <f>VLOOKUP(K4829,[1]!Tablo3[#Data],2,FALSE)</f>
        <v>Kadir TOPÇU</v>
      </c>
    </row>
    <row r="4830" spans="1:27" x14ac:dyDescent="0.25">
      <c r="A4830">
        <v>6237</v>
      </c>
      <c r="B4830" t="s">
        <v>1419</v>
      </c>
      <c r="C4830" t="s">
        <v>1674</v>
      </c>
      <c r="D4830" t="s">
        <v>1675</v>
      </c>
      <c r="H4830" t="s">
        <v>12570</v>
      </c>
      <c r="I4830" s="4"/>
      <c r="K4830" t="s">
        <v>853</v>
      </c>
      <c r="L4830" s="5"/>
      <c r="M4830" s="5"/>
      <c r="N4830" t="s">
        <v>35</v>
      </c>
      <c r="T4830" s="5"/>
      <c r="W4830">
        <v>203</v>
      </c>
      <c r="X4830" t="s">
        <v>72</v>
      </c>
      <c r="Y4830" t="str">
        <f>VLOOKUP(C4830,'[1]DBS_KPY Sorumlular'!A:C,2,FALSE)</f>
        <v>Kadir TOPÇU</v>
      </c>
      <c r="Z4830" t="str">
        <f>VLOOKUP(C4830,'[1]DBS_KPY Sorumlular'!A:C,3,FALSE)</f>
        <v>Erkan AKDOĞAN</v>
      </c>
      <c r="AA4830" t="str">
        <f>VLOOKUP(K4830,[1]!Tablo3[#Data],2,FALSE)</f>
        <v>Erkan AKDOĞAN</v>
      </c>
    </row>
    <row r="4831" spans="1:27" x14ac:dyDescent="0.25">
      <c r="A4831">
        <v>6238</v>
      </c>
      <c r="B4831" t="s">
        <v>1419</v>
      </c>
      <c r="C4831" t="s">
        <v>1674</v>
      </c>
      <c r="D4831" t="s">
        <v>1675</v>
      </c>
      <c r="H4831" t="s">
        <v>12571</v>
      </c>
      <c r="I4831" s="4"/>
      <c r="K4831" t="s">
        <v>853</v>
      </c>
      <c r="L4831" s="5"/>
      <c r="M4831" s="5"/>
      <c r="N4831" t="s">
        <v>35</v>
      </c>
      <c r="T4831" s="5"/>
      <c r="W4831">
        <v>128</v>
      </c>
      <c r="X4831" t="s">
        <v>39</v>
      </c>
      <c r="Y4831" t="str">
        <f>VLOOKUP(C4831,'[1]DBS_KPY Sorumlular'!A:C,2,FALSE)</f>
        <v>Kadir TOPÇU</v>
      </c>
      <c r="Z4831" t="str">
        <f>VLOOKUP(C4831,'[1]DBS_KPY Sorumlular'!A:C,3,FALSE)</f>
        <v>Erkan AKDOĞAN</v>
      </c>
      <c r="AA4831" t="str">
        <f>VLOOKUP(K4831,[1]!Tablo3[#Data],2,FALSE)</f>
        <v>Erkan AKDOĞAN</v>
      </c>
    </row>
    <row r="4832" spans="1:27" x14ac:dyDescent="0.25">
      <c r="A4832">
        <v>6239</v>
      </c>
      <c r="B4832" t="s">
        <v>1419</v>
      </c>
      <c r="C4832" t="s">
        <v>1674</v>
      </c>
      <c r="D4832" t="s">
        <v>1675</v>
      </c>
      <c r="H4832" t="s">
        <v>12572</v>
      </c>
      <c r="I4832" s="4"/>
      <c r="K4832" t="s">
        <v>898</v>
      </c>
      <c r="L4832" s="5"/>
      <c r="M4832" s="5"/>
      <c r="N4832" t="s">
        <v>35</v>
      </c>
      <c r="T4832" s="5"/>
      <c r="W4832">
        <v>128</v>
      </c>
      <c r="X4832" t="s">
        <v>39</v>
      </c>
      <c r="Y4832" t="str">
        <f>VLOOKUP(C4832,'[1]DBS_KPY Sorumlular'!A:C,2,FALSE)</f>
        <v>Kadir TOPÇU</v>
      </c>
      <c r="Z4832" t="str">
        <f>VLOOKUP(C4832,'[1]DBS_KPY Sorumlular'!A:C,3,FALSE)</f>
        <v>Erkan AKDOĞAN</v>
      </c>
      <c r="AA4832" t="str">
        <f>VLOOKUP(K4832,[1]!Tablo3[#Data],2,FALSE)</f>
        <v>Erkan AKDOĞAN</v>
      </c>
    </row>
    <row r="4833" spans="1:27" x14ac:dyDescent="0.25">
      <c r="A4833">
        <v>6240</v>
      </c>
      <c r="B4833" t="s">
        <v>1419</v>
      </c>
      <c r="C4833" t="s">
        <v>1674</v>
      </c>
      <c r="D4833" t="s">
        <v>1675</v>
      </c>
      <c r="H4833" t="s">
        <v>12573</v>
      </c>
      <c r="I4833" s="4"/>
      <c r="K4833" t="s">
        <v>914</v>
      </c>
      <c r="L4833" s="5"/>
      <c r="M4833" s="5"/>
      <c r="N4833" t="s">
        <v>35</v>
      </c>
      <c r="T4833" s="5"/>
      <c r="W4833">
        <v>200</v>
      </c>
      <c r="X4833" t="s">
        <v>2976</v>
      </c>
      <c r="Y4833" t="str">
        <f>VLOOKUP(C4833,'[1]DBS_KPY Sorumlular'!A:C,2,FALSE)</f>
        <v>Kadir TOPÇU</v>
      </c>
      <c r="Z4833" t="str">
        <f>VLOOKUP(C4833,'[1]DBS_KPY Sorumlular'!A:C,3,FALSE)</f>
        <v>Erkan AKDOĞAN</v>
      </c>
      <c r="AA4833" t="str">
        <f>VLOOKUP(K4833,[1]!Tablo3[#Data],2,FALSE)</f>
        <v>Tayfun VİÇE</v>
      </c>
    </row>
    <row r="4834" spans="1:27" x14ac:dyDescent="0.25">
      <c r="A4834">
        <v>6241</v>
      </c>
      <c r="B4834" t="s">
        <v>1419</v>
      </c>
      <c r="C4834" t="s">
        <v>1674</v>
      </c>
      <c r="D4834" t="s">
        <v>1675</v>
      </c>
      <c r="H4834" t="s">
        <v>12574</v>
      </c>
      <c r="I4834" s="4"/>
      <c r="K4834" t="s">
        <v>914</v>
      </c>
      <c r="L4834" s="5"/>
      <c r="M4834" s="5"/>
      <c r="N4834" t="s">
        <v>35</v>
      </c>
      <c r="T4834" s="5"/>
      <c r="W4834">
        <v>152</v>
      </c>
      <c r="X4834" t="s">
        <v>1680</v>
      </c>
      <c r="Y4834" t="str">
        <f>VLOOKUP(C4834,'[1]DBS_KPY Sorumlular'!A:C,2,FALSE)</f>
        <v>Kadir TOPÇU</v>
      </c>
      <c r="Z4834" t="str">
        <f>VLOOKUP(C4834,'[1]DBS_KPY Sorumlular'!A:C,3,FALSE)</f>
        <v>Erkan AKDOĞAN</v>
      </c>
      <c r="AA4834" t="str">
        <f>VLOOKUP(K4834,[1]!Tablo3[#Data],2,FALSE)</f>
        <v>Tayfun VİÇE</v>
      </c>
    </row>
    <row r="4835" spans="1:27" x14ac:dyDescent="0.25">
      <c r="A4835">
        <v>6242</v>
      </c>
      <c r="B4835" t="s">
        <v>1419</v>
      </c>
      <c r="C4835" t="s">
        <v>1674</v>
      </c>
      <c r="D4835" t="s">
        <v>1675</v>
      </c>
      <c r="H4835" t="s">
        <v>12575</v>
      </c>
      <c r="I4835" s="4"/>
      <c r="K4835" t="s">
        <v>914</v>
      </c>
      <c r="L4835" s="5"/>
      <c r="M4835" s="5"/>
      <c r="N4835" t="s">
        <v>35</v>
      </c>
      <c r="T4835" s="5"/>
      <c r="W4835">
        <v>103</v>
      </c>
      <c r="X4835" t="s">
        <v>353</v>
      </c>
      <c r="Y4835" t="str">
        <f>VLOOKUP(C4835,'[1]DBS_KPY Sorumlular'!A:C,2,FALSE)</f>
        <v>Kadir TOPÇU</v>
      </c>
      <c r="Z4835" t="str">
        <f>VLOOKUP(C4835,'[1]DBS_KPY Sorumlular'!A:C,3,FALSE)</f>
        <v>Erkan AKDOĞAN</v>
      </c>
      <c r="AA4835" t="str">
        <f>VLOOKUP(K4835,[1]!Tablo3[#Data],2,FALSE)</f>
        <v>Tayfun VİÇE</v>
      </c>
    </row>
    <row r="4836" spans="1:27" x14ac:dyDescent="0.25">
      <c r="A4836">
        <v>6243</v>
      </c>
      <c r="B4836" t="s">
        <v>1419</v>
      </c>
      <c r="C4836" t="s">
        <v>1674</v>
      </c>
      <c r="D4836" t="s">
        <v>1675</v>
      </c>
      <c r="H4836" t="s">
        <v>12576</v>
      </c>
      <c r="I4836" s="4"/>
      <c r="K4836" t="s">
        <v>914</v>
      </c>
      <c r="L4836" s="5"/>
      <c r="M4836" s="5"/>
      <c r="N4836" t="s">
        <v>35</v>
      </c>
      <c r="T4836" s="5"/>
      <c r="W4836">
        <v>103</v>
      </c>
      <c r="X4836" t="s">
        <v>353</v>
      </c>
      <c r="Y4836" t="str">
        <f>VLOOKUP(C4836,'[1]DBS_KPY Sorumlular'!A:C,2,FALSE)</f>
        <v>Kadir TOPÇU</v>
      </c>
      <c r="Z4836" t="str">
        <f>VLOOKUP(C4836,'[1]DBS_KPY Sorumlular'!A:C,3,FALSE)</f>
        <v>Erkan AKDOĞAN</v>
      </c>
      <c r="AA4836" t="str">
        <f>VLOOKUP(K4836,[1]!Tablo3[#Data],2,FALSE)</f>
        <v>Tayfun VİÇE</v>
      </c>
    </row>
    <row r="4837" spans="1:27" x14ac:dyDescent="0.25">
      <c r="A4837">
        <v>6244</v>
      </c>
      <c r="B4837" t="s">
        <v>1419</v>
      </c>
      <c r="C4837" t="s">
        <v>1674</v>
      </c>
      <c r="D4837" t="s">
        <v>1675</v>
      </c>
      <c r="H4837" t="s">
        <v>12577</v>
      </c>
      <c r="I4837" s="4"/>
      <c r="K4837" t="s">
        <v>914</v>
      </c>
      <c r="L4837" s="5"/>
      <c r="M4837" s="5"/>
      <c r="N4837" t="s">
        <v>35</v>
      </c>
      <c r="T4837" s="5"/>
      <c r="W4837">
        <v>103</v>
      </c>
      <c r="X4837" t="s">
        <v>353</v>
      </c>
      <c r="Y4837" t="str">
        <f>VLOOKUP(C4837,'[1]DBS_KPY Sorumlular'!A:C,2,FALSE)</f>
        <v>Kadir TOPÇU</v>
      </c>
      <c r="Z4837" t="str">
        <f>VLOOKUP(C4837,'[1]DBS_KPY Sorumlular'!A:C,3,FALSE)</f>
        <v>Erkan AKDOĞAN</v>
      </c>
      <c r="AA4837" t="str">
        <f>VLOOKUP(K4837,[1]!Tablo3[#Data],2,FALSE)</f>
        <v>Tayfun VİÇE</v>
      </c>
    </row>
    <row r="4838" spans="1:27" x14ac:dyDescent="0.25">
      <c r="A4838">
        <v>6245</v>
      </c>
      <c r="B4838" t="s">
        <v>1419</v>
      </c>
      <c r="C4838" t="s">
        <v>1674</v>
      </c>
      <c r="D4838" t="s">
        <v>1675</v>
      </c>
      <c r="H4838" t="s">
        <v>12578</v>
      </c>
      <c r="I4838" s="4"/>
      <c r="K4838" t="s">
        <v>914</v>
      </c>
      <c r="L4838" s="5"/>
      <c r="M4838" s="5"/>
      <c r="N4838" t="s">
        <v>35</v>
      </c>
      <c r="T4838" s="5"/>
      <c r="W4838">
        <v>203</v>
      </c>
      <c r="X4838" t="s">
        <v>72</v>
      </c>
      <c r="Y4838" t="str">
        <f>VLOOKUP(C4838,'[1]DBS_KPY Sorumlular'!A:C,2,FALSE)</f>
        <v>Kadir TOPÇU</v>
      </c>
      <c r="Z4838" t="str">
        <f>VLOOKUP(C4838,'[1]DBS_KPY Sorumlular'!A:C,3,FALSE)</f>
        <v>Erkan AKDOĞAN</v>
      </c>
      <c r="AA4838" t="str">
        <f>VLOOKUP(K4838,[1]!Tablo3[#Data],2,FALSE)</f>
        <v>Tayfun VİÇE</v>
      </c>
    </row>
    <row r="4839" spans="1:27" x14ac:dyDescent="0.25">
      <c r="A4839">
        <v>6246</v>
      </c>
      <c r="B4839" t="s">
        <v>1419</v>
      </c>
      <c r="C4839" t="s">
        <v>1674</v>
      </c>
      <c r="D4839" t="s">
        <v>1675</v>
      </c>
      <c r="H4839" t="s">
        <v>12579</v>
      </c>
      <c r="I4839" s="4"/>
      <c r="K4839" t="s">
        <v>914</v>
      </c>
      <c r="L4839" s="5"/>
      <c r="M4839" s="5"/>
      <c r="N4839" t="s">
        <v>35</v>
      </c>
      <c r="T4839" s="5"/>
      <c r="W4839">
        <v>208</v>
      </c>
      <c r="X4839" t="s">
        <v>594</v>
      </c>
      <c r="Y4839" t="str">
        <f>VLOOKUP(C4839,'[1]DBS_KPY Sorumlular'!A:C,2,FALSE)</f>
        <v>Kadir TOPÇU</v>
      </c>
      <c r="Z4839" t="str">
        <f>VLOOKUP(C4839,'[1]DBS_KPY Sorumlular'!A:C,3,FALSE)</f>
        <v>Erkan AKDOĞAN</v>
      </c>
      <c r="AA4839" t="str">
        <f>VLOOKUP(K4839,[1]!Tablo3[#Data],2,FALSE)</f>
        <v>Tayfun VİÇE</v>
      </c>
    </row>
    <row r="4840" spans="1:27" x14ac:dyDescent="0.25">
      <c r="A4840">
        <v>6247</v>
      </c>
      <c r="B4840" t="s">
        <v>1419</v>
      </c>
      <c r="C4840" t="s">
        <v>1674</v>
      </c>
      <c r="D4840" t="s">
        <v>1675</v>
      </c>
      <c r="H4840" t="s">
        <v>12580</v>
      </c>
      <c r="I4840" s="4"/>
      <c r="K4840" t="s">
        <v>914</v>
      </c>
      <c r="L4840" s="5"/>
      <c r="M4840" s="5"/>
      <c r="N4840" t="s">
        <v>35</v>
      </c>
      <c r="T4840" s="5"/>
      <c r="W4840">
        <v>195</v>
      </c>
      <c r="X4840" t="s">
        <v>433</v>
      </c>
      <c r="Y4840" t="str">
        <f>VLOOKUP(C4840,'[1]DBS_KPY Sorumlular'!A:C,2,FALSE)</f>
        <v>Kadir TOPÇU</v>
      </c>
      <c r="Z4840" t="str">
        <f>VLOOKUP(C4840,'[1]DBS_KPY Sorumlular'!A:C,3,FALSE)</f>
        <v>Erkan AKDOĞAN</v>
      </c>
      <c r="AA4840" t="str">
        <f>VLOOKUP(K4840,[1]!Tablo3[#Data],2,FALSE)</f>
        <v>Tayfun VİÇE</v>
      </c>
    </row>
    <row r="4841" spans="1:27" x14ac:dyDescent="0.25">
      <c r="A4841">
        <v>6248</v>
      </c>
      <c r="B4841" t="s">
        <v>1419</v>
      </c>
      <c r="C4841" t="s">
        <v>1674</v>
      </c>
      <c r="D4841" t="s">
        <v>1675</v>
      </c>
      <c r="H4841" t="s">
        <v>12581</v>
      </c>
      <c r="I4841" s="4"/>
      <c r="K4841" t="s">
        <v>1002</v>
      </c>
      <c r="L4841" s="5"/>
      <c r="M4841" s="5"/>
      <c r="N4841" t="s">
        <v>35</v>
      </c>
      <c r="T4841" s="5"/>
      <c r="W4841">
        <v>203</v>
      </c>
      <c r="X4841" t="s">
        <v>72</v>
      </c>
      <c r="Y4841" t="str">
        <f>VLOOKUP(C4841,'[1]DBS_KPY Sorumlular'!A:C,2,FALSE)</f>
        <v>Kadir TOPÇU</v>
      </c>
      <c r="Z4841" t="str">
        <f>VLOOKUP(C4841,'[1]DBS_KPY Sorumlular'!A:C,3,FALSE)</f>
        <v>Erkan AKDOĞAN</v>
      </c>
      <c r="AA4841" t="str">
        <f>VLOOKUP(K4841,[1]!Tablo3[#Data],2,FALSE)</f>
        <v>Kadir TOPÇU</v>
      </c>
    </row>
    <row r="4842" spans="1:27" x14ac:dyDescent="0.25">
      <c r="A4842">
        <v>6249</v>
      </c>
      <c r="B4842" t="s">
        <v>1419</v>
      </c>
      <c r="C4842" t="s">
        <v>1674</v>
      </c>
      <c r="D4842" t="s">
        <v>1675</v>
      </c>
      <c r="H4842" t="s">
        <v>12582</v>
      </c>
      <c r="I4842" s="4"/>
      <c r="K4842" t="s">
        <v>1002</v>
      </c>
      <c r="L4842" s="5"/>
      <c r="M4842" s="5"/>
      <c r="N4842" t="s">
        <v>35</v>
      </c>
      <c r="T4842" s="5"/>
      <c r="W4842">
        <v>203</v>
      </c>
      <c r="X4842" t="s">
        <v>72</v>
      </c>
      <c r="Y4842" t="str">
        <f>VLOOKUP(C4842,'[1]DBS_KPY Sorumlular'!A:C,2,FALSE)</f>
        <v>Kadir TOPÇU</v>
      </c>
      <c r="Z4842" t="str">
        <f>VLOOKUP(C4842,'[1]DBS_KPY Sorumlular'!A:C,3,FALSE)</f>
        <v>Erkan AKDOĞAN</v>
      </c>
      <c r="AA4842" t="str">
        <f>VLOOKUP(K4842,[1]!Tablo3[#Data],2,FALSE)</f>
        <v>Kadir TOPÇU</v>
      </c>
    </row>
    <row r="4843" spans="1:27" x14ac:dyDescent="0.25">
      <c r="A4843">
        <v>6250</v>
      </c>
      <c r="B4843" t="s">
        <v>1419</v>
      </c>
      <c r="C4843" t="s">
        <v>1674</v>
      </c>
      <c r="D4843" t="s">
        <v>1675</v>
      </c>
      <c r="H4843" t="s">
        <v>12583</v>
      </c>
      <c r="I4843" s="4"/>
      <c r="K4843" t="s">
        <v>1002</v>
      </c>
      <c r="L4843" s="5"/>
      <c r="M4843" s="5"/>
      <c r="N4843" t="s">
        <v>35</v>
      </c>
      <c r="T4843" s="5"/>
      <c r="W4843">
        <v>44</v>
      </c>
      <c r="X4843" t="s">
        <v>1821</v>
      </c>
      <c r="Y4843" t="str">
        <f>VLOOKUP(C4843,'[1]DBS_KPY Sorumlular'!A:C,2,FALSE)</f>
        <v>Kadir TOPÇU</v>
      </c>
      <c r="Z4843" t="str">
        <f>VLOOKUP(C4843,'[1]DBS_KPY Sorumlular'!A:C,3,FALSE)</f>
        <v>Erkan AKDOĞAN</v>
      </c>
      <c r="AA4843" t="str">
        <f>VLOOKUP(K4843,[1]!Tablo3[#Data],2,FALSE)</f>
        <v>Kadir TOPÇU</v>
      </c>
    </row>
    <row r="4844" spans="1:27" x14ac:dyDescent="0.25">
      <c r="A4844">
        <v>6251</v>
      </c>
      <c r="B4844" t="s">
        <v>1419</v>
      </c>
      <c r="C4844" t="s">
        <v>1674</v>
      </c>
      <c r="D4844" t="s">
        <v>1675</v>
      </c>
      <c r="H4844" t="s">
        <v>12584</v>
      </c>
      <c r="I4844" s="4"/>
      <c r="K4844" t="s">
        <v>1002</v>
      </c>
      <c r="L4844" s="5" t="s">
        <v>12585</v>
      </c>
      <c r="M4844" s="5"/>
      <c r="N4844" t="s">
        <v>35</v>
      </c>
      <c r="T4844" s="5"/>
      <c r="W4844">
        <v>104</v>
      </c>
      <c r="X4844" t="s">
        <v>703</v>
      </c>
      <c r="Y4844" t="str">
        <f>VLOOKUP(C4844,'[1]DBS_KPY Sorumlular'!A:C,2,FALSE)</f>
        <v>Kadir TOPÇU</v>
      </c>
      <c r="Z4844" t="str">
        <f>VLOOKUP(C4844,'[1]DBS_KPY Sorumlular'!A:C,3,FALSE)</f>
        <v>Erkan AKDOĞAN</v>
      </c>
      <c r="AA4844" t="str">
        <f>VLOOKUP(K4844,[1]!Tablo3[#Data],2,FALSE)</f>
        <v>Kadir TOPÇU</v>
      </c>
    </row>
    <row r="4845" spans="1:27" x14ac:dyDescent="0.25">
      <c r="A4845">
        <v>6252</v>
      </c>
      <c r="B4845" t="s">
        <v>1419</v>
      </c>
      <c r="C4845" t="s">
        <v>1674</v>
      </c>
      <c r="D4845" t="s">
        <v>1675</v>
      </c>
      <c r="H4845" t="s">
        <v>12586</v>
      </c>
      <c r="I4845" s="4"/>
      <c r="K4845" t="s">
        <v>1029</v>
      </c>
      <c r="L4845" s="5"/>
      <c r="M4845" s="5"/>
      <c r="N4845" t="s">
        <v>35</v>
      </c>
      <c r="T4845" s="5"/>
      <c r="W4845">
        <v>203</v>
      </c>
      <c r="X4845" t="s">
        <v>72</v>
      </c>
      <c r="Y4845" t="str">
        <f>VLOOKUP(C4845,'[1]DBS_KPY Sorumlular'!A:C,2,FALSE)</f>
        <v>Kadir TOPÇU</v>
      </c>
      <c r="Z4845" t="str">
        <f>VLOOKUP(C4845,'[1]DBS_KPY Sorumlular'!A:C,3,FALSE)</f>
        <v>Erkan AKDOĞAN</v>
      </c>
      <c r="AA4845" t="str">
        <f>VLOOKUP(K4845,[1]!Tablo3[#Data],2,FALSE)</f>
        <v>Tayfun VİÇE</v>
      </c>
    </row>
    <row r="4846" spans="1:27" x14ac:dyDescent="0.25">
      <c r="A4846">
        <v>6253</v>
      </c>
      <c r="B4846" t="s">
        <v>1419</v>
      </c>
      <c r="C4846" t="s">
        <v>1674</v>
      </c>
      <c r="D4846" t="s">
        <v>1675</v>
      </c>
      <c r="H4846" t="s">
        <v>12587</v>
      </c>
      <c r="I4846" s="4"/>
      <c r="K4846" t="s">
        <v>1029</v>
      </c>
      <c r="L4846" s="5"/>
      <c r="M4846" s="5"/>
      <c r="N4846" t="s">
        <v>35</v>
      </c>
      <c r="T4846" s="5"/>
      <c r="W4846">
        <v>203</v>
      </c>
      <c r="X4846" t="s">
        <v>72</v>
      </c>
      <c r="Y4846" t="str">
        <f>VLOOKUP(C4846,'[1]DBS_KPY Sorumlular'!A:C,2,FALSE)</f>
        <v>Kadir TOPÇU</v>
      </c>
      <c r="Z4846" t="str">
        <f>VLOOKUP(C4846,'[1]DBS_KPY Sorumlular'!A:C,3,FALSE)</f>
        <v>Erkan AKDOĞAN</v>
      </c>
      <c r="AA4846" t="str">
        <f>VLOOKUP(K4846,[1]!Tablo3[#Data],2,FALSE)</f>
        <v>Tayfun VİÇE</v>
      </c>
    </row>
    <row r="4847" spans="1:27" x14ac:dyDescent="0.25">
      <c r="A4847">
        <v>6254</v>
      </c>
      <c r="B4847" t="s">
        <v>1419</v>
      </c>
      <c r="C4847" t="s">
        <v>1674</v>
      </c>
      <c r="D4847" t="s">
        <v>1675</v>
      </c>
      <c r="H4847" t="s">
        <v>12588</v>
      </c>
      <c r="I4847" s="4"/>
      <c r="K4847" t="s">
        <v>1029</v>
      </c>
      <c r="L4847" s="5"/>
      <c r="M4847" s="5"/>
      <c r="N4847" t="s">
        <v>35</v>
      </c>
      <c r="T4847" s="5"/>
      <c r="W4847">
        <v>94</v>
      </c>
      <c r="X4847" t="s">
        <v>1707</v>
      </c>
      <c r="Y4847" t="str">
        <f>VLOOKUP(C4847,'[1]DBS_KPY Sorumlular'!A:C,2,FALSE)</f>
        <v>Kadir TOPÇU</v>
      </c>
      <c r="Z4847" t="str">
        <f>VLOOKUP(C4847,'[1]DBS_KPY Sorumlular'!A:C,3,FALSE)</f>
        <v>Erkan AKDOĞAN</v>
      </c>
      <c r="AA4847" t="str">
        <f>VLOOKUP(K4847,[1]!Tablo3[#Data],2,FALSE)</f>
        <v>Tayfun VİÇE</v>
      </c>
    </row>
    <row r="4848" spans="1:27" x14ac:dyDescent="0.25">
      <c r="A4848">
        <v>6255</v>
      </c>
      <c r="B4848" t="s">
        <v>1419</v>
      </c>
      <c r="C4848" t="s">
        <v>1674</v>
      </c>
      <c r="D4848" t="s">
        <v>1675</v>
      </c>
      <c r="H4848" t="s">
        <v>12589</v>
      </c>
      <c r="I4848" s="4"/>
      <c r="K4848" t="s">
        <v>280</v>
      </c>
      <c r="L4848" s="5"/>
      <c r="M4848" s="5"/>
      <c r="N4848" t="s">
        <v>35</v>
      </c>
      <c r="T4848" s="5"/>
      <c r="W4848">
        <v>198</v>
      </c>
      <c r="X4848" t="s">
        <v>12590</v>
      </c>
      <c r="Y4848" t="str">
        <f>VLOOKUP(C4848,'[1]DBS_KPY Sorumlular'!A:C,2,FALSE)</f>
        <v>Kadir TOPÇU</v>
      </c>
      <c r="Z4848" t="str">
        <f>VLOOKUP(C4848,'[1]DBS_KPY Sorumlular'!A:C,3,FALSE)</f>
        <v>Erkan AKDOĞAN</v>
      </c>
      <c r="AA4848" t="str">
        <f>VLOOKUP(K4848,[1]!Tablo3[#Data],2,FALSE)</f>
        <v>Erkan AKDOĞAN</v>
      </c>
    </row>
    <row r="4849" spans="1:27" x14ac:dyDescent="0.25">
      <c r="A4849">
        <v>6256</v>
      </c>
      <c r="B4849" t="s">
        <v>1419</v>
      </c>
      <c r="C4849" t="s">
        <v>1674</v>
      </c>
      <c r="D4849" t="s">
        <v>1675</v>
      </c>
      <c r="H4849" t="s">
        <v>12591</v>
      </c>
      <c r="I4849" s="4"/>
      <c r="K4849" t="s">
        <v>280</v>
      </c>
      <c r="L4849" s="5"/>
      <c r="M4849" s="5"/>
      <c r="N4849" t="s">
        <v>35</v>
      </c>
      <c r="T4849" s="5"/>
      <c r="W4849">
        <v>198</v>
      </c>
      <c r="X4849" t="s">
        <v>12590</v>
      </c>
      <c r="Y4849" t="str">
        <f>VLOOKUP(C4849,'[1]DBS_KPY Sorumlular'!A:C,2,FALSE)</f>
        <v>Kadir TOPÇU</v>
      </c>
      <c r="Z4849" t="str">
        <f>VLOOKUP(C4849,'[1]DBS_KPY Sorumlular'!A:C,3,FALSE)</f>
        <v>Erkan AKDOĞAN</v>
      </c>
      <c r="AA4849" t="str">
        <f>VLOOKUP(K4849,[1]!Tablo3[#Data],2,FALSE)</f>
        <v>Erkan AKDOĞAN</v>
      </c>
    </row>
    <row r="4850" spans="1:27" x14ac:dyDescent="0.25">
      <c r="A4850">
        <v>6257</v>
      </c>
      <c r="B4850" t="s">
        <v>1419</v>
      </c>
      <c r="C4850" t="s">
        <v>1674</v>
      </c>
      <c r="D4850" t="s">
        <v>1675</v>
      </c>
      <c r="H4850" t="s">
        <v>12592</v>
      </c>
      <c r="I4850" s="4"/>
      <c r="K4850" t="s">
        <v>280</v>
      </c>
      <c r="L4850" s="5"/>
      <c r="M4850" s="5"/>
      <c r="N4850" t="s">
        <v>35</v>
      </c>
      <c r="T4850" s="5"/>
      <c r="W4850">
        <v>203</v>
      </c>
      <c r="X4850" t="s">
        <v>72</v>
      </c>
      <c r="Y4850" t="str">
        <f>VLOOKUP(C4850,'[1]DBS_KPY Sorumlular'!A:C,2,FALSE)</f>
        <v>Kadir TOPÇU</v>
      </c>
      <c r="Z4850" t="str">
        <f>VLOOKUP(C4850,'[1]DBS_KPY Sorumlular'!A:C,3,FALSE)</f>
        <v>Erkan AKDOĞAN</v>
      </c>
      <c r="AA4850" t="str">
        <f>VLOOKUP(K4850,[1]!Tablo3[#Data],2,FALSE)</f>
        <v>Erkan AKDOĞAN</v>
      </c>
    </row>
    <row r="4851" spans="1:27" x14ac:dyDescent="0.25">
      <c r="A4851">
        <v>6258</v>
      </c>
      <c r="B4851" t="s">
        <v>1419</v>
      </c>
      <c r="C4851" t="s">
        <v>1674</v>
      </c>
      <c r="D4851" t="s">
        <v>1675</v>
      </c>
      <c r="H4851" t="s">
        <v>12593</v>
      </c>
      <c r="I4851" s="4"/>
      <c r="K4851" t="s">
        <v>280</v>
      </c>
      <c r="L4851" s="5"/>
      <c r="M4851" s="5"/>
      <c r="N4851" t="s">
        <v>35</v>
      </c>
      <c r="T4851" s="5"/>
      <c r="W4851">
        <v>104</v>
      </c>
      <c r="X4851" t="s">
        <v>703</v>
      </c>
      <c r="Y4851" t="str">
        <f>VLOOKUP(C4851,'[1]DBS_KPY Sorumlular'!A:C,2,FALSE)</f>
        <v>Kadir TOPÇU</v>
      </c>
      <c r="Z4851" t="str">
        <f>VLOOKUP(C4851,'[1]DBS_KPY Sorumlular'!A:C,3,FALSE)</f>
        <v>Erkan AKDOĞAN</v>
      </c>
      <c r="AA4851" t="str">
        <f>VLOOKUP(K4851,[1]!Tablo3[#Data],2,FALSE)</f>
        <v>Erkan AKDOĞAN</v>
      </c>
    </row>
    <row r="4852" spans="1:27" x14ac:dyDescent="0.25">
      <c r="A4852">
        <v>6259</v>
      </c>
      <c r="B4852" t="s">
        <v>1419</v>
      </c>
      <c r="C4852" t="s">
        <v>1674</v>
      </c>
      <c r="D4852" t="s">
        <v>1675</v>
      </c>
      <c r="H4852" t="s">
        <v>12594</v>
      </c>
      <c r="I4852" s="4"/>
      <c r="K4852" t="s">
        <v>1157</v>
      </c>
      <c r="L4852" s="5"/>
      <c r="M4852" s="5"/>
      <c r="N4852" t="s">
        <v>35</v>
      </c>
      <c r="T4852" s="5"/>
      <c r="W4852">
        <v>28</v>
      </c>
      <c r="X4852" t="s">
        <v>667</v>
      </c>
      <c r="Y4852" t="str">
        <f>VLOOKUP(C4852,'[1]DBS_KPY Sorumlular'!A:C,2,FALSE)</f>
        <v>Kadir TOPÇU</v>
      </c>
      <c r="Z4852" t="str">
        <f>VLOOKUP(C4852,'[1]DBS_KPY Sorumlular'!A:C,3,FALSE)</f>
        <v>Erkan AKDOĞAN</v>
      </c>
      <c r="AA4852" t="str">
        <f>VLOOKUP(K4852,[1]!Tablo3[#Data],2,FALSE)</f>
        <v>Tayfun VİÇE</v>
      </c>
    </row>
    <row r="4853" spans="1:27" x14ac:dyDescent="0.25">
      <c r="A4853">
        <v>6260</v>
      </c>
      <c r="B4853" t="s">
        <v>1419</v>
      </c>
      <c r="C4853" t="s">
        <v>1674</v>
      </c>
      <c r="D4853" t="s">
        <v>1675</v>
      </c>
      <c r="H4853" t="s">
        <v>12595</v>
      </c>
      <c r="I4853" s="4"/>
      <c r="K4853" t="s">
        <v>1157</v>
      </c>
      <c r="L4853" s="5"/>
      <c r="M4853" s="5"/>
      <c r="N4853" t="s">
        <v>35</v>
      </c>
      <c r="T4853" s="5"/>
      <c r="W4853">
        <v>198</v>
      </c>
      <c r="X4853" t="s">
        <v>12590</v>
      </c>
      <c r="Y4853" t="str">
        <f>VLOOKUP(C4853,'[1]DBS_KPY Sorumlular'!A:C,2,FALSE)</f>
        <v>Kadir TOPÇU</v>
      </c>
      <c r="Z4853" t="str">
        <f>VLOOKUP(C4853,'[1]DBS_KPY Sorumlular'!A:C,3,FALSE)</f>
        <v>Erkan AKDOĞAN</v>
      </c>
      <c r="AA4853" t="str">
        <f>VLOOKUP(K4853,[1]!Tablo3[#Data],2,FALSE)</f>
        <v>Tayfun VİÇE</v>
      </c>
    </row>
    <row r="4854" spans="1:27" x14ac:dyDescent="0.25">
      <c r="A4854">
        <v>6261</v>
      </c>
      <c r="B4854" t="s">
        <v>1419</v>
      </c>
      <c r="C4854" t="s">
        <v>1674</v>
      </c>
      <c r="D4854" t="s">
        <v>1675</v>
      </c>
      <c r="H4854" t="s">
        <v>12596</v>
      </c>
      <c r="I4854" s="4"/>
      <c r="K4854" t="s">
        <v>1106</v>
      </c>
      <c r="L4854" s="5"/>
      <c r="M4854" s="5"/>
      <c r="N4854" t="s">
        <v>35</v>
      </c>
      <c r="T4854" s="5"/>
      <c r="W4854">
        <v>103</v>
      </c>
      <c r="X4854" t="s">
        <v>353</v>
      </c>
      <c r="Y4854" t="str">
        <f>VLOOKUP(C4854,'[1]DBS_KPY Sorumlular'!A:C,2,FALSE)</f>
        <v>Kadir TOPÇU</v>
      </c>
      <c r="Z4854" t="str">
        <f>VLOOKUP(C4854,'[1]DBS_KPY Sorumlular'!A:C,3,FALSE)</f>
        <v>Erkan AKDOĞAN</v>
      </c>
      <c r="AA4854" t="str">
        <f>VLOOKUP(K4854,[1]!Tablo3[#Data],2,FALSE)</f>
        <v>Tayfun VİÇE</v>
      </c>
    </row>
    <row r="4855" spans="1:27" x14ac:dyDescent="0.25">
      <c r="A4855">
        <v>6262</v>
      </c>
      <c r="B4855" t="s">
        <v>1419</v>
      </c>
      <c r="C4855" t="s">
        <v>1674</v>
      </c>
      <c r="D4855" t="s">
        <v>1675</v>
      </c>
      <c r="H4855" t="s">
        <v>12597</v>
      </c>
      <c r="I4855" s="4"/>
      <c r="K4855" t="s">
        <v>1106</v>
      </c>
      <c r="L4855" s="5"/>
      <c r="M4855" s="5"/>
      <c r="N4855" t="s">
        <v>35</v>
      </c>
      <c r="T4855" s="5"/>
      <c r="W4855">
        <v>79</v>
      </c>
      <c r="X4855" t="s">
        <v>1619</v>
      </c>
      <c r="Y4855" t="str">
        <f>VLOOKUP(C4855,'[1]DBS_KPY Sorumlular'!A:C,2,FALSE)</f>
        <v>Kadir TOPÇU</v>
      </c>
      <c r="Z4855" t="str">
        <f>VLOOKUP(C4855,'[1]DBS_KPY Sorumlular'!A:C,3,FALSE)</f>
        <v>Erkan AKDOĞAN</v>
      </c>
      <c r="AA4855" t="str">
        <f>VLOOKUP(K4855,[1]!Tablo3[#Data],2,FALSE)</f>
        <v>Tayfun VİÇE</v>
      </c>
    </row>
    <row r="4856" spans="1:27" x14ac:dyDescent="0.25">
      <c r="A4856">
        <v>6263</v>
      </c>
      <c r="B4856" t="s">
        <v>1419</v>
      </c>
      <c r="C4856" t="s">
        <v>1674</v>
      </c>
      <c r="D4856" t="s">
        <v>1675</v>
      </c>
      <c r="H4856" t="s">
        <v>12598</v>
      </c>
      <c r="I4856" s="4"/>
      <c r="K4856" t="s">
        <v>1106</v>
      </c>
      <c r="L4856" s="5"/>
      <c r="M4856" s="5"/>
      <c r="N4856" t="s">
        <v>35</v>
      </c>
      <c r="T4856" s="5"/>
      <c r="W4856">
        <v>28</v>
      </c>
      <c r="X4856" t="s">
        <v>667</v>
      </c>
      <c r="Y4856" t="str">
        <f>VLOOKUP(C4856,'[1]DBS_KPY Sorumlular'!A:C,2,FALSE)</f>
        <v>Kadir TOPÇU</v>
      </c>
      <c r="Z4856" t="str">
        <f>VLOOKUP(C4856,'[1]DBS_KPY Sorumlular'!A:C,3,FALSE)</f>
        <v>Erkan AKDOĞAN</v>
      </c>
      <c r="AA4856" t="str">
        <f>VLOOKUP(K4856,[1]!Tablo3[#Data],2,FALSE)</f>
        <v>Tayfun VİÇE</v>
      </c>
    </row>
    <row r="4857" spans="1:27" x14ac:dyDescent="0.25">
      <c r="A4857">
        <v>6264</v>
      </c>
      <c r="B4857" t="s">
        <v>1419</v>
      </c>
      <c r="C4857" t="s">
        <v>1674</v>
      </c>
      <c r="D4857" t="s">
        <v>1675</v>
      </c>
      <c r="H4857" t="s">
        <v>12599</v>
      </c>
      <c r="I4857" s="4"/>
      <c r="K4857" t="s">
        <v>1221</v>
      </c>
      <c r="L4857" s="5"/>
      <c r="M4857" s="5"/>
      <c r="N4857" t="s">
        <v>35</v>
      </c>
      <c r="T4857" s="5"/>
      <c r="W4857">
        <v>203</v>
      </c>
      <c r="X4857" t="s">
        <v>72</v>
      </c>
      <c r="Y4857" t="str">
        <f>VLOOKUP(C4857,'[1]DBS_KPY Sorumlular'!A:C,2,FALSE)</f>
        <v>Kadir TOPÇU</v>
      </c>
      <c r="Z4857" t="str">
        <f>VLOOKUP(C4857,'[1]DBS_KPY Sorumlular'!A:C,3,FALSE)</f>
        <v>Erkan AKDOĞAN</v>
      </c>
      <c r="AA4857" t="str">
        <f>VLOOKUP(K4857,[1]!Tablo3[#Data],2,FALSE)</f>
        <v>Tayfun VİÇE</v>
      </c>
    </row>
    <row r="4858" spans="1:27" x14ac:dyDescent="0.25">
      <c r="A4858">
        <v>6265</v>
      </c>
      <c r="B4858" t="s">
        <v>1419</v>
      </c>
      <c r="C4858" t="s">
        <v>1674</v>
      </c>
      <c r="D4858" t="s">
        <v>1675</v>
      </c>
      <c r="H4858" t="s">
        <v>12600</v>
      </c>
      <c r="I4858" s="4"/>
      <c r="K4858" t="s">
        <v>1221</v>
      </c>
      <c r="L4858" s="5"/>
      <c r="M4858" s="5"/>
      <c r="N4858" t="s">
        <v>35</v>
      </c>
      <c r="T4858" s="5"/>
      <c r="W4858">
        <v>203</v>
      </c>
      <c r="X4858" t="s">
        <v>72</v>
      </c>
      <c r="Y4858" t="str">
        <f>VLOOKUP(C4858,'[1]DBS_KPY Sorumlular'!A:C,2,FALSE)</f>
        <v>Kadir TOPÇU</v>
      </c>
      <c r="Z4858" t="str">
        <f>VLOOKUP(C4858,'[1]DBS_KPY Sorumlular'!A:C,3,FALSE)</f>
        <v>Erkan AKDOĞAN</v>
      </c>
      <c r="AA4858" t="str">
        <f>VLOOKUP(K4858,[1]!Tablo3[#Data],2,FALSE)</f>
        <v>Tayfun VİÇE</v>
      </c>
    </row>
    <row r="4859" spans="1:27" x14ac:dyDescent="0.25">
      <c r="A4859">
        <v>6266</v>
      </c>
      <c r="B4859" t="s">
        <v>1419</v>
      </c>
      <c r="C4859" t="s">
        <v>1674</v>
      </c>
      <c r="D4859" t="s">
        <v>1675</v>
      </c>
      <c r="H4859" t="s">
        <v>12601</v>
      </c>
      <c r="I4859" s="4"/>
      <c r="K4859" t="s">
        <v>1221</v>
      </c>
      <c r="L4859" s="5"/>
      <c r="M4859" s="5"/>
      <c r="N4859" t="s">
        <v>35</v>
      </c>
      <c r="T4859" s="5"/>
      <c r="W4859">
        <v>208</v>
      </c>
      <c r="X4859" t="s">
        <v>594</v>
      </c>
      <c r="Y4859" t="str">
        <f>VLOOKUP(C4859,'[1]DBS_KPY Sorumlular'!A:C,2,FALSE)</f>
        <v>Kadir TOPÇU</v>
      </c>
      <c r="Z4859" t="str">
        <f>VLOOKUP(C4859,'[1]DBS_KPY Sorumlular'!A:C,3,FALSE)</f>
        <v>Erkan AKDOĞAN</v>
      </c>
      <c r="AA4859" t="str">
        <f>VLOOKUP(K4859,[1]!Tablo3[#Data],2,FALSE)</f>
        <v>Tayfun VİÇE</v>
      </c>
    </row>
    <row r="4860" spans="1:27" x14ac:dyDescent="0.25">
      <c r="A4860">
        <v>6267</v>
      </c>
      <c r="B4860" t="s">
        <v>1419</v>
      </c>
      <c r="C4860" t="s">
        <v>1674</v>
      </c>
      <c r="D4860" t="s">
        <v>1675</v>
      </c>
      <c r="H4860" t="s">
        <v>12602</v>
      </c>
      <c r="I4860" s="4"/>
      <c r="K4860" t="s">
        <v>1221</v>
      </c>
      <c r="L4860" s="5"/>
      <c r="M4860" s="5"/>
      <c r="N4860" t="s">
        <v>35</v>
      </c>
      <c r="T4860" s="5"/>
      <c r="W4860">
        <v>28</v>
      </c>
      <c r="X4860" t="s">
        <v>667</v>
      </c>
      <c r="Y4860" t="str">
        <f>VLOOKUP(C4860,'[1]DBS_KPY Sorumlular'!A:C,2,FALSE)</f>
        <v>Kadir TOPÇU</v>
      </c>
      <c r="Z4860" t="str">
        <f>VLOOKUP(C4860,'[1]DBS_KPY Sorumlular'!A:C,3,FALSE)</f>
        <v>Erkan AKDOĞAN</v>
      </c>
      <c r="AA4860" t="str">
        <f>VLOOKUP(K4860,[1]!Tablo3[#Data],2,FALSE)</f>
        <v>Tayfun VİÇE</v>
      </c>
    </row>
    <row r="4861" spans="1:27" x14ac:dyDescent="0.25">
      <c r="A4861">
        <v>6268</v>
      </c>
      <c r="B4861" t="s">
        <v>1419</v>
      </c>
      <c r="C4861" t="s">
        <v>1674</v>
      </c>
      <c r="D4861" t="s">
        <v>1675</v>
      </c>
      <c r="H4861" t="s">
        <v>12603</v>
      </c>
      <c r="I4861" s="4"/>
      <c r="K4861" t="s">
        <v>1221</v>
      </c>
      <c r="L4861" s="5"/>
      <c r="M4861" s="5"/>
      <c r="N4861" t="s">
        <v>35</v>
      </c>
      <c r="T4861" s="5"/>
      <c r="W4861">
        <v>208</v>
      </c>
      <c r="X4861" t="s">
        <v>594</v>
      </c>
      <c r="Y4861" t="str">
        <f>VLOOKUP(C4861,'[1]DBS_KPY Sorumlular'!A:C,2,FALSE)</f>
        <v>Kadir TOPÇU</v>
      </c>
      <c r="Z4861" t="str">
        <f>VLOOKUP(C4861,'[1]DBS_KPY Sorumlular'!A:C,3,FALSE)</f>
        <v>Erkan AKDOĞAN</v>
      </c>
      <c r="AA4861" t="str">
        <f>VLOOKUP(K4861,[1]!Tablo3[#Data],2,FALSE)</f>
        <v>Tayfun VİÇE</v>
      </c>
    </row>
    <row r="4862" spans="1:27" x14ac:dyDescent="0.25">
      <c r="A4862">
        <v>6269</v>
      </c>
      <c r="B4862" t="s">
        <v>1419</v>
      </c>
      <c r="C4862" t="s">
        <v>1674</v>
      </c>
      <c r="D4862" t="s">
        <v>1675</v>
      </c>
      <c r="H4862" t="s">
        <v>12604</v>
      </c>
      <c r="I4862" s="4"/>
      <c r="K4862" t="s">
        <v>1221</v>
      </c>
      <c r="L4862" s="5"/>
      <c r="M4862" s="5"/>
      <c r="N4862" t="s">
        <v>35</v>
      </c>
      <c r="T4862" s="5"/>
      <c r="W4862">
        <v>28</v>
      </c>
      <c r="X4862" t="s">
        <v>667</v>
      </c>
      <c r="Y4862" t="str">
        <f>VLOOKUP(C4862,'[1]DBS_KPY Sorumlular'!A:C,2,FALSE)</f>
        <v>Kadir TOPÇU</v>
      </c>
      <c r="Z4862" t="str">
        <f>VLOOKUP(C4862,'[1]DBS_KPY Sorumlular'!A:C,3,FALSE)</f>
        <v>Erkan AKDOĞAN</v>
      </c>
      <c r="AA4862" t="str">
        <f>VLOOKUP(K4862,[1]!Tablo3[#Data],2,FALSE)</f>
        <v>Tayfun VİÇE</v>
      </c>
    </row>
    <row r="4863" spans="1:27" x14ac:dyDescent="0.25">
      <c r="A4863">
        <v>6270</v>
      </c>
      <c r="B4863" t="s">
        <v>1419</v>
      </c>
      <c r="C4863" t="s">
        <v>1674</v>
      </c>
      <c r="D4863" t="s">
        <v>1675</v>
      </c>
      <c r="H4863" t="s">
        <v>12605</v>
      </c>
      <c r="I4863" s="4"/>
      <c r="K4863" t="s">
        <v>926</v>
      </c>
      <c r="L4863" s="5"/>
      <c r="M4863" s="5"/>
      <c r="N4863" t="s">
        <v>35</v>
      </c>
      <c r="T4863" s="5"/>
      <c r="W4863">
        <v>203</v>
      </c>
      <c r="X4863" t="s">
        <v>72</v>
      </c>
      <c r="Y4863" t="str">
        <f>VLOOKUP(C4863,'[1]DBS_KPY Sorumlular'!A:C,2,FALSE)</f>
        <v>Kadir TOPÇU</v>
      </c>
      <c r="Z4863" t="str">
        <f>VLOOKUP(C4863,'[1]DBS_KPY Sorumlular'!A:C,3,FALSE)</f>
        <v>Erkan AKDOĞAN</v>
      </c>
      <c r="AA4863" t="str">
        <f>VLOOKUP(K4863,[1]!Tablo3[#Data],2,FALSE)</f>
        <v>Kadir TOPÇU</v>
      </c>
    </row>
    <row r="4864" spans="1:27" x14ac:dyDescent="0.25">
      <c r="A4864">
        <v>6271</v>
      </c>
      <c r="B4864" t="s">
        <v>1419</v>
      </c>
      <c r="C4864" t="s">
        <v>1674</v>
      </c>
      <c r="D4864" t="s">
        <v>1675</v>
      </c>
      <c r="H4864" t="s">
        <v>12606</v>
      </c>
      <c r="I4864" s="4"/>
      <c r="K4864" t="s">
        <v>926</v>
      </c>
      <c r="L4864" s="5"/>
      <c r="M4864" s="5"/>
      <c r="N4864" t="s">
        <v>35</v>
      </c>
      <c r="T4864" s="5"/>
      <c r="W4864">
        <v>203</v>
      </c>
      <c r="X4864" t="s">
        <v>72</v>
      </c>
      <c r="Y4864" t="str">
        <f>VLOOKUP(C4864,'[1]DBS_KPY Sorumlular'!A:C,2,FALSE)</f>
        <v>Kadir TOPÇU</v>
      </c>
      <c r="Z4864" t="str">
        <f>VLOOKUP(C4864,'[1]DBS_KPY Sorumlular'!A:C,3,FALSE)</f>
        <v>Erkan AKDOĞAN</v>
      </c>
      <c r="AA4864" t="str">
        <f>VLOOKUP(K4864,[1]!Tablo3[#Data],2,FALSE)</f>
        <v>Kadir TOPÇU</v>
      </c>
    </row>
    <row r="4865" spans="1:27" x14ac:dyDescent="0.25">
      <c r="A4865">
        <v>6272</v>
      </c>
      <c r="B4865" t="s">
        <v>1419</v>
      </c>
      <c r="C4865" t="s">
        <v>1674</v>
      </c>
      <c r="D4865" t="s">
        <v>1675</v>
      </c>
      <c r="H4865" t="s">
        <v>12607</v>
      </c>
      <c r="I4865" s="4"/>
      <c r="K4865" t="s">
        <v>926</v>
      </c>
      <c r="L4865" s="5"/>
      <c r="M4865" s="5"/>
      <c r="N4865" t="s">
        <v>35</v>
      </c>
      <c r="T4865" s="5"/>
      <c r="W4865">
        <v>79</v>
      </c>
      <c r="X4865" t="s">
        <v>1619</v>
      </c>
      <c r="Y4865" t="str">
        <f>VLOOKUP(C4865,'[1]DBS_KPY Sorumlular'!A:C,2,FALSE)</f>
        <v>Kadir TOPÇU</v>
      </c>
      <c r="Z4865" t="str">
        <f>VLOOKUP(C4865,'[1]DBS_KPY Sorumlular'!A:C,3,FALSE)</f>
        <v>Erkan AKDOĞAN</v>
      </c>
      <c r="AA4865" t="str">
        <f>VLOOKUP(K4865,[1]!Tablo3[#Data],2,FALSE)</f>
        <v>Kadir TOPÇU</v>
      </c>
    </row>
    <row r="4866" spans="1:27" x14ac:dyDescent="0.25">
      <c r="A4866">
        <v>6273</v>
      </c>
      <c r="B4866" t="s">
        <v>1419</v>
      </c>
      <c r="C4866" t="s">
        <v>1674</v>
      </c>
      <c r="D4866" t="s">
        <v>1675</v>
      </c>
      <c r="H4866" t="s">
        <v>12608</v>
      </c>
      <c r="I4866" s="4"/>
      <c r="K4866" t="s">
        <v>1360</v>
      </c>
      <c r="L4866" s="5"/>
      <c r="M4866" s="5"/>
      <c r="N4866" t="s">
        <v>35</v>
      </c>
      <c r="T4866" s="5"/>
      <c r="W4866">
        <v>126</v>
      </c>
      <c r="X4866" t="s">
        <v>147</v>
      </c>
      <c r="Y4866" t="str">
        <f>VLOOKUP(C4866,'[1]DBS_KPY Sorumlular'!A:C,2,FALSE)</f>
        <v>Kadir TOPÇU</v>
      </c>
      <c r="Z4866" t="str">
        <f>VLOOKUP(C4866,'[1]DBS_KPY Sorumlular'!A:C,3,FALSE)</f>
        <v>Erkan AKDOĞAN</v>
      </c>
      <c r="AA4866" t="str">
        <f>VLOOKUP(K4866,[1]!Tablo3[#Data],2,FALSE)</f>
        <v>Kadir TOPÇU</v>
      </c>
    </row>
    <row r="4867" spans="1:27" x14ac:dyDescent="0.25">
      <c r="A4867">
        <v>6274</v>
      </c>
      <c r="B4867" t="s">
        <v>1419</v>
      </c>
      <c r="C4867" t="s">
        <v>1674</v>
      </c>
      <c r="D4867" t="s">
        <v>1675</v>
      </c>
      <c r="H4867" t="s">
        <v>12609</v>
      </c>
      <c r="I4867" s="4"/>
      <c r="K4867" t="s">
        <v>1398</v>
      </c>
      <c r="L4867" s="5"/>
      <c r="M4867" s="5"/>
      <c r="N4867" t="s">
        <v>35</v>
      </c>
      <c r="T4867" s="5"/>
      <c r="W4867">
        <v>79</v>
      </c>
      <c r="X4867" t="s">
        <v>1619</v>
      </c>
      <c r="Y4867" t="str">
        <f>VLOOKUP(C4867,'[1]DBS_KPY Sorumlular'!A:C,2,FALSE)</f>
        <v>Kadir TOPÇU</v>
      </c>
      <c r="Z4867" t="str">
        <f>VLOOKUP(C4867,'[1]DBS_KPY Sorumlular'!A:C,3,FALSE)</f>
        <v>Erkan AKDOĞAN</v>
      </c>
      <c r="AA4867" t="str">
        <f>VLOOKUP(K4867,[1]!Tablo3[#Data],2,FALSE)</f>
        <v>Tayfun VİÇE</v>
      </c>
    </row>
    <row r="4868" spans="1:27" x14ac:dyDescent="0.25">
      <c r="A4868">
        <v>6275</v>
      </c>
      <c r="B4868" t="s">
        <v>1419</v>
      </c>
      <c r="C4868" t="s">
        <v>1674</v>
      </c>
      <c r="D4868" t="s">
        <v>1675</v>
      </c>
      <c r="H4868" t="s">
        <v>12610</v>
      </c>
      <c r="I4868" s="4"/>
      <c r="K4868" t="s">
        <v>423</v>
      </c>
      <c r="L4868" s="5"/>
      <c r="M4868" s="5"/>
      <c r="N4868" t="s">
        <v>35</v>
      </c>
      <c r="T4868" s="5"/>
      <c r="W4868">
        <v>103</v>
      </c>
      <c r="X4868" t="s">
        <v>353</v>
      </c>
      <c r="Y4868" t="str">
        <f>VLOOKUP(C4868,'[1]DBS_KPY Sorumlular'!A:C,2,FALSE)</f>
        <v>Kadir TOPÇU</v>
      </c>
      <c r="Z4868" t="str">
        <f>VLOOKUP(C4868,'[1]DBS_KPY Sorumlular'!A:C,3,FALSE)</f>
        <v>Erkan AKDOĞAN</v>
      </c>
      <c r="AA4868" t="str">
        <f>VLOOKUP(K4868,[1]!Tablo3[#Data],2,FALSE)</f>
        <v>Kadir TOPÇU</v>
      </c>
    </row>
    <row r="4869" spans="1:27" x14ac:dyDescent="0.25">
      <c r="A4869">
        <v>6276</v>
      </c>
      <c r="B4869" t="s">
        <v>1419</v>
      </c>
      <c r="C4869" t="s">
        <v>1674</v>
      </c>
      <c r="D4869" t="s">
        <v>1675</v>
      </c>
      <c r="H4869" t="s">
        <v>12611</v>
      </c>
      <c r="I4869" s="4"/>
      <c r="K4869" t="s">
        <v>423</v>
      </c>
      <c r="L4869" s="5"/>
      <c r="M4869" s="5"/>
      <c r="N4869" t="s">
        <v>35</v>
      </c>
      <c r="T4869" s="5"/>
      <c r="W4869">
        <v>128</v>
      </c>
      <c r="X4869" t="s">
        <v>39</v>
      </c>
      <c r="Y4869" t="str">
        <f>VLOOKUP(C4869,'[1]DBS_KPY Sorumlular'!A:C,2,FALSE)</f>
        <v>Kadir TOPÇU</v>
      </c>
      <c r="Z4869" t="str">
        <f>VLOOKUP(C4869,'[1]DBS_KPY Sorumlular'!A:C,3,FALSE)</f>
        <v>Erkan AKDOĞAN</v>
      </c>
      <c r="AA4869" t="str">
        <f>VLOOKUP(K4869,[1]!Tablo3[#Data],2,FALSE)</f>
        <v>Kadir TOPÇU</v>
      </c>
    </row>
    <row r="4870" spans="1:27" x14ac:dyDescent="0.25">
      <c r="A4870">
        <v>6277</v>
      </c>
      <c r="B4870" t="s">
        <v>1419</v>
      </c>
      <c r="C4870" t="s">
        <v>1674</v>
      </c>
      <c r="D4870" t="s">
        <v>1675</v>
      </c>
      <c r="H4870" t="s">
        <v>12612</v>
      </c>
      <c r="I4870" s="4"/>
      <c r="K4870" t="s">
        <v>423</v>
      </c>
      <c r="L4870" s="5"/>
      <c r="M4870" s="5"/>
      <c r="N4870" t="s">
        <v>35</v>
      </c>
      <c r="T4870" s="5"/>
      <c r="W4870">
        <v>128</v>
      </c>
      <c r="X4870" t="s">
        <v>39</v>
      </c>
      <c r="Y4870" t="str">
        <f>VLOOKUP(C4870,'[1]DBS_KPY Sorumlular'!A:C,2,FALSE)</f>
        <v>Kadir TOPÇU</v>
      </c>
      <c r="Z4870" t="str">
        <f>VLOOKUP(C4870,'[1]DBS_KPY Sorumlular'!A:C,3,FALSE)</f>
        <v>Erkan AKDOĞAN</v>
      </c>
      <c r="AA4870" t="str">
        <f>VLOOKUP(K4870,[1]!Tablo3[#Data],2,FALSE)</f>
        <v>Kadir TOPÇU</v>
      </c>
    </row>
    <row r="4871" spans="1:27" x14ac:dyDescent="0.25">
      <c r="A4871">
        <v>6278</v>
      </c>
      <c r="B4871" t="s">
        <v>1419</v>
      </c>
      <c r="C4871" t="s">
        <v>1674</v>
      </c>
      <c r="D4871" t="s">
        <v>1675</v>
      </c>
      <c r="H4871" t="s">
        <v>12613</v>
      </c>
      <c r="I4871" s="4"/>
      <c r="K4871" t="s">
        <v>1471</v>
      </c>
      <c r="L4871" s="5"/>
      <c r="M4871" s="5"/>
      <c r="N4871" t="s">
        <v>35</v>
      </c>
      <c r="T4871" s="5"/>
      <c r="W4871">
        <v>203</v>
      </c>
      <c r="X4871" t="s">
        <v>72</v>
      </c>
      <c r="Y4871" t="str">
        <f>VLOOKUP(C4871,'[1]DBS_KPY Sorumlular'!A:C,2,FALSE)</f>
        <v>Kadir TOPÇU</v>
      </c>
      <c r="Z4871" t="str">
        <f>VLOOKUP(C4871,'[1]DBS_KPY Sorumlular'!A:C,3,FALSE)</f>
        <v>Erkan AKDOĞAN</v>
      </c>
      <c r="AA4871" t="str">
        <f>VLOOKUP(K4871,[1]!Tablo3[#Data],2,FALSE)</f>
        <v>Tayfun VİÇE</v>
      </c>
    </row>
    <row r="4872" spans="1:27" x14ac:dyDescent="0.25">
      <c r="A4872">
        <v>6279</v>
      </c>
      <c r="B4872" t="s">
        <v>1419</v>
      </c>
      <c r="C4872" t="s">
        <v>1674</v>
      </c>
      <c r="D4872" t="s">
        <v>1675</v>
      </c>
      <c r="H4872" t="s">
        <v>12614</v>
      </c>
      <c r="I4872" s="4"/>
      <c r="K4872" t="s">
        <v>1471</v>
      </c>
      <c r="L4872" s="5"/>
      <c r="M4872" s="5"/>
      <c r="N4872" t="s">
        <v>35</v>
      </c>
      <c r="T4872" s="5"/>
      <c r="W4872">
        <v>203</v>
      </c>
      <c r="X4872" t="s">
        <v>72</v>
      </c>
      <c r="Y4872" t="str">
        <f>VLOOKUP(C4872,'[1]DBS_KPY Sorumlular'!A:C,2,FALSE)</f>
        <v>Kadir TOPÇU</v>
      </c>
      <c r="Z4872" t="str">
        <f>VLOOKUP(C4872,'[1]DBS_KPY Sorumlular'!A:C,3,FALSE)</f>
        <v>Erkan AKDOĞAN</v>
      </c>
      <c r="AA4872" t="str">
        <f>VLOOKUP(K4872,[1]!Tablo3[#Data],2,FALSE)</f>
        <v>Tayfun VİÇE</v>
      </c>
    </row>
    <row r="4873" spans="1:27" x14ac:dyDescent="0.25">
      <c r="A4873">
        <v>6280</v>
      </c>
      <c r="B4873" t="s">
        <v>1419</v>
      </c>
      <c r="C4873" t="s">
        <v>1674</v>
      </c>
      <c r="D4873" t="s">
        <v>1675</v>
      </c>
      <c r="H4873" t="s">
        <v>12615</v>
      </c>
      <c r="I4873" s="4"/>
      <c r="K4873" t="s">
        <v>1471</v>
      </c>
      <c r="L4873" s="5"/>
      <c r="M4873" s="5"/>
      <c r="N4873" t="s">
        <v>35</v>
      </c>
      <c r="T4873" s="5"/>
      <c r="W4873">
        <v>208</v>
      </c>
      <c r="X4873" t="s">
        <v>594</v>
      </c>
      <c r="Y4873" t="str">
        <f>VLOOKUP(C4873,'[1]DBS_KPY Sorumlular'!A:C,2,FALSE)</f>
        <v>Kadir TOPÇU</v>
      </c>
      <c r="Z4873" t="str">
        <f>VLOOKUP(C4873,'[1]DBS_KPY Sorumlular'!A:C,3,FALSE)</f>
        <v>Erkan AKDOĞAN</v>
      </c>
      <c r="AA4873" t="str">
        <f>VLOOKUP(K4873,[1]!Tablo3[#Data],2,FALSE)</f>
        <v>Tayfun VİÇE</v>
      </c>
    </row>
    <row r="4874" spans="1:27" x14ac:dyDescent="0.25">
      <c r="A4874">
        <v>6281</v>
      </c>
      <c r="B4874" t="s">
        <v>1419</v>
      </c>
      <c r="C4874" t="s">
        <v>1674</v>
      </c>
      <c r="D4874" t="s">
        <v>1675</v>
      </c>
      <c r="H4874" t="s">
        <v>12616</v>
      </c>
      <c r="I4874" s="4"/>
      <c r="K4874" t="s">
        <v>143</v>
      </c>
      <c r="L4874" s="5"/>
      <c r="M4874" s="5"/>
      <c r="N4874" t="s">
        <v>35</v>
      </c>
      <c r="T4874" s="5"/>
      <c r="W4874">
        <v>206</v>
      </c>
      <c r="X4874" t="s">
        <v>311</v>
      </c>
      <c r="Y4874" t="str">
        <f>VLOOKUP(C4874,'[1]DBS_KPY Sorumlular'!A:C,2,FALSE)</f>
        <v>Kadir TOPÇU</v>
      </c>
      <c r="Z4874" t="str">
        <f>VLOOKUP(C4874,'[1]DBS_KPY Sorumlular'!A:C,3,FALSE)</f>
        <v>Erkan AKDOĞAN</v>
      </c>
      <c r="AA4874" t="str">
        <f>VLOOKUP(K4874,[1]!Tablo3[#Data],2,FALSE)</f>
        <v>Tayfun VİÇE</v>
      </c>
    </row>
    <row r="4875" spans="1:27" x14ac:dyDescent="0.25">
      <c r="A4875">
        <v>6282</v>
      </c>
      <c r="B4875" t="s">
        <v>1419</v>
      </c>
      <c r="C4875" t="s">
        <v>1674</v>
      </c>
      <c r="D4875" t="s">
        <v>1675</v>
      </c>
      <c r="H4875" t="s">
        <v>12617</v>
      </c>
      <c r="I4875" s="4"/>
      <c r="K4875" t="s">
        <v>143</v>
      </c>
      <c r="L4875" s="5"/>
      <c r="M4875" s="5"/>
      <c r="N4875" t="s">
        <v>35</v>
      </c>
      <c r="T4875" s="5"/>
      <c r="W4875">
        <v>203</v>
      </c>
      <c r="X4875" t="s">
        <v>72</v>
      </c>
      <c r="Y4875" t="str">
        <f>VLOOKUP(C4875,'[1]DBS_KPY Sorumlular'!A:C,2,FALSE)</f>
        <v>Kadir TOPÇU</v>
      </c>
      <c r="Z4875" t="str">
        <f>VLOOKUP(C4875,'[1]DBS_KPY Sorumlular'!A:C,3,FALSE)</f>
        <v>Erkan AKDOĞAN</v>
      </c>
      <c r="AA4875" t="str">
        <f>VLOOKUP(K4875,[1]!Tablo3[#Data],2,FALSE)</f>
        <v>Tayfun VİÇE</v>
      </c>
    </row>
    <row r="4876" spans="1:27" x14ac:dyDescent="0.25">
      <c r="A4876">
        <v>6283</v>
      </c>
      <c r="B4876" t="s">
        <v>1419</v>
      </c>
      <c r="C4876" t="s">
        <v>1674</v>
      </c>
      <c r="D4876" t="s">
        <v>1675</v>
      </c>
      <c r="H4876" t="s">
        <v>12618</v>
      </c>
      <c r="I4876" s="4"/>
      <c r="K4876" t="s">
        <v>143</v>
      </c>
      <c r="L4876" s="5"/>
      <c r="M4876" s="5"/>
      <c r="N4876" t="s">
        <v>35</v>
      </c>
      <c r="T4876" s="5"/>
      <c r="W4876">
        <v>28</v>
      </c>
      <c r="X4876" t="s">
        <v>667</v>
      </c>
      <c r="Y4876" t="str">
        <f>VLOOKUP(C4876,'[1]DBS_KPY Sorumlular'!A:C,2,FALSE)</f>
        <v>Kadir TOPÇU</v>
      </c>
      <c r="Z4876" t="str">
        <f>VLOOKUP(C4876,'[1]DBS_KPY Sorumlular'!A:C,3,FALSE)</f>
        <v>Erkan AKDOĞAN</v>
      </c>
      <c r="AA4876" t="str">
        <f>VLOOKUP(K4876,[1]!Tablo3[#Data],2,FALSE)</f>
        <v>Tayfun VİÇE</v>
      </c>
    </row>
    <row r="4877" spans="1:27" x14ac:dyDescent="0.25">
      <c r="A4877">
        <v>6284</v>
      </c>
      <c r="B4877" t="s">
        <v>1419</v>
      </c>
      <c r="C4877" t="s">
        <v>1674</v>
      </c>
      <c r="D4877" t="s">
        <v>1675</v>
      </c>
      <c r="H4877" t="s">
        <v>12619</v>
      </c>
      <c r="I4877" s="4"/>
      <c r="K4877" t="s">
        <v>1528</v>
      </c>
      <c r="L4877" s="5"/>
      <c r="M4877" s="5"/>
      <c r="N4877" t="s">
        <v>35</v>
      </c>
      <c r="T4877" s="5"/>
      <c r="W4877">
        <v>203</v>
      </c>
      <c r="X4877" t="s">
        <v>72</v>
      </c>
      <c r="Y4877" t="str">
        <f>VLOOKUP(C4877,'[1]DBS_KPY Sorumlular'!A:C,2,FALSE)</f>
        <v>Kadir TOPÇU</v>
      </c>
      <c r="Z4877" t="str">
        <f>VLOOKUP(C4877,'[1]DBS_KPY Sorumlular'!A:C,3,FALSE)</f>
        <v>Erkan AKDOĞAN</v>
      </c>
      <c r="AA4877" t="str">
        <f>VLOOKUP(K4877,[1]!Tablo3[#Data],2,FALSE)</f>
        <v>Tayfun VİÇE</v>
      </c>
    </row>
    <row r="4878" spans="1:27" x14ac:dyDescent="0.25">
      <c r="A4878">
        <v>6285</v>
      </c>
      <c r="B4878" t="s">
        <v>1419</v>
      </c>
      <c r="C4878" t="s">
        <v>1674</v>
      </c>
      <c r="D4878" t="s">
        <v>1675</v>
      </c>
      <c r="H4878" t="s">
        <v>12620</v>
      </c>
      <c r="I4878" s="4"/>
      <c r="K4878" t="s">
        <v>1528</v>
      </c>
      <c r="L4878" s="5"/>
      <c r="M4878" s="5"/>
      <c r="N4878" t="s">
        <v>35</v>
      </c>
      <c r="T4878" s="5"/>
      <c r="W4878">
        <v>76</v>
      </c>
      <c r="X4878" t="s">
        <v>443</v>
      </c>
      <c r="Y4878" t="str">
        <f>VLOOKUP(C4878,'[1]DBS_KPY Sorumlular'!A:C,2,FALSE)</f>
        <v>Kadir TOPÇU</v>
      </c>
      <c r="Z4878" t="str">
        <f>VLOOKUP(C4878,'[1]DBS_KPY Sorumlular'!A:C,3,FALSE)</f>
        <v>Erkan AKDOĞAN</v>
      </c>
      <c r="AA4878" t="str">
        <f>VLOOKUP(K4878,[1]!Tablo3[#Data],2,FALSE)</f>
        <v>Tayfun VİÇE</v>
      </c>
    </row>
    <row r="4879" spans="1:27" x14ac:dyDescent="0.25">
      <c r="A4879">
        <v>6286</v>
      </c>
      <c r="B4879" t="s">
        <v>1419</v>
      </c>
      <c r="C4879" t="s">
        <v>1674</v>
      </c>
      <c r="D4879" t="s">
        <v>1675</v>
      </c>
      <c r="H4879" t="s">
        <v>12621</v>
      </c>
      <c r="I4879" s="4"/>
      <c r="K4879" t="s">
        <v>1528</v>
      </c>
      <c r="L4879" s="5"/>
      <c r="M4879" s="5"/>
      <c r="N4879" t="s">
        <v>35</v>
      </c>
      <c r="T4879" s="5"/>
      <c r="W4879">
        <v>79</v>
      </c>
      <c r="X4879" t="s">
        <v>1619</v>
      </c>
      <c r="Y4879" t="str">
        <f>VLOOKUP(C4879,'[1]DBS_KPY Sorumlular'!A:C,2,FALSE)</f>
        <v>Kadir TOPÇU</v>
      </c>
      <c r="Z4879" t="str">
        <f>VLOOKUP(C4879,'[1]DBS_KPY Sorumlular'!A:C,3,FALSE)</f>
        <v>Erkan AKDOĞAN</v>
      </c>
      <c r="AA4879" t="str">
        <f>VLOOKUP(K4879,[1]!Tablo3[#Data],2,FALSE)</f>
        <v>Tayfun VİÇE</v>
      </c>
    </row>
    <row r="4880" spans="1:27" x14ac:dyDescent="0.25">
      <c r="A4880">
        <v>6287</v>
      </c>
      <c r="B4880" t="s">
        <v>1419</v>
      </c>
      <c r="C4880" t="s">
        <v>1674</v>
      </c>
      <c r="D4880" t="s">
        <v>1675</v>
      </c>
      <c r="H4880" t="s">
        <v>12622</v>
      </c>
      <c r="I4880" s="4"/>
      <c r="K4880" t="s">
        <v>1550</v>
      </c>
      <c r="L4880" s="5"/>
      <c r="M4880" s="5"/>
      <c r="N4880" t="s">
        <v>35</v>
      </c>
      <c r="T4880" s="5"/>
      <c r="W4880">
        <v>128</v>
      </c>
      <c r="X4880" t="s">
        <v>39</v>
      </c>
      <c r="Y4880" t="str">
        <f>VLOOKUP(C4880,'[1]DBS_KPY Sorumlular'!A:C,2,FALSE)</f>
        <v>Kadir TOPÇU</v>
      </c>
      <c r="Z4880" t="str">
        <f>VLOOKUP(C4880,'[1]DBS_KPY Sorumlular'!A:C,3,FALSE)</f>
        <v>Erkan AKDOĞAN</v>
      </c>
      <c r="AA4880" t="str">
        <f>VLOOKUP(K4880,[1]!Tablo3[#Data],2,FALSE)</f>
        <v>Kadir TOPÇU</v>
      </c>
    </row>
    <row r="4881" spans="1:27" x14ac:dyDescent="0.25">
      <c r="A4881">
        <v>6288</v>
      </c>
      <c r="B4881" t="s">
        <v>1419</v>
      </c>
      <c r="C4881" t="s">
        <v>1674</v>
      </c>
      <c r="D4881" t="s">
        <v>1675</v>
      </c>
      <c r="H4881" t="s">
        <v>12623</v>
      </c>
      <c r="I4881" s="4"/>
      <c r="K4881" t="s">
        <v>1550</v>
      </c>
      <c r="L4881" s="5"/>
      <c r="M4881" s="5"/>
      <c r="N4881" t="s">
        <v>35</v>
      </c>
      <c r="T4881" s="5"/>
      <c r="W4881">
        <v>203</v>
      </c>
      <c r="X4881" t="s">
        <v>72</v>
      </c>
      <c r="Y4881" t="str">
        <f>VLOOKUP(C4881,'[1]DBS_KPY Sorumlular'!A:C,2,FALSE)</f>
        <v>Kadir TOPÇU</v>
      </c>
      <c r="Z4881" t="str">
        <f>VLOOKUP(C4881,'[1]DBS_KPY Sorumlular'!A:C,3,FALSE)</f>
        <v>Erkan AKDOĞAN</v>
      </c>
      <c r="AA4881" t="str">
        <f>VLOOKUP(K4881,[1]!Tablo3[#Data],2,FALSE)</f>
        <v>Kadir TOPÇU</v>
      </c>
    </row>
    <row r="4882" spans="1:27" x14ac:dyDescent="0.25">
      <c r="A4882">
        <v>6289</v>
      </c>
      <c r="B4882" t="s">
        <v>1419</v>
      </c>
      <c r="C4882" t="s">
        <v>1674</v>
      </c>
      <c r="D4882" t="s">
        <v>1675</v>
      </c>
      <c r="H4882" t="s">
        <v>12624</v>
      </c>
      <c r="I4882" s="4"/>
      <c r="K4882" t="s">
        <v>1550</v>
      </c>
      <c r="L4882" s="5"/>
      <c r="M4882" s="5"/>
      <c r="N4882" t="s">
        <v>35</v>
      </c>
      <c r="T4882" s="5"/>
      <c r="W4882">
        <v>79</v>
      </c>
      <c r="X4882" t="s">
        <v>1619</v>
      </c>
      <c r="Y4882" t="str">
        <f>VLOOKUP(C4882,'[1]DBS_KPY Sorumlular'!A:C,2,FALSE)</f>
        <v>Kadir TOPÇU</v>
      </c>
      <c r="Z4882" t="str">
        <f>VLOOKUP(C4882,'[1]DBS_KPY Sorumlular'!A:C,3,FALSE)</f>
        <v>Erkan AKDOĞAN</v>
      </c>
      <c r="AA4882" t="str">
        <f>VLOOKUP(K4882,[1]!Tablo3[#Data],2,FALSE)</f>
        <v>Kadir TOPÇU</v>
      </c>
    </row>
    <row r="4883" spans="1:27" x14ac:dyDescent="0.25">
      <c r="A4883">
        <v>6290</v>
      </c>
      <c r="B4883" t="s">
        <v>1419</v>
      </c>
      <c r="C4883" t="s">
        <v>1674</v>
      </c>
      <c r="D4883" t="s">
        <v>1675</v>
      </c>
      <c r="H4883" t="s">
        <v>12625</v>
      </c>
      <c r="I4883" s="4"/>
      <c r="K4883" t="s">
        <v>1550</v>
      </c>
      <c r="L4883" s="5"/>
      <c r="M4883" s="5"/>
      <c r="N4883" t="s">
        <v>35</v>
      </c>
      <c r="T4883" s="5"/>
      <c r="W4883">
        <v>79</v>
      </c>
      <c r="X4883" t="s">
        <v>1619</v>
      </c>
      <c r="Y4883" t="str">
        <f>VLOOKUP(C4883,'[1]DBS_KPY Sorumlular'!A:C,2,FALSE)</f>
        <v>Kadir TOPÇU</v>
      </c>
      <c r="Z4883" t="str">
        <f>VLOOKUP(C4883,'[1]DBS_KPY Sorumlular'!A:C,3,FALSE)</f>
        <v>Erkan AKDOĞAN</v>
      </c>
      <c r="AA4883" t="str">
        <f>VLOOKUP(K4883,[1]!Tablo3[#Data],2,FALSE)</f>
        <v>Kadir TOPÇU</v>
      </c>
    </row>
    <row r="4884" spans="1:27" x14ac:dyDescent="0.25">
      <c r="A4884">
        <v>6291</v>
      </c>
      <c r="C4884" t="s">
        <v>1046</v>
      </c>
      <c r="D4884" t="s">
        <v>12291</v>
      </c>
      <c r="F4884" t="s">
        <v>42</v>
      </c>
      <c r="H4884" t="s">
        <v>12626</v>
      </c>
      <c r="I4884" s="4"/>
      <c r="K4884" t="s">
        <v>1471</v>
      </c>
      <c r="L4884" s="5" t="s">
        <v>12627</v>
      </c>
      <c r="M4884" s="5"/>
      <c r="N4884" t="s">
        <v>82</v>
      </c>
      <c r="R4884">
        <v>1</v>
      </c>
      <c r="T4884" s="5"/>
      <c r="W4884">
        <v>80</v>
      </c>
      <c r="X4884" t="s">
        <v>647</v>
      </c>
      <c r="Y4884" t="str">
        <f>VLOOKUP(C4884,'[1]DBS_KPY Sorumlular'!A:C,2,FALSE)</f>
        <v>Ayşegül AKGÜL</v>
      </c>
      <c r="Z4884" t="str">
        <f>VLOOKUP(C4884,'[1]DBS_KPY Sorumlular'!A:C,3,FALSE)</f>
        <v>Sinan ERDAŞ</v>
      </c>
      <c r="AA4884" t="str">
        <f>VLOOKUP(K4884,[1]!Tablo3[#Data],2,FALSE)</f>
        <v>Tayfun VİÇE</v>
      </c>
    </row>
  </sheetData>
  <conditionalFormatting sqref="K1:K4884">
    <cfRule type="expression" dxfId="2" priority="1">
      <formula>$K1=""</formula>
    </cfRule>
  </conditionalFormatting>
  <conditionalFormatting sqref="I1:I4884">
    <cfRule type="expression" dxfId="1" priority="4">
      <formula>AND(OR($N1="Devam Eden",$N1="Değerlendirmede",$N1="Planlanan"),$I1&lt;&gt;"",$I1&lt;TODAY())</formula>
    </cfRule>
  </conditionalFormatting>
  <conditionalFormatting sqref="U1:U4884">
    <cfRule type="expression" dxfId="0" priority="5">
      <formula>AND($T1="Ana İş", COUNTIF(#REF!, $U1)&gt;1)</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296C0C-3560-4F8C-9B68-78B084A46A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Kurumsal Proje Yönetim Müdürlüğü</cp:lastModifiedBy>
  <dcterms:created xsi:type="dcterms:W3CDTF">2015-06-05T18:19:34Z</dcterms:created>
  <dcterms:modified xsi:type="dcterms:W3CDTF">2025-06-24T07:15:05Z</dcterms:modified>
</cp:coreProperties>
</file>